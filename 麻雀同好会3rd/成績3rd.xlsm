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4A93DDB0-DC4C-41AA-8645-3D392DF3176B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385" r:id="rId6"/>
    <sheet name="たかの" sheetId="6387" r:id="rId7"/>
    <sheet name="だいち" sheetId="6389" r:id="rId8"/>
    <sheet name="ただ" sheetId="6391" r:id="rId9"/>
    <sheet name="りくと" sheetId="6393" r:id="rId10"/>
    <sheet name="れんたろう" sheetId="6395" r:id="rId11"/>
    <sheet name="まっつん" sheetId="6397" r:id="rId12"/>
    <sheet name="のり" sheetId="6399" r:id="rId13"/>
    <sheet name="ぱぱ" sheetId="6401" r:id="rId14"/>
    <sheet name="ほたに" sheetId="6403" r:id="rId15"/>
    <sheet name="いっしー" sheetId="6405" r:id="rId16"/>
    <sheet name="ともき" sheetId="6407" r:id="rId17"/>
    <sheet name="たか" sheetId="6409" r:id="rId18"/>
    <sheet name="ゆう" sheetId="6411" r:id="rId19"/>
    <sheet name="ゆう2" sheetId="6412" state="hidden" r:id="rId20"/>
    <sheet name="たか2" sheetId="6410" state="hidden" r:id="rId21"/>
    <sheet name="ともき2" sheetId="6408" state="hidden" r:id="rId22"/>
    <sheet name="いっしー2" sheetId="6406" state="hidden" r:id="rId23"/>
    <sheet name="ほたに2" sheetId="6404" state="hidden" r:id="rId24"/>
    <sheet name="ぱぱ2" sheetId="6402" state="hidden" r:id="rId25"/>
    <sheet name="のり2" sheetId="6400" state="hidden" r:id="rId26"/>
    <sheet name="まっつん2" sheetId="6398" state="hidden" r:id="rId27"/>
    <sheet name="れんたろう2" sheetId="6396" state="hidden" r:id="rId28"/>
    <sheet name="りくと2" sheetId="6394" state="hidden" r:id="rId29"/>
    <sheet name="ただ2" sheetId="6392" state="hidden" r:id="rId30"/>
    <sheet name="だいち2" sheetId="6390" state="hidden" r:id="rId31"/>
    <sheet name="たかの2" sheetId="6388" state="hidden" r:id="rId32"/>
    <sheet name="全体2" sheetId="638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7">だいち!#REF!</definedName>
    <definedName name="ダマアガリ点" localSheetId="17">たか!#REF!</definedName>
    <definedName name="ダマアガリ点" localSheetId="6">たかの!#REF!</definedName>
    <definedName name="ダマアガリ点" localSheetId="8">ただ!#REF!</definedName>
    <definedName name="ダマアガリ点" localSheetId="16">ともき!#REF!</definedName>
    <definedName name="ダマアガリ点" localSheetId="12">のり!#REF!</definedName>
    <definedName name="ダマアガリ点" localSheetId="13">ぱぱ!#REF!</definedName>
    <definedName name="ダマアガリ点" localSheetId="14">ほたに!#REF!</definedName>
    <definedName name="ダマアガリ点" localSheetId="11">まっつん!#REF!</definedName>
    <definedName name="ダマアガリ点" localSheetId="18">ゆう!#REF!</definedName>
    <definedName name="ダマアガリ点" localSheetId="9">りくと!#REF!</definedName>
    <definedName name="ダマアガリ点" localSheetId="10">れんたろう!#REF!</definedName>
    <definedName name="ダマアガリ点" localSheetId="5">全体!#REF!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7">だいち!#REF!</definedName>
    <definedName name="ふっとばし数" localSheetId="17">たか!#REF!</definedName>
    <definedName name="ふっとばし数" localSheetId="6">たかの!#REF!</definedName>
    <definedName name="ふっとばし数" localSheetId="8">ただ!#REF!</definedName>
    <definedName name="ふっとばし数" localSheetId="16">ともき!#REF!</definedName>
    <definedName name="ふっとばし数" localSheetId="12">のり!#REF!</definedName>
    <definedName name="ふっとばし数" localSheetId="13">ぱぱ!#REF!</definedName>
    <definedName name="ふっとばし数" localSheetId="14">ほたに!#REF!</definedName>
    <definedName name="ふっとばし数" localSheetId="11">まっつん!#REF!</definedName>
    <definedName name="ふっとばし数" localSheetId="18">ゆう!#REF!</definedName>
    <definedName name="ふっとばし数" localSheetId="9">りくと!#REF!</definedName>
    <definedName name="ふっとばし数" localSheetId="10">れんたろう!#REF!</definedName>
    <definedName name="ふっとばし数" localSheetId="5">全体!#REF!</definedName>
    <definedName name="ふっとばし数">Template1!#REF!</definedName>
    <definedName name="ふっとばし率" localSheetId="15">いっしー!#REF!</definedName>
    <definedName name="ふっとばし率" localSheetId="7">だいち!#REF!</definedName>
    <definedName name="ふっとばし率" localSheetId="17">たか!#REF!</definedName>
    <definedName name="ふっとばし率" localSheetId="6">たかの!#REF!</definedName>
    <definedName name="ふっとばし率" localSheetId="8">ただ!#REF!</definedName>
    <definedName name="ふっとばし率" localSheetId="16">ともき!#REF!</definedName>
    <definedName name="ふっとばし率" localSheetId="12">のり!#REF!</definedName>
    <definedName name="ふっとばし率" localSheetId="13">ぱぱ!#REF!</definedName>
    <definedName name="ふっとばし率" localSheetId="14">ほたに!#REF!</definedName>
    <definedName name="ふっとばし率" localSheetId="11">まっつん!#REF!</definedName>
    <definedName name="ふっとばし率" localSheetId="18">ゆう!#REF!</definedName>
    <definedName name="ふっとばし率" localSheetId="9">りくと!#REF!</definedName>
    <definedName name="ふっとばし率" localSheetId="10">れんたろう!#REF!</definedName>
    <definedName name="ふっとばし率" localSheetId="5">全体!#REF!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7">だいち!#REF!</definedName>
    <definedName name="逆転数" localSheetId="17">たか!#REF!</definedName>
    <definedName name="逆転数" localSheetId="6">たかの!#REF!</definedName>
    <definedName name="逆転数" localSheetId="8">ただ!#REF!</definedName>
    <definedName name="逆転数" localSheetId="16">ともき!#REF!</definedName>
    <definedName name="逆転数" localSheetId="12">のり!#REF!</definedName>
    <definedName name="逆転数" localSheetId="13">ぱぱ!#REF!</definedName>
    <definedName name="逆転数" localSheetId="14">ほたに!#REF!</definedName>
    <definedName name="逆転数" localSheetId="11">まっつん!#REF!</definedName>
    <definedName name="逆転数" localSheetId="18">ゆう!#REF!</definedName>
    <definedName name="逆転数" localSheetId="9">りくと!#REF!</definedName>
    <definedName name="逆転数" localSheetId="10">れんたろう!#REF!</definedName>
    <definedName name="逆転数" localSheetId="5">全体!#REF!</definedName>
    <definedName name="逆転数">Template1!#REF!</definedName>
    <definedName name="逆転率" localSheetId="15">いっしー!#REF!</definedName>
    <definedName name="逆転率" localSheetId="7">だいち!#REF!</definedName>
    <definedName name="逆転率" localSheetId="17">たか!#REF!</definedName>
    <definedName name="逆転率" localSheetId="6">たかの!#REF!</definedName>
    <definedName name="逆転率" localSheetId="8">ただ!#REF!</definedName>
    <definedName name="逆転率" localSheetId="16">ともき!#REF!</definedName>
    <definedName name="逆転率" localSheetId="12">のり!#REF!</definedName>
    <definedName name="逆転率" localSheetId="13">ぱぱ!#REF!</definedName>
    <definedName name="逆転率" localSheetId="14">ほたに!#REF!</definedName>
    <definedName name="逆転率" localSheetId="11">まっつん!#REF!</definedName>
    <definedName name="逆転率" localSheetId="18">ゆう!#REF!</definedName>
    <definedName name="逆転率" localSheetId="9">りくと!#REF!</definedName>
    <definedName name="逆転率" localSheetId="10">れんたろう!#REF!</definedName>
    <definedName name="逆転率" localSheetId="5">全体!#REF!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409" l="1"/>
  <c r="O25" i="6397" l="1"/>
  <c r="O15" i="6407"/>
  <c r="O16" i="6409" l="1"/>
  <c r="O23" i="6387"/>
  <c r="O20" i="6397" l="1"/>
  <c r="O16" i="6411"/>
  <c r="O18" i="6409"/>
  <c r="O15" i="6387" l="1"/>
  <c r="O22" i="6407"/>
  <c r="O19" i="6409" l="1"/>
  <c r="O15" i="6411"/>
  <c r="O17" i="6411"/>
  <c r="H39" i="6411"/>
  <c r="H34" i="6411"/>
  <c r="C30" i="6411"/>
  <c r="H12" i="6411"/>
  <c r="B25" i="6411"/>
  <c r="C16" i="6411"/>
  <c r="B15" i="6411"/>
  <c r="H50" i="6411" s="1"/>
  <c r="H18" i="6411"/>
  <c r="B14" i="6411"/>
  <c r="B24" i="6411" s="1"/>
  <c r="B13" i="6411"/>
  <c r="C13" i="6411" s="1"/>
  <c r="O12" i="6411"/>
  <c r="C12" i="6411"/>
  <c r="O11" i="6411"/>
  <c r="C11" i="6411"/>
  <c r="O10" i="6411"/>
  <c r="C10" i="6411"/>
  <c r="H14" i="6411"/>
  <c r="C9" i="6411"/>
  <c r="H13" i="6411"/>
  <c r="C8" i="6411"/>
  <c r="O7" i="6411"/>
  <c r="C7" i="6411"/>
  <c r="O6" i="6411"/>
  <c r="B6" i="6411"/>
  <c r="O5" i="6411"/>
  <c r="B5" i="6411"/>
  <c r="O4" i="6411"/>
  <c r="O3" i="6411"/>
  <c r="O2" i="6411"/>
  <c r="O16" i="6399"/>
  <c r="O15" i="6409"/>
  <c r="O17" i="6409"/>
  <c r="C30" i="6409"/>
  <c r="B25" i="6409"/>
  <c r="C16" i="6409"/>
  <c r="B15" i="6409"/>
  <c r="H50" i="6409" s="1"/>
  <c r="B14" i="6409"/>
  <c r="B24" i="6409" s="1"/>
  <c r="B13" i="6409"/>
  <c r="C13" i="6409" s="1"/>
  <c r="O12" i="6409"/>
  <c r="C12" i="6409"/>
  <c r="O11" i="6409"/>
  <c r="C11" i="6409"/>
  <c r="O10" i="6409"/>
  <c r="C10" i="6409"/>
  <c r="C9" i="6409"/>
  <c r="C8" i="6409"/>
  <c r="O7" i="6409"/>
  <c r="C7" i="6409"/>
  <c r="O6" i="6409"/>
  <c r="B6" i="6409"/>
  <c r="O5" i="6409"/>
  <c r="B5" i="6409"/>
  <c r="O4" i="6409"/>
  <c r="O3" i="6409"/>
  <c r="O2" i="6409"/>
  <c r="O15" i="6385"/>
  <c r="H2" i="6411" l="1"/>
  <c r="C19" i="6411"/>
  <c r="C14" i="6409"/>
  <c r="C14" i="6411"/>
  <c r="C44" i="6411"/>
  <c r="H22" i="6411"/>
  <c r="H47" i="6411"/>
  <c r="H40" i="6411"/>
  <c r="C15" i="6411"/>
  <c r="H29" i="6411"/>
  <c r="H36" i="6411"/>
  <c r="H41" i="6411"/>
  <c r="H48" i="6411"/>
  <c r="C34" i="6411"/>
  <c r="H6" i="6411"/>
  <c r="H49" i="6411"/>
  <c r="H35" i="6411"/>
  <c r="H30" i="6411"/>
  <c r="H3" i="6411"/>
  <c r="H8" i="6411"/>
  <c r="C36" i="6411"/>
  <c r="H7" i="6411"/>
  <c r="B22" i="6411"/>
  <c r="H32" i="6411"/>
  <c r="C42" i="6411"/>
  <c r="H51" i="6411"/>
  <c r="H45" i="6411"/>
  <c r="H10" i="6411"/>
  <c r="C20" i="6411"/>
  <c r="C21" i="6411"/>
  <c r="C17" i="6411"/>
  <c r="H37" i="6411"/>
  <c r="H20" i="6411"/>
  <c r="H26" i="6411"/>
  <c r="H38" i="6411"/>
  <c r="H43" i="6411"/>
  <c r="H4" i="6411"/>
  <c r="H28" i="6411"/>
  <c r="H16" i="6411"/>
  <c r="C40" i="6411"/>
  <c r="H19" i="6411"/>
  <c r="H24" i="6411"/>
  <c r="H42" i="6411"/>
  <c r="C32" i="6411"/>
  <c r="H11" i="6411"/>
  <c r="H15" i="6411"/>
  <c r="C18" i="6411"/>
  <c r="H33" i="6411"/>
  <c r="C38" i="6411"/>
  <c r="H44" i="6411"/>
  <c r="H52" i="6411"/>
  <c r="H21" i="6411"/>
  <c r="H25" i="6411"/>
  <c r="H9" i="6411"/>
  <c r="C33" i="6411"/>
  <c r="C37" i="6411"/>
  <c r="C41" i="6411"/>
  <c r="H46" i="6411"/>
  <c r="B23" i="6411"/>
  <c r="H17" i="6411"/>
  <c r="H5" i="6411"/>
  <c r="H23" i="6411"/>
  <c r="H27" i="6411"/>
  <c r="H31" i="6411"/>
  <c r="C35" i="6411"/>
  <c r="C39" i="6411"/>
  <c r="C43" i="6411"/>
  <c r="C19" i="6409"/>
  <c r="H3" i="6409"/>
  <c r="H34" i="6409"/>
  <c r="H10" i="6409"/>
  <c r="H28" i="6409"/>
  <c r="H18" i="6409"/>
  <c r="C44" i="6409"/>
  <c r="H12" i="6409"/>
  <c r="H35" i="6409"/>
  <c r="H39" i="6409"/>
  <c r="H29" i="6409"/>
  <c r="C15" i="6409"/>
  <c r="H47" i="6409"/>
  <c r="H14" i="6409"/>
  <c r="H48" i="6409"/>
  <c r="H45" i="6409"/>
  <c r="H2" i="6409"/>
  <c r="H16" i="6409"/>
  <c r="H30" i="6409"/>
  <c r="H19" i="6409"/>
  <c r="H36" i="6409"/>
  <c r="H8" i="6409"/>
  <c r="H42" i="6409"/>
  <c r="C17" i="6409"/>
  <c r="H37" i="6409"/>
  <c r="H51" i="6409"/>
  <c r="H40" i="6409"/>
  <c r="H9" i="6409"/>
  <c r="H11" i="6409"/>
  <c r="H49" i="6409"/>
  <c r="H7" i="6409"/>
  <c r="B22" i="6409"/>
  <c r="H32" i="6409"/>
  <c r="C42" i="6409"/>
  <c r="H26" i="6409"/>
  <c r="H38" i="6409"/>
  <c r="H43" i="6409"/>
  <c r="H5" i="6409"/>
  <c r="C34" i="6409"/>
  <c r="H6" i="6409"/>
  <c r="C20" i="6409"/>
  <c r="C40" i="6409"/>
  <c r="C21" i="6409"/>
  <c r="H41" i="6409"/>
  <c r="H24" i="6409"/>
  <c r="C36" i="6409"/>
  <c r="H21" i="6409"/>
  <c r="C32" i="6409"/>
  <c r="H4" i="6409"/>
  <c r="H15" i="6409"/>
  <c r="C18" i="6409"/>
  <c r="H33" i="6409"/>
  <c r="C38" i="6409"/>
  <c r="H44" i="6409"/>
  <c r="H52" i="6409"/>
  <c r="H22" i="6409"/>
  <c r="H25" i="6409"/>
  <c r="H13" i="6409"/>
  <c r="C33" i="6409"/>
  <c r="C37" i="6409"/>
  <c r="C41" i="6409"/>
  <c r="H46" i="6409"/>
  <c r="B23" i="6409"/>
  <c r="H17" i="6409"/>
  <c r="H20" i="6409"/>
  <c r="H23" i="6409"/>
  <c r="H27" i="6409"/>
  <c r="H31" i="6409"/>
  <c r="C35" i="6409"/>
  <c r="C39" i="6409"/>
  <c r="C43" i="6409"/>
  <c r="O21" i="6407" l="1"/>
  <c r="O15" i="6389"/>
  <c r="O21" i="6391" l="1"/>
  <c r="O16" i="6407"/>
  <c r="O19" i="6407"/>
  <c r="O22" i="6393"/>
  <c r="O17" i="6401" l="1"/>
  <c r="O20" i="6407"/>
  <c r="O21" i="6395" l="1"/>
  <c r="O17" i="6407"/>
  <c r="O18" i="6407"/>
  <c r="C30" i="6407"/>
  <c r="B25" i="6407"/>
  <c r="C16" i="6407"/>
  <c r="B15" i="6407"/>
  <c r="H52" i="6407" s="1"/>
  <c r="C14" i="6407"/>
  <c r="B14" i="6407"/>
  <c r="B13" i="6407"/>
  <c r="C13" i="6407" s="1"/>
  <c r="O12" i="6407"/>
  <c r="C12" i="6407"/>
  <c r="O11" i="6407"/>
  <c r="C11" i="6407"/>
  <c r="O10" i="6407"/>
  <c r="C10" i="6407"/>
  <c r="C9" i="6407"/>
  <c r="C8" i="6407"/>
  <c r="O7" i="6407"/>
  <c r="C7" i="6407"/>
  <c r="O6" i="6407"/>
  <c r="B6" i="6407"/>
  <c r="O5" i="6407"/>
  <c r="B5" i="6407"/>
  <c r="O4" i="6407"/>
  <c r="O3" i="6407"/>
  <c r="O2" i="6407"/>
  <c r="O18" i="6399"/>
  <c r="O20" i="6385"/>
  <c r="B23" i="6407" l="1"/>
  <c r="H15" i="6407"/>
  <c r="H36" i="6407"/>
  <c r="C36" i="6407"/>
  <c r="H3" i="6407"/>
  <c r="H10" i="6407"/>
  <c r="H18" i="6407"/>
  <c r="H27" i="6407"/>
  <c r="H42" i="6407"/>
  <c r="H44" i="6407"/>
  <c r="H38" i="6407"/>
  <c r="H29" i="6407"/>
  <c r="H30" i="6407"/>
  <c r="H4" i="6407"/>
  <c r="C19" i="6407"/>
  <c r="C44" i="6407"/>
  <c r="C17" i="6407"/>
  <c r="C42" i="6407"/>
  <c r="H13" i="6407"/>
  <c r="H34" i="6407"/>
  <c r="H5" i="6407"/>
  <c r="H24" i="6407"/>
  <c r="C34" i="6407"/>
  <c r="H47" i="6407"/>
  <c r="C20" i="6407"/>
  <c r="C38" i="6407"/>
  <c r="H48" i="6407"/>
  <c r="H2" i="6407"/>
  <c r="H9" i="6407"/>
  <c r="C15" i="6407"/>
  <c r="C21" i="6407"/>
  <c r="H32" i="6407"/>
  <c r="H40" i="6407"/>
  <c r="H51" i="6407"/>
  <c r="H8" i="6407"/>
  <c r="H6" i="6407"/>
  <c r="H16" i="6407"/>
  <c r="H19" i="6407"/>
  <c r="H21" i="6407"/>
  <c r="H14" i="6407"/>
  <c r="C32" i="6407"/>
  <c r="C40" i="6407"/>
  <c r="H7" i="6407"/>
  <c r="H23" i="6407"/>
  <c r="H26" i="6407"/>
  <c r="H11" i="6407"/>
  <c r="C33" i="6407"/>
  <c r="C37" i="6407"/>
  <c r="C41" i="6407"/>
  <c r="H46" i="6407"/>
  <c r="B24" i="6407"/>
  <c r="H35" i="6407"/>
  <c r="H39" i="6407"/>
  <c r="H43" i="6407"/>
  <c r="H49" i="6407"/>
  <c r="H12" i="6407"/>
  <c r="H22" i="6407"/>
  <c r="H25" i="6407"/>
  <c r="H17" i="6407"/>
  <c r="H31" i="6407"/>
  <c r="C35" i="6407"/>
  <c r="C39" i="6407"/>
  <c r="C43" i="6407"/>
  <c r="H50" i="6407"/>
  <c r="H20" i="6407"/>
  <c r="C18" i="6407"/>
  <c r="B22" i="6407"/>
  <c r="H28" i="6407"/>
  <c r="H33" i="6407"/>
  <c r="H37" i="6407"/>
  <c r="H41" i="6407"/>
  <c r="H45" i="6407"/>
  <c r="O16" i="6397" l="1"/>
  <c r="O17" i="6405"/>
  <c r="O23" i="6389"/>
  <c r="O16" i="6405"/>
  <c r="O15" i="6405"/>
  <c r="C30" i="6405"/>
  <c r="B25" i="6405"/>
  <c r="C16" i="6405"/>
  <c r="B15" i="6405"/>
  <c r="H51" i="6405" s="1"/>
  <c r="H17" i="6405"/>
  <c r="B14" i="6405"/>
  <c r="C14" i="6405" s="1"/>
  <c r="B13" i="6405"/>
  <c r="C13" i="6405" s="1"/>
  <c r="O12" i="6405"/>
  <c r="C12" i="6405"/>
  <c r="O11" i="6405"/>
  <c r="C11" i="6405"/>
  <c r="O10" i="6405"/>
  <c r="C10" i="6405"/>
  <c r="C9" i="6405"/>
  <c r="C8" i="6405"/>
  <c r="O7" i="6405"/>
  <c r="C7" i="6405"/>
  <c r="O6" i="6405"/>
  <c r="B6" i="6405"/>
  <c r="O5" i="6405"/>
  <c r="B5" i="6405"/>
  <c r="O4" i="6405"/>
  <c r="O3" i="6405"/>
  <c r="O2" i="6405"/>
  <c r="O21" i="6399"/>
  <c r="O26" i="6385"/>
  <c r="B24" i="6405" l="1"/>
  <c r="H22" i="6405"/>
  <c r="H30" i="6405"/>
  <c r="C40" i="6405"/>
  <c r="C42" i="6405"/>
  <c r="H8" i="6405"/>
  <c r="H9" i="6405"/>
  <c r="B22" i="6405"/>
  <c r="H6" i="6405"/>
  <c r="H25" i="6405"/>
  <c r="H45" i="6405"/>
  <c r="C36" i="6405"/>
  <c r="H15" i="6405"/>
  <c r="C44" i="6405"/>
  <c r="H10" i="6405"/>
  <c r="H18" i="6405"/>
  <c r="H12" i="6405"/>
  <c r="H48" i="6405"/>
  <c r="H2" i="6405"/>
  <c r="H20" i="6405"/>
  <c r="H27" i="6405"/>
  <c r="H37" i="6405"/>
  <c r="H11" i="6405"/>
  <c r="H41" i="6405"/>
  <c r="C32" i="6405"/>
  <c r="C15" i="6405"/>
  <c r="H33" i="6405"/>
  <c r="H7" i="6405"/>
  <c r="C34" i="6405"/>
  <c r="H3" i="6405"/>
  <c r="H13" i="6405"/>
  <c r="C18" i="6405"/>
  <c r="H28" i="6405"/>
  <c r="C38" i="6405"/>
  <c r="H52" i="6405"/>
  <c r="H21" i="6405"/>
  <c r="H24" i="6405"/>
  <c r="H5" i="6405"/>
  <c r="C33" i="6405"/>
  <c r="C37" i="6405"/>
  <c r="C41" i="6405"/>
  <c r="H46" i="6405"/>
  <c r="C19" i="6405"/>
  <c r="B23" i="6405"/>
  <c r="H29" i="6405"/>
  <c r="H34" i="6405"/>
  <c r="H38" i="6405"/>
  <c r="H42" i="6405"/>
  <c r="H47" i="6405"/>
  <c r="C20" i="6405"/>
  <c r="H35" i="6405"/>
  <c r="H39" i="6405"/>
  <c r="H43" i="6405"/>
  <c r="H49" i="6405"/>
  <c r="H16" i="6405"/>
  <c r="H19" i="6405"/>
  <c r="H23" i="6405"/>
  <c r="H26" i="6405"/>
  <c r="H31" i="6405"/>
  <c r="C35" i="6405"/>
  <c r="C39" i="6405"/>
  <c r="C43" i="6405"/>
  <c r="H50" i="6405"/>
  <c r="H4" i="6405"/>
  <c r="H14" i="6405"/>
  <c r="C17" i="6405"/>
  <c r="C21" i="6405"/>
  <c r="H32" i="6405"/>
  <c r="H36" i="6405"/>
  <c r="H40" i="6405"/>
  <c r="H44" i="6405"/>
  <c r="O22" i="6387" l="1"/>
  <c r="O16" i="6395"/>
  <c r="O15" i="6395" l="1"/>
  <c r="O19" i="6403"/>
  <c r="O15" i="6393" l="1"/>
  <c r="O22" i="6399"/>
  <c r="O16" i="6403" l="1"/>
  <c r="O23" i="6393"/>
  <c r="O21" i="6387" l="1"/>
  <c r="O17" i="6389"/>
  <c r="O15" i="6399"/>
  <c r="O23" i="6399"/>
  <c r="O19" i="6397" l="1"/>
  <c r="O19" i="6401"/>
  <c r="O18" i="6391" l="1"/>
  <c r="O17" i="6397"/>
  <c r="O17" i="6399"/>
  <c r="O20" i="6399"/>
  <c r="O16" i="6387" l="1"/>
  <c r="O16" i="6401"/>
  <c r="O20" i="6401"/>
  <c r="O18" i="6393"/>
  <c r="O22" i="6391" l="1"/>
  <c r="O20" i="6395"/>
  <c r="O23" i="6395" l="1"/>
  <c r="O22" i="6389"/>
  <c r="O25" i="6399"/>
  <c r="O17" i="6403"/>
  <c r="O15" i="6403"/>
  <c r="O21" i="6401"/>
  <c r="O15" i="6391" l="1"/>
  <c r="O20" i="6391"/>
  <c r="O18" i="6403"/>
  <c r="O20" i="6403"/>
  <c r="C40" i="6403"/>
  <c r="C30" i="6403"/>
  <c r="B25" i="6403"/>
  <c r="C16" i="6403"/>
  <c r="B15" i="6403"/>
  <c r="H51" i="6403" s="1"/>
  <c r="H19" i="6403"/>
  <c r="B14" i="6403"/>
  <c r="B24" i="6403" s="1"/>
  <c r="B13" i="6403"/>
  <c r="C13" i="6403" s="1"/>
  <c r="O12" i="6403"/>
  <c r="C12" i="6403"/>
  <c r="O11" i="6403"/>
  <c r="C11" i="6403"/>
  <c r="O10" i="6403"/>
  <c r="C10" i="6403"/>
  <c r="C9" i="6403"/>
  <c r="C8" i="6403"/>
  <c r="O7" i="6403"/>
  <c r="C7" i="6403"/>
  <c r="O6" i="6403"/>
  <c r="B6" i="6403"/>
  <c r="O5" i="6403"/>
  <c r="B5" i="6403"/>
  <c r="O4" i="6403"/>
  <c r="O3" i="6403"/>
  <c r="O2" i="6403"/>
  <c r="O21" i="6397"/>
  <c r="O15" i="6397"/>
  <c r="O16" i="6385"/>
  <c r="C14" i="6403" l="1"/>
  <c r="C20" i="6403"/>
  <c r="H30" i="6403"/>
  <c r="B22" i="6403"/>
  <c r="C42" i="6403"/>
  <c r="H26" i="6403"/>
  <c r="C44" i="6403"/>
  <c r="H14" i="6403"/>
  <c r="C32" i="6403"/>
  <c r="H45" i="6403"/>
  <c r="H3" i="6403"/>
  <c r="H12" i="6403"/>
  <c r="H48" i="6403"/>
  <c r="H41" i="6403"/>
  <c r="H17" i="6403"/>
  <c r="H20" i="6403"/>
  <c r="H5" i="6403"/>
  <c r="H13" i="6403"/>
  <c r="C36" i="6403"/>
  <c r="H2" i="6403"/>
  <c r="H10" i="6403"/>
  <c r="H37" i="6403"/>
  <c r="H6" i="6403"/>
  <c r="H11" i="6403"/>
  <c r="C15" i="6403"/>
  <c r="H8" i="6403"/>
  <c r="H33" i="6403"/>
  <c r="H7" i="6403"/>
  <c r="C34" i="6403"/>
  <c r="C18" i="6403"/>
  <c r="H27" i="6403"/>
  <c r="H23" i="6403"/>
  <c r="H28" i="6403"/>
  <c r="C38" i="6403"/>
  <c r="H52" i="6403"/>
  <c r="H22" i="6403"/>
  <c r="H25" i="6403"/>
  <c r="H9" i="6403"/>
  <c r="C33" i="6403"/>
  <c r="C37" i="6403"/>
  <c r="C41" i="6403"/>
  <c r="H46" i="6403"/>
  <c r="C19" i="6403"/>
  <c r="B23" i="6403"/>
  <c r="H29" i="6403"/>
  <c r="H34" i="6403"/>
  <c r="H38" i="6403"/>
  <c r="H42" i="6403"/>
  <c r="H47" i="6403"/>
  <c r="H35" i="6403"/>
  <c r="H39" i="6403"/>
  <c r="H43" i="6403"/>
  <c r="H49" i="6403"/>
  <c r="H18" i="6403"/>
  <c r="H21" i="6403"/>
  <c r="H24" i="6403"/>
  <c r="H15" i="6403"/>
  <c r="H31" i="6403"/>
  <c r="C35" i="6403"/>
  <c r="C39" i="6403"/>
  <c r="C43" i="6403"/>
  <c r="H50" i="6403"/>
  <c r="H4" i="6403"/>
  <c r="H16" i="6403"/>
  <c r="C17" i="6403"/>
  <c r="C21" i="6403"/>
  <c r="H32" i="6403"/>
  <c r="H36" i="6403"/>
  <c r="H40" i="6403"/>
  <c r="H44" i="6403"/>
  <c r="O18" i="6389" l="1"/>
  <c r="O20" i="6393"/>
  <c r="O21" i="6389" l="1"/>
  <c r="O22" i="6397"/>
  <c r="O24" i="6397"/>
  <c r="O18" i="6387"/>
  <c r="O17" i="6391"/>
  <c r="O17" i="6393"/>
  <c r="O21" i="6393"/>
  <c r="O17" i="6387"/>
  <c r="O16" i="6391"/>
  <c r="O16" i="6389"/>
  <c r="O22" i="6401"/>
  <c r="O23" i="6401"/>
  <c r="O19" i="6395" l="1"/>
  <c r="O17" i="6395"/>
  <c r="O15" i="6401"/>
  <c r="O18" i="6401"/>
  <c r="C30" i="6401"/>
  <c r="B25" i="6401"/>
  <c r="C16" i="6401"/>
  <c r="B15" i="6401"/>
  <c r="H51" i="6401" s="1"/>
  <c r="B14" i="6401"/>
  <c r="B24" i="6401" s="1"/>
  <c r="B13" i="6401"/>
  <c r="C13" i="6401" s="1"/>
  <c r="O12" i="6401"/>
  <c r="C12" i="6401"/>
  <c r="O11" i="6401"/>
  <c r="C11" i="6401"/>
  <c r="O10" i="6401"/>
  <c r="C10" i="6401"/>
  <c r="C9" i="6401"/>
  <c r="C8" i="6401"/>
  <c r="O7" i="6401"/>
  <c r="C7" i="6401"/>
  <c r="O6" i="6401"/>
  <c r="B6" i="6401"/>
  <c r="O5" i="6401"/>
  <c r="B5" i="6401"/>
  <c r="O4" i="6401"/>
  <c r="O3" i="6401"/>
  <c r="O2" i="6401"/>
  <c r="O17" i="6385"/>
  <c r="O19" i="6399"/>
  <c r="O24" i="6399"/>
  <c r="C30" i="6399"/>
  <c r="B25" i="6399"/>
  <c r="C16" i="6399"/>
  <c r="B15" i="6399"/>
  <c r="H5" i="6399" s="1"/>
  <c r="B14" i="6399"/>
  <c r="B24" i="6399" s="1"/>
  <c r="B13" i="6399"/>
  <c r="C13" i="6399" s="1"/>
  <c r="O12" i="6399"/>
  <c r="C12" i="6399"/>
  <c r="O11" i="6399"/>
  <c r="C11" i="6399"/>
  <c r="O10" i="6399"/>
  <c r="C10" i="6399"/>
  <c r="C9" i="6399"/>
  <c r="C8" i="6399"/>
  <c r="O7" i="6399"/>
  <c r="C7" i="6399"/>
  <c r="O6" i="6399"/>
  <c r="B6" i="6399"/>
  <c r="O5" i="6399"/>
  <c r="B5" i="6399"/>
  <c r="O4" i="6399"/>
  <c r="O3" i="6399"/>
  <c r="O2" i="6399"/>
  <c r="O21" i="6385"/>
  <c r="C14" i="6399" l="1"/>
  <c r="C14" i="6401"/>
  <c r="H23" i="6401"/>
  <c r="H3" i="6401"/>
  <c r="H19" i="6401"/>
  <c r="C19" i="6401"/>
  <c r="H10" i="6401"/>
  <c r="H35" i="6401"/>
  <c r="H40" i="6401"/>
  <c r="C15" i="6401"/>
  <c r="C44" i="6401"/>
  <c r="C20" i="6401"/>
  <c r="C34" i="6401"/>
  <c r="H9" i="6401"/>
  <c r="H22" i="6401"/>
  <c r="H36" i="6401"/>
  <c r="H49" i="6401"/>
  <c r="H29" i="6401"/>
  <c r="H2" i="6401"/>
  <c r="H48" i="6401"/>
  <c r="H24" i="6401"/>
  <c r="C21" i="6401"/>
  <c r="H31" i="6401"/>
  <c r="H37" i="6401"/>
  <c r="H6" i="6401"/>
  <c r="H15" i="6401"/>
  <c r="C36" i="6401"/>
  <c r="H43" i="6401"/>
  <c r="B22" i="6401"/>
  <c r="H33" i="6401"/>
  <c r="H38" i="6401"/>
  <c r="C42" i="6401"/>
  <c r="H20" i="6401"/>
  <c r="H41" i="6401"/>
  <c r="H12" i="6401"/>
  <c r="H30" i="6401"/>
  <c r="H50" i="6401"/>
  <c r="H8" i="6401"/>
  <c r="C17" i="6401"/>
  <c r="H25" i="6401"/>
  <c r="H18" i="6401"/>
  <c r="C32" i="6401"/>
  <c r="H39" i="6401"/>
  <c r="H44" i="6401"/>
  <c r="H5" i="6401"/>
  <c r="H17" i="6401"/>
  <c r="H46" i="6401"/>
  <c r="H4" i="6401"/>
  <c r="C40" i="6401"/>
  <c r="H42" i="6401"/>
  <c r="H7" i="6401"/>
  <c r="H21" i="6401"/>
  <c r="C18" i="6401"/>
  <c r="H34" i="6401"/>
  <c r="C38" i="6401"/>
  <c r="H45" i="6401"/>
  <c r="H52" i="6401"/>
  <c r="H26" i="6401"/>
  <c r="H28" i="6401"/>
  <c r="H11" i="6401"/>
  <c r="C33" i="6401"/>
  <c r="C37" i="6401"/>
  <c r="C41" i="6401"/>
  <c r="H47" i="6401"/>
  <c r="B23" i="6401"/>
  <c r="H16" i="6401"/>
  <c r="H13" i="6401"/>
  <c r="H27" i="6401"/>
  <c r="H14" i="6401"/>
  <c r="H32" i="6401"/>
  <c r="C35" i="6401"/>
  <c r="C39" i="6401"/>
  <c r="C43" i="6401"/>
  <c r="H2" i="6399"/>
  <c r="H11" i="6399"/>
  <c r="H32" i="6399"/>
  <c r="H19" i="6399"/>
  <c r="H42" i="6399"/>
  <c r="H12" i="6399"/>
  <c r="C15" i="6399"/>
  <c r="H35" i="6399"/>
  <c r="H4" i="6399"/>
  <c r="H6" i="6399"/>
  <c r="H46" i="6399"/>
  <c r="H25" i="6399"/>
  <c r="H38" i="6399"/>
  <c r="H10" i="6399"/>
  <c r="C18" i="6399"/>
  <c r="H9" i="6399"/>
  <c r="B22" i="6399"/>
  <c r="H52" i="6399"/>
  <c r="H27" i="6399"/>
  <c r="H29" i="6399"/>
  <c r="H8" i="6399"/>
  <c r="C33" i="6399"/>
  <c r="C37" i="6399"/>
  <c r="C41" i="6399"/>
  <c r="H47" i="6399"/>
  <c r="C19" i="6399"/>
  <c r="B23" i="6399"/>
  <c r="H33" i="6399"/>
  <c r="H22" i="6399"/>
  <c r="H39" i="6399"/>
  <c r="H43" i="6399"/>
  <c r="H48" i="6399"/>
  <c r="H3" i="6399"/>
  <c r="H26" i="6399"/>
  <c r="H14" i="6399"/>
  <c r="H30" i="6399"/>
  <c r="H17" i="6399"/>
  <c r="C34" i="6399"/>
  <c r="C38" i="6399"/>
  <c r="C42" i="6399"/>
  <c r="H49" i="6399"/>
  <c r="H50" i="6399"/>
  <c r="H24" i="6399"/>
  <c r="H16" i="6399"/>
  <c r="H28" i="6399"/>
  <c r="H15" i="6399"/>
  <c r="H21" i="6399"/>
  <c r="C35" i="6399"/>
  <c r="C39" i="6399"/>
  <c r="C43" i="6399"/>
  <c r="H51" i="6399"/>
  <c r="C20" i="6399"/>
  <c r="H36" i="6399"/>
  <c r="H40" i="6399"/>
  <c r="H44" i="6399"/>
  <c r="H7" i="6399"/>
  <c r="H18" i="6399"/>
  <c r="C17" i="6399"/>
  <c r="C21" i="6399"/>
  <c r="H34" i="6399"/>
  <c r="H37" i="6399"/>
  <c r="H41" i="6399"/>
  <c r="H45" i="6399"/>
  <c r="H23" i="6399"/>
  <c r="H20" i="6399"/>
  <c r="H13" i="6399"/>
  <c r="H31" i="6399"/>
  <c r="C32" i="6399"/>
  <c r="C36" i="6399"/>
  <c r="C40" i="6399"/>
  <c r="C44" i="6399"/>
  <c r="O23" i="6397" l="1"/>
  <c r="O18" i="6397"/>
  <c r="C30" i="6397"/>
  <c r="B25" i="6397"/>
  <c r="C16" i="6397"/>
  <c r="B15" i="6397"/>
  <c r="H52" i="6397" s="1"/>
  <c r="B14" i="6397"/>
  <c r="B24" i="6397" s="1"/>
  <c r="B13" i="6397"/>
  <c r="C13" i="6397" s="1"/>
  <c r="O12" i="6397"/>
  <c r="C12" i="6397"/>
  <c r="O11" i="6397"/>
  <c r="C11" i="6397"/>
  <c r="O10" i="6397"/>
  <c r="C10" i="6397"/>
  <c r="C9" i="6397"/>
  <c r="C8" i="6397"/>
  <c r="O7" i="6397"/>
  <c r="C7" i="6397"/>
  <c r="O6" i="6397"/>
  <c r="B6" i="6397"/>
  <c r="O5" i="6397"/>
  <c r="B5" i="6397"/>
  <c r="O4" i="6397"/>
  <c r="O3" i="6397"/>
  <c r="O2" i="6397"/>
  <c r="O22" i="6395"/>
  <c r="O18" i="6395"/>
  <c r="C30" i="6395"/>
  <c r="B25" i="6395"/>
  <c r="C16" i="6395"/>
  <c r="B15" i="6395"/>
  <c r="H52" i="6395" s="1"/>
  <c r="B14" i="6395"/>
  <c r="B24" i="6395" s="1"/>
  <c r="B13" i="6395"/>
  <c r="C13" i="6395" s="1"/>
  <c r="O12" i="6395"/>
  <c r="C12" i="6395"/>
  <c r="O11" i="6395"/>
  <c r="C11" i="6395"/>
  <c r="O10" i="6395"/>
  <c r="C10" i="6395"/>
  <c r="C9" i="6395"/>
  <c r="C8" i="6395"/>
  <c r="O7" i="6395"/>
  <c r="C7" i="6395"/>
  <c r="O6" i="6395"/>
  <c r="B6" i="6395"/>
  <c r="O5" i="6395"/>
  <c r="B5" i="6395"/>
  <c r="O4" i="6395"/>
  <c r="O3" i="6395"/>
  <c r="O2" i="6395"/>
  <c r="O18" i="6385"/>
  <c r="O19" i="6393"/>
  <c r="O16" i="6393"/>
  <c r="C30" i="6393"/>
  <c r="B25" i="6393"/>
  <c r="C16" i="6393"/>
  <c r="B15" i="6393"/>
  <c r="H18" i="6393" s="1"/>
  <c r="B14" i="6393"/>
  <c r="B24" i="6393" s="1"/>
  <c r="B13" i="6393"/>
  <c r="C13" i="6393" s="1"/>
  <c r="O12" i="6393"/>
  <c r="C12" i="6393"/>
  <c r="O11" i="6393"/>
  <c r="C11" i="6393"/>
  <c r="O10" i="6393"/>
  <c r="C10" i="6393"/>
  <c r="C9" i="6393"/>
  <c r="C8" i="6393"/>
  <c r="O7" i="6393"/>
  <c r="C7" i="6393"/>
  <c r="O6" i="6393"/>
  <c r="B6" i="6393"/>
  <c r="O5" i="6393"/>
  <c r="B5" i="6393"/>
  <c r="O4" i="6393"/>
  <c r="O3" i="6393"/>
  <c r="O2" i="6393"/>
  <c r="O22" i="6385"/>
  <c r="O24" i="6385"/>
  <c r="C14" i="6393" l="1"/>
  <c r="C14" i="6395"/>
  <c r="H3" i="6395"/>
  <c r="H6" i="6395"/>
  <c r="H2" i="6393"/>
  <c r="H16" i="6393"/>
  <c r="H9" i="6393"/>
  <c r="H43" i="6393"/>
  <c r="C34" i="6393"/>
  <c r="C19" i="6393"/>
  <c r="C36" i="6393"/>
  <c r="C42" i="6393"/>
  <c r="H8" i="6393"/>
  <c r="H35" i="6393"/>
  <c r="C18" i="6393"/>
  <c r="H24" i="6393"/>
  <c r="H29" i="6393"/>
  <c r="H30" i="6393"/>
  <c r="H10" i="6395"/>
  <c r="H17" i="6395"/>
  <c r="C14" i="6397"/>
  <c r="C21" i="6397"/>
  <c r="H4" i="6397"/>
  <c r="H43" i="6397"/>
  <c r="H28" i="6397"/>
  <c r="H14" i="6397"/>
  <c r="H30" i="6397"/>
  <c r="H11" i="6397"/>
  <c r="H7" i="6397"/>
  <c r="C34" i="6397"/>
  <c r="C42" i="6397"/>
  <c r="C40" i="6397"/>
  <c r="H45" i="6397"/>
  <c r="H25" i="6397"/>
  <c r="H3" i="6397"/>
  <c r="C17" i="6397"/>
  <c r="H26" i="6397"/>
  <c r="H38" i="6397"/>
  <c r="H15" i="6397"/>
  <c r="H34" i="6397"/>
  <c r="C36" i="6397"/>
  <c r="C44" i="6397"/>
  <c r="H6" i="6397"/>
  <c r="H12" i="6397"/>
  <c r="C15" i="6397"/>
  <c r="H36" i="6397"/>
  <c r="C19" i="6397"/>
  <c r="H20" i="6397"/>
  <c r="H40" i="6397"/>
  <c r="H48" i="6397"/>
  <c r="H27" i="6397"/>
  <c r="C32" i="6397"/>
  <c r="H10" i="6397"/>
  <c r="H21" i="6397"/>
  <c r="H2" i="6397"/>
  <c r="H18" i="6397"/>
  <c r="H19" i="6397"/>
  <c r="C38" i="6397"/>
  <c r="H17" i="6397"/>
  <c r="H31" i="6397"/>
  <c r="H33" i="6397"/>
  <c r="H8" i="6397"/>
  <c r="C33" i="6397"/>
  <c r="C37" i="6397"/>
  <c r="C41" i="6397"/>
  <c r="H47" i="6397"/>
  <c r="B23" i="6397"/>
  <c r="H49" i="6397"/>
  <c r="H9" i="6397"/>
  <c r="C20" i="6397"/>
  <c r="H37" i="6397"/>
  <c r="H41" i="6397"/>
  <c r="H44" i="6397"/>
  <c r="H50" i="6397"/>
  <c r="H23" i="6397"/>
  <c r="H16" i="6397"/>
  <c r="H32" i="6397"/>
  <c r="H13" i="6397"/>
  <c r="H22" i="6397"/>
  <c r="C35" i="6397"/>
  <c r="C39" i="6397"/>
  <c r="C43" i="6397"/>
  <c r="H51" i="6397"/>
  <c r="H5" i="6397"/>
  <c r="H29" i="6397"/>
  <c r="C18" i="6397"/>
  <c r="B22" i="6397"/>
  <c r="H24" i="6397"/>
  <c r="H35" i="6397"/>
  <c r="H39" i="6397"/>
  <c r="H42" i="6397"/>
  <c r="H46" i="6397"/>
  <c r="H16" i="6395"/>
  <c r="H23" i="6395"/>
  <c r="C17" i="6395"/>
  <c r="H39" i="6395"/>
  <c r="H29" i="6395"/>
  <c r="H11" i="6395"/>
  <c r="H20" i="6395"/>
  <c r="C38" i="6395"/>
  <c r="H2" i="6395"/>
  <c r="H5" i="6395"/>
  <c r="C19" i="6395"/>
  <c r="H43" i="6395"/>
  <c r="H35" i="6395"/>
  <c r="C42" i="6395"/>
  <c r="C15" i="6395"/>
  <c r="H25" i="6395"/>
  <c r="H45" i="6395"/>
  <c r="C34" i="6395"/>
  <c r="C44" i="6395"/>
  <c r="H15" i="6395"/>
  <c r="H4" i="6395"/>
  <c r="H22" i="6395"/>
  <c r="H30" i="6395"/>
  <c r="H48" i="6395"/>
  <c r="H12" i="6395"/>
  <c r="H31" i="6395"/>
  <c r="H26" i="6395"/>
  <c r="C36" i="6395"/>
  <c r="H49" i="6395"/>
  <c r="C21" i="6395"/>
  <c r="H28" i="6395"/>
  <c r="H41" i="6395"/>
  <c r="H13" i="6395"/>
  <c r="C32" i="6395"/>
  <c r="C40" i="6395"/>
  <c r="H7" i="6395"/>
  <c r="H33" i="6395"/>
  <c r="H21" i="6395"/>
  <c r="H8" i="6395"/>
  <c r="C33" i="6395"/>
  <c r="C37" i="6395"/>
  <c r="C41" i="6395"/>
  <c r="H47" i="6395"/>
  <c r="B23" i="6395"/>
  <c r="H9" i="6395"/>
  <c r="C20" i="6395"/>
  <c r="H37" i="6395"/>
  <c r="H40" i="6395"/>
  <c r="H44" i="6395"/>
  <c r="H50" i="6395"/>
  <c r="H24" i="6395"/>
  <c r="H19" i="6395"/>
  <c r="H34" i="6395"/>
  <c r="H14" i="6395"/>
  <c r="H18" i="6395"/>
  <c r="C35" i="6395"/>
  <c r="C39" i="6395"/>
  <c r="C43" i="6395"/>
  <c r="H51" i="6395"/>
  <c r="H32" i="6395"/>
  <c r="C18" i="6395"/>
  <c r="B22" i="6395"/>
  <c r="H27" i="6395"/>
  <c r="H36" i="6395"/>
  <c r="H38" i="6395"/>
  <c r="H42" i="6395"/>
  <c r="H46" i="6395"/>
  <c r="C44" i="6393"/>
  <c r="H12" i="6393"/>
  <c r="H31" i="6393"/>
  <c r="H38" i="6393"/>
  <c r="H46" i="6393"/>
  <c r="B22" i="6393"/>
  <c r="H48" i="6393"/>
  <c r="H25" i="6393"/>
  <c r="C15" i="6393"/>
  <c r="B23" i="6393"/>
  <c r="C38" i="6393"/>
  <c r="H49" i="6393"/>
  <c r="H10" i="6393"/>
  <c r="H20" i="6393"/>
  <c r="C40" i="6393"/>
  <c r="H5" i="6393"/>
  <c r="H3" i="6393"/>
  <c r="H23" i="6393"/>
  <c r="H21" i="6393"/>
  <c r="H39" i="6393"/>
  <c r="H6" i="6393"/>
  <c r="H14" i="6393"/>
  <c r="C32" i="6393"/>
  <c r="H4" i="6393"/>
  <c r="H17" i="6393"/>
  <c r="H34" i="6393"/>
  <c r="H42" i="6393"/>
  <c r="H52" i="6393"/>
  <c r="H26" i="6393"/>
  <c r="H28" i="6393"/>
  <c r="H11" i="6393"/>
  <c r="C33" i="6393"/>
  <c r="C37" i="6393"/>
  <c r="C41" i="6393"/>
  <c r="H47" i="6393"/>
  <c r="H36" i="6393"/>
  <c r="H40" i="6393"/>
  <c r="H44" i="6393"/>
  <c r="H50" i="6393"/>
  <c r="H19" i="6393"/>
  <c r="H15" i="6393"/>
  <c r="H27" i="6393"/>
  <c r="H13" i="6393"/>
  <c r="H32" i="6393"/>
  <c r="C35" i="6393"/>
  <c r="C39" i="6393"/>
  <c r="C43" i="6393"/>
  <c r="H51" i="6393"/>
  <c r="C20" i="6393"/>
  <c r="H7" i="6393"/>
  <c r="H22" i="6393"/>
  <c r="C17" i="6393"/>
  <c r="C21" i="6393"/>
  <c r="H33" i="6393"/>
  <c r="H37" i="6393"/>
  <c r="H41" i="6393"/>
  <c r="H45" i="6393"/>
  <c r="O23" i="6391" l="1"/>
  <c r="O19" i="6391"/>
  <c r="C30" i="6391"/>
  <c r="B25" i="6391"/>
  <c r="C16" i="6391"/>
  <c r="B15" i="6391"/>
  <c r="H19" i="6391" s="1"/>
  <c r="B14" i="6391"/>
  <c r="B24" i="6391" s="1"/>
  <c r="B13" i="6391"/>
  <c r="C13" i="6391" s="1"/>
  <c r="O12" i="6391"/>
  <c r="C12" i="6391"/>
  <c r="O11" i="6391"/>
  <c r="C11" i="6391"/>
  <c r="O10" i="6391"/>
  <c r="C10" i="6391"/>
  <c r="C9" i="6391"/>
  <c r="C8" i="6391"/>
  <c r="O7" i="6391"/>
  <c r="C7" i="6391"/>
  <c r="O6" i="6391"/>
  <c r="B6" i="6391"/>
  <c r="O5" i="6391"/>
  <c r="B5" i="6391"/>
  <c r="O4" i="6391"/>
  <c r="O3" i="6391"/>
  <c r="O2" i="6391"/>
  <c r="O20" i="6389"/>
  <c r="O19" i="6389"/>
  <c r="C30" i="6389"/>
  <c r="B25" i="6389"/>
  <c r="C16" i="6389"/>
  <c r="B15" i="6389"/>
  <c r="H52" i="6389" s="1"/>
  <c r="C14" i="6389"/>
  <c r="B14" i="6389"/>
  <c r="B13" i="6389"/>
  <c r="C13" i="6389" s="1"/>
  <c r="O12" i="6389"/>
  <c r="C12" i="6389"/>
  <c r="O11" i="6389"/>
  <c r="C11" i="6389"/>
  <c r="O10" i="6389"/>
  <c r="C10" i="6389"/>
  <c r="C9" i="6389"/>
  <c r="C8" i="6389"/>
  <c r="O7" i="6389"/>
  <c r="C7" i="6389"/>
  <c r="O6" i="6389"/>
  <c r="B6" i="6389"/>
  <c r="O5" i="6389"/>
  <c r="B5" i="6389"/>
  <c r="O4" i="6389"/>
  <c r="O3" i="6389"/>
  <c r="O2" i="6389"/>
  <c r="O19" i="6385"/>
  <c r="O19" i="6387"/>
  <c r="O20" i="6387"/>
  <c r="C30" i="6387"/>
  <c r="B25" i="6387"/>
  <c r="C16" i="6387"/>
  <c r="B15" i="6387"/>
  <c r="H50" i="6387" s="1"/>
  <c r="B14" i="6387"/>
  <c r="B24" i="6387" s="1"/>
  <c r="B13" i="6387"/>
  <c r="C13" i="6387" s="1"/>
  <c r="O12" i="6387"/>
  <c r="C12" i="6387"/>
  <c r="O11" i="6387"/>
  <c r="C11" i="6387"/>
  <c r="O10" i="6387"/>
  <c r="C10" i="6387"/>
  <c r="C9" i="6387"/>
  <c r="C8" i="6387"/>
  <c r="O7" i="6387"/>
  <c r="C7" i="6387"/>
  <c r="O6" i="6387"/>
  <c r="B6" i="6387"/>
  <c r="O5" i="6387"/>
  <c r="B5" i="6387"/>
  <c r="O4" i="6387"/>
  <c r="O3" i="6387"/>
  <c r="O2" i="6387"/>
  <c r="O23" i="6385"/>
  <c r="O25" i="6385"/>
  <c r="C30" i="6385"/>
  <c r="B25" i="6385"/>
  <c r="C16" i="6385"/>
  <c r="B15" i="6385"/>
  <c r="H17" i="6385" s="1"/>
  <c r="B14" i="6385"/>
  <c r="B24" i="6385" s="1"/>
  <c r="B13" i="6385"/>
  <c r="C13" i="6385" s="1"/>
  <c r="O12" i="6385"/>
  <c r="C12" i="6385"/>
  <c r="O11" i="6385"/>
  <c r="C11" i="6385"/>
  <c r="O10" i="6385"/>
  <c r="C10" i="6385"/>
  <c r="C9" i="6385"/>
  <c r="C8" i="6385"/>
  <c r="O7" i="6385"/>
  <c r="C7" i="6385"/>
  <c r="O6" i="6385"/>
  <c r="B6" i="6385"/>
  <c r="O5" i="6385"/>
  <c r="B5" i="6385"/>
  <c r="O4" i="6385"/>
  <c r="O3" i="6385"/>
  <c r="O2" i="6385"/>
  <c r="C14" i="6391" l="1"/>
  <c r="C14" i="6385"/>
  <c r="C14" i="6387"/>
  <c r="H27" i="6387"/>
  <c r="H44" i="6391"/>
  <c r="C43" i="6391"/>
  <c r="H39" i="6391"/>
  <c r="H11" i="6391"/>
  <c r="H25" i="6391"/>
  <c r="H32" i="6391"/>
  <c r="H27" i="6391"/>
  <c r="H40" i="6391"/>
  <c r="C44" i="6391"/>
  <c r="H5" i="6391"/>
  <c r="H17" i="6391"/>
  <c r="C15" i="6391"/>
  <c r="H30" i="6391"/>
  <c r="H3" i="6391"/>
  <c r="H14" i="6391"/>
  <c r="H33" i="6391"/>
  <c r="C34" i="6391"/>
  <c r="C39" i="6391"/>
  <c r="H46" i="6391"/>
  <c r="C20" i="6391"/>
  <c r="H12" i="6391"/>
  <c r="H8" i="6391"/>
  <c r="H22" i="6391"/>
  <c r="H15" i="6391"/>
  <c r="B22" i="6391"/>
  <c r="H23" i="6391"/>
  <c r="H36" i="6391"/>
  <c r="C40" i="6391"/>
  <c r="H49" i="6391"/>
  <c r="C32" i="6391"/>
  <c r="H35" i="6391"/>
  <c r="H18" i="6391"/>
  <c r="C35" i="6391"/>
  <c r="H51" i="6391"/>
  <c r="H13" i="6391"/>
  <c r="C38" i="6391"/>
  <c r="H16" i="6391"/>
  <c r="C18" i="6391"/>
  <c r="H31" i="6391"/>
  <c r="C36" i="6391"/>
  <c r="H43" i="6391"/>
  <c r="H4" i="6391"/>
  <c r="H21" i="6391"/>
  <c r="H6" i="6391"/>
  <c r="H2" i="6391"/>
  <c r="B23" i="6391"/>
  <c r="H42" i="6391"/>
  <c r="H10" i="6391"/>
  <c r="H28" i="6391"/>
  <c r="C19" i="6391"/>
  <c r="H20" i="6391"/>
  <c r="H38" i="6391"/>
  <c r="C42" i="6391"/>
  <c r="H52" i="6391"/>
  <c r="H29" i="6391"/>
  <c r="H26" i="6391"/>
  <c r="H9" i="6391"/>
  <c r="C33" i="6391"/>
  <c r="C37" i="6391"/>
  <c r="C41" i="6391"/>
  <c r="H47" i="6391"/>
  <c r="H48" i="6391"/>
  <c r="H50" i="6391"/>
  <c r="H7" i="6391"/>
  <c r="H24" i="6391"/>
  <c r="C17" i="6391"/>
  <c r="C21" i="6391"/>
  <c r="H34" i="6391"/>
  <c r="H37" i="6391"/>
  <c r="H41" i="6391"/>
  <c r="H45" i="6391"/>
  <c r="H35" i="6385"/>
  <c r="H42" i="6389"/>
  <c r="C32" i="6389"/>
  <c r="H27" i="6389"/>
  <c r="H44" i="6389"/>
  <c r="C21" i="6389"/>
  <c r="H4" i="6389"/>
  <c r="H22" i="6389"/>
  <c r="H10" i="6389"/>
  <c r="H6" i="6389"/>
  <c r="C34" i="6389"/>
  <c r="C42" i="6389"/>
  <c r="H12" i="6389"/>
  <c r="C40" i="6389"/>
  <c r="H3" i="6389"/>
  <c r="C17" i="6389"/>
  <c r="H28" i="6389"/>
  <c r="H38" i="6389"/>
  <c r="H46" i="6389"/>
  <c r="H7" i="6389"/>
  <c r="C15" i="6389"/>
  <c r="H23" i="6389"/>
  <c r="H2" i="6389"/>
  <c r="C44" i="6389"/>
  <c r="H14" i="6389"/>
  <c r="H11" i="6389"/>
  <c r="H29" i="6389"/>
  <c r="B23" i="6389"/>
  <c r="C19" i="6389"/>
  <c r="H40" i="6389"/>
  <c r="H48" i="6389"/>
  <c r="H35" i="6389"/>
  <c r="H25" i="6389"/>
  <c r="H21" i="6389"/>
  <c r="C36" i="6389"/>
  <c r="H18" i="6389"/>
  <c r="H31" i="6389"/>
  <c r="H17" i="6389"/>
  <c r="C38" i="6389"/>
  <c r="H16" i="6389"/>
  <c r="H33" i="6389"/>
  <c r="H24" i="6389"/>
  <c r="H8" i="6389"/>
  <c r="C33" i="6389"/>
  <c r="C37" i="6389"/>
  <c r="C41" i="6389"/>
  <c r="H47" i="6389"/>
  <c r="H49" i="6389"/>
  <c r="H9" i="6389"/>
  <c r="C20" i="6389"/>
  <c r="B24" i="6389"/>
  <c r="H37" i="6389"/>
  <c r="H41" i="6389"/>
  <c r="H45" i="6389"/>
  <c r="H50" i="6389"/>
  <c r="H20" i="6389"/>
  <c r="H15" i="6389"/>
  <c r="H34" i="6389"/>
  <c r="H13" i="6389"/>
  <c r="H19" i="6389"/>
  <c r="C35" i="6389"/>
  <c r="C39" i="6389"/>
  <c r="C43" i="6389"/>
  <c r="H51" i="6389"/>
  <c r="H5" i="6389"/>
  <c r="H32" i="6389"/>
  <c r="C18" i="6389"/>
  <c r="B22" i="6389"/>
  <c r="H26" i="6389"/>
  <c r="H36" i="6389"/>
  <c r="H39" i="6389"/>
  <c r="H43" i="6389"/>
  <c r="H30" i="6389"/>
  <c r="H6" i="6387"/>
  <c r="C19" i="6387"/>
  <c r="H10" i="6387"/>
  <c r="H25" i="6387"/>
  <c r="H34" i="6387"/>
  <c r="H39" i="6387"/>
  <c r="C44" i="6387"/>
  <c r="C34" i="6387"/>
  <c r="H40" i="6387"/>
  <c r="H45" i="6387"/>
  <c r="H14" i="6387"/>
  <c r="H18" i="6387"/>
  <c r="H35" i="6387"/>
  <c r="H47" i="6387"/>
  <c r="H13" i="6387"/>
  <c r="C20" i="6387"/>
  <c r="H31" i="6387"/>
  <c r="C40" i="6387"/>
  <c r="H23" i="6387"/>
  <c r="C21" i="6387"/>
  <c r="H17" i="6387"/>
  <c r="H36" i="6387"/>
  <c r="H41" i="6387"/>
  <c r="H48" i="6387"/>
  <c r="H5" i="6387"/>
  <c r="H42" i="6387"/>
  <c r="H49" i="6387"/>
  <c r="H8" i="6387"/>
  <c r="C17" i="6387"/>
  <c r="B22" i="6387"/>
  <c r="H22" i="6387"/>
  <c r="H37" i="6387"/>
  <c r="C42" i="6387"/>
  <c r="H51" i="6387"/>
  <c r="H21" i="6387"/>
  <c r="H9" i="6387"/>
  <c r="H2" i="6387"/>
  <c r="H38" i="6387"/>
  <c r="H43" i="6387"/>
  <c r="H4" i="6387"/>
  <c r="C15" i="6387"/>
  <c r="H3" i="6387"/>
  <c r="H11" i="6387"/>
  <c r="C36" i="6387"/>
  <c r="H16" i="6387"/>
  <c r="H30" i="6387"/>
  <c r="C32" i="6387"/>
  <c r="H7" i="6387"/>
  <c r="H26" i="6387"/>
  <c r="C18" i="6387"/>
  <c r="H33" i="6387"/>
  <c r="C38" i="6387"/>
  <c r="H44" i="6387"/>
  <c r="H52" i="6387"/>
  <c r="H28" i="6387"/>
  <c r="H24" i="6387"/>
  <c r="H12" i="6387"/>
  <c r="C33" i="6387"/>
  <c r="C37" i="6387"/>
  <c r="C41" i="6387"/>
  <c r="H46" i="6387"/>
  <c r="B23" i="6387"/>
  <c r="H19" i="6387"/>
  <c r="H20" i="6387"/>
  <c r="H29" i="6387"/>
  <c r="H15" i="6387"/>
  <c r="H32" i="6387"/>
  <c r="C35" i="6387"/>
  <c r="C39" i="6387"/>
  <c r="C43" i="6387"/>
  <c r="B22" i="6385"/>
  <c r="H10" i="6385"/>
  <c r="C36" i="6385"/>
  <c r="H40" i="6385"/>
  <c r="H24" i="6385"/>
  <c r="C15" i="6385"/>
  <c r="H28" i="6385"/>
  <c r="H26" i="6385"/>
  <c r="C44" i="6385"/>
  <c r="H12" i="6385"/>
  <c r="H19" i="6385"/>
  <c r="H34" i="6385"/>
  <c r="C18" i="6385"/>
  <c r="H5" i="6385"/>
  <c r="C40" i="6385"/>
  <c r="H11" i="6385"/>
  <c r="H43" i="6385"/>
  <c r="H4" i="6385"/>
  <c r="H6" i="6385"/>
  <c r="C32" i="6385"/>
  <c r="H13" i="6385"/>
  <c r="H38" i="6385"/>
  <c r="H52" i="6385"/>
  <c r="H36" i="6385"/>
  <c r="H25" i="6385"/>
  <c r="H8" i="6385"/>
  <c r="C33" i="6385"/>
  <c r="C37" i="6385"/>
  <c r="C41" i="6385"/>
  <c r="H47" i="6385"/>
  <c r="C19" i="6385"/>
  <c r="B23" i="6385"/>
  <c r="H29" i="6385"/>
  <c r="H30" i="6385"/>
  <c r="H41" i="6385"/>
  <c r="H44" i="6385"/>
  <c r="H48" i="6385"/>
  <c r="H2" i="6385"/>
  <c r="H3" i="6385"/>
  <c r="H27" i="6385"/>
  <c r="H22" i="6385"/>
  <c r="C34" i="6385"/>
  <c r="C42" i="6385"/>
  <c r="H49" i="6385"/>
  <c r="H9" i="6385"/>
  <c r="C20" i="6385"/>
  <c r="H39" i="6385"/>
  <c r="H42" i="6385"/>
  <c r="H45" i="6385"/>
  <c r="H50" i="6385"/>
  <c r="H16" i="6385"/>
  <c r="H18" i="6385"/>
  <c r="C38" i="6385"/>
  <c r="H20" i="6385"/>
  <c r="H15" i="6385"/>
  <c r="H37" i="6385"/>
  <c r="H14" i="6385"/>
  <c r="H21" i="6385"/>
  <c r="C35" i="6385"/>
  <c r="C39" i="6385"/>
  <c r="C43" i="6385"/>
  <c r="H51" i="6385"/>
  <c r="H7" i="6385"/>
  <c r="H23" i="6385"/>
  <c r="C17" i="6385"/>
  <c r="C21" i="6385"/>
  <c r="H31" i="6385"/>
  <c r="H32" i="6385"/>
  <c r="H33" i="6385"/>
  <c r="H46" i="638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<sst xmlns="http://schemas.openxmlformats.org/spreadsheetml/2006/main" count="3903" uniqueCount="314">
  <si>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</si>
  <si>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</si>
  <si>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</si>
  <si>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</si>
  <si>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</si>
  <si>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</si>
  <si>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</si>
  <si>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</si>
  <si>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</si>
  <si>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</si>
  <si>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</si>
  <si>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</si>
  <si>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</si>
  <si>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</si>
  <si>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</si>
  <si>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</si>
  <si>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</si>
  <si>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</si>
  <si>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</si>
  <si>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</si>
  <si>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</si>
  <si>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</si>
  <si>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</si>
  <si>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</si>
  <si>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</si>
  <si>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</si>
  <si>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</si>
  <si>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</si>
  <si>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</si>
  <si>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</si>
  <si>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</si>
  <si>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</si>
  <si>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</si>
  <si>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</si>
  <si>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</si>
  <si>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</si>
  <si>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</si>
  <si>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</si>
  <si>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</si>
  <si>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</si>
  <si>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</si>
  <si>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</si>
  <si>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</si>
  <si>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</si>
  <si>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</si>
  <si>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</si>
  <si>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</si>
  <si>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</si>
  <si>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</si>
  <si>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</si>
  <si>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</si>
  <si>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</si>
  <si>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</si>
  <si>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</si>
  <si>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</si>
  <si>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</si>
  <si>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</si>
  <si>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</si>
  <si>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</si>
  <si>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</si>
  <si>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</si>
  <si>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</si>
  <si>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</si>
  <si>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</si>
  <si>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</si>
  <si>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</si>
  <si>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</si>
  <si>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</si>
  <si>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</si>
  <si>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</si>
  <si>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</si>
  <si>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</si>
  <si>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</si>
  <si>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</si>
  <si>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</si>
  <si>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</si>
  <si>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</si>
  <si>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</si>
  <si>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</si>
  <si>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</si>
  <si>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</si>
  <si>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</si>
  <si>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</si>
  <si>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</si>
  <si>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</si>
  <si>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</si>
  <si>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</si>
  <si>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</si>
  <si>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</si>
  <si>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</si>
  <si>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</si>
  <si>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</si>
  <si>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</si>
  <si>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</si>
  <si>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</si>
  <si>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</si>
  <si>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</si>
  <si>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</si>
  <si>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</si>
  <si>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</si>
  <si>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</si>
  <si>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</si>
  <si>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</si>
  <si>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</si>
  <si>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</si>
  <si>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</si>
  <si>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</si>
  <si>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</si>
  <si>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</si>
  <si>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</si>
  <si>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</si>
  <si>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</si>
  <si>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</si>
  <si>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</si>
  <si>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</si>
  <si>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</si>
  <si>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</si>
  <si>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</si>
  <si>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</si>
  <si>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</si>
  <si>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</si>
  <si>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</si>
  <si>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</si>
  <si>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</si>
  <si>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</si>
  <si>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</si>
  <si>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</si>
  <si>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</si>
  <si>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</si>
  <si>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</si>
  <si>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</si>
  <si>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</si>
  <si>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</si>
  <si>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</si>
  <si>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</si>
  <si>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</si>
  <si>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</si>
  <si>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</si>
  <si>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</si>
  <si>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</si>
  <si>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</si>
  <si>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</si>
  <si>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</si>
  <si>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</si>
  <si>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</si>
  <si>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</si>
  <si>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</si>
  <si>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</si>
  <si>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</si>
  <si>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</si>
  <si>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</si>
  <si>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</si>
  <si>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</si>
  <si>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</si>
  <si>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</si>
  <si>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</si>
  <si>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</si>
  <si>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</si>
  <si>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</si>
  <si>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</si>
  <si>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</si>
  <si>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</si>
  <si>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</si>
  <si>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</si>
  <si>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</si>
  <si>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</si>
  <si>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</si>
  <si>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</si>
  <si>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</si>
  <si>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</si>
  <si>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</si>
  <si>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</si>
  <si>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</si>
  <si>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</si>
  <si>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</si>
  <si>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</si>
  <si>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</si>
  <si>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</si>
  <si>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</si>
  <si>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</si>
  <si>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</si>
  <si>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</si>
  <si>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</si>
  <si>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</si>
  <si>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</si>
  <si>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</si>
  <si>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</si>
  <si>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</si>
  <si>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</si>
  <si>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</si>
  <si>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</si>
  <si>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</si>
  <si>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</si>
  <si>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</si>
  <si>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</si>
  <si>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</si>
  <si>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</si>
  <si>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</si>
  <si>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</si>
  <si>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</si>
  <si>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ともき</t>
  </si>
  <si>
    <t>たか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</si>
  <si>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</si>
  <si>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</si>
  <si>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</si>
  <si>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</si>
  <si>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</si>
  <si>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</si>
  <si>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</si>
  <si>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</si>
  <si>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</si>
  <si>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</si>
  <si>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</si>
  <si>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</si>
  <si>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</si>
  <si>
    <t>2020-01-25@2.xlsm</t>
  </si>
  <si>
    <t>2020-01-26@2.xlsm</t>
  </si>
  <si>
    <t>2020-01-27@2.xlsm</t>
  </si>
  <si>
    <t>2020-01-28@2.xlsm</t>
  </si>
  <si>
    <t>2020-01-29@2.xlsm</t>
  </si>
  <si>
    <t>2020-01-30@2.xlsm</t>
  </si>
  <si>
    <t>2020-01-31@2.xlsm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</si>
  <si>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</si>
  <si>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</si>
  <si>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</si>
  <si>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</si>
  <si>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</si>
  <si>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</si>
  <si>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</si>
  <si>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</si>
  <si>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</si>
  <si>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</si>
  <si>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</si>
  <si>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</si>
  <si>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</si>
  <si>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</si>
  <si>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</si>
  <si>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</si>
  <si>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</si>
  <si>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</si>
  <si>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</si>
  <si>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</si>
  <si>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</si>
  <si>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</si>
  <si>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</si>
  <si>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</si>
  <si>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</si>
  <si>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</si>
  <si>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</si>
  <si>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</si>
  <si>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</si>
  <si>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</si>
  <si>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</si>
  <si>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</si>
  <si>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</si>
  <si>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</si>
  <si>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</si>
  <si>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</si>
  <si>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</si>
  <si>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</si>
  <si>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</si>
  <si>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</si>
  <si>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</si>
  <si>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</si>
  <si>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</si>
  <si>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</si>
  <si>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</si>
  <si>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</si>
  <si>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</si>
  <si>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</si>
  <si>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</si>
  <si>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</si>
  <si>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</si>
  <si>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</si>
  <si>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</si>
  <si>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</si>
  <si>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</si>
  <si>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</si>
  <si>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</si>
  <si>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</si>
  <si>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</si>
  <si>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</si>
  <si>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</si>
  <si>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</si>
  <si>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</si>
  <si>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</si>
  <si>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</si>
  <si>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</si>
  <si>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</si>
  <si>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</si>
  <si>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</si>
  <si>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</si>
  <si>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</si>
  <si>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</si>
  <si>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</si>
  <si>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</si>
  <si>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</si>
  <si>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</si>
  <si>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</si>
  <si>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</si>
  <si>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</si>
  <si>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</si>
  <si>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2019-12-08@5.xlsm</t>
  </si>
  <si>
    <t>2019-12-09@2.xlsm</t>
  </si>
  <si>
    <t>2019-12-09@5.xlsm</t>
  </si>
  <si>
    <t>2019-12-10@2.xlsm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</si>
  <si>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</si>
  <si>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</si>
  <si>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</si>
  <si>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</si>
  <si>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</si>
  <si>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</si>
  <si>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</si>
  <si>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2020-02-01@2.xlsm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</si>
</sst>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全体!$K$2:$K$1025</c:f>
              <c:numCache>
                <c:formatCode>General</c:formatCode>
                <c:ptCount val="10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</c:numCache>
            </c:numRef>
          </c:xVal>
          <c:yVal>
            <c:numRef>
              <c:f>全体!$L$2:$L$1025</c:f>
              <c:numCache>
                <c:formatCode>\+0.0;\-0.0;\±0</c:formatCode>
                <c:ptCount val="1024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  <c:pt idx="952">
                  <c:v>31.699999999999935</c:v>
                </c:pt>
                <c:pt idx="953">
                  <c:v>23.799999999999933</c:v>
                </c:pt>
                <c:pt idx="954">
                  <c:v>-6.7501559897209518E-14</c:v>
                </c:pt>
                <c:pt idx="955">
                  <c:v>-7.8000000000000673</c:v>
                </c:pt>
                <c:pt idx="956">
                  <c:v>-32.200000000000067</c:v>
                </c:pt>
                <c:pt idx="957">
                  <c:v>-6.3948846218409017E-14</c:v>
                </c:pt>
                <c:pt idx="958">
                  <c:v>-2.9000000000000639</c:v>
                </c:pt>
                <c:pt idx="959">
                  <c:v>33.099999999999937</c:v>
                </c:pt>
                <c:pt idx="960">
                  <c:v>-6.3948846218409017E-14</c:v>
                </c:pt>
                <c:pt idx="961">
                  <c:v>31.999999999999936</c:v>
                </c:pt>
                <c:pt idx="962">
                  <c:v>37.999999999999936</c:v>
                </c:pt>
                <c:pt idx="963">
                  <c:v>-6.3948846218409017E-14</c:v>
                </c:pt>
                <c:pt idx="964">
                  <c:v>-53.000000000000064</c:v>
                </c:pt>
                <c:pt idx="965">
                  <c:v>-11.500000000000064</c:v>
                </c:pt>
                <c:pt idx="966">
                  <c:v>-6.3948846218409017E-14</c:v>
                </c:pt>
                <c:pt idx="967">
                  <c:v>-53.200000000000067</c:v>
                </c:pt>
                <c:pt idx="968">
                  <c:v>-16.600000000000065</c:v>
                </c:pt>
                <c:pt idx="969">
                  <c:v>-6.3948846218409017E-14</c:v>
                </c:pt>
                <c:pt idx="970">
                  <c:v>-23.200000000000063</c:v>
                </c:pt>
                <c:pt idx="971">
                  <c:v>-31.900000000000063</c:v>
                </c:pt>
                <c:pt idx="972">
                  <c:v>-6.3948846218409017E-14</c:v>
                </c:pt>
                <c:pt idx="973">
                  <c:v>-47.400000000000063</c:v>
                </c:pt>
                <c:pt idx="974">
                  <c:v>-41.500000000000064</c:v>
                </c:pt>
                <c:pt idx="975">
                  <c:v>-6.3948846218409017E-14</c:v>
                </c:pt>
                <c:pt idx="976">
                  <c:v>-10.900000000000064</c:v>
                </c:pt>
                <c:pt idx="977">
                  <c:v>-49.600000000000065</c:v>
                </c:pt>
                <c:pt idx="978">
                  <c:v>-6.3948846218409017E-14</c:v>
                </c:pt>
                <c:pt idx="979">
                  <c:v>9.1999999999999353</c:v>
                </c:pt>
                <c:pt idx="980">
                  <c:v>45.499999999999929</c:v>
                </c:pt>
                <c:pt idx="981">
                  <c:v>-7.1054273576010019E-14</c:v>
                </c:pt>
                <c:pt idx="982">
                  <c:v>30.29999999999993</c:v>
                </c:pt>
                <c:pt idx="983">
                  <c:v>46.499999999999929</c:v>
                </c:pt>
                <c:pt idx="984">
                  <c:v>-7.1054273576010019E-14</c:v>
                </c:pt>
                <c:pt idx="985">
                  <c:v>30.399999999999928</c:v>
                </c:pt>
                <c:pt idx="986">
                  <c:v>45.499999999999929</c:v>
                </c:pt>
                <c:pt idx="987">
                  <c:v>-7.1054273576010019E-14</c:v>
                </c:pt>
                <c:pt idx="988">
                  <c:v>34.59999999999993</c:v>
                </c:pt>
                <c:pt idx="989">
                  <c:v>-11.500000000000071</c:v>
                </c:pt>
                <c:pt idx="990">
                  <c:v>-7.1054273576010019E-14</c:v>
                </c:pt>
                <c:pt idx="991">
                  <c:v>1.299999999999929</c:v>
                </c:pt>
                <c:pt idx="992">
                  <c:v>-15.800000000000072</c:v>
                </c:pt>
                <c:pt idx="993">
                  <c:v>-7.1054273576010019E-14</c:v>
                </c:pt>
                <c:pt idx="994">
                  <c:v>74.099999999999923</c:v>
                </c:pt>
                <c:pt idx="995">
                  <c:v>27.499999999999922</c:v>
                </c:pt>
                <c:pt idx="996">
                  <c:v>-7.815970093361102E-14</c:v>
                </c:pt>
                <c:pt idx="997">
                  <c:v>62.599999999999923</c:v>
                </c:pt>
                <c:pt idx="998">
                  <c:v>9.4999999999999218</c:v>
                </c:pt>
                <c:pt idx="999">
                  <c:v>-7.815970093361102E-14</c:v>
                </c:pt>
                <c:pt idx="1000">
                  <c:v>-52.000000000000078</c:v>
                </c:pt>
                <c:pt idx="1001">
                  <c:v>-55.500000000000078</c:v>
                </c:pt>
                <c:pt idx="1002">
                  <c:v>-7.815970093361102E-14</c:v>
                </c:pt>
                <c:pt idx="1003">
                  <c:v>-45.200000000000081</c:v>
                </c:pt>
                <c:pt idx="1004">
                  <c:v>-28.200000000000081</c:v>
                </c:pt>
                <c:pt idx="1005">
                  <c:v>-8.1712414612411521E-14</c:v>
                </c:pt>
                <c:pt idx="1006">
                  <c:v>24.09999999999992</c:v>
                </c:pt>
                <c:pt idx="1007">
                  <c:v>24.89999999999992</c:v>
                </c:pt>
                <c:pt idx="1008">
                  <c:v>-7.815970093361102E-14</c:v>
                </c:pt>
                <c:pt idx="1009">
                  <c:v>22.39999999999992</c:v>
                </c:pt>
                <c:pt idx="1010">
                  <c:v>17.39999999999992</c:v>
                </c:pt>
                <c:pt idx="1011">
                  <c:v>-7.815970093361102E-14</c:v>
                </c:pt>
                <c:pt idx="1012">
                  <c:v>-36.000000000000078</c:v>
                </c:pt>
                <c:pt idx="1013">
                  <c:v>4.6999999999999247</c:v>
                </c:pt>
                <c:pt idx="1014">
                  <c:v>-7.5495165674510645E-14</c:v>
                </c:pt>
                <c:pt idx="1015">
                  <c:v>-13.300000000000075</c:v>
                </c:pt>
                <c:pt idx="1016">
                  <c:v>-14.000000000000075</c:v>
                </c:pt>
                <c:pt idx="1017">
                  <c:v>-7.460698725481052E-14</c:v>
                </c:pt>
                <c:pt idx="1018">
                  <c:v>6.7999999999999252</c:v>
                </c:pt>
                <c:pt idx="1019">
                  <c:v>35.799999999999926</c:v>
                </c:pt>
                <c:pt idx="1020">
                  <c:v>-7.1054273576010019E-14</c:v>
                </c:pt>
                <c:pt idx="1021">
                  <c:v>-47.600000000000072</c:v>
                </c:pt>
                <c:pt idx="1022">
                  <c:v>19.299999999999933</c:v>
                </c:pt>
                <c:pt idx="1023">
                  <c:v>-6.7501559897209518E-14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4-4A07-9B11-651B90BD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-29.498525073746311</c:v>
                </c:pt>
                <c:pt idx="1">
                  <c:v>9.9800399201596814</c:v>
                </c:pt>
                <c:pt idx="2">
                  <c:v>-1.0615711252653928</c:v>
                </c:pt>
                <c:pt idx="3">
                  <c:v>-1.1376564277588168</c:v>
                </c:pt>
                <c:pt idx="4">
                  <c:v>9.8765432098765427</c:v>
                </c:pt>
                <c:pt idx="5">
                  <c:v>19.25925925925926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FB-43F3-85F0-84632ECB0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196</c:v>
                </c:pt>
                <c:pt idx="1">
                  <c:v>431</c:v>
                </c:pt>
                <c:pt idx="2">
                  <c:v>483</c:v>
                </c:pt>
                <c:pt idx="3">
                  <c:v>446</c:v>
                </c:pt>
                <c:pt idx="4">
                  <c:v>393</c:v>
                </c:pt>
                <c:pt idx="5">
                  <c:v>266</c:v>
                </c:pt>
                <c:pt idx="6">
                  <c:v>130</c:v>
                </c:pt>
                <c:pt idx="7">
                  <c:v>73</c:v>
                </c:pt>
                <c:pt idx="8">
                  <c:v>32</c:v>
                </c:pt>
                <c:pt idx="9">
                  <c:v>12</c:v>
                </c:pt>
                <c:pt idx="10">
                  <c:v>8</c:v>
                </c:pt>
                <c:pt idx="11">
                  <c:v>6</c:v>
                </c:pt>
                <c:pt idx="1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3C-4F94-B721-ECA64604A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たかの!$L$2:$L$90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  <c:pt idx="88">
                  <c:v>-597.70000000000027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A6-426B-A931-D44298E760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1920.4545454545455</c:v>
                </c:pt>
                <c:pt idx="1">
                  <c:v>-2071.2643678160921</c:v>
                </c:pt>
                <c:pt idx="2">
                  <c:v>-2372.9411764705883</c:v>
                </c:pt>
                <c:pt idx="3">
                  <c:v>-1037.9746835443038</c:v>
                </c:pt>
                <c:pt idx="4">
                  <c:v>-93.506493506493513</c:v>
                </c:pt>
                <c:pt idx="5">
                  <c:v>-2642.1875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B-4B39-9BB5-27BA2154B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27</c:v>
                </c:pt>
                <c:pt idx="1">
                  <c:v>44</c:v>
                </c:pt>
                <c:pt idx="2">
                  <c:v>44</c:v>
                </c:pt>
                <c:pt idx="3">
                  <c:v>39</c:v>
                </c:pt>
                <c:pt idx="4">
                  <c:v>22</c:v>
                </c:pt>
                <c:pt idx="5">
                  <c:v>17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5-455E-8762-39EA3736B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だいち!$K$2:$K$206</c:f>
              <c:numCache>
                <c:formatCode>General</c:formatCode>
                <c:ptCount val="2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</c:numCache>
            </c:numRef>
          </c:xVal>
          <c:yVal>
            <c:numRef>
              <c:f>だいち!$L$2:$L$206</c:f>
              <c:numCache>
                <c:formatCode>\+0.0;\-0.0;\±0</c:formatCode>
                <c:ptCount val="205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  <c:pt idx="188">
                  <c:v>1659.9999999999998</c:v>
                </c:pt>
                <c:pt idx="189">
                  <c:v>1692.1999999999998</c:v>
                </c:pt>
                <c:pt idx="190">
                  <c:v>1689.2999999999997</c:v>
                </c:pt>
                <c:pt idx="191">
                  <c:v>1721.2999999999997</c:v>
                </c:pt>
                <c:pt idx="192">
                  <c:v>1762.7999999999997</c:v>
                </c:pt>
                <c:pt idx="193">
                  <c:v>1799.3999999999996</c:v>
                </c:pt>
                <c:pt idx="194">
                  <c:v>1831.2999999999997</c:v>
                </c:pt>
                <c:pt idx="195">
                  <c:v>1872.7999999999997</c:v>
                </c:pt>
                <c:pt idx="196">
                  <c:v>1834.0999999999997</c:v>
                </c:pt>
                <c:pt idx="197">
                  <c:v>1788.5999999999997</c:v>
                </c:pt>
                <c:pt idx="198">
                  <c:v>1804.7999999999997</c:v>
                </c:pt>
                <c:pt idx="199">
                  <c:v>1806.0999999999997</c:v>
                </c:pt>
                <c:pt idx="200">
                  <c:v>1830.1999999999996</c:v>
                </c:pt>
                <c:pt idx="201">
                  <c:v>1812.7999999999995</c:v>
                </c:pt>
                <c:pt idx="202">
                  <c:v>1853.4999999999995</c:v>
                </c:pt>
                <c:pt idx="203">
                  <c:v>1867.4999999999995</c:v>
                </c:pt>
                <c:pt idx="204">
                  <c:v>1934.3999999999996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FE-439B-827D-B209CBCAA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1387.192118226601</c:v>
                </c:pt>
                <c:pt idx="1">
                  <c:v>1536</c:v>
                </c:pt>
                <c:pt idx="2">
                  <c:v>1207.2916666666667</c:v>
                </c:pt>
                <c:pt idx="3">
                  <c:v>116.75977653631286</c:v>
                </c:pt>
                <c:pt idx="4">
                  <c:v>1772.8915662650602</c:v>
                </c:pt>
                <c:pt idx="5">
                  <c:v>2075.182481751825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EC-4413-A73B-37A1E20B7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54</c:v>
                </c:pt>
                <c:pt idx="1">
                  <c:v>109</c:v>
                </c:pt>
                <c:pt idx="2">
                  <c:v>113</c:v>
                </c:pt>
                <c:pt idx="3">
                  <c:v>101</c:v>
                </c:pt>
                <c:pt idx="4">
                  <c:v>85</c:v>
                </c:pt>
                <c:pt idx="5">
                  <c:v>56</c:v>
                </c:pt>
                <c:pt idx="6">
                  <c:v>26</c:v>
                </c:pt>
                <c:pt idx="7">
                  <c:v>12</c:v>
                </c:pt>
                <c:pt idx="8">
                  <c:v>11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C0-4AF0-A314-6E8712814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ただ!$K$2:$K$180</c:f>
              <c:numCache>
                <c:formatCode>General</c:formatCode>
                <c:ptCount val="1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</c:numCache>
            </c:numRef>
          </c:xVal>
          <c:yVal>
            <c:numRef>
              <c:f>ただ!$L$2:$L$180</c:f>
              <c:numCache>
                <c:formatCode>\+0.0;\-0.0;\±0</c:formatCode>
                <c:ptCount val="179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  <c:pt idx="170">
                  <c:v>-3.0000000000001954</c:v>
                </c:pt>
                <c:pt idx="171">
                  <c:v>-27.400000000000194</c:v>
                </c:pt>
                <c:pt idx="172">
                  <c:v>-60.500000000000199</c:v>
                </c:pt>
                <c:pt idx="173">
                  <c:v>-71.400000000000205</c:v>
                </c:pt>
                <c:pt idx="174">
                  <c:v>-41.100000000000207</c:v>
                </c:pt>
                <c:pt idx="175">
                  <c:v>-68.600000000000207</c:v>
                </c:pt>
                <c:pt idx="176">
                  <c:v>-6.0000000000002061</c:v>
                </c:pt>
                <c:pt idx="177">
                  <c:v>-11.000000000000206</c:v>
                </c:pt>
                <c:pt idx="178">
                  <c:v>-47.000000000000206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6-4812-A120-0E3354AD1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-1052.840909090909</c:v>
                </c:pt>
                <c:pt idx="1">
                  <c:v>1165.3179190751446</c:v>
                </c:pt>
                <c:pt idx="2">
                  <c:v>-245.96273291925465</c:v>
                </c:pt>
                <c:pt idx="3">
                  <c:v>107.84313725490196</c:v>
                </c:pt>
                <c:pt idx="4">
                  <c:v>-1502.1428571428571</c:v>
                </c:pt>
                <c:pt idx="5">
                  <c:v>1161.3445378151262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00-45CF-B31B-1C18C8038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37</c:v>
                </c:pt>
                <c:pt idx="1">
                  <c:v>90</c:v>
                </c:pt>
                <c:pt idx="2">
                  <c:v>100</c:v>
                </c:pt>
                <c:pt idx="3">
                  <c:v>93</c:v>
                </c:pt>
                <c:pt idx="4">
                  <c:v>65</c:v>
                </c:pt>
                <c:pt idx="5">
                  <c:v>44</c:v>
                </c:pt>
                <c:pt idx="6">
                  <c:v>15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38-4997-93E3-A11DFFC35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りくと!$L$2:$L$104</c:f>
              <c:numCache>
                <c:formatCode>\+0.0;\-0.0;\±0</c:formatCode>
                <c:ptCount val="103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  <c:pt idx="101">
                  <c:v>-765.99999999999989</c:v>
                </c:pt>
                <c:pt idx="102">
                  <c:v>-759.19999999999993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09-44DB-85F5-AE90287E9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-722.77227722772273</c:v>
                </c:pt>
                <c:pt idx="1">
                  <c:v>-772.2772277227723</c:v>
                </c:pt>
                <c:pt idx="2">
                  <c:v>412.63157894736844</c:v>
                </c:pt>
                <c:pt idx="3">
                  <c:v>-763.44086021505382</c:v>
                </c:pt>
                <c:pt idx="4">
                  <c:v>-2801.1363636363635</c:v>
                </c:pt>
                <c:pt idx="5">
                  <c:v>-1762.3376623376623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5C-4406-BDB1-046FA8C9C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18</c:v>
                </c:pt>
                <c:pt idx="1">
                  <c:v>39</c:v>
                </c:pt>
                <c:pt idx="2">
                  <c:v>53</c:v>
                </c:pt>
                <c:pt idx="3">
                  <c:v>36</c:v>
                </c:pt>
                <c:pt idx="4">
                  <c:v>40</c:v>
                </c:pt>
                <c:pt idx="5">
                  <c:v>23</c:v>
                </c:pt>
                <c:pt idx="6">
                  <c:v>14</c:v>
                </c:pt>
                <c:pt idx="7">
                  <c:v>7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73-4E9D-A204-8D3FAC491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れんたろう!$K$2:$K$153</c:f>
              <c:numCache>
                <c:formatCode>General</c:formatCode>
                <c:ptCount val="1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</c:numCache>
            </c:numRef>
          </c:xVal>
          <c:yVal>
            <c:numRef>
              <c:f>れんたろう!$L$2:$L$153</c:f>
              <c:numCache>
                <c:formatCode>\+0.0;\-0.0;\±0</c:formatCode>
                <c:ptCount val="152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  <c:pt idx="147">
                  <c:v>524.00000000000057</c:v>
                </c:pt>
                <c:pt idx="148">
                  <c:v>514.50000000000057</c:v>
                </c:pt>
                <c:pt idx="149">
                  <c:v>570.00000000000057</c:v>
                </c:pt>
                <c:pt idx="150">
                  <c:v>598.20000000000061</c:v>
                </c:pt>
                <c:pt idx="151">
                  <c:v>593.50000000000057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5-472A-AB4B-6B4C900E6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1629.3333333333333</c:v>
                </c:pt>
                <c:pt idx="1">
                  <c:v>-2154.4217687074829</c:v>
                </c:pt>
                <c:pt idx="2">
                  <c:v>118.79699248120301</c:v>
                </c:pt>
                <c:pt idx="3">
                  <c:v>2176.2295081967213</c:v>
                </c:pt>
                <c:pt idx="4">
                  <c:v>1425.4545454545455</c:v>
                </c:pt>
                <c:pt idx="5">
                  <c:v>472.61904761904759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28-45F9-8901-D5EA9A6CA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9</c:v>
                </c:pt>
                <c:pt idx="1">
                  <c:v>25</c:v>
                </c:pt>
                <c:pt idx="2">
                  <c:v>44</c:v>
                </c:pt>
                <c:pt idx="3">
                  <c:v>61</c:v>
                </c:pt>
                <c:pt idx="4">
                  <c:v>72</c:v>
                </c:pt>
                <c:pt idx="5">
                  <c:v>47</c:v>
                </c:pt>
                <c:pt idx="6">
                  <c:v>25</c:v>
                </c:pt>
                <c:pt idx="7">
                  <c:v>21</c:v>
                </c:pt>
                <c:pt idx="8">
                  <c:v>9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FF8-8EF9-957AAAFEC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まっつん!$K$2:$K$158</c:f>
              <c:numCache>
                <c:formatCode>General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まっつん!$L$2:$L$158</c:f>
              <c:numCache>
                <c:formatCode>\+0.0;\-0.0;\±0</c:formatCode>
                <c:ptCount val="15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  <c:pt idx="150">
                  <c:v>-116.49999999999999</c:v>
                </c:pt>
                <c:pt idx="151">
                  <c:v>-110.59999999999998</c:v>
                </c:pt>
                <c:pt idx="152">
                  <c:v>-60.999999999999979</c:v>
                </c:pt>
                <c:pt idx="153">
                  <c:v>-24.699999999999982</c:v>
                </c:pt>
                <c:pt idx="154">
                  <c:v>-71.199999999999989</c:v>
                </c:pt>
                <c:pt idx="155">
                  <c:v>-116.69999999999999</c:v>
                </c:pt>
                <c:pt idx="156">
                  <c:v>-82.1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3D-4F70-92F5-5F862DB7B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-417.94871794871796</c:v>
                </c:pt>
                <c:pt idx="1">
                  <c:v>578.43137254901956</c:v>
                </c:pt>
                <c:pt idx="2">
                  <c:v>157.63888888888889</c:v>
                </c:pt>
                <c:pt idx="3">
                  <c:v>237.69230769230768</c:v>
                </c:pt>
                <c:pt idx="4">
                  <c:v>145.76271186440678</c:v>
                </c:pt>
                <c:pt idx="5">
                  <c:v>-990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0B-41A6-B3A1-A6706146D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20</c:v>
                </c:pt>
                <c:pt idx="1">
                  <c:v>64</c:v>
                </c:pt>
                <c:pt idx="2">
                  <c:v>68</c:v>
                </c:pt>
                <c:pt idx="3">
                  <c:v>67</c:v>
                </c:pt>
                <c:pt idx="4">
                  <c:v>49</c:v>
                </c:pt>
                <c:pt idx="5">
                  <c:v>41</c:v>
                </c:pt>
                <c:pt idx="6">
                  <c:v>19</c:v>
                </c:pt>
                <c:pt idx="7">
                  <c:v>9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38-4DD0-803D-8370A8DD8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のり!$K$2:$K$72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のり!$L$2:$L$72</c:f>
              <c:numCache>
                <c:formatCode>\+0.0;\-0.0;\±0</c:formatCode>
                <c:ptCount val="71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  <c:pt idx="66">
                  <c:v>-672.40000000000009</c:v>
                </c:pt>
                <c:pt idx="67">
                  <c:v>-655.40000000000009</c:v>
                </c:pt>
                <c:pt idx="68">
                  <c:v>-656.10000000000014</c:v>
                </c:pt>
                <c:pt idx="69">
                  <c:v>-691.90000000000009</c:v>
                </c:pt>
                <c:pt idx="70">
                  <c:v>-739.50000000000011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B8-4DE6-ACA1-739060998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-3252.8571428571427</c:v>
                </c:pt>
                <c:pt idx="1">
                  <c:v>1420</c:v>
                </c:pt>
                <c:pt idx="2">
                  <c:v>-1075.7575757575758</c:v>
                </c:pt>
                <c:pt idx="3">
                  <c:v>-1498.3050847457628</c:v>
                </c:pt>
                <c:pt idx="4">
                  <c:v>-1854.5454545454545</c:v>
                </c:pt>
                <c:pt idx="5">
                  <c:v>-2191.304347826087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B-4958-A086-19BB8CD3E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26</c:v>
                </c:pt>
                <c:pt idx="2">
                  <c:v>30</c:v>
                </c:pt>
                <c:pt idx="3">
                  <c:v>26</c:v>
                </c:pt>
                <c:pt idx="4">
                  <c:v>22</c:v>
                </c:pt>
                <c:pt idx="5">
                  <c:v>12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E9-4E83-B3FF-7F721976A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  <c:pt idx="26">
                  <c:v>-29.900000000000002</c:v>
                </c:pt>
                <c:pt idx="27">
                  <c:v>-76.5</c:v>
                </c:pt>
                <c:pt idx="28">
                  <c:v>-129.6</c:v>
                </c:pt>
                <c:pt idx="29">
                  <c:v>-128.79999999999998</c:v>
                </c:pt>
                <c:pt idx="30">
                  <c:v>-106.39999999999998</c:v>
                </c:pt>
                <c:pt idx="31">
                  <c:v>-77.399999999999977</c:v>
                </c:pt>
                <c:pt idx="32">
                  <c:v>-96.699999999999974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92-4ADD-BB79-6702FA4D3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-2816.1290322580644</c:v>
                </c:pt>
                <c:pt idx="1">
                  <c:v>-1836.6666666666667</c:v>
                </c:pt>
                <c:pt idx="2">
                  <c:v>1862.0689655172414</c:v>
                </c:pt>
                <c:pt idx="3">
                  <c:v>-2503.4482758620688</c:v>
                </c:pt>
                <c:pt idx="4">
                  <c:v>3992.3076923076924</c:v>
                </c:pt>
                <c:pt idx="5">
                  <c:v>772.72727272727275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D7-4731-881B-7F853D069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13</c:v>
                </c:pt>
                <c:pt idx="3">
                  <c:v>10</c:v>
                </c:pt>
                <c:pt idx="4">
                  <c:v>13</c:v>
                </c:pt>
                <c:pt idx="5">
                  <c:v>14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91-4153-AFEE-F76C74161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82-4FC5-9A10-CEA942D5B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3-47B1-AAF1-0DDD25E52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72-4514-9109-0765C07C0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C6-4ECF-AE9A-647BBF9DB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43-437A-9C22-76181D8B2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1A-4FDF-B08A-7669B156E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ともき!$L$2:$L$20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  <c:pt idx="15">
                  <c:v>-25.1</c:v>
                </c:pt>
                <c:pt idx="16">
                  <c:v>-13.600000000000001</c:v>
                </c:pt>
                <c:pt idx="17">
                  <c:v>-30.700000000000003</c:v>
                </c:pt>
                <c:pt idx="18">
                  <c:v>-55.6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E8-4474-B036-D90D621CB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-2194.4444444444443</c:v>
                </c:pt>
                <c:pt idx="1">
                  <c:v>-188.88888888888889</c:v>
                </c:pt>
                <c:pt idx="2">
                  <c:v>-2300</c:v>
                </c:pt>
                <c:pt idx="3">
                  <c:v>1650</c:v>
                </c:pt>
                <c:pt idx="4">
                  <c:v>-1150</c:v>
                </c:pt>
                <c:pt idx="5">
                  <c:v>2558.3333333333335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18-4F60-9310-F8B37776D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62-4DD5-81E2-10F79A705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19-4446-A1B9-E8598B56C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ED-4876-8650-FA3746DEF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8-4728-B96E-82B71FD78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3A-413E-9C32-6E2A46086B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1-46D1-8E9F-31B86E898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C2-4F2D-B207-3C1A8D919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ぱぱ2!$B$3:$B$35</c:f>
              <c:numCache>
                <c:formatCode>\+0.0;\-0.0;\±0</c:formatCode>
                <c:ptCount val="33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  <c:pt idx="26">
                  <c:v>-29.900000000000002</c:v>
                </c:pt>
                <c:pt idx="27">
                  <c:v>-76.5</c:v>
                </c:pt>
                <c:pt idx="28">
                  <c:v>-129.6</c:v>
                </c:pt>
                <c:pt idx="29">
                  <c:v>-128.79999999999998</c:v>
                </c:pt>
                <c:pt idx="30">
                  <c:v>-106.39999999999998</c:v>
                </c:pt>
                <c:pt idx="31">
                  <c:v>-77.399999999999977</c:v>
                </c:pt>
                <c:pt idx="32">
                  <c:v>-96.699999999999974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7501559897209518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ぱぱ2!$C$3:$C$35</c:f>
              <c:numCache>
                <c:formatCode>\+0.0;\-0.0;\±0</c:formatCode>
                <c:ptCount val="33"/>
                <c:pt idx="1">
                  <c:v>70.2</c:v>
                </c:pt>
                <c:pt idx="2">
                  <c:v>34.25</c:v>
                </c:pt>
                <c:pt idx="3">
                  <c:v>25.333333333333332</c:v>
                </c:pt>
                <c:pt idx="4">
                  <c:v>28.875</c:v>
                </c:pt>
                <c:pt idx="5">
                  <c:v>25.580000000000002</c:v>
                </c:pt>
                <c:pt idx="6">
                  <c:v>24.900000000000002</c:v>
                </c:pt>
                <c:pt idx="7">
                  <c:v>17.571428571428573</c:v>
                </c:pt>
                <c:pt idx="8">
                  <c:v>15.574999999999999</c:v>
                </c:pt>
                <c:pt idx="9">
                  <c:v>15.722222222222221</c:v>
                </c:pt>
                <c:pt idx="10">
                  <c:v>16.28</c:v>
                </c:pt>
                <c:pt idx="11">
                  <c:v>11.463636363636365</c:v>
                </c:pt>
                <c:pt idx="12">
                  <c:v>6.5083333333333337</c:v>
                </c:pt>
                <c:pt idx="13">
                  <c:v>5.9</c:v>
                </c:pt>
                <c:pt idx="14">
                  <c:v>3.5642857142857145</c:v>
                </c:pt>
                <c:pt idx="15">
                  <c:v>4.9133333333333331</c:v>
                </c:pt>
                <c:pt idx="16">
                  <c:v>1.7687500000000003</c:v>
                </c:pt>
                <c:pt idx="17">
                  <c:v>2.9294117647058826</c:v>
                </c:pt>
                <c:pt idx="18">
                  <c:v>1.3722222222222225</c:v>
                </c:pt>
                <c:pt idx="19">
                  <c:v>0.45789473684210541</c:v>
                </c:pt>
                <c:pt idx="20">
                  <c:v>-1.65</c:v>
                </c:pt>
                <c:pt idx="21">
                  <c:v>-1.6857142857142857</c:v>
                </c:pt>
                <c:pt idx="22">
                  <c:v>-0.61363636363636365</c:v>
                </c:pt>
                <c:pt idx="23">
                  <c:v>1.1869565217391302</c:v>
                </c:pt>
                <c:pt idx="24">
                  <c:v>9.1666666666666494E-2</c:v>
                </c:pt>
                <c:pt idx="25">
                  <c:v>-1.8280000000000001</c:v>
                </c:pt>
                <c:pt idx="26">
                  <c:v>-1.1500000000000001</c:v>
                </c:pt>
                <c:pt idx="27">
                  <c:v>-2.8333333333333335</c:v>
                </c:pt>
                <c:pt idx="28">
                  <c:v>-4.6285714285714281</c:v>
                </c:pt>
                <c:pt idx="29">
                  <c:v>-4.4413793103448267</c:v>
                </c:pt>
                <c:pt idx="30">
                  <c:v>-3.546666666666666</c:v>
                </c:pt>
                <c:pt idx="31">
                  <c:v>-2.4967741935483865</c:v>
                </c:pt>
                <c:pt idx="32">
                  <c:v>-3.0218749999999992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5983929518288877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ぱぱ2!$D$3:$D$35</c:f>
              <c:numCache>
                <c:formatCode>0.00\ "位"</c:formatCode>
                <c:ptCount val="33"/>
                <c:pt idx="1">
                  <c:v>1</c:v>
                </c:pt>
                <c:pt idx="2">
                  <c:v>1.5</c:v>
                </c:pt>
                <c:pt idx="3">
                  <c:v>1.6666666666666667</c:v>
                </c:pt>
                <c:pt idx="4">
                  <c:v>1.5</c:v>
                </c:pt>
                <c:pt idx="5">
                  <c:v>1.6</c:v>
                </c:pt>
                <c:pt idx="6">
                  <c:v>1.5</c:v>
                </c:pt>
                <c:pt idx="7">
                  <c:v>1.7142857142857142</c:v>
                </c:pt>
                <c:pt idx="8">
                  <c:v>1.75</c:v>
                </c:pt>
                <c:pt idx="9">
                  <c:v>1.6666666666666667</c:v>
                </c:pt>
                <c:pt idx="10">
                  <c:v>1.6</c:v>
                </c:pt>
                <c:pt idx="11">
                  <c:v>1.7272727272727273</c:v>
                </c:pt>
                <c:pt idx="12">
                  <c:v>1.8333333333333333</c:v>
                </c:pt>
                <c:pt idx="13">
                  <c:v>1.8461538461538463</c:v>
                </c:pt>
                <c:pt idx="14">
                  <c:v>1.9285714285714286</c:v>
                </c:pt>
                <c:pt idx="15">
                  <c:v>1.8666666666666667</c:v>
                </c:pt>
                <c:pt idx="16">
                  <c:v>1.9375</c:v>
                </c:pt>
                <c:pt idx="17">
                  <c:v>1.8823529411764706</c:v>
                </c:pt>
                <c:pt idx="18">
                  <c:v>1.9444444444444444</c:v>
                </c:pt>
                <c:pt idx="19">
                  <c:v>2</c:v>
                </c:pt>
                <c:pt idx="20">
                  <c:v>2.0499999999999998</c:v>
                </c:pt>
                <c:pt idx="21">
                  <c:v>2.0476190476190474</c:v>
                </c:pt>
                <c:pt idx="22">
                  <c:v>2</c:v>
                </c:pt>
                <c:pt idx="23">
                  <c:v>1.9565217391304348</c:v>
                </c:pt>
                <c:pt idx="24">
                  <c:v>2</c:v>
                </c:pt>
                <c:pt idx="25">
                  <c:v>2.04</c:v>
                </c:pt>
                <c:pt idx="26">
                  <c:v>2</c:v>
                </c:pt>
                <c:pt idx="27">
                  <c:v>2.0370370370370372</c:v>
                </c:pt>
                <c:pt idx="28">
                  <c:v>2.0714285714285716</c:v>
                </c:pt>
                <c:pt idx="29">
                  <c:v>2.0689655172413794</c:v>
                </c:pt>
                <c:pt idx="30">
                  <c:v>2.0333333333333332</c:v>
                </c:pt>
                <c:pt idx="31">
                  <c:v>2</c:v>
                </c:pt>
                <c:pt idx="32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ぱぱ2!$E$3:$E$35</c:f>
              <c:numCache>
                <c:formatCode>0.0%</c:formatCode>
                <c:ptCount val="33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0.4</c:v>
                </c:pt>
                <c:pt idx="16">
                  <c:v>0.375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0.36363636363636365</c:v>
                </c:pt>
                <c:pt idx="23">
                  <c:v>0.39130434782608697</c:v>
                </c:pt>
                <c:pt idx="24">
                  <c:v>0.375</c:v>
                </c:pt>
                <c:pt idx="25">
                  <c:v>0.36</c:v>
                </c:pt>
                <c:pt idx="26">
                  <c:v>0.38461538461538464</c:v>
                </c:pt>
                <c:pt idx="27">
                  <c:v>0.37037037037037035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ぱぱ2!$F$3:$F$35</c:f>
              <c:numCache>
                <c:formatCode>0.0%</c:formatCode>
                <c:ptCount val="3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0.4</c:v>
                </c:pt>
                <c:pt idx="26">
                  <c:v>0.38461538461538464</c:v>
                </c:pt>
                <c:pt idx="27">
                  <c:v>0.40740740740740738</c:v>
                </c:pt>
                <c:pt idx="28">
                  <c:v>0.42857142857142855</c:v>
                </c:pt>
                <c:pt idx="29">
                  <c:v>0.41379310344827586</c:v>
                </c:pt>
                <c:pt idx="30">
                  <c:v>0.4</c:v>
                </c:pt>
                <c:pt idx="31">
                  <c:v>0.38709677419354838</c:v>
                </c:pt>
                <c:pt idx="32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ぱぱ2!$G$3:$G$35</c:f>
              <c:numCache>
                <c:formatCode>0.0%</c:formatCode>
                <c:ptCount val="33"/>
                <c:pt idx="1">
                  <c:v>0.55555555555555558</c:v>
                </c:pt>
                <c:pt idx="2">
                  <c:v>0.5</c:v>
                </c:pt>
                <c:pt idx="3">
                  <c:v>0.47826086956521741</c:v>
                </c:pt>
                <c:pt idx="4">
                  <c:v>0.45454545454545453</c:v>
                </c:pt>
                <c:pt idx="5">
                  <c:v>0.38636363636363635</c:v>
                </c:pt>
                <c:pt idx="6">
                  <c:v>0.39622641509433965</c:v>
                </c:pt>
                <c:pt idx="7">
                  <c:v>0.34375</c:v>
                </c:pt>
                <c:pt idx="8">
                  <c:v>0.33783783783783783</c:v>
                </c:pt>
                <c:pt idx="9">
                  <c:v>0.32558139534883723</c:v>
                </c:pt>
                <c:pt idx="10">
                  <c:v>0.33333333333333331</c:v>
                </c:pt>
                <c:pt idx="11">
                  <c:v>0.3300970873786408</c:v>
                </c:pt>
                <c:pt idx="12">
                  <c:v>0.30172413793103448</c:v>
                </c:pt>
                <c:pt idx="13">
                  <c:v>0.30158730158730157</c:v>
                </c:pt>
                <c:pt idx="14">
                  <c:v>0.28873239436619719</c:v>
                </c:pt>
                <c:pt idx="15">
                  <c:v>0.29530201342281881</c:v>
                </c:pt>
                <c:pt idx="16">
                  <c:v>0.29220779220779219</c:v>
                </c:pt>
                <c:pt idx="17">
                  <c:v>0.30625000000000002</c:v>
                </c:pt>
                <c:pt idx="18">
                  <c:v>0.29166666666666669</c:v>
                </c:pt>
                <c:pt idx="19">
                  <c:v>0.28409090909090912</c:v>
                </c:pt>
                <c:pt idx="20">
                  <c:v>0.27173913043478259</c:v>
                </c:pt>
                <c:pt idx="21">
                  <c:v>0.27368421052631581</c:v>
                </c:pt>
                <c:pt idx="22">
                  <c:v>0.27941176470588236</c:v>
                </c:pt>
                <c:pt idx="23">
                  <c:v>0.27853881278538811</c:v>
                </c:pt>
                <c:pt idx="24">
                  <c:v>0.27074235807860264</c:v>
                </c:pt>
                <c:pt idx="25">
                  <c:v>0.26250000000000001</c:v>
                </c:pt>
                <c:pt idx="26">
                  <c:v>0.26506024096385544</c:v>
                </c:pt>
                <c:pt idx="27">
                  <c:v>0.25984251968503935</c:v>
                </c:pt>
                <c:pt idx="28">
                  <c:v>0.25680933852140075</c:v>
                </c:pt>
                <c:pt idx="29">
                  <c:v>0.25939849624060152</c:v>
                </c:pt>
                <c:pt idx="30">
                  <c:v>0.25992779783393499</c:v>
                </c:pt>
                <c:pt idx="31">
                  <c:v>0.2638888888888889</c:v>
                </c:pt>
                <c:pt idx="32">
                  <c:v>0.25838926174496646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069385841537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ぱぱ2!$H$3:$H$35</c:f>
              <c:numCache>
                <c:formatCode>0.0%</c:formatCode>
                <c:ptCount val="33"/>
                <c:pt idx="1">
                  <c:v>0.1111111111111111</c:v>
                </c:pt>
                <c:pt idx="2">
                  <c:v>6.25E-2</c:v>
                </c:pt>
                <c:pt idx="3">
                  <c:v>8.6956521739130432E-2</c:v>
                </c:pt>
                <c:pt idx="4">
                  <c:v>6.0606060606060608E-2</c:v>
                </c:pt>
                <c:pt idx="5">
                  <c:v>6.8181818181818177E-2</c:v>
                </c:pt>
                <c:pt idx="6">
                  <c:v>5.6603773584905662E-2</c:v>
                </c:pt>
                <c:pt idx="7">
                  <c:v>9.375E-2</c:v>
                </c:pt>
                <c:pt idx="8">
                  <c:v>9.45945945945946E-2</c:v>
                </c:pt>
                <c:pt idx="9">
                  <c:v>0.10465116279069768</c:v>
                </c:pt>
                <c:pt idx="10">
                  <c:v>9.6774193548387094E-2</c:v>
                </c:pt>
                <c:pt idx="11">
                  <c:v>0.11650485436893204</c:v>
                </c:pt>
                <c:pt idx="12">
                  <c:v>0.1206896551724138</c:v>
                </c:pt>
                <c:pt idx="13">
                  <c:v>0.12698412698412698</c:v>
                </c:pt>
                <c:pt idx="14">
                  <c:v>0.13380281690140844</c:v>
                </c:pt>
                <c:pt idx="15">
                  <c:v>0.13422818791946309</c:v>
                </c:pt>
                <c:pt idx="16">
                  <c:v>0.12987012987012986</c:v>
                </c:pt>
                <c:pt idx="17">
                  <c:v>0.125</c:v>
                </c:pt>
                <c:pt idx="18">
                  <c:v>0.125</c:v>
                </c:pt>
                <c:pt idx="19">
                  <c:v>0.13636363636363635</c:v>
                </c:pt>
                <c:pt idx="20">
                  <c:v>0.14673913043478262</c:v>
                </c:pt>
                <c:pt idx="21">
                  <c:v>0.14736842105263157</c:v>
                </c:pt>
                <c:pt idx="22">
                  <c:v>0.15196078431372548</c:v>
                </c:pt>
                <c:pt idx="23">
                  <c:v>0.15525114155251141</c:v>
                </c:pt>
                <c:pt idx="24">
                  <c:v>0.16593886462882096</c:v>
                </c:pt>
                <c:pt idx="25">
                  <c:v>0.17499999999999999</c:v>
                </c:pt>
                <c:pt idx="26">
                  <c:v>0.17269076305220885</c:v>
                </c:pt>
                <c:pt idx="27">
                  <c:v>0.16929133858267717</c:v>
                </c:pt>
                <c:pt idx="28">
                  <c:v>0.17509727626459143</c:v>
                </c:pt>
                <c:pt idx="29">
                  <c:v>0.17293233082706766</c:v>
                </c:pt>
                <c:pt idx="30">
                  <c:v>0.17689530685920576</c:v>
                </c:pt>
                <c:pt idx="31">
                  <c:v>0.1701388888888889</c:v>
                </c:pt>
                <c:pt idx="32">
                  <c:v>0.16778523489932887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75152367557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ぱぱ2!$I$3:$I$35</c:f>
              <c:numCache>
                <c:formatCode>0</c:formatCode>
                <c:ptCount val="33"/>
                <c:pt idx="1">
                  <c:v>13940</c:v>
                </c:pt>
                <c:pt idx="2">
                  <c:v>9800</c:v>
                </c:pt>
                <c:pt idx="3">
                  <c:v>9200</c:v>
                </c:pt>
                <c:pt idx="4">
                  <c:v>8746.6666666666661</c:v>
                </c:pt>
                <c:pt idx="5">
                  <c:v>8894.1176470588234</c:v>
                </c:pt>
                <c:pt idx="6">
                  <c:v>8461.9047619047615</c:v>
                </c:pt>
                <c:pt idx="7">
                  <c:v>8622.7272727272721</c:v>
                </c:pt>
                <c:pt idx="8">
                  <c:v>8352</c:v>
                </c:pt>
                <c:pt idx="9">
                  <c:v>8175</c:v>
                </c:pt>
                <c:pt idx="10">
                  <c:v>7790.322580645161</c:v>
                </c:pt>
                <c:pt idx="11">
                  <c:v>7779.411764705882</c:v>
                </c:pt>
                <c:pt idx="12">
                  <c:v>7777.1428571428569</c:v>
                </c:pt>
                <c:pt idx="13">
                  <c:v>7607.894736842105</c:v>
                </c:pt>
                <c:pt idx="14">
                  <c:v>7782.9268292682927</c:v>
                </c:pt>
                <c:pt idx="15">
                  <c:v>7729.545454545455</c:v>
                </c:pt>
                <c:pt idx="16">
                  <c:v>7646.666666666667</c:v>
                </c:pt>
                <c:pt idx="17">
                  <c:v>7440.8163265306121</c:v>
                </c:pt>
                <c:pt idx="18">
                  <c:v>7440.8163265306121</c:v>
                </c:pt>
                <c:pt idx="19">
                  <c:v>7652</c:v>
                </c:pt>
                <c:pt idx="20">
                  <c:v>7652</c:v>
                </c:pt>
                <c:pt idx="21">
                  <c:v>7742.3076923076924</c:v>
                </c:pt>
                <c:pt idx="22">
                  <c:v>8115.7894736842109</c:v>
                </c:pt>
                <c:pt idx="23">
                  <c:v>8398.3606557377043</c:v>
                </c:pt>
                <c:pt idx="24">
                  <c:v>8456.4516129032254</c:v>
                </c:pt>
                <c:pt idx="25">
                  <c:v>8385.7142857142862</c:v>
                </c:pt>
                <c:pt idx="26">
                  <c:v>8150</c:v>
                </c:pt>
                <c:pt idx="27">
                  <c:v>8150</c:v>
                </c:pt>
                <c:pt idx="28">
                  <c:v>8150</c:v>
                </c:pt>
                <c:pt idx="29">
                  <c:v>8075.36231884058</c:v>
                </c:pt>
                <c:pt idx="30">
                  <c:v>8126.3888888888887</c:v>
                </c:pt>
                <c:pt idx="31">
                  <c:v>8114.4736842105267</c:v>
                </c:pt>
                <c:pt idx="32">
                  <c:v>8164.9350649350654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42.80589876444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ぱぱ2!$J$3:$J$35</c:f>
              <c:numCache>
                <c:formatCode>0</c:formatCode>
                <c:ptCount val="33"/>
                <c:pt idx="1">
                  <c:v>-12000</c:v>
                </c:pt>
                <c:pt idx="2">
                  <c:v>-12000</c:v>
                </c:pt>
                <c:pt idx="3">
                  <c:v>-8900</c:v>
                </c:pt>
                <c:pt idx="4">
                  <c:v>-8900</c:v>
                </c:pt>
                <c:pt idx="5">
                  <c:v>-6800</c:v>
                </c:pt>
                <c:pt idx="6">
                  <c:v>-6800</c:v>
                </c:pt>
                <c:pt idx="7">
                  <c:v>-5550</c:v>
                </c:pt>
                <c:pt idx="8">
                  <c:v>-5128.5714285714284</c:v>
                </c:pt>
                <c:pt idx="9">
                  <c:v>-4433.333333333333</c:v>
                </c:pt>
                <c:pt idx="10">
                  <c:v>-4433.333333333333</c:v>
                </c:pt>
                <c:pt idx="11">
                  <c:v>-6041.666666666667</c:v>
                </c:pt>
                <c:pt idx="12">
                  <c:v>-6007.1428571428569</c:v>
                </c:pt>
                <c:pt idx="13">
                  <c:v>-6118.75</c:v>
                </c:pt>
                <c:pt idx="14">
                  <c:v>-6800</c:v>
                </c:pt>
                <c:pt idx="15">
                  <c:v>-6845</c:v>
                </c:pt>
                <c:pt idx="16">
                  <c:v>-6845</c:v>
                </c:pt>
                <c:pt idx="17">
                  <c:v>-6845</c:v>
                </c:pt>
                <c:pt idx="18">
                  <c:v>-6885.7142857142853</c:v>
                </c:pt>
                <c:pt idx="19">
                  <c:v>-6650</c:v>
                </c:pt>
                <c:pt idx="20">
                  <c:v>-6748.1481481481478</c:v>
                </c:pt>
                <c:pt idx="21">
                  <c:v>-6646.4285714285716</c:v>
                </c:pt>
                <c:pt idx="22">
                  <c:v>-7151.6129032258068</c:v>
                </c:pt>
                <c:pt idx="23">
                  <c:v>-7058.8235294117649</c:v>
                </c:pt>
                <c:pt idx="24">
                  <c:v>-6836.8421052631575</c:v>
                </c:pt>
                <c:pt idx="25">
                  <c:v>-6876.1904761904761</c:v>
                </c:pt>
                <c:pt idx="26">
                  <c:v>-6762.7906976744189</c:v>
                </c:pt>
                <c:pt idx="27">
                  <c:v>-6762.7906976744189</c:v>
                </c:pt>
                <c:pt idx="28">
                  <c:v>-7120</c:v>
                </c:pt>
                <c:pt idx="29">
                  <c:v>-7078.260869565217</c:v>
                </c:pt>
                <c:pt idx="30">
                  <c:v>-7002.0408163265311</c:v>
                </c:pt>
                <c:pt idx="31">
                  <c:v>-7002.0408163265311</c:v>
                </c:pt>
                <c:pt idx="32">
                  <c:v>-7102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72.12032281731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ぱぱ2!$K$3:$K$35</c:f>
              <c:numCache>
                <c:formatCode>0.0%</c:formatCode>
                <c:ptCount val="3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0.14814814814814814</c:v>
                </c:pt>
                <c:pt idx="28">
                  <c:v>0.17857142857142858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775171065493645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ぱぱ2!$L$3:$L$35</c:f>
              <c:numCache>
                <c:formatCode>0.0%</c:formatCode>
                <c:ptCount val="33"/>
                <c:pt idx="1">
                  <c:v>0.44444444444444442</c:v>
                </c:pt>
                <c:pt idx="2">
                  <c:v>0.375</c:v>
                </c:pt>
                <c:pt idx="3">
                  <c:v>0.39130434782608697</c:v>
                </c:pt>
                <c:pt idx="4">
                  <c:v>0.36363636363636365</c:v>
                </c:pt>
                <c:pt idx="5">
                  <c:v>0.36363636363636365</c:v>
                </c:pt>
                <c:pt idx="6">
                  <c:v>0.37735849056603776</c:v>
                </c:pt>
                <c:pt idx="7">
                  <c:v>0.359375</c:v>
                </c:pt>
                <c:pt idx="8">
                  <c:v>0.32432432432432434</c:v>
                </c:pt>
                <c:pt idx="9">
                  <c:v>0.29069767441860467</c:v>
                </c:pt>
                <c:pt idx="10">
                  <c:v>0.31182795698924731</c:v>
                </c:pt>
                <c:pt idx="11">
                  <c:v>0.29126213592233008</c:v>
                </c:pt>
                <c:pt idx="12">
                  <c:v>0.26724137931034481</c:v>
                </c:pt>
                <c:pt idx="13">
                  <c:v>0.26984126984126983</c:v>
                </c:pt>
                <c:pt idx="14">
                  <c:v>0.28169014084507044</c:v>
                </c:pt>
                <c:pt idx="15">
                  <c:v>0.28187919463087246</c:v>
                </c:pt>
                <c:pt idx="16">
                  <c:v>0.29220779220779219</c:v>
                </c:pt>
                <c:pt idx="17">
                  <c:v>0.28749999999999998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0.27717391304347827</c:v>
                </c:pt>
                <c:pt idx="21">
                  <c:v>0.27368421052631581</c:v>
                </c:pt>
                <c:pt idx="22">
                  <c:v>0.26470588235294118</c:v>
                </c:pt>
                <c:pt idx="23">
                  <c:v>0.26940639269406391</c:v>
                </c:pt>
                <c:pt idx="24">
                  <c:v>0.26637554585152839</c:v>
                </c:pt>
                <c:pt idx="25">
                  <c:v>0.25833333333333336</c:v>
                </c:pt>
                <c:pt idx="26">
                  <c:v>0.25702811244979917</c:v>
                </c:pt>
                <c:pt idx="27">
                  <c:v>0.25590551181102361</c:v>
                </c:pt>
                <c:pt idx="28">
                  <c:v>0.26070038910505838</c:v>
                </c:pt>
                <c:pt idx="29">
                  <c:v>0.26691729323308272</c:v>
                </c:pt>
                <c:pt idx="30">
                  <c:v>0.27075812274368233</c:v>
                </c:pt>
                <c:pt idx="31">
                  <c:v>0.27777777777777779</c:v>
                </c:pt>
                <c:pt idx="32">
                  <c:v>0.27852348993288589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1640881387716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ぱぱ2!$M$3:$M$35</c:f>
              <c:numCache>
                <c:formatCode>0.0%</c:formatCode>
                <c:ptCount val="33"/>
                <c:pt idx="1">
                  <c:v>0</c:v>
                </c:pt>
                <c:pt idx="2">
                  <c:v>0</c:v>
                </c:pt>
                <c:pt idx="3">
                  <c:v>4.3478260869565216E-2</c:v>
                </c:pt>
                <c:pt idx="4">
                  <c:v>6.0606060606060608E-2</c:v>
                </c:pt>
                <c:pt idx="5">
                  <c:v>9.0909090909090912E-2</c:v>
                </c:pt>
                <c:pt idx="6">
                  <c:v>0.11320754716981132</c:v>
                </c:pt>
                <c:pt idx="7">
                  <c:v>0.109375</c:v>
                </c:pt>
                <c:pt idx="8">
                  <c:v>0.13513513513513514</c:v>
                </c:pt>
                <c:pt idx="9">
                  <c:v>0.15116279069767441</c:v>
                </c:pt>
                <c:pt idx="10">
                  <c:v>0.15053763440860216</c:v>
                </c:pt>
                <c:pt idx="11">
                  <c:v>0.14563106796116504</c:v>
                </c:pt>
                <c:pt idx="12">
                  <c:v>0.13793103448275862</c:v>
                </c:pt>
                <c:pt idx="13">
                  <c:v>0.15079365079365079</c:v>
                </c:pt>
                <c:pt idx="14">
                  <c:v>0.15492957746478872</c:v>
                </c:pt>
                <c:pt idx="15">
                  <c:v>0.1476510067114094</c:v>
                </c:pt>
                <c:pt idx="16">
                  <c:v>0.14285714285714285</c:v>
                </c:pt>
                <c:pt idx="17">
                  <c:v>0.14374999999999999</c:v>
                </c:pt>
                <c:pt idx="18">
                  <c:v>0.13690476190476192</c:v>
                </c:pt>
                <c:pt idx="19">
                  <c:v>0.13068181818181818</c:v>
                </c:pt>
                <c:pt idx="20">
                  <c:v>0.14130434782608695</c:v>
                </c:pt>
                <c:pt idx="21">
                  <c:v>0.14210526315789473</c:v>
                </c:pt>
                <c:pt idx="22">
                  <c:v>0.15686274509803921</c:v>
                </c:pt>
                <c:pt idx="23">
                  <c:v>0.15525114155251141</c:v>
                </c:pt>
                <c:pt idx="24">
                  <c:v>0.15283842794759825</c:v>
                </c:pt>
                <c:pt idx="25">
                  <c:v>0.15</c:v>
                </c:pt>
                <c:pt idx="26">
                  <c:v>0.15662650602409639</c:v>
                </c:pt>
                <c:pt idx="27">
                  <c:v>0.15354330708661418</c:v>
                </c:pt>
                <c:pt idx="28">
                  <c:v>0.1517509727626459</c:v>
                </c:pt>
                <c:pt idx="29">
                  <c:v>0.15789473684210525</c:v>
                </c:pt>
                <c:pt idx="30">
                  <c:v>0.1588447653429603</c:v>
                </c:pt>
                <c:pt idx="31">
                  <c:v>0.15625</c:v>
                </c:pt>
                <c:pt idx="32">
                  <c:v>0.16107382550335569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83309892170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ぱぱ2!$N$3:$N$35</c:f>
              <c:numCache>
                <c:formatCode>0.0%</c:formatCode>
                <c:ptCount val="33"/>
                <c:pt idx="1">
                  <c:v>0.75</c:v>
                </c:pt>
                <c:pt idx="2">
                  <c:v>0.83333333333333337</c:v>
                </c:pt>
                <c:pt idx="3">
                  <c:v>0.77777777777777779</c:v>
                </c:pt>
                <c:pt idx="4">
                  <c:v>0.83333333333333337</c:v>
                </c:pt>
                <c:pt idx="5">
                  <c:v>0.6875</c:v>
                </c:pt>
                <c:pt idx="6">
                  <c:v>0.75</c:v>
                </c:pt>
                <c:pt idx="7">
                  <c:v>0.65217391304347827</c:v>
                </c:pt>
                <c:pt idx="8">
                  <c:v>0.66666666666666663</c:v>
                </c:pt>
                <c:pt idx="9">
                  <c:v>0.68</c:v>
                </c:pt>
                <c:pt idx="10">
                  <c:v>0.65517241379310343</c:v>
                </c:pt>
                <c:pt idx="11">
                  <c:v>0.66666666666666663</c:v>
                </c:pt>
                <c:pt idx="12">
                  <c:v>0.67741935483870963</c:v>
                </c:pt>
                <c:pt idx="13">
                  <c:v>0.67647058823529416</c:v>
                </c:pt>
                <c:pt idx="14">
                  <c:v>0.625</c:v>
                </c:pt>
                <c:pt idx="15">
                  <c:v>0.6428571428571429</c:v>
                </c:pt>
                <c:pt idx="16">
                  <c:v>0.62222222222222223</c:v>
                </c:pt>
                <c:pt idx="17">
                  <c:v>0.63043478260869568</c:v>
                </c:pt>
                <c:pt idx="18">
                  <c:v>0.63043478260869568</c:v>
                </c:pt>
                <c:pt idx="19">
                  <c:v>0.61224489795918369</c:v>
                </c:pt>
                <c:pt idx="20">
                  <c:v>0.58823529411764708</c:v>
                </c:pt>
                <c:pt idx="21">
                  <c:v>0.59615384615384615</c:v>
                </c:pt>
                <c:pt idx="22">
                  <c:v>0.61111111111111116</c:v>
                </c:pt>
                <c:pt idx="23">
                  <c:v>0.59322033898305082</c:v>
                </c:pt>
                <c:pt idx="24">
                  <c:v>0.5901639344262295</c:v>
                </c:pt>
                <c:pt idx="25">
                  <c:v>0.59677419354838712</c:v>
                </c:pt>
                <c:pt idx="26">
                  <c:v>0.59375</c:v>
                </c:pt>
                <c:pt idx="27">
                  <c:v>0.58461538461538465</c:v>
                </c:pt>
                <c:pt idx="28">
                  <c:v>0.56716417910447758</c:v>
                </c:pt>
                <c:pt idx="29">
                  <c:v>0.57746478873239437</c:v>
                </c:pt>
                <c:pt idx="30">
                  <c:v>0.58666666666666667</c:v>
                </c:pt>
                <c:pt idx="31">
                  <c:v>0.57499999999999996</c:v>
                </c:pt>
                <c:pt idx="32">
                  <c:v>0.5662650602409639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4946436888681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ぱぱ2!$O$3:$O$35</c:f>
              <c:numCache>
                <c:formatCode>0.0%</c:formatCode>
                <c:ptCount val="3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0.25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</c:v>
                </c:pt>
                <c:pt idx="9">
                  <c:v>0.30769230769230771</c:v>
                </c:pt>
                <c:pt idx="10">
                  <c:v>0.35714285714285715</c:v>
                </c:pt>
                <c:pt idx="11">
                  <c:v>0.33333333333333331</c:v>
                </c:pt>
                <c:pt idx="12">
                  <c:v>0.3125</c:v>
                </c:pt>
                <c:pt idx="13">
                  <c:v>0.31578947368421051</c:v>
                </c:pt>
                <c:pt idx="14">
                  <c:v>0.31818181818181818</c:v>
                </c:pt>
                <c:pt idx="15">
                  <c:v>0.31818181818181818</c:v>
                </c:pt>
                <c:pt idx="16">
                  <c:v>0.31818181818181818</c:v>
                </c:pt>
                <c:pt idx="17">
                  <c:v>0.34782608695652173</c:v>
                </c:pt>
                <c:pt idx="18">
                  <c:v>0.34782608695652173</c:v>
                </c:pt>
                <c:pt idx="19">
                  <c:v>0.34782608695652173</c:v>
                </c:pt>
                <c:pt idx="20">
                  <c:v>0.30769230769230771</c:v>
                </c:pt>
                <c:pt idx="21">
                  <c:v>0.33333333333333331</c:v>
                </c:pt>
                <c:pt idx="22">
                  <c:v>0.375</c:v>
                </c:pt>
                <c:pt idx="23">
                  <c:v>0.35294117647058826</c:v>
                </c:pt>
                <c:pt idx="24">
                  <c:v>0.34285714285714286</c:v>
                </c:pt>
                <c:pt idx="25">
                  <c:v>0.33333333333333331</c:v>
                </c:pt>
                <c:pt idx="26">
                  <c:v>0.35897435897435898</c:v>
                </c:pt>
                <c:pt idx="27">
                  <c:v>0.35897435897435898</c:v>
                </c:pt>
                <c:pt idx="28">
                  <c:v>0.35897435897435898</c:v>
                </c:pt>
                <c:pt idx="29">
                  <c:v>0.33333333333333331</c:v>
                </c:pt>
                <c:pt idx="30">
                  <c:v>0.31818181818181818</c:v>
                </c:pt>
                <c:pt idx="31">
                  <c:v>0.33333333333333331</c:v>
                </c:pt>
                <c:pt idx="32">
                  <c:v>0.3125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8604651162790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ぱぱ2!$P$3:$P$35</c:f>
              <c:numCache>
                <c:formatCode>0.0%</c:formatCode>
                <c:ptCount val="33"/>
                <c:pt idx="1">
                  <c:v>0.2</c:v>
                </c:pt>
                <c:pt idx="2">
                  <c:v>0.375</c:v>
                </c:pt>
                <c:pt idx="3">
                  <c:v>0.54545454545454541</c:v>
                </c:pt>
                <c:pt idx="4">
                  <c:v>0.46666666666666667</c:v>
                </c:pt>
                <c:pt idx="5">
                  <c:v>0.41176470588235292</c:v>
                </c:pt>
                <c:pt idx="6">
                  <c:v>0.42857142857142855</c:v>
                </c:pt>
                <c:pt idx="7">
                  <c:v>0.45454545454545453</c:v>
                </c:pt>
                <c:pt idx="8">
                  <c:v>0.44</c:v>
                </c:pt>
                <c:pt idx="9">
                  <c:v>0.5</c:v>
                </c:pt>
                <c:pt idx="10">
                  <c:v>0.4838709677419355</c:v>
                </c:pt>
                <c:pt idx="11">
                  <c:v>0.52941176470588236</c:v>
                </c:pt>
                <c:pt idx="12">
                  <c:v>0.51428571428571423</c:v>
                </c:pt>
                <c:pt idx="13">
                  <c:v>0.5</c:v>
                </c:pt>
                <c:pt idx="14">
                  <c:v>0.53658536585365857</c:v>
                </c:pt>
                <c:pt idx="15">
                  <c:v>0.52272727272727271</c:v>
                </c:pt>
                <c:pt idx="16">
                  <c:v>0.53333333333333333</c:v>
                </c:pt>
                <c:pt idx="17">
                  <c:v>0.55102040816326525</c:v>
                </c:pt>
                <c:pt idx="18">
                  <c:v>0.55102040816326525</c:v>
                </c:pt>
                <c:pt idx="19">
                  <c:v>0.56000000000000005</c:v>
                </c:pt>
                <c:pt idx="20">
                  <c:v>0.56000000000000005</c:v>
                </c:pt>
                <c:pt idx="21">
                  <c:v>0.53846153846153844</c:v>
                </c:pt>
                <c:pt idx="22">
                  <c:v>0.54385964912280704</c:v>
                </c:pt>
                <c:pt idx="23">
                  <c:v>0.55737704918032782</c:v>
                </c:pt>
                <c:pt idx="24">
                  <c:v>0.56451612903225812</c:v>
                </c:pt>
                <c:pt idx="25">
                  <c:v>0.5714285714285714</c:v>
                </c:pt>
                <c:pt idx="26">
                  <c:v>0.5757575757575758</c:v>
                </c:pt>
                <c:pt idx="27">
                  <c:v>0.5757575757575758</c:v>
                </c:pt>
                <c:pt idx="28">
                  <c:v>0.5757575757575758</c:v>
                </c:pt>
                <c:pt idx="29">
                  <c:v>0.57971014492753625</c:v>
                </c:pt>
                <c:pt idx="30">
                  <c:v>0.58333333333333337</c:v>
                </c:pt>
                <c:pt idx="31">
                  <c:v>0.57894736842105265</c:v>
                </c:pt>
                <c:pt idx="32">
                  <c:v>0.58441558441558439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1972897568752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07"/>
  <sheetViews>
    <sheetView workbookViewId="0"/>
  </sheetViews>
  <sheetFormatPr defaultColWidth="9" defaultRowHeight="18" x14ac:dyDescent="0.45"/>
  <cols>
    <col min="1" max="1" width="19.09765625" style="28" customWidth="1"/>
    <col min="2" max="2" width="19.0976562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222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223</v>
      </c>
      <c r="B3" s="29">
        <v>43737.532500000001</v>
      </c>
      <c r="C3" s="28" t="s">
        <v>128</v>
      </c>
    </row>
    <row r="4" spans="1:12" x14ac:dyDescent="0.45">
      <c r="A4" s="28" t="s">
        <v>224</v>
      </c>
      <c r="B4" s="29">
        <v>43737.532500000001</v>
      </c>
      <c r="C4" s="28" t="s">
        <v>128</v>
      </c>
    </row>
    <row r="5" spans="1:12" x14ac:dyDescent="0.45">
      <c r="A5" s="28" t="s">
        <v>225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226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227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228</v>
      </c>
      <c r="K7" s="28" t="s">
        <v>229</v>
      </c>
      <c r="L7" s="28" t="s">
        <v>230</v>
      </c>
    </row>
    <row r="8" spans="1:12" x14ac:dyDescent="0.45">
      <c r="A8" s="28" t="s">
        <v>231</v>
      </c>
      <c r="B8" s="29">
        <v>43740.96733796296</v>
      </c>
      <c r="C8" s="28" t="s">
        <v>128</v>
      </c>
    </row>
    <row r="9" spans="1:12" x14ac:dyDescent="0.45">
      <c r="A9" s="28" t="s">
        <v>233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234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235</v>
      </c>
      <c r="B11" s="29">
        <v>43741.028969907406</v>
      </c>
      <c r="C11" s="28" t="s">
        <v>128</v>
      </c>
    </row>
    <row r="12" spans="1:12" x14ac:dyDescent="0.45">
      <c r="A12" s="28" t="s">
        <v>236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237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238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239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240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241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242</v>
      </c>
      <c r="B18" s="29">
        <v>43745.374525462961</v>
      </c>
      <c r="C18" s="28" t="s">
        <v>128</v>
      </c>
    </row>
    <row r="19" spans="1:12" x14ac:dyDescent="0.45">
      <c r="A19" s="28" t="s">
        <v>243</v>
      </c>
      <c r="B19" s="29">
        <v>43750.963090277779</v>
      </c>
      <c r="C19" s="28" t="s">
        <v>128</v>
      </c>
    </row>
    <row r="20" spans="1:12" x14ac:dyDescent="0.45">
      <c r="A20" s="28" t="s">
        <v>244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245</v>
      </c>
      <c r="B21" s="29">
        <v>43750.963090277779</v>
      </c>
      <c r="C21" s="28" t="s">
        <v>128</v>
      </c>
    </row>
    <row r="22" spans="1:12" x14ac:dyDescent="0.45">
      <c r="A22" s="28" t="s">
        <v>246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247</v>
      </c>
      <c r="B23" s="29">
        <v>43800.062326388892</v>
      </c>
      <c r="C23" s="28" t="s">
        <v>128</v>
      </c>
    </row>
    <row r="24" spans="1:12" x14ac:dyDescent="0.45">
      <c r="A24" s="28" t="s">
        <v>248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249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228</v>
      </c>
      <c r="K25" s="28" t="s">
        <v>229</v>
      </c>
      <c r="L25" s="28" t="s">
        <v>230</v>
      </c>
    </row>
    <row r="26" spans="1:12" x14ac:dyDescent="0.45">
      <c r="A26" s="28" t="s">
        <v>250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251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228</v>
      </c>
      <c r="K27" s="28" t="s">
        <v>229</v>
      </c>
    </row>
    <row r="28" spans="1:12" x14ac:dyDescent="0.45">
      <c r="A28" s="28" t="s">
        <v>252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228</v>
      </c>
      <c r="K28" s="28" t="s">
        <v>229</v>
      </c>
    </row>
    <row r="29" spans="1:12" x14ac:dyDescent="0.45">
      <c r="A29" s="28" t="s">
        <v>253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254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255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257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258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259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260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261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262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263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264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265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266</v>
      </c>
      <c r="B41" s="29">
        <v>43766.037835648145</v>
      </c>
      <c r="C41" s="28" t="s">
        <v>128</v>
      </c>
    </row>
    <row r="42" spans="1:9" x14ac:dyDescent="0.45">
      <c r="A42" s="28" t="s">
        <v>267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268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269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270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271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272</v>
      </c>
      <c r="B47" s="29">
        <v>43770.815983796296</v>
      </c>
      <c r="C47" s="28" t="s">
        <v>128</v>
      </c>
    </row>
    <row r="48" spans="1:9" x14ac:dyDescent="0.45">
      <c r="A48" s="28" t="s">
        <v>273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274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275</v>
      </c>
      <c r="B50" s="29">
        <v>43773.722453703704</v>
      </c>
      <c r="C50" s="28" t="s">
        <v>128</v>
      </c>
    </row>
    <row r="51" spans="1:9" x14ac:dyDescent="0.45">
      <c r="A51" s="28" t="s">
        <v>276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277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278</v>
      </c>
      <c r="B53" s="29">
        <v>43781.637499999997</v>
      </c>
      <c r="C53" s="28" t="s">
        <v>128</v>
      </c>
    </row>
    <row r="54" spans="1:9" x14ac:dyDescent="0.45">
      <c r="A54" s="28" t="s">
        <v>279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280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281</v>
      </c>
      <c r="B56" s="29">
        <v>43783.744745370372</v>
      </c>
      <c r="C56" s="28" t="s">
        <v>128</v>
      </c>
    </row>
    <row r="57" spans="1:9" x14ac:dyDescent="0.45">
      <c r="A57" s="28" t="s">
        <v>282</v>
      </c>
      <c r="B57" s="29">
        <v>43784.974247685182</v>
      </c>
      <c r="C57" s="28" t="s">
        <v>128</v>
      </c>
    </row>
    <row r="58" spans="1:9" x14ac:dyDescent="0.45">
      <c r="A58" s="28" t="s">
        <v>283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284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285</v>
      </c>
      <c r="B60" s="29">
        <v>43787.745706018519</v>
      </c>
      <c r="C60" s="28" t="s">
        <v>128</v>
      </c>
    </row>
    <row r="61" spans="1:9" x14ac:dyDescent="0.45">
      <c r="A61" s="28" t="s">
        <v>286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287</v>
      </c>
      <c r="B62" s="29">
        <v>43789.730671296296</v>
      </c>
      <c r="C62" s="28" t="s">
        <v>128</v>
      </c>
    </row>
    <row r="63" spans="1:9" x14ac:dyDescent="0.45">
      <c r="A63" s="28" t="s">
        <v>288</v>
      </c>
      <c r="B63" s="29">
        <v>43790.974027777775</v>
      </c>
      <c r="C63" s="28" t="s">
        <v>128</v>
      </c>
    </row>
    <row r="64" spans="1:9" x14ac:dyDescent="0.45">
      <c r="A64" s="28" t="s">
        <v>289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290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291</v>
      </c>
      <c r="B66" s="29">
        <v>43795.03466435185</v>
      </c>
      <c r="C66" s="28" t="s">
        <v>128</v>
      </c>
    </row>
    <row r="67" spans="1:12" x14ac:dyDescent="0.45">
      <c r="A67" s="28" t="s">
        <v>292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228</v>
      </c>
      <c r="K67" s="28" t="s">
        <v>229</v>
      </c>
      <c r="L67" s="28" t="s">
        <v>230</v>
      </c>
    </row>
    <row r="68" spans="1:12" x14ac:dyDescent="0.45">
      <c r="A68" s="28" t="s">
        <v>293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294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295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296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297</v>
      </c>
      <c r="B72" s="29">
        <v>43805.055914351855</v>
      </c>
      <c r="C72" s="28" t="s">
        <v>128</v>
      </c>
      <c r="D72" s="28" t="s">
        <v>129</v>
      </c>
    </row>
    <row r="73" spans="1:12" x14ac:dyDescent="0.45">
      <c r="A73" s="28" t="s">
        <v>298</v>
      </c>
      <c r="B73" s="29">
        <v>43805.880937499998</v>
      </c>
      <c r="C73" s="28" t="s">
        <v>128</v>
      </c>
    </row>
    <row r="74" spans="1:12" x14ac:dyDescent="0.45">
      <c r="A74" s="28" t="s">
        <v>299</v>
      </c>
      <c r="B74" s="29">
        <v>43806.068379629629</v>
      </c>
      <c r="C74" s="28" t="s">
        <v>128</v>
      </c>
    </row>
    <row r="75" spans="1:12" x14ac:dyDescent="0.45">
      <c r="A75" s="28" t="s">
        <v>300</v>
      </c>
      <c r="B75" s="29">
        <v>43807.045578703706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5">
      <c r="A76" s="28" t="s">
        <v>302</v>
      </c>
      <c r="B76" s="29">
        <v>43809.906898148147</v>
      </c>
      <c r="C76" s="28" t="s">
        <v>128</v>
      </c>
    </row>
    <row r="77" spans="1:12" x14ac:dyDescent="0.45">
      <c r="A77" s="28" t="s">
        <v>303</v>
      </c>
      <c r="B77" s="29">
        <v>43809.906898148147</v>
      </c>
      <c r="C77" s="28" t="s">
        <v>128</v>
      </c>
      <c r="D77" s="28" t="s">
        <v>129</v>
      </c>
    </row>
    <row r="78" spans="1:12" x14ac:dyDescent="0.45">
      <c r="A78" s="28" t="s">
        <v>304</v>
      </c>
      <c r="B78" s="29">
        <v>43809.081944444442</v>
      </c>
      <c r="C78" s="28" t="s">
        <v>128</v>
      </c>
      <c r="D78" s="28" t="s">
        <v>129</v>
      </c>
      <c r="E78" s="28" t="s">
        <v>173</v>
      </c>
    </row>
    <row r="79" spans="1:12" x14ac:dyDescent="0.45">
      <c r="A79" s="28" t="s">
        <v>305</v>
      </c>
      <c r="B79" s="29">
        <v>43810.051180555558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5">
      <c r="A80" s="28" t="s">
        <v>306</v>
      </c>
      <c r="B80" s="29">
        <v>43812.000752314816</v>
      </c>
      <c r="C80" s="28" t="s">
        <v>128</v>
      </c>
    </row>
    <row r="81" spans="1:9" x14ac:dyDescent="0.45">
      <c r="A81" s="28" t="s">
        <v>307</v>
      </c>
      <c r="B81" s="29">
        <v>43813.948321759257</v>
      </c>
      <c r="C81" s="28" t="s">
        <v>128</v>
      </c>
      <c r="D81" s="28" t="s">
        <v>129</v>
      </c>
      <c r="E81" s="28" t="s">
        <v>173</v>
      </c>
    </row>
    <row r="82" spans="1:9" x14ac:dyDescent="0.45">
      <c r="A82" s="28" t="s">
        <v>308</v>
      </c>
      <c r="B82" s="29">
        <v>43814.578449074077</v>
      </c>
      <c r="C82" s="28" t="s">
        <v>128</v>
      </c>
    </row>
    <row r="83" spans="1:9" x14ac:dyDescent="0.45">
      <c r="A83" s="28" t="s">
        <v>309</v>
      </c>
      <c r="B83" s="29">
        <v>43817.934259259258</v>
      </c>
      <c r="C83" s="28" t="s">
        <v>128</v>
      </c>
      <c r="D83" s="28" t="s">
        <v>129</v>
      </c>
      <c r="E83" s="28" t="s">
        <v>173</v>
      </c>
    </row>
    <row r="84" spans="1:9" x14ac:dyDescent="0.45">
      <c r="A84" s="28" t="s">
        <v>310</v>
      </c>
      <c r="B84" s="29">
        <v>43818.430601851855</v>
      </c>
      <c r="C84" s="28" t="s">
        <v>128</v>
      </c>
      <c r="D84" s="28" t="s">
        <v>129</v>
      </c>
    </row>
    <row r="85" spans="1:9" x14ac:dyDescent="0.45">
      <c r="A85" s="28" t="s">
        <v>311</v>
      </c>
      <c r="B85" s="29">
        <v>43818.433738425927</v>
      </c>
      <c r="C85" s="28" t="s">
        <v>128</v>
      </c>
      <c r="D85" s="28" t="s">
        <v>129</v>
      </c>
      <c r="E85" s="28" t="s">
        <v>173</v>
      </c>
      <c r="F85" s="28" t="s">
        <v>174</v>
      </c>
    </row>
    <row r="86" spans="1:9" x14ac:dyDescent="0.45">
      <c r="A86" s="28" t="s">
        <v>312</v>
      </c>
      <c r="B86" s="29">
        <v>43819.091747685183</v>
      </c>
      <c r="C86" s="28" t="s">
        <v>128</v>
      </c>
      <c r="D86" s="28" t="s">
        <v>129</v>
      </c>
    </row>
    <row r="87" spans="1:9" x14ac:dyDescent="0.45">
      <c r="A87" s="28" t="s">
        <v>202</v>
      </c>
      <c r="B87" s="29">
        <v>43836.020520833335</v>
      </c>
      <c r="C87" s="28" t="s">
        <v>128</v>
      </c>
      <c r="D87" s="28" t="s">
        <v>129</v>
      </c>
      <c r="E87" s="28" t="s">
        <v>173</v>
      </c>
      <c r="F87" s="28" t="s">
        <v>174</v>
      </c>
      <c r="G87" s="28" t="s">
        <v>198</v>
      </c>
      <c r="H87" s="28" t="s">
        <v>175</v>
      </c>
    </row>
    <row r="88" spans="1:9" x14ac:dyDescent="0.45">
      <c r="A88" s="28" t="s">
        <v>203</v>
      </c>
      <c r="B88" s="29">
        <v>43838.76290509259</v>
      </c>
      <c r="C88" s="28" t="s">
        <v>128</v>
      </c>
    </row>
    <row r="89" spans="1:9" x14ac:dyDescent="0.45">
      <c r="A89" s="28" t="s">
        <v>204</v>
      </c>
      <c r="B89" s="29">
        <v>43839.021249999998</v>
      </c>
      <c r="C89" s="28" t="s">
        <v>128</v>
      </c>
      <c r="D89" s="28" t="s">
        <v>129</v>
      </c>
      <c r="E89" s="28" t="s">
        <v>173</v>
      </c>
      <c r="F89" s="28" t="s">
        <v>174</v>
      </c>
    </row>
    <row r="90" spans="1:9" x14ac:dyDescent="0.45">
      <c r="A90" s="28" t="s">
        <v>205</v>
      </c>
      <c r="B90" s="29">
        <v>43840.436331018522</v>
      </c>
      <c r="C90" s="28" t="s">
        <v>128</v>
      </c>
    </row>
    <row r="91" spans="1:9" x14ac:dyDescent="0.45">
      <c r="A91" s="28" t="s">
        <v>206</v>
      </c>
      <c r="B91" s="29">
        <v>43840.602083333331</v>
      </c>
      <c r="C91" s="28" t="s">
        <v>128</v>
      </c>
      <c r="D91" s="28" t="s">
        <v>129</v>
      </c>
      <c r="E91" s="28" t="s">
        <v>173</v>
      </c>
    </row>
    <row r="92" spans="1:9" x14ac:dyDescent="0.45">
      <c r="A92" s="28" t="s">
        <v>207</v>
      </c>
      <c r="B92" s="29">
        <v>43843.027384259258</v>
      </c>
      <c r="C92" s="28" t="s">
        <v>128</v>
      </c>
      <c r="D92" s="28" t="s">
        <v>129</v>
      </c>
      <c r="E92" s="28" t="s">
        <v>173</v>
      </c>
      <c r="F92" s="28" t="s">
        <v>174</v>
      </c>
      <c r="G92" s="28" t="s">
        <v>175</v>
      </c>
      <c r="H92" s="28" t="s">
        <v>198</v>
      </c>
      <c r="I92" s="28" t="s">
        <v>199</v>
      </c>
    </row>
    <row r="93" spans="1:9" x14ac:dyDescent="0.45">
      <c r="A93" s="28" t="s">
        <v>208</v>
      </c>
      <c r="B93" s="29">
        <v>43844.951261574075</v>
      </c>
      <c r="C93" s="28" t="s">
        <v>128</v>
      </c>
      <c r="D93" s="28" t="s">
        <v>129</v>
      </c>
      <c r="E93" s="28" t="s">
        <v>173</v>
      </c>
    </row>
    <row r="94" spans="1:9" x14ac:dyDescent="0.45">
      <c r="A94" s="28" t="s">
        <v>209</v>
      </c>
      <c r="B94" s="29">
        <v>43845.034178240741</v>
      </c>
      <c r="C94" s="28" t="s">
        <v>128</v>
      </c>
      <c r="D94" s="28" t="s">
        <v>129</v>
      </c>
      <c r="E94" s="28" t="s">
        <v>173</v>
      </c>
    </row>
    <row r="95" spans="1:9" x14ac:dyDescent="0.45">
      <c r="A95" s="28" t="s">
        <v>210</v>
      </c>
      <c r="B95" s="29">
        <v>43846.004641203705</v>
      </c>
      <c r="C95" s="28" t="s">
        <v>128</v>
      </c>
    </row>
    <row r="96" spans="1:9" x14ac:dyDescent="0.45">
      <c r="A96" s="28" t="s">
        <v>211</v>
      </c>
      <c r="B96" s="29">
        <v>43847.005300925928</v>
      </c>
      <c r="C96" s="28" t="s">
        <v>128</v>
      </c>
      <c r="D96" s="28" t="s">
        <v>129</v>
      </c>
      <c r="E96" s="28" t="s">
        <v>173</v>
      </c>
      <c r="F96" s="28" t="s">
        <v>174</v>
      </c>
    </row>
    <row r="97" spans="1:7" x14ac:dyDescent="0.45">
      <c r="A97" s="28" t="s">
        <v>212</v>
      </c>
      <c r="B97" s="29">
        <v>43847.644155092596</v>
      </c>
      <c r="C97" s="28" t="s">
        <v>128</v>
      </c>
      <c r="D97" s="28" t="s">
        <v>129</v>
      </c>
      <c r="E97" s="28" t="s">
        <v>173</v>
      </c>
    </row>
    <row r="98" spans="1:7" x14ac:dyDescent="0.45">
      <c r="A98" s="28" t="s">
        <v>213</v>
      </c>
      <c r="B98" s="29">
        <v>43848.686238425929</v>
      </c>
      <c r="C98" s="28" t="s">
        <v>128</v>
      </c>
      <c r="D98" s="28" t="s">
        <v>129</v>
      </c>
    </row>
    <row r="99" spans="1:7" x14ac:dyDescent="0.45">
      <c r="A99" s="28" t="s">
        <v>214</v>
      </c>
      <c r="B99" s="29">
        <v>43852.043136574073</v>
      </c>
      <c r="C99" s="28" t="s">
        <v>128</v>
      </c>
      <c r="D99" s="28" t="s">
        <v>129</v>
      </c>
      <c r="E99" s="28" t="s">
        <v>173</v>
      </c>
      <c r="F99" s="28" t="s">
        <v>174</v>
      </c>
      <c r="G99" s="28" t="s">
        <v>175</v>
      </c>
    </row>
    <row r="100" spans="1:7" x14ac:dyDescent="0.45">
      <c r="A100" s="28" t="s">
        <v>215</v>
      </c>
      <c r="B100" s="29">
        <v>43856.016423611109</v>
      </c>
      <c r="C100" s="28" t="s">
        <v>128</v>
      </c>
      <c r="D100" s="28" t="s">
        <v>129</v>
      </c>
      <c r="E100" s="28" t="s">
        <v>173</v>
      </c>
    </row>
    <row r="101" spans="1:7" x14ac:dyDescent="0.45">
      <c r="A101" s="28" t="s">
        <v>216</v>
      </c>
      <c r="B101" s="29">
        <v>43857.063576388886</v>
      </c>
      <c r="C101" s="28" t="s">
        <v>128</v>
      </c>
      <c r="D101" s="28" t="s">
        <v>129</v>
      </c>
      <c r="E101" s="28" t="s">
        <v>173</v>
      </c>
    </row>
    <row r="102" spans="1:7" x14ac:dyDescent="0.45">
      <c r="A102" s="28" t="s">
        <v>217</v>
      </c>
      <c r="B102" s="29">
        <v>43858.020173611112</v>
      </c>
      <c r="C102" s="28" t="s">
        <v>128</v>
      </c>
      <c r="D102" s="28" t="s">
        <v>129</v>
      </c>
      <c r="E102" s="28" t="s">
        <v>173</v>
      </c>
    </row>
    <row r="103" spans="1:7" x14ac:dyDescent="0.45">
      <c r="A103" s="28" t="s">
        <v>218</v>
      </c>
      <c r="B103" s="29">
        <v>43862.05269675926</v>
      </c>
      <c r="C103" s="28" t="s">
        <v>128</v>
      </c>
      <c r="D103" s="28" t="s">
        <v>129</v>
      </c>
      <c r="E103" s="28" t="s">
        <v>173</v>
      </c>
      <c r="F103" s="28" t="s">
        <v>174</v>
      </c>
    </row>
    <row r="104" spans="1:7" x14ac:dyDescent="0.45">
      <c r="A104" s="28" t="s">
        <v>219</v>
      </c>
      <c r="B104" s="29">
        <v>43860.026909722219</v>
      </c>
      <c r="C104" s="28" t="s">
        <v>128</v>
      </c>
      <c r="D104" s="28" t="s">
        <v>129</v>
      </c>
      <c r="E104" s="28" t="s">
        <v>173</v>
      </c>
    </row>
    <row r="105" spans="1:7" x14ac:dyDescent="0.45">
      <c r="A105" s="28" t="s">
        <v>220</v>
      </c>
      <c r="B105" s="29">
        <v>43862.053043981483</v>
      </c>
      <c r="C105" s="28" t="s">
        <v>128</v>
      </c>
      <c r="D105" s="28" t="s">
        <v>129</v>
      </c>
    </row>
    <row r="106" spans="1:7" x14ac:dyDescent="0.45">
      <c r="A106" s="28" t="s">
        <v>221</v>
      </c>
      <c r="B106" s="29">
        <v>43862.101307870369</v>
      </c>
      <c r="C106" s="28" t="s">
        <v>128</v>
      </c>
      <c r="D106" s="28" t="s">
        <v>129</v>
      </c>
      <c r="E106" s="28" t="s">
        <v>173</v>
      </c>
    </row>
    <row r="107" spans="1:7" x14ac:dyDescent="0.45">
      <c r="A107" s="28" t="s">
        <v>313</v>
      </c>
      <c r="B107" s="29">
        <v>43863.061215277776</v>
      </c>
      <c r="C107" s="28" t="s">
        <v>128</v>
      </c>
      <c r="D107" s="28" t="s">
        <v>129</v>
      </c>
      <c r="E107" s="28" t="s">
        <v>173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1023</v>
      </c>
    </row>
    <row r="2" spans="1:2" x14ac:dyDescent="0.45">
      <c r="A2" t="s">
        <v>161</v>
      </c>
      <c r="B2">
        <v>88</v>
      </c>
    </row>
    <row r="3" spans="1:2" x14ac:dyDescent="0.45">
      <c r="A3" t="s">
        <v>126</v>
      </c>
      <c r="B3">
        <v>204</v>
      </c>
    </row>
    <row r="4" spans="1:2" x14ac:dyDescent="0.45">
      <c r="A4" t="s">
        <v>127</v>
      </c>
      <c r="B4">
        <v>178</v>
      </c>
    </row>
    <row r="5" spans="1:2" x14ac:dyDescent="0.45">
      <c r="A5" t="s">
        <v>172</v>
      </c>
      <c r="B5">
        <v>102</v>
      </c>
    </row>
    <row r="6" spans="1:2" x14ac:dyDescent="0.45">
      <c r="A6" t="s">
        <v>170</v>
      </c>
      <c r="B6">
        <v>151</v>
      </c>
    </row>
    <row r="7" spans="1:2" x14ac:dyDescent="0.45">
      <c r="A7" t="s">
        <v>171</v>
      </c>
      <c r="B7">
        <v>156</v>
      </c>
    </row>
    <row r="8" spans="1:2" x14ac:dyDescent="0.45">
      <c r="A8" t="s">
        <v>197</v>
      </c>
      <c r="B8">
        <v>70</v>
      </c>
    </row>
    <row r="9" spans="1:2" x14ac:dyDescent="0.45">
      <c r="A9" t="s">
        <v>196</v>
      </c>
      <c r="B9">
        <v>32</v>
      </c>
    </row>
    <row r="10" spans="1:2" x14ac:dyDescent="0.45">
      <c r="A10" t="s">
        <v>232</v>
      </c>
      <c r="B10">
        <v>7</v>
      </c>
    </row>
    <row r="11" spans="1:2" x14ac:dyDescent="0.45">
      <c r="A11" t="s">
        <v>256</v>
      </c>
      <c r="B11">
        <v>2</v>
      </c>
    </row>
    <row r="12" spans="1:2" x14ac:dyDescent="0.45">
      <c r="A12" t="s">
        <v>200</v>
      </c>
      <c r="B12">
        <v>18</v>
      </c>
    </row>
    <row r="13" spans="1:2" x14ac:dyDescent="0.45">
      <c r="A13" t="s">
        <v>201</v>
      </c>
      <c r="B13">
        <v>10</v>
      </c>
    </row>
    <row r="14" spans="1:2" x14ac:dyDescent="0.45">
      <c r="A14" t="s">
        <v>301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2" t="s">
        <v>6</v>
      </c>
      <c r="C1" s="163"/>
      <c r="D1" s="162" t="s">
        <v>7</v>
      </c>
      <c r="E1" s="163"/>
      <c r="F1" s="162" t="s">
        <v>15</v>
      </c>
      <c r="G1" s="163"/>
      <c r="H1" s="162" t="s">
        <v>14</v>
      </c>
      <c r="I1" s="163"/>
      <c r="J1" s="162" t="s">
        <v>155</v>
      </c>
      <c r="K1" s="163"/>
      <c r="L1" s="162" t="s">
        <v>145</v>
      </c>
      <c r="M1" s="163"/>
      <c r="N1" s="162" t="s">
        <v>146</v>
      </c>
      <c r="O1" s="163"/>
      <c r="P1" s="162" t="s">
        <v>5</v>
      </c>
      <c r="Q1" s="163"/>
      <c r="R1" s="162" t="s">
        <v>16</v>
      </c>
      <c r="S1" s="163"/>
      <c r="T1" s="162" t="s">
        <v>17</v>
      </c>
      <c r="U1" s="163"/>
      <c r="V1" s="162" t="s">
        <v>122</v>
      </c>
      <c r="W1" s="163"/>
      <c r="X1" s="162" t="s">
        <v>119</v>
      </c>
      <c r="Y1" s="163"/>
      <c r="Z1" s="162" t="s">
        <v>125</v>
      </c>
      <c r="AA1" s="163"/>
      <c r="AB1" s="162" t="s">
        <v>147</v>
      </c>
      <c r="AC1" s="163"/>
      <c r="AD1" s="162" t="s">
        <v>140</v>
      </c>
      <c r="AE1" s="163"/>
      <c r="AF1" s="162" t="s">
        <v>192</v>
      </c>
      <c r="AG1" s="163"/>
    </row>
    <row r="2" spans="1:33" x14ac:dyDescent="0.45">
      <c r="A2" s="68" t="s">
        <v>154</v>
      </c>
      <c r="B2" s="164"/>
      <c r="C2" s="165"/>
      <c r="D2" s="164"/>
      <c r="E2" s="165"/>
      <c r="F2" s="166">
        <v>0.9761773878361425</v>
      </c>
      <c r="G2" s="167"/>
      <c r="H2" s="166">
        <v>0.82173060963315392</v>
      </c>
      <c r="I2" s="167"/>
      <c r="J2" s="166">
        <v>0.65372387252124819</v>
      </c>
      <c r="K2" s="167"/>
      <c r="L2" s="166">
        <v>0.58697732020011151</v>
      </c>
      <c r="M2" s="167"/>
      <c r="N2" s="166">
        <v>0.24321070822398788</v>
      </c>
      <c r="O2" s="167"/>
      <c r="P2" s="166">
        <v>0.45687227077520304</v>
      </c>
      <c r="Q2" s="167"/>
      <c r="R2" s="166">
        <v>-5.7647549763426648E-2</v>
      </c>
      <c r="S2" s="167"/>
      <c r="T2" s="166">
        <v>0.25770925995596344</v>
      </c>
      <c r="U2" s="167"/>
      <c r="V2" s="166">
        <v>0.3700083933725935</v>
      </c>
      <c r="W2" s="167"/>
      <c r="X2" s="166">
        <v>1.5867108300138596E-2</v>
      </c>
      <c r="Y2" s="167"/>
      <c r="Z2" s="166">
        <v>0.47295293862606907</v>
      </c>
      <c r="AA2" s="167"/>
      <c r="AB2" s="166">
        <v>6.6658164071782294E-2</v>
      </c>
      <c r="AC2" s="167"/>
      <c r="AD2" s="166">
        <v>-0.16640810258190858</v>
      </c>
      <c r="AE2" s="167"/>
      <c r="AF2" s="166">
        <v>0.74666351014502208</v>
      </c>
      <c r="AG2" s="167"/>
    </row>
    <row r="3" spans="1:33" x14ac:dyDescent="0.45">
      <c r="A3" s="70">
        <v>1</v>
      </c>
      <c r="B3" s="71" t="s">
        <v>126</v>
      </c>
      <c r="C3" s="72">
        <v>1934.3999999999996</v>
      </c>
      <c r="D3" s="73" t="s">
        <v>256</v>
      </c>
      <c r="E3" s="92">
        <v>13.1</v>
      </c>
      <c r="F3" s="73" t="s">
        <v>256</v>
      </c>
      <c r="G3" s="74">
        <v>1.5</v>
      </c>
      <c r="H3" s="73" t="s">
        <v>201</v>
      </c>
      <c r="I3" s="75">
        <v>0.5</v>
      </c>
      <c r="J3" s="73" t="s">
        <v>256</v>
      </c>
      <c r="K3" s="75">
        <v>0</v>
      </c>
      <c r="L3" s="73" t="s">
        <v>256</v>
      </c>
      <c r="M3" s="76">
        <v>0.46666666666666667</v>
      </c>
      <c r="N3" s="73" t="s">
        <v>256</v>
      </c>
      <c r="O3" s="76">
        <v>6.6666666666666666E-2</v>
      </c>
      <c r="P3" s="73" t="s">
        <v>170</v>
      </c>
      <c r="Q3" s="77">
        <v>11139.2749244713</v>
      </c>
      <c r="R3" s="73" t="s">
        <v>196</v>
      </c>
      <c r="S3" s="77">
        <v>-7102</v>
      </c>
      <c r="T3" s="73" t="s">
        <v>256</v>
      </c>
      <c r="U3" s="75">
        <v>0</v>
      </c>
      <c r="V3" s="73" t="s">
        <v>201</v>
      </c>
      <c r="W3" s="76">
        <v>0.38461538461538464</v>
      </c>
      <c r="X3" s="73" t="s">
        <v>232</v>
      </c>
      <c r="Y3" s="76">
        <v>0.35483870967741937</v>
      </c>
      <c r="Z3" s="73" t="s">
        <v>201</v>
      </c>
      <c r="AA3" s="76">
        <v>0.6333333333333333</v>
      </c>
      <c r="AB3" s="73" t="s">
        <v>256</v>
      </c>
      <c r="AC3" s="76">
        <v>1</v>
      </c>
      <c r="AD3" s="73" t="s">
        <v>196</v>
      </c>
      <c r="AE3" s="76">
        <v>0.58441558441558439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593.50000000000057</v>
      </c>
      <c r="D4" s="81" t="s">
        <v>126</v>
      </c>
      <c r="E4" s="93">
        <v>9.4823529411764689</v>
      </c>
      <c r="F4" s="81" t="s">
        <v>126</v>
      </c>
      <c r="G4" s="82">
        <v>1.7647058823529411</v>
      </c>
      <c r="H4" s="81" t="s">
        <v>256</v>
      </c>
      <c r="I4" s="83">
        <v>0.5</v>
      </c>
      <c r="J4" s="81" t="s">
        <v>126</v>
      </c>
      <c r="K4" s="83">
        <v>0.24019607843137256</v>
      </c>
      <c r="L4" s="81" t="s">
        <v>200</v>
      </c>
      <c r="M4" s="84">
        <v>0.34838709677419355</v>
      </c>
      <c r="N4" s="81" t="s">
        <v>126</v>
      </c>
      <c r="O4" s="84">
        <v>0.12396694214876033</v>
      </c>
      <c r="P4" s="81" t="s">
        <v>201</v>
      </c>
      <c r="Q4" s="85">
        <v>9534.6153846153848</v>
      </c>
      <c r="R4" s="81" t="s">
        <v>171</v>
      </c>
      <c r="S4" s="85">
        <v>-7195.4802259887001</v>
      </c>
      <c r="T4" s="81" t="s">
        <v>126</v>
      </c>
      <c r="U4" s="83">
        <v>4.4117647058823532E-2</v>
      </c>
      <c r="V4" s="81" t="s">
        <v>301</v>
      </c>
      <c r="W4" s="84">
        <v>0.375</v>
      </c>
      <c r="X4" s="81" t="s">
        <v>256</v>
      </c>
      <c r="Y4" s="84">
        <v>0.33333333333333331</v>
      </c>
      <c r="Z4" s="81" t="s">
        <v>126</v>
      </c>
      <c r="AA4" s="84">
        <v>0.57999999999999996</v>
      </c>
      <c r="AB4" s="81" t="s">
        <v>200</v>
      </c>
      <c r="AC4" s="84">
        <v>0.68421052631578949</v>
      </c>
      <c r="AD4" s="81" t="s">
        <v>200</v>
      </c>
      <c r="AE4" s="84">
        <v>0.53703703703703709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256</v>
      </c>
      <c r="C5" s="80">
        <v>26.2</v>
      </c>
      <c r="D5" s="81" t="s">
        <v>170</v>
      </c>
      <c r="E5" s="93">
        <v>3.9304635761589442</v>
      </c>
      <c r="F5" s="81" t="s">
        <v>170</v>
      </c>
      <c r="G5" s="82">
        <v>1.9271523178807948</v>
      </c>
      <c r="H5" s="81" t="s">
        <v>126</v>
      </c>
      <c r="I5" s="83">
        <v>0.47549019607843135</v>
      </c>
      <c r="J5" s="81" t="s">
        <v>171</v>
      </c>
      <c r="K5" s="83">
        <v>0.30128205128205127</v>
      </c>
      <c r="L5" s="81" t="s">
        <v>126</v>
      </c>
      <c r="M5" s="84">
        <v>0.34238488783943327</v>
      </c>
      <c r="N5" s="81" t="s">
        <v>171</v>
      </c>
      <c r="O5" s="84">
        <v>0.14025356576862125</v>
      </c>
      <c r="P5" s="81" t="s">
        <v>301</v>
      </c>
      <c r="Q5" s="85">
        <v>8512.5</v>
      </c>
      <c r="R5" s="81" t="s">
        <v>161</v>
      </c>
      <c r="S5" s="85">
        <v>-7540.9448818897636</v>
      </c>
      <c r="T5" s="81" t="s">
        <v>172</v>
      </c>
      <c r="U5" s="83">
        <v>7.8431372549019607E-2</v>
      </c>
      <c r="V5" s="81" t="s">
        <v>200</v>
      </c>
      <c r="W5" s="84">
        <v>0.34838709677419355</v>
      </c>
      <c r="X5" s="81" t="s">
        <v>127</v>
      </c>
      <c r="Y5" s="84">
        <v>0.29912221471978395</v>
      </c>
      <c r="Z5" s="81" t="s">
        <v>200</v>
      </c>
      <c r="AA5" s="84">
        <v>0.57407407407407407</v>
      </c>
      <c r="AB5" s="81" t="s">
        <v>126</v>
      </c>
      <c r="AC5" s="84">
        <v>0.48267326732673266</v>
      </c>
      <c r="AD5" s="81" t="s">
        <v>170</v>
      </c>
      <c r="AE5" s="84">
        <v>0.51057401812688818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201</v>
      </c>
      <c r="C6" s="80">
        <v>9.2999999999999972</v>
      </c>
      <c r="D6" s="81" t="s">
        <v>201</v>
      </c>
      <c r="E6" s="93">
        <v>0.92999999999999972</v>
      </c>
      <c r="F6" s="81" t="s">
        <v>127</v>
      </c>
      <c r="G6" s="82">
        <v>1.9831460674157304</v>
      </c>
      <c r="H6" s="81" t="s">
        <v>232</v>
      </c>
      <c r="I6" s="83">
        <v>0.42857142857142855</v>
      </c>
      <c r="J6" s="81" t="s">
        <v>170</v>
      </c>
      <c r="K6" s="83">
        <v>0.31788079470198677</v>
      </c>
      <c r="L6" s="81" t="s">
        <v>201</v>
      </c>
      <c r="M6" s="84">
        <v>0.33333333333333331</v>
      </c>
      <c r="N6" s="81" t="s">
        <v>141</v>
      </c>
      <c r="O6" s="84">
        <v>0.1597515236755743</v>
      </c>
      <c r="P6" s="81" t="s">
        <v>171</v>
      </c>
      <c r="Q6" s="85">
        <v>8511.1428571428569</v>
      </c>
      <c r="R6" s="81" t="s">
        <v>126</v>
      </c>
      <c r="S6" s="85">
        <v>-7655.2380952380954</v>
      </c>
      <c r="T6" s="81" t="s">
        <v>161</v>
      </c>
      <c r="U6" s="83">
        <v>7.9545454545454544E-2</v>
      </c>
      <c r="V6" s="81" t="s">
        <v>170</v>
      </c>
      <c r="W6" s="84">
        <v>0.29528535980148884</v>
      </c>
      <c r="X6" s="81" t="s">
        <v>161</v>
      </c>
      <c r="Y6" s="84">
        <v>0.26282051282051283</v>
      </c>
      <c r="Z6" s="81" t="s">
        <v>196</v>
      </c>
      <c r="AA6" s="84">
        <v>0.5662650602409639</v>
      </c>
      <c r="AB6" s="81" t="s">
        <v>197</v>
      </c>
      <c r="AC6" s="84">
        <v>0.42537313432835822</v>
      </c>
      <c r="AD6" s="81" t="s">
        <v>172</v>
      </c>
      <c r="AE6" s="84">
        <v>0.47435897435897434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141</v>
      </c>
      <c r="C7" s="80">
        <v>-6.7501559897209518E-14</v>
      </c>
      <c r="D7" s="81" t="s">
        <v>141</v>
      </c>
      <c r="E7" s="93">
        <v>-6.5983929518288877E-17</v>
      </c>
      <c r="F7" s="81" t="s">
        <v>196</v>
      </c>
      <c r="G7" s="82">
        <v>2</v>
      </c>
      <c r="H7" s="81" t="s">
        <v>170</v>
      </c>
      <c r="I7" s="83">
        <v>0.39072847682119205</v>
      </c>
      <c r="J7" s="81" t="s">
        <v>127</v>
      </c>
      <c r="K7" s="83">
        <v>0.3202247191011236</v>
      </c>
      <c r="L7" s="81" t="s">
        <v>127</v>
      </c>
      <c r="M7" s="84">
        <v>0.31532748143146522</v>
      </c>
      <c r="N7" s="81" t="s">
        <v>200</v>
      </c>
      <c r="O7" s="84">
        <v>0.16129032258064516</v>
      </c>
      <c r="P7" s="81" t="s">
        <v>141</v>
      </c>
      <c r="Q7" s="85">
        <v>8442.8058987644472</v>
      </c>
      <c r="R7" s="81" t="s">
        <v>172</v>
      </c>
      <c r="S7" s="85">
        <v>-7839.375</v>
      </c>
      <c r="T7" s="81" t="s">
        <v>171</v>
      </c>
      <c r="U7" s="83">
        <v>8.3333333333333329E-2</v>
      </c>
      <c r="V7" s="81" t="s">
        <v>196</v>
      </c>
      <c r="W7" s="84">
        <v>0.27852348993288589</v>
      </c>
      <c r="X7" s="81" t="s">
        <v>126</v>
      </c>
      <c r="Y7" s="84">
        <v>0.2384887839433294</v>
      </c>
      <c r="Z7" s="81" t="s">
        <v>171</v>
      </c>
      <c r="AA7" s="84">
        <v>0.54798761609907121</v>
      </c>
      <c r="AB7" s="81" t="s">
        <v>141</v>
      </c>
      <c r="AC7" s="84">
        <v>0.41860465116279072</v>
      </c>
      <c r="AD7" s="81" t="s">
        <v>197</v>
      </c>
      <c r="AE7" s="84">
        <v>0.46258503401360546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127</v>
      </c>
      <c r="C8" s="80">
        <v>-47.000000000000206</v>
      </c>
      <c r="D8" s="81" t="s">
        <v>127</v>
      </c>
      <c r="E8" s="93">
        <v>-0.26404494382022586</v>
      </c>
      <c r="F8" s="81" t="s">
        <v>201</v>
      </c>
      <c r="G8" s="82">
        <v>2</v>
      </c>
      <c r="H8" s="81" t="s">
        <v>196</v>
      </c>
      <c r="I8" s="83">
        <v>0.375</v>
      </c>
      <c r="J8" s="81" t="s">
        <v>141</v>
      </c>
      <c r="K8" s="83">
        <v>0.33333333333333331</v>
      </c>
      <c r="L8" s="81" t="s">
        <v>141</v>
      </c>
      <c r="M8" s="84">
        <v>0.29406938584153774</v>
      </c>
      <c r="N8" s="81" t="s">
        <v>161</v>
      </c>
      <c r="O8" s="84">
        <v>0.16282051282051282</v>
      </c>
      <c r="P8" s="81" t="s">
        <v>126</v>
      </c>
      <c r="Q8" s="85">
        <v>8280.689655172413</v>
      </c>
      <c r="R8" s="81" t="s">
        <v>141</v>
      </c>
      <c r="S8" s="85">
        <v>-7872.1203228173144</v>
      </c>
      <c r="T8" s="81" t="s">
        <v>141</v>
      </c>
      <c r="U8" s="83">
        <v>9.7751710654936458E-2</v>
      </c>
      <c r="V8" s="81" t="s">
        <v>172</v>
      </c>
      <c r="W8" s="84">
        <v>0.27582292849035189</v>
      </c>
      <c r="X8" s="81" t="s">
        <v>197</v>
      </c>
      <c r="Y8" s="84">
        <v>0.23223570190641249</v>
      </c>
      <c r="Z8" s="81" t="s">
        <v>141</v>
      </c>
      <c r="AA8" s="84">
        <v>0.54494643688868183</v>
      </c>
      <c r="AB8" s="81" t="s">
        <v>171</v>
      </c>
      <c r="AC8" s="84">
        <v>0.41811846689895471</v>
      </c>
      <c r="AD8" s="81" t="s">
        <v>201</v>
      </c>
      <c r="AE8" s="84">
        <v>0.46153846153846156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200</v>
      </c>
      <c r="C9" s="80">
        <v>-55.6</v>
      </c>
      <c r="D9" s="81" t="s">
        <v>171</v>
      </c>
      <c r="E9" s="93">
        <v>-0.5262820512820513</v>
      </c>
      <c r="F9" s="81" t="s">
        <v>141</v>
      </c>
      <c r="G9" s="82">
        <v>2</v>
      </c>
      <c r="H9" s="81" t="s">
        <v>127</v>
      </c>
      <c r="I9" s="83">
        <v>0.33707865168539325</v>
      </c>
      <c r="J9" s="81" t="s">
        <v>196</v>
      </c>
      <c r="K9" s="83">
        <v>0.375</v>
      </c>
      <c r="L9" s="81" t="s">
        <v>171</v>
      </c>
      <c r="M9" s="84">
        <v>0.27733755942947702</v>
      </c>
      <c r="N9" s="81" t="s">
        <v>196</v>
      </c>
      <c r="O9" s="84">
        <v>0.16778523489932887</v>
      </c>
      <c r="P9" s="81" t="s">
        <v>197</v>
      </c>
      <c r="Q9" s="85">
        <v>8261.224489795919</v>
      </c>
      <c r="R9" s="81" t="s">
        <v>127</v>
      </c>
      <c r="S9" s="85">
        <v>-7936.259541984733</v>
      </c>
      <c r="T9" s="81" t="s">
        <v>127</v>
      </c>
      <c r="U9" s="83">
        <v>0.10112359550561797</v>
      </c>
      <c r="V9" s="81" t="s">
        <v>256</v>
      </c>
      <c r="W9" s="84">
        <v>0.26666666666666666</v>
      </c>
      <c r="X9" s="81" t="s">
        <v>141</v>
      </c>
      <c r="Y9" s="84">
        <v>0.2318330989217065</v>
      </c>
      <c r="Z9" s="81" t="s">
        <v>170</v>
      </c>
      <c r="AA9" s="84">
        <v>0.54061624649859941</v>
      </c>
      <c r="AB9" s="81" t="s">
        <v>172</v>
      </c>
      <c r="AC9" s="84">
        <v>0.39880952380952384</v>
      </c>
      <c r="AD9" s="81" t="s">
        <v>171</v>
      </c>
      <c r="AE9" s="84">
        <v>0.46</v>
      </c>
      <c r="AF9" s="81" t="s">
        <v>161</v>
      </c>
      <c r="AG9" s="88">
        <v>87400</v>
      </c>
    </row>
    <row r="10" spans="1:33" x14ac:dyDescent="0.45">
      <c r="A10" s="78">
        <v>8</v>
      </c>
      <c r="B10" s="79" t="s">
        <v>301</v>
      </c>
      <c r="C10" s="80">
        <v>-80.800000000000011</v>
      </c>
      <c r="D10" s="81" t="s">
        <v>196</v>
      </c>
      <c r="E10" s="93">
        <v>-3.0218749999999992</v>
      </c>
      <c r="F10" s="81" t="s">
        <v>171</v>
      </c>
      <c r="G10" s="82">
        <v>2.0448717948717947</v>
      </c>
      <c r="H10" s="81" t="s">
        <v>200</v>
      </c>
      <c r="I10" s="83">
        <v>0.33333333333333331</v>
      </c>
      <c r="J10" s="81" t="s">
        <v>200</v>
      </c>
      <c r="K10" s="83">
        <v>0.3888888888888889</v>
      </c>
      <c r="L10" s="81" t="s">
        <v>170</v>
      </c>
      <c r="M10" s="84">
        <v>0.27377998345740279</v>
      </c>
      <c r="N10" s="81" t="s">
        <v>170</v>
      </c>
      <c r="O10" s="84">
        <v>0.17369727047146402</v>
      </c>
      <c r="P10" s="81" t="s">
        <v>196</v>
      </c>
      <c r="Q10" s="85">
        <v>8164.9350649350654</v>
      </c>
      <c r="R10" s="81" t="s">
        <v>301</v>
      </c>
      <c r="S10" s="85">
        <v>-7987.5</v>
      </c>
      <c r="T10" s="81" t="s">
        <v>170</v>
      </c>
      <c r="U10" s="83">
        <v>0.12582781456953643</v>
      </c>
      <c r="V10" s="81" t="s">
        <v>126</v>
      </c>
      <c r="W10" s="84">
        <v>0.26564344746162927</v>
      </c>
      <c r="X10" s="81" t="s">
        <v>171</v>
      </c>
      <c r="Y10" s="84">
        <v>0.22741679873217116</v>
      </c>
      <c r="Z10" s="81" t="s">
        <v>172</v>
      </c>
      <c r="AA10" s="84">
        <v>0.53909465020576131</v>
      </c>
      <c r="AB10" s="81" t="s">
        <v>127</v>
      </c>
      <c r="AC10" s="84">
        <v>0.39729119638826182</v>
      </c>
      <c r="AD10" s="81" t="s">
        <v>141</v>
      </c>
      <c r="AE10" s="84">
        <v>0.45197289756875247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171</v>
      </c>
      <c r="C11" s="80">
        <v>-82.1</v>
      </c>
      <c r="D11" s="81" t="s">
        <v>200</v>
      </c>
      <c r="E11" s="93">
        <v>-3.088888888888889</v>
      </c>
      <c r="F11" s="81" t="s">
        <v>200</v>
      </c>
      <c r="G11" s="82">
        <v>2.0555555555555554</v>
      </c>
      <c r="H11" s="81" t="s">
        <v>141</v>
      </c>
      <c r="I11" s="83">
        <v>0.33333333333333331</v>
      </c>
      <c r="J11" s="81" t="s">
        <v>301</v>
      </c>
      <c r="K11" s="83">
        <v>0.4</v>
      </c>
      <c r="L11" s="81" t="s">
        <v>161</v>
      </c>
      <c r="M11" s="84">
        <v>0.27307692307692305</v>
      </c>
      <c r="N11" s="81" t="s">
        <v>197</v>
      </c>
      <c r="O11" s="84">
        <v>0.17677642980935876</v>
      </c>
      <c r="P11" s="81" t="s">
        <v>127</v>
      </c>
      <c r="Q11" s="85">
        <v>7886.0813704496786</v>
      </c>
      <c r="R11" s="81" t="s">
        <v>256</v>
      </c>
      <c r="S11" s="85">
        <v>-8000</v>
      </c>
      <c r="T11" s="81" t="s">
        <v>196</v>
      </c>
      <c r="U11" s="83">
        <v>0.15625</v>
      </c>
      <c r="V11" s="81" t="s">
        <v>171</v>
      </c>
      <c r="W11" s="84">
        <v>0.25594294770206022</v>
      </c>
      <c r="X11" s="81" t="s">
        <v>172</v>
      </c>
      <c r="Y11" s="84">
        <v>0.19069239500567536</v>
      </c>
      <c r="Z11" s="81" t="s">
        <v>161</v>
      </c>
      <c r="AA11" s="84">
        <v>0.53636363636363638</v>
      </c>
      <c r="AB11" s="81" t="s">
        <v>161</v>
      </c>
      <c r="AC11" s="84">
        <v>0.39512195121951221</v>
      </c>
      <c r="AD11" s="81" t="s">
        <v>161</v>
      </c>
      <c r="AE11" s="84">
        <v>0.43661971830985913</v>
      </c>
      <c r="AF11" s="81" t="s">
        <v>201</v>
      </c>
      <c r="AG11" s="88">
        <v>70900</v>
      </c>
    </row>
    <row r="12" spans="1:33" x14ac:dyDescent="0.45">
      <c r="A12" s="78">
        <v>10</v>
      </c>
      <c r="B12" s="79" t="s">
        <v>196</v>
      </c>
      <c r="C12" s="80">
        <v>-96.699999999999974</v>
      </c>
      <c r="D12" s="81" t="s">
        <v>161</v>
      </c>
      <c r="E12" s="93">
        <v>-6.792045454545458</v>
      </c>
      <c r="F12" s="81" t="s">
        <v>232</v>
      </c>
      <c r="G12" s="82">
        <v>2.1428571428571428</v>
      </c>
      <c r="H12" s="81" t="s">
        <v>161</v>
      </c>
      <c r="I12" s="83">
        <v>0.28409090909090912</v>
      </c>
      <c r="J12" s="81" t="s">
        <v>172</v>
      </c>
      <c r="K12" s="83">
        <v>0.40196078431372551</v>
      </c>
      <c r="L12" s="81" t="s">
        <v>172</v>
      </c>
      <c r="M12" s="84">
        <v>0.26560726447219069</v>
      </c>
      <c r="N12" s="81" t="s">
        <v>127</v>
      </c>
      <c r="O12" s="84">
        <v>0.17690749493585414</v>
      </c>
      <c r="P12" s="81" t="s">
        <v>172</v>
      </c>
      <c r="Q12" s="85">
        <v>7844.0170940170938</v>
      </c>
      <c r="R12" s="81" t="s">
        <v>200</v>
      </c>
      <c r="S12" s="85">
        <v>-8220</v>
      </c>
      <c r="T12" s="81" t="s">
        <v>197</v>
      </c>
      <c r="U12" s="83">
        <v>0.15714285714285714</v>
      </c>
      <c r="V12" s="81" t="s">
        <v>141</v>
      </c>
      <c r="W12" s="84">
        <v>0.25164088138771684</v>
      </c>
      <c r="X12" s="81" t="s">
        <v>170</v>
      </c>
      <c r="Y12" s="84">
        <v>0.18527708850289495</v>
      </c>
      <c r="Z12" s="81" t="s">
        <v>232</v>
      </c>
      <c r="AA12" s="84">
        <v>0.53333333333333333</v>
      </c>
      <c r="AB12" s="81" t="s">
        <v>201</v>
      </c>
      <c r="AC12" s="84">
        <v>0.38461538461538464</v>
      </c>
      <c r="AD12" s="81" t="s">
        <v>126</v>
      </c>
      <c r="AE12" s="84">
        <v>0.4206896551724138</v>
      </c>
      <c r="AF12" s="81" t="s">
        <v>172</v>
      </c>
      <c r="AG12" s="88">
        <v>69500</v>
      </c>
    </row>
    <row r="13" spans="1:33" x14ac:dyDescent="0.45">
      <c r="A13" s="78">
        <v>11</v>
      </c>
      <c r="B13" s="79" t="s">
        <v>232</v>
      </c>
      <c r="C13" s="80">
        <v>-104.80000000000001</v>
      </c>
      <c r="D13" s="81" t="s">
        <v>172</v>
      </c>
      <c r="E13" s="93">
        <v>-7.4431372549019601</v>
      </c>
      <c r="F13" s="81" t="s">
        <v>161</v>
      </c>
      <c r="G13" s="82">
        <v>2.1590909090909092</v>
      </c>
      <c r="H13" s="81" t="s">
        <v>171</v>
      </c>
      <c r="I13" s="83">
        <v>0.25641025641025639</v>
      </c>
      <c r="J13" s="81" t="s">
        <v>197</v>
      </c>
      <c r="K13" s="83">
        <v>0.42857142857142855</v>
      </c>
      <c r="L13" s="81" t="s">
        <v>196</v>
      </c>
      <c r="M13" s="84">
        <v>0.25838926174496646</v>
      </c>
      <c r="N13" s="81" t="s">
        <v>172</v>
      </c>
      <c r="O13" s="84">
        <v>0.18161180476730987</v>
      </c>
      <c r="P13" s="81" t="s">
        <v>232</v>
      </c>
      <c r="Q13" s="85">
        <v>7473.333333333333</v>
      </c>
      <c r="R13" s="81" t="s">
        <v>170</v>
      </c>
      <c r="S13" s="85">
        <v>-8387.1428571428569</v>
      </c>
      <c r="T13" s="81" t="s">
        <v>200</v>
      </c>
      <c r="U13" s="83">
        <v>0.16666666666666666</v>
      </c>
      <c r="V13" s="81" t="s">
        <v>232</v>
      </c>
      <c r="W13" s="84">
        <v>0.24193548387096775</v>
      </c>
      <c r="X13" s="81" t="s">
        <v>201</v>
      </c>
      <c r="Y13" s="84">
        <v>0.16666666666666666</v>
      </c>
      <c r="Z13" s="81" t="s">
        <v>127</v>
      </c>
      <c r="AA13" s="84">
        <v>0.5117647058823529</v>
      </c>
      <c r="AB13" s="81" t="s">
        <v>170</v>
      </c>
      <c r="AC13" s="84">
        <v>0.38392857142857145</v>
      </c>
      <c r="AD13" s="81" t="s">
        <v>127</v>
      </c>
      <c r="AE13" s="84">
        <v>0.41327623126338331</v>
      </c>
      <c r="AF13" s="81" t="s">
        <v>200</v>
      </c>
      <c r="AG13" s="88">
        <v>65900</v>
      </c>
    </row>
    <row r="14" spans="1:33" x14ac:dyDescent="0.45">
      <c r="A14" s="78">
        <v>12</v>
      </c>
      <c r="B14" s="79" t="s">
        <v>161</v>
      </c>
      <c r="C14" s="80">
        <v>-597.70000000000027</v>
      </c>
      <c r="D14" s="81" t="s">
        <v>197</v>
      </c>
      <c r="E14" s="93">
        <v>-10.564285714285717</v>
      </c>
      <c r="F14" s="81" t="s">
        <v>172</v>
      </c>
      <c r="G14" s="82">
        <v>2.1960784313725492</v>
      </c>
      <c r="H14" s="81" t="s">
        <v>172</v>
      </c>
      <c r="I14" s="83">
        <v>0.20588235294117646</v>
      </c>
      <c r="J14" s="81" t="s">
        <v>161</v>
      </c>
      <c r="K14" s="83">
        <v>0.44318181818181818</v>
      </c>
      <c r="L14" s="81" t="s">
        <v>197</v>
      </c>
      <c r="M14" s="84">
        <v>0.25476603119584057</v>
      </c>
      <c r="N14" s="81" t="s">
        <v>232</v>
      </c>
      <c r="O14" s="84">
        <v>0.19354838709677419</v>
      </c>
      <c r="P14" s="81" t="s">
        <v>256</v>
      </c>
      <c r="Q14" s="85">
        <v>7385.7142857142853</v>
      </c>
      <c r="R14" s="81" t="s">
        <v>197</v>
      </c>
      <c r="S14" s="85">
        <v>-8473.5294117647063</v>
      </c>
      <c r="T14" s="81" t="s">
        <v>201</v>
      </c>
      <c r="U14" s="83">
        <v>0.2</v>
      </c>
      <c r="V14" s="81" t="s">
        <v>127</v>
      </c>
      <c r="W14" s="84">
        <v>0.22957461174881835</v>
      </c>
      <c r="X14" s="81" t="s">
        <v>196</v>
      </c>
      <c r="Y14" s="84">
        <v>0.16107382550335569</v>
      </c>
      <c r="Z14" s="81" t="s">
        <v>197</v>
      </c>
      <c r="AA14" s="84">
        <v>0.50406504065040647</v>
      </c>
      <c r="AB14" s="81" t="s">
        <v>301</v>
      </c>
      <c r="AC14" s="84">
        <v>0.33333333333333331</v>
      </c>
      <c r="AD14" s="81" t="s">
        <v>232</v>
      </c>
      <c r="AE14" s="84">
        <v>0.33333333333333331</v>
      </c>
      <c r="AF14" s="81" t="s">
        <v>232</v>
      </c>
      <c r="AG14" s="88">
        <v>59500</v>
      </c>
    </row>
    <row r="15" spans="1:33" x14ac:dyDescent="0.45">
      <c r="A15" s="78">
        <v>13</v>
      </c>
      <c r="B15" s="79" t="s">
        <v>197</v>
      </c>
      <c r="C15" s="80">
        <v>-739.50000000000011</v>
      </c>
      <c r="D15" s="81" t="s">
        <v>232</v>
      </c>
      <c r="E15" s="93">
        <v>-14.971428571428573</v>
      </c>
      <c r="F15" s="81" t="s">
        <v>301</v>
      </c>
      <c r="G15" s="82">
        <v>2.2000000000000002</v>
      </c>
      <c r="H15" s="81" t="s">
        <v>301</v>
      </c>
      <c r="I15" s="83">
        <v>0.2</v>
      </c>
      <c r="J15" s="81" t="s">
        <v>201</v>
      </c>
      <c r="K15" s="83">
        <v>0.5</v>
      </c>
      <c r="L15" s="81" t="s">
        <v>232</v>
      </c>
      <c r="M15" s="84">
        <v>0.24193548387096775</v>
      </c>
      <c r="N15" s="81" t="s">
        <v>301</v>
      </c>
      <c r="O15" s="84">
        <v>0.2</v>
      </c>
      <c r="P15" s="81" t="s">
        <v>161</v>
      </c>
      <c r="Q15" s="85">
        <v>7107.9812206572769</v>
      </c>
      <c r="R15" s="81" t="s">
        <v>232</v>
      </c>
      <c r="S15" s="85">
        <v>-9075</v>
      </c>
      <c r="T15" s="81" t="s">
        <v>301</v>
      </c>
      <c r="U15" s="83">
        <v>0.2</v>
      </c>
      <c r="V15" s="81" t="s">
        <v>197</v>
      </c>
      <c r="W15" s="84">
        <v>0.21317157712305027</v>
      </c>
      <c r="X15" s="81" t="s">
        <v>301</v>
      </c>
      <c r="Y15" s="84">
        <v>0.15</v>
      </c>
      <c r="Z15" s="81" t="s">
        <v>256</v>
      </c>
      <c r="AA15" s="84">
        <v>0.5</v>
      </c>
      <c r="AB15" s="81" t="s">
        <v>196</v>
      </c>
      <c r="AC15" s="84">
        <v>0.3125</v>
      </c>
      <c r="AD15" s="81" t="s">
        <v>256</v>
      </c>
      <c r="AE15" s="84">
        <v>0.2857142857142857</v>
      </c>
      <c r="AF15" s="81" t="s">
        <v>256</v>
      </c>
      <c r="AG15" s="88">
        <v>52800</v>
      </c>
    </row>
    <row r="16" spans="1:33" x14ac:dyDescent="0.45">
      <c r="A16" s="78">
        <v>14</v>
      </c>
      <c r="B16" s="79" t="s">
        <v>172</v>
      </c>
      <c r="C16" s="80">
        <v>-759.19999999999993</v>
      </c>
      <c r="D16" s="81" t="s">
        <v>301</v>
      </c>
      <c r="E16" s="93">
        <v>-16.160000000000004</v>
      </c>
      <c r="F16" s="81" t="s">
        <v>197</v>
      </c>
      <c r="G16" s="82">
        <v>2.2714285714285714</v>
      </c>
      <c r="H16" s="81" t="s">
        <v>197</v>
      </c>
      <c r="I16" s="83">
        <v>0.15714285714285714</v>
      </c>
      <c r="J16" s="81" t="s">
        <v>232</v>
      </c>
      <c r="K16" s="83">
        <v>0.5714285714285714</v>
      </c>
      <c r="L16" s="81" t="s">
        <v>301</v>
      </c>
      <c r="M16" s="84">
        <v>0.2</v>
      </c>
      <c r="N16" s="81" t="s">
        <v>201</v>
      </c>
      <c r="O16" s="84">
        <v>0.24358974358974358</v>
      </c>
      <c r="P16" s="81" t="s">
        <v>200</v>
      </c>
      <c r="Q16" s="85">
        <v>6648.1481481481478</v>
      </c>
      <c r="R16" s="81" t="s">
        <v>201</v>
      </c>
      <c r="S16" s="85">
        <v>-10010.526315789473</v>
      </c>
      <c r="T16" s="81" t="s">
        <v>232</v>
      </c>
      <c r="U16" s="83">
        <v>0.5714285714285714</v>
      </c>
      <c r="V16" s="81" t="s">
        <v>161</v>
      </c>
      <c r="W16" s="84">
        <v>0.14102564102564102</v>
      </c>
      <c r="X16" s="81" t="s">
        <v>200</v>
      </c>
      <c r="Y16" s="84">
        <v>0.12258064516129032</v>
      </c>
      <c r="Z16" s="81" t="s">
        <v>301</v>
      </c>
      <c r="AA16" s="84">
        <v>0.4</v>
      </c>
      <c r="AB16" s="81" t="s">
        <v>232</v>
      </c>
      <c r="AC16" s="84">
        <v>0.27272727272727271</v>
      </c>
      <c r="AD16" s="81" t="s">
        <v>301</v>
      </c>
      <c r="AE16" s="84">
        <v>0.25</v>
      </c>
      <c r="AF16" s="81" t="s">
        <v>301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E3CD1-0E0B-4376-B93B-7F5BE675568C}">
  <sheetPr codeName="Sheet4"/>
  <dimension ref="A1:Q1025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1023</v>
      </c>
      <c r="C2" s="155"/>
      <c r="E2" s="58" t="s">
        <v>66</v>
      </c>
      <c r="F2" s="55" t="s">
        <v>22</v>
      </c>
      <c r="G2" s="43">
        <v>1870</v>
      </c>
      <c r="H2" s="128">
        <f>IF(B$15=0,0,G2/B$15)</f>
        <v>0.7453168593064966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-29.498525073746311</v>
      </c>
      <c r="P2" s="114">
        <v>1017</v>
      </c>
      <c r="Q2" s="98">
        <v>-30000</v>
      </c>
    </row>
    <row r="3" spans="1:17" x14ac:dyDescent="0.45">
      <c r="A3" s="51" t="s">
        <v>8</v>
      </c>
      <c r="B3" s="156">
        <v>8532</v>
      </c>
      <c r="C3" s="157"/>
      <c r="E3" s="59" t="s">
        <v>72</v>
      </c>
      <c r="F3" s="56" t="s">
        <v>27</v>
      </c>
      <c r="G3" s="44">
        <v>1365</v>
      </c>
      <c r="H3" s="129">
        <f>IF(B$15=0,0,G3/B$15)</f>
        <v>0.54404145077720212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9.9800399201596814</v>
      </c>
      <c r="P3" s="115">
        <v>1002</v>
      </c>
      <c r="Q3" s="99">
        <v>10000</v>
      </c>
    </row>
    <row r="4" spans="1:17" x14ac:dyDescent="0.45">
      <c r="A4" s="51" t="s">
        <v>6</v>
      </c>
      <c r="B4" s="158">
        <v>-6.7501559897209518E-14</v>
      </c>
      <c r="C4" s="159"/>
      <c r="E4" s="59" t="s">
        <v>64</v>
      </c>
      <c r="F4" s="56" t="s">
        <v>20</v>
      </c>
      <c r="G4" s="44">
        <v>1134</v>
      </c>
      <c r="H4" s="129">
        <f>IF(B$15=0,0,G4/B$15)</f>
        <v>0.45197289756875247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-1.0615711252653928</v>
      </c>
      <c r="P4" s="115">
        <v>942</v>
      </c>
      <c r="Q4" s="99">
        <v>-1000</v>
      </c>
    </row>
    <row r="5" spans="1:17" x14ac:dyDescent="0.45">
      <c r="A5" s="51" t="s">
        <v>7</v>
      </c>
      <c r="B5" s="160">
        <f>IF(B$2=0,0,B$4/B$2)</f>
        <v>-6.5983929518288877E-17</v>
      </c>
      <c r="C5" s="161"/>
      <c r="E5" s="59" t="s">
        <v>166</v>
      </c>
      <c r="F5" s="56" t="s">
        <v>167</v>
      </c>
      <c r="G5" s="44">
        <v>986</v>
      </c>
      <c r="H5" s="129">
        <f>IF(B$15=0,0,G5/B$15)</f>
        <v>0.39298525308888005</v>
      </c>
      <c r="I5" s="90">
        <v>7</v>
      </c>
      <c r="K5" s="36">
        <v>3</v>
      </c>
      <c r="L5" s="95">
        <v>0</v>
      </c>
      <c r="N5" s="111" t="s">
        <v>133</v>
      </c>
      <c r="O5" s="118">
        <f t="shared" si="0"/>
        <v>-1.1376564277588168</v>
      </c>
      <c r="P5" s="115">
        <v>879</v>
      </c>
      <c r="Q5" s="99">
        <v>-1000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788</v>
      </c>
      <c r="H6" s="129">
        <f>IF(B$15=0,0,G6/B$15)</f>
        <v>0.31406935033878042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9.8765432098765427</v>
      </c>
      <c r="P6" s="115">
        <v>810</v>
      </c>
      <c r="Q6" s="99">
        <v>8000</v>
      </c>
    </row>
    <row r="7" spans="1:17" x14ac:dyDescent="0.45">
      <c r="A7" s="51" t="s">
        <v>2</v>
      </c>
      <c r="B7" s="44">
        <v>341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693</v>
      </c>
      <c r="H7" s="129">
        <f>IF(B$15=0,0,G7/B$15)</f>
        <v>0.27620565962534877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19.25925925925926</v>
      </c>
      <c r="P7" s="116">
        <v>675</v>
      </c>
      <c r="Q7" s="100">
        <v>13000</v>
      </c>
    </row>
    <row r="8" spans="1:17" x14ac:dyDescent="0.45">
      <c r="A8" s="51" t="s">
        <v>3</v>
      </c>
      <c r="B8" s="44">
        <v>341</v>
      </c>
      <c r="C8" s="37">
        <f t="shared" si="1"/>
        <v>0.33333333333333331</v>
      </c>
      <c r="E8" s="59" t="s">
        <v>89</v>
      </c>
      <c r="F8" s="56" t="s">
        <v>44</v>
      </c>
      <c r="G8" s="44">
        <v>351</v>
      </c>
      <c r="H8" s="129">
        <f>IF(B$15=0,0,G8/B$15)</f>
        <v>0.13989637305699482</v>
      </c>
      <c r="I8" s="90">
        <v>7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341</v>
      </c>
      <c r="C9" s="38">
        <f t="shared" si="1"/>
        <v>0.33333333333333331</v>
      </c>
      <c r="E9" s="59" t="s">
        <v>69</v>
      </c>
      <c r="F9" s="56" t="s">
        <v>24</v>
      </c>
      <c r="G9" s="44">
        <v>349</v>
      </c>
      <c r="H9" s="129">
        <f>IF(B$15=0,0,G9/B$15)</f>
        <v>0.13909924272618573</v>
      </c>
      <c r="I9" s="90">
        <v>7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100</v>
      </c>
      <c r="C10" s="40">
        <f t="shared" si="1"/>
        <v>9.7751710654936458E-2</v>
      </c>
      <c r="E10" s="59" t="s">
        <v>65</v>
      </c>
      <c r="F10" s="56" t="s">
        <v>21</v>
      </c>
      <c r="G10" s="44">
        <v>257</v>
      </c>
      <c r="H10" s="129">
        <f>IF(B$15=0,0,G10/B$15)</f>
        <v>0.10243124750896772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-4.0648093841642234</v>
      </c>
      <c r="P10" s="114">
        <v>341</v>
      </c>
      <c r="Q10" s="102">
        <v>-1386.1000000000001</v>
      </c>
    </row>
    <row r="11" spans="1:17" x14ac:dyDescent="0.45">
      <c r="A11" s="54" t="s">
        <v>121</v>
      </c>
      <c r="B11" s="47">
        <v>2147</v>
      </c>
      <c r="C11" s="42">
        <f>IF(B$3=0,0,B11/B$3)</f>
        <v>0.25164088138771684</v>
      </c>
      <c r="E11" s="59" t="s">
        <v>70</v>
      </c>
      <c r="F11" s="56" t="s">
        <v>25</v>
      </c>
      <c r="G11" s="44">
        <v>238</v>
      </c>
      <c r="H11" s="129">
        <f>IF(B$15=0,0,G11/B$15)</f>
        <v>9.4858509366281388E-2</v>
      </c>
      <c r="I11" s="90">
        <v>9</v>
      </c>
      <c r="K11" s="36">
        <v>9</v>
      </c>
      <c r="L11" s="95">
        <v>0</v>
      </c>
      <c r="N11" s="111" t="s">
        <v>158</v>
      </c>
      <c r="O11" s="121">
        <f>IF(P11=0,0,Q11/P11)</f>
        <v>1.2026392961876833</v>
      </c>
      <c r="P11" s="115">
        <v>341</v>
      </c>
      <c r="Q11" s="103">
        <v>410.1</v>
      </c>
    </row>
    <row r="12" spans="1:17" x14ac:dyDescent="0.45">
      <c r="A12" s="51" t="s">
        <v>118</v>
      </c>
      <c r="B12" s="44">
        <v>1978</v>
      </c>
      <c r="C12" s="37">
        <f>IF(B$3=0,0,B12/B$3)</f>
        <v>0.2318330989217065</v>
      </c>
      <c r="E12" s="59" t="s">
        <v>71</v>
      </c>
      <c r="F12" s="56" t="s">
        <v>26</v>
      </c>
      <c r="G12" s="44">
        <v>201</v>
      </c>
      <c r="H12" s="129">
        <f>IF(B$15=0,0,G12/B$15)</f>
        <v>8.0111598246313268E-2</v>
      </c>
      <c r="I12" s="90">
        <v>7</v>
      </c>
      <c r="K12" s="36">
        <v>10</v>
      </c>
      <c r="L12" s="95">
        <v>-12</v>
      </c>
      <c r="N12" s="112" t="s">
        <v>159</v>
      </c>
      <c r="O12" s="122">
        <f>IF(P12=0,0,Q12/P12)</f>
        <v>2.8621700879765384</v>
      </c>
      <c r="P12" s="116">
        <v>341</v>
      </c>
      <c r="Q12" s="104">
        <v>975.99999999999955</v>
      </c>
    </row>
    <row r="13" spans="1:17" x14ac:dyDescent="0.45">
      <c r="A13" s="50" t="s">
        <v>123</v>
      </c>
      <c r="B13" s="43">
        <f>B19</f>
        <v>1170</v>
      </c>
      <c r="C13" s="35">
        <f>IF(B$11=0,0,B13/B$11)</f>
        <v>0.54494643688868183</v>
      </c>
      <c r="E13" s="59" t="s">
        <v>83</v>
      </c>
      <c r="F13" s="56" t="s">
        <v>38</v>
      </c>
      <c r="G13" s="44">
        <v>123</v>
      </c>
      <c r="H13" s="129">
        <f>IF(B$15=0,0,G13/B$15)</f>
        <v>4.9023515344758871E-2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828</v>
      </c>
      <c r="C14" s="35">
        <f>IF(B$12=0,0,B14/B$12)</f>
        <v>0.41860465116279072</v>
      </c>
      <c r="E14" s="59" t="s">
        <v>86</v>
      </c>
      <c r="F14" s="56" t="s">
        <v>41</v>
      </c>
      <c r="G14" s="44">
        <v>123</v>
      </c>
      <c r="H14" s="129">
        <f>IF(B$15=0,0,G14/B$15)</f>
        <v>4.9023515344758871E-2</v>
      </c>
      <c r="I14" s="90">
        <v>7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2509</v>
      </c>
      <c r="C15" s="35">
        <f>IF(B$3=0,0,B15/B$3)</f>
        <v>0.29406938584153774</v>
      </c>
      <c r="E15" s="59" t="s">
        <v>78</v>
      </c>
      <c r="F15" s="56" t="s">
        <v>33</v>
      </c>
      <c r="G15" s="44">
        <v>70</v>
      </c>
      <c r="H15" s="129">
        <f>IF(B$15=0,0,G15/B$15)</f>
        <v>2.7899561578318056E-2</v>
      </c>
      <c r="I15" s="90">
        <v>6</v>
      </c>
      <c r="K15" s="36">
        <v>13</v>
      </c>
      <c r="L15" s="95">
        <v>-1.7</v>
      </c>
      <c r="N15" s="110" t="s">
        <v>301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5">
      <c r="A16" s="51" t="s">
        <v>13</v>
      </c>
      <c r="B16" s="44">
        <v>1363</v>
      </c>
      <c r="C16" s="37">
        <f>IF(B$3=0,0,B16/B$3)</f>
        <v>0.1597515236755743</v>
      </c>
      <c r="E16" s="59" t="s">
        <v>81</v>
      </c>
      <c r="F16" s="56" t="s">
        <v>36</v>
      </c>
      <c r="G16" s="44">
        <v>57</v>
      </c>
      <c r="H16" s="129">
        <f>IF(B$15=0,0,G16/B$15)</f>
        <v>2.2718214428058988E-2</v>
      </c>
      <c r="I16" s="90">
        <v>5</v>
      </c>
      <c r="K16" s="36">
        <v>14</v>
      </c>
      <c r="L16" s="95">
        <v>24.3</v>
      </c>
      <c r="N16" s="111" t="s">
        <v>232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5">
      <c r="A17" s="51" t="s">
        <v>12</v>
      </c>
      <c r="B17" s="44">
        <v>1134</v>
      </c>
      <c r="C17" s="37">
        <f>IF(B$15=0,0,B17/B$15)</f>
        <v>0.45197289756875247</v>
      </c>
      <c r="E17" s="59" t="s">
        <v>162</v>
      </c>
      <c r="F17" s="56" t="s">
        <v>163</v>
      </c>
      <c r="G17" s="44">
        <v>49</v>
      </c>
      <c r="H17" s="129">
        <f>IF(B$15=0,0,G17/B$15)</f>
        <v>1.9529693104822637E-2</v>
      </c>
      <c r="I17" s="90">
        <v>3</v>
      </c>
      <c r="K17" s="36">
        <v>15</v>
      </c>
      <c r="L17" s="95">
        <v>0</v>
      </c>
      <c r="N17" s="111" t="s">
        <v>197</v>
      </c>
      <c r="O17" s="121">
        <f>IF(P17=0,0,Q17/P17)</f>
        <v>15.846428571428556</v>
      </c>
      <c r="P17" s="115">
        <v>140</v>
      </c>
      <c r="Q17" s="103">
        <v>2218.4999999999977</v>
      </c>
    </row>
    <row r="18" spans="1:17" x14ac:dyDescent="0.45">
      <c r="A18" s="51" t="s">
        <v>11</v>
      </c>
      <c r="B18" s="44">
        <v>1375</v>
      </c>
      <c r="C18" s="37">
        <f>IF(B$15=0,0,B18/B$15)</f>
        <v>0.54802710243124753</v>
      </c>
      <c r="E18" s="59" t="s">
        <v>91</v>
      </c>
      <c r="F18" s="56" t="s">
        <v>46</v>
      </c>
      <c r="G18" s="44">
        <v>40</v>
      </c>
      <c r="H18" s="129">
        <f>IF(B$15=0,0,G18/B$15)</f>
        <v>1.5942606616181746E-2</v>
      </c>
      <c r="I18" s="90">
        <v>5</v>
      </c>
      <c r="K18" s="36">
        <v>16</v>
      </c>
      <c r="L18" s="95">
        <v>-28.2</v>
      </c>
      <c r="N18" s="111" t="s">
        <v>172</v>
      </c>
      <c r="O18" s="121">
        <f>IF(P18=0,0,Q18/P18)</f>
        <v>11.164705882352937</v>
      </c>
      <c r="P18" s="115">
        <v>204</v>
      </c>
      <c r="Q18" s="103">
        <v>2277.599999999999</v>
      </c>
    </row>
    <row r="19" spans="1:17" x14ac:dyDescent="0.45">
      <c r="A19" s="51" t="s">
        <v>195</v>
      </c>
      <c r="B19" s="44">
        <v>1170</v>
      </c>
      <c r="C19" s="37">
        <f>IF(B$15=0,0,B19/B$15)</f>
        <v>0.46632124352331605</v>
      </c>
      <c r="E19" s="59" t="s">
        <v>79</v>
      </c>
      <c r="F19" s="56" t="s">
        <v>34</v>
      </c>
      <c r="G19" s="44">
        <v>36</v>
      </c>
      <c r="H19" s="129">
        <f>IF(B$15=0,0,G19/B$15)</f>
        <v>1.4348345954563571E-2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9.0061224489795855</v>
      </c>
      <c r="P19" s="115">
        <v>196</v>
      </c>
      <c r="Q19" s="103">
        <v>1765.1999999999989</v>
      </c>
    </row>
    <row r="20" spans="1:17" x14ac:dyDescent="0.45">
      <c r="A20" s="51" t="s">
        <v>193</v>
      </c>
      <c r="B20" s="44">
        <v>828</v>
      </c>
      <c r="C20" s="37">
        <f>IF(B$15=0,0,B20/B$15)</f>
        <v>0.33001195695496216</v>
      </c>
      <c r="E20" s="59" t="s">
        <v>75</v>
      </c>
      <c r="F20" s="56" t="s">
        <v>30</v>
      </c>
      <c r="G20" s="44">
        <v>19</v>
      </c>
      <c r="H20" s="129">
        <f>IF(B$15=0,0,G20/B$15)</f>
        <v>7.5727381426863296E-3</v>
      </c>
      <c r="I20" s="90">
        <v>6</v>
      </c>
      <c r="K20" s="36">
        <v>18</v>
      </c>
      <c r="L20" s="95">
        <v>0</v>
      </c>
      <c r="N20" s="111" t="s">
        <v>200</v>
      </c>
      <c r="O20" s="121">
        <f>IF(P20=0,0,Q20/P20)</f>
        <v>4.6333333333333302</v>
      </c>
      <c r="P20" s="115">
        <v>36</v>
      </c>
      <c r="Q20" s="103">
        <v>166.7999999999999</v>
      </c>
    </row>
    <row r="21" spans="1:17" x14ac:dyDescent="0.45">
      <c r="A21" s="51" t="s">
        <v>194</v>
      </c>
      <c r="B21" s="44">
        <v>511</v>
      </c>
      <c r="C21" s="37">
        <f>IF(B$15=0,0,B21/B$15)</f>
        <v>0.20366679952172181</v>
      </c>
      <c r="E21" s="59" t="s">
        <v>92</v>
      </c>
      <c r="F21" s="56" t="s">
        <v>47</v>
      </c>
      <c r="G21" s="44">
        <v>19</v>
      </c>
      <c r="H21" s="129">
        <f>IF(B$15=0,0,G21/B$15)</f>
        <v>7.5727381426863296E-3</v>
      </c>
      <c r="I21" s="90">
        <v>4</v>
      </c>
      <c r="K21" s="36">
        <v>19</v>
      </c>
      <c r="L21" s="95">
        <v>-22.4</v>
      </c>
      <c r="N21" s="111" t="s">
        <v>196</v>
      </c>
      <c r="O21" s="121">
        <f>IF(P21=0,0,Q21/P21)</f>
        <v>4.532812500000003</v>
      </c>
      <c r="P21" s="115">
        <v>64</v>
      </c>
      <c r="Q21" s="103">
        <v>290.10000000000019</v>
      </c>
    </row>
    <row r="22" spans="1:17" x14ac:dyDescent="0.45">
      <c r="A22" s="51" t="s">
        <v>5</v>
      </c>
      <c r="B22" s="48">
        <f>IF(B$15=0,0,C22/B$15)</f>
        <v>8442.8058987644472</v>
      </c>
      <c r="C22" s="39">
        <v>21183000</v>
      </c>
      <c r="E22" s="59" t="s">
        <v>85</v>
      </c>
      <c r="F22" s="56" t="s">
        <v>40</v>
      </c>
      <c r="G22" s="44">
        <v>14</v>
      </c>
      <c r="H22" s="129">
        <f>IF(B$15=0,0,G22/B$15)</f>
        <v>5.5799123156636109E-3</v>
      </c>
      <c r="I22" s="90">
        <v>6</v>
      </c>
      <c r="K22" s="36">
        <v>20</v>
      </c>
      <c r="L22" s="95">
        <v>-61.199999999999996</v>
      </c>
      <c r="N22" s="111" t="s">
        <v>171</v>
      </c>
      <c r="O22" s="121">
        <f>IF(P22=0,0,Q22/P22)</f>
        <v>0.78942307692307723</v>
      </c>
      <c r="P22" s="115">
        <v>312</v>
      </c>
      <c r="Q22" s="103">
        <v>246.3000000000001</v>
      </c>
    </row>
    <row r="23" spans="1:17" x14ac:dyDescent="0.45">
      <c r="A23" s="52" t="s">
        <v>177</v>
      </c>
      <c r="B23" s="136">
        <f>IF($B$15-B$14=0,0,C23/($B$15-B$14))</f>
        <v>9132.837596668649</v>
      </c>
      <c r="C23" s="137">
        <v>15352300</v>
      </c>
      <c r="E23" s="59" t="s">
        <v>73</v>
      </c>
      <c r="F23" s="56" t="s">
        <v>28</v>
      </c>
      <c r="G23" s="44">
        <v>9</v>
      </c>
      <c r="H23" s="129">
        <f>IF(B$15=0,0,G23/B$15)</f>
        <v>3.5870864886408927E-3</v>
      </c>
      <c r="I23" s="90">
        <v>4</v>
      </c>
      <c r="K23" s="36">
        <v>21</v>
      </c>
      <c r="L23" s="95">
        <v>7.1054273576010019E-15</v>
      </c>
      <c r="N23" s="111" t="s">
        <v>127</v>
      </c>
      <c r="O23" s="121">
        <f>IF(P23=0,0,Q23/P23)</f>
        <v>0.39606741573033372</v>
      </c>
      <c r="P23" s="115">
        <v>356</v>
      </c>
      <c r="Q23" s="103">
        <v>140.99999999999881</v>
      </c>
    </row>
    <row r="24" spans="1:17" x14ac:dyDescent="0.45">
      <c r="A24" s="52" t="s">
        <v>178</v>
      </c>
      <c r="B24" s="136">
        <f>IF(B$14=0,0,C24/B$14)</f>
        <v>7041.9082125603863</v>
      </c>
      <c r="C24" s="137">
        <v>5830700</v>
      </c>
      <c r="E24" s="59" t="s">
        <v>74</v>
      </c>
      <c r="F24" s="56" t="s">
        <v>29</v>
      </c>
      <c r="G24" s="44">
        <v>8</v>
      </c>
      <c r="H24" s="129">
        <f>IF(B$15=0,0,G24/B$15)</f>
        <v>3.1885213232363493E-3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>IF(P24=0,0,Q24/P24)</f>
        <v>-5.8956953642384038</v>
      </c>
      <c r="P24" s="115">
        <v>302</v>
      </c>
      <c r="Q24" s="103">
        <v>-1780.499999999998</v>
      </c>
    </row>
    <row r="25" spans="1:17" x14ac:dyDescent="0.45">
      <c r="A25" s="52" t="s">
        <v>176</v>
      </c>
      <c r="B25" s="136">
        <f>IF(B$16=0,0,C25/B$16)</f>
        <v>-7872.1203228173144</v>
      </c>
      <c r="C25" s="137">
        <v>-10729700</v>
      </c>
      <c r="E25" s="59" t="s">
        <v>84</v>
      </c>
      <c r="F25" s="56" t="s">
        <v>39</v>
      </c>
      <c r="G25" s="44">
        <v>8</v>
      </c>
      <c r="H25" s="129">
        <f>IF(B$15=0,0,G25/B$15)</f>
        <v>3.1885213232363493E-3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-14.223529411764707</v>
      </c>
      <c r="P25" s="115">
        <v>408</v>
      </c>
      <c r="Q25" s="103">
        <v>-5803.2000000000007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88</v>
      </c>
      <c r="F26" s="56" t="s">
        <v>43</v>
      </c>
      <c r="G26" s="44">
        <v>7</v>
      </c>
      <c r="H26" s="129">
        <f>IF(B$15=0,0,G26/B$15)</f>
        <v>2.7899561578318055E-3</v>
      </c>
      <c r="I26" s="90">
        <v>5</v>
      </c>
      <c r="K26" s="36">
        <v>24</v>
      </c>
      <c r="L26" s="95">
        <v>7.1054273576010019E-15</v>
      </c>
      <c r="N26" s="111" t="s">
        <v>256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5">
      <c r="A27" s="51" t="s">
        <v>165</v>
      </c>
      <c r="B27" s="44">
        <v>31</v>
      </c>
      <c r="C27" s="131">
        <v>8</v>
      </c>
      <c r="E27" s="59" t="s">
        <v>77</v>
      </c>
      <c r="F27" s="56" t="s">
        <v>32</v>
      </c>
      <c r="G27" s="44">
        <v>6</v>
      </c>
      <c r="H27" s="129">
        <f>IF(B$15=0,0,G27/B$15)</f>
        <v>2.3913909924272616E-3</v>
      </c>
      <c r="I27" s="90">
        <v>4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5</v>
      </c>
      <c r="H28" s="129">
        <f>IF(B$15=0,0,G28/B$15)</f>
        <v>1.9928258270227183E-3</v>
      </c>
      <c r="I28" s="90">
        <v>5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5</v>
      </c>
      <c r="H29" s="129">
        <f>IF(B$15=0,0,G29/B$15)</f>
        <v>1.9928258270227183E-3</v>
      </c>
      <c r="I29" s="90">
        <v>3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24</v>
      </c>
      <c r="C30" s="40">
        <f>IF(B$3=0,0,B30/B$3)</f>
        <v>2.8129395218002813E-3</v>
      </c>
      <c r="E30" s="59" t="s">
        <v>95</v>
      </c>
      <c r="F30" s="56" t="s">
        <v>50</v>
      </c>
      <c r="G30" s="44">
        <v>5</v>
      </c>
      <c r="H30" s="129">
        <f>IF(B$15=0,0,G30/B$15)</f>
        <v>1.9928258270227183E-3</v>
      </c>
      <c r="I30" s="90">
        <v>5</v>
      </c>
      <c r="K30" s="36">
        <v>28</v>
      </c>
      <c r="L30" s="95">
        <v>-30.199999999999992</v>
      </c>
    </row>
    <row r="31" spans="1:17" x14ac:dyDescent="0.45">
      <c r="E31" s="59" t="s">
        <v>93</v>
      </c>
      <c r="F31" s="56" t="s">
        <v>48</v>
      </c>
      <c r="G31" s="44">
        <v>4</v>
      </c>
      <c r="H31" s="129">
        <f>IF(B$15=0,0,G31/B$15)</f>
        <v>1.5942606616181746E-3</v>
      </c>
      <c r="I31" s="90">
        <v>4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196</v>
      </c>
      <c r="C32" s="141">
        <f>IF(B$15=0,0,B32/B$15)</f>
        <v>7.811877241929055E-2</v>
      </c>
      <c r="E32" s="59" t="s">
        <v>97</v>
      </c>
      <c r="F32" s="56" t="s">
        <v>52</v>
      </c>
      <c r="G32" s="44">
        <v>1</v>
      </c>
      <c r="H32" s="129">
        <f>IF(B$15=0,0,G32/B$15)</f>
        <v>3.9856516540454366E-4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431</v>
      </c>
      <c r="C33" s="37">
        <f t="shared" ref="C33:C44" si="2">IF(B$15=0,0,B33/B$15)</f>
        <v>0.1717815862893583</v>
      </c>
      <c r="E33" s="59" t="s">
        <v>101</v>
      </c>
      <c r="F33" s="56" t="s">
        <v>56</v>
      </c>
      <c r="G33" s="44">
        <v>1</v>
      </c>
      <c r="H33" s="129">
        <f>IF(B$15=0,0,G33/B$15)</f>
        <v>3.9856516540454366E-4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483</v>
      </c>
      <c r="C34" s="37">
        <f>IF(B$15=0,0,B34/B$15)</f>
        <v>0.19250697489039459</v>
      </c>
      <c r="E34" s="59" t="s">
        <v>106</v>
      </c>
      <c r="F34" s="56" t="s">
        <v>113</v>
      </c>
      <c r="G34" s="44">
        <v>1</v>
      </c>
      <c r="H34" s="129">
        <f>IF(B$15=0,0,G34/B$15)</f>
        <v>3.9856516540454366E-4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446</v>
      </c>
      <c r="C35" s="37">
        <f t="shared" si="2"/>
        <v>0.17776006377042647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393</v>
      </c>
      <c r="C36" s="37">
        <f t="shared" si="2"/>
        <v>0.15663611000398564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266</v>
      </c>
      <c r="C37" s="37">
        <f t="shared" si="2"/>
        <v>0.10601833399760861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130</v>
      </c>
      <c r="C38" s="37">
        <f t="shared" si="2"/>
        <v>5.181347150259067E-2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73</v>
      </c>
      <c r="C39" s="37">
        <f t="shared" si="2"/>
        <v>2.9095257074531686E-2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32</v>
      </c>
      <c r="C40" s="37">
        <f t="shared" si="2"/>
        <v>1.2754085292945397E-2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12</v>
      </c>
      <c r="C41" s="37">
        <f t="shared" si="2"/>
        <v>4.7827819848545233E-3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8</v>
      </c>
      <c r="C42" s="37">
        <f t="shared" si="2"/>
        <v>3.1885213232363493E-3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2.3913909924272616E-3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33</v>
      </c>
      <c r="C44" s="40">
        <f t="shared" si="2"/>
        <v>1.315265045834994E-2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  <row r="726" spans="11:12" x14ac:dyDescent="0.45">
      <c r="K726" s="36">
        <v>724</v>
      </c>
      <c r="L726" s="95">
        <v>-49.500000000000043</v>
      </c>
    </row>
    <row r="727" spans="11:12" x14ac:dyDescent="0.45">
      <c r="K727" s="36">
        <v>725</v>
      </c>
      <c r="L727" s="95">
        <v>-56.900000000000041</v>
      </c>
    </row>
    <row r="728" spans="11:12" x14ac:dyDescent="0.45">
      <c r="K728" s="36">
        <v>726</v>
      </c>
      <c r="L728" s="95">
        <v>-4.2632564145606011E-14</v>
      </c>
    </row>
    <row r="729" spans="11:12" x14ac:dyDescent="0.45">
      <c r="K729" s="36">
        <v>727</v>
      </c>
      <c r="L729" s="95">
        <v>-36.400000000000041</v>
      </c>
    </row>
    <row r="730" spans="11:12" x14ac:dyDescent="0.45">
      <c r="K730" s="36">
        <v>728</v>
      </c>
      <c r="L730" s="95">
        <v>-32.700000000000038</v>
      </c>
    </row>
    <row r="731" spans="11:12" x14ac:dyDescent="0.45">
      <c r="K731" s="36">
        <v>729</v>
      </c>
      <c r="L731" s="95">
        <v>-3.5527136788005009E-14</v>
      </c>
    </row>
    <row r="732" spans="11:12" x14ac:dyDescent="0.45">
      <c r="K732" s="36">
        <v>730</v>
      </c>
      <c r="L732" s="95">
        <v>34.999999999999964</v>
      </c>
    </row>
    <row r="733" spans="11:12" x14ac:dyDescent="0.45">
      <c r="K733" s="36">
        <v>731</v>
      </c>
      <c r="L733" s="95">
        <v>-1.3000000000000327</v>
      </c>
    </row>
    <row r="734" spans="11:12" x14ac:dyDescent="0.45">
      <c r="K734" s="36">
        <v>732</v>
      </c>
      <c r="L734" s="95">
        <v>-3.2640556923979602E-14</v>
      </c>
    </row>
    <row r="735" spans="11:12" x14ac:dyDescent="0.45">
      <c r="K735" s="36">
        <v>733</v>
      </c>
      <c r="L735" s="95">
        <v>-16.600000000000033</v>
      </c>
    </row>
    <row r="736" spans="11:12" x14ac:dyDescent="0.45">
      <c r="K736" s="36">
        <v>734</v>
      </c>
      <c r="L736" s="95">
        <v>-14.600000000000033</v>
      </c>
    </row>
    <row r="737" spans="11:12" x14ac:dyDescent="0.45">
      <c r="K737" s="36">
        <v>735</v>
      </c>
      <c r="L737" s="95">
        <v>-3.3750779948604759E-14</v>
      </c>
    </row>
    <row r="738" spans="11:12" x14ac:dyDescent="0.45">
      <c r="K738" s="36">
        <v>736</v>
      </c>
      <c r="L738" s="95">
        <v>45.899999999999963</v>
      </c>
    </row>
    <row r="739" spans="11:12" x14ac:dyDescent="0.45">
      <c r="K739" s="36">
        <v>737</v>
      </c>
      <c r="L739" s="95">
        <v>10.499999999999964</v>
      </c>
    </row>
    <row r="740" spans="11:12" x14ac:dyDescent="0.45">
      <c r="K740" s="36">
        <v>738</v>
      </c>
      <c r="L740" s="95">
        <v>-3.5527136788005009E-14</v>
      </c>
    </row>
    <row r="741" spans="11:12" x14ac:dyDescent="0.45">
      <c r="K741" s="36">
        <v>739</v>
      </c>
      <c r="L741" s="95">
        <v>45.599999999999966</v>
      </c>
    </row>
    <row r="742" spans="11:12" x14ac:dyDescent="0.45">
      <c r="K742" s="36">
        <v>740</v>
      </c>
      <c r="L742" s="95">
        <v>57.199999999999967</v>
      </c>
    </row>
    <row r="743" spans="11:12" x14ac:dyDescent="0.45">
      <c r="K743" s="36">
        <v>741</v>
      </c>
      <c r="L743" s="95">
        <v>-3.5527136788005009E-14</v>
      </c>
    </row>
    <row r="744" spans="11:12" x14ac:dyDescent="0.45">
      <c r="K744" s="36">
        <v>742</v>
      </c>
      <c r="L744" s="95">
        <v>11.399999999999965</v>
      </c>
    </row>
    <row r="745" spans="11:12" x14ac:dyDescent="0.45">
      <c r="K745" s="36">
        <v>743</v>
      </c>
      <c r="L745" s="95">
        <v>49.499999999999964</v>
      </c>
    </row>
    <row r="746" spans="11:12" x14ac:dyDescent="0.45">
      <c r="K746" s="36">
        <v>744</v>
      </c>
      <c r="L746" s="95">
        <v>-3.5527136788005009E-14</v>
      </c>
    </row>
    <row r="747" spans="11:12" x14ac:dyDescent="0.45">
      <c r="K747" s="36">
        <v>745</v>
      </c>
      <c r="L747" s="95">
        <v>-3.8000000000000353</v>
      </c>
    </row>
    <row r="748" spans="11:12" x14ac:dyDescent="0.45">
      <c r="K748" s="36">
        <v>746</v>
      </c>
      <c r="L748" s="95">
        <v>-28.300000000000036</v>
      </c>
    </row>
    <row r="749" spans="11:12" x14ac:dyDescent="0.45">
      <c r="K749" s="36">
        <v>747</v>
      </c>
      <c r="L749" s="95">
        <v>-3.5527136788005009E-14</v>
      </c>
    </row>
    <row r="750" spans="11:12" x14ac:dyDescent="0.45">
      <c r="K750" s="36">
        <v>748</v>
      </c>
      <c r="L750" s="95">
        <v>42.499999999999964</v>
      </c>
    </row>
    <row r="751" spans="11:12" x14ac:dyDescent="0.45">
      <c r="K751" s="36">
        <v>749</v>
      </c>
      <c r="L751" s="95">
        <v>-3.9000000000000341</v>
      </c>
    </row>
    <row r="752" spans="11:12" x14ac:dyDescent="0.45">
      <c r="K752" s="36">
        <v>750</v>
      </c>
      <c r="L752" s="95">
        <v>-3.4194869158454821E-14</v>
      </c>
    </row>
    <row r="753" spans="11:12" x14ac:dyDescent="0.45">
      <c r="K753" s="36">
        <v>751</v>
      </c>
      <c r="L753" s="95">
        <v>-25.200000000000035</v>
      </c>
    </row>
    <row r="754" spans="11:12" x14ac:dyDescent="0.45">
      <c r="K754" s="36">
        <v>752</v>
      </c>
      <c r="L754" s="95">
        <v>1.7999999999999652</v>
      </c>
    </row>
    <row r="755" spans="11:12" x14ac:dyDescent="0.45">
      <c r="K755" s="36">
        <v>753</v>
      </c>
      <c r="L755" s="95">
        <v>-3.4861002973229915E-14</v>
      </c>
    </row>
    <row r="756" spans="11:12" x14ac:dyDescent="0.45">
      <c r="K756" s="36">
        <v>754</v>
      </c>
      <c r="L756" s="95">
        <v>44.399999999999963</v>
      </c>
    </row>
    <row r="757" spans="11:12" x14ac:dyDescent="0.45">
      <c r="K757" s="36">
        <v>755</v>
      </c>
      <c r="L757" s="95">
        <v>2.9999999999999645</v>
      </c>
    </row>
    <row r="758" spans="11:12" x14ac:dyDescent="0.45">
      <c r="K758" s="36">
        <v>756</v>
      </c>
      <c r="L758" s="95">
        <v>-3.5527136788005009E-14</v>
      </c>
    </row>
    <row r="759" spans="11:12" x14ac:dyDescent="0.45">
      <c r="K759" s="36">
        <v>757</v>
      </c>
      <c r="L759" s="95">
        <v>26.199999999999964</v>
      </c>
    </row>
    <row r="760" spans="11:12" x14ac:dyDescent="0.45">
      <c r="K760" s="36">
        <v>758</v>
      </c>
      <c r="L760" s="95">
        <v>-15.400000000000038</v>
      </c>
    </row>
    <row r="761" spans="11:12" x14ac:dyDescent="0.45">
      <c r="K761" s="36">
        <v>759</v>
      </c>
      <c r="L761" s="95">
        <v>-3.730349362740526E-14</v>
      </c>
    </row>
    <row r="762" spans="11:12" x14ac:dyDescent="0.45">
      <c r="K762" s="36">
        <v>760</v>
      </c>
      <c r="L762" s="95">
        <v>0.89999999999996272</v>
      </c>
    </row>
    <row r="763" spans="11:12" x14ac:dyDescent="0.45">
      <c r="K763" s="36">
        <v>761</v>
      </c>
      <c r="L763" s="95">
        <v>41.799999999999962</v>
      </c>
    </row>
    <row r="764" spans="11:12" x14ac:dyDescent="0.45">
      <c r="K764" s="36">
        <v>762</v>
      </c>
      <c r="L764" s="95">
        <v>-3.5527136788005009E-14</v>
      </c>
    </row>
    <row r="765" spans="11:12" x14ac:dyDescent="0.45">
      <c r="K765" s="36">
        <v>763</v>
      </c>
      <c r="L765" s="95">
        <v>34.499999999999964</v>
      </c>
    </row>
    <row r="766" spans="11:12" x14ac:dyDescent="0.45">
      <c r="K766" s="36">
        <v>764</v>
      </c>
      <c r="L766" s="95">
        <v>29.099999999999966</v>
      </c>
    </row>
    <row r="767" spans="11:12" x14ac:dyDescent="0.45">
      <c r="K767" s="36">
        <v>765</v>
      </c>
      <c r="L767" s="95">
        <v>-3.5527136788005009E-14</v>
      </c>
    </row>
    <row r="768" spans="11:12" x14ac:dyDescent="0.45">
      <c r="K768" s="36">
        <v>766</v>
      </c>
      <c r="L768" s="95">
        <v>2.3999999999999644</v>
      </c>
    </row>
    <row r="769" spans="11:12" x14ac:dyDescent="0.45">
      <c r="K769" s="36">
        <v>767</v>
      </c>
      <c r="L769" s="95">
        <v>16.999999999999964</v>
      </c>
    </row>
    <row r="770" spans="11:12" x14ac:dyDescent="0.45">
      <c r="K770" s="36">
        <v>768</v>
      </c>
      <c r="L770" s="95">
        <v>-3.5527136788005009E-14</v>
      </c>
    </row>
    <row r="771" spans="11:12" x14ac:dyDescent="0.45">
      <c r="K771" s="36">
        <v>769</v>
      </c>
      <c r="L771" s="95">
        <v>-7.2000000000000357</v>
      </c>
    </row>
    <row r="772" spans="11:12" x14ac:dyDescent="0.45">
      <c r="K772" s="36">
        <v>770</v>
      </c>
      <c r="L772" s="95">
        <v>-42.80000000000004</v>
      </c>
    </row>
    <row r="773" spans="11:12" x14ac:dyDescent="0.45">
      <c r="K773" s="36">
        <v>771</v>
      </c>
      <c r="L773" s="95">
        <v>-4.2632564145606011E-14</v>
      </c>
    </row>
    <row r="774" spans="11:12" x14ac:dyDescent="0.45">
      <c r="K774" s="36">
        <v>772</v>
      </c>
      <c r="L774" s="95">
        <v>-26.700000000000042</v>
      </c>
    </row>
    <row r="775" spans="11:12" x14ac:dyDescent="0.45">
      <c r="K775" s="36">
        <v>773</v>
      </c>
      <c r="L775" s="95">
        <v>-34.80000000000004</v>
      </c>
    </row>
    <row r="776" spans="11:12" x14ac:dyDescent="0.45">
      <c r="K776" s="36">
        <v>774</v>
      </c>
      <c r="L776" s="95">
        <v>-4.2632564145606011E-14</v>
      </c>
    </row>
    <row r="777" spans="11:12" x14ac:dyDescent="0.45">
      <c r="K777" s="36">
        <v>775</v>
      </c>
      <c r="L777" s="95">
        <v>-19.000000000000043</v>
      </c>
    </row>
    <row r="778" spans="11:12" x14ac:dyDescent="0.45">
      <c r="K778" s="36">
        <v>776</v>
      </c>
      <c r="L778" s="95">
        <v>-4.2632564145606011E-14</v>
      </c>
    </row>
    <row r="779" spans="11:12" x14ac:dyDescent="0.45">
      <c r="K779" s="36">
        <v>777</v>
      </c>
      <c r="L779" s="95">
        <v>-4.2632564145606011E-14</v>
      </c>
    </row>
    <row r="780" spans="11:12" x14ac:dyDescent="0.45">
      <c r="K780" s="36">
        <v>778</v>
      </c>
      <c r="L780" s="95">
        <v>6.599999999999957</v>
      </c>
    </row>
    <row r="781" spans="11:12" x14ac:dyDescent="0.45">
      <c r="K781" s="36">
        <v>779</v>
      </c>
      <c r="L781" s="95">
        <v>-18.200000000000045</v>
      </c>
    </row>
    <row r="782" spans="11:12" x14ac:dyDescent="0.45">
      <c r="K782" s="36">
        <v>780</v>
      </c>
      <c r="L782" s="95">
        <v>-4.6185277824406512E-14</v>
      </c>
    </row>
    <row r="783" spans="11:12" x14ac:dyDescent="0.45">
      <c r="K783" s="36">
        <v>781</v>
      </c>
      <c r="L783" s="95">
        <v>-36.600000000000051</v>
      </c>
    </row>
    <row r="784" spans="11:12" x14ac:dyDescent="0.45">
      <c r="K784" s="36">
        <v>782</v>
      </c>
      <c r="L784" s="95">
        <v>1.7999999999999474</v>
      </c>
    </row>
    <row r="785" spans="11:12" x14ac:dyDescent="0.45">
      <c r="K785" s="36">
        <v>783</v>
      </c>
      <c r="L785" s="95">
        <v>-5.262457136723242E-14</v>
      </c>
    </row>
    <row r="786" spans="11:12" x14ac:dyDescent="0.45">
      <c r="K786" s="36">
        <v>784</v>
      </c>
      <c r="L786" s="95">
        <v>23.499999999999947</v>
      </c>
    </row>
    <row r="787" spans="11:12" x14ac:dyDescent="0.45">
      <c r="K787" s="36">
        <v>785</v>
      </c>
      <c r="L787" s="95">
        <v>29.899999999999949</v>
      </c>
    </row>
    <row r="788" spans="11:12" x14ac:dyDescent="0.45">
      <c r="K788" s="36">
        <v>786</v>
      </c>
      <c r="L788" s="95">
        <v>-4.9737991503207013E-14</v>
      </c>
    </row>
    <row r="789" spans="11:12" x14ac:dyDescent="0.45">
      <c r="K789" s="36">
        <v>787</v>
      </c>
      <c r="L789" s="95">
        <v>36.199999999999953</v>
      </c>
    </row>
    <row r="790" spans="11:12" x14ac:dyDescent="0.45">
      <c r="K790" s="36">
        <v>788</v>
      </c>
      <c r="L790" s="95">
        <v>9.8999999999999524</v>
      </c>
    </row>
    <row r="791" spans="11:12" x14ac:dyDescent="0.45">
      <c r="K791" s="36">
        <v>789</v>
      </c>
      <c r="L791" s="95">
        <v>-4.7961634663806763E-14</v>
      </c>
    </row>
    <row r="792" spans="11:12" x14ac:dyDescent="0.45">
      <c r="K792" s="36">
        <v>790</v>
      </c>
      <c r="L792" s="95">
        <v>-32.50000000000005</v>
      </c>
    </row>
    <row r="793" spans="11:12" x14ac:dyDescent="0.45">
      <c r="K793" s="36">
        <v>791</v>
      </c>
      <c r="L793" s="95">
        <v>-30.400000000000048</v>
      </c>
    </row>
    <row r="794" spans="11:12" x14ac:dyDescent="0.45">
      <c r="K794" s="36">
        <v>792</v>
      </c>
      <c r="L794" s="95">
        <v>-4.9737991503207013E-14</v>
      </c>
    </row>
    <row r="795" spans="11:12" x14ac:dyDescent="0.45">
      <c r="K795" s="36">
        <v>793</v>
      </c>
      <c r="L795" s="95">
        <v>42.399999999999949</v>
      </c>
    </row>
    <row r="796" spans="11:12" x14ac:dyDescent="0.45">
      <c r="K796" s="36">
        <v>794</v>
      </c>
      <c r="L796" s="95">
        <v>34.099999999999952</v>
      </c>
    </row>
    <row r="797" spans="11:12" x14ac:dyDescent="0.45">
      <c r="K797" s="36">
        <v>795</v>
      </c>
      <c r="L797" s="95">
        <v>-4.9737991503207013E-14</v>
      </c>
    </row>
    <row r="798" spans="11:12" x14ac:dyDescent="0.45">
      <c r="K798" s="36">
        <v>796</v>
      </c>
      <c r="L798" s="95">
        <v>32.899999999999949</v>
      </c>
    </row>
    <row r="799" spans="11:12" x14ac:dyDescent="0.45">
      <c r="K799" s="36">
        <v>797</v>
      </c>
      <c r="L799" s="95">
        <v>37.099999999999952</v>
      </c>
    </row>
    <row r="800" spans="11:12" x14ac:dyDescent="0.45">
      <c r="K800" s="36">
        <v>798</v>
      </c>
      <c r="L800" s="95">
        <v>-4.9737991503207013E-14</v>
      </c>
    </row>
    <row r="801" spans="11:12" x14ac:dyDescent="0.45">
      <c r="K801" s="36">
        <v>799</v>
      </c>
      <c r="L801" s="95">
        <v>-31.900000000000048</v>
      </c>
    </row>
    <row r="802" spans="11:12" x14ac:dyDescent="0.45">
      <c r="K802" s="36">
        <v>800</v>
      </c>
      <c r="L802" s="95">
        <v>-36.700000000000045</v>
      </c>
    </row>
    <row r="803" spans="11:12" x14ac:dyDescent="0.45">
      <c r="K803" s="36">
        <v>801</v>
      </c>
      <c r="L803" s="95">
        <v>-4.2632564145606011E-14</v>
      </c>
    </row>
    <row r="804" spans="11:12" x14ac:dyDescent="0.45">
      <c r="K804" s="36">
        <v>802</v>
      </c>
      <c r="L804" s="95">
        <v>50.099999999999959</v>
      </c>
    </row>
    <row r="805" spans="11:12" x14ac:dyDescent="0.45">
      <c r="K805" s="36">
        <v>803</v>
      </c>
      <c r="L805" s="95">
        <v>39.599999999999959</v>
      </c>
    </row>
    <row r="806" spans="11:12" x14ac:dyDescent="0.45">
      <c r="K806" s="36">
        <v>804</v>
      </c>
      <c r="L806" s="95">
        <v>-4.2632564145606011E-14</v>
      </c>
    </row>
    <row r="807" spans="11:12" x14ac:dyDescent="0.45">
      <c r="K807" s="36">
        <v>805</v>
      </c>
      <c r="L807" s="95">
        <v>6.3999999999999577</v>
      </c>
    </row>
    <row r="808" spans="11:12" x14ac:dyDescent="0.45">
      <c r="K808" s="36">
        <v>806</v>
      </c>
      <c r="L808" s="95">
        <v>-23.500000000000043</v>
      </c>
    </row>
    <row r="809" spans="11:12" x14ac:dyDescent="0.45">
      <c r="K809" s="36">
        <v>807</v>
      </c>
      <c r="L809" s="95">
        <v>-4.2632564145606011E-14</v>
      </c>
    </row>
    <row r="810" spans="11:12" x14ac:dyDescent="0.45">
      <c r="K810" s="36">
        <v>808</v>
      </c>
      <c r="L810" s="95">
        <v>-3.6000000000000427</v>
      </c>
    </row>
    <row r="811" spans="11:12" x14ac:dyDescent="0.45">
      <c r="K811" s="36">
        <v>809</v>
      </c>
      <c r="L811" s="95">
        <v>17.999999999999957</v>
      </c>
    </row>
    <row r="812" spans="11:12" x14ac:dyDescent="0.45">
      <c r="K812" s="36">
        <v>810</v>
      </c>
      <c r="L812" s="95">
        <v>-4.2632564145606011E-14</v>
      </c>
    </row>
    <row r="813" spans="11:12" x14ac:dyDescent="0.45">
      <c r="K813" s="36">
        <v>811</v>
      </c>
      <c r="L813" s="95">
        <v>9.3999999999999577</v>
      </c>
    </row>
    <row r="814" spans="11:12" x14ac:dyDescent="0.45">
      <c r="K814" s="36">
        <v>812</v>
      </c>
      <c r="L814" s="95">
        <v>47.299999999999955</v>
      </c>
    </row>
    <row r="815" spans="11:12" x14ac:dyDescent="0.45">
      <c r="K815" s="36">
        <v>813</v>
      </c>
      <c r="L815" s="95">
        <v>-4.2632564145606011E-14</v>
      </c>
    </row>
    <row r="816" spans="11:12" x14ac:dyDescent="0.45">
      <c r="K816" s="36">
        <v>814</v>
      </c>
      <c r="L816" s="95">
        <v>-13.200000000000042</v>
      </c>
    </row>
    <row r="817" spans="11:12" x14ac:dyDescent="0.45">
      <c r="K817" s="36">
        <v>815</v>
      </c>
      <c r="L817" s="95">
        <v>-13.500000000000043</v>
      </c>
    </row>
    <row r="818" spans="11:12" x14ac:dyDescent="0.45">
      <c r="K818" s="36">
        <v>816</v>
      </c>
      <c r="L818" s="95">
        <v>-4.2632564145606011E-14</v>
      </c>
    </row>
    <row r="819" spans="11:12" x14ac:dyDescent="0.45">
      <c r="K819" s="36">
        <v>817</v>
      </c>
      <c r="L819" s="95">
        <v>-29.000000000000043</v>
      </c>
    </row>
    <row r="820" spans="11:12" x14ac:dyDescent="0.45">
      <c r="K820" s="36">
        <v>818</v>
      </c>
      <c r="L820" s="95">
        <v>49.299999999999955</v>
      </c>
    </row>
    <row r="821" spans="11:12" x14ac:dyDescent="0.45">
      <c r="K821" s="36">
        <v>819</v>
      </c>
      <c r="L821" s="95">
        <v>-4.2632564145606011E-14</v>
      </c>
    </row>
    <row r="822" spans="11:12" x14ac:dyDescent="0.45">
      <c r="K822" s="36">
        <v>820</v>
      </c>
      <c r="L822" s="95">
        <v>15.599999999999957</v>
      </c>
    </row>
    <row r="823" spans="11:12" x14ac:dyDescent="0.45">
      <c r="K823" s="36">
        <v>821</v>
      </c>
      <c r="L823" s="95">
        <v>52.499999999999957</v>
      </c>
    </row>
    <row r="824" spans="11:12" x14ac:dyDescent="0.45">
      <c r="K824" s="36">
        <v>822</v>
      </c>
      <c r="L824" s="95">
        <v>-4.2632564145606011E-14</v>
      </c>
    </row>
    <row r="825" spans="11:12" x14ac:dyDescent="0.45">
      <c r="K825" s="36">
        <v>823</v>
      </c>
      <c r="L825" s="95">
        <v>-1.5000000000000426</v>
      </c>
    </row>
    <row r="826" spans="11:12" x14ac:dyDescent="0.45">
      <c r="K826" s="36">
        <v>824</v>
      </c>
      <c r="L826" s="95">
        <v>20.199999999999957</v>
      </c>
    </row>
    <row r="827" spans="11:12" x14ac:dyDescent="0.45">
      <c r="K827" s="36">
        <v>825</v>
      </c>
      <c r="L827" s="95">
        <v>-4.2632564145606011E-14</v>
      </c>
    </row>
    <row r="828" spans="11:12" x14ac:dyDescent="0.45">
      <c r="K828" s="36">
        <v>826</v>
      </c>
      <c r="L828" s="95">
        <v>-30.000000000000043</v>
      </c>
    </row>
    <row r="829" spans="11:12" x14ac:dyDescent="0.45">
      <c r="K829" s="36">
        <v>827</v>
      </c>
      <c r="L829" s="95">
        <v>0.99999999999995737</v>
      </c>
    </row>
    <row r="830" spans="11:12" x14ac:dyDescent="0.45">
      <c r="K830" s="36">
        <v>828</v>
      </c>
      <c r="L830" s="95">
        <v>-4.2632564145606011E-14</v>
      </c>
    </row>
    <row r="831" spans="11:12" x14ac:dyDescent="0.45">
      <c r="K831" s="36">
        <v>829</v>
      </c>
      <c r="L831" s="95">
        <v>-56.000000000000043</v>
      </c>
    </row>
    <row r="832" spans="11:12" x14ac:dyDescent="0.45">
      <c r="K832" s="36">
        <v>830</v>
      </c>
      <c r="L832" s="95">
        <v>-46.500000000000043</v>
      </c>
    </row>
    <row r="833" spans="11:12" x14ac:dyDescent="0.45">
      <c r="K833" s="36">
        <v>831</v>
      </c>
      <c r="L833" s="95">
        <v>-4.2632564145606011E-14</v>
      </c>
    </row>
    <row r="834" spans="11:12" x14ac:dyDescent="0.45">
      <c r="K834" s="36">
        <v>832</v>
      </c>
      <c r="L834" s="95">
        <v>-22.300000000000043</v>
      </c>
    </row>
    <row r="835" spans="11:12" x14ac:dyDescent="0.45">
      <c r="K835" s="36">
        <v>833</v>
      </c>
      <c r="L835" s="95">
        <v>-19.100000000000044</v>
      </c>
    </row>
    <row r="836" spans="11:12" x14ac:dyDescent="0.45">
      <c r="K836" s="36">
        <v>834</v>
      </c>
      <c r="L836" s="95">
        <v>-4.2632564145606011E-14</v>
      </c>
    </row>
    <row r="837" spans="11:12" x14ac:dyDescent="0.45">
      <c r="K837" s="36">
        <v>835</v>
      </c>
      <c r="L837" s="95">
        <v>-48.600000000000044</v>
      </c>
    </row>
    <row r="838" spans="11:12" x14ac:dyDescent="0.45">
      <c r="K838" s="36">
        <v>836</v>
      </c>
      <c r="L838" s="95">
        <v>-48.800000000000047</v>
      </c>
    </row>
    <row r="839" spans="11:12" x14ac:dyDescent="0.45">
      <c r="K839" s="36">
        <v>837</v>
      </c>
      <c r="L839" s="95">
        <v>-4.9737991503207013E-14</v>
      </c>
    </row>
    <row r="840" spans="11:12" x14ac:dyDescent="0.45">
      <c r="K840" s="36">
        <v>838</v>
      </c>
      <c r="L840" s="95">
        <v>-29.200000000000049</v>
      </c>
    </row>
    <row r="841" spans="11:12" x14ac:dyDescent="0.45">
      <c r="K841" s="36">
        <v>839</v>
      </c>
      <c r="L841" s="95">
        <v>-30.700000000000049</v>
      </c>
    </row>
    <row r="842" spans="11:12" x14ac:dyDescent="0.45">
      <c r="K842" s="36">
        <v>840</v>
      </c>
      <c r="L842" s="95">
        <v>-4.9737991503207013E-14</v>
      </c>
    </row>
    <row r="843" spans="11:12" x14ac:dyDescent="0.45">
      <c r="K843" s="36">
        <v>841</v>
      </c>
      <c r="L843" s="95">
        <v>-20.600000000000051</v>
      </c>
    </row>
    <row r="844" spans="11:12" x14ac:dyDescent="0.45">
      <c r="K844" s="36">
        <v>842</v>
      </c>
      <c r="L844" s="95">
        <v>39.599999999999952</v>
      </c>
    </row>
    <row r="845" spans="11:12" x14ac:dyDescent="0.45">
      <c r="K845" s="36">
        <v>843</v>
      </c>
      <c r="L845" s="95">
        <v>-4.9737991503207013E-14</v>
      </c>
    </row>
    <row r="846" spans="11:12" x14ac:dyDescent="0.45">
      <c r="K846" s="36">
        <v>844</v>
      </c>
      <c r="L846" s="95">
        <v>34.399999999999949</v>
      </c>
    </row>
    <row r="847" spans="11:12" x14ac:dyDescent="0.45">
      <c r="K847" s="36">
        <v>845</v>
      </c>
      <c r="L847" s="95">
        <v>22.899999999999949</v>
      </c>
    </row>
    <row r="848" spans="11:12" x14ac:dyDescent="0.45">
      <c r="K848" s="36">
        <v>846</v>
      </c>
      <c r="L848" s="95">
        <v>-4.9737991503207013E-14</v>
      </c>
    </row>
    <row r="849" spans="11:12" x14ac:dyDescent="0.45">
      <c r="K849" s="36">
        <v>847</v>
      </c>
      <c r="L849" s="95">
        <v>4.1999999999999504</v>
      </c>
    </row>
    <row r="850" spans="11:12" x14ac:dyDescent="0.45">
      <c r="K850" s="36">
        <v>848</v>
      </c>
      <c r="L850" s="95">
        <v>34.399999999999949</v>
      </c>
    </row>
    <row r="851" spans="11:12" x14ac:dyDescent="0.45">
      <c r="K851" s="36">
        <v>849</v>
      </c>
      <c r="L851" s="95">
        <v>-4.9737991503207013E-14</v>
      </c>
    </row>
    <row r="852" spans="11:12" x14ac:dyDescent="0.45">
      <c r="K852" s="36">
        <v>850</v>
      </c>
      <c r="L852" s="95">
        <v>-28.80000000000005</v>
      </c>
    </row>
    <row r="853" spans="11:12" x14ac:dyDescent="0.45">
      <c r="K853" s="36">
        <v>851</v>
      </c>
      <c r="L853" s="95">
        <v>-87.100000000000051</v>
      </c>
    </row>
    <row r="854" spans="11:12" x14ac:dyDescent="0.45">
      <c r="K854" s="36">
        <v>852</v>
      </c>
      <c r="L854" s="95">
        <v>-5.6843418860808015E-14</v>
      </c>
    </row>
    <row r="855" spans="11:12" x14ac:dyDescent="0.45">
      <c r="K855" s="36">
        <v>853</v>
      </c>
      <c r="L855" s="95">
        <v>2.799999999999943</v>
      </c>
    </row>
    <row r="856" spans="11:12" x14ac:dyDescent="0.45">
      <c r="K856" s="36">
        <v>854</v>
      </c>
      <c r="L856" s="95">
        <v>33.29999999999994</v>
      </c>
    </row>
    <row r="857" spans="11:12" x14ac:dyDescent="0.45">
      <c r="K857" s="36">
        <v>855</v>
      </c>
      <c r="L857" s="95">
        <v>-5.6843418860808015E-14</v>
      </c>
    </row>
    <row r="858" spans="11:12" x14ac:dyDescent="0.45">
      <c r="K858" s="36">
        <v>856</v>
      </c>
      <c r="L858" s="95">
        <v>-12.000000000000057</v>
      </c>
    </row>
    <row r="859" spans="11:12" x14ac:dyDescent="0.45">
      <c r="K859" s="36">
        <v>857</v>
      </c>
      <c r="L859" s="95">
        <v>-62.400000000000055</v>
      </c>
    </row>
    <row r="860" spans="11:12" x14ac:dyDescent="0.45">
      <c r="K860" s="36">
        <v>858</v>
      </c>
      <c r="L860" s="95">
        <v>-5.6843418860808015E-14</v>
      </c>
    </row>
    <row r="861" spans="11:12" x14ac:dyDescent="0.45">
      <c r="K861" s="36">
        <v>859</v>
      </c>
      <c r="L861" s="95">
        <v>22.099999999999945</v>
      </c>
    </row>
    <row r="862" spans="11:12" x14ac:dyDescent="0.45">
      <c r="K862" s="36">
        <v>860</v>
      </c>
      <c r="L862" s="95">
        <v>23.399999999999945</v>
      </c>
    </row>
    <row r="863" spans="11:12" x14ac:dyDescent="0.45">
      <c r="K863" s="36">
        <v>861</v>
      </c>
      <c r="L863" s="95">
        <v>-5.3290705182007514E-14</v>
      </c>
    </row>
    <row r="864" spans="11:12" x14ac:dyDescent="0.45">
      <c r="K864" s="36">
        <v>862</v>
      </c>
      <c r="L864" s="95">
        <v>60.599999999999952</v>
      </c>
    </row>
    <row r="865" spans="11:12" x14ac:dyDescent="0.45">
      <c r="K865" s="36">
        <v>863</v>
      </c>
      <c r="L865" s="95">
        <v>46.199999999999953</v>
      </c>
    </row>
    <row r="866" spans="11:12" x14ac:dyDescent="0.45">
      <c r="K866" s="36">
        <v>864</v>
      </c>
      <c r="L866" s="95">
        <v>-4.9737991503207013E-14</v>
      </c>
    </row>
    <row r="867" spans="11:12" x14ac:dyDescent="0.45">
      <c r="K867" s="36">
        <v>865</v>
      </c>
      <c r="L867" s="95">
        <v>-38.50000000000005</v>
      </c>
    </row>
    <row r="868" spans="11:12" x14ac:dyDescent="0.45">
      <c r="K868" s="36">
        <v>866</v>
      </c>
      <c r="L868" s="95">
        <v>-26.30000000000005</v>
      </c>
    </row>
    <row r="869" spans="11:12" x14ac:dyDescent="0.45">
      <c r="K869" s="36">
        <v>867</v>
      </c>
      <c r="L869" s="95">
        <v>-4.9737991503207013E-14</v>
      </c>
    </row>
    <row r="870" spans="11:12" x14ac:dyDescent="0.45">
      <c r="K870" s="36">
        <v>868</v>
      </c>
      <c r="L870" s="95">
        <v>39.799999999999947</v>
      </c>
    </row>
    <row r="871" spans="11:12" x14ac:dyDescent="0.45">
      <c r="K871" s="36">
        <v>869</v>
      </c>
      <c r="L871" s="95">
        <v>-10.700000000000053</v>
      </c>
    </row>
    <row r="872" spans="11:12" x14ac:dyDescent="0.45">
      <c r="K872" s="36">
        <v>870</v>
      </c>
      <c r="L872" s="95">
        <v>-5.3290705182007514E-14</v>
      </c>
    </row>
    <row r="873" spans="11:12" x14ac:dyDescent="0.45">
      <c r="K873" s="36">
        <v>871</v>
      </c>
      <c r="L873" s="95">
        <v>-32.000000000000057</v>
      </c>
    </row>
    <row r="874" spans="11:12" x14ac:dyDescent="0.45">
      <c r="K874" s="36">
        <v>872</v>
      </c>
      <c r="L874" s="95">
        <v>1.8999999999999417</v>
      </c>
    </row>
    <row r="875" spans="11:12" x14ac:dyDescent="0.45">
      <c r="K875" s="36">
        <v>873</v>
      </c>
      <c r="L875" s="95">
        <v>-5.8175686490358203E-14</v>
      </c>
    </row>
    <row r="876" spans="11:12" x14ac:dyDescent="0.45">
      <c r="K876" s="36">
        <v>874</v>
      </c>
      <c r="L876" s="95">
        <v>-42.300000000000054</v>
      </c>
    </row>
    <row r="877" spans="11:12" x14ac:dyDescent="0.45">
      <c r="K877" s="36">
        <v>875</v>
      </c>
      <c r="L877" s="95">
        <v>-60.800000000000054</v>
      </c>
    </row>
    <row r="878" spans="11:12" x14ac:dyDescent="0.45">
      <c r="K878" s="36">
        <v>876</v>
      </c>
      <c r="L878" s="95">
        <v>-5.6843418860808015E-14</v>
      </c>
    </row>
    <row r="879" spans="11:12" x14ac:dyDescent="0.45">
      <c r="K879" s="36">
        <v>877</v>
      </c>
      <c r="L879" s="95">
        <v>32.999999999999943</v>
      </c>
    </row>
    <row r="880" spans="11:12" x14ac:dyDescent="0.45">
      <c r="K880" s="36">
        <v>878</v>
      </c>
      <c r="L880" s="95">
        <v>-2.0000000000000568</v>
      </c>
    </row>
    <row r="881" spans="11:12" x14ac:dyDescent="0.45">
      <c r="K881" s="36">
        <v>879</v>
      </c>
      <c r="L881" s="95">
        <v>-5.6843418860808015E-14</v>
      </c>
    </row>
    <row r="882" spans="11:12" x14ac:dyDescent="0.45">
      <c r="K882" s="36">
        <v>880</v>
      </c>
      <c r="L882" s="95">
        <v>26.799999999999944</v>
      </c>
    </row>
    <row r="883" spans="11:12" x14ac:dyDescent="0.45">
      <c r="K883" s="36">
        <v>881</v>
      </c>
      <c r="L883" s="95">
        <v>32.199999999999946</v>
      </c>
    </row>
    <row r="884" spans="11:12" x14ac:dyDescent="0.45">
      <c r="K884" s="36">
        <v>882</v>
      </c>
      <c r="L884" s="95">
        <v>-5.6843418860808015E-14</v>
      </c>
    </row>
    <row r="885" spans="11:12" x14ac:dyDescent="0.45">
      <c r="K885" s="36">
        <v>883</v>
      </c>
      <c r="L885" s="95">
        <v>45.199999999999946</v>
      </c>
    </row>
    <row r="886" spans="11:12" x14ac:dyDescent="0.45">
      <c r="K886" s="36">
        <v>884</v>
      </c>
      <c r="L886" s="95">
        <v>10.199999999999946</v>
      </c>
    </row>
    <row r="887" spans="11:12" x14ac:dyDescent="0.45">
      <c r="K887" s="36">
        <v>885</v>
      </c>
      <c r="L887" s="95">
        <v>-5.3290705182007514E-14</v>
      </c>
    </row>
    <row r="888" spans="11:12" x14ac:dyDescent="0.45">
      <c r="K888" s="36">
        <v>886</v>
      </c>
      <c r="L888" s="95">
        <v>-12.500000000000053</v>
      </c>
    </row>
    <row r="889" spans="11:12" x14ac:dyDescent="0.45">
      <c r="K889" s="36">
        <v>887</v>
      </c>
      <c r="L889" s="95">
        <v>-12.200000000000053</v>
      </c>
    </row>
    <row r="890" spans="11:12" x14ac:dyDescent="0.45">
      <c r="K890" s="36">
        <v>888</v>
      </c>
      <c r="L890" s="95">
        <v>-5.3290705182007514E-14</v>
      </c>
    </row>
    <row r="891" spans="11:12" x14ac:dyDescent="0.45">
      <c r="K891" s="36">
        <v>889</v>
      </c>
      <c r="L891" s="95">
        <v>-65.500000000000057</v>
      </c>
    </row>
    <row r="892" spans="11:12" x14ac:dyDescent="0.45">
      <c r="K892" s="36">
        <v>890</v>
      </c>
      <c r="L892" s="95">
        <v>-12.000000000000057</v>
      </c>
    </row>
    <row r="893" spans="11:12" x14ac:dyDescent="0.45">
      <c r="K893" s="36">
        <v>891</v>
      </c>
      <c r="L893" s="95">
        <v>-5.6843418860808015E-14</v>
      </c>
    </row>
    <row r="894" spans="11:12" x14ac:dyDescent="0.45">
      <c r="K894" s="36">
        <v>892</v>
      </c>
      <c r="L894" s="95">
        <v>-9.2000000000000561</v>
      </c>
    </row>
    <row r="895" spans="11:12" x14ac:dyDescent="0.45">
      <c r="K895" s="36">
        <v>893</v>
      </c>
      <c r="L895" s="95">
        <v>-39.70000000000006</v>
      </c>
    </row>
    <row r="896" spans="11:12" x14ac:dyDescent="0.45">
      <c r="K896" s="36">
        <v>894</v>
      </c>
      <c r="L896" s="95">
        <v>-5.6843418860808015E-14</v>
      </c>
    </row>
    <row r="897" spans="11:12" x14ac:dyDescent="0.45">
      <c r="K897" s="36">
        <v>895</v>
      </c>
      <c r="L897" s="95">
        <v>-36.300000000000054</v>
      </c>
    </row>
    <row r="898" spans="11:12" x14ac:dyDescent="0.45">
      <c r="K898" s="36">
        <v>896</v>
      </c>
      <c r="L898" s="95">
        <v>-56.300000000000054</v>
      </c>
    </row>
    <row r="899" spans="11:12" x14ac:dyDescent="0.45">
      <c r="K899" s="36">
        <v>897</v>
      </c>
      <c r="L899" s="95">
        <v>-5.6843418860808015E-14</v>
      </c>
    </row>
    <row r="900" spans="11:12" x14ac:dyDescent="0.45">
      <c r="K900" s="36">
        <v>898</v>
      </c>
      <c r="L900" s="95">
        <v>-37.20000000000006</v>
      </c>
    </row>
    <row r="901" spans="11:12" x14ac:dyDescent="0.45">
      <c r="K901" s="36">
        <v>899</v>
      </c>
      <c r="L901" s="95">
        <v>-8.400000000000059</v>
      </c>
    </row>
    <row r="902" spans="11:12" x14ac:dyDescent="0.45">
      <c r="K902" s="36">
        <v>900</v>
      </c>
      <c r="L902" s="95">
        <v>-5.8619775700208265E-14</v>
      </c>
    </row>
    <row r="903" spans="11:12" x14ac:dyDescent="0.45">
      <c r="K903" s="36">
        <v>901</v>
      </c>
      <c r="L903" s="95">
        <v>-27.400000000000055</v>
      </c>
    </row>
    <row r="904" spans="11:12" x14ac:dyDescent="0.45">
      <c r="K904" s="36">
        <v>902</v>
      </c>
      <c r="L904" s="95">
        <v>-35.70000000000006</v>
      </c>
    </row>
    <row r="905" spans="11:12" x14ac:dyDescent="0.45">
      <c r="K905" s="36">
        <v>903</v>
      </c>
      <c r="L905" s="95">
        <v>-5.6843418860808015E-14</v>
      </c>
    </row>
    <row r="906" spans="11:12" x14ac:dyDescent="0.45">
      <c r="K906" s="36">
        <v>904</v>
      </c>
      <c r="L906" s="95">
        <v>-3.4000000000000568</v>
      </c>
    </row>
    <row r="907" spans="11:12" x14ac:dyDescent="0.45">
      <c r="K907" s="36">
        <v>905</v>
      </c>
      <c r="L907" s="95">
        <v>17.599999999999945</v>
      </c>
    </row>
    <row r="908" spans="11:12" x14ac:dyDescent="0.45">
      <c r="K908" s="36">
        <v>906</v>
      </c>
      <c r="L908" s="95">
        <v>-5.6843418860808015E-14</v>
      </c>
    </row>
    <row r="909" spans="11:12" x14ac:dyDescent="0.45">
      <c r="K909" s="36">
        <v>907</v>
      </c>
      <c r="L909" s="95">
        <v>-11.000000000000057</v>
      </c>
    </row>
    <row r="910" spans="11:12" x14ac:dyDescent="0.45">
      <c r="K910" s="36">
        <v>908</v>
      </c>
      <c r="L910" s="95">
        <v>27.199999999999946</v>
      </c>
    </row>
    <row r="911" spans="11:12" x14ac:dyDescent="0.45">
      <c r="K911" s="36">
        <v>909</v>
      </c>
      <c r="L911" s="95">
        <v>-5.3290705182007514E-14</v>
      </c>
    </row>
    <row r="912" spans="11:12" x14ac:dyDescent="0.45">
      <c r="K912" s="36">
        <v>910</v>
      </c>
      <c r="L912" s="95">
        <v>-28.700000000000053</v>
      </c>
    </row>
    <row r="913" spans="11:12" x14ac:dyDescent="0.45">
      <c r="K913" s="36">
        <v>911</v>
      </c>
      <c r="L913" s="95">
        <v>-27.900000000000052</v>
      </c>
    </row>
    <row r="914" spans="11:12" x14ac:dyDescent="0.45">
      <c r="K914" s="36">
        <v>912</v>
      </c>
      <c r="L914" s="95">
        <v>-5.3290705182007514E-14</v>
      </c>
    </row>
    <row r="915" spans="11:12" x14ac:dyDescent="0.45">
      <c r="K915" s="36">
        <v>913</v>
      </c>
      <c r="L915" s="95">
        <v>-44.000000000000057</v>
      </c>
    </row>
    <row r="916" spans="11:12" x14ac:dyDescent="0.45">
      <c r="K916" s="36">
        <v>914</v>
      </c>
      <c r="L916" s="95">
        <v>0.79999999999994031</v>
      </c>
    </row>
    <row r="917" spans="11:12" x14ac:dyDescent="0.45">
      <c r="K917" s="36">
        <v>915</v>
      </c>
      <c r="L917" s="95">
        <v>-5.9729998724833422E-14</v>
      </c>
    </row>
    <row r="918" spans="11:12" x14ac:dyDescent="0.45">
      <c r="K918" s="36">
        <v>916</v>
      </c>
      <c r="L918" s="95">
        <v>-18.900000000000059</v>
      </c>
    </row>
    <row r="919" spans="11:12" x14ac:dyDescent="0.45">
      <c r="K919" s="36">
        <v>917</v>
      </c>
      <c r="L919" s="95">
        <v>-56.400000000000063</v>
      </c>
    </row>
    <row r="920" spans="11:12" x14ac:dyDescent="0.45">
      <c r="K920" s="36">
        <v>918</v>
      </c>
      <c r="L920" s="95">
        <v>-6.3948846218409017E-14</v>
      </c>
    </row>
    <row r="921" spans="11:12" x14ac:dyDescent="0.45">
      <c r="K921" s="36">
        <v>919</v>
      </c>
      <c r="L921" s="95">
        <v>12.199999999999935</v>
      </c>
    </row>
    <row r="922" spans="11:12" x14ac:dyDescent="0.45">
      <c r="K922" s="36">
        <v>920</v>
      </c>
      <c r="L922" s="95">
        <v>34.499999999999936</v>
      </c>
    </row>
    <row r="923" spans="11:12" x14ac:dyDescent="0.45">
      <c r="K923" s="36">
        <v>921</v>
      </c>
      <c r="L923" s="95">
        <v>-6.3948846218409017E-14</v>
      </c>
    </row>
    <row r="924" spans="11:12" x14ac:dyDescent="0.45">
      <c r="K924" s="36">
        <v>922</v>
      </c>
      <c r="L924" s="95">
        <v>-47.000000000000064</v>
      </c>
    </row>
    <row r="925" spans="11:12" x14ac:dyDescent="0.45">
      <c r="K925" s="36">
        <v>923</v>
      </c>
      <c r="L925" s="95">
        <v>-47.300000000000061</v>
      </c>
    </row>
    <row r="926" spans="11:12" x14ac:dyDescent="0.45">
      <c r="K926" s="36">
        <v>924</v>
      </c>
      <c r="L926" s="95">
        <v>-6.3948846218409017E-14</v>
      </c>
    </row>
    <row r="927" spans="11:12" x14ac:dyDescent="0.45">
      <c r="K927" s="36">
        <v>925</v>
      </c>
      <c r="L927" s="95">
        <v>-34.500000000000064</v>
      </c>
    </row>
    <row r="928" spans="11:12" x14ac:dyDescent="0.45">
      <c r="K928" s="36">
        <v>926</v>
      </c>
      <c r="L928" s="95">
        <v>-47.500000000000064</v>
      </c>
    </row>
    <row r="929" spans="11:12" x14ac:dyDescent="0.45">
      <c r="K929" s="36">
        <v>927</v>
      </c>
      <c r="L929" s="95">
        <v>-6.3948846218409017E-14</v>
      </c>
    </row>
    <row r="930" spans="11:12" x14ac:dyDescent="0.45">
      <c r="K930" s="36">
        <v>928</v>
      </c>
      <c r="L930" s="95">
        <v>-22.000000000000064</v>
      </c>
    </row>
    <row r="931" spans="11:12" x14ac:dyDescent="0.45">
      <c r="K931" s="36">
        <v>929</v>
      </c>
      <c r="L931" s="95">
        <v>-60.700000000000067</v>
      </c>
    </row>
    <row r="932" spans="11:12" x14ac:dyDescent="0.45">
      <c r="K932" s="36">
        <v>930</v>
      </c>
      <c r="L932" s="95">
        <v>-6.3948846218409017E-14</v>
      </c>
    </row>
    <row r="933" spans="11:12" x14ac:dyDescent="0.45">
      <c r="K933" s="36">
        <v>931</v>
      </c>
      <c r="L933" s="95">
        <v>31.199999999999935</v>
      </c>
    </row>
    <row r="934" spans="11:12" x14ac:dyDescent="0.45">
      <c r="K934" s="36">
        <v>932</v>
      </c>
      <c r="L934" s="95">
        <v>6.6999999999999353</v>
      </c>
    </row>
    <row r="935" spans="11:12" x14ac:dyDescent="0.45">
      <c r="K935" s="36">
        <v>933</v>
      </c>
      <c r="L935" s="95">
        <v>-6.4837024638109142E-14</v>
      </c>
    </row>
    <row r="936" spans="11:12" x14ac:dyDescent="0.45">
      <c r="K936" s="36">
        <v>934</v>
      </c>
      <c r="L936" s="95">
        <v>-45.300000000000061</v>
      </c>
    </row>
    <row r="937" spans="11:12" x14ac:dyDescent="0.45">
      <c r="K937" s="36">
        <v>935</v>
      </c>
      <c r="L937" s="95">
        <v>-4.5000000000000639</v>
      </c>
    </row>
    <row r="938" spans="11:12" x14ac:dyDescent="0.45">
      <c r="K938" s="36">
        <v>936</v>
      </c>
      <c r="L938" s="95">
        <v>-6.3948846218409017E-14</v>
      </c>
    </row>
    <row r="939" spans="11:12" x14ac:dyDescent="0.45">
      <c r="K939" s="36">
        <v>937</v>
      </c>
      <c r="L939" s="95">
        <v>-31.700000000000063</v>
      </c>
    </row>
    <row r="940" spans="11:12" x14ac:dyDescent="0.45">
      <c r="K940" s="36">
        <v>938</v>
      </c>
      <c r="L940" s="95">
        <v>-25.200000000000063</v>
      </c>
    </row>
    <row r="941" spans="11:12" x14ac:dyDescent="0.45">
      <c r="K941" s="36">
        <v>939</v>
      </c>
      <c r="L941" s="95">
        <v>-6.3948846218409017E-14</v>
      </c>
    </row>
    <row r="942" spans="11:12" x14ac:dyDescent="0.45">
      <c r="K942" s="36">
        <v>940</v>
      </c>
      <c r="L942" s="95">
        <v>-61.300000000000061</v>
      </c>
    </row>
    <row r="943" spans="11:12" x14ac:dyDescent="0.45">
      <c r="K943" s="36">
        <v>941</v>
      </c>
      <c r="L943" s="95">
        <v>-20.100000000000058</v>
      </c>
    </row>
    <row r="944" spans="11:12" x14ac:dyDescent="0.45">
      <c r="K944" s="36">
        <v>942</v>
      </c>
      <c r="L944" s="95">
        <v>-5.6843418860808015E-14</v>
      </c>
    </row>
    <row r="945" spans="11:12" x14ac:dyDescent="0.45">
      <c r="K945" s="36">
        <v>943</v>
      </c>
      <c r="L945" s="95">
        <v>-25.700000000000056</v>
      </c>
    </row>
    <row r="946" spans="11:12" x14ac:dyDescent="0.45">
      <c r="K946" s="36">
        <v>944</v>
      </c>
      <c r="L946" s="95">
        <v>7.6999999999999424</v>
      </c>
    </row>
    <row r="947" spans="11:12" x14ac:dyDescent="0.45">
      <c r="K947" s="36">
        <v>945</v>
      </c>
      <c r="L947" s="95">
        <v>-5.773159728050814E-14</v>
      </c>
    </row>
    <row r="948" spans="11:12" x14ac:dyDescent="0.45">
      <c r="K948" s="36">
        <v>946</v>
      </c>
      <c r="L948" s="95">
        <v>-31.800000000000058</v>
      </c>
    </row>
    <row r="949" spans="11:12" x14ac:dyDescent="0.45">
      <c r="K949" s="36">
        <v>947</v>
      </c>
      <c r="L949" s="95">
        <v>-24.20000000000006</v>
      </c>
    </row>
    <row r="950" spans="11:12" x14ac:dyDescent="0.45">
      <c r="K950" s="36">
        <v>948</v>
      </c>
      <c r="L950" s="95">
        <v>-6.0396132539608516E-14</v>
      </c>
    </row>
    <row r="951" spans="11:12" x14ac:dyDescent="0.45">
      <c r="K951" s="36">
        <v>949</v>
      </c>
      <c r="L951" s="95">
        <v>-0.60000000000006037</v>
      </c>
    </row>
    <row r="952" spans="11:12" x14ac:dyDescent="0.45">
      <c r="K952" s="36">
        <v>950</v>
      </c>
      <c r="L952" s="95">
        <v>-25.200000000000063</v>
      </c>
    </row>
    <row r="953" spans="11:12" x14ac:dyDescent="0.45">
      <c r="K953" s="36">
        <v>951</v>
      </c>
      <c r="L953" s="95">
        <v>-6.3948846218409017E-14</v>
      </c>
    </row>
    <row r="954" spans="11:12" x14ac:dyDescent="0.45">
      <c r="K954" s="36">
        <v>952</v>
      </c>
      <c r="L954" s="95">
        <v>31.699999999999935</v>
      </c>
    </row>
    <row r="955" spans="11:12" x14ac:dyDescent="0.45">
      <c r="K955" s="36">
        <v>953</v>
      </c>
      <c r="L955" s="95">
        <v>23.799999999999933</v>
      </c>
    </row>
    <row r="956" spans="11:12" x14ac:dyDescent="0.45">
      <c r="K956" s="36">
        <v>954</v>
      </c>
      <c r="L956" s="95">
        <v>-6.7501559897209518E-14</v>
      </c>
    </row>
    <row r="957" spans="11:12" x14ac:dyDescent="0.45">
      <c r="K957" s="36">
        <v>955</v>
      </c>
      <c r="L957" s="95">
        <v>-7.8000000000000673</v>
      </c>
    </row>
    <row r="958" spans="11:12" x14ac:dyDescent="0.45">
      <c r="K958" s="36">
        <v>956</v>
      </c>
      <c r="L958" s="95">
        <v>-32.200000000000067</v>
      </c>
    </row>
    <row r="959" spans="11:12" x14ac:dyDescent="0.45">
      <c r="K959" s="36">
        <v>957</v>
      </c>
      <c r="L959" s="95">
        <v>-6.3948846218409017E-14</v>
      </c>
    </row>
    <row r="960" spans="11:12" x14ac:dyDescent="0.45">
      <c r="K960" s="36">
        <v>958</v>
      </c>
      <c r="L960" s="95">
        <v>-2.9000000000000639</v>
      </c>
    </row>
    <row r="961" spans="11:12" x14ac:dyDescent="0.45">
      <c r="K961" s="36">
        <v>959</v>
      </c>
      <c r="L961" s="95">
        <v>33.099999999999937</v>
      </c>
    </row>
    <row r="962" spans="11:12" x14ac:dyDescent="0.45">
      <c r="K962" s="36">
        <v>960</v>
      </c>
      <c r="L962" s="95">
        <v>-6.3948846218409017E-14</v>
      </c>
    </row>
    <row r="963" spans="11:12" x14ac:dyDescent="0.45">
      <c r="K963" s="36">
        <v>961</v>
      </c>
      <c r="L963" s="95">
        <v>31.999999999999936</v>
      </c>
    </row>
    <row r="964" spans="11:12" x14ac:dyDescent="0.45">
      <c r="K964" s="36">
        <v>962</v>
      </c>
      <c r="L964" s="95">
        <v>37.999999999999936</v>
      </c>
    </row>
    <row r="965" spans="11:12" x14ac:dyDescent="0.45">
      <c r="K965" s="36">
        <v>963</v>
      </c>
      <c r="L965" s="95">
        <v>-6.3948846218409017E-14</v>
      </c>
    </row>
    <row r="966" spans="11:12" x14ac:dyDescent="0.45">
      <c r="K966" s="36">
        <v>964</v>
      </c>
      <c r="L966" s="95">
        <v>-53.000000000000064</v>
      </c>
    </row>
    <row r="967" spans="11:12" x14ac:dyDescent="0.45">
      <c r="K967" s="36">
        <v>965</v>
      </c>
      <c r="L967" s="95">
        <v>-11.500000000000064</v>
      </c>
    </row>
    <row r="968" spans="11:12" x14ac:dyDescent="0.45">
      <c r="K968" s="36">
        <v>966</v>
      </c>
      <c r="L968" s="95">
        <v>-6.3948846218409017E-14</v>
      </c>
    </row>
    <row r="969" spans="11:12" x14ac:dyDescent="0.45">
      <c r="K969" s="36">
        <v>967</v>
      </c>
      <c r="L969" s="95">
        <v>-53.200000000000067</v>
      </c>
    </row>
    <row r="970" spans="11:12" x14ac:dyDescent="0.45">
      <c r="K970" s="36">
        <v>968</v>
      </c>
      <c r="L970" s="95">
        <v>-16.600000000000065</v>
      </c>
    </row>
    <row r="971" spans="11:12" x14ac:dyDescent="0.45">
      <c r="K971" s="36">
        <v>969</v>
      </c>
      <c r="L971" s="95">
        <v>-6.3948846218409017E-14</v>
      </c>
    </row>
    <row r="972" spans="11:12" x14ac:dyDescent="0.45">
      <c r="K972" s="36">
        <v>970</v>
      </c>
      <c r="L972" s="95">
        <v>-23.200000000000063</v>
      </c>
    </row>
    <row r="973" spans="11:12" x14ac:dyDescent="0.45">
      <c r="K973" s="36">
        <v>971</v>
      </c>
      <c r="L973" s="95">
        <v>-31.900000000000063</v>
      </c>
    </row>
    <row r="974" spans="11:12" x14ac:dyDescent="0.45">
      <c r="K974" s="36">
        <v>972</v>
      </c>
      <c r="L974" s="95">
        <v>-6.3948846218409017E-14</v>
      </c>
    </row>
    <row r="975" spans="11:12" x14ac:dyDescent="0.45">
      <c r="K975" s="36">
        <v>973</v>
      </c>
      <c r="L975" s="95">
        <v>-47.400000000000063</v>
      </c>
    </row>
    <row r="976" spans="11:12" x14ac:dyDescent="0.45">
      <c r="K976" s="36">
        <v>974</v>
      </c>
      <c r="L976" s="95">
        <v>-41.500000000000064</v>
      </c>
    </row>
    <row r="977" spans="11:12" x14ac:dyDescent="0.45">
      <c r="K977" s="36">
        <v>975</v>
      </c>
      <c r="L977" s="95">
        <v>-6.3948846218409017E-14</v>
      </c>
    </row>
    <row r="978" spans="11:12" x14ac:dyDescent="0.45">
      <c r="K978" s="36">
        <v>976</v>
      </c>
      <c r="L978" s="95">
        <v>-10.900000000000064</v>
      </c>
    </row>
    <row r="979" spans="11:12" x14ac:dyDescent="0.45">
      <c r="K979" s="36">
        <v>977</v>
      </c>
      <c r="L979" s="95">
        <v>-49.600000000000065</v>
      </c>
    </row>
    <row r="980" spans="11:12" x14ac:dyDescent="0.45">
      <c r="K980" s="36">
        <v>978</v>
      </c>
      <c r="L980" s="95">
        <v>-6.3948846218409017E-14</v>
      </c>
    </row>
    <row r="981" spans="11:12" x14ac:dyDescent="0.45">
      <c r="K981" s="36">
        <v>979</v>
      </c>
      <c r="L981" s="95">
        <v>9.1999999999999353</v>
      </c>
    </row>
    <row r="982" spans="11:12" x14ac:dyDescent="0.45">
      <c r="K982" s="36">
        <v>980</v>
      </c>
      <c r="L982" s="95">
        <v>45.499999999999929</v>
      </c>
    </row>
    <row r="983" spans="11:12" x14ac:dyDescent="0.45">
      <c r="K983" s="36">
        <v>981</v>
      </c>
      <c r="L983" s="95">
        <v>-7.1054273576010019E-14</v>
      </c>
    </row>
    <row r="984" spans="11:12" x14ac:dyDescent="0.45">
      <c r="K984" s="36">
        <v>982</v>
      </c>
      <c r="L984" s="95">
        <v>30.29999999999993</v>
      </c>
    </row>
    <row r="985" spans="11:12" x14ac:dyDescent="0.45">
      <c r="K985" s="36">
        <v>983</v>
      </c>
      <c r="L985" s="95">
        <v>46.499999999999929</v>
      </c>
    </row>
    <row r="986" spans="11:12" x14ac:dyDescent="0.45">
      <c r="K986" s="36">
        <v>984</v>
      </c>
      <c r="L986" s="95">
        <v>-7.1054273576010019E-14</v>
      </c>
    </row>
    <row r="987" spans="11:12" x14ac:dyDescent="0.45">
      <c r="K987" s="36">
        <v>985</v>
      </c>
      <c r="L987" s="95">
        <v>30.399999999999928</v>
      </c>
    </row>
    <row r="988" spans="11:12" x14ac:dyDescent="0.45">
      <c r="K988" s="36">
        <v>986</v>
      </c>
      <c r="L988" s="95">
        <v>45.499999999999929</v>
      </c>
    </row>
    <row r="989" spans="11:12" x14ac:dyDescent="0.45">
      <c r="K989" s="36">
        <v>987</v>
      </c>
      <c r="L989" s="95">
        <v>-7.1054273576010019E-14</v>
      </c>
    </row>
    <row r="990" spans="11:12" x14ac:dyDescent="0.45">
      <c r="K990" s="36">
        <v>988</v>
      </c>
      <c r="L990" s="95">
        <v>34.59999999999993</v>
      </c>
    </row>
    <row r="991" spans="11:12" x14ac:dyDescent="0.45">
      <c r="K991" s="36">
        <v>989</v>
      </c>
      <c r="L991" s="95">
        <v>-11.500000000000071</v>
      </c>
    </row>
    <row r="992" spans="11:12" x14ac:dyDescent="0.45">
      <c r="K992" s="36">
        <v>990</v>
      </c>
      <c r="L992" s="95">
        <v>-7.1054273576010019E-14</v>
      </c>
    </row>
    <row r="993" spans="11:12" x14ac:dyDescent="0.45">
      <c r="K993" s="36">
        <v>991</v>
      </c>
      <c r="L993" s="95">
        <v>1.299999999999929</v>
      </c>
    </row>
    <row r="994" spans="11:12" x14ac:dyDescent="0.45">
      <c r="K994" s="36">
        <v>992</v>
      </c>
      <c r="L994" s="95">
        <v>-15.800000000000072</v>
      </c>
    </row>
    <row r="995" spans="11:12" x14ac:dyDescent="0.45">
      <c r="K995" s="36">
        <v>993</v>
      </c>
      <c r="L995" s="95">
        <v>-7.1054273576010019E-14</v>
      </c>
    </row>
    <row r="996" spans="11:12" x14ac:dyDescent="0.45">
      <c r="K996" s="36">
        <v>994</v>
      </c>
      <c r="L996" s="95">
        <v>74.099999999999923</v>
      </c>
    </row>
    <row r="997" spans="11:12" x14ac:dyDescent="0.45">
      <c r="K997" s="36">
        <v>995</v>
      </c>
      <c r="L997" s="95">
        <v>27.499999999999922</v>
      </c>
    </row>
    <row r="998" spans="11:12" x14ac:dyDescent="0.45">
      <c r="K998" s="36">
        <v>996</v>
      </c>
      <c r="L998" s="95">
        <v>-7.815970093361102E-14</v>
      </c>
    </row>
    <row r="999" spans="11:12" x14ac:dyDescent="0.45">
      <c r="K999" s="36">
        <v>997</v>
      </c>
      <c r="L999" s="95">
        <v>62.599999999999923</v>
      </c>
    </row>
    <row r="1000" spans="11:12" x14ac:dyDescent="0.45">
      <c r="K1000" s="36">
        <v>998</v>
      </c>
      <c r="L1000" s="95">
        <v>9.4999999999999218</v>
      </c>
    </row>
    <row r="1001" spans="11:12" x14ac:dyDescent="0.45">
      <c r="K1001" s="36">
        <v>999</v>
      </c>
      <c r="L1001" s="95">
        <v>-7.815970093361102E-14</v>
      </c>
    </row>
    <row r="1002" spans="11:12" x14ac:dyDescent="0.45">
      <c r="K1002" s="36">
        <v>1000</v>
      </c>
      <c r="L1002" s="95">
        <v>-52.000000000000078</v>
      </c>
    </row>
    <row r="1003" spans="11:12" x14ac:dyDescent="0.45">
      <c r="K1003" s="36">
        <v>1001</v>
      </c>
      <c r="L1003" s="95">
        <v>-55.500000000000078</v>
      </c>
    </row>
    <row r="1004" spans="11:12" x14ac:dyDescent="0.45">
      <c r="K1004" s="36">
        <v>1002</v>
      </c>
      <c r="L1004" s="95">
        <v>-7.815970093361102E-14</v>
      </c>
    </row>
    <row r="1005" spans="11:12" x14ac:dyDescent="0.45">
      <c r="K1005" s="36">
        <v>1003</v>
      </c>
      <c r="L1005" s="95">
        <v>-45.200000000000081</v>
      </c>
    </row>
    <row r="1006" spans="11:12" x14ac:dyDescent="0.45">
      <c r="K1006" s="36">
        <v>1004</v>
      </c>
      <c r="L1006" s="95">
        <v>-28.200000000000081</v>
      </c>
    </row>
    <row r="1007" spans="11:12" x14ac:dyDescent="0.45">
      <c r="K1007" s="36">
        <v>1005</v>
      </c>
      <c r="L1007" s="95">
        <v>-8.1712414612411521E-14</v>
      </c>
    </row>
    <row r="1008" spans="11:12" x14ac:dyDescent="0.45">
      <c r="K1008" s="36">
        <v>1006</v>
      </c>
      <c r="L1008" s="95">
        <v>24.09999999999992</v>
      </c>
    </row>
    <row r="1009" spans="11:12" x14ac:dyDescent="0.45">
      <c r="K1009" s="36">
        <v>1007</v>
      </c>
      <c r="L1009" s="95">
        <v>24.89999999999992</v>
      </c>
    </row>
    <row r="1010" spans="11:12" x14ac:dyDescent="0.45">
      <c r="K1010" s="36">
        <v>1008</v>
      </c>
      <c r="L1010" s="95">
        <v>-7.815970093361102E-14</v>
      </c>
    </row>
    <row r="1011" spans="11:12" x14ac:dyDescent="0.45">
      <c r="K1011" s="36">
        <v>1009</v>
      </c>
      <c r="L1011" s="95">
        <v>22.39999999999992</v>
      </c>
    </row>
    <row r="1012" spans="11:12" x14ac:dyDescent="0.45">
      <c r="K1012" s="36">
        <v>1010</v>
      </c>
      <c r="L1012" s="95">
        <v>17.39999999999992</v>
      </c>
    </row>
    <row r="1013" spans="11:12" x14ac:dyDescent="0.45">
      <c r="K1013" s="36">
        <v>1011</v>
      </c>
      <c r="L1013" s="95">
        <v>-7.815970093361102E-14</v>
      </c>
    </row>
    <row r="1014" spans="11:12" x14ac:dyDescent="0.45">
      <c r="K1014" s="36">
        <v>1012</v>
      </c>
      <c r="L1014" s="95">
        <v>-36.000000000000078</v>
      </c>
    </row>
    <row r="1015" spans="11:12" x14ac:dyDescent="0.45">
      <c r="K1015" s="36">
        <v>1013</v>
      </c>
      <c r="L1015" s="95">
        <v>4.6999999999999247</v>
      </c>
    </row>
    <row r="1016" spans="11:12" x14ac:dyDescent="0.45">
      <c r="K1016" s="36">
        <v>1014</v>
      </c>
      <c r="L1016" s="95">
        <v>-7.5495165674510645E-14</v>
      </c>
    </row>
    <row r="1017" spans="11:12" x14ac:dyDescent="0.45">
      <c r="K1017" s="36">
        <v>1015</v>
      </c>
      <c r="L1017" s="95">
        <v>-13.300000000000075</v>
      </c>
    </row>
    <row r="1018" spans="11:12" x14ac:dyDescent="0.45">
      <c r="K1018" s="36">
        <v>1016</v>
      </c>
      <c r="L1018" s="95">
        <v>-14.000000000000075</v>
      </c>
    </row>
    <row r="1019" spans="11:12" x14ac:dyDescent="0.45">
      <c r="K1019" s="36">
        <v>1017</v>
      </c>
      <c r="L1019" s="95">
        <v>-7.460698725481052E-14</v>
      </c>
    </row>
    <row r="1020" spans="11:12" x14ac:dyDescent="0.45">
      <c r="K1020" s="36">
        <v>1018</v>
      </c>
      <c r="L1020" s="95">
        <v>6.7999999999999252</v>
      </c>
    </row>
    <row r="1021" spans="11:12" x14ac:dyDescent="0.45">
      <c r="K1021" s="36">
        <v>1019</v>
      </c>
      <c r="L1021" s="95">
        <v>35.799999999999926</v>
      </c>
    </row>
    <row r="1022" spans="11:12" x14ac:dyDescent="0.45">
      <c r="K1022" s="36">
        <v>1020</v>
      </c>
      <c r="L1022" s="95">
        <v>-7.1054273576010019E-14</v>
      </c>
    </row>
    <row r="1023" spans="11:12" x14ac:dyDescent="0.45">
      <c r="K1023" s="36">
        <v>1021</v>
      </c>
      <c r="L1023" s="95">
        <v>-47.600000000000072</v>
      </c>
    </row>
    <row r="1024" spans="11:12" x14ac:dyDescent="0.45">
      <c r="K1024" s="36">
        <v>1022</v>
      </c>
      <c r="L1024" s="95">
        <v>19.299999999999933</v>
      </c>
    </row>
    <row r="1025" spans="11:12" x14ac:dyDescent="0.45">
      <c r="K1025" s="36">
        <v>1023</v>
      </c>
      <c r="L1025" s="95">
        <v>-6.7501559897209518E-14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5295D-2035-443F-B0BC-22B5BF236682}">
  <sheetPr codeName="Sheet7"/>
  <dimension ref="A1:Q9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88</v>
      </c>
      <c r="C2" s="155"/>
      <c r="E2" s="58" t="s">
        <v>66</v>
      </c>
      <c r="F2" s="55" t="s">
        <v>22</v>
      </c>
      <c r="G2" s="43">
        <v>145</v>
      </c>
      <c r="H2" s="128">
        <f>IF(B$15=0,0,G2/B$15)</f>
        <v>0.68075117370892024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1920.4545454545455</v>
      </c>
      <c r="P2" s="114">
        <v>88</v>
      </c>
      <c r="Q2" s="98">
        <v>169000</v>
      </c>
    </row>
    <row r="3" spans="1:17" x14ac:dyDescent="0.45">
      <c r="A3" s="51" t="s">
        <v>8</v>
      </c>
      <c r="B3" s="156">
        <v>780</v>
      </c>
      <c r="C3" s="157"/>
      <c r="E3" s="59" t="s">
        <v>72</v>
      </c>
      <c r="F3" s="56" t="s">
        <v>27</v>
      </c>
      <c r="G3" s="44">
        <v>119</v>
      </c>
      <c r="H3" s="129">
        <f>IF(B$15=0,0,G3/B$15)</f>
        <v>0.55868544600938963</v>
      </c>
      <c r="I3" s="90">
        <v>4</v>
      </c>
      <c r="K3" s="36">
        <v>1</v>
      </c>
      <c r="L3" s="95">
        <v>-4.5999999999999996</v>
      </c>
      <c r="N3" s="111" t="s">
        <v>131</v>
      </c>
      <c r="O3" s="118">
        <f t="shared" si="0"/>
        <v>-2071.2643678160921</v>
      </c>
      <c r="P3" s="115">
        <v>87</v>
      </c>
      <c r="Q3" s="99">
        <v>-180200</v>
      </c>
    </row>
    <row r="4" spans="1:17" x14ac:dyDescent="0.45">
      <c r="A4" s="51" t="s">
        <v>6</v>
      </c>
      <c r="B4" s="158">
        <v>-597.70000000000027</v>
      </c>
      <c r="C4" s="159"/>
      <c r="E4" s="59" t="s">
        <v>166</v>
      </c>
      <c r="F4" s="56" t="s">
        <v>167</v>
      </c>
      <c r="G4" s="44">
        <v>73</v>
      </c>
      <c r="H4" s="129">
        <f>IF(B$15=0,0,G4/B$15)</f>
        <v>0.34272300469483569</v>
      </c>
      <c r="I4" s="90">
        <v>11</v>
      </c>
      <c r="K4" s="36">
        <v>2</v>
      </c>
      <c r="L4" s="95">
        <v>19.899999999999999</v>
      </c>
      <c r="N4" s="111" t="s">
        <v>132</v>
      </c>
      <c r="O4" s="118">
        <f t="shared" si="0"/>
        <v>-2372.9411764705883</v>
      </c>
      <c r="P4" s="115">
        <v>85</v>
      </c>
      <c r="Q4" s="99">
        <v>-201700</v>
      </c>
    </row>
    <row r="5" spans="1:17" x14ac:dyDescent="0.45">
      <c r="A5" s="51" t="s">
        <v>7</v>
      </c>
      <c r="B5" s="160">
        <f>IF(B$2=0,0,B$4/B$2)</f>
        <v>-6.792045454545458</v>
      </c>
      <c r="C5" s="161"/>
      <c r="E5" s="59" t="s">
        <v>68</v>
      </c>
      <c r="F5" s="56" t="s">
        <v>12</v>
      </c>
      <c r="G5" s="44">
        <v>60</v>
      </c>
      <c r="H5" s="129">
        <f>IF(B$15=0,0,G5/B$15)</f>
        <v>0.28169014084507044</v>
      </c>
      <c r="I5" s="90">
        <v>9</v>
      </c>
      <c r="K5" s="36">
        <v>3</v>
      </c>
      <c r="L5" s="95">
        <v>-8.3000000000000007</v>
      </c>
      <c r="N5" s="111" t="s">
        <v>133</v>
      </c>
      <c r="O5" s="118">
        <f t="shared" si="0"/>
        <v>-1037.9746835443038</v>
      </c>
      <c r="P5" s="115">
        <v>79</v>
      </c>
      <c r="Q5" s="99">
        <v>-82000</v>
      </c>
    </row>
    <row r="6" spans="1:17" x14ac:dyDescent="0.45">
      <c r="A6" s="51" t="s">
        <v>1</v>
      </c>
      <c r="B6" s="150">
        <f>IF(B$2=0,0,(B$7*1+B$8*2+B$9*3)/B$2)</f>
        <v>2.1590909090909092</v>
      </c>
      <c r="C6" s="151"/>
      <c r="E6" s="59" t="s">
        <v>64</v>
      </c>
      <c r="F6" s="56" t="s">
        <v>20</v>
      </c>
      <c r="G6" s="44">
        <v>58</v>
      </c>
      <c r="H6" s="129">
        <f>IF(B$15=0,0,G6/B$15)</f>
        <v>0.27230046948356806</v>
      </c>
      <c r="I6" s="90">
        <v>14</v>
      </c>
      <c r="K6" s="36">
        <v>4</v>
      </c>
      <c r="L6" s="95">
        <v>-30.7</v>
      </c>
      <c r="N6" s="111" t="s">
        <v>134</v>
      </c>
      <c r="O6" s="118">
        <f t="shared" si="0"/>
        <v>-93.506493506493513</v>
      </c>
      <c r="P6" s="115">
        <v>77</v>
      </c>
      <c r="Q6" s="99">
        <v>-7200</v>
      </c>
    </row>
    <row r="7" spans="1:17" x14ac:dyDescent="0.45">
      <c r="A7" s="51" t="s">
        <v>2</v>
      </c>
      <c r="B7" s="44">
        <v>25</v>
      </c>
      <c r="C7" s="37">
        <f t="shared" ref="C7:C10" si="1">IF(B$2=0,0,B7/B$2)</f>
        <v>0.28409090909090912</v>
      </c>
      <c r="E7" s="59" t="s">
        <v>67</v>
      </c>
      <c r="F7" s="56" t="s">
        <v>23</v>
      </c>
      <c r="G7" s="44">
        <v>38</v>
      </c>
      <c r="H7" s="129">
        <f>IF(B$15=0,0,G7/B$15)</f>
        <v>0.17840375586854459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-2642.1875</v>
      </c>
      <c r="P7" s="116">
        <v>64</v>
      </c>
      <c r="Q7" s="100">
        <v>-169100</v>
      </c>
    </row>
    <row r="8" spans="1:17" x14ac:dyDescent="0.45">
      <c r="A8" s="51" t="s">
        <v>3</v>
      </c>
      <c r="B8" s="44">
        <v>24</v>
      </c>
      <c r="C8" s="37">
        <f t="shared" si="1"/>
        <v>0.27272727272727271</v>
      </c>
      <c r="E8" s="59" t="s">
        <v>69</v>
      </c>
      <c r="F8" s="56" t="s">
        <v>24</v>
      </c>
      <c r="G8" s="44">
        <v>36</v>
      </c>
      <c r="H8" s="129">
        <f>IF(B$15=0,0,G8/B$15)</f>
        <v>0.16901408450704225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39</v>
      </c>
      <c r="C9" s="38">
        <f t="shared" si="1"/>
        <v>0.44318181818181818</v>
      </c>
      <c r="E9" s="59" t="s">
        <v>71</v>
      </c>
      <c r="F9" s="56" t="s">
        <v>26</v>
      </c>
      <c r="G9" s="44">
        <v>27</v>
      </c>
      <c r="H9" s="129">
        <f>IF(B$15=0,0,G9/B$15)</f>
        <v>0.12676056338028169</v>
      </c>
      <c r="I9" s="90">
        <v>2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7.9545454545454544E-2</v>
      </c>
      <c r="E10" s="59" t="s">
        <v>70</v>
      </c>
      <c r="F10" s="56" t="s">
        <v>25</v>
      </c>
      <c r="G10" s="44">
        <v>25</v>
      </c>
      <c r="H10" s="129">
        <f>IF(B$15=0,0,G10/B$15)</f>
        <v>0.11737089201877934</v>
      </c>
      <c r="I10" s="90">
        <v>5</v>
      </c>
      <c r="K10" s="36">
        <v>8</v>
      </c>
      <c r="L10" s="95">
        <v>-76.900000000000006</v>
      </c>
      <c r="N10" s="110" t="s">
        <v>157</v>
      </c>
      <c r="O10" s="120">
        <f>IF(P10=0,0,Q10/P10)</f>
        <v>-12.716129032258063</v>
      </c>
      <c r="P10" s="114">
        <v>31</v>
      </c>
      <c r="Q10" s="102">
        <v>-394.2</v>
      </c>
    </row>
    <row r="11" spans="1:17" x14ac:dyDescent="0.45">
      <c r="A11" s="54" t="s">
        <v>121</v>
      </c>
      <c r="B11" s="47">
        <v>110</v>
      </c>
      <c r="C11" s="42">
        <f>IF(B$3=0,0,B11/B$3)</f>
        <v>0.14102564102564102</v>
      </c>
      <c r="E11" s="59" t="s">
        <v>83</v>
      </c>
      <c r="F11" s="56" t="s">
        <v>38</v>
      </c>
      <c r="G11" s="44">
        <v>19</v>
      </c>
      <c r="H11" s="129">
        <f>IF(B$15=0,0,G11/B$15)</f>
        <v>8.9201877934272297E-2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-6.7178571428571425</v>
      </c>
      <c r="P11" s="115">
        <v>28</v>
      </c>
      <c r="Q11" s="103">
        <v>-188.1</v>
      </c>
    </row>
    <row r="12" spans="1:17" x14ac:dyDescent="0.45">
      <c r="A12" s="51" t="s">
        <v>118</v>
      </c>
      <c r="B12" s="44">
        <v>205</v>
      </c>
      <c r="C12" s="37">
        <f>IF(B$3=0,0,B12/B$3)</f>
        <v>0.26282051282051283</v>
      </c>
      <c r="E12" s="59" t="s">
        <v>89</v>
      </c>
      <c r="F12" s="56" t="s">
        <v>44</v>
      </c>
      <c r="G12" s="44">
        <v>15</v>
      </c>
      <c r="H12" s="129">
        <f>IF(B$15=0,0,G12/B$15)</f>
        <v>7.0422535211267609E-2</v>
      </c>
      <c r="I12" s="90">
        <v>12</v>
      </c>
      <c r="K12" s="36">
        <v>10</v>
      </c>
      <c r="L12" s="95">
        <v>-32.700000000000003</v>
      </c>
      <c r="N12" s="112" t="s">
        <v>159</v>
      </c>
      <c r="O12" s="122">
        <f>IF(P12=0,0,Q12/P12)</f>
        <v>-0.53103448275862042</v>
      </c>
      <c r="P12" s="116">
        <v>29</v>
      </c>
      <c r="Q12" s="104">
        <v>-15.399999999999991</v>
      </c>
    </row>
    <row r="13" spans="1:17" x14ac:dyDescent="0.45">
      <c r="A13" s="50" t="s">
        <v>123</v>
      </c>
      <c r="B13" s="43">
        <f>B19</f>
        <v>59</v>
      </c>
      <c r="C13" s="35">
        <f>IF(B$11=0,0,B13/B$11)</f>
        <v>0.53636363636363638</v>
      </c>
      <c r="E13" s="59" t="s">
        <v>65</v>
      </c>
      <c r="F13" s="56" t="s">
        <v>21</v>
      </c>
      <c r="G13" s="44">
        <v>13</v>
      </c>
      <c r="H13" s="129">
        <f>IF(B$15=0,0,G13/B$15)</f>
        <v>6.1032863849765258E-2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81</v>
      </c>
      <c r="C14" s="35">
        <f>IF(B$12=0,0,B14/B$12)</f>
        <v>0.39512195121951221</v>
      </c>
      <c r="E14" s="59" t="s">
        <v>81</v>
      </c>
      <c r="F14" s="56" t="s">
        <v>36</v>
      </c>
      <c r="G14" s="44">
        <v>10</v>
      </c>
      <c r="H14" s="129">
        <f>IF(B$15=0,0,G14/B$15)</f>
        <v>4.6948356807511735E-2</v>
      </c>
      <c r="I14" s="90">
        <v>3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213</v>
      </c>
      <c r="C15" s="35">
        <f>IF(B$3=0,0,B15/B$3)</f>
        <v>0.27307692307692305</v>
      </c>
      <c r="E15" s="59" t="s">
        <v>86</v>
      </c>
      <c r="F15" s="56" t="s">
        <v>41</v>
      </c>
      <c r="G15" s="44">
        <v>7</v>
      </c>
      <c r="H15" s="129">
        <f>IF(B$15=0,0,G15/B$15)</f>
        <v>3.2863849765258218E-2</v>
      </c>
      <c r="I15" s="90">
        <v>10</v>
      </c>
      <c r="K15" s="36">
        <v>13</v>
      </c>
      <c r="L15" s="95">
        <v>-66.2</v>
      </c>
      <c r="N15" s="110" t="s">
        <v>200</v>
      </c>
      <c r="O15" s="120">
        <f t="shared" ref="O15:O23" si="2">IF(P15=0,0,Q15/P15)</f>
        <v>57.233333333333341</v>
      </c>
      <c r="P15" s="114">
        <v>3</v>
      </c>
      <c r="Q15" s="102">
        <v>171.70000000000002</v>
      </c>
    </row>
    <row r="16" spans="1:17" x14ac:dyDescent="0.45">
      <c r="A16" s="51" t="s">
        <v>13</v>
      </c>
      <c r="B16" s="44">
        <v>127</v>
      </c>
      <c r="C16" s="37">
        <f>IF(B$3=0,0,B16/B$3)</f>
        <v>0.16282051282051282</v>
      </c>
      <c r="E16" s="59" t="s">
        <v>79</v>
      </c>
      <c r="F16" s="56" t="s">
        <v>34</v>
      </c>
      <c r="G16" s="44">
        <v>5</v>
      </c>
      <c r="H16" s="129">
        <f>IF(B$15=0,0,G16/B$15)</f>
        <v>2.3474178403755867E-2</v>
      </c>
      <c r="I16" s="90">
        <v>3</v>
      </c>
      <c r="K16" s="36">
        <v>14</v>
      </c>
      <c r="L16" s="95">
        <v>-51.1</v>
      </c>
      <c r="N16" s="111" t="s">
        <v>196</v>
      </c>
      <c r="O16" s="121">
        <f t="shared" si="2"/>
        <v>7.4333333333333345</v>
      </c>
      <c r="P16" s="115">
        <v>6</v>
      </c>
      <c r="Q16" s="103">
        <v>44.600000000000009</v>
      </c>
    </row>
    <row r="17" spans="1:17" x14ac:dyDescent="0.45">
      <c r="A17" s="51" t="s">
        <v>12</v>
      </c>
      <c r="B17" s="44">
        <v>93</v>
      </c>
      <c r="C17" s="37">
        <f>IF(B$15=0,0,B17/B$15)</f>
        <v>0.43661971830985913</v>
      </c>
      <c r="E17" s="59" t="s">
        <v>91</v>
      </c>
      <c r="F17" s="56" t="s">
        <v>46</v>
      </c>
      <c r="G17" s="44">
        <v>4</v>
      </c>
      <c r="H17" s="129">
        <f>IF(B$15=0,0,G17/B$15)</f>
        <v>1.8779342723004695E-2</v>
      </c>
      <c r="I17" s="90">
        <v>4</v>
      </c>
      <c r="K17" s="36">
        <v>15</v>
      </c>
      <c r="L17" s="95">
        <v>-65.2</v>
      </c>
      <c r="N17" s="111" t="s">
        <v>172</v>
      </c>
      <c r="O17" s="121">
        <f t="shared" si="2"/>
        <v>-1.4666666666666697</v>
      </c>
      <c r="P17" s="115">
        <v>18</v>
      </c>
      <c r="Q17" s="103">
        <v>-26.400000000000055</v>
      </c>
    </row>
    <row r="18" spans="1:17" x14ac:dyDescent="0.45">
      <c r="A18" s="51" t="s">
        <v>11</v>
      </c>
      <c r="B18" s="44">
        <v>120</v>
      </c>
      <c r="C18" s="37">
        <f>IF(B$15=0,0,B18/B$15)</f>
        <v>0.56338028169014087</v>
      </c>
      <c r="E18" s="59" t="s">
        <v>74</v>
      </c>
      <c r="F18" s="56" t="s">
        <v>29</v>
      </c>
      <c r="G18" s="44">
        <v>2</v>
      </c>
      <c r="H18" s="129">
        <f>IF(B$15=0,0,G18/B$15)</f>
        <v>9.3896713615023476E-3</v>
      </c>
      <c r="I18" s="90">
        <v>1</v>
      </c>
      <c r="K18" s="36">
        <v>16</v>
      </c>
      <c r="L18" s="95">
        <v>-70.600000000000009</v>
      </c>
      <c r="N18" s="111" t="s">
        <v>171</v>
      </c>
      <c r="O18" s="121">
        <f t="shared" si="2"/>
        <v>-1.6133333333333333</v>
      </c>
      <c r="P18" s="115">
        <v>30</v>
      </c>
      <c r="Q18" s="103">
        <v>-48.4</v>
      </c>
    </row>
    <row r="19" spans="1:17" x14ac:dyDescent="0.45">
      <c r="A19" s="51" t="s">
        <v>195</v>
      </c>
      <c r="B19" s="44">
        <v>59</v>
      </c>
      <c r="C19" s="37">
        <f>IF(B$15=0,0,B19/B$15)</f>
        <v>0.27699530516431925</v>
      </c>
      <c r="E19" s="59" t="s">
        <v>75</v>
      </c>
      <c r="F19" s="56" t="s">
        <v>30</v>
      </c>
      <c r="G19" s="44">
        <v>2</v>
      </c>
      <c r="H19" s="129">
        <f>IF(B$15=0,0,G19/B$15)</f>
        <v>9.3896713615023476E-3</v>
      </c>
      <c r="I19" s="90">
        <v>4</v>
      </c>
      <c r="K19" s="36">
        <v>17</v>
      </c>
      <c r="L19" s="95">
        <v>-65.2</v>
      </c>
      <c r="N19" s="111" t="s">
        <v>127</v>
      </c>
      <c r="O19" s="121">
        <f t="shared" si="2"/>
        <v>-10.769444444444446</v>
      </c>
      <c r="P19" s="115">
        <v>36</v>
      </c>
      <c r="Q19" s="103">
        <v>-387.70000000000005</v>
      </c>
    </row>
    <row r="20" spans="1:17" x14ac:dyDescent="0.45">
      <c r="A20" s="51" t="s">
        <v>193</v>
      </c>
      <c r="B20" s="44">
        <v>81</v>
      </c>
      <c r="C20" s="37">
        <f>IF(B$15=0,0,B20/B$15)</f>
        <v>0.38028169014084506</v>
      </c>
      <c r="E20" s="59" t="s">
        <v>78</v>
      </c>
      <c r="F20" s="56" t="s">
        <v>33</v>
      </c>
      <c r="G20" s="44">
        <v>2</v>
      </c>
      <c r="H20" s="129">
        <f>IF(B$15=0,0,G20/B$15)</f>
        <v>9.3896713615023476E-3</v>
      </c>
      <c r="I20" s="90">
        <v>10</v>
      </c>
      <c r="K20" s="36">
        <v>18</v>
      </c>
      <c r="L20" s="95">
        <v>-80.2</v>
      </c>
      <c r="N20" s="111" t="s">
        <v>126</v>
      </c>
      <c r="O20" s="121">
        <f t="shared" si="2"/>
        <v>-12.675609756097565</v>
      </c>
      <c r="P20" s="115">
        <v>41</v>
      </c>
      <c r="Q20" s="103">
        <v>-519.70000000000016</v>
      </c>
    </row>
    <row r="21" spans="1:17" x14ac:dyDescent="0.45">
      <c r="A21" s="51" t="s">
        <v>194</v>
      </c>
      <c r="B21" s="44">
        <v>73</v>
      </c>
      <c r="C21" s="37">
        <f>IF(B$15=0,0,B21/B$15)</f>
        <v>0.34272300469483569</v>
      </c>
      <c r="E21" s="59" t="s">
        <v>88</v>
      </c>
      <c r="F21" s="56" t="s">
        <v>43</v>
      </c>
      <c r="G21" s="44">
        <v>2</v>
      </c>
      <c r="H21" s="129">
        <f>IF(B$15=0,0,G21/B$15)</f>
        <v>9.3896713615023476E-3</v>
      </c>
      <c r="I21" s="90">
        <v>1</v>
      </c>
      <c r="K21" s="36">
        <v>19</v>
      </c>
      <c r="L21" s="95">
        <v>-115.1</v>
      </c>
      <c r="N21" s="111" t="s">
        <v>197</v>
      </c>
      <c r="O21" s="121">
        <f t="shared" si="2"/>
        <v>-18.291666666666664</v>
      </c>
      <c r="P21" s="115">
        <v>12</v>
      </c>
      <c r="Q21" s="103">
        <v>-219.49999999999997</v>
      </c>
    </row>
    <row r="22" spans="1:17" x14ac:dyDescent="0.45">
      <c r="A22" s="51" t="s">
        <v>5</v>
      </c>
      <c r="B22" s="48">
        <f>IF(B$15=0,0,C22/B$15)</f>
        <v>7107.9812206572769</v>
      </c>
      <c r="C22" s="39">
        <v>1514000</v>
      </c>
      <c r="E22" s="59" t="s">
        <v>93</v>
      </c>
      <c r="F22" s="56" t="s">
        <v>48</v>
      </c>
      <c r="G22" s="44">
        <v>2</v>
      </c>
      <c r="H22" s="129">
        <f>IF(B$15=0,0,G22/B$15)</f>
        <v>9.3896713615023476E-3</v>
      </c>
      <c r="I22" s="90">
        <v>1</v>
      </c>
      <c r="K22" s="36">
        <v>20</v>
      </c>
      <c r="L22" s="95">
        <v>-88.8</v>
      </c>
      <c r="N22" s="111" t="s">
        <v>170</v>
      </c>
      <c r="O22" s="121">
        <f t="shared" si="2"/>
        <v>-26.54137931034483</v>
      </c>
      <c r="P22" s="115">
        <v>29</v>
      </c>
      <c r="Q22" s="103">
        <v>-769.7</v>
      </c>
    </row>
    <row r="23" spans="1:17" x14ac:dyDescent="0.45">
      <c r="A23" s="52" t="s">
        <v>177</v>
      </c>
      <c r="B23" s="136">
        <f>IF($B$15-B$14=0,0,C23/($B$15-B$14))</f>
        <v>7612.121212121212</v>
      </c>
      <c r="C23" s="137">
        <v>1004800</v>
      </c>
      <c r="E23" s="59" t="s">
        <v>77</v>
      </c>
      <c r="F23" s="56" t="s">
        <v>32</v>
      </c>
      <c r="G23" s="44">
        <v>1</v>
      </c>
      <c r="H23" s="129">
        <f>IF(B$15=0,0,G23/B$15)</f>
        <v>4.6948356807511738E-3</v>
      </c>
      <c r="I23" s="90">
        <v>2</v>
      </c>
      <c r="K23" s="36">
        <v>21</v>
      </c>
      <c r="L23" s="95">
        <v>-111.4</v>
      </c>
      <c r="N23" s="111" t="s">
        <v>201</v>
      </c>
      <c r="O23" s="121">
        <f t="shared" si="2"/>
        <v>-38</v>
      </c>
      <c r="P23" s="115">
        <v>1</v>
      </c>
      <c r="Q23" s="103">
        <v>-38</v>
      </c>
    </row>
    <row r="24" spans="1:17" x14ac:dyDescent="0.45">
      <c r="A24" s="52" t="s">
        <v>178</v>
      </c>
      <c r="B24" s="136">
        <f>IF(B$14=0,0,C24/B$14)</f>
        <v>6286.4197530864194</v>
      </c>
      <c r="C24" s="137">
        <v>509200</v>
      </c>
      <c r="E24" s="59" t="s">
        <v>84</v>
      </c>
      <c r="F24" s="56" t="s">
        <v>39</v>
      </c>
      <c r="G24" s="44">
        <v>1</v>
      </c>
      <c r="H24" s="129">
        <f>IF(B$15=0,0,G24/B$15)</f>
        <v>4.6948356807511738E-3</v>
      </c>
      <c r="I24" s="90">
        <v>3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-7540.9448818897636</v>
      </c>
      <c r="C25" s="137">
        <v>-957700</v>
      </c>
      <c r="E25" s="59" t="s">
        <v>87</v>
      </c>
      <c r="F25" s="56" t="s">
        <v>42</v>
      </c>
      <c r="G25" s="44">
        <v>1</v>
      </c>
      <c r="H25" s="129">
        <f>IF(B$15=0,0,G25/B$15)</f>
        <v>4.6948356807511738E-3</v>
      </c>
      <c r="I25" s="90">
        <v>3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6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6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46">
        <v>87400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2.5641025641025641E-3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27</v>
      </c>
      <c r="C32" s="141">
        <f>IF(B$15=0,0,B32/B$15)</f>
        <v>0.12676056338028169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44</v>
      </c>
      <c r="C33" s="37">
        <f t="shared" ref="C33:C44" si="3">IF(B$15=0,0,B33/B$15)</f>
        <v>0.20657276995305165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44</v>
      </c>
      <c r="C34" s="37">
        <f>IF(B$15=0,0,B34/B$15)</f>
        <v>0.20657276995305165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39</v>
      </c>
      <c r="C35" s="37">
        <f t="shared" si="3"/>
        <v>0.18309859154929578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22</v>
      </c>
      <c r="C36" s="37">
        <f t="shared" si="3"/>
        <v>0.10328638497652583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17</v>
      </c>
      <c r="C37" s="37">
        <f t="shared" si="3"/>
        <v>7.9812206572769953E-2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11</v>
      </c>
      <c r="C38" s="37">
        <f t="shared" si="3"/>
        <v>5.1643192488262914E-2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6</v>
      </c>
      <c r="C39" s="37">
        <f t="shared" si="3"/>
        <v>2.8169014084507043E-2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1</v>
      </c>
      <c r="C40" s="37">
        <f t="shared" si="3"/>
        <v>4.6948356807511738E-3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2</v>
      </c>
      <c r="C44" s="40">
        <f t="shared" si="3"/>
        <v>9.3896713615023476E-3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  <row r="68" spans="11:12" x14ac:dyDescent="0.45">
      <c r="K68" s="36">
        <v>66</v>
      </c>
      <c r="L68" s="95">
        <v>-497.90000000000015</v>
      </c>
    </row>
    <row r="69" spans="11:12" x14ac:dyDescent="0.45">
      <c r="K69" s="36">
        <v>67</v>
      </c>
      <c r="L69" s="95">
        <v>-494.00000000000017</v>
      </c>
    </row>
    <row r="70" spans="11:12" x14ac:dyDescent="0.45">
      <c r="K70" s="36">
        <v>68</v>
      </c>
      <c r="L70" s="95">
        <v>-513.00000000000023</v>
      </c>
    </row>
    <row r="71" spans="11:12" x14ac:dyDescent="0.45">
      <c r="K71" s="36">
        <v>69</v>
      </c>
      <c r="L71" s="95">
        <v>-482.60000000000025</v>
      </c>
    </row>
    <row r="72" spans="11:12" x14ac:dyDescent="0.45">
      <c r="K72" s="36">
        <v>70</v>
      </c>
      <c r="L72" s="95">
        <v>-490.90000000000026</v>
      </c>
    </row>
    <row r="73" spans="11:12" x14ac:dyDescent="0.45">
      <c r="K73" s="36">
        <v>71</v>
      </c>
      <c r="L73" s="95">
        <v>-486.70000000000027</v>
      </c>
    </row>
    <row r="74" spans="11:12" x14ac:dyDescent="0.45">
      <c r="K74" s="36">
        <v>72</v>
      </c>
      <c r="L74" s="95">
        <v>-450.00000000000028</v>
      </c>
    </row>
    <row r="75" spans="11:12" x14ac:dyDescent="0.45">
      <c r="K75" s="36">
        <v>73</v>
      </c>
      <c r="L75" s="95">
        <v>-460.50000000000028</v>
      </c>
    </row>
    <row r="76" spans="11:12" x14ac:dyDescent="0.45">
      <c r="K76" s="36">
        <v>74</v>
      </c>
      <c r="L76" s="95">
        <v>-460.70000000000027</v>
      </c>
    </row>
    <row r="77" spans="11:12" x14ac:dyDescent="0.45">
      <c r="K77" s="36">
        <v>75</v>
      </c>
      <c r="L77" s="95">
        <v>-462.20000000000027</v>
      </c>
    </row>
    <row r="78" spans="11:12" x14ac:dyDescent="0.45">
      <c r="K78" s="36">
        <v>76</v>
      </c>
      <c r="L78" s="95">
        <v>-520.50000000000023</v>
      </c>
    </row>
    <row r="79" spans="11:12" x14ac:dyDescent="0.45">
      <c r="K79" s="36">
        <v>77</v>
      </c>
      <c r="L79" s="95">
        <v>-490.00000000000023</v>
      </c>
    </row>
    <row r="80" spans="11:12" x14ac:dyDescent="0.45">
      <c r="K80" s="36">
        <v>78</v>
      </c>
      <c r="L80" s="95">
        <v>-427.60000000000025</v>
      </c>
    </row>
    <row r="81" spans="11:12" x14ac:dyDescent="0.45">
      <c r="K81" s="36">
        <v>79</v>
      </c>
      <c r="L81" s="95">
        <v>-419.20000000000027</v>
      </c>
    </row>
    <row r="82" spans="11:12" x14ac:dyDescent="0.45">
      <c r="K82" s="36">
        <v>80</v>
      </c>
      <c r="L82" s="95">
        <v>-427.50000000000028</v>
      </c>
    </row>
    <row r="83" spans="11:12" x14ac:dyDescent="0.45">
      <c r="K83" s="36">
        <v>81</v>
      </c>
      <c r="L83" s="95">
        <v>-430.90000000000026</v>
      </c>
    </row>
    <row r="84" spans="11:12" x14ac:dyDescent="0.45">
      <c r="K84" s="36">
        <v>82</v>
      </c>
      <c r="L84" s="95">
        <v>-468.40000000000026</v>
      </c>
    </row>
    <row r="85" spans="11:12" x14ac:dyDescent="0.45">
      <c r="K85" s="36">
        <v>83</v>
      </c>
      <c r="L85" s="95">
        <v>-502.90000000000026</v>
      </c>
    </row>
    <row r="86" spans="11:12" x14ac:dyDescent="0.45">
      <c r="K86" s="36">
        <v>84</v>
      </c>
      <c r="L86" s="95">
        <v>-564.20000000000027</v>
      </c>
    </row>
    <row r="87" spans="11:12" x14ac:dyDescent="0.45">
      <c r="K87" s="36">
        <v>85</v>
      </c>
      <c r="L87" s="95">
        <v>-589.90000000000032</v>
      </c>
    </row>
    <row r="88" spans="11:12" x14ac:dyDescent="0.45">
      <c r="K88" s="36">
        <v>86</v>
      </c>
      <c r="L88" s="95">
        <v>-582.3000000000003</v>
      </c>
    </row>
    <row r="89" spans="11:12" x14ac:dyDescent="0.45">
      <c r="K89" s="36">
        <v>87</v>
      </c>
      <c r="L89" s="95">
        <v>-606.90000000000032</v>
      </c>
    </row>
    <row r="90" spans="11:12" x14ac:dyDescent="0.45">
      <c r="K90" s="36">
        <v>88</v>
      </c>
      <c r="L90" s="95">
        <v>-597.70000000000027</v>
      </c>
    </row>
  </sheetData>
  <sortState xmlns:xlrd2="http://schemas.microsoft.com/office/spreadsheetml/2017/richdata2" ref="E2:I91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4F220-9DEA-473A-BBCB-13343057EA62}">
  <sheetPr codeName="Sheet9"/>
  <dimension ref="A1:Q206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204</v>
      </c>
      <c r="C2" s="155"/>
      <c r="E2" s="58" t="s">
        <v>66</v>
      </c>
      <c r="F2" s="55" t="s">
        <v>22</v>
      </c>
      <c r="G2" s="43">
        <v>396</v>
      </c>
      <c r="H2" s="128">
        <f>IF(B$15=0,0,G2/B$15)</f>
        <v>0.6827586206896552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1387.192118226601</v>
      </c>
      <c r="P2" s="114">
        <v>203</v>
      </c>
      <c r="Q2" s="98">
        <v>281600</v>
      </c>
    </row>
    <row r="3" spans="1:17" x14ac:dyDescent="0.45">
      <c r="A3" s="51" t="s">
        <v>8</v>
      </c>
      <c r="B3" s="156">
        <v>1694</v>
      </c>
      <c r="C3" s="157"/>
      <c r="E3" s="59" t="s">
        <v>72</v>
      </c>
      <c r="F3" s="56" t="s">
        <v>27</v>
      </c>
      <c r="G3" s="44">
        <v>313</v>
      </c>
      <c r="H3" s="129">
        <f>IF(B$15=0,0,G3/B$15)</f>
        <v>0.53965517241379313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1536</v>
      </c>
      <c r="P3" s="115">
        <v>200</v>
      </c>
      <c r="Q3" s="99">
        <v>307200</v>
      </c>
    </row>
    <row r="4" spans="1:17" x14ac:dyDescent="0.45">
      <c r="A4" s="51" t="s">
        <v>6</v>
      </c>
      <c r="B4" s="158">
        <v>1934.3999999999996</v>
      </c>
      <c r="C4" s="159"/>
      <c r="E4" s="59" t="s">
        <v>64</v>
      </c>
      <c r="F4" s="56" t="s">
        <v>20</v>
      </c>
      <c r="G4" s="44">
        <v>249</v>
      </c>
      <c r="H4" s="129">
        <f>IF(B$15=0,0,G4/B$15)</f>
        <v>0.42931034482758623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1207.2916666666667</v>
      </c>
      <c r="P4" s="115">
        <v>192</v>
      </c>
      <c r="Q4" s="99">
        <v>231800</v>
      </c>
    </row>
    <row r="5" spans="1:17" x14ac:dyDescent="0.45">
      <c r="A5" s="51" t="s">
        <v>7</v>
      </c>
      <c r="B5" s="160">
        <f>IF(B$2=0,0,B$4/B$2)</f>
        <v>9.4823529411764689</v>
      </c>
      <c r="C5" s="161"/>
      <c r="E5" s="59" t="s">
        <v>166</v>
      </c>
      <c r="F5" s="56" t="s">
        <v>167</v>
      </c>
      <c r="G5" s="44">
        <v>225</v>
      </c>
      <c r="H5" s="129">
        <f>IF(B$15=0,0,G5/B$15)</f>
        <v>0.38793103448275862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116.75977653631286</v>
      </c>
      <c r="P5" s="115">
        <v>179</v>
      </c>
      <c r="Q5" s="99">
        <v>20900</v>
      </c>
    </row>
    <row r="6" spans="1:17" x14ac:dyDescent="0.45">
      <c r="A6" s="51" t="s">
        <v>1</v>
      </c>
      <c r="B6" s="150">
        <f>IF(B$2=0,0,(B$7*1+B$8*2+B$9*3)/B$2)</f>
        <v>1.7647058823529411</v>
      </c>
      <c r="C6" s="151"/>
      <c r="E6" s="59" t="s">
        <v>68</v>
      </c>
      <c r="F6" s="56" t="s">
        <v>12</v>
      </c>
      <c r="G6" s="44">
        <v>161</v>
      </c>
      <c r="H6" s="129">
        <f>IF(B$15=0,0,G6/B$15)</f>
        <v>0.27758620689655172</v>
      </c>
      <c r="I6" s="90">
        <v>11</v>
      </c>
      <c r="K6" s="36">
        <v>4</v>
      </c>
      <c r="L6" s="95">
        <v>101.60000000000001</v>
      </c>
      <c r="N6" s="111" t="s">
        <v>134</v>
      </c>
      <c r="O6" s="118">
        <f t="shared" si="0"/>
        <v>1772.8915662650602</v>
      </c>
      <c r="P6" s="115">
        <v>166</v>
      </c>
      <c r="Q6" s="99">
        <v>294300</v>
      </c>
    </row>
    <row r="7" spans="1:17" x14ac:dyDescent="0.45">
      <c r="A7" s="51" t="s">
        <v>2</v>
      </c>
      <c r="B7" s="44">
        <v>97</v>
      </c>
      <c r="C7" s="37">
        <f t="shared" ref="C7:C10" si="1">IF(B$2=0,0,B7/B$2)</f>
        <v>0.47549019607843135</v>
      </c>
      <c r="E7" s="59" t="s">
        <v>67</v>
      </c>
      <c r="F7" s="56" t="s">
        <v>23</v>
      </c>
      <c r="G7" s="44">
        <v>138</v>
      </c>
      <c r="H7" s="129">
        <f>IF(B$15=0,0,G7/B$15)</f>
        <v>0.23793103448275862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2075.182481751825</v>
      </c>
      <c r="P7" s="116">
        <v>137</v>
      </c>
      <c r="Q7" s="100">
        <v>284300</v>
      </c>
    </row>
    <row r="8" spans="1:17" x14ac:dyDescent="0.45">
      <c r="A8" s="51" t="s">
        <v>3</v>
      </c>
      <c r="B8" s="44">
        <v>58</v>
      </c>
      <c r="C8" s="37">
        <f t="shared" si="1"/>
        <v>0.28431372549019607</v>
      </c>
      <c r="E8" s="59" t="s">
        <v>89</v>
      </c>
      <c r="F8" s="56" t="s">
        <v>44</v>
      </c>
      <c r="G8" s="44">
        <v>87</v>
      </c>
      <c r="H8" s="129">
        <f>IF(B$15=0,0,G8/B$15)</f>
        <v>0.15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49</v>
      </c>
      <c r="C9" s="38">
        <f t="shared" si="1"/>
        <v>0.24019607843137256</v>
      </c>
      <c r="E9" s="59" t="s">
        <v>69</v>
      </c>
      <c r="F9" s="56" t="s">
        <v>24</v>
      </c>
      <c r="G9" s="44">
        <v>72</v>
      </c>
      <c r="H9" s="129">
        <f>IF(B$15=0,0,G9/B$15)</f>
        <v>0.12413793103448276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9</v>
      </c>
      <c r="C10" s="40">
        <f t="shared" si="1"/>
        <v>4.4117647058823532E-2</v>
      </c>
      <c r="E10" s="59" t="s">
        <v>65</v>
      </c>
      <c r="F10" s="56" t="s">
        <v>21</v>
      </c>
      <c r="G10" s="44">
        <v>63</v>
      </c>
      <c r="H10" s="129">
        <f>IF(B$15=0,0,G10/B$15)</f>
        <v>0.10862068965517241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12.044067796610168</v>
      </c>
      <c r="P10" s="114">
        <v>59</v>
      </c>
      <c r="Q10" s="102">
        <v>710.59999999999991</v>
      </c>
    </row>
    <row r="11" spans="1:17" x14ac:dyDescent="0.45">
      <c r="A11" s="54" t="s">
        <v>121</v>
      </c>
      <c r="B11" s="47">
        <v>450</v>
      </c>
      <c r="C11" s="42">
        <f>IF(B$3=0,0,B11/B$3)</f>
        <v>0.26564344746162927</v>
      </c>
      <c r="E11" s="59" t="s">
        <v>71</v>
      </c>
      <c r="F11" s="56" t="s">
        <v>26</v>
      </c>
      <c r="G11" s="44">
        <v>42</v>
      </c>
      <c r="H11" s="129">
        <f>IF(B$15=0,0,G11/B$15)</f>
        <v>7.2413793103448282E-2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6.1942857142857148</v>
      </c>
      <c r="P11" s="115">
        <v>70</v>
      </c>
      <c r="Q11" s="103">
        <v>433.6</v>
      </c>
    </row>
    <row r="12" spans="1:17" x14ac:dyDescent="0.45">
      <c r="A12" s="51" t="s">
        <v>118</v>
      </c>
      <c r="B12" s="44">
        <v>404</v>
      </c>
      <c r="C12" s="37">
        <f>IF(B$3=0,0,B12/B$3)</f>
        <v>0.2384887839433294</v>
      </c>
      <c r="E12" s="59" t="s">
        <v>70</v>
      </c>
      <c r="F12" s="56" t="s">
        <v>25</v>
      </c>
      <c r="G12" s="44">
        <v>40</v>
      </c>
      <c r="H12" s="129">
        <f>IF(B$15=0,0,G12/B$15)</f>
        <v>6.8965517241379309E-2</v>
      </c>
      <c r="I12" s="90">
        <v>12</v>
      </c>
      <c r="K12" s="36">
        <v>10</v>
      </c>
      <c r="L12" s="95">
        <v>158.19999999999999</v>
      </c>
      <c r="N12" s="112" t="s">
        <v>159</v>
      </c>
      <c r="O12" s="122">
        <f>IF(P12=0,0,Q12/P12)</f>
        <v>10.535999999999998</v>
      </c>
      <c r="P12" s="116">
        <v>75</v>
      </c>
      <c r="Q12" s="104">
        <v>790.19999999999982</v>
      </c>
    </row>
    <row r="13" spans="1:17" x14ac:dyDescent="0.45">
      <c r="A13" s="50" t="s">
        <v>123</v>
      </c>
      <c r="B13" s="43">
        <f>B19</f>
        <v>261</v>
      </c>
      <c r="C13" s="35">
        <f>IF(B$11=0,0,B13/B$11)</f>
        <v>0.57999999999999996</v>
      </c>
      <c r="E13" s="59" t="s">
        <v>86</v>
      </c>
      <c r="F13" s="56" t="s">
        <v>41</v>
      </c>
      <c r="G13" s="44">
        <v>36</v>
      </c>
      <c r="H13" s="129">
        <f>IF(B$15=0,0,G13/B$15)</f>
        <v>6.2068965517241378E-2</v>
      </c>
      <c r="I13" s="90">
        <v>2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195</v>
      </c>
      <c r="C14" s="35">
        <f>IF(B$12=0,0,B14/B$12)</f>
        <v>0.48267326732673266</v>
      </c>
      <c r="E14" s="59" t="s">
        <v>83</v>
      </c>
      <c r="F14" s="56" t="s">
        <v>38</v>
      </c>
      <c r="G14" s="44">
        <v>29</v>
      </c>
      <c r="H14" s="129">
        <f>IF(B$15=0,0,G14/B$15)</f>
        <v>0.05</v>
      </c>
      <c r="I14" s="90">
        <v>6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580</v>
      </c>
      <c r="C15" s="35">
        <f>IF(B$3=0,0,B15/B$3)</f>
        <v>0.34238488783943327</v>
      </c>
      <c r="E15" s="59" t="s">
        <v>78</v>
      </c>
      <c r="F15" s="56" t="s">
        <v>33</v>
      </c>
      <c r="G15" s="44">
        <v>21</v>
      </c>
      <c r="H15" s="129">
        <f>IF(B$15=0,0,G15/B$15)</f>
        <v>3.6206896551724141E-2</v>
      </c>
      <c r="I15" s="90">
        <v>4</v>
      </c>
      <c r="K15" s="36">
        <v>13</v>
      </c>
      <c r="L15" s="95">
        <v>206.39999999999998</v>
      </c>
      <c r="N15" s="110" t="s">
        <v>200</v>
      </c>
      <c r="O15" s="120">
        <f>IF(P15=0,0,Q15/P15)</f>
        <v>42.716666666666661</v>
      </c>
      <c r="P15" s="114">
        <v>6</v>
      </c>
      <c r="Q15" s="102">
        <v>256.29999999999995</v>
      </c>
    </row>
    <row r="16" spans="1:17" x14ac:dyDescent="0.45">
      <c r="A16" s="51" t="s">
        <v>13</v>
      </c>
      <c r="B16" s="44">
        <v>210</v>
      </c>
      <c r="C16" s="37">
        <f>IF(B$3=0,0,B16/B$3)</f>
        <v>0.12396694214876033</v>
      </c>
      <c r="E16" s="59" t="s">
        <v>162</v>
      </c>
      <c r="F16" s="56" t="s">
        <v>163</v>
      </c>
      <c r="G16" s="44">
        <v>15</v>
      </c>
      <c r="H16" s="129">
        <f>IF(B$15=0,0,G16/B$15)</f>
        <v>2.5862068965517241E-2</v>
      </c>
      <c r="I16" s="90">
        <v>2</v>
      </c>
      <c r="K16" s="36">
        <v>14</v>
      </c>
      <c r="L16" s="95">
        <v>240.09999999999997</v>
      </c>
      <c r="N16" s="111" t="s">
        <v>196</v>
      </c>
      <c r="O16" s="121">
        <f>IF(P16=0,0,Q16/P16)</f>
        <v>31.041666666666682</v>
      </c>
      <c r="P16" s="115">
        <v>12</v>
      </c>
      <c r="Q16" s="103">
        <v>372.50000000000017</v>
      </c>
    </row>
    <row r="17" spans="1:17" x14ac:dyDescent="0.45">
      <c r="A17" s="51" t="s">
        <v>12</v>
      </c>
      <c r="B17" s="44">
        <v>244</v>
      </c>
      <c r="C17" s="37">
        <f>IF(B$15=0,0,B17/B$15)</f>
        <v>0.4206896551724138</v>
      </c>
      <c r="E17" s="59" t="s">
        <v>81</v>
      </c>
      <c r="F17" s="56" t="s">
        <v>36</v>
      </c>
      <c r="G17" s="44">
        <v>9</v>
      </c>
      <c r="H17" s="129">
        <f>IF(B$15=0,0,G17/B$15)</f>
        <v>1.5517241379310345E-2</v>
      </c>
      <c r="I17" s="90">
        <v>8</v>
      </c>
      <c r="K17" s="36">
        <v>15</v>
      </c>
      <c r="L17" s="95">
        <v>269.49999999999994</v>
      </c>
      <c r="N17" s="111" t="s">
        <v>197</v>
      </c>
      <c r="O17" s="121">
        <f>IF(P17=0,0,Q17/P17)</f>
        <v>27.673913043478265</v>
      </c>
      <c r="P17" s="115">
        <v>23</v>
      </c>
      <c r="Q17" s="103">
        <v>636.50000000000011</v>
      </c>
    </row>
    <row r="18" spans="1:17" x14ac:dyDescent="0.45">
      <c r="A18" s="51" t="s">
        <v>11</v>
      </c>
      <c r="B18" s="44">
        <v>336</v>
      </c>
      <c r="C18" s="37">
        <f>IF(B$15=0,0,B18/B$15)</f>
        <v>0.57931034482758625</v>
      </c>
      <c r="E18" s="59" t="s">
        <v>91</v>
      </c>
      <c r="F18" s="56" t="s">
        <v>46</v>
      </c>
      <c r="G18" s="44">
        <v>6</v>
      </c>
      <c r="H18" s="129">
        <f>IF(B$15=0,0,G18/B$15)</f>
        <v>1.0344827586206896E-2</v>
      </c>
      <c r="I18" s="90">
        <v>8</v>
      </c>
      <c r="K18" s="36">
        <v>16</v>
      </c>
      <c r="L18" s="95">
        <v>323.69999999999993</v>
      </c>
      <c r="N18" s="111" t="s">
        <v>172</v>
      </c>
      <c r="O18" s="121">
        <f>IF(P18=0,0,Q18/P18)</f>
        <v>15.939999999999998</v>
      </c>
      <c r="P18" s="115">
        <v>65</v>
      </c>
      <c r="Q18" s="103">
        <v>1036.0999999999999</v>
      </c>
    </row>
    <row r="19" spans="1:17" x14ac:dyDescent="0.45">
      <c r="A19" s="51" t="s">
        <v>195</v>
      </c>
      <c r="B19" s="44">
        <v>261</v>
      </c>
      <c r="C19" s="37">
        <f>IF(B$15=0,0,B19/B$15)</f>
        <v>0.45</v>
      </c>
      <c r="E19" s="59" t="s">
        <v>92</v>
      </c>
      <c r="F19" s="56" t="s">
        <v>47</v>
      </c>
      <c r="G19" s="44">
        <v>6</v>
      </c>
      <c r="H19" s="129">
        <f>IF(B$15=0,0,G19/B$15)</f>
        <v>1.0344827586206896E-2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>IF(P19=0,0,Q19/P19)</f>
        <v>13.496610169491529</v>
      </c>
      <c r="P19" s="115">
        <v>118</v>
      </c>
      <c r="Q19" s="103">
        <v>1592.6000000000004</v>
      </c>
    </row>
    <row r="20" spans="1:17" x14ac:dyDescent="0.45">
      <c r="A20" s="51" t="s">
        <v>193</v>
      </c>
      <c r="B20" s="44">
        <v>195</v>
      </c>
      <c r="C20" s="37">
        <f>IF(B$15=0,0,B20/B$15)</f>
        <v>0.33620689655172414</v>
      </c>
      <c r="E20" s="59" t="s">
        <v>75</v>
      </c>
      <c r="F20" s="56" t="s">
        <v>30</v>
      </c>
      <c r="G20" s="44">
        <v>5</v>
      </c>
      <c r="H20" s="129">
        <f>IF(B$15=0,0,G20/B$15)</f>
        <v>8.6206896551724137E-3</v>
      </c>
      <c r="I20" s="90">
        <v>5</v>
      </c>
      <c r="K20" s="36">
        <v>18</v>
      </c>
      <c r="L20" s="95">
        <v>352.39999999999992</v>
      </c>
      <c r="N20" s="111" t="s">
        <v>161</v>
      </c>
      <c r="O20" s="121">
        <f>IF(P20=0,0,Q20/P20)</f>
        <v>13.116666666666665</v>
      </c>
      <c r="P20" s="115">
        <v>42</v>
      </c>
      <c r="Q20" s="103">
        <v>550.9</v>
      </c>
    </row>
    <row r="21" spans="1:17" x14ac:dyDescent="0.45">
      <c r="A21" s="51" t="s">
        <v>194</v>
      </c>
      <c r="B21" s="44">
        <v>124</v>
      </c>
      <c r="C21" s="37">
        <f>IF(B$15=0,0,B21/B$15)</f>
        <v>0.21379310344827587</v>
      </c>
      <c r="E21" s="59" t="s">
        <v>79</v>
      </c>
      <c r="F21" s="56" t="s">
        <v>34</v>
      </c>
      <c r="G21" s="44">
        <v>4</v>
      </c>
      <c r="H21" s="129">
        <f>IF(B$15=0,0,G21/B$15)</f>
        <v>6.8965517241379309E-3</v>
      </c>
      <c r="I21" s="90">
        <v>9</v>
      </c>
      <c r="K21" s="36">
        <v>19</v>
      </c>
      <c r="L21" s="95">
        <v>383.19999999999993</v>
      </c>
      <c r="N21" s="111" t="s">
        <v>171</v>
      </c>
      <c r="O21" s="121">
        <f>IF(P21=0,0,Q21/P21)</f>
        <v>12.803896103896106</v>
      </c>
      <c r="P21" s="115">
        <v>77</v>
      </c>
      <c r="Q21" s="103">
        <v>985.9000000000002</v>
      </c>
    </row>
    <row r="22" spans="1:17" x14ac:dyDescent="0.45">
      <c r="A22" s="51" t="s">
        <v>5</v>
      </c>
      <c r="B22" s="48">
        <f>IF(B$15=0,0,C22/B$15)</f>
        <v>8280.689655172413</v>
      </c>
      <c r="C22" s="39">
        <v>4802800</v>
      </c>
      <c r="E22" s="59" t="s">
        <v>85</v>
      </c>
      <c r="F22" s="56" t="s">
        <v>40</v>
      </c>
      <c r="G22" s="44">
        <v>4</v>
      </c>
      <c r="H22" s="129">
        <f>IF(B$15=0,0,G22/B$15)</f>
        <v>6.8965517241379309E-3</v>
      </c>
      <c r="I22" s="90">
        <v>5</v>
      </c>
      <c r="K22" s="36">
        <v>20</v>
      </c>
      <c r="L22" s="95">
        <v>365.49999999999994</v>
      </c>
      <c r="N22" s="111" t="s">
        <v>170</v>
      </c>
      <c r="O22" s="121">
        <f>IF(P22=0,0,Q22/P22)</f>
        <v>6.9203124999999996</v>
      </c>
      <c r="P22" s="115">
        <v>64</v>
      </c>
      <c r="Q22" s="103">
        <v>442.9</v>
      </c>
    </row>
    <row r="23" spans="1:17" x14ac:dyDescent="0.45">
      <c r="A23" s="52" t="s">
        <v>177</v>
      </c>
      <c r="B23" s="136">
        <f>IF($B$15-B$14=0,0,C23/($B$15-B$14))</f>
        <v>8872.2077922077915</v>
      </c>
      <c r="C23" s="137">
        <v>3415800</v>
      </c>
      <c r="E23" s="59" t="s">
        <v>77</v>
      </c>
      <c r="F23" s="56" t="s">
        <v>32</v>
      </c>
      <c r="G23" s="44">
        <v>3</v>
      </c>
      <c r="H23" s="129">
        <f>IF(B$15=0,0,G23/B$15)</f>
        <v>5.1724137931034482E-3</v>
      </c>
      <c r="I23" s="90">
        <v>1</v>
      </c>
      <c r="K23" s="36">
        <v>21</v>
      </c>
      <c r="L23" s="95">
        <v>371.39999999999992</v>
      </c>
      <c r="N23" s="111" t="s">
        <v>256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5">
      <c r="A24" s="52" t="s">
        <v>178</v>
      </c>
      <c r="B24" s="136">
        <f>IF(B$14=0,0,C24/B$14)</f>
        <v>7112.8205128205127</v>
      </c>
      <c r="C24" s="137">
        <v>1387000</v>
      </c>
      <c r="E24" s="59" t="s">
        <v>84</v>
      </c>
      <c r="F24" s="56" t="s">
        <v>39</v>
      </c>
      <c r="G24" s="44">
        <v>3</v>
      </c>
      <c r="H24" s="129">
        <f>IF(B$15=0,0,G24/B$15)</f>
        <v>5.1724137931034482E-3</v>
      </c>
      <c r="I24" s="90">
        <v>2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-7655.2380952380954</v>
      </c>
      <c r="C25" s="137">
        <v>-1607600</v>
      </c>
      <c r="E25" s="59" t="s">
        <v>74</v>
      </c>
      <c r="F25" s="56" t="s">
        <v>29</v>
      </c>
      <c r="G25" s="44">
        <v>2</v>
      </c>
      <c r="H25" s="129">
        <f>IF(B$15=0,0,G25/B$15)</f>
        <v>3.4482758620689655E-3</v>
      </c>
      <c r="I25" s="90">
        <v>4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4</v>
      </c>
      <c r="E26" s="59" t="s">
        <v>88</v>
      </c>
      <c r="F26" s="56" t="s">
        <v>43</v>
      </c>
      <c r="G26" s="44">
        <v>2</v>
      </c>
      <c r="H26" s="129">
        <f>IF(B$15=0,0,G26/B$15)</f>
        <v>3.4482758620689655E-3</v>
      </c>
      <c r="I26" s="90">
        <v>3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24</v>
      </c>
      <c r="E27" s="59" t="s">
        <v>95</v>
      </c>
      <c r="F27" s="56" t="s">
        <v>50</v>
      </c>
      <c r="G27" s="44">
        <v>2</v>
      </c>
      <c r="H27" s="129">
        <f>IF(B$15=0,0,G27/B$15)</f>
        <v>3.4482758620689655E-3</v>
      </c>
      <c r="I27" s="90">
        <v>2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1</v>
      </c>
      <c r="H28" s="129">
        <f>IF(B$15=0,0,G28/B$15)</f>
        <v>1.7241379310344827E-3</v>
      </c>
      <c r="I28" s="90">
        <v>6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1</v>
      </c>
      <c r="H29" s="129">
        <f>IF(B$15=0,0,G29/B$15)</f>
        <v>1.7241379310344827E-3</v>
      </c>
      <c r="I29" s="90">
        <v>4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2</v>
      </c>
      <c r="C30" s="40">
        <f>IF(B$3=0,0,B30/B$3)</f>
        <v>1.1806375442739079E-3</v>
      </c>
      <c r="E30" s="59" t="s">
        <v>106</v>
      </c>
      <c r="F30" s="56" t="s">
        <v>113</v>
      </c>
      <c r="G30" s="44">
        <v>1</v>
      </c>
      <c r="H30" s="129">
        <f>IF(B$15=0,0,G30/B$15)</f>
        <v>1.7241379310344827E-3</v>
      </c>
      <c r="I30" s="90">
        <v>1</v>
      </c>
      <c r="K30" s="36">
        <v>28</v>
      </c>
      <c r="L30" s="95">
        <v>375.79999999999995</v>
      </c>
    </row>
    <row r="31" spans="1:17" x14ac:dyDescent="0.45">
      <c r="E31" s="59" t="s">
        <v>73</v>
      </c>
      <c r="F31" s="56" t="s">
        <v>28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54</v>
      </c>
      <c r="C32" s="141">
        <f>IF(B$15=0,0,B32/B$15)</f>
        <v>9.3103448275862075E-2</v>
      </c>
      <c r="E32" s="59" t="s">
        <v>76</v>
      </c>
      <c r="F32" s="56" t="s">
        <v>31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109</v>
      </c>
      <c r="C33" s="37">
        <f t="shared" ref="C33:C44" si="2">IF(B$15=0,0,B33/B$15)</f>
        <v>0.18793103448275861</v>
      </c>
      <c r="E33" s="59" t="s">
        <v>80</v>
      </c>
      <c r="F33" s="56" t="s">
        <v>35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113</v>
      </c>
      <c r="C34" s="37">
        <f>IF(B$15=0,0,B34/B$15)</f>
        <v>0.19482758620689655</v>
      </c>
      <c r="E34" s="59" t="s">
        <v>82</v>
      </c>
      <c r="F34" s="56" t="s">
        <v>37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101</v>
      </c>
      <c r="C35" s="37">
        <f t="shared" si="2"/>
        <v>0.17413793103448275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85</v>
      </c>
      <c r="C36" s="37">
        <f t="shared" si="2"/>
        <v>0.14655172413793102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56</v>
      </c>
      <c r="C37" s="37">
        <f t="shared" si="2"/>
        <v>9.6551724137931033E-2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26</v>
      </c>
      <c r="C38" s="37">
        <f t="shared" si="2"/>
        <v>4.4827586206896551E-2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12</v>
      </c>
      <c r="C39" s="37">
        <f t="shared" si="2"/>
        <v>2.0689655172413793E-2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11</v>
      </c>
      <c r="C40" s="37">
        <f t="shared" si="2"/>
        <v>1.896551724137931E-2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3</v>
      </c>
      <c r="C41" s="37">
        <f t="shared" si="2"/>
        <v>5.1724137931034482E-3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1.7241379310344827E-3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9</v>
      </c>
      <c r="C44" s="40">
        <f t="shared" si="2"/>
        <v>1.5517241379310345E-2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  <row r="150" spans="11:12" x14ac:dyDescent="0.45">
      <c r="K150" s="36">
        <v>148</v>
      </c>
      <c r="L150" s="95">
        <v>1145.0000000000002</v>
      </c>
    </row>
    <row r="151" spans="11:12" x14ac:dyDescent="0.45">
      <c r="K151" s="36">
        <v>149</v>
      </c>
      <c r="L151" s="95">
        <v>1159.6000000000001</v>
      </c>
    </row>
    <row r="152" spans="11:12" x14ac:dyDescent="0.45">
      <c r="K152" s="36">
        <v>150</v>
      </c>
      <c r="L152" s="95">
        <v>1171.0000000000002</v>
      </c>
    </row>
    <row r="153" spans="11:12" x14ac:dyDescent="0.45">
      <c r="K153" s="36">
        <v>151</v>
      </c>
      <c r="L153" s="95">
        <v>1213.5000000000002</v>
      </c>
    </row>
    <row r="154" spans="11:12" x14ac:dyDescent="0.45">
      <c r="K154" s="36">
        <v>152</v>
      </c>
      <c r="L154" s="95">
        <v>1248.0000000000002</v>
      </c>
    </row>
    <row r="155" spans="11:12" x14ac:dyDescent="0.45">
      <c r="K155" s="36">
        <v>153</v>
      </c>
      <c r="L155" s="95">
        <v>1250.4000000000003</v>
      </c>
    </row>
    <row r="156" spans="11:12" x14ac:dyDescent="0.45">
      <c r="K156" s="36">
        <v>154</v>
      </c>
      <c r="L156" s="95">
        <v>1223.7000000000003</v>
      </c>
    </row>
    <row r="157" spans="11:12" x14ac:dyDescent="0.45">
      <c r="K157" s="36">
        <v>155</v>
      </c>
      <c r="L157" s="95">
        <v>1213.8000000000002</v>
      </c>
    </row>
    <row r="158" spans="11:12" x14ac:dyDescent="0.45">
      <c r="K158" s="36">
        <v>156</v>
      </c>
      <c r="L158" s="95">
        <v>1263.9000000000001</v>
      </c>
    </row>
    <row r="159" spans="11:12" x14ac:dyDescent="0.45">
      <c r="K159" s="36">
        <v>157</v>
      </c>
      <c r="L159" s="95">
        <v>1287.4000000000001</v>
      </c>
    </row>
    <row r="160" spans="11:12" x14ac:dyDescent="0.45">
      <c r="K160" s="36">
        <v>158</v>
      </c>
      <c r="L160" s="95">
        <v>1309</v>
      </c>
    </row>
    <row r="161" spans="11:12" x14ac:dyDescent="0.45">
      <c r="K161" s="36">
        <v>159</v>
      </c>
      <c r="L161" s="95">
        <v>1345.9</v>
      </c>
    </row>
    <row r="162" spans="11:12" x14ac:dyDescent="0.45">
      <c r="K162" s="36">
        <v>160</v>
      </c>
      <c r="L162" s="95">
        <v>1344.4</v>
      </c>
    </row>
    <row r="163" spans="11:12" x14ac:dyDescent="0.45">
      <c r="K163" s="36">
        <v>161</v>
      </c>
      <c r="L163" s="95">
        <v>1375.4</v>
      </c>
    </row>
    <row r="164" spans="11:12" x14ac:dyDescent="0.45">
      <c r="K164" s="36">
        <v>162</v>
      </c>
      <c r="L164" s="95">
        <v>1421.9</v>
      </c>
    </row>
    <row r="165" spans="11:12" x14ac:dyDescent="0.45">
      <c r="K165" s="36">
        <v>163</v>
      </c>
      <c r="L165" s="95">
        <v>1425.1000000000001</v>
      </c>
    </row>
    <row r="166" spans="11:12" x14ac:dyDescent="0.45">
      <c r="K166" s="36">
        <v>164</v>
      </c>
      <c r="L166" s="95">
        <v>1402.2</v>
      </c>
    </row>
    <row r="167" spans="11:12" x14ac:dyDescent="0.45">
      <c r="K167" s="36">
        <v>165</v>
      </c>
      <c r="L167" s="95">
        <v>1432.4</v>
      </c>
    </row>
    <row r="168" spans="11:12" x14ac:dyDescent="0.45">
      <c r="K168" s="36">
        <v>166</v>
      </c>
      <c r="L168" s="95">
        <v>1454.5</v>
      </c>
    </row>
    <row r="169" spans="11:12" x14ac:dyDescent="0.45">
      <c r="K169" s="36">
        <v>167</v>
      </c>
      <c r="L169" s="95">
        <v>1408.3</v>
      </c>
    </row>
    <row r="170" spans="11:12" x14ac:dyDescent="0.45">
      <c r="K170" s="36">
        <v>168</v>
      </c>
      <c r="L170" s="95">
        <v>1434.6</v>
      </c>
    </row>
    <row r="171" spans="11:12" x14ac:dyDescent="0.45">
      <c r="K171" s="36">
        <v>169</v>
      </c>
      <c r="L171" s="95">
        <v>1474.3999999999999</v>
      </c>
    </row>
    <row r="172" spans="11:12" x14ac:dyDescent="0.45">
      <c r="K172" s="36">
        <v>170</v>
      </c>
      <c r="L172" s="95">
        <v>1472.4999999999998</v>
      </c>
    </row>
    <row r="173" spans="11:12" x14ac:dyDescent="0.45">
      <c r="K173" s="36">
        <v>171</v>
      </c>
      <c r="L173" s="95">
        <v>1533.2999999999997</v>
      </c>
    </row>
    <row r="174" spans="11:12" x14ac:dyDescent="0.45">
      <c r="K174" s="36">
        <v>172</v>
      </c>
      <c r="L174" s="95">
        <v>1535.2999999999997</v>
      </c>
    </row>
    <row r="175" spans="11:12" x14ac:dyDescent="0.45">
      <c r="K175" s="36">
        <v>173</v>
      </c>
      <c r="L175" s="95">
        <v>1503.0999999999997</v>
      </c>
    </row>
    <row r="176" spans="11:12" x14ac:dyDescent="0.45">
      <c r="K176" s="36">
        <v>174</v>
      </c>
      <c r="L176" s="95">
        <v>1548.2999999999997</v>
      </c>
    </row>
    <row r="177" spans="11:12" x14ac:dyDescent="0.45">
      <c r="K177" s="36">
        <v>175</v>
      </c>
      <c r="L177" s="95">
        <v>1535.7999999999997</v>
      </c>
    </row>
    <row r="178" spans="11:12" x14ac:dyDescent="0.45">
      <c r="K178" s="36">
        <v>176</v>
      </c>
      <c r="L178" s="95">
        <v>1564.5999999999997</v>
      </c>
    </row>
    <row r="179" spans="11:12" x14ac:dyDescent="0.45">
      <c r="K179" s="36">
        <v>177</v>
      </c>
      <c r="L179" s="95">
        <v>1537.1999999999996</v>
      </c>
    </row>
    <row r="180" spans="11:12" x14ac:dyDescent="0.45">
      <c r="K180" s="36">
        <v>178</v>
      </c>
      <c r="L180" s="95">
        <v>1526.1999999999996</v>
      </c>
    </row>
    <row r="181" spans="11:12" x14ac:dyDescent="0.45">
      <c r="K181" s="36">
        <v>179</v>
      </c>
      <c r="L181" s="95">
        <v>1554.0999999999997</v>
      </c>
    </row>
    <row r="182" spans="11:12" x14ac:dyDescent="0.45">
      <c r="K182" s="36">
        <v>180</v>
      </c>
      <c r="L182" s="95">
        <v>1553.2999999999997</v>
      </c>
    </row>
    <row r="183" spans="11:12" x14ac:dyDescent="0.45">
      <c r="K183" s="36">
        <v>181</v>
      </c>
      <c r="L183" s="95">
        <v>1552.9999999999998</v>
      </c>
    </row>
    <row r="184" spans="11:12" x14ac:dyDescent="0.45">
      <c r="K184" s="36">
        <v>182</v>
      </c>
      <c r="L184" s="95">
        <v>1600.4999999999998</v>
      </c>
    </row>
    <row r="185" spans="11:12" x14ac:dyDescent="0.45">
      <c r="K185" s="36">
        <v>183</v>
      </c>
      <c r="L185" s="95">
        <v>1578.4999999999998</v>
      </c>
    </row>
    <row r="186" spans="11:12" x14ac:dyDescent="0.45">
      <c r="K186" s="36">
        <v>184</v>
      </c>
      <c r="L186" s="95">
        <v>1553.9999999999998</v>
      </c>
    </row>
    <row r="187" spans="11:12" x14ac:dyDescent="0.45">
      <c r="K187" s="36">
        <v>185</v>
      </c>
      <c r="L187" s="95">
        <v>1594.7999999999997</v>
      </c>
    </row>
    <row r="188" spans="11:12" x14ac:dyDescent="0.45">
      <c r="K188" s="36">
        <v>186</v>
      </c>
      <c r="L188" s="95">
        <v>1635.9999999999998</v>
      </c>
    </row>
    <row r="189" spans="11:12" x14ac:dyDescent="0.45">
      <c r="K189" s="36">
        <v>187</v>
      </c>
      <c r="L189" s="95">
        <v>1628.2999999999997</v>
      </c>
    </row>
    <row r="190" spans="11:12" x14ac:dyDescent="0.45">
      <c r="K190" s="36">
        <v>188</v>
      </c>
      <c r="L190" s="95">
        <v>1659.9999999999998</v>
      </c>
    </row>
    <row r="191" spans="11:12" x14ac:dyDescent="0.45">
      <c r="K191" s="36">
        <v>189</v>
      </c>
      <c r="L191" s="95">
        <v>1692.1999999999998</v>
      </c>
    </row>
    <row r="192" spans="11:12" x14ac:dyDescent="0.45">
      <c r="K192" s="36">
        <v>190</v>
      </c>
      <c r="L192" s="95">
        <v>1689.2999999999997</v>
      </c>
    </row>
    <row r="193" spans="11:12" x14ac:dyDescent="0.45">
      <c r="K193" s="36">
        <v>191</v>
      </c>
      <c r="L193" s="95">
        <v>1721.2999999999997</v>
      </c>
    </row>
    <row r="194" spans="11:12" x14ac:dyDescent="0.45">
      <c r="K194" s="36">
        <v>192</v>
      </c>
      <c r="L194" s="95">
        <v>1762.7999999999997</v>
      </c>
    </row>
    <row r="195" spans="11:12" x14ac:dyDescent="0.45">
      <c r="K195" s="36">
        <v>193</v>
      </c>
      <c r="L195" s="95">
        <v>1799.3999999999996</v>
      </c>
    </row>
    <row r="196" spans="11:12" x14ac:dyDescent="0.45">
      <c r="K196" s="36">
        <v>194</v>
      </c>
      <c r="L196" s="95">
        <v>1831.2999999999997</v>
      </c>
    </row>
    <row r="197" spans="11:12" x14ac:dyDescent="0.45">
      <c r="K197" s="36">
        <v>195</v>
      </c>
      <c r="L197" s="95">
        <v>1872.7999999999997</v>
      </c>
    </row>
    <row r="198" spans="11:12" x14ac:dyDescent="0.45">
      <c r="K198" s="36">
        <v>196</v>
      </c>
      <c r="L198" s="95">
        <v>1834.0999999999997</v>
      </c>
    </row>
    <row r="199" spans="11:12" x14ac:dyDescent="0.45">
      <c r="K199" s="36">
        <v>197</v>
      </c>
      <c r="L199" s="95">
        <v>1788.5999999999997</v>
      </c>
    </row>
    <row r="200" spans="11:12" x14ac:dyDescent="0.45">
      <c r="K200" s="36">
        <v>198</v>
      </c>
      <c r="L200" s="95">
        <v>1804.7999999999997</v>
      </c>
    </row>
    <row r="201" spans="11:12" x14ac:dyDescent="0.45">
      <c r="K201" s="36">
        <v>199</v>
      </c>
      <c r="L201" s="95">
        <v>1806.0999999999997</v>
      </c>
    </row>
    <row r="202" spans="11:12" x14ac:dyDescent="0.45">
      <c r="K202" s="36">
        <v>200</v>
      </c>
      <c r="L202" s="95">
        <v>1830.1999999999996</v>
      </c>
    </row>
    <row r="203" spans="11:12" x14ac:dyDescent="0.45">
      <c r="K203" s="36">
        <v>201</v>
      </c>
      <c r="L203" s="95">
        <v>1812.7999999999995</v>
      </c>
    </row>
    <row r="204" spans="11:12" x14ac:dyDescent="0.45">
      <c r="K204" s="36">
        <v>202</v>
      </c>
      <c r="L204" s="95">
        <v>1853.4999999999995</v>
      </c>
    </row>
    <row r="205" spans="11:12" x14ac:dyDescent="0.45">
      <c r="K205" s="36">
        <v>203</v>
      </c>
      <c r="L205" s="95">
        <v>1867.4999999999995</v>
      </c>
    </row>
    <row r="206" spans="11:12" x14ac:dyDescent="0.45">
      <c r="K206" s="36">
        <v>204</v>
      </c>
      <c r="L206" s="95">
        <v>1934.3999999999996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E4244-9B1E-49A8-9349-D3DE3A6B45C4}">
  <sheetPr codeName="Sheet11"/>
  <dimension ref="A1:Q18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178</v>
      </c>
      <c r="C2" s="155"/>
      <c r="E2" s="58" t="s">
        <v>66</v>
      </c>
      <c r="F2" s="55" t="s">
        <v>22</v>
      </c>
      <c r="G2" s="43">
        <v>349</v>
      </c>
      <c r="H2" s="128">
        <f>IF(B$15=0,0,G2/B$15)</f>
        <v>0.74732334047109206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-1052.840909090909</v>
      </c>
      <c r="P2" s="114">
        <v>176</v>
      </c>
      <c r="Q2" s="98">
        <v>-185300</v>
      </c>
    </row>
    <row r="3" spans="1:17" x14ac:dyDescent="0.45">
      <c r="A3" s="51" t="s">
        <v>8</v>
      </c>
      <c r="B3" s="156">
        <v>1481</v>
      </c>
      <c r="C3" s="157"/>
      <c r="E3" s="59" t="s">
        <v>72</v>
      </c>
      <c r="F3" s="56" t="s">
        <v>27</v>
      </c>
      <c r="G3" s="44">
        <v>267</v>
      </c>
      <c r="H3" s="129">
        <f>IF(B$15=0,0,G3/B$15)</f>
        <v>0.57173447537473232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1165.3179190751446</v>
      </c>
      <c r="P3" s="115">
        <v>173</v>
      </c>
      <c r="Q3" s="99">
        <v>201600</v>
      </c>
    </row>
    <row r="4" spans="1:17" x14ac:dyDescent="0.45">
      <c r="A4" s="51" t="s">
        <v>6</v>
      </c>
      <c r="B4" s="158">
        <v>-47.000000000000206</v>
      </c>
      <c r="C4" s="159"/>
      <c r="E4" s="59" t="s">
        <v>166</v>
      </c>
      <c r="F4" s="56" t="s">
        <v>167</v>
      </c>
      <c r="G4" s="44">
        <v>191</v>
      </c>
      <c r="H4" s="129">
        <f>IF(B$15=0,0,G4/B$15)</f>
        <v>0.4089935760171306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-245.96273291925465</v>
      </c>
      <c r="P4" s="115">
        <v>161</v>
      </c>
      <c r="Q4" s="99">
        <v>-39600</v>
      </c>
    </row>
    <row r="5" spans="1:17" x14ac:dyDescent="0.45">
      <c r="A5" s="51" t="s">
        <v>7</v>
      </c>
      <c r="B5" s="160">
        <f>IF(B$2=0,0,B$4/B$2)</f>
        <v>-0.26404494382022586</v>
      </c>
      <c r="C5" s="161"/>
      <c r="E5" s="59" t="s">
        <v>64</v>
      </c>
      <c r="F5" s="56" t="s">
        <v>20</v>
      </c>
      <c r="G5" s="44">
        <v>174</v>
      </c>
      <c r="H5" s="129">
        <f>IF(B$15=0,0,G5/B$15)</f>
        <v>0.37259100642398285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107.84313725490196</v>
      </c>
      <c r="P5" s="115">
        <v>153</v>
      </c>
      <c r="Q5" s="99">
        <v>16500</v>
      </c>
    </row>
    <row r="6" spans="1:17" x14ac:dyDescent="0.45">
      <c r="A6" s="51" t="s">
        <v>1</v>
      </c>
      <c r="B6" s="150">
        <f>IF(B$2=0,0,(B$7*1+B$8*2+B$9*3)/B$2)</f>
        <v>1.9831460674157304</v>
      </c>
      <c r="C6" s="151"/>
      <c r="E6" s="59" t="s">
        <v>68</v>
      </c>
      <c r="F6" s="56" t="s">
        <v>12</v>
      </c>
      <c r="G6" s="44">
        <v>127</v>
      </c>
      <c r="H6" s="129">
        <f>IF(B$15=0,0,G6/B$15)</f>
        <v>0.27194860813704497</v>
      </c>
      <c r="I6" s="90">
        <v>12</v>
      </c>
      <c r="K6" s="36">
        <v>4</v>
      </c>
      <c r="L6" s="95">
        <v>-38.099999999999994</v>
      </c>
      <c r="N6" s="111" t="s">
        <v>134</v>
      </c>
      <c r="O6" s="118">
        <f t="shared" si="0"/>
        <v>-1502.1428571428571</v>
      </c>
      <c r="P6" s="115">
        <v>140</v>
      </c>
      <c r="Q6" s="99">
        <v>-210300</v>
      </c>
    </row>
    <row r="7" spans="1:17" x14ac:dyDescent="0.45">
      <c r="A7" s="51" t="s">
        <v>2</v>
      </c>
      <c r="B7" s="44">
        <v>60</v>
      </c>
      <c r="C7" s="37">
        <f t="shared" ref="C7:C10" si="1">IF(B$2=0,0,B7/B$2)</f>
        <v>0.33707865168539325</v>
      </c>
      <c r="E7" s="59" t="s">
        <v>67</v>
      </c>
      <c r="F7" s="56" t="s">
        <v>23</v>
      </c>
      <c r="G7" s="44">
        <v>94</v>
      </c>
      <c r="H7" s="129">
        <f>IF(B$15=0,0,G7/B$15)</f>
        <v>0.2012847965738758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1161.3445378151262</v>
      </c>
      <c r="P7" s="116">
        <v>119</v>
      </c>
      <c r="Q7" s="100">
        <v>138200</v>
      </c>
    </row>
    <row r="8" spans="1:17" x14ac:dyDescent="0.45">
      <c r="A8" s="51" t="s">
        <v>3</v>
      </c>
      <c r="B8" s="44">
        <v>61</v>
      </c>
      <c r="C8" s="37">
        <f t="shared" si="1"/>
        <v>0.34269662921348315</v>
      </c>
      <c r="E8" s="59" t="s">
        <v>69</v>
      </c>
      <c r="F8" s="56" t="s">
        <v>24</v>
      </c>
      <c r="G8" s="44">
        <v>51</v>
      </c>
      <c r="H8" s="129">
        <f>IF(B$15=0,0,G8/B$15)</f>
        <v>0.10920770877944326</v>
      </c>
      <c r="I8" s="90">
        <v>10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57</v>
      </c>
      <c r="C9" s="38">
        <f t="shared" si="1"/>
        <v>0.3202247191011236</v>
      </c>
      <c r="E9" s="59" t="s">
        <v>89</v>
      </c>
      <c r="F9" s="56" t="s">
        <v>44</v>
      </c>
      <c r="G9" s="44">
        <v>49</v>
      </c>
      <c r="H9" s="129">
        <f>IF(B$15=0,0,G9/B$15)</f>
        <v>0.10492505353319058</v>
      </c>
      <c r="I9" s="90">
        <v>10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0.10112359550561797</v>
      </c>
      <c r="E10" s="59" t="s">
        <v>70</v>
      </c>
      <c r="F10" s="56" t="s">
        <v>25</v>
      </c>
      <c r="G10" s="44">
        <v>45</v>
      </c>
      <c r="H10" s="129">
        <f>IF(B$15=0,0,G10/B$15)</f>
        <v>9.6359743040685231E-2</v>
      </c>
      <c r="I10" s="90">
        <v>8</v>
      </c>
      <c r="K10" s="36">
        <v>8</v>
      </c>
      <c r="L10" s="95">
        <v>-56.79999999999999</v>
      </c>
      <c r="N10" s="110" t="s">
        <v>157</v>
      </c>
      <c r="O10" s="120">
        <f>IF(P10=0,0,Q10/P10)</f>
        <v>-1.999999999999964E-2</v>
      </c>
      <c r="P10" s="114">
        <v>55</v>
      </c>
      <c r="Q10" s="102">
        <v>-1.0999999999999801</v>
      </c>
    </row>
    <row r="11" spans="1:17" x14ac:dyDescent="0.45">
      <c r="A11" s="54" t="s">
        <v>121</v>
      </c>
      <c r="B11" s="47">
        <v>340</v>
      </c>
      <c r="C11" s="42">
        <f>IF(B$3=0,0,B11/B$3)</f>
        <v>0.22957461174881835</v>
      </c>
      <c r="E11" s="59" t="s">
        <v>71</v>
      </c>
      <c r="F11" s="56" t="s">
        <v>26</v>
      </c>
      <c r="G11" s="44">
        <v>42</v>
      </c>
      <c r="H11" s="129">
        <f>IF(B$15=0,0,G11/B$15)</f>
        <v>8.9935760171306209E-2</v>
      </c>
      <c r="I11" s="90">
        <v>5</v>
      </c>
      <c r="K11" s="36">
        <v>9</v>
      </c>
      <c r="L11" s="95">
        <v>-83.699999999999989</v>
      </c>
      <c r="N11" s="111" t="s">
        <v>158</v>
      </c>
      <c r="O11" s="121">
        <f>IF(P11=0,0,Q11/P11)</f>
        <v>2.8000000000000016</v>
      </c>
      <c r="P11" s="115">
        <v>56</v>
      </c>
      <c r="Q11" s="103">
        <v>156.8000000000001</v>
      </c>
    </row>
    <row r="12" spans="1:17" x14ac:dyDescent="0.45">
      <c r="A12" s="51" t="s">
        <v>118</v>
      </c>
      <c r="B12" s="44">
        <v>443</v>
      </c>
      <c r="C12" s="37">
        <f>IF(B$3=0,0,B12/B$3)</f>
        <v>0.29912221471978395</v>
      </c>
      <c r="E12" s="59" t="s">
        <v>65</v>
      </c>
      <c r="F12" s="56" t="s">
        <v>21</v>
      </c>
      <c r="G12" s="44">
        <v>35</v>
      </c>
      <c r="H12" s="129">
        <f>IF(B$15=0,0,G12/B$15)</f>
        <v>7.4946466809421838E-2</v>
      </c>
      <c r="I12" s="90">
        <v>12</v>
      </c>
      <c r="K12" s="36">
        <v>10</v>
      </c>
      <c r="L12" s="95">
        <v>-78.399999999999991</v>
      </c>
      <c r="N12" s="112" t="s">
        <v>159</v>
      </c>
      <c r="O12" s="122">
        <f>IF(P12=0,0,Q12/P12)</f>
        <v>-3.0253731343283583</v>
      </c>
      <c r="P12" s="116">
        <v>67</v>
      </c>
      <c r="Q12" s="104">
        <v>-202.70000000000002</v>
      </c>
    </row>
    <row r="13" spans="1:17" x14ac:dyDescent="0.45">
      <c r="A13" s="50" t="s">
        <v>123</v>
      </c>
      <c r="B13" s="43">
        <f>B19</f>
        <v>174</v>
      </c>
      <c r="C13" s="35">
        <f>IF(B$11=0,0,B13/B$11)</f>
        <v>0.5117647058823529</v>
      </c>
      <c r="E13" s="59" t="s">
        <v>86</v>
      </c>
      <c r="F13" s="56" t="s">
        <v>41</v>
      </c>
      <c r="G13" s="44">
        <v>26</v>
      </c>
      <c r="H13" s="129">
        <f>IF(B$15=0,0,G13/B$15)</f>
        <v>5.5674518201284794E-2</v>
      </c>
      <c r="I13" s="90">
        <v>3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176</v>
      </c>
      <c r="C14" s="35">
        <f>IF(B$12=0,0,B14/B$12)</f>
        <v>0.39729119638826182</v>
      </c>
      <c r="E14" s="59" t="s">
        <v>83</v>
      </c>
      <c r="F14" s="56" t="s">
        <v>38</v>
      </c>
      <c r="G14" s="44">
        <v>22</v>
      </c>
      <c r="H14" s="129">
        <f>IF(B$15=0,0,G14/B$15)</f>
        <v>4.7109207708779445E-2</v>
      </c>
      <c r="I14" s="90">
        <v>8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467</v>
      </c>
      <c r="C15" s="35">
        <f>IF(B$3=0,0,B15/B$3)</f>
        <v>0.31532748143146522</v>
      </c>
      <c r="E15" s="59" t="s">
        <v>78</v>
      </c>
      <c r="F15" s="56" t="s">
        <v>33</v>
      </c>
      <c r="G15" s="44">
        <v>18</v>
      </c>
      <c r="H15" s="129">
        <f>IF(B$15=0,0,G15/B$15)</f>
        <v>3.8543897216274089E-2</v>
      </c>
      <c r="I15" s="90">
        <v>3</v>
      </c>
      <c r="K15" s="36">
        <v>13</v>
      </c>
      <c r="L15" s="95">
        <v>-86.8</v>
      </c>
      <c r="N15" s="110" t="s">
        <v>232</v>
      </c>
      <c r="O15" s="120">
        <f t="shared" ref="O15:O23" si="2"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262</v>
      </c>
      <c r="C16" s="37">
        <f>IF(B$3=0,0,B16/B$3)</f>
        <v>0.17690749493585414</v>
      </c>
      <c r="E16" s="59" t="s">
        <v>91</v>
      </c>
      <c r="F16" s="56" t="s">
        <v>46</v>
      </c>
      <c r="G16" s="44">
        <v>14</v>
      </c>
      <c r="H16" s="129">
        <f>IF(B$15=0,0,G16/B$15)</f>
        <v>2.9978586723768737E-2</v>
      </c>
      <c r="I16" s="90">
        <v>2</v>
      </c>
      <c r="K16" s="36">
        <v>14</v>
      </c>
      <c r="L16" s="95">
        <v>-138.4</v>
      </c>
      <c r="N16" s="111" t="s">
        <v>196</v>
      </c>
      <c r="O16" s="121">
        <f t="shared" si="2"/>
        <v>21.862499999999997</v>
      </c>
      <c r="P16" s="115">
        <v>8</v>
      </c>
      <c r="Q16" s="103">
        <v>174.89999999999998</v>
      </c>
    </row>
    <row r="17" spans="1:17" x14ac:dyDescent="0.45">
      <c r="A17" s="51" t="s">
        <v>12</v>
      </c>
      <c r="B17" s="44">
        <v>193</v>
      </c>
      <c r="C17" s="37">
        <f>IF(B$15=0,0,B17/B$15)</f>
        <v>0.41327623126338331</v>
      </c>
      <c r="E17" s="59" t="s">
        <v>81</v>
      </c>
      <c r="F17" s="56" t="s">
        <v>36</v>
      </c>
      <c r="G17" s="44">
        <v>11</v>
      </c>
      <c r="H17" s="129">
        <f>IF(B$15=0,0,G17/B$15)</f>
        <v>2.3554603854389723E-2</v>
      </c>
      <c r="I17" s="90">
        <v>4</v>
      </c>
      <c r="K17" s="36">
        <v>15</v>
      </c>
      <c r="L17" s="95">
        <v>-144.30000000000001</v>
      </c>
      <c r="N17" s="111" t="s">
        <v>172</v>
      </c>
      <c r="O17" s="121">
        <f t="shared" si="2"/>
        <v>18.434693877551016</v>
      </c>
      <c r="P17" s="115">
        <v>49</v>
      </c>
      <c r="Q17" s="103">
        <v>903.29999999999973</v>
      </c>
    </row>
    <row r="18" spans="1:17" x14ac:dyDescent="0.45">
      <c r="A18" s="51" t="s">
        <v>11</v>
      </c>
      <c r="B18" s="44">
        <v>274</v>
      </c>
      <c r="C18" s="37">
        <f>IF(B$15=0,0,B18/B$15)</f>
        <v>0.58672376873661669</v>
      </c>
      <c r="E18" s="59" t="s">
        <v>79</v>
      </c>
      <c r="F18" s="56" t="s">
        <v>34</v>
      </c>
      <c r="G18" s="44">
        <v>8</v>
      </c>
      <c r="H18" s="129">
        <f>IF(B$15=0,0,G18/B$15)</f>
        <v>1.7130620985010708E-2</v>
      </c>
      <c r="I18" s="90">
        <v>5</v>
      </c>
      <c r="K18" s="36">
        <v>16</v>
      </c>
      <c r="L18" s="95">
        <v>-187.3</v>
      </c>
      <c r="N18" s="111" t="s">
        <v>197</v>
      </c>
      <c r="O18" s="121">
        <f t="shared" si="2"/>
        <v>12.000000000000002</v>
      </c>
      <c r="P18" s="115">
        <v>17</v>
      </c>
      <c r="Q18" s="103">
        <v>204.00000000000003</v>
      </c>
    </row>
    <row r="19" spans="1:17" x14ac:dyDescent="0.45">
      <c r="A19" s="51" t="s">
        <v>195</v>
      </c>
      <c r="B19" s="44">
        <v>174</v>
      </c>
      <c r="C19" s="37">
        <f>IF(B$15=0,0,B19/B$15)</f>
        <v>0.37259100642398285</v>
      </c>
      <c r="E19" s="59" t="s">
        <v>162</v>
      </c>
      <c r="F19" s="56" t="s">
        <v>163</v>
      </c>
      <c r="G19" s="44">
        <v>5</v>
      </c>
      <c r="H19" s="129">
        <f>IF(B$15=0,0,G19/B$15)</f>
        <v>1.0706638115631691E-2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 t="shared" si="2"/>
        <v>10.769444444444444</v>
      </c>
      <c r="P19" s="115">
        <v>36</v>
      </c>
      <c r="Q19" s="103">
        <v>387.7</v>
      </c>
    </row>
    <row r="20" spans="1:17" x14ac:dyDescent="0.45">
      <c r="A20" s="51" t="s">
        <v>193</v>
      </c>
      <c r="B20" s="44">
        <v>176</v>
      </c>
      <c r="C20" s="37">
        <f>IF(B$15=0,0,B20/B$15)</f>
        <v>0.37687366167023556</v>
      </c>
      <c r="E20" s="59" t="s">
        <v>92</v>
      </c>
      <c r="F20" s="56" t="s">
        <v>47</v>
      </c>
      <c r="G20" s="44">
        <v>3</v>
      </c>
      <c r="H20" s="129">
        <f>IF(B$15=0,0,G20/B$15)</f>
        <v>6.4239828693790149E-3</v>
      </c>
      <c r="I20" s="90">
        <v>6</v>
      </c>
      <c r="K20" s="36">
        <v>18</v>
      </c>
      <c r="L20" s="95">
        <v>-112.90000000000002</v>
      </c>
      <c r="N20" s="111" t="s">
        <v>171</v>
      </c>
      <c r="O20" s="121">
        <f t="shared" si="2"/>
        <v>-2.8540983606557364</v>
      </c>
      <c r="P20" s="115">
        <v>61</v>
      </c>
      <c r="Q20" s="103">
        <v>-174.09999999999991</v>
      </c>
    </row>
    <row r="21" spans="1:17" x14ac:dyDescent="0.45">
      <c r="A21" s="51" t="s">
        <v>194</v>
      </c>
      <c r="B21" s="44">
        <v>117</v>
      </c>
      <c r="C21" s="37">
        <f>IF(B$15=0,0,B21/B$15)</f>
        <v>0.25053533190578159</v>
      </c>
      <c r="E21" s="59" t="s">
        <v>74</v>
      </c>
      <c r="F21" s="56" t="s">
        <v>29</v>
      </c>
      <c r="G21" s="44">
        <v>2</v>
      </c>
      <c r="H21" s="129">
        <f>IF(B$15=0,0,G21/B$15)</f>
        <v>4.2826552462526769E-3</v>
      </c>
      <c r="I21" s="90">
        <v>3</v>
      </c>
      <c r="K21" s="36">
        <v>19</v>
      </c>
      <c r="L21" s="95">
        <v>-162.40000000000003</v>
      </c>
      <c r="N21" s="111" t="s">
        <v>200</v>
      </c>
      <c r="O21" s="121">
        <f t="shared" si="2"/>
        <v>-2.86</v>
      </c>
      <c r="P21" s="115">
        <v>5</v>
      </c>
      <c r="Q21" s="103">
        <v>-14.299999999999999</v>
      </c>
    </row>
    <row r="22" spans="1:17" x14ac:dyDescent="0.45">
      <c r="A22" s="51" t="s">
        <v>5</v>
      </c>
      <c r="B22" s="48">
        <f>IF(B$15=0,0,C22/B$15)</f>
        <v>7886.0813704496786</v>
      </c>
      <c r="C22" s="39">
        <v>3682800</v>
      </c>
      <c r="E22" s="59" t="s">
        <v>75</v>
      </c>
      <c r="F22" s="56" t="s">
        <v>30</v>
      </c>
      <c r="G22" s="44">
        <v>2</v>
      </c>
      <c r="H22" s="129">
        <f>IF(B$15=0,0,G22/B$15)</f>
        <v>4.2826552462526769E-3</v>
      </c>
      <c r="I22" s="90">
        <v>9</v>
      </c>
      <c r="K22" s="36">
        <v>20</v>
      </c>
      <c r="L22" s="95">
        <v>-96.000000000000028</v>
      </c>
      <c r="N22" s="111" t="s">
        <v>170</v>
      </c>
      <c r="O22" s="121">
        <f t="shared" si="2"/>
        <v>-3.0083333333333306</v>
      </c>
      <c r="P22" s="115">
        <v>60</v>
      </c>
      <c r="Q22" s="103">
        <v>-180.49999999999983</v>
      </c>
    </row>
    <row r="23" spans="1:17" x14ac:dyDescent="0.45">
      <c r="A23" s="52" t="s">
        <v>177</v>
      </c>
      <c r="B23" s="136">
        <f>IF($B$15-B$14=0,0,C23/($B$15-B$14))</f>
        <v>8494.1580756013755</v>
      </c>
      <c r="C23" s="137">
        <v>2471800</v>
      </c>
      <c r="E23" s="59" t="s">
        <v>90</v>
      </c>
      <c r="F23" s="56" t="s">
        <v>45</v>
      </c>
      <c r="G23" s="44">
        <v>2</v>
      </c>
      <c r="H23" s="129">
        <f>IF(B$15=0,0,G23/B$15)</f>
        <v>4.2826552462526769E-3</v>
      </c>
      <c r="I23" s="90">
        <v>2</v>
      </c>
      <c r="K23" s="36">
        <v>21</v>
      </c>
      <c r="L23" s="95">
        <v>-67.200000000000031</v>
      </c>
      <c r="N23" s="111" t="s">
        <v>126</v>
      </c>
      <c r="O23" s="121">
        <f t="shared" si="2"/>
        <v>-13.496610169491529</v>
      </c>
      <c r="P23" s="115">
        <v>118</v>
      </c>
      <c r="Q23" s="103">
        <v>-1592.6000000000004</v>
      </c>
    </row>
    <row r="24" spans="1:17" x14ac:dyDescent="0.45">
      <c r="A24" s="52" t="s">
        <v>178</v>
      </c>
      <c r="B24" s="136">
        <f>IF(B$14=0,0,C24/B$14)</f>
        <v>6880.681818181818</v>
      </c>
      <c r="C24" s="137">
        <v>1211000</v>
      </c>
      <c r="E24" s="59" t="s">
        <v>73</v>
      </c>
      <c r="F24" s="56" t="s">
        <v>28</v>
      </c>
      <c r="G24" s="44">
        <v>1</v>
      </c>
      <c r="H24" s="129">
        <f>IF(B$15=0,0,G24/B$15)</f>
        <v>2.1413276231263384E-3</v>
      </c>
      <c r="I24" s="90">
        <v>5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-7936.259541984733</v>
      </c>
      <c r="C25" s="137">
        <v>-2079300</v>
      </c>
      <c r="E25" s="59" t="s">
        <v>77</v>
      </c>
      <c r="F25" s="56" t="s">
        <v>32</v>
      </c>
      <c r="G25" s="44">
        <v>1</v>
      </c>
      <c r="H25" s="129">
        <f>IF(B$15=0,0,G25/B$15)</f>
        <v>2.1413276231263384E-3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84</v>
      </c>
      <c r="F26" s="56" t="s">
        <v>39</v>
      </c>
      <c r="G26" s="44">
        <v>1</v>
      </c>
      <c r="H26" s="129">
        <f>IF(B$15=0,0,G26/B$15)</f>
        <v>2.1413276231263384E-3</v>
      </c>
      <c r="I26" s="90">
        <v>5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36</v>
      </c>
      <c r="C27" s="131">
        <v>3</v>
      </c>
      <c r="E27" s="59" t="s">
        <v>95</v>
      </c>
      <c r="F27" s="56" t="s">
        <v>50</v>
      </c>
      <c r="G27" s="44">
        <v>1</v>
      </c>
      <c r="H27" s="129">
        <f>IF(B$15=0,0,G27/B$15)</f>
        <v>2.1413276231263384E-3</v>
      </c>
      <c r="I27" s="90">
        <v>4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6</v>
      </c>
      <c r="C30" s="40">
        <f>IF(B$3=0,0,B30/B$3)</f>
        <v>4.0513166779203242E-3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8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37</v>
      </c>
      <c r="C32" s="141">
        <f>IF(B$15=0,0,B32/B$15)</f>
        <v>7.922912205567452E-2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90</v>
      </c>
      <c r="C33" s="37">
        <f t="shared" ref="C33:C44" si="3">IF(B$15=0,0,B33/B$15)</f>
        <v>0.19271948608137046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100</v>
      </c>
      <c r="C34" s="37">
        <f>IF(B$15=0,0,B34/B$15)</f>
        <v>0.21413276231263384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93</v>
      </c>
      <c r="C35" s="37">
        <f t="shared" si="3"/>
        <v>0.19914346895074947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65</v>
      </c>
      <c r="C36" s="37">
        <f t="shared" si="3"/>
        <v>0.13918629550321199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44</v>
      </c>
      <c r="C37" s="37">
        <f t="shared" si="3"/>
        <v>9.421841541755889E-2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15</v>
      </c>
      <c r="C38" s="37">
        <f t="shared" si="3"/>
        <v>3.2119914346895075E-2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9</v>
      </c>
      <c r="C39" s="37">
        <f t="shared" si="3"/>
        <v>1.9271948608137045E-2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6</v>
      </c>
      <c r="C40" s="37">
        <f t="shared" si="3"/>
        <v>1.284796573875803E-2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3"/>
        <v>2.1413276231263384E-3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3</v>
      </c>
      <c r="C42" s="37">
        <f t="shared" si="3"/>
        <v>6.4239828693790149E-3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3"/>
        <v>8.5653104925053538E-3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  <row r="134" spans="11:12" x14ac:dyDescent="0.45">
      <c r="K134" s="36">
        <v>132</v>
      </c>
      <c r="L134" s="95">
        <v>90.399999999999807</v>
      </c>
    </row>
    <row r="135" spans="11:12" x14ac:dyDescent="0.45">
      <c r="K135" s="36">
        <v>133</v>
      </c>
      <c r="L135" s="95">
        <v>91.299999999999812</v>
      </c>
    </row>
    <row r="136" spans="11:12" x14ac:dyDescent="0.45">
      <c r="K136" s="36">
        <v>134</v>
      </c>
      <c r="L136" s="95">
        <v>55.699999999999811</v>
      </c>
    </row>
    <row r="137" spans="11:12" x14ac:dyDescent="0.45">
      <c r="K137" s="36">
        <v>135</v>
      </c>
      <c r="L137" s="95">
        <v>47.59999999999981</v>
      </c>
    </row>
    <row r="138" spans="11:12" x14ac:dyDescent="0.45">
      <c r="K138" s="36">
        <v>136</v>
      </c>
      <c r="L138" s="95">
        <v>22.799999999999809</v>
      </c>
    </row>
    <row r="139" spans="11:12" x14ac:dyDescent="0.45">
      <c r="K139" s="36">
        <v>137</v>
      </c>
      <c r="L139" s="95">
        <v>58.999999999999815</v>
      </c>
    </row>
    <row r="140" spans="11:12" x14ac:dyDescent="0.45">
      <c r="K140" s="36">
        <v>138</v>
      </c>
      <c r="L140" s="95">
        <v>61.099999999999817</v>
      </c>
    </row>
    <row r="141" spans="11:12" x14ac:dyDescent="0.45">
      <c r="K141" s="36">
        <v>139</v>
      </c>
      <c r="L141" s="95">
        <v>32.099999999999817</v>
      </c>
    </row>
    <row r="142" spans="11:12" x14ac:dyDescent="0.45">
      <c r="K142" s="36">
        <v>140</v>
      </c>
      <c r="L142" s="95">
        <v>11.899999999999817</v>
      </c>
    </row>
    <row r="143" spans="11:12" x14ac:dyDescent="0.45">
      <c r="K143" s="36">
        <v>141</v>
      </c>
      <c r="L143" s="95">
        <v>-18.100000000000183</v>
      </c>
    </row>
    <row r="144" spans="11:12" x14ac:dyDescent="0.45">
      <c r="K144" s="36">
        <v>142</v>
      </c>
      <c r="L144" s="95">
        <v>30.699999999999815</v>
      </c>
    </row>
    <row r="145" spans="11:12" x14ac:dyDescent="0.45">
      <c r="K145" s="36">
        <v>143</v>
      </c>
      <c r="L145" s="95">
        <v>61.399999999999814</v>
      </c>
    </row>
    <row r="146" spans="11:12" x14ac:dyDescent="0.45">
      <c r="K146" s="36">
        <v>144</v>
      </c>
      <c r="L146" s="95">
        <v>21.799999999999812</v>
      </c>
    </row>
    <row r="147" spans="11:12" x14ac:dyDescent="0.45">
      <c r="K147" s="36">
        <v>145</v>
      </c>
      <c r="L147" s="95">
        <v>56.199999999999811</v>
      </c>
    </row>
    <row r="148" spans="11:12" x14ac:dyDescent="0.45">
      <c r="K148" s="36">
        <v>146</v>
      </c>
      <c r="L148" s="95">
        <v>21.799999999999812</v>
      </c>
    </row>
    <row r="149" spans="11:12" x14ac:dyDescent="0.45">
      <c r="K149" s="36">
        <v>147</v>
      </c>
      <c r="L149" s="95">
        <v>-1.6000000000001862</v>
      </c>
    </row>
    <row r="150" spans="11:12" x14ac:dyDescent="0.45">
      <c r="K150" s="36">
        <v>148</v>
      </c>
      <c r="L150" s="95">
        <v>58.999999999999815</v>
      </c>
    </row>
    <row r="151" spans="11:12" x14ac:dyDescent="0.45">
      <c r="K151" s="36">
        <v>149</v>
      </c>
      <c r="L151" s="95">
        <v>20.499999999999815</v>
      </c>
    </row>
    <row r="152" spans="11:12" x14ac:dyDescent="0.45">
      <c r="K152" s="36">
        <v>150</v>
      </c>
      <c r="L152" s="95">
        <v>-14.500000000000185</v>
      </c>
    </row>
    <row r="153" spans="11:12" x14ac:dyDescent="0.45">
      <c r="K153" s="36">
        <v>151</v>
      </c>
      <c r="L153" s="95">
        <v>-9.1000000000001844</v>
      </c>
    </row>
    <row r="154" spans="11:12" x14ac:dyDescent="0.45">
      <c r="K154" s="36">
        <v>152</v>
      </c>
      <c r="L154" s="95">
        <v>-44.100000000000186</v>
      </c>
    </row>
    <row r="155" spans="11:12" x14ac:dyDescent="0.45">
      <c r="K155" s="36">
        <v>153</v>
      </c>
      <c r="L155" s="95">
        <v>-43.800000000000189</v>
      </c>
    </row>
    <row r="156" spans="11:12" x14ac:dyDescent="0.45">
      <c r="K156" s="36">
        <v>154</v>
      </c>
      <c r="L156" s="95">
        <v>-31.800000000000189</v>
      </c>
    </row>
    <row r="157" spans="11:12" x14ac:dyDescent="0.45">
      <c r="K157" s="36">
        <v>155</v>
      </c>
      <c r="L157" s="95">
        <v>7.8999999999998138</v>
      </c>
    </row>
    <row r="158" spans="11:12" x14ac:dyDescent="0.45">
      <c r="K158" s="36">
        <v>156</v>
      </c>
      <c r="L158" s="95">
        <v>-12.100000000000186</v>
      </c>
    </row>
    <row r="159" spans="11:12" x14ac:dyDescent="0.45">
      <c r="K159" s="36">
        <v>157</v>
      </c>
      <c r="L159" s="95">
        <v>8.8999999999998138</v>
      </c>
    </row>
    <row r="160" spans="11:12" x14ac:dyDescent="0.45">
      <c r="K160" s="36">
        <v>158</v>
      </c>
      <c r="L160" s="95">
        <v>47.099999999999817</v>
      </c>
    </row>
    <row r="161" spans="11:12" x14ac:dyDescent="0.45">
      <c r="K161" s="36">
        <v>159</v>
      </c>
      <c r="L161" s="95">
        <v>18.399999999999817</v>
      </c>
    </row>
    <row r="162" spans="11:12" x14ac:dyDescent="0.45">
      <c r="K162" s="36">
        <v>160</v>
      </c>
      <c r="L162" s="95">
        <v>-25.600000000000183</v>
      </c>
    </row>
    <row r="163" spans="11:12" x14ac:dyDescent="0.45">
      <c r="K163" s="36">
        <v>161</v>
      </c>
      <c r="L163" s="95">
        <v>-44.500000000000185</v>
      </c>
    </row>
    <row r="164" spans="11:12" x14ac:dyDescent="0.45">
      <c r="K164" s="36">
        <v>162</v>
      </c>
      <c r="L164" s="95">
        <v>-22.200000000000184</v>
      </c>
    </row>
    <row r="165" spans="11:12" x14ac:dyDescent="0.45">
      <c r="K165" s="36">
        <v>163</v>
      </c>
      <c r="L165" s="95">
        <v>25.099999999999813</v>
      </c>
    </row>
    <row r="166" spans="11:12" x14ac:dyDescent="0.45">
      <c r="K166" s="36">
        <v>164</v>
      </c>
      <c r="L166" s="95">
        <v>-9.4000000000001869</v>
      </c>
    </row>
    <row r="167" spans="11:12" x14ac:dyDescent="0.45">
      <c r="K167" s="36">
        <v>165</v>
      </c>
      <c r="L167" s="95">
        <v>-48.100000000000193</v>
      </c>
    </row>
    <row r="168" spans="11:12" x14ac:dyDescent="0.45">
      <c r="K168" s="36">
        <v>166</v>
      </c>
      <c r="L168" s="95">
        <v>-22.900000000000194</v>
      </c>
    </row>
    <row r="169" spans="11:12" x14ac:dyDescent="0.45">
      <c r="K169" s="36">
        <v>167</v>
      </c>
      <c r="L169" s="95">
        <v>-2.8000000000001926</v>
      </c>
    </row>
    <row r="170" spans="11:12" x14ac:dyDescent="0.45">
      <c r="K170" s="36">
        <v>168</v>
      </c>
      <c r="L170" s="95">
        <v>21.399999999999807</v>
      </c>
    </row>
    <row r="171" spans="11:12" x14ac:dyDescent="0.45">
      <c r="K171" s="36">
        <v>169</v>
      </c>
      <c r="L171" s="95">
        <v>20.799999999999805</v>
      </c>
    </row>
    <row r="172" spans="11:12" x14ac:dyDescent="0.45">
      <c r="K172" s="36">
        <v>170</v>
      </c>
      <c r="L172" s="95">
        <v>-3.0000000000001954</v>
      </c>
    </row>
    <row r="173" spans="11:12" x14ac:dyDescent="0.45">
      <c r="K173" s="36">
        <v>171</v>
      </c>
      <c r="L173" s="95">
        <v>-27.400000000000194</v>
      </c>
    </row>
    <row r="174" spans="11:12" x14ac:dyDescent="0.45">
      <c r="K174" s="36">
        <v>172</v>
      </c>
      <c r="L174" s="95">
        <v>-60.500000000000199</v>
      </c>
    </row>
    <row r="175" spans="11:12" x14ac:dyDescent="0.45">
      <c r="K175" s="36">
        <v>173</v>
      </c>
      <c r="L175" s="95">
        <v>-71.400000000000205</v>
      </c>
    </row>
    <row r="176" spans="11:12" x14ac:dyDescent="0.45">
      <c r="K176" s="36">
        <v>174</v>
      </c>
      <c r="L176" s="95">
        <v>-41.100000000000207</v>
      </c>
    </row>
    <row r="177" spans="11:12" x14ac:dyDescent="0.45">
      <c r="K177" s="36">
        <v>175</v>
      </c>
      <c r="L177" s="95">
        <v>-68.600000000000207</v>
      </c>
    </row>
    <row r="178" spans="11:12" x14ac:dyDescent="0.45">
      <c r="K178" s="36">
        <v>176</v>
      </c>
      <c r="L178" s="95">
        <v>-6.0000000000002061</v>
      </c>
    </row>
    <row r="179" spans="11:12" x14ac:dyDescent="0.45">
      <c r="K179" s="36">
        <v>177</v>
      </c>
      <c r="L179" s="95">
        <v>-11.000000000000206</v>
      </c>
    </row>
    <row r="180" spans="11:12" x14ac:dyDescent="0.45">
      <c r="K180" s="36">
        <v>178</v>
      </c>
      <c r="L180" s="95">
        <v>-47.000000000000206</v>
      </c>
    </row>
  </sheetData>
  <sortState xmlns:xlrd2="http://schemas.microsoft.com/office/spreadsheetml/2017/richdata2" ref="E2:I181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387FD-D8CB-4D8C-8262-C26FE9BC2246}">
  <sheetPr codeName="Sheet13"/>
  <dimension ref="A1:Q10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102</v>
      </c>
      <c r="C2" s="155"/>
      <c r="E2" s="58" t="s">
        <v>66</v>
      </c>
      <c r="F2" s="55" t="s">
        <v>22</v>
      </c>
      <c r="G2" s="43">
        <v>180</v>
      </c>
      <c r="H2" s="128">
        <f>IF(B$15=0,0,G2/B$15)</f>
        <v>0.76923076923076927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-722.77227722772273</v>
      </c>
      <c r="P2" s="114">
        <v>101</v>
      </c>
      <c r="Q2" s="98">
        <v>-73000</v>
      </c>
    </row>
    <row r="3" spans="1:17" x14ac:dyDescent="0.45">
      <c r="A3" s="51" t="s">
        <v>8</v>
      </c>
      <c r="B3" s="156">
        <v>881</v>
      </c>
      <c r="C3" s="157"/>
      <c r="E3" s="59" t="s">
        <v>64</v>
      </c>
      <c r="F3" s="56" t="s">
        <v>20</v>
      </c>
      <c r="G3" s="44">
        <v>131</v>
      </c>
      <c r="H3" s="129">
        <f>IF(B$15=0,0,G3/B$15)</f>
        <v>0.55982905982905984</v>
      </c>
      <c r="I3" s="90">
        <v>5</v>
      </c>
      <c r="K3" s="36">
        <v>1</v>
      </c>
      <c r="L3" s="95">
        <v>-37.799999999999997</v>
      </c>
      <c r="N3" s="111" t="s">
        <v>131</v>
      </c>
      <c r="O3" s="118">
        <f t="shared" si="0"/>
        <v>-772.2772277227723</v>
      </c>
      <c r="P3" s="115">
        <v>101</v>
      </c>
      <c r="Q3" s="99">
        <v>-78000</v>
      </c>
    </row>
    <row r="4" spans="1:17" x14ac:dyDescent="0.45">
      <c r="A4" s="51" t="s">
        <v>6</v>
      </c>
      <c r="B4" s="158">
        <v>-759.19999999999993</v>
      </c>
      <c r="C4" s="159"/>
      <c r="E4" s="59" t="s">
        <v>72</v>
      </c>
      <c r="F4" s="56" t="s">
        <v>27</v>
      </c>
      <c r="G4" s="44">
        <v>116</v>
      </c>
      <c r="H4" s="129">
        <f>IF(B$15=0,0,G4/B$15)</f>
        <v>0.49572649572649574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412.63157894736844</v>
      </c>
      <c r="P4" s="115">
        <v>95</v>
      </c>
      <c r="Q4" s="99">
        <v>39200</v>
      </c>
    </row>
    <row r="5" spans="1:17" x14ac:dyDescent="0.45">
      <c r="A5" s="51" t="s">
        <v>7</v>
      </c>
      <c r="B5" s="160">
        <f>IF(B$2=0,0,B$4/B$2)</f>
        <v>-7.4431372549019601</v>
      </c>
      <c r="C5" s="161"/>
      <c r="E5" s="59" t="s">
        <v>166</v>
      </c>
      <c r="F5" s="56" t="s">
        <v>167</v>
      </c>
      <c r="G5" s="44">
        <v>98</v>
      </c>
      <c r="H5" s="129">
        <f>IF(B$15=0,0,G5/B$15)</f>
        <v>0.41880341880341881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-763.44086021505382</v>
      </c>
      <c r="P5" s="115">
        <v>93</v>
      </c>
      <c r="Q5" s="99">
        <v>-71000</v>
      </c>
    </row>
    <row r="6" spans="1:17" x14ac:dyDescent="0.45">
      <c r="A6" s="51" t="s">
        <v>1</v>
      </c>
      <c r="B6" s="150">
        <f>IF(B$2=0,0,(B$7*1+B$8*2+B$9*3)/B$2)</f>
        <v>2.1960784313725492</v>
      </c>
      <c r="C6" s="151"/>
      <c r="E6" s="59" t="s">
        <v>68</v>
      </c>
      <c r="F6" s="56" t="s">
        <v>12</v>
      </c>
      <c r="G6" s="44">
        <v>84</v>
      </c>
      <c r="H6" s="129">
        <f>IF(B$15=0,0,G6/B$15)</f>
        <v>0.35897435897435898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-2801.1363636363635</v>
      </c>
      <c r="P6" s="115">
        <v>88</v>
      </c>
      <c r="Q6" s="99">
        <v>-246500</v>
      </c>
    </row>
    <row r="7" spans="1:17" x14ac:dyDescent="0.45">
      <c r="A7" s="51" t="s">
        <v>2</v>
      </c>
      <c r="B7" s="44">
        <v>21</v>
      </c>
      <c r="C7" s="37">
        <f t="shared" ref="C7:C10" si="1">IF(B$2=0,0,B7/B$2)</f>
        <v>0.20588235294117646</v>
      </c>
      <c r="E7" s="59" t="s">
        <v>67</v>
      </c>
      <c r="F7" s="56" t="s">
        <v>23</v>
      </c>
      <c r="G7" s="44">
        <v>71</v>
      </c>
      <c r="H7" s="129">
        <f>IF(B$15=0,0,G7/B$15)</f>
        <v>0.3034188034188034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-1762.3376623376623</v>
      </c>
      <c r="P7" s="116">
        <v>77</v>
      </c>
      <c r="Q7" s="100">
        <v>-135700</v>
      </c>
    </row>
    <row r="8" spans="1:17" x14ac:dyDescent="0.45">
      <c r="A8" s="51" t="s">
        <v>3</v>
      </c>
      <c r="B8" s="44">
        <v>40</v>
      </c>
      <c r="C8" s="37">
        <f t="shared" si="1"/>
        <v>0.39215686274509803</v>
      </c>
      <c r="E8" s="59" t="s">
        <v>69</v>
      </c>
      <c r="F8" s="56" t="s">
        <v>24</v>
      </c>
      <c r="G8" s="44">
        <v>34</v>
      </c>
      <c r="H8" s="129">
        <f>IF(B$15=0,0,G8/B$15)</f>
        <v>0.14529914529914531</v>
      </c>
      <c r="I8" s="90">
        <v>6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41</v>
      </c>
      <c r="C9" s="38">
        <f t="shared" si="1"/>
        <v>0.40196078431372551</v>
      </c>
      <c r="E9" s="59" t="s">
        <v>70</v>
      </c>
      <c r="F9" s="56" t="s">
        <v>25</v>
      </c>
      <c r="G9" s="44">
        <v>29</v>
      </c>
      <c r="H9" s="129">
        <f>IF(B$15=0,0,G9/B$15)</f>
        <v>0.12393162393162394</v>
      </c>
      <c r="I9" s="90">
        <v>3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7.8431372549019607E-2</v>
      </c>
      <c r="E10" s="59" t="s">
        <v>65</v>
      </c>
      <c r="F10" s="56" t="s">
        <v>21</v>
      </c>
      <c r="G10" s="44">
        <v>28</v>
      </c>
      <c r="H10" s="129">
        <f>IF(B$15=0,0,G10/B$15)</f>
        <v>0.11965811965811966</v>
      </c>
      <c r="I10" s="90">
        <v>6</v>
      </c>
      <c r="K10" s="36">
        <v>8</v>
      </c>
      <c r="L10" s="95">
        <v>-62.999999999999993</v>
      </c>
      <c r="N10" s="110" t="s">
        <v>157</v>
      </c>
      <c r="O10" s="120">
        <f>IF(P10=0,0,Q10/P10)</f>
        <v>-6.7666666666666693</v>
      </c>
      <c r="P10" s="114">
        <v>42</v>
      </c>
      <c r="Q10" s="102">
        <v>-284.2000000000001</v>
      </c>
    </row>
    <row r="11" spans="1:17" x14ac:dyDescent="0.45">
      <c r="A11" s="54" t="s">
        <v>121</v>
      </c>
      <c r="B11" s="47">
        <v>243</v>
      </c>
      <c r="C11" s="42">
        <f>IF(B$3=0,0,B11/B$3)</f>
        <v>0.27582292849035189</v>
      </c>
      <c r="E11" s="59" t="s">
        <v>89</v>
      </c>
      <c r="F11" s="56" t="s">
        <v>44</v>
      </c>
      <c r="G11" s="44">
        <v>26</v>
      </c>
      <c r="H11" s="129">
        <f>IF(B$15=0,0,G11/B$15)</f>
        <v>0.1111111111111111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-6.2241379310344849</v>
      </c>
      <c r="P11" s="115">
        <v>29</v>
      </c>
      <c r="Q11" s="103">
        <v>-180.50000000000006</v>
      </c>
    </row>
    <row r="12" spans="1:17" x14ac:dyDescent="0.45">
      <c r="A12" s="51" t="s">
        <v>118</v>
      </c>
      <c r="B12" s="44">
        <v>168</v>
      </c>
      <c r="C12" s="37">
        <f>IF(B$3=0,0,B12/B$3)</f>
        <v>0.19069239500567536</v>
      </c>
      <c r="E12" s="59" t="s">
        <v>83</v>
      </c>
      <c r="F12" s="56" t="s">
        <v>38</v>
      </c>
      <c r="G12" s="44">
        <v>14</v>
      </c>
      <c r="H12" s="129">
        <f>IF(B$15=0,0,G12/B$15)</f>
        <v>5.9829059829059832E-2</v>
      </c>
      <c r="I12" s="90">
        <v>5</v>
      </c>
      <c r="K12" s="36">
        <v>10</v>
      </c>
      <c r="L12" s="95">
        <v>-117.19999999999999</v>
      </c>
      <c r="N12" s="112" t="s">
        <v>159</v>
      </c>
      <c r="O12" s="122">
        <f>IF(P12=0,0,Q12/P12)</f>
        <v>-9.4999999999999982</v>
      </c>
      <c r="P12" s="116">
        <v>31</v>
      </c>
      <c r="Q12" s="104">
        <v>-294.49999999999994</v>
      </c>
    </row>
    <row r="13" spans="1:17" x14ac:dyDescent="0.45">
      <c r="A13" s="50" t="s">
        <v>123</v>
      </c>
      <c r="B13" s="43">
        <f>B19</f>
        <v>131</v>
      </c>
      <c r="C13" s="35">
        <f>IF(B$11=0,0,B13/B$11)</f>
        <v>0.53909465020576131</v>
      </c>
      <c r="E13" s="59" t="s">
        <v>86</v>
      </c>
      <c r="F13" s="56" t="s">
        <v>41</v>
      </c>
      <c r="G13" s="44">
        <v>10</v>
      </c>
      <c r="H13" s="129">
        <f>IF(B$15=0,0,G13/B$15)</f>
        <v>4.2735042735042736E-2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67</v>
      </c>
      <c r="C14" s="35">
        <f>IF(B$12=0,0,B14/B$12)</f>
        <v>0.39880952380952384</v>
      </c>
      <c r="E14" s="59" t="s">
        <v>71</v>
      </c>
      <c r="F14" s="56" t="s">
        <v>26</v>
      </c>
      <c r="G14" s="44">
        <v>9</v>
      </c>
      <c r="H14" s="129">
        <f>IF(B$15=0,0,G14/B$15)</f>
        <v>3.8461538461538464E-2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234</v>
      </c>
      <c r="C15" s="35">
        <f>IF(B$3=0,0,B15/B$3)</f>
        <v>0.26560726447219069</v>
      </c>
      <c r="E15" s="59" t="s">
        <v>78</v>
      </c>
      <c r="F15" s="56" t="s">
        <v>33</v>
      </c>
      <c r="G15" s="44">
        <v>8</v>
      </c>
      <c r="H15" s="129">
        <f>IF(B$15=0,0,G15/B$15)</f>
        <v>3.4188034188034191E-2</v>
      </c>
      <c r="I15" s="90">
        <v>5</v>
      </c>
      <c r="K15" s="36">
        <v>13</v>
      </c>
      <c r="L15" s="95">
        <v>-207.3</v>
      </c>
      <c r="N15" s="110" t="s">
        <v>197</v>
      </c>
      <c r="O15" s="120">
        <f>IF(P15=0,0,Q15/P15)</f>
        <v>21.183333333333334</v>
      </c>
      <c r="P15" s="114">
        <v>6</v>
      </c>
      <c r="Q15" s="102">
        <v>127.1</v>
      </c>
    </row>
    <row r="16" spans="1:17" x14ac:dyDescent="0.45">
      <c r="A16" s="51" t="s">
        <v>13</v>
      </c>
      <c r="B16" s="44">
        <v>160</v>
      </c>
      <c r="C16" s="37">
        <f>IF(B$3=0,0,B16/B$3)</f>
        <v>0.18161180476730987</v>
      </c>
      <c r="E16" s="59" t="s">
        <v>81</v>
      </c>
      <c r="F16" s="56" t="s">
        <v>36</v>
      </c>
      <c r="G16" s="44">
        <v>5</v>
      </c>
      <c r="H16" s="129">
        <f>IF(B$15=0,0,G16/B$15)</f>
        <v>2.1367521367521368E-2</v>
      </c>
      <c r="I16" s="90">
        <v>6</v>
      </c>
      <c r="K16" s="36">
        <v>14</v>
      </c>
      <c r="L16" s="95">
        <v>-204.8</v>
      </c>
      <c r="N16" s="111" t="s">
        <v>170</v>
      </c>
      <c r="O16" s="121">
        <f>IF(P16=0,0,Q16/P16)</f>
        <v>2.9208333333333356</v>
      </c>
      <c r="P16" s="115">
        <v>24</v>
      </c>
      <c r="Q16" s="103">
        <v>70.100000000000051</v>
      </c>
    </row>
    <row r="17" spans="1:17" x14ac:dyDescent="0.45">
      <c r="A17" s="51" t="s">
        <v>12</v>
      </c>
      <c r="B17" s="44">
        <v>111</v>
      </c>
      <c r="C17" s="37">
        <f>IF(B$15=0,0,B17/B$15)</f>
        <v>0.47435897435897434</v>
      </c>
      <c r="E17" s="59" t="s">
        <v>79</v>
      </c>
      <c r="F17" s="56" t="s">
        <v>34</v>
      </c>
      <c r="G17" s="44">
        <v>4</v>
      </c>
      <c r="H17" s="129">
        <f>IF(B$15=0,0,G17/B$15)</f>
        <v>1.7094017094017096E-2</v>
      </c>
      <c r="I17" s="90">
        <v>6</v>
      </c>
      <c r="K17" s="36">
        <v>15</v>
      </c>
      <c r="L17" s="95">
        <v>-221.5</v>
      </c>
      <c r="N17" s="111" t="s">
        <v>161</v>
      </c>
      <c r="O17" s="121">
        <f>IF(P17=0,0,Q17/P17)</f>
        <v>1.4666666666666697</v>
      </c>
      <c r="P17" s="115">
        <v>18</v>
      </c>
      <c r="Q17" s="103">
        <v>26.400000000000055</v>
      </c>
    </row>
    <row r="18" spans="1:17" x14ac:dyDescent="0.45">
      <c r="A18" s="51" t="s">
        <v>11</v>
      </c>
      <c r="B18" s="44">
        <v>123</v>
      </c>
      <c r="C18" s="37">
        <f>IF(B$15=0,0,B18/B$15)</f>
        <v>0.52564102564102566</v>
      </c>
      <c r="E18" s="59" t="s">
        <v>162</v>
      </c>
      <c r="F18" s="56" t="s">
        <v>163</v>
      </c>
      <c r="G18" s="44">
        <v>4</v>
      </c>
      <c r="H18" s="129">
        <f>IF(B$15=0,0,G18/B$15)</f>
        <v>1.7094017094017096E-2</v>
      </c>
      <c r="I18" s="90">
        <v>5</v>
      </c>
      <c r="K18" s="36">
        <v>16</v>
      </c>
      <c r="L18" s="95">
        <v>-224.3</v>
      </c>
      <c r="N18" s="111" t="s">
        <v>196</v>
      </c>
      <c r="O18" s="121">
        <f>IF(P18=0,0,Q18/P18)</f>
        <v>-1.8909090909090898</v>
      </c>
      <c r="P18" s="115">
        <v>11</v>
      </c>
      <c r="Q18" s="103">
        <v>-20.799999999999986</v>
      </c>
    </row>
    <row r="19" spans="1:17" x14ac:dyDescent="0.45">
      <c r="A19" s="51" t="s">
        <v>195</v>
      </c>
      <c r="B19" s="44">
        <v>131</v>
      </c>
      <c r="C19" s="37">
        <f>IF(B$15=0,0,B19/B$15)</f>
        <v>0.55982905982905984</v>
      </c>
      <c r="E19" s="59" t="s">
        <v>75</v>
      </c>
      <c r="F19" s="56" t="s">
        <v>30</v>
      </c>
      <c r="G19" s="44">
        <v>3</v>
      </c>
      <c r="H19" s="129">
        <f>IF(B$15=0,0,G19/B$15)</f>
        <v>1.282051282051282E-2</v>
      </c>
      <c r="I19" s="90">
        <v>3</v>
      </c>
      <c r="K19" s="36">
        <v>17</v>
      </c>
      <c r="L19" s="95">
        <v>-251.4</v>
      </c>
      <c r="N19" s="111" t="s">
        <v>171</v>
      </c>
      <c r="O19" s="121">
        <f>IF(P19=0,0,Q19/P19)</f>
        <v>-15.669230769230769</v>
      </c>
      <c r="P19" s="115">
        <v>26</v>
      </c>
      <c r="Q19" s="103">
        <v>-407.4</v>
      </c>
    </row>
    <row r="20" spans="1:17" x14ac:dyDescent="0.45">
      <c r="A20" s="51" t="s">
        <v>193</v>
      </c>
      <c r="B20" s="44">
        <v>67</v>
      </c>
      <c r="C20" s="37">
        <f>IF(B$15=0,0,B20/B$15)</f>
        <v>0.28632478632478631</v>
      </c>
      <c r="E20" s="59" t="s">
        <v>85</v>
      </c>
      <c r="F20" s="56" t="s">
        <v>40</v>
      </c>
      <c r="G20" s="44">
        <v>1</v>
      </c>
      <c r="H20" s="129">
        <f>IF(B$15=0,0,G20/B$15)</f>
        <v>4.2735042735042739E-3</v>
      </c>
      <c r="I20" s="90">
        <v>7</v>
      </c>
      <c r="K20" s="36">
        <v>18</v>
      </c>
      <c r="L20" s="95">
        <v>-240</v>
      </c>
      <c r="N20" s="111" t="s">
        <v>126</v>
      </c>
      <c r="O20" s="121">
        <f>IF(P20=0,0,Q20/P20)</f>
        <v>-15.939999999999998</v>
      </c>
      <c r="P20" s="115">
        <v>65</v>
      </c>
      <c r="Q20" s="103">
        <v>-1036.0999999999999</v>
      </c>
    </row>
    <row r="21" spans="1:17" x14ac:dyDescent="0.45">
      <c r="A21" s="51" t="s">
        <v>194</v>
      </c>
      <c r="B21" s="44">
        <v>36</v>
      </c>
      <c r="C21" s="37">
        <f>IF(B$15=0,0,B21/B$15)</f>
        <v>0.15384615384615385</v>
      </c>
      <c r="E21" s="59" t="s">
        <v>91</v>
      </c>
      <c r="F21" s="56" t="s">
        <v>46</v>
      </c>
      <c r="G21" s="44">
        <v>1</v>
      </c>
      <c r="H21" s="129">
        <f>IF(B$15=0,0,G21/B$15)</f>
        <v>4.2735042735042739E-3</v>
      </c>
      <c r="I21" s="90">
        <v>9</v>
      </c>
      <c r="K21" s="36">
        <v>19</v>
      </c>
      <c r="L21" s="95">
        <v>-218</v>
      </c>
      <c r="N21" s="111" t="s">
        <v>127</v>
      </c>
      <c r="O21" s="121">
        <f>IF(P21=0,0,Q21/P21)</f>
        <v>-18.434693877551016</v>
      </c>
      <c r="P21" s="115">
        <v>49</v>
      </c>
      <c r="Q21" s="103">
        <v>-903.29999999999973</v>
      </c>
    </row>
    <row r="22" spans="1:17" x14ac:dyDescent="0.45">
      <c r="A22" s="51" t="s">
        <v>5</v>
      </c>
      <c r="B22" s="48">
        <f>IF(B$15=0,0,C22/B$15)</f>
        <v>7844.0170940170938</v>
      </c>
      <c r="C22" s="39">
        <v>1835500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6</v>
      </c>
      <c r="K22" s="36">
        <v>20</v>
      </c>
      <c r="L22" s="95">
        <v>-177.6</v>
      </c>
      <c r="N22" s="111" t="s">
        <v>200</v>
      </c>
      <c r="O22" s="121">
        <f>IF(P22=0,0,Q22/P22)</f>
        <v>-19.25</v>
      </c>
      <c r="P22" s="115">
        <v>4</v>
      </c>
      <c r="Q22" s="103">
        <v>-77</v>
      </c>
    </row>
    <row r="23" spans="1:17" x14ac:dyDescent="0.45">
      <c r="A23" s="52" t="s">
        <v>177</v>
      </c>
      <c r="B23" s="136">
        <f>IF($B$15-B$14=0,0,C23/($B$15-B$14))</f>
        <v>8441.3173652694604</v>
      </c>
      <c r="C23" s="137">
        <v>1409700</v>
      </c>
      <c r="E23" s="59" t="s">
        <v>74</v>
      </c>
      <c r="F23" s="56" t="s">
        <v>29</v>
      </c>
      <c r="G23" s="44">
        <v>0</v>
      </c>
      <c r="H23" s="129">
        <f>IF(B$15=0,0,G23/B$15)</f>
        <v>0</v>
      </c>
      <c r="I23" s="90">
        <v>7</v>
      </c>
      <c r="K23" s="36">
        <v>21</v>
      </c>
      <c r="L23" s="95">
        <v>-133.30000000000001</v>
      </c>
      <c r="N23" s="111" t="s">
        <v>232</v>
      </c>
      <c r="O23" s="121">
        <f>IF(P23=0,0,Q23/P23)</f>
        <v>-56.6</v>
      </c>
      <c r="P23" s="115">
        <v>1</v>
      </c>
      <c r="Q23" s="103">
        <v>-56.6</v>
      </c>
    </row>
    <row r="24" spans="1:17" x14ac:dyDescent="0.45">
      <c r="A24" s="52" t="s">
        <v>178</v>
      </c>
      <c r="B24" s="136">
        <f>IF(B$14=0,0,C24/B$14)</f>
        <v>6355.2238805970146</v>
      </c>
      <c r="C24" s="137">
        <v>425800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-7839.375</v>
      </c>
      <c r="C25" s="137">
        <v>-1254300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8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3.4052213393870601E-3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18</v>
      </c>
      <c r="C32" s="141">
        <f>IF(B$15=0,0,B32/B$15)</f>
        <v>7.6923076923076927E-2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2">IF(B$15=0,0,B33/B$15)</f>
        <v>0.16666666666666666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53</v>
      </c>
      <c r="C34" s="37">
        <f>IF(B$15=0,0,B34/B$15)</f>
        <v>0.2264957264957265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36</v>
      </c>
      <c r="C35" s="37">
        <f t="shared" si="2"/>
        <v>0.15384615384615385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6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40</v>
      </c>
      <c r="C36" s="37">
        <f t="shared" si="2"/>
        <v>0.17094017094017094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23</v>
      </c>
      <c r="C37" s="37">
        <f t="shared" si="2"/>
        <v>9.8290598290598288E-2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14</v>
      </c>
      <c r="C38" s="37">
        <f t="shared" si="2"/>
        <v>5.9829059829059832E-2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7</v>
      </c>
      <c r="C39" s="37">
        <f t="shared" si="2"/>
        <v>2.9914529914529916E-2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1</v>
      </c>
      <c r="C40" s="37">
        <f t="shared" si="2"/>
        <v>4.2735042735042739E-3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2"/>
        <v>4.2735042735042739E-3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2"/>
        <v>8.5470085470085479E-3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  <row r="89" spans="11:12" x14ac:dyDescent="0.45">
      <c r="K89" s="36">
        <v>87</v>
      </c>
      <c r="L89" s="95">
        <v>-549.60000000000014</v>
      </c>
    </row>
    <row r="90" spans="11:12" x14ac:dyDescent="0.45">
      <c r="K90" s="36">
        <v>88</v>
      </c>
      <c r="L90" s="95">
        <v>-511.50000000000011</v>
      </c>
    </row>
    <row r="91" spans="11:12" x14ac:dyDescent="0.45">
      <c r="K91" s="36">
        <v>89</v>
      </c>
      <c r="L91" s="95">
        <v>-515.30000000000007</v>
      </c>
    </row>
    <row r="92" spans="11:12" x14ac:dyDescent="0.45">
      <c r="K92" s="36">
        <v>90</v>
      </c>
      <c r="L92" s="95">
        <v>-557.1</v>
      </c>
    </row>
    <row r="93" spans="11:12" x14ac:dyDescent="0.45">
      <c r="K93" s="36">
        <v>91</v>
      </c>
      <c r="L93" s="95">
        <v>-583.4</v>
      </c>
    </row>
    <row r="94" spans="11:12" x14ac:dyDescent="0.45">
      <c r="K94" s="36">
        <v>92</v>
      </c>
      <c r="L94" s="95">
        <v>-588.19999999999993</v>
      </c>
    </row>
    <row r="95" spans="11:12" x14ac:dyDescent="0.45">
      <c r="K95" s="36">
        <v>93</v>
      </c>
      <c r="L95" s="95">
        <v>-627.79999999999995</v>
      </c>
    </row>
    <row r="96" spans="11:12" x14ac:dyDescent="0.45">
      <c r="K96" s="36">
        <v>94</v>
      </c>
      <c r="L96" s="95">
        <v>-618.29999999999995</v>
      </c>
    </row>
    <row r="97" spans="11:12" x14ac:dyDescent="0.45">
      <c r="K97" s="36">
        <v>95</v>
      </c>
      <c r="L97" s="95">
        <v>-599.19999999999993</v>
      </c>
    </row>
    <row r="98" spans="11:12" x14ac:dyDescent="0.45">
      <c r="K98" s="36">
        <v>96</v>
      </c>
      <c r="L98" s="95">
        <v>-631.19999999999993</v>
      </c>
    </row>
    <row r="99" spans="11:12" x14ac:dyDescent="0.45">
      <c r="K99" s="36">
        <v>97</v>
      </c>
      <c r="L99" s="95">
        <v>-673.49999999999989</v>
      </c>
    </row>
    <row r="100" spans="11:12" x14ac:dyDescent="0.45">
      <c r="K100" s="36">
        <v>98</v>
      </c>
      <c r="L100" s="95">
        <v>-700.69999999999993</v>
      </c>
    </row>
    <row r="101" spans="11:12" x14ac:dyDescent="0.45">
      <c r="K101" s="36">
        <v>99</v>
      </c>
      <c r="L101" s="95">
        <v>-707.4</v>
      </c>
    </row>
    <row r="102" spans="11:12" x14ac:dyDescent="0.45">
      <c r="K102" s="36">
        <v>100</v>
      </c>
      <c r="L102" s="95">
        <v>-752.69999999999993</v>
      </c>
    </row>
    <row r="103" spans="11:12" x14ac:dyDescent="0.45">
      <c r="K103" s="36">
        <v>101</v>
      </c>
      <c r="L103" s="95">
        <v>-765.99999999999989</v>
      </c>
    </row>
    <row r="104" spans="11:12" x14ac:dyDescent="0.45">
      <c r="K104" s="36">
        <v>102</v>
      </c>
      <c r="L104" s="95">
        <v>-759.19999999999993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9FB1D-B857-407D-974E-6FD1B46B4F40}">
  <sheetPr codeName="Sheet15"/>
  <dimension ref="A1:Q153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151</v>
      </c>
      <c r="C2" s="155"/>
      <c r="E2" s="58" t="s">
        <v>66</v>
      </c>
      <c r="F2" s="55" t="s">
        <v>22</v>
      </c>
      <c r="G2" s="43">
        <v>301</v>
      </c>
      <c r="H2" s="128">
        <f>IF(B$15=0,0,G2/B$15)</f>
        <v>0.90936555891238668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1629.3333333333333</v>
      </c>
      <c r="P2" s="114">
        <v>150</v>
      </c>
      <c r="Q2" s="98">
        <v>244400</v>
      </c>
    </row>
    <row r="3" spans="1:17" x14ac:dyDescent="0.45">
      <c r="A3" s="51" t="s">
        <v>8</v>
      </c>
      <c r="B3" s="156">
        <v>1209</v>
      </c>
      <c r="C3" s="157"/>
      <c r="E3" s="59" t="s">
        <v>72</v>
      </c>
      <c r="F3" s="56" t="s">
        <v>27</v>
      </c>
      <c r="G3" s="44">
        <v>184</v>
      </c>
      <c r="H3" s="129">
        <f>IF(B$15=0,0,G3/B$15)</f>
        <v>0.5558912386706949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-2154.4217687074829</v>
      </c>
      <c r="P3" s="115">
        <v>147</v>
      </c>
      <c r="Q3" s="99">
        <v>-316700</v>
      </c>
    </row>
    <row r="4" spans="1:17" x14ac:dyDescent="0.45">
      <c r="A4" s="51" t="s">
        <v>6</v>
      </c>
      <c r="B4" s="158">
        <v>593.50000000000057</v>
      </c>
      <c r="C4" s="159"/>
      <c r="E4" s="59" t="s">
        <v>64</v>
      </c>
      <c r="F4" s="56" t="s">
        <v>20</v>
      </c>
      <c r="G4" s="44">
        <v>178</v>
      </c>
      <c r="H4" s="129">
        <f>IF(B$15=0,0,G4/B$15)</f>
        <v>0.53776435045317217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118.79699248120301</v>
      </c>
      <c r="P4" s="115">
        <v>133</v>
      </c>
      <c r="Q4" s="99">
        <v>15800</v>
      </c>
    </row>
    <row r="5" spans="1:17" x14ac:dyDescent="0.45">
      <c r="A5" s="51" t="s">
        <v>7</v>
      </c>
      <c r="B5" s="160">
        <f>IF(B$2=0,0,B$4/B$2)</f>
        <v>3.9304635761589442</v>
      </c>
      <c r="C5" s="161"/>
      <c r="E5" s="59" t="s">
        <v>67</v>
      </c>
      <c r="F5" s="56" t="s">
        <v>23</v>
      </c>
      <c r="G5" s="44">
        <v>130</v>
      </c>
      <c r="H5" s="129">
        <f>IF(B$15=0,0,G5/B$15)</f>
        <v>0.39274924471299094</v>
      </c>
      <c r="I5" s="90">
        <v>5</v>
      </c>
      <c r="K5" s="36">
        <v>3</v>
      </c>
      <c r="L5" s="95">
        <v>-113.8</v>
      </c>
      <c r="N5" s="111" t="s">
        <v>133</v>
      </c>
      <c r="O5" s="118">
        <f t="shared" si="0"/>
        <v>2176.2295081967213</v>
      </c>
      <c r="P5" s="115">
        <v>122</v>
      </c>
      <c r="Q5" s="99">
        <v>265500</v>
      </c>
    </row>
    <row r="6" spans="1:17" x14ac:dyDescent="0.45">
      <c r="A6" s="51" t="s">
        <v>1</v>
      </c>
      <c r="B6" s="150">
        <f>IF(B$2=0,0,(B$7*1+B$8*2+B$9*3)/B$2)</f>
        <v>1.9271523178807948</v>
      </c>
      <c r="C6" s="151"/>
      <c r="E6" s="59" t="s">
        <v>68</v>
      </c>
      <c r="F6" s="56" t="s">
        <v>12</v>
      </c>
      <c r="G6" s="44">
        <v>129</v>
      </c>
      <c r="H6" s="129">
        <f>IF(B$15=0,0,G6/B$15)</f>
        <v>0.38972809667673713</v>
      </c>
      <c r="I6" s="90">
        <v>3</v>
      </c>
      <c r="K6" s="36">
        <v>4</v>
      </c>
      <c r="L6" s="95">
        <v>-74.599999999999994</v>
      </c>
      <c r="N6" s="111" t="s">
        <v>134</v>
      </c>
      <c r="O6" s="118">
        <f t="shared" si="0"/>
        <v>1425.4545454545455</v>
      </c>
      <c r="P6" s="115">
        <v>110</v>
      </c>
      <c r="Q6" s="99">
        <v>156800</v>
      </c>
    </row>
    <row r="7" spans="1:17" x14ac:dyDescent="0.45">
      <c r="A7" s="51" t="s">
        <v>2</v>
      </c>
      <c r="B7" s="44">
        <v>59</v>
      </c>
      <c r="C7" s="37">
        <f t="shared" ref="C7:C10" si="1">IF(B$2=0,0,B7/B$2)</f>
        <v>0.39072847682119205</v>
      </c>
      <c r="E7" s="59" t="s">
        <v>166</v>
      </c>
      <c r="F7" s="56" t="s">
        <v>167</v>
      </c>
      <c r="G7" s="44">
        <v>126</v>
      </c>
      <c r="H7" s="129">
        <f>IF(B$15=0,0,G7/B$15)</f>
        <v>0.38066465256797583</v>
      </c>
      <c r="I7" s="90">
        <v>9</v>
      </c>
      <c r="K7" s="36">
        <v>5</v>
      </c>
      <c r="L7" s="95">
        <v>-118.3</v>
      </c>
      <c r="N7" s="112" t="s">
        <v>135</v>
      </c>
      <c r="O7" s="119">
        <f t="shared" si="0"/>
        <v>472.61904761904759</v>
      </c>
      <c r="P7" s="116">
        <v>84</v>
      </c>
      <c r="Q7" s="100">
        <v>39700</v>
      </c>
    </row>
    <row r="8" spans="1:17" x14ac:dyDescent="0.45">
      <c r="A8" s="51" t="s">
        <v>3</v>
      </c>
      <c r="B8" s="44">
        <v>44</v>
      </c>
      <c r="C8" s="37">
        <f t="shared" si="1"/>
        <v>0.29139072847682118</v>
      </c>
      <c r="E8" s="59" t="s">
        <v>89</v>
      </c>
      <c r="F8" s="56" t="s">
        <v>44</v>
      </c>
      <c r="G8" s="44">
        <v>83</v>
      </c>
      <c r="H8" s="129">
        <f>IF(B$15=0,0,G8/B$15)</f>
        <v>0.25075528700906347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48</v>
      </c>
      <c r="C9" s="38">
        <f t="shared" si="1"/>
        <v>0.31788079470198677</v>
      </c>
      <c r="E9" s="59" t="s">
        <v>69</v>
      </c>
      <c r="F9" s="56" t="s">
        <v>24</v>
      </c>
      <c r="G9" s="44">
        <v>68</v>
      </c>
      <c r="H9" s="129">
        <f>IF(B$15=0,0,G9/B$15)</f>
        <v>0.20543806646525681</v>
      </c>
      <c r="I9" s="90">
        <v>3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19</v>
      </c>
      <c r="C10" s="40">
        <f t="shared" si="1"/>
        <v>0.12582781456953643</v>
      </c>
      <c r="E10" s="59" t="s">
        <v>65</v>
      </c>
      <c r="F10" s="56" t="s">
        <v>21</v>
      </c>
      <c r="G10" s="44">
        <v>47</v>
      </c>
      <c r="H10" s="129">
        <f>IF(B$15=0,0,G10/B$15)</f>
        <v>0.1419939577039275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-8.7357142857142858</v>
      </c>
      <c r="P10" s="114">
        <v>42</v>
      </c>
      <c r="Q10" s="102">
        <v>-366.9</v>
      </c>
    </row>
    <row r="11" spans="1:17" x14ac:dyDescent="0.45">
      <c r="A11" s="54" t="s">
        <v>121</v>
      </c>
      <c r="B11" s="47">
        <v>357</v>
      </c>
      <c r="C11" s="42">
        <f>IF(B$3=0,0,B11/B$3)</f>
        <v>0.29528535980148884</v>
      </c>
      <c r="E11" s="59" t="s">
        <v>70</v>
      </c>
      <c r="F11" s="56" t="s">
        <v>25</v>
      </c>
      <c r="G11" s="44">
        <v>41</v>
      </c>
      <c r="H11" s="129">
        <f>IF(B$15=0,0,G11/B$15)</f>
        <v>0.12386706948640483</v>
      </c>
      <c r="I11" s="90">
        <v>4</v>
      </c>
      <c r="K11" s="36">
        <v>9</v>
      </c>
      <c r="L11" s="95">
        <v>-120.99999999999999</v>
      </c>
      <c r="N11" s="111" t="s">
        <v>158</v>
      </c>
      <c r="O11" s="121">
        <f>IF(P11=0,0,Q11/P11)</f>
        <v>6.2339285714285699</v>
      </c>
      <c r="P11" s="115">
        <v>56</v>
      </c>
      <c r="Q11" s="103">
        <v>349.09999999999991</v>
      </c>
    </row>
    <row r="12" spans="1:17" x14ac:dyDescent="0.45">
      <c r="A12" s="51" t="s">
        <v>118</v>
      </c>
      <c r="B12" s="44">
        <v>224</v>
      </c>
      <c r="C12" s="37">
        <f>IF(B$3=0,0,B12/B$3)</f>
        <v>0.18527708850289495</v>
      </c>
      <c r="E12" s="59" t="s">
        <v>71</v>
      </c>
      <c r="F12" s="56" t="s">
        <v>26</v>
      </c>
      <c r="G12" s="44">
        <v>20</v>
      </c>
      <c r="H12" s="129">
        <f>IF(B$15=0,0,G12/B$15)</f>
        <v>6.0422960725075532E-2</v>
      </c>
      <c r="I12" s="90">
        <v>11</v>
      </c>
      <c r="K12" s="36">
        <v>10</v>
      </c>
      <c r="L12" s="95">
        <v>-113.29999999999998</v>
      </c>
      <c r="N12" s="112" t="s">
        <v>159</v>
      </c>
      <c r="O12" s="122">
        <f>IF(P12=0,0,Q12/P12)</f>
        <v>11.533962264150945</v>
      </c>
      <c r="P12" s="116">
        <v>53</v>
      </c>
      <c r="Q12" s="104">
        <v>611.30000000000007</v>
      </c>
    </row>
    <row r="13" spans="1:17" x14ac:dyDescent="0.45">
      <c r="A13" s="50" t="s">
        <v>123</v>
      </c>
      <c r="B13" s="43">
        <f>B19</f>
        <v>193</v>
      </c>
      <c r="C13" s="35">
        <f>IF(B$11=0,0,B13/B$11)</f>
        <v>0.54061624649859941</v>
      </c>
      <c r="E13" s="59" t="s">
        <v>162</v>
      </c>
      <c r="F13" s="56" t="s">
        <v>163</v>
      </c>
      <c r="G13" s="44">
        <v>17</v>
      </c>
      <c r="H13" s="129">
        <f>IF(B$15=0,0,G13/B$15)</f>
        <v>5.1359516616314202E-2</v>
      </c>
      <c r="I13" s="90">
        <v>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86</v>
      </c>
      <c r="C14" s="35">
        <f>IF(B$12=0,0,B14/B$12)</f>
        <v>0.38392857142857145</v>
      </c>
      <c r="E14" s="59" t="s">
        <v>86</v>
      </c>
      <c r="F14" s="56" t="s">
        <v>41</v>
      </c>
      <c r="G14" s="44">
        <v>12</v>
      </c>
      <c r="H14" s="129">
        <f>IF(B$15=0,0,G14/B$15)</f>
        <v>3.6253776435045321E-2</v>
      </c>
      <c r="I14" s="90">
        <v>9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331</v>
      </c>
      <c r="C15" s="35">
        <f>IF(B$3=0,0,B15/B$3)</f>
        <v>0.27377998345740279</v>
      </c>
      <c r="E15" s="59" t="s">
        <v>83</v>
      </c>
      <c r="F15" s="56" t="s">
        <v>38</v>
      </c>
      <c r="G15" s="44">
        <v>10</v>
      </c>
      <c r="H15" s="129">
        <f>IF(B$15=0,0,G15/B$15)</f>
        <v>3.0211480362537766E-2</v>
      </c>
      <c r="I15" s="90">
        <v>11</v>
      </c>
      <c r="K15" s="36">
        <v>13</v>
      </c>
      <c r="L15" s="95">
        <v>-132.39999999999998</v>
      </c>
      <c r="N15" s="110" t="s">
        <v>232</v>
      </c>
      <c r="O15" s="120">
        <f t="shared" ref="O15:O23" si="2"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210</v>
      </c>
      <c r="C16" s="37">
        <f>IF(B$3=0,0,B16/B$3)</f>
        <v>0.17369727047146402</v>
      </c>
      <c r="E16" s="59" t="s">
        <v>91</v>
      </c>
      <c r="F16" s="56" t="s">
        <v>46</v>
      </c>
      <c r="G16" s="44">
        <v>8</v>
      </c>
      <c r="H16" s="129">
        <f>IF(B$15=0,0,G16/B$15)</f>
        <v>2.4169184290030211E-2</v>
      </c>
      <c r="I16" s="90">
        <v>3</v>
      </c>
      <c r="K16" s="36">
        <v>14</v>
      </c>
      <c r="L16" s="95">
        <v>-86.499999999999972</v>
      </c>
      <c r="N16" s="111" t="s">
        <v>161</v>
      </c>
      <c r="O16" s="121">
        <f t="shared" si="2"/>
        <v>30.664516129032261</v>
      </c>
      <c r="P16" s="115">
        <v>31</v>
      </c>
      <c r="Q16" s="103">
        <v>950.60000000000014</v>
      </c>
    </row>
    <row r="17" spans="1:17" x14ac:dyDescent="0.45">
      <c r="A17" s="51" t="s">
        <v>12</v>
      </c>
      <c r="B17" s="44">
        <v>169</v>
      </c>
      <c r="C17" s="37">
        <f>IF(B$15=0,0,B17/B$15)</f>
        <v>0.51057401812688818</v>
      </c>
      <c r="E17" s="59" t="s">
        <v>81</v>
      </c>
      <c r="F17" s="56" t="s">
        <v>36</v>
      </c>
      <c r="G17" s="44">
        <v>6</v>
      </c>
      <c r="H17" s="129">
        <f>IF(B$15=0,0,G17/B$15)</f>
        <v>1.812688821752266E-2</v>
      </c>
      <c r="I17" s="90">
        <v>7</v>
      </c>
      <c r="K17" s="36">
        <v>15</v>
      </c>
      <c r="L17" s="95">
        <v>-101.79999999999997</v>
      </c>
      <c r="N17" s="111" t="s">
        <v>197</v>
      </c>
      <c r="O17" s="121">
        <f t="shared" si="2"/>
        <v>13.593548387096776</v>
      </c>
      <c r="P17" s="115">
        <v>31</v>
      </c>
      <c r="Q17" s="103">
        <v>421.40000000000003</v>
      </c>
    </row>
    <row r="18" spans="1:17" x14ac:dyDescent="0.45">
      <c r="A18" s="51" t="s">
        <v>11</v>
      </c>
      <c r="B18" s="44">
        <v>162</v>
      </c>
      <c r="C18" s="37">
        <f>IF(B$15=0,0,B18/B$15)</f>
        <v>0.48942598187311176</v>
      </c>
      <c r="E18" s="59" t="s">
        <v>92</v>
      </c>
      <c r="F18" s="56" t="s">
        <v>47</v>
      </c>
      <c r="G18" s="44">
        <v>6</v>
      </c>
      <c r="H18" s="129">
        <f>IF(B$15=0,0,G18/B$15)</f>
        <v>1.812688821752266E-2</v>
      </c>
      <c r="I18" s="90">
        <v>1</v>
      </c>
      <c r="K18" s="36">
        <v>16</v>
      </c>
      <c r="L18" s="95">
        <v>-63.099999999999966</v>
      </c>
      <c r="N18" s="111" t="s">
        <v>171</v>
      </c>
      <c r="O18" s="121">
        <f t="shared" si="2"/>
        <v>8.5328571428571429</v>
      </c>
      <c r="P18" s="115">
        <v>70</v>
      </c>
      <c r="Q18" s="103">
        <v>597.29999999999995</v>
      </c>
    </row>
    <row r="19" spans="1:17" x14ac:dyDescent="0.45">
      <c r="A19" s="51" t="s">
        <v>195</v>
      </c>
      <c r="B19" s="44">
        <v>193</v>
      </c>
      <c r="C19" s="37">
        <f>IF(B$15=0,0,B19/B$15)</f>
        <v>0.58308157099697888</v>
      </c>
      <c r="E19" s="59" t="s">
        <v>78</v>
      </c>
      <c r="F19" s="56" t="s">
        <v>33</v>
      </c>
      <c r="G19" s="44">
        <v>5</v>
      </c>
      <c r="H19" s="129">
        <f>IF(B$15=0,0,G19/B$15)</f>
        <v>1.5105740181268883E-2</v>
      </c>
      <c r="I19" s="90">
        <v>8</v>
      </c>
      <c r="K19" s="36">
        <v>17</v>
      </c>
      <c r="L19" s="95">
        <v>-55.799999999999969</v>
      </c>
      <c r="N19" s="111" t="s">
        <v>196</v>
      </c>
      <c r="O19" s="121">
        <f t="shared" si="2"/>
        <v>5.1500000000000012</v>
      </c>
      <c r="P19" s="115">
        <v>10</v>
      </c>
      <c r="Q19" s="103">
        <v>51.500000000000014</v>
      </c>
    </row>
    <row r="20" spans="1:17" x14ac:dyDescent="0.45">
      <c r="A20" s="51" t="s">
        <v>193</v>
      </c>
      <c r="B20" s="44">
        <v>86</v>
      </c>
      <c r="C20" s="37">
        <f>IF(B$15=0,0,B20/B$15)</f>
        <v>0.25981873111782477</v>
      </c>
      <c r="E20" s="59" t="s">
        <v>79</v>
      </c>
      <c r="F20" s="56" t="s">
        <v>34</v>
      </c>
      <c r="G20" s="44">
        <v>4</v>
      </c>
      <c r="H20" s="129">
        <f>IF(B$15=0,0,G20/B$15)</f>
        <v>1.2084592145015106E-2</v>
      </c>
      <c r="I20" s="90">
        <v>8</v>
      </c>
      <c r="K20" s="36">
        <v>18</v>
      </c>
      <c r="L20" s="95">
        <v>-24.999999999999968</v>
      </c>
      <c r="N20" s="111" t="s">
        <v>127</v>
      </c>
      <c r="O20" s="121">
        <f t="shared" si="2"/>
        <v>3.008333333333332</v>
      </c>
      <c r="P20" s="115">
        <v>60</v>
      </c>
      <c r="Q20" s="103">
        <v>180.49999999999991</v>
      </c>
    </row>
    <row r="21" spans="1:17" x14ac:dyDescent="0.45">
      <c r="A21" s="51" t="s">
        <v>194</v>
      </c>
      <c r="B21" s="44">
        <v>52</v>
      </c>
      <c r="C21" s="37">
        <f>IF(B$15=0,0,B21/B$15)</f>
        <v>0.15709969788519637</v>
      </c>
      <c r="E21" s="59" t="s">
        <v>84</v>
      </c>
      <c r="F21" s="56" t="s">
        <v>39</v>
      </c>
      <c r="G21" s="44">
        <v>3</v>
      </c>
      <c r="H21" s="129">
        <f>IF(B$15=0,0,G21/B$15)</f>
        <v>9.0634441087613302E-3</v>
      </c>
      <c r="I21" s="90">
        <v>1</v>
      </c>
      <c r="K21" s="36">
        <v>19</v>
      </c>
      <c r="L21" s="95">
        <v>-27.799999999999969</v>
      </c>
      <c r="N21" s="111" t="s">
        <v>200</v>
      </c>
      <c r="O21" s="121">
        <f t="shared" si="2"/>
        <v>-2.910000000000001</v>
      </c>
      <c r="P21" s="115">
        <v>10</v>
      </c>
      <c r="Q21" s="103">
        <v>-29.100000000000009</v>
      </c>
    </row>
    <row r="22" spans="1:17" x14ac:dyDescent="0.45">
      <c r="A22" s="51" t="s">
        <v>5</v>
      </c>
      <c r="B22" s="48">
        <f>IF(B$15=0,0,C22/B$15)</f>
        <v>11139.2749244713</v>
      </c>
      <c r="C22" s="39">
        <v>3687100</v>
      </c>
      <c r="E22" s="59" t="s">
        <v>85</v>
      </c>
      <c r="F22" s="56" t="s">
        <v>40</v>
      </c>
      <c r="G22" s="44">
        <v>3</v>
      </c>
      <c r="H22" s="129">
        <f>IF(B$15=0,0,G22/B$15)</f>
        <v>9.0634441087613302E-3</v>
      </c>
      <c r="I22" s="90">
        <v>3</v>
      </c>
      <c r="K22" s="36">
        <v>20</v>
      </c>
      <c r="L22" s="95">
        <v>-50.39999999999997</v>
      </c>
      <c r="N22" s="111" t="s">
        <v>172</v>
      </c>
      <c r="O22" s="121">
        <f t="shared" si="2"/>
        <v>-2.9208333333333338</v>
      </c>
      <c r="P22" s="115">
        <v>24</v>
      </c>
      <c r="Q22" s="103">
        <v>-70.100000000000009</v>
      </c>
    </row>
    <row r="23" spans="1:17" x14ac:dyDescent="0.45">
      <c r="A23" s="52" t="s">
        <v>177</v>
      </c>
      <c r="B23" s="136">
        <f>IF($B$15-B$14=0,0,C23/($B$15-B$14))</f>
        <v>11802.040816326531</v>
      </c>
      <c r="C23" s="137">
        <v>2891500</v>
      </c>
      <c r="E23" s="59" t="s">
        <v>73</v>
      </c>
      <c r="F23" s="56" t="s">
        <v>28</v>
      </c>
      <c r="G23" s="44">
        <v>2</v>
      </c>
      <c r="H23" s="129">
        <f>IF(B$15=0,0,G23/B$15)</f>
        <v>6.0422960725075529E-3</v>
      </c>
      <c r="I23" s="90">
        <v>3</v>
      </c>
      <c r="K23" s="36">
        <v>21</v>
      </c>
      <c r="L23" s="95">
        <v>-59.89999999999997</v>
      </c>
      <c r="N23" s="111" t="s">
        <v>126</v>
      </c>
      <c r="O23" s="121">
        <f t="shared" si="2"/>
        <v>-6.9203125000000014</v>
      </c>
      <c r="P23" s="115">
        <v>64</v>
      </c>
      <c r="Q23" s="103">
        <v>-442.90000000000009</v>
      </c>
    </row>
    <row r="24" spans="1:17" x14ac:dyDescent="0.45">
      <c r="A24" s="52" t="s">
        <v>178</v>
      </c>
      <c r="B24" s="136">
        <f>IF(B$14=0,0,C24/B$14)</f>
        <v>9251.1627906976737</v>
      </c>
      <c r="C24" s="137">
        <v>795600</v>
      </c>
      <c r="E24" s="59" t="s">
        <v>75</v>
      </c>
      <c r="F24" s="56" t="s">
        <v>30</v>
      </c>
      <c r="G24" s="44">
        <v>2</v>
      </c>
      <c r="H24" s="129">
        <f>IF(B$15=0,0,G24/B$15)</f>
        <v>6.0422960725075529E-3</v>
      </c>
      <c r="I24" s="90">
        <v>7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-8387.1428571428569</v>
      </c>
      <c r="C25" s="137">
        <v>-1761300</v>
      </c>
      <c r="E25" s="59" t="s">
        <v>90</v>
      </c>
      <c r="F25" s="56" t="s">
        <v>45</v>
      </c>
      <c r="G25" s="44">
        <v>2</v>
      </c>
      <c r="H25" s="129">
        <f>IF(B$15=0,0,G25/B$15)</f>
        <v>6.0422960725075529E-3</v>
      </c>
      <c r="I25" s="90">
        <v>1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77</v>
      </c>
      <c r="F26" s="56" t="s">
        <v>32</v>
      </c>
      <c r="G26" s="44">
        <v>1</v>
      </c>
      <c r="H26" s="129">
        <f>IF(B$15=0,0,G26/B$15)</f>
        <v>3.0211480362537764E-3</v>
      </c>
      <c r="I26" s="90">
        <v>3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0</v>
      </c>
      <c r="E27" s="59" t="s">
        <v>88</v>
      </c>
      <c r="F27" s="56" t="s">
        <v>43</v>
      </c>
      <c r="G27" s="44">
        <v>1</v>
      </c>
      <c r="H27" s="129">
        <f>IF(B$15=0,0,G27/B$15)</f>
        <v>3.0211480362537764E-3</v>
      </c>
      <c r="I27" s="90">
        <v>4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93</v>
      </c>
      <c r="F28" s="56" t="s">
        <v>48</v>
      </c>
      <c r="G28" s="44">
        <v>1</v>
      </c>
      <c r="H28" s="129">
        <f>IF(B$15=0,0,G28/B$15)</f>
        <v>3.0211480362537764E-3</v>
      </c>
      <c r="I28" s="90">
        <v>2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46">
        <v>122100</v>
      </c>
      <c r="C29" s="147"/>
      <c r="E29" s="59" t="s">
        <v>95</v>
      </c>
      <c r="F29" s="56" t="s">
        <v>50</v>
      </c>
      <c r="G29" s="44">
        <v>1</v>
      </c>
      <c r="H29" s="129">
        <f>IF(B$15=0,0,G29/B$15)</f>
        <v>3.0211480362537764E-3</v>
      </c>
      <c r="I29" s="90">
        <v>3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2</v>
      </c>
      <c r="C30" s="40">
        <f>IF(B$3=0,0,B30/B$3)</f>
        <v>1.6542597187758478E-3</v>
      </c>
      <c r="E30" s="59" t="s">
        <v>97</v>
      </c>
      <c r="F30" s="56" t="s">
        <v>52</v>
      </c>
      <c r="G30" s="44">
        <v>1</v>
      </c>
      <c r="H30" s="129">
        <f>IF(B$15=0,0,G30/B$15)</f>
        <v>3.0211480362537764E-3</v>
      </c>
      <c r="I30" s="90">
        <v>1</v>
      </c>
      <c r="K30" s="36">
        <v>28</v>
      </c>
      <c r="L30" s="95">
        <v>-10.999999999999972</v>
      </c>
    </row>
    <row r="31" spans="1:17" x14ac:dyDescent="0.45">
      <c r="E31" s="59" t="s">
        <v>74</v>
      </c>
      <c r="F31" s="56" t="s">
        <v>29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9</v>
      </c>
      <c r="C32" s="141">
        <f>IF(B$15=0,0,B32/B$15)</f>
        <v>2.7190332326283987E-2</v>
      </c>
      <c r="E32" s="59" t="s">
        <v>76</v>
      </c>
      <c r="F32" s="56" t="s">
        <v>31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25</v>
      </c>
      <c r="C33" s="37">
        <f t="shared" ref="C33:C44" si="3">IF(B$15=0,0,B33/B$15)</f>
        <v>7.5528700906344406E-2</v>
      </c>
      <c r="E33" s="59" t="s">
        <v>80</v>
      </c>
      <c r="F33" s="56" t="s">
        <v>35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44</v>
      </c>
      <c r="C34" s="37">
        <f>IF(B$15=0,0,B34/B$15)</f>
        <v>0.13293051359516617</v>
      </c>
      <c r="E34" s="59" t="s">
        <v>82</v>
      </c>
      <c r="F34" s="56" t="s">
        <v>37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61</v>
      </c>
      <c r="C35" s="37">
        <f t="shared" si="3"/>
        <v>0.18429003021148035</v>
      </c>
      <c r="E35" s="59" t="s">
        <v>87</v>
      </c>
      <c r="F35" s="56" t="s">
        <v>42</v>
      </c>
      <c r="G35" s="44">
        <v>0</v>
      </c>
      <c r="H35" s="129">
        <f>IF(B$15=0,0,G35/B$15)</f>
        <v>0</v>
      </c>
      <c r="I35" s="90">
        <v>7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72</v>
      </c>
      <c r="C36" s="37">
        <f t="shared" si="3"/>
        <v>0.2175226586102719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47</v>
      </c>
      <c r="C37" s="37">
        <f t="shared" si="3"/>
        <v>0.1419939577039275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25</v>
      </c>
      <c r="C38" s="37">
        <f t="shared" si="3"/>
        <v>7.5528700906344406E-2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21</v>
      </c>
      <c r="C39" s="37">
        <f t="shared" si="3"/>
        <v>6.3444108761329304E-2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9</v>
      </c>
      <c r="C40" s="37">
        <f t="shared" si="3"/>
        <v>2.7190332326283987E-2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3</v>
      </c>
      <c r="C41" s="37">
        <f t="shared" si="3"/>
        <v>9.0634441087613302E-3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3</v>
      </c>
      <c r="C42" s="37">
        <f t="shared" si="3"/>
        <v>9.0634441087613302E-3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3"/>
        <v>3.0211480362537764E-3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11</v>
      </c>
      <c r="C44" s="40">
        <f t="shared" si="3"/>
        <v>3.3232628398791542E-2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  <row r="102" spans="11:12" x14ac:dyDescent="0.45">
      <c r="K102" s="36">
        <v>100</v>
      </c>
      <c r="L102" s="95">
        <v>350.30000000000018</v>
      </c>
    </row>
    <row r="103" spans="11:12" x14ac:dyDescent="0.45">
      <c r="K103" s="36">
        <v>101</v>
      </c>
      <c r="L103" s="95">
        <v>344.9000000000002</v>
      </c>
    </row>
    <row r="104" spans="11:12" x14ac:dyDescent="0.45">
      <c r="K104" s="36">
        <v>102</v>
      </c>
      <c r="L104" s="95">
        <v>359.50000000000023</v>
      </c>
    </row>
    <row r="105" spans="11:12" x14ac:dyDescent="0.45">
      <c r="K105" s="36">
        <v>103</v>
      </c>
      <c r="L105" s="95">
        <v>402.30000000000024</v>
      </c>
    </row>
    <row r="106" spans="11:12" x14ac:dyDescent="0.45">
      <c r="K106" s="36">
        <v>104</v>
      </c>
      <c r="L106" s="95">
        <v>408.90000000000026</v>
      </c>
    </row>
    <row r="107" spans="11:12" x14ac:dyDescent="0.45">
      <c r="K107" s="36">
        <v>105</v>
      </c>
      <c r="L107" s="95">
        <v>372.30000000000024</v>
      </c>
    </row>
    <row r="108" spans="11:12" x14ac:dyDescent="0.45">
      <c r="K108" s="36">
        <v>106</v>
      </c>
      <c r="L108" s="95">
        <v>395.80000000000024</v>
      </c>
    </row>
    <row r="109" spans="11:12" x14ac:dyDescent="0.45">
      <c r="K109" s="36">
        <v>107</v>
      </c>
      <c r="L109" s="95">
        <v>438.20000000000022</v>
      </c>
    </row>
    <row r="110" spans="11:12" x14ac:dyDescent="0.45">
      <c r="K110" s="36">
        <v>108</v>
      </c>
      <c r="L110" s="95">
        <v>471.10000000000019</v>
      </c>
    </row>
    <row r="111" spans="11:12" x14ac:dyDescent="0.45">
      <c r="K111" s="36">
        <v>109</v>
      </c>
      <c r="L111" s="95">
        <v>509.00000000000017</v>
      </c>
    </row>
    <row r="112" spans="11:12" x14ac:dyDescent="0.45">
      <c r="K112" s="36">
        <v>110</v>
      </c>
      <c r="L112" s="95">
        <v>522.50000000000023</v>
      </c>
    </row>
    <row r="113" spans="11:12" x14ac:dyDescent="0.45">
      <c r="K113" s="36">
        <v>111</v>
      </c>
      <c r="L113" s="95">
        <v>600.80000000000018</v>
      </c>
    </row>
    <row r="114" spans="11:12" x14ac:dyDescent="0.45">
      <c r="K114" s="36">
        <v>112</v>
      </c>
      <c r="L114" s="95">
        <v>616.4000000000002</v>
      </c>
    </row>
    <row r="115" spans="11:12" x14ac:dyDescent="0.45">
      <c r="K115" s="36">
        <v>113</v>
      </c>
      <c r="L115" s="95">
        <v>638.10000000000025</v>
      </c>
    </row>
    <row r="116" spans="11:12" x14ac:dyDescent="0.45">
      <c r="K116" s="36">
        <v>114</v>
      </c>
      <c r="L116" s="95">
        <v>637.10000000000025</v>
      </c>
    </row>
    <row r="117" spans="11:12" x14ac:dyDescent="0.45">
      <c r="K117" s="36">
        <v>115</v>
      </c>
      <c r="L117" s="95">
        <v>581.10000000000025</v>
      </c>
    </row>
    <row r="118" spans="11:12" x14ac:dyDescent="0.45">
      <c r="K118" s="36">
        <v>116</v>
      </c>
      <c r="L118" s="95">
        <v>558.8000000000003</v>
      </c>
    </row>
    <row r="119" spans="11:12" x14ac:dyDescent="0.45">
      <c r="K119" s="36">
        <v>117</v>
      </c>
      <c r="L119" s="95">
        <v>619.00000000000034</v>
      </c>
    </row>
    <row r="120" spans="11:12" x14ac:dyDescent="0.45">
      <c r="K120" s="36">
        <v>118</v>
      </c>
      <c r="L120" s="95">
        <v>706.10000000000036</v>
      </c>
    </row>
    <row r="121" spans="11:12" x14ac:dyDescent="0.45">
      <c r="K121" s="36">
        <v>119</v>
      </c>
      <c r="L121" s="95">
        <v>672.80000000000041</v>
      </c>
    </row>
    <row r="122" spans="11:12" x14ac:dyDescent="0.45">
      <c r="K122" s="36">
        <v>120</v>
      </c>
      <c r="L122" s="95">
        <v>622.40000000000043</v>
      </c>
    </row>
    <row r="123" spans="11:12" x14ac:dyDescent="0.45">
      <c r="K123" s="36">
        <v>121</v>
      </c>
      <c r="L123" s="95">
        <v>623.70000000000039</v>
      </c>
    </row>
    <row r="124" spans="11:12" x14ac:dyDescent="0.45">
      <c r="K124" s="36">
        <v>122</v>
      </c>
      <c r="L124" s="95">
        <v>609.30000000000041</v>
      </c>
    </row>
    <row r="125" spans="11:12" x14ac:dyDescent="0.45">
      <c r="K125" s="36">
        <v>123</v>
      </c>
      <c r="L125" s="95">
        <v>621.50000000000045</v>
      </c>
    </row>
    <row r="126" spans="11:12" x14ac:dyDescent="0.45">
      <c r="K126" s="36">
        <v>124</v>
      </c>
      <c r="L126" s="95">
        <v>571.00000000000045</v>
      </c>
    </row>
    <row r="127" spans="11:12" x14ac:dyDescent="0.45">
      <c r="K127" s="36">
        <v>125</v>
      </c>
      <c r="L127" s="95">
        <v>505.50000000000045</v>
      </c>
    </row>
    <row r="128" spans="11:12" x14ac:dyDescent="0.45">
      <c r="K128" s="36">
        <v>126</v>
      </c>
      <c r="L128" s="95">
        <v>475.00000000000045</v>
      </c>
    </row>
    <row r="129" spans="11:12" x14ac:dyDescent="0.45">
      <c r="K129" s="36">
        <v>127</v>
      </c>
      <c r="L129" s="95">
        <v>531.30000000000041</v>
      </c>
    </row>
    <row r="130" spans="11:12" x14ac:dyDescent="0.45">
      <c r="K130" s="36">
        <v>128</v>
      </c>
      <c r="L130" s="95">
        <v>494.10000000000042</v>
      </c>
    </row>
    <row r="131" spans="11:12" x14ac:dyDescent="0.45">
      <c r="K131" s="36">
        <v>129</v>
      </c>
      <c r="L131" s="95">
        <v>529.80000000000041</v>
      </c>
    </row>
    <row r="132" spans="11:12" x14ac:dyDescent="0.45">
      <c r="K132" s="36">
        <v>130</v>
      </c>
      <c r="L132" s="95">
        <v>512.20000000000039</v>
      </c>
    </row>
    <row r="133" spans="11:12" x14ac:dyDescent="0.45">
      <c r="K133" s="36">
        <v>131</v>
      </c>
      <c r="L133" s="95">
        <v>465.20000000000039</v>
      </c>
    </row>
    <row r="134" spans="11:12" x14ac:dyDescent="0.45">
      <c r="K134" s="36">
        <v>132</v>
      </c>
      <c r="L134" s="95">
        <v>452.20000000000039</v>
      </c>
    </row>
    <row r="135" spans="11:12" x14ac:dyDescent="0.45">
      <c r="K135" s="36">
        <v>133</v>
      </c>
      <c r="L135" s="95">
        <v>512.90000000000043</v>
      </c>
    </row>
    <row r="136" spans="11:12" x14ac:dyDescent="0.45">
      <c r="K136" s="36">
        <v>134</v>
      </c>
      <c r="L136" s="95">
        <v>544.10000000000048</v>
      </c>
    </row>
    <row r="137" spans="11:12" x14ac:dyDescent="0.45">
      <c r="K137" s="36">
        <v>135</v>
      </c>
      <c r="L137" s="95">
        <v>548.60000000000048</v>
      </c>
    </row>
    <row r="138" spans="11:12" x14ac:dyDescent="0.45">
      <c r="K138" s="36">
        <v>136</v>
      </c>
      <c r="L138" s="95">
        <v>555.10000000000048</v>
      </c>
    </row>
    <row r="139" spans="11:12" x14ac:dyDescent="0.45">
      <c r="K139" s="36">
        <v>137</v>
      </c>
      <c r="L139" s="95">
        <v>588.50000000000045</v>
      </c>
    </row>
    <row r="140" spans="11:12" x14ac:dyDescent="0.45">
      <c r="K140" s="36">
        <v>138</v>
      </c>
      <c r="L140" s="95">
        <v>556.7000000000005</v>
      </c>
    </row>
    <row r="141" spans="11:12" x14ac:dyDescent="0.45">
      <c r="K141" s="36">
        <v>139</v>
      </c>
      <c r="L141" s="95">
        <v>581.90000000000055</v>
      </c>
    </row>
    <row r="142" spans="11:12" x14ac:dyDescent="0.45">
      <c r="K142" s="36">
        <v>140</v>
      </c>
      <c r="L142" s="95">
        <v>587.90000000000055</v>
      </c>
    </row>
    <row r="143" spans="11:12" x14ac:dyDescent="0.45">
      <c r="K143" s="36">
        <v>141</v>
      </c>
      <c r="L143" s="95">
        <v>534.90000000000055</v>
      </c>
    </row>
    <row r="144" spans="11:12" x14ac:dyDescent="0.45">
      <c r="K144" s="36">
        <v>142</v>
      </c>
      <c r="L144" s="95">
        <v>551.50000000000057</v>
      </c>
    </row>
    <row r="145" spans="11:12" x14ac:dyDescent="0.45">
      <c r="K145" s="36">
        <v>143</v>
      </c>
      <c r="L145" s="95">
        <v>528.30000000000052</v>
      </c>
    </row>
    <row r="146" spans="11:12" x14ac:dyDescent="0.45">
      <c r="K146" s="36">
        <v>144</v>
      </c>
      <c r="L146" s="95">
        <v>480.90000000000055</v>
      </c>
    </row>
    <row r="147" spans="11:12" x14ac:dyDescent="0.45">
      <c r="K147" s="36">
        <v>145</v>
      </c>
      <c r="L147" s="95">
        <v>496.00000000000057</v>
      </c>
    </row>
    <row r="148" spans="11:12" x14ac:dyDescent="0.45">
      <c r="K148" s="36">
        <v>146</v>
      </c>
      <c r="L148" s="95">
        <v>449.90000000000055</v>
      </c>
    </row>
    <row r="149" spans="11:12" x14ac:dyDescent="0.45">
      <c r="K149" s="36">
        <v>147</v>
      </c>
      <c r="L149" s="95">
        <v>524.00000000000057</v>
      </c>
    </row>
    <row r="150" spans="11:12" x14ac:dyDescent="0.45">
      <c r="K150" s="36">
        <v>148</v>
      </c>
      <c r="L150" s="95">
        <v>514.50000000000057</v>
      </c>
    </row>
    <row r="151" spans="11:12" x14ac:dyDescent="0.45">
      <c r="K151" s="36">
        <v>149</v>
      </c>
      <c r="L151" s="95">
        <v>570.00000000000057</v>
      </c>
    </row>
    <row r="152" spans="11:12" x14ac:dyDescent="0.45">
      <c r="K152" s="36">
        <v>150</v>
      </c>
      <c r="L152" s="95">
        <v>598.20000000000061</v>
      </c>
    </row>
    <row r="153" spans="11:12" x14ac:dyDescent="0.45">
      <c r="K153" s="36">
        <v>151</v>
      </c>
      <c r="L153" s="95">
        <v>593.50000000000057</v>
      </c>
    </row>
  </sheetData>
  <sortState xmlns:xlrd2="http://schemas.microsoft.com/office/spreadsheetml/2017/richdata2" ref="E2:I154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A957E-DF58-4023-8538-060820AA4179}">
  <sheetPr codeName="Sheet17"/>
  <dimension ref="A1:Q158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156</v>
      </c>
      <c r="C2" s="155"/>
      <c r="E2" s="58" t="s">
        <v>66</v>
      </c>
      <c r="F2" s="55" t="s">
        <v>22</v>
      </c>
      <c r="G2" s="43">
        <v>254</v>
      </c>
      <c r="H2" s="128">
        <f>IF(B$15=0,0,G2/B$15)</f>
        <v>0.72571428571428576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-417.94871794871796</v>
      </c>
      <c r="P2" s="114">
        <v>156</v>
      </c>
      <c r="Q2" s="98">
        <v>-65200</v>
      </c>
    </row>
    <row r="3" spans="1:17" x14ac:dyDescent="0.45">
      <c r="A3" s="51" t="s">
        <v>8</v>
      </c>
      <c r="B3" s="156">
        <v>1262</v>
      </c>
      <c r="C3" s="157"/>
      <c r="E3" s="59" t="s">
        <v>72</v>
      </c>
      <c r="F3" s="56" t="s">
        <v>27</v>
      </c>
      <c r="G3" s="44">
        <v>193</v>
      </c>
      <c r="H3" s="129">
        <f>IF(B$15=0,0,G3/B$15)</f>
        <v>0.55142857142857138</v>
      </c>
      <c r="I3" s="90">
        <v>6</v>
      </c>
      <c r="K3" s="36">
        <v>1</v>
      </c>
      <c r="L3" s="95">
        <v>46.9</v>
      </c>
      <c r="N3" s="111" t="s">
        <v>131</v>
      </c>
      <c r="O3" s="118">
        <f t="shared" si="0"/>
        <v>578.43137254901956</v>
      </c>
      <c r="P3" s="115">
        <v>153</v>
      </c>
      <c r="Q3" s="99">
        <v>88500</v>
      </c>
    </row>
    <row r="4" spans="1:17" x14ac:dyDescent="0.45">
      <c r="A4" s="51" t="s">
        <v>6</v>
      </c>
      <c r="B4" s="158">
        <v>-82.1</v>
      </c>
      <c r="C4" s="159"/>
      <c r="E4" s="59" t="s">
        <v>64</v>
      </c>
      <c r="F4" s="56" t="s">
        <v>20</v>
      </c>
      <c r="G4" s="44">
        <v>171</v>
      </c>
      <c r="H4" s="129">
        <f>IF(B$15=0,0,G4/B$15)</f>
        <v>0.48857142857142855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157.63888888888889</v>
      </c>
      <c r="P4" s="115">
        <v>144</v>
      </c>
      <c r="Q4" s="99">
        <v>22700</v>
      </c>
    </row>
    <row r="5" spans="1:17" x14ac:dyDescent="0.45">
      <c r="A5" s="51" t="s">
        <v>7</v>
      </c>
      <c r="B5" s="160">
        <f>IF(B$2=0,0,B$4/B$2)</f>
        <v>-0.5262820512820513</v>
      </c>
      <c r="C5" s="161"/>
      <c r="E5" s="59" t="s">
        <v>166</v>
      </c>
      <c r="F5" s="56" t="s">
        <v>167</v>
      </c>
      <c r="G5" s="44">
        <v>154</v>
      </c>
      <c r="H5" s="129">
        <f>IF(B$15=0,0,G5/B$15)</f>
        <v>0.44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237.69230769230768</v>
      </c>
      <c r="P5" s="115">
        <v>130</v>
      </c>
      <c r="Q5" s="99">
        <v>30900</v>
      </c>
    </row>
    <row r="6" spans="1:17" x14ac:dyDescent="0.45">
      <c r="A6" s="51" t="s">
        <v>1</v>
      </c>
      <c r="B6" s="150">
        <f>IF(B$2=0,0,(B$7*1+B$8*2+B$9*3)/B$2)</f>
        <v>2.0448717948717947</v>
      </c>
      <c r="C6" s="151"/>
      <c r="E6" s="59" t="s">
        <v>67</v>
      </c>
      <c r="F6" s="56" t="s">
        <v>23</v>
      </c>
      <c r="G6" s="44">
        <v>115</v>
      </c>
      <c r="H6" s="129">
        <f>IF(B$15=0,0,G6/B$15)</f>
        <v>0.32857142857142857</v>
      </c>
      <c r="I6" s="90">
        <v>6</v>
      </c>
      <c r="K6" s="36">
        <v>4</v>
      </c>
      <c r="L6" s="95">
        <v>-19.3</v>
      </c>
      <c r="N6" s="111" t="s">
        <v>134</v>
      </c>
      <c r="O6" s="118">
        <f t="shared" si="0"/>
        <v>145.76271186440678</v>
      </c>
      <c r="P6" s="115">
        <v>118</v>
      </c>
      <c r="Q6" s="99">
        <v>17200</v>
      </c>
    </row>
    <row r="7" spans="1:17" x14ac:dyDescent="0.45">
      <c r="A7" s="51" t="s">
        <v>2</v>
      </c>
      <c r="B7" s="44">
        <v>40</v>
      </c>
      <c r="C7" s="37">
        <f t="shared" ref="C7:C10" si="1">IF(B$2=0,0,B7/B$2)</f>
        <v>0.25641025641025639</v>
      </c>
      <c r="E7" s="59" t="s">
        <v>68</v>
      </c>
      <c r="F7" s="56" t="s">
        <v>12</v>
      </c>
      <c r="G7" s="44">
        <v>113</v>
      </c>
      <c r="H7" s="129">
        <f>IF(B$15=0,0,G7/B$15)</f>
        <v>0.32285714285714284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-990</v>
      </c>
      <c r="P7" s="116">
        <v>100</v>
      </c>
      <c r="Q7" s="100">
        <v>-99000</v>
      </c>
    </row>
    <row r="8" spans="1:17" x14ac:dyDescent="0.45">
      <c r="A8" s="51" t="s">
        <v>3</v>
      </c>
      <c r="B8" s="44">
        <v>69</v>
      </c>
      <c r="C8" s="37">
        <f t="shared" si="1"/>
        <v>0.44230769230769229</v>
      </c>
      <c r="E8" s="59" t="s">
        <v>89</v>
      </c>
      <c r="F8" s="56" t="s">
        <v>44</v>
      </c>
      <c r="G8" s="44">
        <v>49</v>
      </c>
      <c r="H8" s="129">
        <f>IF(B$15=0,0,G8/B$15)</f>
        <v>0.14000000000000001</v>
      </c>
      <c r="I8" s="90">
        <v>6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47</v>
      </c>
      <c r="C9" s="38">
        <f t="shared" si="1"/>
        <v>0.30128205128205127</v>
      </c>
      <c r="E9" s="59" t="s">
        <v>69</v>
      </c>
      <c r="F9" s="56" t="s">
        <v>24</v>
      </c>
      <c r="G9" s="44">
        <v>47</v>
      </c>
      <c r="H9" s="129">
        <f>IF(B$15=0,0,G9/B$15)</f>
        <v>0.13428571428571429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13</v>
      </c>
      <c r="C10" s="40">
        <f t="shared" si="1"/>
        <v>8.3333333333333329E-2</v>
      </c>
      <c r="E10" s="59" t="s">
        <v>71</v>
      </c>
      <c r="F10" s="56" t="s">
        <v>26</v>
      </c>
      <c r="G10" s="44">
        <v>36</v>
      </c>
      <c r="H10" s="129">
        <f>IF(B$15=0,0,G10/B$15)</f>
        <v>0.10285714285714286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-2.8193548387096778</v>
      </c>
      <c r="P10" s="114">
        <v>62</v>
      </c>
      <c r="Q10" s="102">
        <v>-174.80000000000004</v>
      </c>
    </row>
    <row r="11" spans="1:17" x14ac:dyDescent="0.45">
      <c r="A11" s="54" t="s">
        <v>121</v>
      </c>
      <c r="B11" s="47">
        <v>323</v>
      </c>
      <c r="C11" s="42">
        <f>IF(B$3=0,0,B11/B$3)</f>
        <v>0.25594294770206022</v>
      </c>
      <c r="E11" s="59" t="s">
        <v>65</v>
      </c>
      <c r="F11" s="56" t="s">
        <v>21</v>
      </c>
      <c r="G11" s="44">
        <v>29</v>
      </c>
      <c r="H11" s="129">
        <f>IF(B$15=0,0,G11/B$15)</f>
        <v>8.2857142857142851E-2</v>
      </c>
      <c r="I11" s="90">
        <v>11</v>
      </c>
      <c r="K11" s="36">
        <v>9</v>
      </c>
      <c r="L11" s="95">
        <v>-90.9</v>
      </c>
      <c r="N11" s="111" t="s">
        <v>158</v>
      </c>
      <c r="O11" s="121">
        <f>IF(P11=0,0,Q11/P11)</f>
        <v>2.2244897959183678</v>
      </c>
      <c r="P11" s="115">
        <v>49</v>
      </c>
      <c r="Q11" s="103">
        <v>109.00000000000003</v>
      </c>
    </row>
    <row r="12" spans="1:17" x14ac:dyDescent="0.45">
      <c r="A12" s="51" t="s">
        <v>118</v>
      </c>
      <c r="B12" s="44">
        <v>287</v>
      </c>
      <c r="C12" s="37">
        <f>IF(B$3=0,0,B12/B$3)</f>
        <v>0.22741679873217116</v>
      </c>
      <c r="E12" s="59" t="s">
        <v>70</v>
      </c>
      <c r="F12" s="56" t="s">
        <v>25</v>
      </c>
      <c r="G12" s="44">
        <v>26</v>
      </c>
      <c r="H12" s="129">
        <f>IF(B$15=0,0,G12/B$15)</f>
        <v>7.4285714285714288E-2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-0.3622222222222225</v>
      </c>
      <c r="P12" s="116">
        <v>45</v>
      </c>
      <c r="Q12" s="104">
        <v>-16.300000000000011</v>
      </c>
    </row>
    <row r="13" spans="1:17" x14ac:dyDescent="0.45">
      <c r="A13" s="50" t="s">
        <v>123</v>
      </c>
      <c r="B13" s="43">
        <f>B19</f>
        <v>177</v>
      </c>
      <c r="C13" s="35">
        <f>IF(B$11=0,0,B13/B$11)</f>
        <v>0.54798761609907121</v>
      </c>
      <c r="E13" s="59" t="s">
        <v>86</v>
      </c>
      <c r="F13" s="56" t="s">
        <v>41</v>
      </c>
      <c r="G13" s="44">
        <v>18</v>
      </c>
      <c r="H13" s="129">
        <f>IF(B$15=0,0,G13/B$15)</f>
        <v>5.1428571428571428E-2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120</v>
      </c>
      <c r="C14" s="35">
        <f>IF(B$12=0,0,B14/B$12)</f>
        <v>0.41811846689895471</v>
      </c>
      <c r="E14" s="59" t="s">
        <v>83</v>
      </c>
      <c r="F14" s="56" t="s">
        <v>38</v>
      </c>
      <c r="G14" s="44">
        <v>13</v>
      </c>
      <c r="H14" s="129">
        <f>IF(B$15=0,0,G14/B$15)</f>
        <v>3.7142857142857144E-2</v>
      </c>
      <c r="I14" s="90">
        <v>9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350</v>
      </c>
      <c r="C15" s="35">
        <f>IF(B$3=0,0,B15/B$3)</f>
        <v>0.27733755942947702</v>
      </c>
      <c r="E15" s="59" t="s">
        <v>79</v>
      </c>
      <c r="F15" s="56" t="s">
        <v>34</v>
      </c>
      <c r="G15" s="44">
        <v>7</v>
      </c>
      <c r="H15" s="129">
        <f>IF(B$15=0,0,G15/B$15)</f>
        <v>0.02</v>
      </c>
      <c r="I15" s="90">
        <v>4</v>
      </c>
      <c r="K15" s="36">
        <v>13</v>
      </c>
      <c r="L15" s="95">
        <v>-68.399999999999991</v>
      </c>
      <c r="N15" s="110" t="s">
        <v>232</v>
      </c>
      <c r="O15" s="120">
        <f t="shared" ref="O15:O25" si="2"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177</v>
      </c>
      <c r="C16" s="37">
        <f>IF(B$3=0,0,B16/B$3)</f>
        <v>0.14025356576862125</v>
      </c>
      <c r="E16" s="59" t="s">
        <v>78</v>
      </c>
      <c r="F16" s="56" t="s">
        <v>33</v>
      </c>
      <c r="G16" s="44">
        <v>6</v>
      </c>
      <c r="H16" s="129">
        <f>IF(B$15=0,0,G16/B$15)</f>
        <v>1.7142857142857144E-2</v>
      </c>
      <c r="I16" s="90">
        <v>7</v>
      </c>
      <c r="K16" s="36">
        <v>14</v>
      </c>
      <c r="L16" s="95">
        <v>-25.79999999999999</v>
      </c>
      <c r="N16" s="111" t="s">
        <v>256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161</v>
      </c>
      <c r="C17" s="37">
        <f>IF(B$15=0,0,B17/B$15)</f>
        <v>0.46</v>
      </c>
      <c r="E17" s="59" t="s">
        <v>162</v>
      </c>
      <c r="F17" s="56" t="s">
        <v>163</v>
      </c>
      <c r="G17" s="44">
        <v>6</v>
      </c>
      <c r="H17" s="129">
        <f>IF(B$15=0,0,G17/B$15)</f>
        <v>1.7142857142857144E-2</v>
      </c>
      <c r="I17" s="90">
        <v>4</v>
      </c>
      <c r="K17" s="36">
        <v>15</v>
      </c>
      <c r="L17" s="95">
        <v>-35.499999999999986</v>
      </c>
      <c r="N17" s="111" t="s">
        <v>197</v>
      </c>
      <c r="O17" s="121">
        <f t="shared" si="2"/>
        <v>16.860714285714284</v>
      </c>
      <c r="P17" s="115">
        <v>28</v>
      </c>
      <c r="Q17" s="103">
        <v>472.09999999999997</v>
      </c>
    </row>
    <row r="18" spans="1:17" x14ac:dyDescent="0.45">
      <c r="A18" s="51" t="s">
        <v>11</v>
      </c>
      <c r="B18" s="44">
        <v>189</v>
      </c>
      <c r="C18" s="37">
        <f>IF(B$15=0,0,B18/B$15)</f>
        <v>0.54</v>
      </c>
      <c r="E18" s="59" t="s">
        <v>73</v>
      </c>
      <c r="F18" s="56" t="s">
        <v>28</v>
      </c>
      <c r="G18" s="44">
        <v>5</v>
      </c>
      <c r="H18" s="129">
        <f>IF(B$15=0,0,G18/B$15)</f>
        <v>1.4285714285714285E-2</v>
      </c>
      <c r="I18" s="90">
        <v>1</v>
      </c>
      <c r="K18" s="36">
        <v>16</v>
      </c>
      <c r="L18" s="95">
        <v>-35.599999999999987</v>
      </c>
      <c r="N18" s="111" t="s">
        <v>172</v>
      </c>
      <c r="O18" s="121">
        <f t="shared" si="2"/>
        <v>15.66923076923077</v>
      </c>
      <c r="P18" s="115">
        <v>26</v>
      </c>
      <c r="Q18" s="103">
        <v>407.40000000000003</v>
      </c>
    </row>
    <row r="19" spans="1:17" x14ac:dyDescent="0.45">
      <c r="A19" s="51" t="s">
        <v>195</v>
      </c>
      <c r="B19" s="44">
        <v>177</v>
      </c>
      <c r="C19" s="37">
        <f>IF(B$15=0,0,B19/B$15)</f>
        <v>0.50571428571428567</v>
      </c>
      <c r="E19" s="59" t="s">
        <v>81</v>
      </c>
      <c r="F19" s="56" t="s">
        <v>36</v>
      </c>
      <c r="G19" s="44">
        <v>5</v>
      </c>
      <c r="H19" s="129">
        <f>IF(B$15=0,0,G19/B$15)</f>
        <v>1.4285714285714285E-2</v>
      </c>
      <c r="I19" s="90">
        <v>9</v>
      </c>
      <c r="K19" s="36">
        <v>17</v>
      </c>
      <c r="L19" s="95">
        <v>-29.799999999999986</v>
      </c>
      <c r="N19" s="111" t="s">
        <v>196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120</v>
      </c>
      <c r="C20" s="37">
        <f>IF(B$15=0,0,B20/B$15)</f>
        <v>0.34285714285714286</v>
      </c>
      <c r="E20" s="59" t="s">
        <v>91</v>
      </c>
      <c r="F20" s="56" t="s">
        <v>46</v>
      </c>
      <c r="G20" s="44">
        <v>4</v>
      </c>
      <c r="H20" s="129">
        <f>IF(B$15=0,0,G20/B$15)</f>
        <v>1.1428571428571429E-2</v>
      </c>
      <c r="I20" s="90">
        <v>7</v>
      </c>
      <c r="K20" s="36">
        <v>18</v>
      </c>
      <c r="L20" s="95">
        <v>-62.399999999999991</v>
      </c>
      <c r="N20" s="111" t="s">
        <v>301</v>
      </c>
      <c r="O20" s="121">
        <f t="shared" si="2"/>
        <v>4.7999999999999989</v>
      </c>
      <c r="P20" s="115">
        <v>2</v>
      </c>
      <c r="Q20" s="103">
        <v>9.5999999999999979</v>
      </c>
    </row>
    <row r="21" spans="1:17" x14ac:dyDescent="0.45">
      <c r="A21" s="51" t="s">
        <v>194</v>
      </c>
      <c r="B21" s="44">
        <v>53</v>
      </c>
      <c r="C21" s="37">
        <f>IF(B$15=0,0,B21/B$15)</f>
        <v>0.15142857142857144</v>
      </c>
      <c r="E21" s="59" t="s">
        <v>85</v>
      </c>
      <c r="F21" s="56" t="s">
        <v>40</v>
      </c>
      <c r="G21" s="44">
        <v>3</v>
      </c>
      <c r="H21" s="129">
        <f>IF(B$15=0,0,G21/B$15)</f>
        <v>8.5714285714285719E-3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 t="shared" si="2"/>
        <v>2.8540983606557373</v>
      </c>
      <c r="P21" s="115">
        <v>61</v>
      </c>
      <c r="Q21" s="103">
        <v>174.09999999999997</v>
      </c>
    </row>
    <row r="22" spans="1:17" x14ac:dyDescent="0.45">
      <c r="A22" s="51" t="s">
        <v>5</v>
      </c>
      <c r="B22" s="48">
        <f>IF(B$15=0,0,C22/B$15)</f>
        <v>8511.1428571428569</v>
      </c>
      <c r="C22" s="39">
        <v>2978900</v>
      </c>
      <c r="E22" s="59" t="s">
        <v>92</v>
      </c>
      <c r="F22" s="56" t="s">
        <v>47</v>
      </c>
      <c r="G22" s="44">
        <v>3</v>
      </c>
      <c r="H22" s="129">
        <f>IF(B$15=0,0,G22/B$15)</f>
        <v>8.5714285714285719E-3</v>
      </c>
      <c r="I22" s="90">
        <v>3</v>
      </c>
      <c r="K22" s="36">
        <v>20</v>
      </c>
      <c r="L22" s="95">
        <v>-93.199999999999989</v>
      </c>
      <c r="N22" s="111" t="s">
        <v>161</v>
      </c>
      <c r="O22" s="121">
        <f t="shared" si="2"/>
        <v>2.4666666666666668</v>
      </c>
      <c r="P22" s="115">
        <v>33</v>
      </c>
      <c r="Q22" s="103">
        <v>81.400000000000006</v>
      </c>
    </row>
    <row r="23" spans="1:17" x14ac:dyDescent="0.45">
      <c r="A23" s="52" t="s">
        <v>177</v>
      </c>
      <c r="B23" s="136">
        <f>IF($B$15-B$14=0,0,C23/($B$15-B$14))</f>
        <v>9563.04347826087</v>
      </c>
      <c r="C23" s="137">
        <v>2199500</v>
      </c>
      <c r="E23" s="59" t="s">
        <v>75</v>
      </c>
      <c r="F23" s="56" t="s">
        <v>30</v>
      </c>
      <c r="G23" s="44">
        <v>2</v>
      </c>
      <c r="H23" s="129">
        <f>IF(B$15=0,0,G23/B$15)</f>
        <v>5.7142857142857143E-3</v>
      </c>
      <c r="I23" s="90">
        <v>8</v>
      </c>
      <c r="K23" s="36">
        <v>21</v>
      </c>
      <c r="L23" s="95">
        <v>-123.69999999999999</v>
      </c>
      <c r="N23" s="111" t="s">
        <v>170</v>
      </c>
      <c r="O23" s="121">
        <f t="shared" si="2"/>
        <v>-8.5328571428571429</v>
      </c>
      <c r="P23" s="115">
        <v>70</v>
      </c>
      <c r="Q23" s="103">
        <v>-597.29999999999995</v>
      </c>
    </row>
    <row r="24" spans="1:17" x14ac:dyDescent="0.45">
      <c r="A24" s="52" t="s">
        <v>178</v>
      </c>
      <c r="B24" s="136">
        <f>IF(B$14=0,0,C24/B$14)</f>
        <v>6495</v>
      </c>
      <c r="C24" s="137">
        <v>779400</v>
      </c>
      <c r="E24" s="59" t="s">
        <v>88</v>
      </c>
      <c r="F24" s="56" t="s">
        <v>43</v>
      </c>
      <c r="G24" s="44">
        <v>2</v>
      </c>
      <c r="H24" s="129">
        <f>IF(B$15=0,0,G24/B$15)</f>
        <v>5.7142857142857143E-3</v>
      </c>
      <c r="I24" s="90">
        <v>2</v>
      </c>
      <c r="K24" s="36">
        <v>22</v>
      </c>
      <c r="L24" s="95">
        <v>-66.999999999999986</v>
      </c>
      <c r="N24" s="111" t="s">
        <v>126</v>
      </c>
      <c r="O24" s="121">
        <f t="shared" si="2"/>
        <v>-12.803896103896108</v>
      </c>
      <c r="P24" s="115">
        <v>77</v>
      </c>
      <c r="Q24" s="103">
        <v>-985.90000000000032</v>
      </c>
    </row>
    <row r="25" spans="1:17" x14ac:dyDescent="0.45">
      <c r="A25" s="52" t="s">
        <v>176</v>
      </c>
      <c r="B25" s="136">
        <f>IF(B$16=0,0,C25/B$16)</f>
        <v>-7195.4802259887001</v>
      </c>
      <c r="C25" s="137">
        <v>-1273600</v>
      </c>
      <c r="E25" s="59" t="s">
        <v>74</v>
      </c>
      <c r="F25" s="56" t="s">
        <v>29</v>
      </c>
      <c r="G25" s="44">
        <v>1</v>
      </c>
      <c r="H25" s="129">
        <f>IF(B$15=0,0,G25/B$15)</f>
        <v>2.8571428571428571E-3</v>
      </c>
      <c r="I25" s="90">
        <v>6</v>
      </c>
      <c r="K25" s="36">
        <v>23</v>
      </c>
      <c r="L25" s="95">
        <v>-59.599999999999987</v>
      </c>
      <c r="N25" s="111" t="s">
        <v>200</v>
      </c>
      <c r="O25" s="121">
        <f t="shared" si="2"/>
        <v>-32.325000000000003</v>
      </c>
      <c r="P25" s="115">
        <v>4</v>
      </c>
      <c r="Q25" s="103">
        <v>-129.30000000000001</v>
      </c>
    </row>
    <row r="26" spans="1:17" x14ac:dyDescent="0.45">
      <c r="A26" s="51" t="s">
        <v>164</v>
      </c>
      <c r="B26" s="44">
        <v>6</v>
      </c>
      <c r="C26" s="131">
        <v>1</v>
      </c>
      <c r="E26" s="59" t="s">
        <v>87</v>
      </c>
      <c r="F26" s="56" t="s">
        <v>42</v>
      </c>
      <c r="G26" s="44">
        <v>1</v>
      </c>
      <c r="H26" s="129">
        <f>IF(B$15=0,0,G26/B$15)</f>
        <v>2.8571428571428571E-3</v>
      </c>
      <c r="I26" s="90">
        <v>4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1</v>
      </c>
      <c r="E27" s="59" t="s">
        <v>93</v>
      </c>
      <c r="F27" s="56" t="s">
        <v>48</v>
      </c>
      <c r="G27" s="44">
        <v>1</v>
      </c>
      <c r="H27" s="129">
        <f>IF(B$15=0,0,G27/B$15)</f>
        <v>2.8571428571428571E-3</v>
      </c>
      <c r="I27" s="90">
        <v>3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101</v>
      </c>
      <c r="F28" s="56" t="s">
        <v>56</v>
      </c>
      <c r="G28" s="44">
        <v>1</v>
      </c>
      <c r="H28" s="129">
        <f>IF(B$15=0,0,G28/B$15)</f>
        <v>2.8571428571428571E-3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46">
        <v>101400</v>
      </c>
      <c r="C29" s="147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1.5847860538827259E-3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-61.29999999999999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20</v>
      </c>
      <c r="C32" s="141">
        <f>IF(B$15=0,0,B32/B$15)</f>
        <v>5.7142857142857141E-2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64</v>
      </c>
      <c r="C33" s="37">
        <f t="shared" ref="C33:C44" si="3">IF(B$15=0,0,B33/B$15)</f>
        <v>0.18285714285714286</v>
      </c>
      <c r="E33" s="59" t="s">
        <v>84</v>
      </c>
      <c r="F33" s="56" t="s">
        <v>39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68</v>
      </c>
      <c r="C34" s="37">
        <f>IF(B$15=0,0,B34/B$15)</f>
        <v>0.19428571428571428</v>
      </c>
      <c r="E34" s="59" t="s">
        <v>90</v>
      </c>
      <c r="F34" s="56" t="s">
        <v>45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67</v>
      </c>
      <c r="C35" s="37">
        <f t="shared" si="3"/>
        <v>0.19142857142857142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49</v>
      </c>
      <c r="C36" s="37">
        <f t="shared" si="3"/>
        <v>0.14000000000000001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6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41</v>
      </c>
      <c r="C37" s="37">
        <f t="shared" si="3"/>
        <v>0.11714285714285715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19</v>
      </c>
      <c r="C38" s="37">
        <f t="shared" si="3"/>
        <v>5.4285714285714284E-2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9</v>
      </c>
      <c r="C39" s="37">
        <f t="shared" si="3"/>
        <v>2.5714285714285714E-2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3"/>
        <v>8.5714285714285719E-3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3"/>
        <v>5.7142857142857143E-3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3"/>
        <v>2.8571428571428571E-3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3"/>
        <v>5.7142857142857143E-3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5</v>
      </c>
      <c r="C44" s="40">
        <f t="shared" si="3"/>
        <v>1.4285714285714285E-2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  <row r="114" spans="11:12" x14ac:dyDescent="0.45">
      <c r="K114" s="36">
        <v>112</v>
      </c>
      <c r="L114" s="95">
        <v>104.5</v>
      </c>
    </row>
    <row r="115" spans="11:12" x14ac:dyDescent="0.45">
      <c r="K115" s="36">
        <v>113</v>
      </c>
      <c r="L115" s="95">
        <v>101.5</v>
      </c>
    </row>
    <row r="116" spans="11:12" x14ac:dyDescent="0.45">
      <c r="K116" s="36">
        <v>114</v>
      </c>
      <c r="L116" s="95">
        <v>116.9</v>
      </c>
    </row>
    <row r="117" spans="11:12" x14ac:dyDescent="0.45">
      <c r="K117" s="36">
        <v>115</v>
      </c>
      <c r="L117" s="95">
        <v>87.800000000000011</v>
      </c>
    </row>
    <row r="118" spans="11:12" x14ac:dyDescent="0.45">
      <c r="K118" s="36">
        <v>116</v>
      </c>
      <c r="L118" s="95">
        <v>70.800000000000011</v>
      </c>
    </row>
    <row r="119" spans="11:12" x14ac:dyDescent="0.45">
      <c r="K119" s="36">
        <v>117</v>
      </c>
      <c r="L119" s="95">
        <v>63.600000000000009</v>
      </c>
    </row>
    <row r="120" spans="11:12" x14ac:dyDescent="0.45">
      <c r="K120" s="36">
        <v>118</v>
      </c>
      <c r="L120" s="95">
        <v>98.4</v>
      </c>
    </row>
    <row r="121" spans="11:12" x14ac:dyDescent="0.45">
      <c r="K121" s="36">
        <v>119</v>
      </c>
      <c r="L121" s="95">
        <v>96.600000000000009</v>
      </c>
    </row>
    <row r="122" spans="11:12" x14ac:dyDescent="0.45">
      <c r="K122" s="36">
        <v>120</v>
      </c>
      <c r="L122" s="95">
        <v>66.700000000000017</v>
      </c>
    </row>
    <row r="123" spans="11:12" x14ac:dyDescent="0.45">
      <c r="K123" s="36">
        <v>121</v>
      </c>
      <c r="L123" s="95">
        <v>34.200000000000017</v>
      </c>
    </row>
    <row r="124" spans="11:12" x14ac:dyDescent="0.45">
      <c r="K124" s="36">
        <v>122</v>
      </c>
      <c r="L124" s="95">
        <v>0.10000000000001563</v>
      </c>
    </row>
    <row r="125" spans="11:12" x14ac:dyDescent="0.45">
      <c r="K125" s="36">
        <v>123</v>
      </c>
      <c r="L125" s="95">
        <v>-36.999999999999986</v>
      </c>
    </row>
    <row r="126" spans="11:12" x14ac:dyDescent="0.45">
      <c r="K126" s="36">
        <v>124</v>
      </c>
      <c r="L126" s="95">
        <v>-66.899999999999977</v>
      </c>
    </row>
    <row r="127" spans="11:12" x14ac:dyDescent="0.45">
      <c r="K127" s="36">
        <v>125</v>
      </c>
      <c r="L127" s="95">
        <v>-84.899999999999977</v>
      </c>
    </row>
    <row r="128" spans="11:12" x14ac:dyDescent="0.45">
      <c r="K128" s="36">
        <v>126</v>
      </c>
      <c r="L128" s="95">
        <v>-132.19999999999999</v>
      </c>
    </row>
    <row r="129" spans="11:12" x14ac:dyDescent="0.45">
      <c r="K129" s="36">
        <v>127</v>
      </c>
      <c r="L129" s="95">
        <v>-132.5</v>
      </c>
    </row>
    <row r="130" spans="11:12" x14ac:dyDescent="0.45">
      <c r="K130" s="36">
        <v>128</v>
      </c>
      <c r="L130" s="95">
        <v>-181.1</v>
      </c>
    </row>
    <row r="131" spans="11:12" x14ac:dyDescent="0.45">
      <c r="K131" s="36">
        <v>129</v>
      </c>
      <c r="L131" s="95">
        <v>-210.29999999999998</v>
      </c>
    </row>
    <row r="132" spans="11:12" x14ac:dyDescent="0.45">
      <c r="K132" s="36">
        <v>130</v>
      </c>
      <c r="L132" s="95">
        <v>-230.89999999999998</v>
      </c>
    </row>
    <row r="133" spans="11:12" x14ac:dyDescent="0.45">
      <c r="K133" s="36">
        <v>131</v>
      </c>
      <c r="L133" s="95">
        <v>-242.39999999999998</v>
      </c>
    </row>
    <row r="134" spans="11:12" x14ac:dyDescent="0.45">
      <c r="K134" s="36">
        <v>132</v>
      </c>
      <c r="L134" s="95">
        <v>-238.2</v>
      </c>
    </row>
    <row r="135" spans="11:12" x14ac:dyDescent="0.45">
      <c r="K135" s="36">
        <v>133</v>
      </c>
      <c r="L135" s="95">
        <v>-227.5</v>
      </c>
    </row>
    <row r="136" spans="11:12" x14ac:dyDescent="0.45">
      <c r="K136" s="36">
        <v>134</v>
      </c>
      <c r="L136" s="95">
        <v>-193.6</v>
      </c>
    </row>
    <row r="137" spans="11:12" x14ac:dyDescent="0.45">
      <c r="K137" s="36">
        <v>135</v>
      </c>
      <c r="L137" s="95">
        <v>-212.1</v>
      </c>
    </row>
    <row r="138" spans="11:12" x14ac:dyDescent="0.45">
      <c r="K138" s="36">
        <v>136</v>
      </c>
      <c r="L138" s="95">
        <v>-179.1</v>
      </c>
    </row>
    <row r="139" spans="11:12" x14ac:dyDescent="0.45">
      <c r="K139" s="36">
        <v>137</v>
      </c>
      <c r="L139" s="95">
        <v>-152.29999999999998</v>
      </c>
    </row>
    <row r="140" spans="11:12" x14ac:dyDescent="0.45">
      <c r="K140" s="36">
        <v>138</v>
      </c>
      <c r="L140" s="95">
        <v>-162.49999999999997</v>
      </c>
    </row>
    <row r="141" spans="11:12" x14ac:dyDescent="0.45">
      <c r="K141" s="36">
        <v>139</v>
      </c>
      <c r="L141" s="95">
        <v>-150.29999999999998</v>
      </c>
    </row>
    <row r="142" spans="11:12" x14ac:dyDescent="0.45">
      <c r="K142" s="36">
        <v>140</v>
      </c>
      <c r="L142" s="95">
        <v>-96.799999999999983</v>
      </c>
    </row>
    <row r="143" spans="11:12" x14ac:dyDescent="0.45">
      <c r="K143" s="36">
        <v>141</v>
      </c>
      <c r="L143" s="95">
        <v>-105.99999999999999</v>
      </c>
    </row>
    <row r="144" spans="11:12" x14ac:dyDescent="0.45">
      <c r="K144" s="36">
        <v>142</v>
      </c>
      <c r="L144" s="95">
        <v>-142.29999999999998</v>
      </c>
    </row>
    <row r="145" spans="11:12" x14ac:dyDescent="0.45">
      <c r="K145" s="36">
        <v>143</v>
      </c>
      <c r="L145" s="95">
        <v>-141.49999999999997</v>
      </c>
    </row>
    <row r="146" spans="11:12" x14ac:dyDescent="0.45">
      <c r="K146" s="36">
        <v>144</v>
      </c>
      <c r="L146" s="95">
        <v>-96.699999999999974</v>
      </c>
    </row>
    <row r="147" spans="11:12" x14ac:dyDescent="0.45">
      <c r="K147" s="36">
        <v>145</v>
      </c>
      <c r="L147" s="95">
        <v>-40.299999999999976</v>
      </c>
    </row>
    <row r="148" spans="11:12" x14ac:dyDescent="0.45">
      <c r="K148" s="36">
        <v>146</v>
      </c>
      <c r="L148" s="95">
        <v>-28.099999999999977</v>
      </c>
    </row>
    <row r="149" spans="11:12" x14ac:dyDescent="0.45">
      <c r="K149" s="36">
        <v>147</v>
      </c>
      <c r="L149" s="95">
        <v>-66.09999999999998</v>
      </c>
    </row>
    <row r="150" spans="11:12" x14ac:dyDescent="0.45">
      <c r="K150" s="36">
        <v>148</v>
      </c>
      <c r="L150" s="95">
        <v>-54.59999999999998</v>
      </c>
    </row>
    <row r="151" spans="11:12" x14ac:dyDescent="0.45">
      <c r="K151" s="36">
        <v>149</v>
      </c>
      <c r="L151" s="95">
        <v>-107.79999999999998</v>
      </c>
    </row>
    <row r="152" spans="11:12" x14ac:dyDescent="0.45">
      <c r="K152" s="36">
        <v>150</v>
      </c>
      <c r="L152" s="95">
        <v>-116.49999999999999</v>
      </c>
    </row>
    <row r="153" spans="11:12" x14ac:dyDescent="0.45">
      <c r="K153" s="36">
        <v>151</v>
      </c>
      <c r="L153" s="95">
        <v>-110.59999999999998</v>
      </c>
    </row>
    <row r="154" spans="11:12" x14ac:dyDescent="0.45">
      <c r="K154" s="36">
        <v>152</v>
      </c>
      <c r="L154" s="95">
        <v>-60.999999999999979</v>
      </c>
    </row>
    <row r="155" spans="11:12" x14ac:dyDescent="0.45">
      <c r="K155" s="36">
        <v>153</v>
      </c>
      <c r="L155" s="95">
        <v>-24.699999999999982</v>
      </c>
    </row>
    <row r="156" spans="11:12" x14ac:dyDescent="0.45">
      <c r="K156" s="36">
        <v>154</v>
      </c>
      <c r="L156" s="95">
        <v>-71.199999999999989</v>
      </c>
    </row>
    <row r="157" spans="11:12" x14ac:dyDescent="0.45">
      <c r="K157" s="36">
        <v>155</v>
      </c>
      <c r="L157" s="95">
        <v>-116.69999999999999</v>
      </c>
    </row>
    <row r="158" spans="11:12" x14ac:dyDescent="0.45">
      <c r="K158" s="36">
        <v>156</v>
      </c>
      <c r="L158" s="95">
        <v>-82.1</v>
      </c>
    </row>
  </sheetData>
  <sortState xmlns:xlrd2="http://schemas.microsoft.com/office/spreadsheetml/2017/richdata2" ref="E2:I159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2E99D-43A3-4724-B803-33133A565841}">
  <sheetPr codeName="Sheet19"/>
  <dimension ref="A1:Q7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70</v>
      </c>
      <c r="C2" s="155"/>
      <c r="E2" s="58" t="s">
        <v>66</v>
      </c>
      <c r="F2" s="55" t="s">
        <v>22</v>
      </c>
      <c r="G2" s="43">
        <v>101</v>
      </c>
      <c r="H2" s="128">
        <f>IF(B$15=0,0,G2/B$15)</f>
        <v>0.68707482993197277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-3252.8571428571427</v>
      </c>
      <c r="P2" s="114">
        <v>70</v>
      </c>
      <c r="Q2" s="98">
        <v>-227700</v>
      </c>
    </row>
    <row r="3" spans="1:17" x14ac:dyDescent="0.45">
      <c r="A3" s="51" t="s">
        <v>8</v>
      </c>
      <c r="B3" s="156">
        <v>577</v>
      </c>
      <c r="C3" s="157"/>
      <c r="E3" s="59" t="s">
        <v>72</v>
      </c>
      <c r="F3" s="56" t="s">
        <v>27</v>
      </c>
      <c r="G3" s="44">
        <v>100</v>
      </c>
      <c r="H3" s="129">
        <f>IF(B$15=0,0,G3/B$15)</f>
        <v>0.68027210884353739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1420</v>
      </c>
      <c r="P3" s="115">
        <v>70</v>
      </c>
      <c r="Q3" s="99">
        <v>99400</v>
      </c>
    </row>
    <row r="4" spans="1:17" x14ac:dyDescent="0.45">
      <c r="A4" s="51" t="s">
        <v>6</v>
      </c>
      <c r="B4" s="158">
        <v>-739.50000000000011</v>
      </c>
      <c r="C4" s="159"/>
      <c r="E4" s="59" t="s">
        <v>64</v>
      </c>
      <c r="F4" s="56" t="s">
        <v>20</v>
      </c>
      <c r="G4" s="44">
        <v>59</v>
      </c>
      <c r="H4" s="129">
        <f>IF(B$15=0,0,G4/B$15)</f>
        <v>0.40136054421768708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-1075.7575757575758</v>
      </c>
      <c r="P4" s="115">
        <v>66</v>
      </c>
      <c r="Q4" s="99">
        <v>-71000</v>
      </c>
    </row>
    <row r="5" spans="1:17" x14ac:dyDescent="0.45">
      <c r="A5" s="51" t="s">
        <v>7</v>
      </c>
      <c r="B5" s="160">
        <f>IF(B$2=0,0,B$4/B$2)</f>
        <v>-10.564285714285717</v>
      </c>
      <c r="C5" s="161"/>
      <c r="E5" s="59" t="s">
        <v>166</v>
      </c>
      <c r="F5" s="56" t="s">
        <v>167</v>
      </c>
      <c r="G5" s="44">
        <v>52</v>
      </c>
      <c r="H5" s="129">
        <f>IF(B$15=0,0,G5/B$15)</f>
        <v>0.35374149659863946</v>
      </c>
      <c r="I5" s="90">
        <v>10</v>
      </c>
      <c r="K5" s="36">
        <v>3</v>
      </c>
      <c r="L5" s="95">
        <v>-33.6</v>
      </c>
      <c r="N5" s="111" t="s">
        <v>133</v>
      </c>
      <c r="O5" s="118">
        <f t="shared" si="0"/>
        <v>-1498.3050847457628</v>
      </c>
      <c r="P5" s="115">
        <v>59</v>
      </c>
      <c r="Q5" s="99">
        <v>-88400</v>
      </c>
    </row>
    <row r="6" spans="1:17" x14ac:dyDescent="0.45">
      <c r="A6" s="51" t="s">
        <v>1</v>
      </c>
      <c r="B6" s="150">
        <f>IF(B$2=0,0,(B$7*1+B$8*2+B$9*3)/B$2)</f>
        <v>2.2714285714285714</v>
      </c>
      <c r="C6" s="151"/>
      <c r="E6" s="59" t="s">
        <v>68</v>
      </c>
      <c r="F6" s="56" t="s">
        <v>12</v>
      </c>
      <c r="G6" s="44">
        <v>41</v>
      </c>
      <c r="H6" s="129">
        <f>IF(B$15=0,0,G6/B$15)</f>
        <v>0.27891156462585032</v>
      </c>
      <c r="I6" s="90">
        <v>10</v>
      </c>
      <c r="K6" s="36">
        <v>4</v>
      </c>
      <c r="L6" s="95">
        <v>-80.5</v>
      </c>
      <c r="N6" s="111" t="s">
        <v>134</v>
      </c>
      <c r="O6" s="118">
        <f t="shared" si="0"/>
        <v>-1854.5454545454545</v>
      </c>
      <c r="P6" s="115">
        <v>55</v>
      </c>
      <c r="Q6" s="99">
        <v>-102000</v>
      </c>
    </row>
    <row r="7" spans="1:17" x14ac:dyDescent="0.45">
      <c r="A7" s="51" t="s">
        <v>2</v>
      </c>
      <c r="B7" s="44">
        <v>11</v>
      </c>
      <c r="C7" s="37">
        <f t="shared" ref="C7:C10" si="1">IF(B$2=0,0,B7/B$2)</f>
        <v>0.15714285714285714</v>
      </c>
      <c r="E7" s="59" t="s">
        <v>67</v>
      </c>
      <c r="F7" s="56" t="s">
        <v>23</v>
      </c>
      <c r="G7" s="44">
        <v>36</v>
      </c>
      <c r="H7" s="129">
        <f>IF(B$15=0,0,G7/B$15)</f>
        <v>0.24489795918367346</v>
      </c>
      <c r="I7" s="90">
        <v>9</v>
      </c>
      <c r="K7" s="36">
        <v>5</v>
      </c>
      <c r="L7" s="95">
        <v>-124.3</v>
      </c>
      <c r="N7" s="112" t="s">
        <v>135</v>
      </c>
      <c r="O7" s="119">
        <f t="shared" si="0"/>
        <v>-2191.304347826087</v>
      </c>
      <c r="P7" s="116">
        <v>46</v>
      </c>
      <c r="Q7" s="100">
        <v>-100800</v>
      </c>
    </row>
    <row r="8" spans="1:17" x14ac:dyDescent="0.45">
      <c r="A8" s="51" t="s">
        <v>3</v>
      </c>
      <c r="B8" s="44">
        <v>29</v>
      </c>
      <c r="C8" s="37">
        <f t="shared" si="1"/>
        <v>0.41428571428571431</v>
      </c>
      <c r="E8" s="59" t="s">
        <v>89</v>
      </c>
      <c r="F8" s="56" t="s">
        <v>44</v>
      </c>
      <c r="G8" s="44">
        <v>24</v>
      </c>
      <c r="H8" s="129">
        <f>IF(B$15=0,0,G8/B$15)</f>
        <v>0.16326530612244897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30</v>
      </c>
      <c r="C9" s="38">
        <f t="shared" si="1"/>
        <v>0.42857142857142855</v>
      </c>
      <c r="E9" s="59" t="s">
        <v>65</v>
      </c>
      <c r="F9" s="56" t="s">
        <v>21</v>
      </c>
      <c r="G9" s="44">
        <v>16</v>
      </c>
      <c r="H9" s="129">
        <f>IF(B$15=0,0,G9/B$15)</f>
        <v>0.10884353741496598</v>
      </c>
      <c r="I9" s="90">
        <v>8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11</v>
      </c>
      <c r="C10" s="40">
        <f t="shared" si="1"/>
        <v>0.15714285714285714</v>
      </c>
      <c r="E10" s="59" t="s">
        <v>71</v>
      </c>
      <c r="F10" s="56" t="s">
        <v>26</v>
      </c>
      <c r="G10" s="44">
        <v>13</v>
      </c>
      <c r="H10" s="129">
        <f>IF(B$15=0,0,G10/B$15)</f>
        <v>8.8435374149659865E-2</v>
      </c>
      <c r="I10" s="90">
        <v>6</v>
      </c>
      <c r="K10" s="36">
        <v>8</v>
      </c>
      <c r="L10" s="95">
        <v>-152.6</v>
      </c>
      <c r="N10" s="110" t="s">
        <v>157</v>
      </c>
      <c r="O10" s="120">
        <f>IF(P10=0,0,Q10/P10)</f>
        <v>-19.786206896551722</v>
      </c>
      <c r="P10" s="114">
        <v>29</v>
      </c>
      <c r="Q10" s="102">
        <v>-573.79999999999995</v>
      </c>
    </row>
    <row r="11" spans="1:17" x14ac:dyDescent="0.45">
      <c r="A11" s="54" t="s">
        <v>121</v>
      </c>
      <c r="B11" s="47">
        <v>123</v>
      </c>
      <c r="C11" s="42">
        <f>IF(B$3=0,0,B11/B$3)</f>
        <v>0.21317157712305027</v>
      </c>
      <c r="E11" s="59" t="s">
        <v>69</v>
      </c>
      <c r="F11" s="56" t="s">
        <v>24</v>
      </c>
      <c r="G11" s="44">
        <v>12</v>
      </c>
      <c r="H11" s="129">
        <f>IF(B$15=0,0,G11/B$15)</f>
        <v>8.1632653061224483E-2</v>
      </c>
      <c r="I11" s="90">
        <v>12</v>
      </c>
      <c r="K11" s="36">
        <v>9</v>
      </c>
      <c r="L11" s="95">
        <v>-150.6</v>
      </c>
      <c r="N11" s="111" t="s">
        <v>158</v>
      </c>
      <c r="O11" s="121">
        <f>IF(P11=0,0,Q11/P11)</f>
        <v>-0.1181818181818178</v>
      </c>
      <c r="P11" s="115">
        <v>22</v>
      </c>
      <c r="Q11" s="103">
        <v>-2.5999999999999917</v>
      </c>
    </row>
    <row r="12" spans="1:17" x14ac:dyDescent="0.45">
      <c r="A12" s="51" t="s">
        <v>118</v>
      </c>
      <c r="B12" s="44">
        <v>134</v>
      </c>
      <c r="C12" s="37">
        <f>IF(B$3=0,0,B12/B$3)</f>
        <v>0.23223570190641249</v>
      </c>
      <c r="E12" s="59" t="s">
        <v>70</v>
      </c>
      <c r="F12" s="56" t="s">
        <v>25</v>
      </c>
      <c r="G12" s="44">
        <v>12</v>
      </c>
      <c r="H12" s="129">
        <f>IF(B$15=0,0,G12/B$15)</f>
        <v>8.1632653061224483E-2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-8.5842105263157897</v>
      </c>
      <c r="P12" s="116">
        <v>19</v>
      </c>
      <c r="Q12" s="104">
        <v>-163.1</v>
      </c>
    </row>
    <row r="13" spans="1:17" x14ac:dyDescent="0.45">
      <c r="A13" s="50" t="s">
        <v>123</v>
      </c>
      <c r="B13" s="43">
        <f>B19</f>
        <v>62</v>
      </c>
      <c r="C13" s="35">
        <f>IF(B$11=0,0,B13/B$11)</f>
        <v>0.50406504065040647</v>
      </c>
      <c r="E13" s="59" t="s">
        <v>83</v>
      </c>
      <c r="F13" s="56" t="s">
        <v>38</v>
      </c>
      <c r="G13" s="44">
        <v>9</v>
      </c>
      <c r="H13" s="129">
        <f>IF(B$15=0,0,G13/B$15)</f>
        <v>6.1224489795918366E-2</v>
      </c>
      <c r="I13" s="90">
        <v>4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57</v>
      </c>
      <c r="C14" s="35">
        <f>IF(B$12=0,0,B14/B$12)</f>
        <v>0.42537313432835822</v>
      </c>
      <c r="E14" s="59" t="s">
        <v>81</v>
      </c>
      <c r="F14" s="56" t="s">
        <v>36</v>
      </c>
      <c r="G14" s="44">
        <v>8</v>
      </c>
      <c r="H14" s="129">
        <f>IF(B$15=0,0,G14/B$15)</f>
        <v>5.4421768707482991E-2</v>
      </c>
      <c r="I14" s="90">
        <v>2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147</v>
      </c>
      <c r="C15" s="35">
        <f>IF(B$3=0,0,B15/B$3)</f>
        <v>0.25476603119584057</v>
      </c>
      <c r="E15" s="59" t="s">
        <v>86</v>
      </c>
      <c r="F15" s="56" t="s">
        <v>41</v>
      </c>
      <c r="G15" s="44">
        <v>8</v>
      </c>
      <c r="H15" s="129">
        <f>IF(B$15=0,0,G15/B$15)</f>
        <v>5.4421768707482991E-2</v>
      </c>
      <c r="I15" s="90">
        <v>4</v>
      </c>
      <c r="K15" s="36">
        <v>13</v>
      </c>
      <c r="L15" s="95">
        <v>-217.60000000000002</v>
      </c>
      <c r="N15" s="110" t="s">
        <v>161</v>
      </c>
      <c r="O15" s="120">
        <f>IF(P15=0,0,Q15/P15)</f>
        <v>10.549999999999997</v>
      </c>
      <c r="P15" s="114">
        <v>20</v>
      </c>
      <c r="Q15" s="102">
        <v>210.99999999999994</v>
      </c>
    </row>
    <row r="16" spans="1:17" x14ac:dyDescent="0.45">
      <c r="A16" s="51" t="s">
        <v>13</v>
      </c>
      <c r="B16" s="44">
        <v>102</v>
      </c>
      <c r="C16" s="37">
        <f>IF(B$3=0,0,B16/B$3)</f>
        <v>0.17677642980935876</v>
      </c>
      <c r="E16" s="59" t="s">
        <v>78</v>
      </c>
      <c r="F16" s="56" t="s">
        <v>33</v>
      </c>
      <c r="G16" s="44">
        <v>2</v>
      </c>
      <c r="H16" s="129">
        <f>IF(B$15=0,0,G16/B$15)</f>
        <v>1.3605442176870748E-2</v>
      </c>
      <c r="I16" s="90">
        <v>9</v>
      </c>
      <c r="K16" s="36">
        <v>14</v>
      </c>
      <c r="L16" s="95">
        <v>-266.90000000000003</v>
      </c>
      <c r="N16" s="111" t="s">
        <v>301</v>
      </c>
      <c r="O16" s="121">
        <f>IF(P16=0,0,Q16/P16)</f>
        <v>2.1000000000000014</v>
      </c>
      <c r="P16" s="115">
        <v>3</v>
      </c>
      <c r="Q16" s="103">
        <v>6.3000000000000043</v>
      </c>
    </row>
    <row r="17" spans="1:17" x14ac:dyDescent="0.45">
      <c r="A17" s="51" t="s">
        <v>12</v>
      </c>
      <c r="B17" s="44">
        <v>68</v>
      </c>
      <c r="C17" s="37">
        <f>IF(B$15=0,0,B17/B$15)</f>
        <v>0.46258503401360546</v>
      </c>
      <c r="E17" s="59" t="s">
        <v>91</v>
      </c>
      <c r="F17" s="56" t="s">
        <v>46</v>
      </c>
      <c r="G17" s="44">
        <v>2</v>
      </c>
      <c r="H17" s="129">
        <f>IF(B$15=0,0,G17/B$15)</f>
        <v>1.3605442176870748E-2</v>
      </c>
      <c r="I17" s="90">
        <v>6</v>
      </c>
      <c r="K17" s="36">
        <v>15</v>
      </c>
      <c r="L17" s="95">
        <v>-272.50000000000006</v>
      </c>
      <c r="N17" s="111" t="s">
        <v>127</v>
      </c>
      <c r="O17" s="121">
        <f>IF(P17=0,0,Q17/P17)</f>
        <v>-12.000000000000002</v>
      </c>
      <c r="P17" s="115">
        <v>17</v>
      </c>
      <c r="Q17" s="103">
        <v>-204.00000000000003</v>
      </c>
    </row>
    <row r="18" spans="1:17" x14ac:dyDescent="0.45">
      <c r="A18" s="51" t="s">
        <v>11</v>
      </c>
      <c r="B18" s="44">
        <v>79</v>
      </c>
      <c r="C18" s="37">
        <f>IF(B$15=0,0,B18/B$15)</f>
        <v>0.5374149659863946</v>
      </c>
      <c r="E18" s="59" t="s">
        <v>73</v>
      </c>
      <c r="F18" s="56" t="s">
        <v>28</v>
      </c>
      <c r="G18" s="44">
        <v>1</v>
      </c>
      <c r="H18" s="129">
        <f>IF(B$15=0,0,G18/B$15)</f>
        <v>6.8027210884353739E-3</v>
      </c>
      <c r="I18" s="90">
        <v>2</v>
      </c>
      <c r="K18" s="36">
        <v>16</v>
      </c>
      <c r="L18" s="95">
        <v>-320.30000000000007</v>
      </c>
      <c r="N18" s="111" t="s">
        <v>200</v>
      </c>
      <c r="O18" s="121">
        <f>IF(P18=0,0,Q18/P18)</f>
        <v>-12.000000000000002</v>
      </c>
      <c r="P18" s="115">
        <v>1</v>
      </c>
      <c r="Q18" s="103">
        <v>-12.000000000000002</v>
      </c>
    </row>
    <row r="19" spans="1:17" x14ac:dyDescent="0.45">
      <c r="A19" s="51" t="s">
        <v>195</v>
      </c>
      <c r="B19" s="44">
        <v>62</v>
      </c>
      <c r="C19" s="37">
        <f>IF(B$15=0,0,B19/B$15)</f>
        <v>0.42176870748299322</v>
      </c>
      <c r="E19" s="59" t="s">
        <v>74</v>
      </c>
      <c r="F19" s="56" t="s">
        <v>29</v>
      </c>
      <c r="G19" s="44">
        <v>1</v>
      </c>
      <c r="H19" s="129">
        <f>IF(B$15=0,0,G19/B$15)</f>
        <v>6.8027210884353739E-3</v>
      </c>
      <c r="I19" s="90">
        <v>2</v>
      </c>
      <c r="K19" s="36">
        <v>17</v>
      </c>
      <c r="L19" s="95">
        <v>-352.60000000000008</v>
      </c>
      <c r="N19" s="111" t="s">
        <v>170</v>
      </c>
      <c r="O19" s="121">
        <f>IF(P19=0,0,Q19/P19)</f>
        <v>-13.593548387096773</v>
      </c>
      <c r="P19" s="115">
        <v>31</v>
      </c>
      <c r="Q19" s="103">
        <v>-421.4</v>
      </c>
    </row>
    <row r="20" spans="1:17" x14ac:dyDescent="0.45">
      <c r="A20" s="51" t="s">
        <v>193</v>
      </c>
      <c r="B20" s="44">
        <v>57</v>
      </c>
      <c r="C20" s="37">
        <f>IF(B$15=0,0,B20/B$15)</f>
        <v>0.38775510204081631</v>
      </c>
      <c r="E20" s="59" t="s">
        <v>79</v>
      </c>
      <c r="F20" s="56" t="s">
        <v>34</v>
      </c>
      <c r="G20" s="44">
        <v>1</v>
      </c>
      <c r="H20" s="129">
        <f>IF(B$15=0,0,G20/B$15)</f>
        <v>6.8027210884353739E-3</v>
      </c>
      <c r="I20" s="90">
        <v>10</v>
      </c>
      <c r="K20" s="36">
        <v>18</v>
      </c>
      <c r="L20" s="95">
        <v>-355.50000000000006</v>
      </c>
      <c r="N20" s="111" t="s">
        <v>171</v>
      </c>
      <c r="O20" s="121">
        <f>IF(P20=0,0,Q20/P20)</f>
        <v>-16.860714285714284</v>
      </c>
      <c r="P20" s="115">
        <v>28</v>
      </c>
      <c r="Q20" s="103">
        <v>-472.09999999999997</v>
      </c>
    </row>
    <row r="21" spans="1:17" x14ac:dyDescent="0.45">
      <c r="A21" s="51" t="s">
        <v>194</v>
      </c>
      <c r="B21" s="44">
        <v>28</v>
      </c>
      <c r="C21" s="37">
        <f>IF(B$15=0,0,B21/B$15)</f>
        <v>0.19047619047619047</v>
      </c>
      <c r="E21" s="59" t="s">
        <v>92</v>
      </c>
      <c r="F21" s="56" t="s">
        <v>47</v>
      </c>
      <c r="G21" s="44">
        <v>1</v>
      </c>
      <c r="H21" s="129">
        <f>IF(B$15=0,0,G21/B$15)</f>
        <v>6.8027210884353739E-3</v>
      </c>
      <c r="I21" s="90">
        <v>5</v>
      </c>
      <c r="K21" s="36">
        <v>19</v>
      </c>
      <c r="L21" s="95">
        <v>-400.60000000000008</v>
      </c>
      <c r="N21" s="111" t="s">
        <v>256</v>
      </c>
      <c r="O21" s="121">
        <f>IF(P21=0,0,Q21/P21)</f>
        <v>-17.649999999999999</v>
      </c>
      <c r="P21" s="115">
        <v>2</v>
      </c>
      <c r="Q21" s="103">
        <v>-35.299999999999997</v>
      </c>
    </row>
    <row r="22" spans="1:17" x14ac:dyDescent="0.45">
      <c r="A22" s="51" t="s">
        <v>5</v>
      </c>
      <c r="B22" s="48">
        <f>IF(B$15=0,0,C22/B$15)</f>
        <v>8261.224489795919</v>
      </c>
      <c r="C22" s="39">
        <v>1214400</v>
      </c>
      <c r="E22" s="59" t="s">
        <v>95</v>
      </c>
      <c r="F22" s="56" t="s">
        <v>50</v>
      </c>
      <c r="G22" s="44">
        <v>1</v>
      </c>
      <c r="H22" s="129">
        <f>IF(B$15=0,0,G22/B$15)</f>
        <v>6.8027210884353739E-3</v>
      </c>
      <c r="I22" s="90">
        <v>1</v>
      </c>
      <c r="K22" s="36">
        <v>20</v>
      </c>
      <c r="L22" s="95">
        <v>-428.10000000000008</v>
      </c>
      <c r="N22" s="111" t="s">
        <v>172</v>
      </c>
      <c r="O22" s="121">
        <f>IF(P22=0,0,Q22/P22)</f>
        <v>-21.183333333333334</v>
      </c>
      <c r="P22" s="115">
        <v>6</v>
      </c>
      <c r="Q22" s="103">
        <v>-127.1</v>
      </c>
    </row>
    <row r="23" spans="1:17" x14ac:dyDescent="0.45">
      <c r="A23" s="52" t="s">
        <v>177</v>
      </c>
      <c r="B23" s="136">
        <f>IF($B$15-B$14=0,0,C23/($B$15-B$14))</f>
        <v>8720</v>
      </c>
      <c r="C23" s="137">
        <v>784800</v>
      </c>
      <c r="E23" s="59" t="s">
        <v>162</v>
      </c>
      <c r="F23" s="56" t="s">
        <v>163</v>
      </c>
      <c r="G23" s="44">
        <v>1</v>
      </c>
      <c r="H23" s="129">
        <f>IF(B$15=0,0,G23/B$15)</f>
        <v>6.8027210884353739E-3</v>
      </c>
      <c r="I23" s="90">
        <v>8</v>
      </c>
      <c r="K23" s="36">
        <v>21</v>
      </c>
      <c r="L23" s="95">
        <v>-423.7000000000001</v>
      </c>
      <c r="N23" s="111" t="s">
        <v>126</v>
      </c>
      <c r="O23" s="121">
        <f>IF(P23=0,0,Q23/P23)</f>
        <v>-27.673913043478272</v>
      </c>
      <c r="P23" s="115">
        <v>23</v>
      </c>
      <c r="Q23" s="103">
        <v>-636.50000000000023</v>
      </c>
    </row>
    <row r="24" spans="1:17" x14ac:dyDescent="0.45">
      <c r="A24" s="52" t="s">
        <v>178</v>
      </c>
      <c r="B24" s="136">
        <f>IF(B$14=0,0,C24/B$14)</f>
        <v>7536.8421052631575</v>
      </c>
      <c r="C24" s="137">
        <v>429600</v>
      </c>
      <c r="E24" s="59" t="s">
        <v>75</v>
      </c>
      <c r="F24" s="56" t="s">
        <v>30</v>
      </c>
      <c r="G24" s="44">
        <v>0</v>
      </c>
      <c r="H24" s="129">
        <f>IF(B$15=0,0,G24/B$15)</f>
        <v>0</v>
      </c>
      <c r="I24" s="90">
        <v>10</v>
      </c>
      <c r="K24" s="36">
        <v>22</v>
      </c>
      <c r="L24" s="95">
        <v>-465.00000000000011</v>
      </c>
      <c r="N24" s="111" t="s">
        <v>196</v>
      </c>
      <c r="O24" s="121">
        <f>IF(P24=0,0,Q24/P24)</f>
        <v>-56.614285714285721</v>
      </c>
      <c r="P24" s="115">
        <v>7</v>
      </c>
      <c r="Q24" s="103">
        <v>-396.30000000000007</v>
      </c>
    </row>
    <row r="25" spans="1:17" x14ac:dyDescent="0.45">
      <c r="A25" s="52" t="s">
        <v>176</v>
      </c>
      <c r="B25" s="136">
        <f>IF(B$16=0,0,C25/B$16)</f>
        <v>-8473.5294117647063</v>
      </c>
      <c r="C25" s="137">
        <v>-864300</v>
      </c>
      <c r="E25" s="59" t="s">
        <v>76</v>
      </c>
      <c r="F25" s="56" t="s">
        <v>31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-450.10000000000014</v>
      </c>
      <c r="N25" s="111" t="s">
        <v>232</v>
      </c>
      <c r="O25" s="121">
        <f>IF(P25=0,0,Q25/P25)</f>
        <v>-65.55</v>
      </c>
      <c r="P25" s="115">
        <v>2</v>
      </c>
      <c r="Q25" s="103">
        <v>-131.1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77</v>
      </c>
      <c r="F26" s="56" t="s">
        <v>32</v>
      </c>
      <c r="G26" s="44">
        <v>0</v>
      </c>
      <c r="H26" s="129">
        <f>IF(B$15=0,0,G26/B$15)</f>
        <v>0</v>
      </c>
      <c r="I26" s="90">
        <v>6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21</v>
      </c>
      <c r="C27" s="131">
        <v>0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3</v>
      </c>
      <c r="C30" s="40">
        <f>IF(B$3=0,0,B30/B$3)</f>
        <v>5.1993067590987872E-3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-447.30000000000013</v>
      </c>
    </row>
    <row r="31" spans="1:17" x14ac:dyDescent="0.45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12</v>
      </c>
      <c r="C32" s="141">
        <f>IF(B$15=0,0,B32/B$15)</f>
        <v>8.1632653061224483E-2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26</v>
      </c>
      <c r="C33" s="37">
        <f t="shared" ref="C33:C44" si="2">IF(B$15=0,0,B33/B$15)</f>
        <v>0.17687074829931973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30</v>
      </c>
      <c r="C34" s="37">
        <f>IF(B$15=0,0,B34/B$15)</f>
        <v>0.20408163265306123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26</v>
      </c>
      <c r="C35" s="37">
        <f t="shared" si="2"/>
        <v>0.17687074829931973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22</v>
      </c>
      <c r="C36" s="37">
        <f t="shared" si="2"/>
        <v>0.14965986394557823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12</v>
      </c>
      <c r="C37" s="37">
        <f t="shared" si="2"/>
        <v>8.1632653061224483E-2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10</v>
      </c>
      <c r="C38" s="37">
        <f t="shared" si="2"/>
        <v>6.8027210884353748E-2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6</v>
      </c>
      <c r="C39" s="37">
        <f t="shared" si="2"/>
        <v>4.0816326530612242E-2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2"/>
        <v>6.8027210884353739E-3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2"/>
        <v>1.3605442176870748E-2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5">
      <c r="K53" s="36">
        <v>51</v>
      </c>
      <c r="L53" s="95">
        <v>-614.70000000000005</v>
      </c>
    </row>
    <row r="54" spans="5:12" x14ac:dyDescent="0.45">
      <c r="K54" s="36">
        <v>52</v>
      </c>
      <c r="L54" s="95">
        <v>-603.1</v>
      </c>
    </row>
    <row r="55" spans="5:12" x14ac:dyDescent="0.45">
      <c r="K55" s="36">
        <v>53</v>
      </c>
      <c r="L55" s="95">
        <v>-652.6</v>
      </c>
    </row>
    <row r="56" spans="5:12" x14ac:dyDescent="0.45">
      <c r="K56" s="36">
        <v>54</v>
      </c>
      <c r="L56" s="95">
        <v>-626.4</v>
      </c>
    </row>
    <row r="57" spans="5:12" x14ac:dyDescent="0.45">
      <c r="K57" s="36">
        <v>55</v>
      </c>
      <c r="L57" s="95">
        <v>-626.4</v>
      </c>
    </row>
    <row r="58" spans="5:12" x14ac:dyDescent="0.45">
      <c r="K58" s="36">
        <v>56</v>
      </c>
      <c r="L58" s="95">
        <v>-620</v>
      </c>
    </row>
    <row r="59" spans="5:12" x14ac:dyDescent="0.45">
      <c r="K59" s="36">
        <v>57</v>
      </c>
      <c r="L59" s="95">
        <v>-623.6</v>
      </c>
    </row>
    <row r="60" spans="5:12" x14ac:dyDescent="0.45">
      <c r="K60" s="36">
        <v>58</v>
      </c>
      <c r="L60" s="95">
        <v>-614.20000000000005</v>
      </c>
    </row>
    <row r="61" spans="5:12" x14ac:dyDescent="0.45">
      <c r="K61" s="36">
        <v>59</v>
      </c>
      <c r="L61" s="95">
        <v>-627.40000000000009</v>
      </c>
    </row>
    <row r="62" spans="5:12" x14ac:dyDescent="0.45">
      <c r="K62" s="36">
        <v>60</v>
      </c>
      <c r="L62" s="95">
        <v>-656.2</v>
      </c>
    </row>
    <row r="63" spans="5:12" x14ac:dyDescent="0.45">
      <c r="K63" s="36">
        <v>61</v>
      </c>
      <c r="L63" s="95">
        <v>-653.40000000000009</v>
      </c>
    </row>
    <row r="64" spans="5:12" x14ac:dyDescent="0.45">
      <c r="K64" s="36">
        <v>62</v>
      </c>
      <c r="L64" s="95">
        <v>-665.40000000000009</v>
      </c>
    </row>
    <row r="65" spans="11:12" x14ac:dyDescent="0.45">
      <c r="K65" s="36">
        <v>63</v>
      </c>
      <c r="L65" s="95">
        <v>-697.10000000000014</v>
      </c>
    </row>
    <row r="66" spans="11:12" x14ac:dyDescent="0.45">
      <c r="K66" s="36">
        <v>64</v>
      </c>
      <c r="L66" s="95">
        <v>-704.90000000000009</v>
      </c>
    </row>
    <row r="67" spans="11:12" x14ac:dyDescent="0.45">
      <c r="K67" s="36">
        <v>65</v>
      </c>
      <c r="L67" s="95">
        <v>-668.90000000000009</v>
      </c>
    </row>
    <row r="68" spans="11:12" x14ac:dyDescent="0.45">
      <c r="K68" s="36">
        <v>66</v>
      </c>
      <c r="L68" s="95">
        <v>-672.40000000000009</v>
      </c>
    </row>
    <row r="69" spans="11:12" x14ac:dyDescent="0.45">
      <c r="K69" s="36">
        <v>67</v>
      </c>
      <c r="L69" s="95">
        <v>-655.40000000000009</v>
      </c>
    </row>
    <row r="70" spans="11:12" x14ac:dyDescent="0.45">
      <c r="K70" s="36">
        <v>68</v>
      </c>
      <c r="L70" s="95">
        <v>-656.10000000000014</v>
      </c>
    </row>
    <row r="71" spans="11:12" x14ac:dyDescent="0.45">
      <c r="K71" s="36">
        <v>69</v>
      </c>
      <c r="L71" s="95">
        <v>-691.90000000000009</v>
      </c>
    </row>
    <row r="72" spans="11:12" x14ac:dyDescent="0.45">
      <c r="K72" s="36">
        <v>70</v>
      </c>
      <c r="L72" s="95">
        <v>-739.50000000000011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6EC94-9A1C-4140-8A05-224BA4C90134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32</v>
      </c>
      <c r="C2" s="155"/>
      <c r="E2" s="58" t="s">
        <v>66</v>
      </c>
      <c r="F2" s="55" t="s">
        <v>22</v>
      </c>
      <c r="G2" s="43">
        <v>67</v>
      </c>
      <c r="H2" s="128">
        <f>IF(B$15=0,0,G2/B$15)</f>
        <v>0.87012987012987009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-2816.1290322580644</v>
      </c>
      <c r="P2" s="114">
        <v>31</v>
      </c>
      <c r="Q2" s="98">
        <v>-87300</v>
      </c>
    </row>
    <row r="3" spans="1:17" x14ac:dyDescent="0.45">
      <c r="A3" s="51" t="s">
        <v>8</v>
      </c>
      <c r="B3" s="156">
        <v>298</v>
      </c>
      <c r="C3" s="157"/>
      <c r="E3" s="59" t="s">
        <v>64</v>
      </c>
      <c r="F3" s="56" t="s">
        <v>20</v>
      </c>
      <c r="G3" s="44">
        <v>47</v>
      </c>
      <c r="H3" s="129">
        <f>IF(B$15=0,0,G3/B$15)</f>
        <v>0.61038961038961037</v>
      </c>
      <c r="I3" s="90">
        <v>3</v>
      </c>
      <c r="K3" s="36">
        <v>1</v>
      </c>
      <c r="L3" s="95">
        <v>70.2</v>
      </c>
      <c r="N3" s="111" t="s">
        <v>131</v>
      </c>
      <c r="O3" s="118">
        <f t="shared" si="0"/>
        <v>-1836.6666666666667</v>
      </c>
      <c r="P3" s="115">
        <v>30</v>
      </c>
      <c r="Q3" s="99">
        <v>-55100</v>
      </c>
    </row>
    <row r="4" spans="1:17" x14ac:dyDescent="0.45">
      <c r="A4" s="51" t="s">
        <v>6</v>
      </c>
      <c r="B4" s="158">
        <v>-96.699999999999974</v>
      </c>
      <c r="C4" s="159"/>
      <c r="E4" s="59" t="s">
        <v>68</v>
      </c>
      <c r="F4" s="56" t="s">
        <v>12</v>
      </c>
      <c r="G4" s="44">
        <v>36</v>
      </c>
      <c r="H4" s="129">
        <f>IF(B$15=0,0,G4/B$15)</f>
        <v>0.46753246753246752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1862.0689655172414</v>
      </c>
      <c r="P4" s="115">
        <v>29</v>
      </c>
      <c r="Q4" s="99">
        <v>54000</v>
      </c>
    </row>
    <row r="5" spans="1:17" x14ac:dyDescent="0.45">
      <c r="A5" s="51" t="s">
        <v>7</v>
      </c>
      <c r="B5" s="160">
        <f>IF(B$2=0,0,B$4/B$2)</f>
        <v>-3.0218749999999992</v>
      </c>
      <c r="C5" s="161"/>
      <c r="E5" s="59" t="s">
        <v>166</v>
      </c>
      <c r="F5" s="56" t="s">
        <v>167</v>
      </c>
      <c r="G5" s="44">
        <v>31</v>
      </c>
      <c r="H5" s="129">
        <f>IF(B$15=0,0,G5/B$15)</f>
        <v>0.40259740259740262</v>
      </c>
      <c r="I5" s="90">
        <v>6</v>
      </c>
      <c r="K5" s="36">
        <v>3</v>
      </c>
      <c r="L5" s="95">
        <v>76</v>
      </c>
      <c r="N5" s="111" t="s">
        <v>133</v>
      </c>
      <c r="O5" s="118">
        <f t="shared" si="0"/>
        <v>-2503.4482758620688</v>
      </c>
      <c r="P5" s="115">
        <v>29</v>
      </c>
      <c r="Q5" s="99">
        <v>-72600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72</v>
      </c>
      <c r="F6" s="56" t="s">
        <v>27</v>
      </c>
      <c r="G6" s="44">
        <v>29</v>
      </c>
      <c r="H6" s="129">
        <f>IF(B$15=0,0,G6/B$15)</f>
        <v>0.37662337662337664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3992.3076923076924</v>
      </c>
      <c r="P6" s="115">
        <v>26</v>
      </c>
      <c r="Q6" s="99">
        <v>103800</v>
      </c>
    </row>
    <row r="7" spans="1:17" x14ac:dyDescent="0.45">
      <c r="A7" s="51" t="s">
        <v>2</v>
      </c>
      <c r="B7" s="44">
        <v>12</v>
      </c>
      <c r="C7" s="37">
        <f t="shared" ref="C7:C10" si="1">IF(B$2=0,0,B7/B$2)</f>
        <v>0.375</v>
      </c>
      <c r="E7" s="59" t="s">
        <v>67</v>
      </c>
      <c r="F7" s="56" t="s">
        <v>23</v>
      </c>
      <c r="G7" s="44">
        <v>17</v>
      </c>
      <c r="H7" s="129">
        <f>IF(B$15=0,0,G7/B$15)</f>
        <v>0.22077922077922077</v>
      </c>
      <c r="I7" s="90">
        <v>11</v>
      </c>
      <c r="K7" s="36">
        <v>5</v>
      </c>
      <c r="L7" s="95">
        <v>127.9</v>
      </c>
      <c r="N7" s="112" t="s">
        <v>135</v>
      </c>
      <c r="O7" s="119">
        <f t="shared" si="0"/>
        <v>772.72727272727275</v>
      </c>
      <c r="P7" s="116">
        <v>22</v>
      </c>
      <c r="Q7" s="100">
        <v>17000</v>
      </c>
    </row>
    <row r="8" spans="1:17" x14ac:dyDescent="0.45">
      <c r="A8" s="51" t="s">
        <v>3</v>
      </c>
      <c r="B8" s="44">
        <v>8</v>
      </c>
      <c r="C8" s="37">
        <f t="shared" si="1"/>
        <v>0.25</v>
      </c>
      <c r="E8" s="59" t="s">
        <v>69</v>
      </c>
      <c r="F8" s="56" t="s">
        <v>24</v>
      </c>
      <c r="G8" s="44">
        <v>16</v>
      </c>
      <c r="H8" s="129">
        <f>IF(B$15=0,0,G8/B$15)</f>
        <v>0.20779220779220781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12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IF(B$15=0,0,G9/B$15)</f>
        <v>0.11688311688311688</v>
      </c>
      <c r="I9" s="90">
        <v>7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5</v>
      </c>
      <c r="C10" s="40">
        <f t="shared" si="1"/>
        <v>0.15625</v>
      </c>
      <c r="E10" s="59" t="s">
        <v>70</v>
      </c>
      <c r="F10" s="56" t="s">
        <v>25</v>
      </c>
      <c r="G10" s="44">
        <v>8</v>
      </c>
      <c r="H10" s="129">
        <f>IF(B$15=0,0,G10/B$15)</f>
        <v>0.1038961038961039</v>
      </c>
      <c r="I10" s="90">
        <v>7</v>
      </c>
      <c r="K10" s="36">
        <v>8</v>
      </c>
      <c r="L10" s="95">
        <v>124.6</v>
      </c>
      <c r="N10" s="110" t="s">
        <v>157</v>
      </c>
      <c r="O10" s="120">
        <f>IF(P10=0,0,Q10/P10)</f>
        <v>-6.4916666666666671</v>
      </c>
      <c r="P10" s="114">
        <v>12</v>
      </c>
      <c r="Q10" s="102">
        <v>-77.900000000000006</v>
      </c>
    </row>
    <row r="11" spans="1:17" x14ac:dyDescent="0.45">
      <c r="A11" s="54" t="s">
        <v>121</v>
      </c>
      <c r="B11" s="47">
        <v>83</v>
      </c>
      <c r="C11" s="42">
        <f>IF(B$3=0,0,B11/B$3)</f>
        <v>0.27852348993288589</v>
      </c>
      <c r="E11" s="59" t="s">
        <v>89</v>
      </c>
      <c r="F11" s="56" t="s">
        <v>44</v>
      </c>
      <c r="G11" s="44">
        <v>7</v>
      </c>
      <c r="H11" s="129">
        <f>IF(B$15=0,0,G11/B$15)</f>
        <v>9.0909090909090912E-2</v>
      </c>
      <c r="I11" s="90">
        <v>11</v>
      </c>
      <c r="K11" s="36">
        <v>9</v>
      </c>
      <c r="L11" s="95">
        <v>141.5</v>
      </c>
      <c r="N11" s="111" t="s">
        <v>158</v>
      </c>
      <c r="O11" s="121">
        <f>IF(P11=0,0,Q11/P11)</f>
        <v>-7.6800000000000015</v>
      </c>
      <c r="P11" s="115">
        <v>10</v>
      </c>
      <c r="Q11" s="103">
        <v>-76.800000000000011</v>
      </c>
    </row>
    <row r="12" spans="1:17" x14ac:dyDescent="0.45">
      <c r="A12" s="51" t="s">
        <v>118</v>
      </c>
      <c r="B12" s="44">
        <v>48</v>
      </c>
      <c r="C12" s="37">
        <f>IF(B$3=0,0,B12/B$3)</f>
        <v>0.16107382550335569</v>
      </c>
      <c r="E12" s="59" t="s">
        <v>71</v>
      </c>
      <c r="F12" s="56" t="s">
        <v>26</v>
      </c>
      <c r="G12" s="44">
        <v>6</v>
      </c>
      <c r="H12" s="129">
        <f>IF(B$15=0,0,G12/B$15)</f>
        <v>7.792207792207792E-2</v>
      </c>
      <c r="I12" s="90">
        <v>8</v>
      </c>
      <c r="K12" s="36">
        <v>10</v>
      </c>
      <c r="L12" s="95">
        <v>162.80000000000001</v>
      </c>
      <c r="N12" s="112" t="s">
        <v>159</v>
      </c>
      <c r="O12" s="122">
        <f>IF(P12=0,0,Q12/P12)</f>
        <v>5.8</v>
      </c>
      <c r="P12" s="116">
        <v>10</v>
      </c>
      <c r="Q12" s="104">
        <v>58</v>
      </c>
    </row>
    <row r="13" spans="1:17" x14ac:dyDescent="0.45">
      <c r="A13" s="50" t="s">
        <v>123</v>
      </c>
      <c r="B13" s="43">
        <f>B19</f>
        <v>47</v>
      </c>
      <c r="C13" s="35">
        <f>IF(B$11=0,0,B13/B$11)</f>
        <v>0.5662650602409639</v>
      </c>
      <c r="E13" s="59" t="s">
        <v>78</v>
      </c>
      <c r="F13" s="56" t="s">
        <v>33</v>
      </c>
      <c r="G13" s="44">
        <v>5</v>
      </c>
      <c r="H13" s="129">
        <f>IF(B$15=0,0,G13/B$15)</f>
        <v>6.4935064935064929E-2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15</v>
      </c>
      <c r="C14" s="35">
        <f>IF(B$12=0,0,B14/B$12)</f>
        <v>0.3125</v>
      </c>
      <c r="E14" s="59" t="s">
        <v>86</v>
      </c>
      <c r="F14" s="56" t="s">
        <v>41</v>
      </c>
      <c r="G14" s="44">
        <v>4</v>
      </c>
      <c r="H14" s="129">
        <f>IF(B$15=0,0,G14/B$15)</f>
        <v>5.1948051948051951E-2</v>
      </c>
      <c r="I14" s="90">
        <v>5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77</v>
      </c>
      <c r="C15" s="35">
        <f>IF(B$3=0,0,B15/B$3)</f>
        <v>0.25838926174496646</v>
      </c>
      <c r="E15" s="59" t="s">
        <v>83</v>
      </c>
      <c r="F15" s="56" t="s">
        <v>38</v>
      </c>
      <c r="G15" s="44">
        <v>2</v>
      </c>
      <c r="H15" s="129">
        <f>IF(B$15=0,0,G15/B$15)</f>
        <v>2.5974025974025976E-2</v>
      </c>
      <c r="I15" s="90">
        <v>12</v>
      </c>
      <c r="K15" s="36">
        <v>13</v>
      </c>
      <c r="L15" s="95">
        <v>76.7</v>
      </c>
      <c r="N15" s="110" t="s">
        <v>197</v>
      </c>
      <c r="O15" s="120">
        <f>IF(P15=0,0,Q15/P15)</f>
        <v>56.614285714285721</v>
      </c>
      <c r="P15" s="114">
        <v>7</v>
      </c>
      <c r="Q15" s="102">
        <v>396.30000000000007</v>
      </c>
    </row>
    <row r="16" spans="1:17" x14ac:dyDescent="0.45">
      <c r="A16" s="51" t="s">
        <v>13</v>
      </c>
      <c r="B16" s="44">
        <v>50</v>
      </c>
      <c r="C16" s="37">
        <f>IF(B$3=0,0,B16/B$3)</f>
        <v>0.16778523489932887</v>
      </c>
      <c r="E16" s="59" t="s">
        <v>75</v>
      </c>
      <c r="F16" s="56" t="s">
        <v>30</v>
      </c>
      <c r="G16" s="44">
        <v>1</v>
      </c>
      <c r="H16" s="129">
        <f>IF(B$15=0,0,G16/B$15)</f>
        <v>1.2987012987012988E-2</v>
      </c>
      <c r="I16" s="90">
        <v>2</v>
      </c>
      <c r="K16" s="36">
        <v>14</v>
      </c>
      <c r="L16" s="95">
        <v>49.900000000000006</v>
      </c>
      <c r="N16" s="111" t="s">
        <v>172</v>
      </c>
      <c r="O16" s="121">
        <f>IF(P16=0,0,Q16/P16)</f>
        <v>1.8909090909090909</v>
      </c>
      <c r="P16" s="115">
        <v>11</v>
      </c>
      <c r="Q16" s="103">
        <v>20.8</v>
      </c>
    </row>
    <row r="17" spans="1:17" x14ac:dyDescent="0.45">
      <c r="A17" s="51" t="s">
        <v>12</v>
      </c>
      <c r="B17" s="44">
        <v>45</v>
      </c>
      <c r="C17" s="37">
        <f>IF(B$15=0,0,B17/B$15)</f>
        <v>0.58441558441558439</v>
      </c>
      <c r="E17" s="59" t="s">
        <v>81</v>
      </c>
      <c r="F17" s="56" t="s">
        <v>36</v>
      </c>
      <c r="G17" s="44">
        <v>1</v>
      </c>
      <c r="H17" s="129">
        <f>IF(B$15=0,0,G17/B$15)</f>
        <v>1.2987012987012988E-2</v>
      </c>
      <c r="I17" s="90">
        <v>10</v>
      </c>
      <c r="K17" s="36">
        <v>15</v>
      </c>
      <c r="L17" s="95">
        <v>73.7</v>
      </c>
      <c r="N17" s="111" t="s">
        <v>200</v>
      </c>
      <c r="O17" s="121">
        <f>IF(P17=0,0,Q17/P17)</f>
        <v>0.16666666666666785</v>
      </c>
      <c r="P17" s="115">
        <v>3</v>
      </c>
      <c r="Q17" s="103">
        <v>0.50000000000000355</v>
      </c>
    </row>
    <row r="18" spans="1:17" x14ac:dyDescent="0.45">
      <c r="A18" s="51" t="s">
        <v>11</v>
      </c>
      <c r="B18" s="44">
        <v>32</v>
      </c>
      <c r="C18" s="37">
        <f>IF(B$15=0,0,B18/B$15)</f>
        <v>0.41558441558441561</v>
      </c>
      <c r="E18" s="59" t="s">
        <v>85</v>
      </c>
      <c r="F18" s="56" t="s">
        <v>40</v>
      </c>
      <c r="G18" s="44">
        <v>1</v>
      </c>
      <c r="H18" s="129">
        <f>IF(B$15=0,0,G18/B$15)</f>
        <v>1.2987012987012988E-2</v>
      </c>
      <c r="I18" s="90">
        <v>2</v>
      </c>
      <c r="K18" s="36">
        <v>16</v>
      </c>
      <c r="L18" s="95">
        <v>28.300000000000004</v>
      </c>
      <c r="N18" s="111" t="s">
        <v>170</v>
      </c>
      <c r="O18" s="121">
        <f>IF(P18=0,0,Q18/P18)</f>
        <v>-5.15</v>
      </c>
      <c r="P18" s="115">
        <v>10</v>
      </c>
      <c r="Q18" s="103">
        <v>-51.500000000000007</v>
      </c>
    </row>
    <row r="19" spans="1:17" x14ac:dyDescent="0.45">
      <c r="A19" s="51" t="s">
        <v>195</v>
      </c>
      <c r="B19" s="44">
        <v>47</v>
      </c>
      <c r="C19" s="37">
        <f>IF(B$15=0,0,B19/B$15)</f>
        <v>0.61038961038961037</v>
      </c>
      <c r="E19" s="59" t="s">
        <v>87</v>
      </c>
      <c r="F19" s="56" t="s">
        <v>42</v>
      </c>
      <c r="G19" s="44">
        <v>1</v>
      </c>
      <c r="H19" s="129">
        <f>IF(B$15=0,0,G19/B$15)</f>
        <v>1.2987012987012988E-2</v>
      </c>
      <c r="I19" s="90">
        <v>2</v>
      </c>
      <c r="K19" s="36">
        <v>17</v>
      </c>
      <c r="L19" s="95">
        <v>49.800000000000004</v>
      </c>
      <c r="N19" s="111" t="s">
        <v>171</v>
      </c>
      <c r="O19" s="121">
        <f>IF(P19=0,0,Q19/P19)</f>
        <v>-5.7000000000000011</v>
      </c>
      <c r="P19" s="115">
        <v>5</v>
      </c>
      <c r="Q19" s="103">
        <v>-28.500000000000004</v>
      </c>
    </row>
    <row r="20" spans="1:17" x14ac:dyDescent="0.45">
      <c r="A20" s="51" t="s">
        <v>193</v>
      </c>
      <c r="B20" s="44">
        <v>15</v>
      </c>
      <c r="C20" s="37">
        <f>IF(B$15=0,0,B20/B$15)</f>
        <v>0.19480519480519481</v>
      </c>
      <c r="E20" s="59" t="s">
        <v>162</v>
      </c>
      <c r="F20" s="56" t="s">
        <v>163</v>
      </c>
      <c r="G20" s="44">
        <v>1</v>
      </c>
      <c r="H20" s="129">
        <f>IF(B$15=0,0,G20/B$15)</f>
        <v>1.2987012987012988E-2</v>
      </c>
      <c r="I20" s="90">
        <v>6</v>
      </c>
      <c r="K20" s="36">
        <v>18</v>
      </c>
      <c r="L20" s="95">
        <v>24.700000000000003</v>
      </c>
      <c r="N20" s="111" t="s">
        <v>161</v>
      </c>
      <c r="O20" s="121">
        <f>IF(P20=0,0,Q20/P20)</f>
        <v>-7.4333333333333336</v>
      </c>
      <c r="P20" s="115">
        <v>6</v>
      </c>
      <c r="Q20" s="103">
        <v>-44.6</v>
      </c>
    </row>
    <row r="21" spans="1:17" x14ac:dyDescent="0.45">
      <c r="A21" s="51" t="s">
        <v>194</v>
      </c>
      <c r="B21" s="44">
        <v>15</v>
      </c>
      <c r="C21" s="37">
        <f>IF(B$15=0,0,B21/B$15)</f>
        <v>0.19480519480519481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6</v>
      </c>
      <c r="K21" s="36">
        <v>19</v>
      </c>
      <c r="L21" s="95">
        <v>8.7000000000000028</v>
      </c>
      <c r="N21" s="111" t="s">
        <v>232</v>
      </c>
      <c r="O21" s="121">
        <f>IF(P21=0,0,Q21/P21)</f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8164.9350649350654</v>
      </c>
      <c r="C22" s="39">
        <v>628700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127</v>
      </c>
      <c r="O22" s="121">
        <f>IF(P22=0,0,Q22/P22)</f>
        <v>-21.862499999999997</v>
      </c>
      <c r="P22" s="115">
        <v>8</v>
      </c>
      <c r="Q22" s="103">
        <v>-174.89999999999998</v>
      </c>
    </row>
    <row r="23" spans="1:17" x14ac:dyDescent="0.45">
      <c r="A23" s="52" t="s">
        <v>177</v>
      </c>
      <c r="B23" s="136">
        <f>IF($B$15-B$14=0,0,C23/($B$15-B$14))</f>
        <v>8512.9032258064508</v>
      </c>
      <c r="C23" s="137">
        <v>527800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126</v>
      </c>
      <c r="O23" s="121">
        <f>IF(P23=0,0,Q23/P23)</f>
        <v>-31.041666666666675</v>
      </c>
      <c r="P23" s="115">
        <v>12</v>
      </c>
      <c r="Q23" s="103">
        <v>-372.50000000000011</v>
      </c>
    </row>
    <row r="24" spans="1:17" x14ac:dyDescent="0.45">
      <c r="A24" s="52" t="s">
        <v>178</v>
      </c>
      <c r="B24" s="136">
        <f>IF(B$14=0,0,C24/B$14)</f>
        <v>6726.666666666667</v>
      </c>
      <c r="C24" s="137">
        <v>100900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-7102</v>
      </c>
      <c r="C25" s="137">
        <v>-355100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11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8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-29.900000000000002</v>
      </c>
    </row>
    <row r="29" spans="1:17" x14ac:dyDescent="0.45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-76.5</v>
      </c>
    </row>
    <row r="30" spans="1:17" x14ac:dyDescent="0.45">
      <c r="A30" s="53" t="s">
        <v>139</v>
      </c>
      <c r="B30" s="61">
        <v>1</v>
      </c>
      <c r="C30" s="40">
        <f>IF(B$3=0,0,B30/B$3)</f>
        <v>3.3557046979865771E-3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-129.6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  <c r="K31" s="36">
        <v>29</v>
      </c>
      <c r="L31" s="95">
        <v>-128.79999999999998</v>
      </c>
    </row>
    <row r="32" spans="1:17" x14ac:dyDescent="0.45">
      <c r="A32" s="86" t="s">
        <v>183</v>
      </c>
      <c r="B32" s="144">
        <v>9</v>
      </c>
      <c r="C32" s="141">
        <f>IF(B$15=0,0,B32/B$15)</f>
        <v>0.11688311688311688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-106.39999999999998</v>
      </c>
    </row>
    <row r="33" spans="1:12" x14ac:dyDescent="0.45">
      <c r="A33" s="51" t="s">
        <v>179</v>
      </c>
      <c r="B33" s="44">
        <v>11</v>
      </c>
      <c r="C33" s="37">
        <f t="shared" ref="C33:C44" si="2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-77.399999999999977</v>
      </c>
    </row>
    <row r="34" spans="1:12" x14ac:dyDescent="0.45">
      <c r="A34" s="51" t="s">
        <v>180</v>
      </c>
      <c r="B34" s="145">
        <v>13</v>
      </c>
      <c r="C34" s="37">
        <f>IF(B$15=0,0,B34/B$15)</f>
        <v>0.16883116883116883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-96.699999999999974</v>
      </c>
    </row>
    <row r="35" spans="1:12" x14ac:dyDescent="0.45">
      <c r="A35" s="51" t="s">
        <v>181</v>
      </c>
      <c r="B35" s="145">
        <v>10</v>
      </c>
      <c r="C35" s="37">
        <f t="shared" si="2"/>
        <v>0.12987012987012986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6</v>
      </c>
    </row>
    <row r="36" spans="1:12" x14ac:dyDescent="0.45">
      <c r="A36" s="51" t="s">
        <v>182</v>
      </c>
      <c r="B36" s="145">
        <v>13</v>
      </c>
      <c r="C36" s="37">
        <f t="shared" si="2"/>
        <v>0.16883116883116883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12" x14ac:dyDescent="0.45">
      <c r="A37" s="51" t="s">
        <v>184</v>
      </c>
      <c r="B37" s="145">
        <v>14</v>
      </c>
      <c r="C37" s="37">
        <f t="shared" si="2"/>
        <v>0.18181818181818182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12" x14ac:dyDescent="0.45">
      <c r="A38" s="51" t="s">
        <v>185</v>
      </c>
      <c r="B38" s="145">
        <v>4</v>
      </c>
      <c r="C38" s="37">
        <f t="shared" si="2"/>
        <v>5.1948051948051951E-2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12" x14ac:dyDescent="0.45">
      <c r="A39" s="51" t="s">
        <v>186</v>
      </c>
      <c r="B39" s="145">
        <v>2</v>
      </c>
      <c r="C39" s="37">
        <f t="shared" si="2"/>
        <v>2.5974025974025976E-2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12" x14ac:dyDescent="0.45">
      <c r="A40" s="51" t="s">
        <v>187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12" x14ac:dyDescent="0.45">
      <c r="A41" s="51" t="s">
        <v>188</v>
      </c>
      <c r="B41" s="145">
        <v>1</v>
      </c>
      <c r="C41" s="37">
        <f t="shared" si="2"/>
        <v>1.2987012987012988E-2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12" x14ac:dyDescent="0.45">
      <c r="A44" s="53" t="s">
        <v>191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2E19A-F94F-44BF-AACA-A978A9152EA8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232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3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8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13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1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6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4CDD4-198D-4FFF-BD0A-1737F269EB6C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256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4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8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8BC95-B629-407D-8C84-22877C2E922E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18</v>
      </c>
      <c r="C2" s="155"/>
      <c r="E2" s="58" t="s">
        <v>64</v>
      </c>
      <c r="F2" s="55" t="s">
        <v>20</v>
      </c>
      <c r="G2" s="43">
        <v>32</v>
      </c>
      <c r="H2" s="128">
        <f>IF(B$15=0,0,G2/B$15)</f>
        <v>0.59259259259259256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-2194.4444444444443</v>
      </c>
      <c r="P2" s="114">
        <v>18</v>
      </c>
      <c r="Q2" s="98">
        <v>-39500</v>
      </c>
    </row>
    <row r="3" spans="1:17" x14ac:dyDescent="0.45">
      <c r="A3" s="51" t="s">
        <v>8</v>
      </c>
      <c r="B3" s="156">
        <v>155</v>
      </c>
      <c r="C3" s="157"/>
      <c r="E3" s="59" t="s">
        <v>66</v>
      </c>
      <c r="F3" s="56" t="s">
        <v>22</v>
      </c>
      <c r="G3" s="44">
        <v>32</v>
      </c>
      <c r="H3" s="129">
        <f>IF(B$15=0,0,G3/B$15)</f>
        <v>0.59259259259259256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-188.88888888888889</v>
      </c>
      <c r="P3" s="115">
        <v>18</v>
      </c>
      <c r="Q3" s="99">
        <v>-3400</v>
      </c>
    </row>
    <row r="4" spans="1:17" x14ac:dyDescent="0.45">
      <c r="A4" s="51" t="s">
        <v>6</v>
      </c>
      <c r="B4" s="158">
        <v>-55.6</v>
      </c>
      <c r="C4" s="159"/>
      <c r="E4" s="59" t="s">
        <v>67</v>
      </c>
      <c r="F4" s="56" t="s">
        <v>23</v>
      </c>
      <c r="G4" s="44">
        <v>26</v>
      </c>
      <c r="H4" s="129">
        <f>IF(B$15=0,0,G4/B$15)</f>
        <v>0.48148148148148145</v>
      </c>
      <c r="I4" s="90">
        <v>2</v>
      </c>
      <c r="K4" s="36">
        <v>2</v>
      </c>
      <c r="L4" s="95">
        <v>27.8</v>
      </c>
      <c r="N4" s="111" t="s">
        <v>132</v>
      </c>
      <c r="O4" s="118">
        <f t="shared" si="0"/>
        <v>-2300</v>
      </c>
      <c r="P4" s="115">
        <v>18</v>
      </c>
      <c r="Q4" s="99">
        <v>-41400</v>
      </c>
    </row>
    <row r="5" spans="1:17" x14ac:dyDescent="0.45">
      <c r="A5" s="51" t="s">
        <v>7</v>
      </c>
      <c r="B5" s="160">
        <f>IF(B$2=0,0,B$4/B$2)</f>
        <v>-3.088888888888889</v>
      </c>
      <c r="C5" s="161"/>
      <c r="E5" s="59" t="s">
        <v>72</v>
      </c>
      <c r="F5" s="56" t="s">
        <v>27</v>
      </c>
      <c r="G5" s="44">
        <v>23</v>
      </c>
      <c r="H5" s="129">
        <f>IF(B$15=0,0,G5/B$15)</f>
        <v>0.42592592592592593</v>
      </c>
      <c r="I5" s="90">
        <v>11</v>
      </c>
      <c r="K5" s="36">
        <v>3</v>
      </c>
      <c r="L5" s="95">
        <v>20.399999999999999</v>
      </c>
      <c r="N5" s="111" t="s">
        <v>133</v>
      </c>
      <c r="O5" s="118">
        <f t="shared" si="0"/>
        <v>1650</v>
      </c>
      <c r="P5" s="115">
        <v>16</v>
      </c>
      <c r="Q5" s="99">
        <v>26400</v>
      </c>
    </row>
    <row r="6" spans="1:17" x14ac:dyDescent="0.45">
      <c r="A6" s="51" t="s">
        <v>1</v>
      </c>
      <c r="B6" s="150">
        <f>IF(B$2=0,0,(B$7*1+B$8*2+B$9*3)/B$2)</f>
        <v>2.0555555555555554</v>
      </c>
      <c r="C6" s="151"/>
      <c r="E6" s="59" t="s">
        <v>68</v>
      </c>
      <c r="F6" s="56" t="s">
        <v>12</v>
      </c>
      <c r="G6" s="44">
        <v>22</v>
      </c>
      <c r="H6" s="129">
        <f>IF(B$15=0,0,G6/B$15)</f>
        <v>0.40740740740740738</v>
      </c>
      <c r="I6" s="90">
        <v>2</v>
      </c>
      <c r="K6" s="36">
        <v>4</v>
      </c>
      <c r="L6" s="95">
        <v>53.1</v>
      </c>
      <c r="N6" s="111" t="s">
        <v>134</v>
      </c>
      <c r="O6" s="118">
        <f t="shared" si="0"/>
        <v>-1150</v>
      </c>
      <c r="P6" s="115">
        <v>14</v>
      </c>
      <c r="Q6" s="99">
        <v>-16100</v>
      </c>
    </row>
    <row r="7" spans="1:17" x14ac:dyDescent="0.45">
      <c r="A7" s="51" t="s">
        <v>2</v>
      </c>
      <c r="B7" s="44">
        <v>6</v>
      </c>
      <c r="C7" s="37">
        <f t="shared" ref="C7:C10" si="1">IF(B$2=0,0,B7/B$2)</f>
        <v>0.33333333333333331</v>
      </c>
      <c r="E7" s="59" t="s">
        <v>166</v>
      </c>
      <c r="F7" s="56" t="s">
        <v>167</v>
      </c>
      <c r="G7" s="44">
        <v>14</v>
      </c>
      <c r="H7" s="129">
        <f>IF(B$15=0,0,G7/B$15)</f>
        <v>0.25925925925925924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2558.3333333333335</v>
      </c>
      <c r="P7" s="116">
        <v>12</v>
      </c>
      <c r="Q7" s="100">
        <v>30700</v>
      </c>
    </row>
    <row r="8" spans="1:17" x14ac:dyDescent="0.45">
      <c r="A8" s="51" t="s">
        <v>3</v>
      </c>
      <c r="B8" s="44">
        <v>5</v>
      </c>
      <c r="C8" s="37">
        <f t="shared" si="1"/>
        <v>0.27777777777777779</v>
      </c>
      <c r="E8" s="59" t="s">
        <v>65</v>
      </c>
      <c r="F8" s="56" t="s">
        <v>21</v>
      </c>
      <c r="G8" s="44">
        <v>9</v>
      </c>
      <c r="H8" s="129">
        <f>IF(B$15=0,0,G8/B$15)</f>
        <v>0.16666666666666666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7</v>
      </c>
      <c r="C9" s="38">
        <f t="shared" si="1"/>
        <v>0.3888888888888889</v>
      </c>
      <c r="E9" s="59" t="s">
        <v>70</v>
      </c>
      <c r="F9" s="56" t="s">
        <v>25</v>
      </c>
      <c r="G9" s="44">
        <v>6</v>
      </c>
      <c r="H9" s="129">
        <f>IF(B$15=0,0,G9/B$15)</f>
        <v>0.1111111111111111</v>
      </c>
      <c r="I9" s="90">
        <v>6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0.16666666666666666</v>
      </c>
      <c r="E10" s="59" t="s">
        <v>69</v>
      </c>
      <c r="F10" s="56" t="s">
        <v>24</v>
      </c>
      <c r="G10" s="44">
        <v>5</v>
      </c>
      <c r="H10" s="129">
        <f>IF(B$15=0,0,G10/B$15)</f>
        <v>9.2592592592592587E-2</v>
      </c>
      <c r="I10" s="90">
        <v>11</v>
      </c>
      <c r="K10" s="36">
        <v>8</v>
      </c>
      <c r="L10" s="95">
        <v>41.3</v>
      </c>
      <c r="N10" s="110" t="s">
        <v>157</v>
      </c>
      <c r="O10" s="120">
        <f>IF(P10=0,0,Q10/P10)</f>
        <v>-13.719999999999999</v>
      </c>
      <c r="P10" s="114">
        <v>5</v>
      </c>
      <c r="Q10" s="102">
        <v>-68.599999999999994</v>
      </c>
    </row>
    <row r="11" spans="1:17" x14ac:dyDescent="0.45">
      <c r="A11" s="54" t="s">
        <v>121</v>
      </c>
      <c r="B11" s="47">
        <v>54</v>
      </c>
      <c r="C11" s="42">
        <f>IF(B$3=0,0,B11/B$3)</f>
        <v>0.34838709677419355</v>
      </c>
      <c r="E11" s="59" t="s">
        <v>89</v>
      </c>
      <c r="F11" s="56" t="s">
        <v>44</v>
      </c>
      <c r="G11" s="44">
        <v>3</v>
      </c>
      <c r="H11" s="129">
        <f>IF(B$15=0,0,G11/B$15)</f>
        <v>5.5555555555555552E-2</v>
      </c>
      <c r="I11" s="90">
        <v>13</v>
      </c>
      <c r="K11" s="36">
        <v>9</v>
      </c>
      <c r="L11" s="95">
        <v>79.699999999999989</v>
      </c>
      <c r="N11" s="111" t="s">
        <v>158</v>
      </c>
      <c r="O11" s="121">
        <f>IF(P11=0,0,Q11/P11)</f>
        <v>-1.9124999999999996</v>
      </c>
      <c r="P11" s="115">
        <v>8</v>
      </c>
      <c r="Q11" s="103">
        <v>-15.299999999999997</v>
      </c>
    </row>
    <row r="12" spans="1:17" x14ac:dyDescent="0.45">
      <c r="A12" s="51" t="s">
        <v>118</v>
      </c>
      <c r="B12" s="44">
        <v>19</v>
      </c>
      <c r="C12" s="37">
        <f>IF(B$3=0,0,B12/B$3)</f>
        <v>0.12258064516129032</v>
      </c>
      <c r="E12" s="59" t="s">
        <v>75</v>
      </c>
      <c r="F12" s="56" t="s">
        <v>30</v>
      </c>
      <c r="G12" s="44">
        <v>2</v>
      </c>
      <c r="H12" s="129">
        <f>IF(B$15=0,0,G12/B$15)</f>
        <v>3.7037037037037035E-2</v>
      </c>
      <c r="I12" s="90">
        <v>1</v>
      </c>
      <c r="K12" s="36">
        <v>10</v>
      </c>
      <c r="L12" s="95">
        <v>86.1</v>
      </c>
      <c r="N12" s="112" t="s">
        <v>159</v>
      </c>
      <c r="O12" s="122">
        <f>IF(P12=0,0,Q12/P12)</f>
        <v>5.6599999999999993</v>
      </c>
      <c r="P12" s="116">
        <v>5</v>
      </c>
      <c r="Q12" s="104">
        <v>28.299999999999997</v>
      </c>
    </row>
    <row r="13" spans="1:17" x14ac:dyDescent="0.45">
      <c r="A13" s="50" t="s">
        <v>123</v>
      </c>
      <c r="B13" s="43">
        <f>B19</f>
        <v>31</v>
      </c>
      <c r="C13" s="35">
        <f>IF(B$11=0,0,B13/B$11)</f>
        <v>0.57407407407407407</v>
      </c>
      <c r="E13" s="59" t="s">
        <v>79</v>
      </c>
      <c r="F13" s="56" t="s">
        <v>34</v>
      </c>
      <c r="G13" s="44">
        <v>2</v>
      </c>
      <c r="H13" s="129">
        <f>IF(B$15=0,0,G13/B$15)</f>
        <v>3.7037037037037035E-2</v>
      </c>
      <c r="I13" s="90">
        <v>2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13</v>
      </c>
      <c r="C14" s="35">
        <f>IF(B$12=0,0,B14/B$12)</f>
        <v>0.68421052631578949</v>
      </c>
      <c r="E14" s="59" t="s">
        <v>83</v>
      </c>
      <c r="F14" s="56" t="s">
        <v>38</v>
      </c>
      <c r="G14" s="44">
        <v>2</v>
      </c>
      <c r="H14" s="129">
        <f>IF(B$15=0,0,G14/B$15)</f>
        <v>3.7037037037037035E-2</v>
      </c>
      <c r="I14" s="90">
        <v>10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54</v>
      </c>
      <c r="C15" s="35">
        <f>IF(B$3=0,0,B15/B$3)</f>
        <v>0.34838709677419355</v>
      </c>
      <c r="E15" s="59" t="s">
        <v>85</v>
      </c>
      <c r="F15" s="56" t="s">
        <v>40</v>
      </c>
      <c r="G15" s="44">
        <v>2</v>
      </c>
      <c r="H15" s="129">
        <f>IF(B$15=0,0,G15/B$15)</f>
        <v>3.7037037037037035E-2</v>
      </c>
      <c r="I15" s="90">
        <v>1</v>
      </c>
      <c r="K15" s="36">
        <v>13</v>
      </c>
      <c r="L15" s="95">
        <v>-47.6</v>
      </c>
      <c r="N15" s="110" t="s">
        <v>171</v>
      </c>
      <c r="O15" s="120">
        <f t="shared" ref="O15:O22" si="2">IF(P15=0,0,Q15/P15)</f>
        <v>32.325000000000003</v>
      </c>
      <c r="P15" s="114">
        <v>4</v>
      </c>
      <c r="Q15" s="102">
        <v>129.30000000000001</v>
      </c>
    </row>
    <row r="16" spans="1:17" x14ac:dyDescent="0.45">
      <c r="A16" s="51" t="s">
        <v>13</v>
      </c>
      <c r="B16" s="44">
        <v>25</v>
      </c>
      <c r="C16" s="37">
        <f>IF(B$3=0,0,B16/B$3)</f>
        <v>0.16129032258064516</v>
      </c>
      <c r="E16" s="59" t="s">
        <v>71</v>
      </c>
      <c r="F16" s="56" t="s">
        <v>26</v>
      </c>
      <c r="G16" s="44">
        <v>1</v>
      </c>
      <c r="H16" s="129">
        <f>IF(B$15=0,0,G16/B$15)</f>
        <v>1.8518518518518517E-2</v>
      </c>
      <c r="I16" s="90">
        <v>13</v>
      </c>
      <c r="K16" s="36">
        <v>14</v>
      </c>
      <c r="L16" s="95">
        <v>-55.5</v>
      </c>
      <c r="N16" s="111" t="s">
        <v>172</v>
      </c>
      <c r="O16" s="121">
        <f t="shared" si="2"/>
        <v>19.249999999999996</v>
      </c>
      <c r="P16" s="115">
        <v>4</v>
      </c>
      <c r="Q16" s="103">
        <v>76.999999999999986</v>
      </c>
    </row>
    <row r="17" spans="1:17" x14ac:dyDescent="0.45">
      <c r="A17" s="51" t="s">
        <v>12</v>
      </c>
      <c r="B17" s="44">
        <v>29</v>
      </c>
      <c r="C17" s="37">
        <f>IF(B$15=0,0,B17/B$15)</f>
        <v>0.53703703703703709</v>
      </c>
      <c r="E17" s="59" t="s">
        <v>86</v>
      </c>
      <c r="F17" s="56" t="s">
        <v>41</v>
      </c>
      <c r="G17" s="44">
        <v>1</v>
      </c>
      <c r="H17" s="129">
        <f>IF(B$15=0,0,G17/B$15)</f>
        <v>1.8518518518518517E-2</v>
      </c>
      <c r="I17" s="90">
        <v>11</v>
      </c>
      <c r="K17" s="36">
        <v>15</v>
      </c>
      <c r="L17" s="95">
        <v>-25.1</v>
      </c>
      <c r="N17" s="111" t="s">
        <v>197</v>
      </c>
      <c r="O17" s="121">
        <f t="shared" si="2"/>
        <v>12.000000000000002</v>
      </c>
      <c r="P17" s="115">
        <v>1</v>
      </c>
      <c r="Q17" s="103">
        <v>12.000000000000002</v>
      </c>
    </row>
    <row r="18" spans="1:17" x14ac:dyDescent="0.45">
      <c r="A18" s="51" t="s">
        <v>11</v>
      </c>
      <c r="B18" s="44">
        <v>25</v>
      </c>
      <c r="C18" s="37">
        <f>IF(B$15=0,0,B18/B$15)</f>
        <v>0.46296296296296297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6</v>
      </c>
      <c r="K18" s="36">
        <v>16</v>
      </c>
      <c r="L18" s="95">
        <v>-13.600000000000001</v>
      </c>
      <c r="N18" s="111" t="s">
        <v>170</v>
      </c>
      <c r="O18" s="121">
        <f t="shared" si="2"/>
        <v>2.910000000000001</v>
      </c>
      <c r="P18" s="115">
        <v>10</v>
      </c>
      <c r="Q18" s="103">
        <v>29.100000000000009</v>
      </c>
    </row>
    <row r="19" spans="1:17" x14ac:dyDescent="0.45">
      <c r="A19" s="51" t="s">
        <v>195</v>
      </c>
      <c r="B19" s="44">
        <v>31</v>
      </c>
      <c r="C19" s="37">
        <f>IF(B$15=0,0,B19/B$15)</f>
        <v>0.57407407407407407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K19" s="36">
        <v>17</v>
      </c>
      <c r="L19" s="95">
        <v>-30.700000000000003</v>
      </c>
      <c r="N19" s="111" t="s">
        <v>127</v>
      </c>
      <c r="O19" s="121">
        <f t="shared" si="2"/>
        <v>2.8600000000000012</v>
      </c>
      <c r="P19" s="115">
        <v>5</v>
      </c>
      <c r="Q19" s="103">
        <v>14.300000000000006</v>
      </c>
    </row>
    <row r="20" spans="1:17" x14ac:dyDescent="0.45">
      <c r="A20" s="51" t="s">
        <v>193</v>
      </c>
      <c r="B20" s="44">
        <v>13</v>
      </c>
      <c r="C20" s="37">
        <f>IF(B$15=0,0,B20/B$15)</f>
        <v>0.24074074074074073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K20" s="36">
        <v>18</v>
      </c>
      <c r="L20" s="95">
        <v>-55.6</v>
      </c>
      <c r="N20" s="111" t="s">
        <v>196</v>
      </c>
      <c r="O20" s="121">
        <f t="shared" si="2"/>
        <v>-0.16666666666666882</v>
      </c>
      <c r="P20" s="115">
        <v>3</v>
      </c>
      <c r="Q20" s="103">
        <v>-0.50000000000000644</v>
      </c>
    </row>
    <row r="21" spans="1:17" x14ac:dyDescent="0.45">
      <c r="A21" s="51" t="s">
        <v>194</v>
      </c>
      <c r="B21" s="44">
        <v>10</v>
      </c>
      <c r="C21" s="37">
        <f>IF(B$15=0,0,B21/B$15)</f>
        <v>0.18518518518518517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 t="shared" si="2"/>
        <v>-42.716666666666669</v>
      </c>
      <c r="P21" s="115">
        <v>6</v>
      </c>
      <c r="Q21" s="103">
        <v>-256.3</v>
      </c>
    </row>
    <row r="22" spans="1:17" x14ac:dyDescent="0.45">
      <c r="A22" s="51" t="s">
        <v>5</v>
      </c>
      <c r="B22" s="48">
        <f>IF(B$15=0,0,C22/B$15)</f>
        <v>6648.1481481481478</v>
      </c>
      <c r="C22" s="39">
        <v>359000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 t="shared" si="2"/>
        <v>-57.233333333333327</v>
      </c>
      <c r="P22" s="115">
        <v>3</v>
      </c>
      <c r="Q22" s="103">
        <v>-171.7</v>
      </c>
    </row>
    <row r="23" spans="1:17" x14ac:dyDescent="0.45">
      <c r="A23" s="52" t="s">
        <v>177</v>
      </c>
      <c r="B23" s="136">
        <f>IF($B$15-B$14=0,0,C23/($B$15-B$14))</f>
        <v>7278.0487804878048</v>
      </c>
      <c r="C23" s="137">
        <v>298400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4661.5384615384619</v>
      </c>
      <c r="C24" s="137">
        <v>60600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5">
      <c r="A25" s="52" t="s">
        <v>176</v>
      </c>
      <c r="B25" s="136">
        <f>IF(B$16=0,0,C25/B$16)</f>
        <v>-8220</v>
      </c>
      <c r="C25" s="137">
        <v>-205500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20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7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2</v>
      </c>
      <c r="C30" s="40">
        <f>IF(B$3=0,0,B30/B$3)</f>
        <v>1.2903225806451613E-2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6</v>
      </c>
      <c r="C32" s="141">
        <f>IF(B$15=0,0,B32/B$15)</f>
        <v>0.1111111111111111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15</v>
      </c>
      <c r="C33" s="37">
        <f t="shared" ref="C33:C44" si="3">IF(B$15=0,0,B33/B$15)</f>
        <v>0.27777777777777779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8</v>
      </c>
      <c r="C34" s="37">
        <f>IF(B$15=0,0,B34/B$15)</f>
        <v>0.14814814814814814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9</v>
      </c>
      <c r="C35" s="37">
        <f t="shared" si="3"/>
        <v>0.16666666666666666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9</v>
      </c>
      <c r="C36" s="37">
        <f t="shared" si="3"/>
        <v>0.16666666666666666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3"/>
        <v>3.7037037037037035E-2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3</v>
      </c>
      <c r="C38" s="37">
        <f t="shared" si="3"/>
        <v>5.5555555555555552E-2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1</v>
      </c>
      <c r="C39" s="37">
        <f t="shared" si="3"/>
        <v>1.8518518518518517E-2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1</v>
      </c>
      <c r="C41" s="37">
        <f t="shared" si="3"/>
        <v>1.8518518518518517E-2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59E61-8335-4BDF-8082-8516406D7F15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410</v>
      </c>
      <c r="P2" s="114">
        <v>10</v>
      </c>
      <c r="Q2" s="98">
        <v>4100</v>
      </c>
    </row>
    <row r="3" spans="1:17" x14ac:dyDescent="0.45">
      <c r="A3" s="51" t="s">
        <v>8</v>
      </c>
      <c r="B3" s="156">
        <v>78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-2890</v>
      </c>
      <c r="P3" s="115">
        <v>10</v>
      </c>
      <c r="Q3" s="99">
        <v>-28900</v>
      </c>
    </row>
    <row r="4" spans="1:17" x14ac:dyDescent="0.45">
      <c r="A4" s="51" t="s">
        <v>6</v>
      </c>
      <c r="B4" s="158">
        <v>9.2999999999999972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5">
      <c r="A5" s="51" t="s">
        <v>7</v>
      </c>
      <c r="B5" s="160">
        <f>IF(B$2=0,0,B$4/B$2)</f>
        <v>0.92999999999999972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5">
      <c r="A9" s="52" t="s">
        <v>4</v>
      </c>
      <c r="B9" s="45">
        <v>5</v>
      </c>
      <c r="C9" s="38">
        <f t="shared" si="1"/>
        <v>0.5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2</v>
      </c>
      <c r="C10" s="40">
        <f t="shared" si="1"/>
        <v>0.2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-37.93333333333333</v>
      </c>
      <c r="P10" s="114">
        <v>3</v>
      </c>
      <c r="Q10" s="102">
        <v>-113.8</v>
      </c>
    </row>
    <row r="11" spans="1:17" x14ac:dyDescent="0.45">
      <c r="A11" s="54" t="s">
        <v>121</v>
      </c>
      <c r="B11" s="47">
        <v>30</v>
      </c>
      <c r="C11" s="42">
        <f>IF(B$3=0,0,B11/B$3)</f>
        <v>0.38461538461538464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K11" s="36">
        <v>9</v>
      </c>
      <c r="L11" s="95">
        <v>54.5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5">
      <c r="A12" s="51" t="s">
        <v>118</v>
      </c>
      <c r="B12" s="44">
        <v>13</v>
      </c>
      <c r="C12" s="37">
        <f>IF(B$3=0,0,B12/B$3)</f>
        <v>0.16666666666666666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K12" s="36">
        <v>10</v>
      </c>
      <c r="L12" s="95">
        <v>9.2999999999999972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5">
      <c r="A13" s="50" t="s">
        <v>123</v>
      </c>
      <c r="B13" s="43">
        <f>B19</f>
        <v>19</v>
      </c>
      <c r="C13" s="35">
        <f>IF(B$11=0,0,B13/B$11)</f>
        <v>0.6333333333333333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0.38461538461538464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26</v>
      </c>
      <c r="C15" s="35">
        <f>IF(B$3=0,0,B15/B$3)</f>
        <v>0.33333333333333331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6</v>
      </c>
      <c r="N15" s="110" t="s">
        <v>301</v>
      </c>
      <c r="O15" s="120">
        <f t="shared" ref="O15:O20" si="2">IF(P15=0,0,Q15/P15)</f>
        <v>45.3</v>
      </c>
      <c r="P15" s="114">
        <v>5</v>
      </c>
      <c r="Q15" s="102">
        <v>226.5</v>
      </c>
    </row>
    <row r="16" spans="1:17" x14ac:dyDescent="0.45">
      <c r="A16" s="51" t="s">
        <v>13</v>
      </c>
      <c r="B16" s="44">
        <v>19</v>
      </c>
      <c r="C16" s="37">
        <f>IF(B$3=0,0,B16/B$3)</f>
        <v>0.24358974358974358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 t="shared" si="2"/>
        <v>38</v>
      </c>
      <c r="P16" s="115">
        <v>1</v>
      </c>
      <c r="Q16" s="103">
        <v>38</v>
      </c>
    </row>
    <row r="17" spans="1:17" x14ac:dyDescent="0.45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 t="shared" si="2"/>
        <v>1.0625</v>
      </c>
      <c r="P17" s="115">
        <v>8</v>
      </c>
      <c r="Q17" s="103">
        <v>8.5</v>
      </c>
    </row>
    <row r="18" spans="1:17" x14ac:dyDescent="0.45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171</v>
      </c>
      <c r="O18" s="121">
        <f t="shared" si="2"/>
        <v>-11</v>
      </c>
      <c r="P18" s="115">
        <v>3</v>
      </c>
      <c r="Q18" s="103">
        <v>-33</v>
      </c>
    </row>
    <row r="19" spans="1:17" x14ac:dyDescent="0.45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 t="shared" si="2"/>
        <v>-31.200000000000003</v>
      </c>
      <c r="P19" s="115">
        <v>1</v>
      </c>
      <c r="Q19" s="103">
        <v>-31.200000000000003</v>
      </c>
    </row>
    <row r="20" spans="1:17" x14ac:dyDescent="0.45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  <c r="N20" s="111" t="s">
        <v>170</v>
      </c>
      <c r="O20" s="121">
        <f t="shared" si="2"/>
        <v>-90.449999999999989</v>
      </c>
      <c r="P20" s="115">
        <v>2</v>
      </c>
      <c r="Q20" s="103">
        <v>-180.89999999999998</v>
      </c>
    </row>
    <row r="21" spans="1:17" x14ac:dyDescent="0.45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-10010.526315789473</v>
      </c>
      <c r="C25" s="137">
        <v>-190200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11</v>
      </c>
      <c r="C27" s="131">
        <v>0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7</v>
      </c>
    </row>
    <row r="29" spans="1:17" x14ac:dyDescent="0.45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1</v>
      </c>
      <c r="C35" s="37">
        <f t="shared" si="3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8</v>
      </c>
      <c r="C36" s="37">
        <f t="shared" si="3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6</v>
      </c>
      <c r="C37" s="37">
        <f t="shared" si="3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0</v>
      </c>
      <c r="C38" s="37">
        <f t="shared" si="3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1</v>
      </c>
      <c r="C40" s="37">
        <f t="shared" si="3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66263-97E6-44A3-AB84-55DBF23BBD5C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301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5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5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5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5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5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5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5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5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5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5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6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5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5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201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5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5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5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34A60-502A-41D6-86A6-E33635DFCE9B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301</v>
      </c>
      <c r="B1" s="66" t="s">
        <v>301</v>
      </c>
      <c r="C1" s="66" t="s">
        <v>301</v>
      </c>
      <c r="D1" s="67" t="s">
        <v>301</v>
      </c>
      <c r="E1" s="66" t="s">
        <v>301</v>
      </c>
      <c r="F1" s="66" t="s">
        <v>301</v>
      </c>
      <c r="G1" s="66" t="s">
        <v>301</v>
      </c>
      <c r="H1" s="66" t="s">
        <v>301</v>
      </c>
      <c r="I1" s="66" t="s">
        <v>301</v>
      </c>
      <c r="J1" s="66" t="s">
        <v>301</v>
      </c>
      <c r="K1" s="66" t="s">
        <v>301</v>
      </c>
      <c r="L1" s="66" t="s">
        <v>301</v>
      </c>
      <c r="M1" s="66" t="s">
        <v>301</v>
      </c>
      <c r="N1" s="66" t="s">
        <v>301</v>
      </c>
      <c r="O1" s="66" t="s">
        <v>301</v>
      </c>
      <c r="P1" s="66" t="s">
        <v>301</v>
      </c>
      <c r="Q1" s="66" t="s">
        <v>301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5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5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5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5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1C3E7-0217-4EA3-A65A-DF1ED3D8AC7B}">
  <sheetPr codeName="Sheet30"/>
  <dimension ref="A1:Q1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201</v>
      </c>
      <c r="B1" s="66" t="s">
        <v>201</v>
      </c>
      <c r="C1" s="66" t="s">
        <v>201</v>
      </c>
      <c r="D1" s="67" t="s">
        <v>201</v>
      </c>
      <c r="E1" s="66" t="s">
        <v>201</v>
      </c>
      <c r="F1" s="66" t="s">
        <v>201</v>
      </c>
      <c r="G1" s="66" t="s">
        <v>201</v>
      </c>
      <c r="H1" s="66" t="s">
        <v>201</v>
      </c>
      <c r="I1" s="66" t="s">
        <v>201</v>
      </c>
      <c r="J1" s="66" t="s">
        <v>201</v>
      </c>
      <c r="K1" s="66" t="s">
        <v>201</v>
      </c>
      <c r="L1" s="66" t="s">
        <v>201</v>
      </c>
      <c r="M1" s="66" t="s">
        <v>201</v>
      </c>
      <c r="N1" s="66" t="s">
        <v>201</v>
      </c>
      <c r="O1" s="66" t="s">
        <v>201</v>
      </c>
      <c r="P1" s="66" t="s">
        <v>201</v>
      </c>
      <c r="Q1" s="66" t="s">
        <v>201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5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5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5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5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5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5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5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  <row r="12" spans="1:17" x14ac:dyDescent="0.45">
      <c r="A12" s="65">
        <v>9</v>
      </c>
      <c r="B12" s="62">
        <v>54.5</v>
      </c>
      <c r="C12" s="62">
        <v>6.0555555555555554</v>
      </c>
      <c r="D12" s="67">
        <v>1.8888888888888888</v>
      </c>
      <c r="E12" s="63">
        <v>0.55555555555555558</v>
      </c>
      <c r="F12" s="63">
        <v>0.44444444444444442</v>
      </c>
      <c r="G12" s="63">
        <v>0.3611111111111111</v>
      </c>
      <c r="H12" s="63">
        <v>0.2361111111111111</v>
      </c>
      <c r="I12" s="64">
        <v>9534.6153846153848</v>
      </c>
      <c r="J12" s="64">
        <v>-9823.5294117647063</v>
      </c>
      <c r="K12" s="63">
        <v>0.1111111111111111</v>
      </c>
      <c r="L12" s="63">
        <v>0.3888888888888889</v>
      </c>
      <c r="M12" s="63">
        <v>0.16666666666666666</v>
      </c>
      <c r="N12" s="63">
        <v>0.6785714285714286</v>
      </c>
      <c r="O12" s="63">
        <v>0.41666666666666669</v>
      </c>
      <c r="P12" s="63">
        <v>0.46153846153846156</v>
      </c>
    </row>
    <row r="13" spans="1:17" x14ac:dyDescent="0.45">
      <c r="A13" s="65">
        <v>10</v>
      </c>
      <c r="B13" s="62">
        <v>9.2999999999999972</v>
      </c>
      <c r="C13" s="62">
        <v>0.92999999999999972</v>
      </c>
      <c r="D13" s="67">
        <v>2</v>
      </c>
      <c r="E13" s="63">
        <v>0.5</v>
      </c>
      <c r="F13" s="63">
        <v>0.5</v>
      </c>
      <c r="G13" s="63">
        <v>0.33333333333333331</v>
      </c>
      <c r="H13" s="63">
        <v>0.24358974358974358</v>
      </c>
      <c r="I13" s="64">
        <v>9534.6153846153848</v>
      </c>
      <c r="J13" s="64">
        <v>-10010.526315789473</v>
      </c>
      <c r="K13" s="63">
        <v>0.2</v>
      </c>
      <c r="L13" s="63">
        <v>0.38461538461538464</v>
      </c>
      <c r="M13" s="63">
        <v>0.16666666666666666</v>
      </c>
      <c r="N13" s="63">
        <v>0.6333333333333333</v>
      </c>
      <c r="O13" s="63">
        <v>0.38461538461538464</v>
      </c>
      <c r="P13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EA943-FE00-4B22-A7DB-9DF5E64CE9AA}">
  <sheetPr codeName="Sheet28"/>
  <dimension ref="A1:Q2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200</v>
      </c>
      <c r="B1" s="66" t="s">
        <v>200</v>
      </c>
      <c r="C1" s="66" t="s">
        <v>200</v>
      </c>
      <c r="D1" s="67" t="s">
        <v>200</v>
      </c>
      <c r="E1" s="66" t="s">
        <v>200</v>
      </c>
      <c r="F1" s="66" t="s">
        <v>200</v>
      </c>
      <c r="G1" s="66" t="s">
        <v>200</v>
      </c>
      <c r="H1" s="66" t="s">
        <v>200</v>
      </c>
      <c r="I1" s="66" t="s">
        <v>200</v>
      </c>
      <c r="J1" s="66" t="s">
        <v>200</v>
      </c>
      <c r="K1" s="66" t="s">
        <v>200</v>
      </c>
      <c r="L1" s="66" t="s">
        <v>200</v>
      </c>
      <c r="M1" s="66" t="s">
        <v>200</v>
      </c>
      <c r="N1" s="66" t="s">
        <v>200</v>
      </c>
      <c r="O1" s="66" t="s">
        <v>200</v>
      </c>
      <c r="P1" s="66" t="s">
        <v>200</v>
      </c>
      <c r="Q1" s="66" t="s">
        <v>200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5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5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5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5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5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5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5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5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5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 x14ac:dyDescent="0.45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 x14ac:dyDescent="0.45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  <row r="17" spans="1:16" x14ac:dyDescent="0.45">
      <c r="A17" s="65">
        <v>14</v>
      </c>
      <c r="B17" s="62">
        <v>-55.5</v>
      </c>
      <c r="C17" s="62">
        <v>-3.9642857142857144</v>
      </c>
      <c r="D17" s="67">
        <v>2</v>
      </c>
      <c r="E17" s="63">
        <v>0.35714285714285715</v>
      </c>
      <c r="F17" s="63">
        <v>0.35714285714285715</v>
      </c>
      <c r="G17" s="63">
        <v>0.34920634920634919</v>
      </c>
      <c r="H17" s="63">
        <v>0.16666666666666666</v>
      </c>
      <c r="I17" s="64">
        <v>6534.090909090909</v>
      </c>
      <c r="J17" s="64">
        <v>-8195.2380952380954</v>
      </c>
      <c r="K17" s="63">
        <v>0.21428571428571427</v>
      </c>
      <c r="L17" s="63">
        <v>0.30952380952380953</v>
      </c>
      <c r="M17" s="63">
        <v>0.12698412698412698</v>
      </c>
      <c r="N17" s="63">
        <v>0.58974358974358976</v>
      </c>
      <c r="O17" s="63">
        <v>0.75</v>
      </c>
      <c r="P17" s="63">
        <v>0.52272727272727271</v>
      </c>
    </row>
    <row r="18" spans="1:16" x14ac:dyDescent="0.45">
      <c r="A18" s="65">
        <v>15</v>
      </c>
      <c r="B18" s="62">
        <v>-25.1</v>
      </c>
      <c r="C18" s="62">
        <v>-1.6733333333333333</v>
      </c>
      <c r="D18" s="67">
        <v>1.9333333333333333</v>
      </c>
      <c r="E18" s="63">
        <v>0.4</v>
      </c>
      <c r="F18" s="63">
        <v>0.33333333333333331</v>
      </c>
      <c r="G18" s="63">
        <v>0.35338345864661652</v>
      </c>
      <c r="H18" s="63">
        <v>0.16541353383458646</v>
      </c>
      <c r="I18" s="64">
        <v>6710.6382978723404</v>
      </c>
      <c r="J18" s="64">
        <v>-8368.181818181818</v>
      </c>
      <c r="K18" s="63">
        <v>0.2</v>
      </c>
      <c r="L18" s="63">
        <v>0.33834586466165412</v>
      </c>
      <c r="M18" s="63">
        <v>0.12030075187969924</v>
      </c>
      <c r="N18" s="63">
        <v>0.57777777777777772</v>
      </c>
      <c r="O18" s="63">
        <v>0.75</v>
      </c>
      <c r="P18" s="63">
        <v>0.48936170212765956</v>
      </c>
    </row>
    <row r="19" spans="1:16" x14ac:dyDescent="0.45">
      <c r="A19" s="65">
        <v>16</v>
      </c>
      <c r="B19" s="62">
        <v>-13.600000000000001</v>
      </c>
      <c r="C19" s="62">
        <v>-0.85000000000000009</v>
      </c>
      <c r="D19" s="67">
        <v>1.9375</v>
      </c>
      <c r="E19" s="63">
        <v>0.375</v>
      </c>
      <c r="F19" s="63">
        <v>0.3125</v>
      </c>
      <c r="G19" s="63">
        <v>0.35766423357664234</v>
      </c>
      <c r="H19" s="63">
        <v>0.16058394160583941</v>
      </c>
      <c r="I19" s="64">
        <v>6679.591836734694</v>
      </c>
      <c r="J19" s="64">
        <v>-8368.181818181818</v>
      </c>
      <c r="K19" s="63">
        <v>0.1875</v>
      </c>
      <c r="L19" s="63">
        <v>0.34306569343065696</v>
      </c>
      <c r="M19" s="63">
        <v>0.11678832116788321</v>
      </c>
      <c r="N19" s="63">
        <v>0.5957446808510638</v>
      </c>
      <c r="O19" s="63">
        <v>0.75</v>
      </c>
      <c r="P19" s="63">
        <v>0.48979591836734693</v>
      </c>
    </row>
    <row r="20" spans="1:16" x14ac:dyDescent="0.45">
      <c r="A20" s="65">
        <v>17</v>
      </c>
      <c r="B20" s="62">
        <v>-30.700000000000003</v>
      </c>
      <c r="C20" s="62">
        <v>-1.8058823529411767</v>
      </c>
      <c r="D20" s="67">
        <v>2</v>
      </c>
      <c r="E20" s="63">
        <v>0.35294117647058826</v>
      </c>
      <c r="F20" s="63">
        <v>0.35294117647058826</v>
      </c>
      <c r="G20" s="63">
        <v>0.35616438356164382</v>
      </c>
      <c r="H20" s="63">
        <v>0.16438356164383561</v>
      </c>
      <c r="I20" s="64">
        <v>6555.7692307692305</v>
      </c>
      <c r="J20" s="64">
        <v>-7895.833333333333</v>
      </c>
      <c r="K20" s="63">
        <v>0.17647058823529413</v>
      </c>
      <c r="L20" s="63">
        <v>0.34931506849315069</v>
      </c>
      <c r="M20" s="63">
        <v>0.11643835616438356</v>
      </c>
      <c r="N20" s="63">
        <v>0.58823529411764708</v>
      </c>
      <c r="O20" s="63">
        <v>0.76470588235294112</v>
      </c>
      <c r="P20" s="63">
        <v>0.51923076923076927</v>
      </c>
    </row>
    <row r="21" spans="1:16" x14ac:dyDescent="0.45">
      <c r="A21" s="65">
        <v>18</v>
      </c>
      <c r="B21" s="62">
        <v>-55.6</v>
      </c>
      <c r="C21" s="62">
        <v>-3.088888888888889</v>
      </c>
      <c r="D21" s="67">
        <v>2.0555555555555554</v>
      </c>
      <c r="E21" s="63">
        <v>0.33333333333333331</v>
      </c>
      <c r="F21" s="63">
        <v>0.3888888888888889</v>
      </c>
      <c r="G21" s="63">
        <v>0.34838709677419355</v>
      </c>
      <c r="H21" s="63">
        <v>0.16129032258064516</v>
      </c>
      <c r="I21" s="64">
        <v>6648.1481481481478</v>
      </c>
      <c r="J21" s="64">
        <v>-8220</v>
      </c>
      <c r="K21" s="63">
        <v>0.16666666666666666</v>
      </c>
      <c r="L21" s="63">
        <v>0.34838709677419355</v>
      </c>
      <c r="M21" s="63">
        <v>0.12258064516129032</v>
      </c>
      <c r="N21" s="63">
        <v>0.57407407407407407</v>
      </c>
      <c r="O21" s="63">
        <v>0.68421052631578949</v>
      </c>
      <c r="P21" s="63">
        <v>0.53703703703703709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08654-3E43-4362-A693-8843650322EE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256</v>
      </c>
      <c r="B1" s="66" t="s">
        <v>256</v>
      </c>
      <c r="C1" s="66" t="s">
        <v>256</v>
      </c>
      <c r="D1" s="67" t="s">
        <v>256</v>
      </c>
      <c r="E1" s="66" t="s">
        <v>256</v>
      </c>
      <c r="F1" s="66" t="s">
        <v>256</v>
      </c>
      <c r="G1" s="66" t="s">
        <v>256</v>
      </c>
      <c r="H1" s="66" t="s">
        <v>256</v>
      </c>
      <c r="I1" s="66" t="s">
        <v>256</v>
      </c>
      <c r="J1" s="66" t="s">
        <v>256</v>
      </c>
      <c r="K1" s="66" t="s">
        <v>256</v>
      </c>
      <c r="L1" s="66" t="s">
        <v>256</v>
      </c>
      <c r="M1" s="66" t="s">
        <v>256</v>
      </c>
      <c r="N1" s="66" t="s">
        <v>256</v>
      </c>
      <c r="O1" s="66" t="s">
        <v>256</v>
      </c>
      <c r="P1" s="66" t="s">
        <v>256</v>
      </c>
      <c r="Q1" s="66" t="s">
        <v>256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F8BF5-546F-473D-91FF-C4D90007158E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232</v>
      </c>
      <c r="B1" s="66" t="s">
        <v>232</v>
      </c>
      <c r="C1" s="66" t="s">
        <v>232</v>
      </c>
      <c r="D1" s="67" t="s">
        <v>232</v>
      </c>
      <c r="E1" s="66" t="s">
        <v>232</v>
      </c>
      <c r="F1" s="66" t="s">
        <v>232</v>
      </c>
      <c r="G1" s="66" t="s">
        <v>232</v>
      </c>
      <c r="H1" s="66" t="s">
        <v>232</v>
      </c>
      <c r="I1" s="66" t="s">
        <v>232</v>
      </c>
      <c r="J1" s="66" t="s">
        <v>232</v>
      </c>
      <c r="K1" s="66" t="s">
        <v>232</v>
      </c>
      <c r="L1" s="66" t="s">
        <v>232</v>
      </c>
      <c r="M1" s="66" t="s">
        <v>232</v>
      </c>
      <c r="N1" s="66" t="s">
        <v>232</v>
      </c>
      <c r="O1" s="66" t="s">
        <v>232</v>
      </c>
      <c r="P1" s="66" t="s">
        <v>232</v>
      </c>
      <c r="Q1" s="66" t="s">
        <v>232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1CB68-EB3D-4937-8295-9899C99E1F0A}">
  <sheetPr codeName="Sheet22"/>
  <dimension ref="A1:Q3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  <row r="29" spans="1:16" x14ac:dyDescent="0.45">
      <c r="A29" s="65">
        <v>26</v>
      </c>
      <c r="B29" s="62">
        <v>-29.900000000000002</v>
      </c>
      <c r="C29" s="62">
        <v>-1.1500000000000001</v>
      </c>
      <c r="D29" s="67">
        <v>2</v>
      </c>
      <c r="E29" s="63">
        <v>0.38461538461538464</v>
      </c>
      <c r="F29" s="63">
        <v>0.38461538461538464</v>
      </c>
      <c r="G29" s="63">
        <v>0.26506024096385544</v>
      </c>
      <c r="H29" s="63">
        <v>0.17269076305220885</v>
      </c>
      <c r="I29" s="64">
        <v>8150</v>
      </c>
      <c r="J29" s="64">
        <v>-6762.7906976744189</v>
      </c>
      <c r="K29" s="63">
        <v>0.11538461538461539</v>
      </c>
      <c r="L29" s="63">
        <v>0.25702811244979917</v>
      </c>
      <c r="M29" s="63">
        <v>0.15662650602409639</v>
      </c>
      <c r="N29" s="63">
        <v>0.59375</v>
      </c>
      <c r="O29" s="63">
        <v>0.35897435897435898</v>
      </c>
      <c r="P29" s="63">
        <v>0.5757575757575758</v>
      </c>
    </row>
    <row r="30" spans="1:16" x14ac:dyDescent="0.45">
      <c r="A30" s="65">
        <v>27</v>
      </c>
      <c r="B30" s="62">
        <v>-76.5</v>
      </c>
      <c r="C30" s="62">
        <v>-2.8333333333333335</v>
      </c>
      <c r="D30" s="67">
        <v>2.0370370370370372</v>
      </c>
      <c r="E30" s="63">
        <v>0.37037037037037035</v>
      </c>
      <c r="F30" s="63">
        <v>0.40740740740740738</v>
      </c>
      <c r="G30" s="63">
        <v>0.25984251968503935</v>
      </c>
      <c r="H30" s="63">
        <v>0.16929133858267717</v>
      </c>
      <c r="I30" s="64">
        <v>8150</v>
      </c>
      <c r="J30" s="64">
        <v>-6762.7906976744189</v>
      </c>
      <c r="K30" s="63">
        <v>0.14814814814814814</v>
      </c>
      <c r="L30" s="63">
        <v>0.25590551181102361</v>
      </c>
      <c r="M30" s="63">
        <v>0.15354330708661418</v>
      </c>
      <c r="N30" s="63">
        <v>0.58461538461538465</v>
      </c>
      <c r="O30" s="63">
        <v>0.35897435897435898</v>
      </c>
      <c r="P30" s="63">
        <v>0.5757575757575758</v>
      </c>
    </row>
    <row r="31" spans="1:16" x14ac:dyDescent="0.45">
      <c r="A31" s="65">
        <v>28</v>
      </c>
      <c r="B31" s="62">
        <v>-129.6</v>
      </c>
      <c r="C31" s="62">
        <v>-4.6285714285714281</v>
      </c>
      <c r="D31" s="67">
        <v>2.0714285714285716</v>
      </c>
      <c r="E31" s="63">
        <v>0.35714285714285715</v>
      </c>
      <c r="F31" s="63">
        <v>0.42857142857142855</v>
      </c>
      <c r="G31" s="63">
        <v>0.25680933852140075</v>
      </c>
      <c r="H31" s="63">
        <v>0.17509727626459143</v>
      </c>
      <c r="I31" s="64">
        <v>8150</v>
      </c>
      <c r="J31" s="64">
        <v>-7120</v>
      </c>
      <c r="K31" s="63">
        <v>0.17857142857142858</v>
      </c>
      <c r="L31" s="63">
        <v>0.26070038910505838</v>
      </c>
      <c r="M31" s="63">
        <v>0.1517509727626459</v>
      </c>
      <c r="N31" s="63">
        <v>0.56716417910447758</v>
      </c>
      <c r="O31" s="63">
        <v>0.35897435897435898</v>
      </c>
      <c r="P31" s="63">
        <v>0.5757575757575758</v>
      </c>
    </row>
    <row r="32" spans="1:16" x14ac:dyDescent="0.45">
      <c r="A32" s="65">
        <v>29</v>
      </c>
      <c r="B32" s="62">
        <v>-128.79999999999998</v>
      </c>
      <c r="C32" s="62">
        <v>-4.4413793103448267</v>
      </c>
      <c r="D32" s="67">
        <v>2.0689655172413794</v>
      </c>
      <c r="E32" s="63">
        <v>0.34482758620689657</v>
      </c>
      <c r="F32" s="63">
        <v>0.41379310344827586</v>
      </c>
      <c r="G32" s="63">
        <v>0.25939849624060152</v>
      </c>
      <c r="H32" s="63">
        <v>0.17293233082706766</v>
      </c>
      <c r="I32" s="64">
        <v>8075.36231884058</v>
      </c>
      <c r="J32" s="64">
        <v>-7078.260869565217</v>
      </c>
      <c r="K32" s="63">
        <v>0.17241379310344829</v>
      </c>
      <c r="L32" s="63">
        <v>0.26691729323308272</v>
      </c>
      <c r="M32" s="63">
        <v>0.15789473684210525</v>
      </c>
      <c r="N32" s="63">
        <v>0.57746478873239437</v>
      </c>
      <c r="O32" s="63">
        <v>0.33333333333333331</v>
      </c>
      <c r="P32" s="63">
        <v>0.57971014492753625</v>
      </c>
    </row>
    <row r="33" spans="1:16" x14ac:dyDescent="0.45">
      <c r="A33" s="65">
        <v>30</v>
      </c>
      <c r="B33" s="62">
        <v>-106.39999999999998</v>
      </c>
      <c r="C33" s="62">
        <v>-3.546666666666666</v>
      </c>
      <c r="D33" s="67">
        <v>2.0333333333333332</v>
      </c>
      <c r="E33" s="63">
        <v>0.36666666666666664</v>
      </c>
      <c r="F33" s="63">
        <v>0.4</v>
      </c>
      <c r="G33" s="63">
        <v>0.25992779783393499</v>
      </c>
      <c r="H33" s="63">
        <v>0.17689530685920576</v>
      </c>
      <c r="I33" s="64">
        <v>8126.3888888888887</v>
      </c>
      <c r="J33" s="64">
        <v>-7002.0408163265311</v>
      </c>
      <c r="K33" s="63">
        <v>0.16666666666666666</v>
      </c>
      <c r="L33" s="63">
        <v>0.27075812274368233</v>
      </c>
      <c r="M33" s="63">
        <v>0.1588447653429603</v>
      </c>
      <c r="N33" s="63">
        <v>0.58666666666666667</v>
      </c>
      <c r="O33" s="63">
        <v>0.31818181818181818</v>
      </c>
      <c r="P33" s="63">
        <v>0.58333333333333337</v>
      </c>
    </row>
    <row r="34" spans="1:16" x14ac:dyDescent="0.45">
      <c r="A34" s="65">
        <v>31</v>
      </c>
      <c r="B34" s="62">
        <v>-77.399999999999977</v>
      </c>
      <c r="C34" s="62">
        <v>-2.4967741935483865</v>
      </c>
      <c r="D34" s="67">
        <v>2</v>
      </c>
      <c r="E34" s="63">
        <v>0.38709677419354838</v>
      </c>
      <c r="F34" s="63">
        <v>0.38709677419354838</v>
      </c>
      <c r="G34" s="63">
        <v>0.2638888888888889</v>
      </c>
      <c r="H34" s="63">
        <v>0.1701388888888889</v>
      </c>
      <c r="I34" s="64">
        <v>8114.4736842105267</v>
      </c>
      <c r="J34" s="64">
        <v>-7002.0408163265311</v>
      </c>
      <c r="K34" s="63">
        <v>0.16129032258064516</v>
      </c>
      <c r="L34" s="63">
        <v>0.27777777777777779</v>
      </c>
      <c r="M34" s="63">
        <v>0.15625</v>
      </c>
      <c r="N34" s="63">
        <v>0.57499999999999996</v>
      </c>
      <c r="O34" s="63">
        <v>0.33333333333333331</v>
      </c>
      <c r="P34" s="63">
        <v>0.57894736842105265</v>
      </c>
    </row>
    <row r="35" spans="1:16" x14ac:dyDescent="0.45">
      <c r="A35" s="65">
        <v>32</v>
      </c>
      <c r="B35" s="62">
        <v>-96.699999999999974</v>
      </c>
      <c r="C35" s="62">
        <v>-3.0218749999999992</v>
      </c>
      <c r="D35" s="67">
        <v>2</v>
      </c>
      <c r="E35" s="63">
        <v>0.375</v>
      </c>
      <c r="F35" s="63">
        <v>0.375</v>
      </c>
      <c r="G35" s="63">
        <v>0.25838926174496646</v>
      </c>
      <c r="H35" s="63">
        <v>0.16778523489932887</v>
      </c>
      <c r="I35" s="64">
        <v>8164.9350649350654</v>
      </c>
      <c r="J35" s="64">
        <v>-7102</v>
      </c>
      <c r="K35" s="63">
        <v>0.15625</v>
      </c>
      <c r="L35" s="63">
        <v>0.27852348993288589</v>
      </c>
      <c r="M35" s="63">
        <v>0.16107382550335569</v>
      </c>
      <c r="N35" s="63">
        <v>0.5662650602409639</v>
      </c>
      <c r="O35" s="63">
        <v>0.3125</v>
      </c>
      <c r="P35" s="63">
        <v>0.58441558441558439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A4783-0D0A-4144-BD26-DE4F76DBADD5}">
  <sheetPr codeName="Sheet20"/>
  <dimension ref="A1:Q7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5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5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5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5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5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5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5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5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5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5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5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  <row r="63" spans="1:16" x14ac:dyDescent="0.45">
      <c r="A63" s="65">
        <v>60</v>
      </c>
      <c r="B63" s="62">
        <v>-656.2</v>
      </c>
      <c r="C63" s="62">
        <v>-10.936666666666667</v>
      </c>
      <c r="D63" s="67">
        <v>2.2833333333333332</v>
      </c>
      <c r="E63" s="63">
        <v>0.16666666666666666</v>
      </c>
      <c r="F63" s="63">
        <v>0.45</v>
      </c>
      <c r="G63" s="63">
        <v>0.25858585858585859</v>
      </c>
      <c r="H63" s="63">
        <v>0.18181818181818182</v>
      </c>
      <c r="I63" s="64">
        <v>7987.5</v>
      </c>
      <c r="J63" s="64">
        <v>-8255.5555555555547</v>
      </c>
      <c r="K63" s="63">
        <v>0.16666666666666666</v>
      </c>
      <c r="L63" s="63">
        <v>0.21010101010101009</v>
      </c>
      <c r="M63" s="63">
        <v>0.23030303030303031</v>
      </c>
      <c r="N63" s="63">
        <v>0.53846153846153844</v>
      </c>
      <c r="O63" s="63">
        <v>0.42105263157894735</v>
      </c>
      <c r="P63" s="63">
        <v>0.453125</v>
      </c>
    </row>
    <row r="64" spans="1:16" x14ac:dyDescent="0.45">
      <c r="A64" s="65">
        <v>61</v>
      </c>
      <c r="B64" s="62">
        <v>-653.40000000000009</v>
      </c>
      <c r="C64" s="62">
        <v>-10.711475409836067</v>
      </c>
      <c r="D64" s="67">
        <v>2.278688524590164</v>
      </c>
      <c r="E64" s="63">
        <v>0.16393442622950818</v>
      </c>
      <c r="F64" s="63">
        <v>0.44262295081967212</v>
      </c>
      <c r="G64" s="63">
        <v>0.26190476190476192</v>
      </c>
      <c r="H64" s="63">
        <v>0.18055555555555555</v>
      </c>
      <c r="I64" s="64">
        <v>8013.636363636364</v>
      </c>
      <c r="J64" s="64">
        <v>-8362.6373626373625</v>
      </c>
      <c r="K64" s="63">
        <v>0.16393442622950818</v>
      </c>
      <c r="L64" s="63">
        <v>0.20833333333333334</v>
      </c>
      <c r="M64" s="63">
        <v>0.23214285714285715</v>
      </c>
      <c r="N64" s="63">
        <v>0.54285714285714282</v>
      </c>
      <c r="O64" s="63">
        <v>0.42735042735042733</v>
      </c>
      <c r="P64" s="63">
        <v>0.4621212121212121</v>
      </c>
    </row>
    <row r="65" spans="1:16" x14ac:dyDescent="0.45">
      <c r="A65" s="65">
        <v>62</v>
      </c>
      <c r="B65" s="62">
        <v>-665.40000000000009</v>
      </c>
      <c r="C65" s="62">
        <v>-10.732258064516131</v>
      </c>
      <c r="D65" s="67">
        <v>2.274193548387097</v>
      </c>
      <c r="E65" s="63">
        <v>0.16129032258064516</v>
      </c>
      <c r="F65" s="63">
        <v>0.43548387096774194</v>
      </c>
      <c r="G65" s="63">
        <v>0.25918762088974856</v>
      </c>
      <c r="H65" s="63">
        <v>0.17794970986460348</v>
      </c>
      <c r="I65" s="64">
        <v>8070.1492537313434</v>
      </c>
      <c r="J65" s="64">
        <v>-8323.9130434782601</v>
      </c>
      <c r="K65" s="63">
        <v>0.16129032258064516</v>
      </c>
      <c r="L65" s="63">
        <v>0.21083172147001933</v>
      </c>
      <c r="M65" s="63">
        <v>0.22823984526112184</v>
      </c>
      <c r="N65" s="63">
        <v>0.52293577981651373</v>
      </c>
      <c r="O65" s="63">
        <v>0.43220338983050849</v>
      </c>
      <c r="P65" s="63">
        <v>0.45522388059701491</v>
      </c>
    </row>
    <row r="66" spans="1:16" x14ac:dyDescent="0.45">
      <c r="A66" s="65">
        <v>63</v>
      </c>
      <c r="B66" s="62">
        <v>-697.10000000000014</v>
      </c>
      <c r="C66" s="62">
        <v>-11.065079365079367</v>
      </c>
      <c r="D66" s="67">
        <v>2.2857142857142856</v>
      </c>
      <c r="E66" s="63">
        <v>0.15873015873015872</v>
      </c>
      <c r="F66" s="63">
        <v>0.44444444444444442</v>
      </c>
      <c r="G66" s="63">
        <v>0.26003824091778205</v>
      </c>
      <c r="H66" s="63">
        <v>0.17973231357552583</v>
      </c>
      <c r="I66" s="64">
        <v>8066.911764705882</v>
      </c>
      <c r="J66" s="64">
        <v>-8432.978723404256</v>
      </c>
      <c r="K66" s="63">
        <v>0.15873015873015872</v>
      </c>
      <c r="L66" s="63">
        <v>0.21032504780114722</v>
      </c>
      <c r="M66" s="63">
        <v>0.22753346080305928</v>
      </c>
      <c r="N66" s="63">
        <v>0.52727272727272723</v>
      </c>
      <c r="O66" s="63">
        <v>0.42857142857142855</v>
      </c>
      <c r="P66" s="63">
        <v>0.46323529411764708</v>
      </c>
    </row>
    <row r="67" spans="1:16" x14ac:dyDescent="0.45">
      <c r="A67" s="65">
        <v>64</v>
      </c>
      <c r="B67" s="62">
        <v>-704.90000000000009</v>
      </c>
      <c r="C67" s="62">
        <v>-11.014062500000001</v>
      </c>
      <c r="D67" s="67">
        <v>2.28125</v>
      </c>
      <c r="E67" s="63">
        <v>0.15625</v>
      </c>
      <c r="F67" s="63">
        <v>0.4375</v>
      </c>
      <c r="G67" s="63">
        <v>0.2575187969924812</v>
      </c>
      <c r="H67" s="63">
        <v>0.18045112781954886</v>
      </c>
      <c r="I67" s="64">
        <v>8095.6204379562041</v>
      </c>
      <c r="J67" s="64">
        <v>-8397.9166666666661</v>
      </c>
      <c r="K67" s="63">
        <v>0.15625</v>
      </c>
      <c r="L67" s="63">
        <v>0.21052631578947367</v>
      </c>
      <c r="M67" s="63">
        <v>0.22556390977443608</v>
      </c>
      <c r="N67" s="63">
        <v>0.5178571428571429</v>
      </c>
      <c r="O67" s="63">
        <v>0.43333333333333335</v>
      </c>
      <c r="P67" s="63">
        <v>0.45985401459854014</v>
      </c>
    </row>
    <row r="68" spans="1:16" x14ac:dyDescent="0.45">
      <c r="A68" s="65">
        <v>65</v>
      </c>
      <c r="B68" s="62">
        <v>-668.90000000000009</v>
      </c>
      <c r="C68" s="62">
        <v>-10.290769230769232</v>
      </c>
      <c r="D68" s="67">
        <v>2.2615384615384615</v>
      </c>
      <c r="E68" s="63">
        <v>0.16923076923076924</v>
      </c>
      <c r="F68" s="63">
        <v>0.43076923076923079</v>
      </c>
      <c r="G68" s="63">
        <v>0.25925925925925924</v>
      </c>
      <c r="H68" s="63">
        <v>0.17777777777777778</v>
      </c>
      <c r="I68" s="64">
        <v>8176.4285714285716</v>
      </c>
      <c r="J68" s="64">
        <v>-8397.9166666666661</v>
      </c>
      <c r="K68" s="63">
        <v>0.15384615384615385</v>
      </c>
      <c r="L68" s="63">
        <v>0.21111111111111111</v>
      </c>
      <c r="M68" s="63">
        <v>0.22962962962962963</v>
      </c>
      <c r="N68" s="63">
        <v>0.51754385964912286</v>
      </c>
      <c r="O68" s="63">
        <v>0.43548387096774194</v>
      </c>
      <c r="P68" s="63">
        <v>0.45714285714285713</v>
      </c>
    </row>
    <row r="69" spans="1:16" x14ac:dyDescent="0.45">
      <c r="A69" s="65">
        <v>66</v>
      </c>
      <c r="B69" s="62">
        <v>-672.40000000000009</v>
      </c>
      <c r="C69" s="62">
        <v>-10.187878787878789</v>
      </c>
      <c r="D69" s="67">
        <v>2.2575757575757578</v>
      </c>
      <c r="E69" s="63">
        <v>0.16666666666666666</v>
      </c>
      <c r="F69" s="63">
        <v>0.42424242424242425</v>
      </c>
      <c r="G69" s="63">
        <v>0.25782688766114181</v>
      </c>
      <c r="H69" s="63">
        <v>0.17679558011049723</v>
      </c>
      <c r="I69" s="64">
        <v>8176.4285714285716</v>
      </c>
      <c r="J69" s="64">
        <v>-8397.9166666666661</v>
      </c>
      <c r="K69" s="63">
        <v>0.15151515151515152</v>
      </c>
      <c r="L69" s="63">
        <v>0.21362799263351751</v>
      </c>
      <c r="M69" s="63">
        <v>0.2283609576427256</v>
      </c>
      <c r="N69" s="63">
        <v>0.50862068965517238</v>
      </c>
      <c r="O69" s="63">
        <v>0.43548387096774194</v>
      </c>
      <c r="P69" s="63">
        <v>0.45714285714285713</v>
      </c>
    </row>
    <row r="70" spans="1:16" x14ac:dyDescent="0.45">
      <c r="A70" s="65">
        <v>67</v>
      </c>
      <c r="B70" s="62">
        <v>-655.40000000000009</v>
      </c>
      <c r="C70" s="62">
        <v>-9.7820895522388067</v>
      </c>
      <c r="D70" s="67">
        <v>2.2537313432835822</v>
      </c>
      <c r="E70" s="63">
        <v>0.16417910447761194</v>
      </c>
      <c r="F70" s="63">
        <v>0.41791044776119401</v>
      </c>
      <c r="G70" s="63">
        <v>0.26047358834244078</v>
      </c>
      <c r="H70" s="63">
        <v>0.1766848816029144</v>
      </c>
      <c r="I70" s="64">
        <v>8298.6013986013986</v>
      </c>
      <c r="J70" s="64">
        <v>-8558.7628865979386</v>
      </c>
      <c r="K70" s="63">
        <v>0.14925373134328357</v>
      </c>
      <c r="L70" s="63">
        <v>0.21311475409836064</v>
      </c>
      <c r="M70" s="63">
        <v>0.22950819672131148</v>
      </c>
      <c r="N70" s="63">
        <v>0.51282051282051277</v>
      </c>
      <c r="O70" s="63">
        <v>0.44444444444444442</v>
      </c>
      <c r="P70" s="63">
        <v>0.45454545454545453</v>
      </c>
    </row>
    <row r="71" spans="1:16" x14ac:dyDescent="0.45">
      <c r="A71" s="65">
        <v>68</v>
      </c>
      <c r="B71" s="62">
        <v>-656.10000000000014</v>
      </c>
      <c r="C71" s="62">
        <v>-9.6485294117647076</v>
      </c>
      <c r="D71" s="67">
        <v>2.25</v>
      </c>
      <c r="E71" s="63">
        <v>0.16176470588235295</v>
      </c>
      <c r="F71" s="63">
        <v>0.41176470588235292</v>
      </c>
      <c r="G71" s="63">
        <v>0.26079136690647481</v>
      </c>
      <c r="H71" s="63">
        <v>0.17625899280575538</v>
      </c>
      <c r="I71" s="64">
        <v>8292.4137931034475</v>
      </c>
      <c r="J71" s="64">
        <v>-8511.224489795919</v>
      </c>
      <c r="K71" s="63">
        <v>0.14705882352941177</v>
      </c>
      <c r="L71" s="63">
        <v>0.21582733812949639</v>
      </c>
      <c r="M71" s="63">
        <v>0.23021582733812951</v>
      </c>
      <c r="N71" s="63">
        <v>0.5083333333333333</v>
      </c>
      <c r="O71" s="63">
        <v>0.4453125</v>
      </c>
      <c r="P71" s="63">
        <v>0.45517241379310347</v>
      </c>
    </row>
    <row r="72" spans="1:16" x14ac:dyDescent="0.45">
      <c r="A72" s="65">
        <v>69</v>
      </c>
      <c r="B72" s="62">
        <v>-691.90000000000009</v>
      </c>
      <c r="C72" s="62">
        <v>-10.02753623188406</v>
      </c>
      <c r="D72" s="67">
        <v>2.2608695652173911</v>
      </c>
      <c r="E72" s="63">
        <v>0.15942028985507245</v>
      </c>
      <c r="F72" s="63">
        <v>0.42028985507246375</v>
      </c>
      <c r="G72" s="63">
        <v>0.25749559082892415</v>
      </c>
      <c r="H72" s="63">
        <v>0.17460317460317459</v>
      </c>
      <c r="I72" s="64">
        <v>8263.0136986301368</v>
      </c>
      <c r="J72" s="64">
        <v>-8464.6464646464647</v>
      </c>
      <c r="K72" s="63">
        <v>0.14492753623188406</v>
      </c>
      <c r="L72" s="63">
        <v>0.21340388007054673</v>
      </c>
      <c r="M72" s="63">
        <v>0.23280423280423279</v>
      </c>
      <c r="N72" s="63">
        <v>0.50413223140495866</v>
      </c>
      <c r="O72" s="63">
        <v>0.43181818181818182</v>
      </c>
      <c r="P72" s="63">
        <v>0.4589041095890411</v>
      </c>
    </row>
    <row r="73" spans="1:16" x14ac:dyDescent="0.45">
      <c r="A73" s="65">
        <v>70</v>
      </c>
      <c r="B73" s="62">
        <v>-739.50000000000011</v>
      </c>
      <c r="C73" s="62">
        <v>-10.564285714285717</v>
      </c>
      <c r="D73" s="67">
        <v>2.2714285714285714</v>
      </c>
      <c r="E73" s="63">
        <v>0.15714285714285714</v>
      </c>
      <c r="F73" s="63">
        <v>0.42857142857142855</v>
      </c>
      <c r="G73" s="63">
        <v>0.25476603119584057</v>
      </c>
      <c r="H73" s="63">
        <v>0.17677642980935876</v>
      </c>
      <c r="I73" s="64">
        <v>8261.224489795919</v>
      </c>
      <c r="J73" s="64">
        <v>-8473.5294117647063</v>
      </c>
      <c r="K73" s="63">
        <v>0.15714285714285714</v>
      </c>
      <c r="L73" s="63">
        <v>0.21317157712305027</v>
      </c>
      <c r="M73" s="63">
        <v>0.23223570190641249</v>
      </c>
      <c r="N73" s="63">
        <v>0.50406504065040647</v>
      </c>
      <c r="O73" s="63">
        <v>0.42537313432835822</v>
      </c>
      <c r="P73" s="63">
        <v>0.46258503401360546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36AD-EBC4-4024-8886-9D4E027F08E8}">
  <sheetPr codeName="Sheet18"/>
  <dimension ref="A1:Q15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5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5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5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5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5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5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5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5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5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5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5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5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5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5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5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5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  <row r="131" spans="1:16" x14ac:dyDescent="0.45">
      <c r="A131" s="65">
        <v>128</v>
      </c>
      <c r="B131" s="62">
        <v>-181.1</v>
      </c>
      <c r="C131" s="62">
        <v>-1.41484375</v>
      </c>
      <c r="D131" s="67">
        <v>2.0859375</v>
      </c>
      <c r="E131" s="63">
        <v>0.234375</v>
      </c>
      <c r="F131" s="63">
        <v>0.3203125</v>
      </c>
      <c r="G131" s="63">
        <v>0.27681992337164751</v>
      </c>
      <c r="H131" s="63">
        <v>0.1417624521072797</v>
      </c>
      <c r="I131" s="64">
        <v>8278.5467128027685</v>
      </c>
      <c r="J131" s="64">
        <v>-7159.4594594594591</v>
      </c>
      <c r="K131" s="63">
        <v>7.8125E-2</v>
      </c>
      <c r="L131" s="63">
        <v>0.26532567049808431</v>
      </c>
      <c r="M131" s="63">
        <v>0.22318007662835249</v>
      </c>
      <c r="N131" s="63">
        <v>0.54512635379061369</v>
      </c>
      <c r="O131" s="63">
        <v>0.42489270386266093</v>
      </c>
      <c r="P131" s="63">
        <v>0.44636678200692043</v>
      </c>
    </row>
    <row r="132" spans="1:16" x14ac:dyDescent="0.45">
      <c r="A132" s="65">
        <v>129</v>
      </c>
      <c r="B132" s="62">
        <v>-210.29999999999998</v>
      </c>
      <c r="C132" s="62">
        <v>-1.6302325581395347</v>
      </c>
      <c r="D132" s="67">
        <v>2.0930232558139537</v>
      </c>
      <c r="E132" s="63">
        <v>0.23255813953488372</v>
      </c>
      <c r="F132" s="63">
        <v>0.32558139534883723</v>
      </c>
      <c r="G132" s="63">
        <v>0.27619047619047621</v>
      </c>
      <c r="H132" s="63">
        <v>0.14190476190476189</v>
      </c>
      <c r="I132" s="64">
        <v>8276.5517241379312</v>
      </c>
      <c r="J132" s="64">
        <v>-7191.9463087248323</v>
      </c>
      <c r="K132" s="63">
        <v>7.7519379844961239E-2</v>
      </c>
      <c r="L132" s="63">
        <v>0.26476190476190475</v>
      </c>
      <c r="M132" s="63">
        <v>0.22476190476190477</v>
      </c>
      <c r="N132" s="63">
        <v>0.5467625899280576</v>
      </c>
      <c r="O132" s="63">
        <v>0.41949152542372881</v>
      </c>
      <c r="P132" s="63">
        <v>0.44827586206896552</v>
      </c>
    </row>
    <row r="133" spans="1:16" x14ac:dyDescent="0.45">
      <c r="A133" s="65">
        <v>130</v>
      </c>
      <c r="B133" s="62">
        <v>-230.89999999999998</v>
      </c>
      <c r="C133" s="62">
        <v>-1.776153846153846</v>
      </c>
      <c r="D133" s="67">
        <v>2.0923076923076924</v>
      </c>
      <c r="E133" s="63">
        <v>0.23076923076923078</v>
      </c>
      <c r="F133" s="63">
        <v>0.32307692307692309</v>
      </c>
      <c r="G133" s="63">
        <v>0.27573182247403211</v>
      </c>
      <c r="H133" s="63">
        <v>0.14069877242681775</v>
      </c>
      <c r="I133" s="64">
        <v>8255.1369863013697</v>
      </c>
      <c r="J133" s="64">
        <v>-7191.9463087248323</v>
      </c>
      <c r="K133" s="63">
        <v>7.6923076923076927E-2</v>
      </c>
      <c r="L133" s="63">
        <v>0.26628895184135976</v>
      </c>
      <c r="M133" s="63">
        <v>0.22379603399433429</v>
      </c>
      <c r="N133" s="63">
        <v>0.54609929078014185</v>
      </c>
      <c r="O133" s="63">
        <v>0.41772151898734178</v>
      </c>
      <c r="P133" s="63">
        <v>0.4452054794520548</v>
      </c>
    </row>
    <row r="134" spans="1:16" x14ac:dyDescent="0.45">
      <c r="A134" s="65">
        <v>131</v>
      </c>
      <c r="B134" s="62">
        <v>-242.39999999999998</v>
      </c>
      <c r="C134" s="62">
        <v>-1.8503816793893129</v>
      </c>
      <c r="D134" s="67">
        <v>2.0916030534351147</v>
      </c>
      <c r="E134" s="63">
        <v>0.22900763358778625</v>
      </c>
      <c r="F134" s="63">
        <v>0.32061068702290074</v>
      </c>
      <c r="G134" s="63">
        <v>0.27450980392156865</v>
      </c>
      <c r="H134" s="63">
        <v>0.1419234360410831</v>
      </c>
      <c r="I134" s="64">
        <v>8236.3945578231287</v>
      </c>
      <c r="J134" s="64">
        <v>-7076.3157894736842</v>
      </c>
      <c r="K134" s="63">
        <v>7.6335877862595422E-2</v>
      </c>
      <c r="L134" s="63">
        <v>0.26610644257703081</v>
      </c>
      <c r="M134" s="63">
        <v>0.2250233426704015</v>
      </c>
      <c r="N134" s="63">
        <v>0.54736842105263162</v>
      </c>
      <c r="O134" s="63">
        <v>0.41078838174273857</v>
      </c>
      <c r="P134" s="63">
        <v>0.445578231292517</v>
      </c>
    </row>
    <row r="135" spans="1:16" x14ac:dyDescent="0.45">
      <c r="A135" s="65">
        <v>132</v>
      </c>
      <c r="B135" s="62">
        <v>-238.2</v>
      </c>
      <c r="C135" s="62">
        <v>-1.8045454545454545</v>
      </c>
      <c r="D135" s="67">
        <v>2.0909090909090908</v>
      </c>
      <c r="E135" s="63">
        <v>0.22727272727272727</v>
      </c>
      <c r="F135" s="63">
        <v>0.31818181818181818</v>
      </c>
      <c r="G135" s="63">
        <v>0.27525486561631141</v>
      </c>
      <c r="H135" s="63">
        <v>0.14179796107506951</v>
      </c>
      <c r="I135" s="64">
        <v>8234.0067340067344</v>
      </c>
      <c r="J135" s="64">
        <v>-7108.4967320261439</v>
      </c>
      <c r="K135" s="63">
        <v>7.575757575757576E-2</v>
      </c>
      <c r="L135" s="63">
        <v>0.26413345690454126</v>
      </c>
      <c r="M135" s="63">
        <v>0.22613531047265986</v>
      </c>
      <c r="N135" s="63">
        <v>0.54736842105263162</v>
      </c>
      <c r="O135" s="63">
        <v>0.41393442622950821</v>
      </c>
      <c r="P135" s="63">
        <v>0.44444444444444442</v>
      </c>
    </row>
    <row r="136" spans="1:16" x14ac:dyDescent="0.45">
      <c r="A136" s="65">
        <v>133</v>
      </c>
      <c r="B136" s="62">
        <v>-227.5</v>
      </c>
      <c r="C136" s="62">
        <v>-1.7105263157894737</v>
      </c>
      <c r="D136" s="67">
        <v>2.0902255639097747</v>
      </c>
      <c r="E136" s="63">
        <v>0.22556390977443608</v>
      </c>
      <c r="F136" s="63">
        <v>0.31578947368421051</v>
      </c>
      <c r="G136" s="63">
        <v>0.27532228360957645</v>
      </c>
      <c r="H136" s="63">
        <v>0.14088397790055249</v>
      </c>
      <c r="I136" s="64">
        <v>8245.8193979933112</v>
      </c>
      <c r="J136" s="64">
        <v>-7108.4967320261439</v>
      </c>
      <c r="K136" s="63">
        <v>7.5187969924812026E-2</v>
      </c>
      <c r="L136" s="63">
        <v>0.26427255985267034</v>
      </c>
      <c r="M136" s="63">
        <v>0.22559852670349909</v>
      </c>
      <c r="N136" s="63">
        <v>0.54703832752613235</v>
      </c>
      <c r="O136" s="63">
        <v>0.41632653061224489</v>
      </c>
      <c r="P136" s="63">
        <v>0.44481605351170567</v>
      </c>
    </row>
    <row r="137" spans="1:16" x14ac:dyDescent="0.45">
      <c r="A137" s="65">
        <v>134</v>
      </c>
      <c r="B137" s="62">
        <v>-193.6</v>
      </c>
      <c r="C137" s="62">
        <v>-1.4447761194029851</v>
      </c>
      <c r="D137" s="67">
        <v>2.0820895522388061</v>
      </c>
      <c r="E137" s="63">
        <v>0.23134328358208955</v>
      </c>
      <c r="F137" s="63">
        <v>0.31343283582089554</v>
      </c>
      <c r="G137" s="63">
        <v>0.2783882783882784</v>
      </c>
      <c r="H137" s="63">
        <v>0.14010989010989011</v>
      </c>
      <c r="I137" s="64">
        <v>8185.5263157894733</v>
      </c>
      <c r="J137" s="64">
        <v>-7108.4967320261439</v>
      </c>
      <c r="K137" s="63">
        <v>7.4626865671641784E-2</v>
      </c>
      <c r="L137" s="63">
        <v>0.26465201465201466</v>
      </c>
      <c r="M137" s="63">
        <v>0.2271062271062271</v>
      </c>
      <c r="N137" s="63">
        <v>0.55017301038062283</v>
      </c>
      <c r="O137" s="63">
        <v>0.42338709677419356</v>
      </c>
      <c r="P137" s="63">
        <v>0.44407894736842107</v>
      </c>
    </row>
    <row r="138" spans="1:16" x14ac:dyDescent="0.45">
      <c r="A138" s="65">
        <v>135</v>
      </c>
      <c r="B138" s="62">
        <v>-212.1</v>
      </c>
      <c r="C138" s="62">
        <v>-1.5711111111111111</v>
      </c>
      <c r="D138" s="67">
        <v>2.0814814814814815</v>
      </c>
      <c r="E138" s="63">
        <v>0.22962962962962963</v>
      </c>
      <c r="F138" s="63">
        <v>0.31111111111111112</v>
      </c>
      <c r="G138" s="63">
        <v>0.27636363636363637</v>
      </c>
      <c r="H138" s="63">
        <v>0.1390909090909091</v>
      </c>
      <c r="I138" s="64">
        <v>8185.5263157894733</v>
      </c>
      <c r="J138" s="64">
        <v>-7108.4967320261439</v>
      </c>
      <c r="K138" s="63">
        <v>7.407407407407407E-2</v>
      </c>
      <c r="L138" s="63">
        <v>0.26363636363636361</v>
      </c>
      <c r="M138" s="63">
        <v>0.22818181818181818</v>
      </c>
      <c r="N138" s="63">
        <v>0.5482758620689655</v>
      </c>
      <c r="O138" s="63">
        <v>0.41832669322709165</v>
      </c>
      <c r="P138" s="63">
        <v>0.44407894736842107</v>
      </c>
    </row>
    <row r="139" spans="1:16" x14ac:dyDescent="0.45">
      <c r="A139" s="65">
        <v>136</v>
      </c>
      <c r="B139" s="62">
        <v>-179.1</v>
      </c>
      <c r="C139" s="62">
        <v>-1.3169117647058823</v>
      </c>
      <c r="D139" s="67">
        <v>2.0735294117647061</v>
      </c>
      <c r="E139" s="63">
        <v>0.23529411764705882</v>
      </c>
      <c r="F139" s="63">
        <v>0.30882352941176472</v>
      </c>
      <c r="G139" s="63">
        <v>0.2788808664259928</v>
      </c>
      <c r="H139" s="63">
        <v>0.13898916967509026</v>
      </c>
      <c r="I139" s="64">
        <v>8178.9644012944982</v>
      </c>
      <c r="J139" s="64">
        <v>-7140.2597402597403</v>
      </c>
      <c r="K139" s="63">
        <v>7.3529411764705885E-2</v>
      </c>
      <c r="L139" s="63">
        <v>0.26353790613718414</v>
      </c>
      <c r="M139" s="63">
        <v>0.23104693140794225</v>
      </c>
      <c r="N139" s="63">
        <v>0.54794520547945202</v>
      </c>
      <c r="O139" s="63">
        <v>0.42578125</v>
      </c>
      <c r="P139" s="63">
        <v>0.44336569579288027</v>
      </c>
    </row>
    <row r="140" spans="1:16" x14ac:dyDescent="0.45">
      <c r="A140" s="65">
        <v>137</v>
      </c>
      <c r="B140" s="62">
        <v>-152.29999999999998</v>
      </c>
      <c r="C140" s="62">
        <v>-1.1116788321167883</v>
      </c>
      <c r="D140" s="67">
        <v>2.0656934306569341</v>
      </c>
      <c r="E140" s="63">
        <v>0.24087591240875914</v>
      </c>
      <c r="F140" s="63">
        <v>0.30656934306569344</v>
      </c>
      <c r="G140" s="63">
        <v>0.28071748878923769</v>
      </c>
      <c r="H140" s="63">
        <v>0.13901345291479822</v>
      </c>
      <c r="I140" s="64">
        <v>8156.2300319488822</v>
      </c>
      <c r="J140" s="64">
        <v>-7102.5806451612907</v>
      </c>
      <c r="K140" s="63">
        <v>7.2992700729927001E-2</v>
      </c>
      <c r="L140" s="63">
        <v>0.26457399103139012</v>
      </c>
      <c r="M140" s="63">
        <v>0.23139013452914797</v>
      </c>
      <c r="N140" s="63">
        <v>0.54915254237288136</v>
      </c>
      <c r="O140" s="63">
        <v>0.43023255813953487</v>
      </c>
      <c r="P140" s="63">
        <v>0.44089456869009586</v>
      </c>
    </row>
    <row r="141" spans="1:16" x14ac:dyDescent="0.45">
      <c r="A141" s="65">
        <v>138</v>
      </c>
      <c r="B141" s="62">
        <v>-162.49999999999997</v>
      </c>
      <c r="C141" s="62">
        <v>-1.1775362318840579</v>
      </c>
      <c r="D141" s="67">
        <v>2.0652173913043477</v>
      </c>
      <c r="E141" s="63">
        <v>0.2391304347826087</v>
      </c>
      <c r="F141" s="63">
        <v>0.30434782608695654</v>
      </c>
      <c r="G141" s="63">
        <v>0.27960819234194123</v>
      </c>
      <c r="H141" s="63">
        <v>0.13802315227070347</v>
      </c>
      <c r="I141" s="64">
        <v>8147.1337579617839</v>
      </c>
      <c r="J141" s="64">
        <v>-7102.5806451612907</v>
      </c>
      <c r="K141" s="63">
        <v>7.2463768115942032E-2</v>
      </c>
      <c r="L141" s="63">
        <v>0.26357969723953695</v>
      </c>
      <c r="M141" s="63">
        <v>0.23063223508459482</v>
      </c>
      <c r="N141" s="63">
        <v>0.55067567567567566</v>
      </c>
      <c r="O141" s="63">
        <v>0.42857142857142855</v>
      </c>
      <c r="P141" s="63">
        <v>0.4426751592356688</v>
      </c>
    </row>
    <row r="142" spans="1:16" x14ac:dyDescent="0.45">
      <c r="A142" s="65">
        <v>139</v>
      </c>
      <c r="B142" s="62">
        <v>-150.29999999999998</v>
      </c>
      <c r="C142" s="62">
        <v>-1.0812949640287768</v>
      </c>
      <c r="D142" s="67">
        <v>2.0575539568345325</v>
      </c>
      <c r="E142" s="63">
        <v>0.2446043165467626</v>
      </c>
      <c r="F142" s="63">
        <v>0.30215827338129497</v>
      </c>
      <c r="G142" s="63">
        <v>0.27939876215738285</v>
      </c>
      <c r="H142" s="63">
        <v>0.13881520778072501</v>
      </c>
      <c r="I142" s="64">
        <v>8158.8607594936711</v>
      </c>
      <c r="J142" s="64">
        <v>-7075.7961783439487</v>
      </c>
      <c r="K142" s="63">
        <v>7.1942446043165464E-2</v>
      </c>
      <c r="L142" s="63">
        <v>0.2625994694960212</v>
      </c>
      <c r="M142" s="63">
        <v>0.23076923076923078</v>
      </c>
      <c r="N142" s="63">
        <v>0.55218855218855223</v>
      </c>
      <c r="O142" s="63">
        <v>0.42528735632183906</v>
      </c>
      <c r="P142" s="63">
        <v>0.44303797468354428</v>
      </c>
    </row>
    <row r="143" spans="1:16" x14ac:dyDescent="0.45">
      <c r="A143" s="65">
        <v>140</v>
      </c>
      <c r="B143" s="62">
        <v>-96.799999999999983</v>
      </c>
      <c r="C143" s="62">
        <v>-0.69142857142857128</v>
      </c>
      <c r="D143" s="67">
        <v>2.0499999999999998</v>
      </c>
      <c r="E143" s="63">
        <v>0.25</v>
      </c>
      <c r="F143" s="63">
        <v>0.3</v>
      </c>
      <c r="G143" s="63">
        <v>0.27978817299205649</v>
      </c>
      <c r="H143" s="63">
        <v>0.13857016769638128</v>
      </c>
      <c r="I143" s="64">
        <v>8284.5425867507893</v>
      </c>
      <c r="J143" s="64">
        <v>-7075.7961783439487</v>
      </c>
      <c r="K143" s="63">
        <v>7.1428571428571425E-2</v>
      </c>
      <c r="L143" s="63">
        <v>0.26213592233009708</v>
      </c>
      <c r="M143" s="63">
        <v>0.23036187113857018</v>
      </c>
      <c r="N143" s="63">
        <v>0.55218855218855223</v>
      </c>
      <c r="O143" s="63">
        <v>0.42528735632183906</v>
      </c>
      <c r="P143" s="63">
        <v>0.44164037854889587</v>
      </c>
    </row>
    <row r="144" spans="1:16" x14ac:dyDescent="0.45">
      <c r="A144" s="65">
        <v>141</v>
      </c>
      <c r="B144" s="62">
        <v>-105.99999999999999</v>
      </c>
      <c r="C144" s="62">
        <v>-0.75177304964538993</v>
      </c>
      <c r="D144" s="67">
        <v>2.0496453900709222</v>
      </c>
      <c r="E144" s="63">
        <v>0.24822695035460993</v>
      </c>
      <c r="F144" s="63">
        <v>0.2978723404255319</v>
      </c>
      <c r="G144" s="63">
        <v>0.27982456140350875</v>
      </c>
      <c r="H144" s="63">
        <v>0.13859649122807016</v>
      </c>
      <c r="I144" s="64">
        <v>8274.2946708463951</v>
      </c>
      <c r="J144" s="64">
        <v>-7106.9620253164558</v>
      </c>
      <c r="K144" s="63">
        <v>7.0921985815602842E-2</v>
      </c>
      <c r="L144" s="63">
        <v>0.26315789473684209</v>
      </c>
      <c r="M144" s="63">
        <v>0.22982456140350876</v>
      </c>
      <c r="N144" s="63">
        <v>0.55333333333333334</v>
      </c>
      <c r="O144" s="63">
        <v>0.42366412213740456</v>
      </c>
      <c r="P144" s="63">
        <v>0.44200626959247646</v>
      </c>
    </row>
    <row r="145" spans="1:16" x14ac:dyDescent="0.45">
      <c r="A145" s="65">
        <v>142</v>
      </c>
      <c r="B145" s="62">
        <v>-142.29999999999998</v>
      </c>
      <c r="C145" s="62">
        <v>-1.0021126760563379</v>
      </c>
      <c r="D145" s="67">
        <v>2.056338028169014</v>
      </c>
      <c r="E145" s="63">
        <v>0.24647887323943662</v>
      </c>
      <c r="F145" s="63">
        <v>0.30281690140845069</v>
      </c>
      <c r="G145" s="63">
        <v>0.2795138888888889</v>
      </c>
      <c r="H145" s="63">
        <v>0.1388888888888889</v>
      </c>
      <c r="I145" s="64">
        <v>8240.9937888198765</v>
      </c>
      <c r="J145" s="64">
        <v>-7051.875</v>
      </c>
      <c r="K145" s="63">
        <v>7.0422535211267609E-2</v>
      </c>
      <c r="L145" s="63">
        <v>0.26041666666666669</v>
      </c>
      <c r="M145" s="63">
        <v>0.23177083333333334</v>
      </c>
      <c r="N145" s="63">
        <v>0.55333333333333334</v>
      </c>
      <c r="O145" s="63">
        <v>0.42322097378277151</v>
      </c>
      <c r="P145" s="63">
        <v>0.44409937888198758</v>
      </c>
    </row>
    <row r="146" spans="1:16" x14ac:dyDescent="0.45">
      <c r="A146" s="65">
        <v>143</v>
      </c>
      <c r="B146" s="62">
        <v>-141.49999999999997</v>
      </c>
      <c r="C146" s="62">
        <v>-0.98951048951048937</v>
      </c>
      <c r="D146" s="67">
        <v>2.0559440559440558</v>
      </c>
      <c r="E146" s="63">
        <v>0.24475524475524477</v>
      </c>
      <c r="F146" s="63">
        <v>0.30069930069930068</v>
      </c>
      <c r="G146" s="63">
        <v>0.27906976744186046</v>
      </c>
      <c r="H146" s="63">
        <v>0.13953488372093023</v>
      </c>
      <c r="I146" s="64">
        <v>8250.9259259259252</v>
      </c>
      <c r="J146" s="64">
        <v>-7036.4197530864194</v>
      </c>
      <c r="K146" s="63">
        <v>6.9930069930069935E-2</v>
      </c>
      <c r="L146" s="63">
        <v>0.26012058570198104</v>
      </c>
      <c r="M146" s="63">
        <v>0.23083548664944015</v>
      </c>
      <c r="N146" s="63">
        <v>0.55298013245033117</v>
      </c>
      <c r="O146" s="63">
        <v>0.42537313432835822</v>
      </c>
      <c r="P146" s="63">
        <v>0.44753086419753085</v>
      </c>
    </row>
    <row r="147" spans="1:16" x14ac:dyDescent="0.45">
      <c r="A147" s="65">
        <v>144</v>
      </c>
      <c r="B147" s="62">
        <v>-96.699999999999974</v>
      </c>
      <c r="C147" s="62">
        <v>-0.67152777777777761</v>
      </c>
      <c r="D147" s="67">
        <v>2.0486111111111112</v>
      </c>
      <c r="E147" s="63">
        <v>0.25</v>
      </c>
      <c r="F147" s="63">
        <v>0.2986111111111111</v>
      </c>
      <c r="G147" s="63">
        <v>0.28082191780821919</v>
      </c>
      <c r="H147" s="63">
        <v>0.1386986301369863</v>
      </c>
      <c r="I147" s="64">
        <v>8271.0365853658532</v>
      </c>
      <c r="J147" s="64">
        <v>-7036.4197530864194</v>
      </c>
      <c r="K147" s="63">
        <v>6.9444444444444448E-2</v>
      </c>
      <c r="L147" s="63">
        <v>0.26113013698630139</v>
      </c>
      <c r="M147" s="63">
        <v>0.23202054794520549</v>
      </c>
      <c r="N147" s="63">
        <v>0.5540983606557377</v>
      </c>
      <c r="O147" s="63">
        <v>0.4280442804428044</v>
      </c>
      <c r="P147" s="63">
        <v>0.44817073170731708</v>
      </c>
    </row>
    <row r="148" spans="1:16" x14ac:dyDescent="0.45">
      <c r="A148" s="65">
        <v>145</v>
      </c>
      <c r="B148" s="62">
        <v>-40.299999999999976</v>
      </c>
      <c r="C148" s="62">
        <v>-0.27793103448275847</v>
      </c>
      <c r="D148" s="67">
        <v>2.0413793103448277</v>
      </c>
      <c r="E148" s="63">
        <v>0.25517241379310346</v>
      </c>
      <c r="F148" s="63">
        <v>0.29655172413793102</v>
      </c>
      <c r="G148" s="63">
        <v>0.28194207836456558</v>
      </c>
      <c r="H148" s="63">
        <v>0.13798977853492334</v>
      </c>
      <c r="I148" s="64">
        <v>8345.9214501510578</v>
      </c>
      <c r="J148" s="64">
        <v>-7036.4197530864194</v>
      </c>
      <c r="K148" s="63">
        <v>6.8965517241379309E-2</v>
      </c>
      <c r="L148" s="63">
        <v>0.26064735945485518</v>
      </c>
      <c r="M148" s="63">
        <v>0.23168654173764908</v>
      </c>
      <c r="N148" s="63">
        <v>0.55555555555555558</v>
      </c>
      <c r="O148" s="63">
        <v>0.43014705882352944</v>
      </c>
      <c r="P148" s="63">
        <v>0.44712990936555891</v>
      </c>
    </row>
    <row r="149" spans="1:16" x14ac:dyDescent="0.45">
      <c r="A149" s="65">
        <v>146</v>
      </c>
      <c r="B149" s="62">
        <v>-28.099999999999977</v>
      </c>
      <c r="C149" s="62">
        <v>-0.19246575342465738</v>
      </c>
      <c r="D149" s="67">
        <v>2.0410958904109591</v>
      </c>
      <c r="E149" s="63">
        <v>0.25342465753424659</v>
      </c>
      <c r="F149" s="63">
        <v>0.29452054794520549</v>
      </c>
      <c r="G149" s="63">
        <v>0.28172588832487311</v>
      </c>
      <c r="H149" s="63">
        <v>0.13874788494077833</v>
      </c>
      <c r="I149" s="64">
        <v>8336.3363363363369</v>
      </c>
      <c r="J149" s="64">
        <v>-6992.0731707317073</v>
      </c>
      <c r="K149" s="63">
        <v>6.8493150684931503E-2</v>
      </c>
      <c r="L149" s="63">
        <v>0.25888324873096447</v>
      </c>
      <c r="M149" s="63">
        <v>0.2326565143824027</v>
      </c>
      <c r="N149" s="63">
        <v>0.55555555555555558</v>
      </c>
      <c r="O149" s="63">
        <v>0.42545454545454547</v>
      </c>
      <c r="P149" s="63">
        <v>0.44744744744744747</v>
      </c>
    </row>
    <row r="150" spans="1:16" x14ac:dyDescent="0.45">
      <c r="A150" s="65">
        <v>147</v>
      </c>
      <c r="B150" s="62">
        <v>-66.09999999999998</v>
      </c>
      <c r="C150" s="62">
        <v>-0.44965986394557811</v>
      </c>
      <c r="D150" s="67">
        <v>2.0476190476190474</v>
      </c>
      <c r="E150" s="63">
        <v>0.25170068027210885</v>
      </c>
      <c r="F150" s="63">
        <v>0.29931972789115646</v>
      </c>
      <c r="G150" s="63">
        <v>0.28067226890756303</v>
      </c>
      <c r="H150" s="63">
        <v>0.13781512605042018</v>
      </c>
      <c r="I150" s="64">
        <v>8347.3053892215576</v>
      </c>
      <c r="J150" s="64">
        <v>-6992.0731707317073</v>
      </c>
      <c r="K150" s="63">
        <v>6.8027210884353748E-2</v>
      </c>
      <c r="L150" s="63">
        <v>0.25798319327731095</v>
      </c>
      <c r="M150" s="63">
        <v>0.23193277310924371</v>
      </c>
      <c r="N150" s="63">
        <v>0.55374592833876224</v>
      </c>
      <c r="O150" s="63">
        <v>0.42391304347826086</v>
      </c>
      <c r="P150" s="63">
        <v>0.44610778443113774</v>
      </c>
    </row>
    <row r="151" spans="1:16" x14ac:dyDescent="0.45">
      <c r="A151" s="65">
        <v>148</v>
      </c>
      <c r="B151" s="62">
        <v>-54.59999999999998</v>
      </c>
      <c r="C151" s="62">
        <v>-0.36891891891891876</v>
      </c>
      <c r="D151" s="67">
        <v>2.0472972972972974</v>
      </c>
      <c r="E151" s="63">
        <v>0.25</v>
      </c>
      <c r="F151" s="63">
        <v>0.29729729729729731</v>
      </c>
      <c r="G151" s="63">
        <v>0.28056951423785592</v>
      </c>
      <c r="H151" s="63">
        <v>0.13735343383584589</v>
      </c>
      <c r="I151" s="64">
        <v>8358.2089552238813</v>
      </c>
      <c r="J151" s="64">
        <v>-6992.0731707317073</v>
      </c>
      <c r="K151" s="63">
        <v>6.7567567567567571E-2</v>
      </c>
      <c r="L151" s="63">
        <v>0.25795644891122277</v>
      </c>
      <c r="M151" s="63">
        <v>0.23115577889447236</v>
      </c>
      <c r="N151" s="63">
        <v>0.55519480519480524</v>
      </c>
      <c r="O151" s="63">
        <v>0.42391304347826086</v>
      </c>
      <c r="P151" s="63">
        <v>0.44776119402985076</v>
      </c>
    </row>
    <row r="152" spans="1:16" x14ac:dyDescent="0.45">
      <c r="A152" s="65">
        <v>149</v>
      </c>
      <c r="B152" s="62">
        <v>-107.79999999999998</v>
      </c>
      <c r="C152" s="62">
        <v>-0.72348993288590591</v>
      </c>
      <c r="D152" s="67">
        <v>2.0536912751677852</v>
      </c>
      <c r="E152" s="63">
        <v>0.24832214765100671</v>
      </c>
      <c r="F152" s="63">
        <v>0.30201342281879195</v>
      </c>
      <c r="G152" s="63">
        <v>0.2793017456359102</v>
      </c>
      <c r="H152" s="63">
        <v>0.1396508728179551</v>
      </c>
      <c r="I152" s="64">
        <v>8404.7619047619046</v>
      </c>
      <c r="J152" s="64">
        <v>-7115.4761904761908</v>
      </c>
      <c r="K152" s="63">
        <v>7.3825503355704702E-2</v>
      </c>
      <c r="L152" s="63">
        <v>0.256857855361596</v>
      </c>
      <c r="M152" s="63">
        <v>0.23108894430590191</v>
      </c>
      <c r="N152" s="63">
        <v>0.55663430420711979</v>
      </c>
      <c r="O152" s="63">
        <v>0.42086330935251798</v>
      </c>
      <c r="P152" s="63">
        <v>0.44642857142857145</v>
      </c>
    </row>
    <row r="153" spans="1:16" x14ac:dyDescent="0.45">
      <c r="A153" s="65">
        <v>150</v>
      </c>
      <c r="B153" s="62">
        <v>-116.49999999999999</v>
      </c>
      <c r="C153" s="62">
        <v>-0.77666666666666662</v>
      </c>
      <c r="D153" s="67">
        <v>2.0533333333333332</v>
      </c>
      <c r="E153" s="63">
        <v>0.24666666666666667</v>
      </c>
      <c r="F153" s="63">
        <v>0.3</v>
      </c>
      <c r="G153" s="63">
        <v>0.27933884297520661</v>
      </c>
      <c r="H153" s="63">
        <v>0.13884297520661157</v>
      </c>
      <c r="I153" s="64">
        <v>8396.7455621301779</v>
      </c>
      <c r="J153" s="64">
        <v>-7115.4761904761908</v>
      </c>
      <c r="K153" s="63">
        <v>7.3333333333333334E-2</v>
      </c>
      <c r="L153" s="63">
        <v>0.25702479338842976</v>
      </c>
      <c r="M153" s="63">
        <v>0.23057851239669422</v>
      </c>
      <c r="N153" s="63">
        <v>0.5562700964630225</v>
      </c>
      <c r="O153" s="63">
        <v>0.42293906810035842</v>
      </c>
      <c r="P153" s="63">
        <v>0.44970414201183434</v>
      </c>
    </row>
    <row r="154" spans="1:16" x14ac:dyDescent="0.45">
      <c r="A154" s="65">
        <v>151</v>
      </c>
      <c r="B154" s="62">
        <v>-110.59999999999998</v>
      </c>
      <c r="C154" s="62">
        <v>-0.73245033112582769</v>
      </c>
      <c r="D154" s="67">
        <v>2.052980132450331</v>
      </c>
      <c r="E154" s="63">
        <v>0.24503311258278146</v>
      </c>
      <c r="F154" s="63">
        <v>0.29801324503311261</v>
      </c>
      <c r="G154" s="63">
        <v>0.27937551355792933</v>
      </c>
      <c r="H154" s="63">
        <v>0.13968775677896467</v>
      </c>
      <c r="I154" s="64">
        <v>8406.176470588236</v>
      </c>
      <c r="J154" s="64">
        <v>-7117.6470588235297</v>
      </c>
      <c r="K154" s="63">
        <v>7.2847682119205295E-2</v>
      </c>
      <c r="L154" s="63">
        <v>0.2563681183237469</v>
      </c>
      <c r="M154" s="63">
        <v>0.23089564502875926</v>
      </c>
      <c r="N154" s="63">
        <v>0.55769230769230771</v>
      </c>
      <c r="O154" s="63">
        <v>0.42348754448398579</v>
      </c>
      <c r="P154" s="63">
        <v>0.45294117647058824</v>
      </c>
    </row>
    <row r="155" spans="1:16" x14ac:dyDescent="0.45">
      <c r="A155" s="65">
        <v>152</v>
      </c>
      <c r="B155" s="62">
        <v>-60.999999999999979</v>
      </c>
      <c r="C155" s="62">
        <v>-0.40131578947368407</v>
      </c>
      <c r="D155" s="67">
        <v>2.0460526315789473</v>
      </c>
      <c r="E155" s="63">
        <v>0.25</v>
      </c>
      <c r="F155" s="63">
        <v>0.29605263157894735</v>
      </c>
      <c r="G155" s="63">
        <v>0.27908868999186331</v>
      </c>
      <c r="H155" s="63">
        <v>0.13832384052074859</v>
      </c>
      <c r="I155" s="64">
        <v>8460.0583090379005</v>
      </c>
      <c r="J155" s="64">
        <v>-7117.6470588235297</v>
      </c>
      <c r="K155" s="63">
        <v>7.2368421052631582E-2</v>
      </c>
      <c r="L155" s="63">
        <v>0.2563059397884459</v>
      </c>
      <c r="M155" s="63">
        <v>0.23026851098454026</v>
      </c>
      <c r="N155" s="63">
        <v>0.55555555555555558</v>
      </c>
      <c r="O155" s="63">
        <v>0.4204946996466431</v>
      </c>
      <c r="P155" s="63">
        <v>0.45772594752186591</v>
      </c>
    </row>
    <row r="156" spans="1:16" x14ac:dyDescent="0.45">
      <c r="A156" s="65">
        <v>153</v>
      </c>
      <c r="B156" s="62">
        <v>-24.699999999999982</v>
      </c>
      <c r="C156" s="62">
        <v>-0.1614379084967319</v>
      </c>
      <c r="D156" s="67">
        <v>2.0392156862745097</v>
      </c>
      <c r="E156" s="63">
        <v>0.25490196078431371</v>
      </c>
      <c r="F156" s="63">
        <v>0.29411764705882354</v>
      </c>
      <c r="G156" s="63">
        <v>0.27938808373590984</v>
      </c>
      <c r="H156" s="63">
        <v>0.13687600644122383</v>
      </c>
      <c r="I156" s="64">
        <v>8470.8933717579257</v>
      </c>
      <c r="J156" s="64">
        <v>-7117.6470588235297</v>
      </c>
      <c r="K156" s="63">
        <v>7.1895424836601302E-2</v>
      </c>
      <c r="L156" s="63">
        <v>0.25764895330112719</v>
      </c>
      <c r="M156" s="63">
        <v>0.22866344605475039</v>
      </c>
      <c r="N156" s="63">
        <v>0.55312499999999998</v>
      </c>
      <c r="O156" s="63">
        <v>0.41901408450704225</v>
      </c>
      <c r="P156" s="63">
        <v>0.45821325648414984</v>
      </c>
    </row>
    <row r="157" spans="1:16" x14ac:dyDescent="0.45">
      <c r="A157" s="65">
        <v>154</v>
      </c>
      <c r="B157" s="62">
        <v>-71.199999999999989</v>
      </c>
      <c r="C157" s="62">
        <v>-0.46233766233766227</v>
      </c>
      <c r="D157" s="67">
        <v>2.0454545454545454</v>
      </c>
      <c r="E157" s="63">
        <v>0.25324675324675322</v>
      </c>
      <c r="F157" s="63">
        <v>0.29870129870129869</v>
      </c>
      <c r="G157" s="63">
        <v>0.27817745803357313</v>
      </c>
      <c r="H157" s="63">
        <v>0.13828936850519585</v>
      </c>
      <c r="I157" s="64">
        <v>8463.7931034482754</v>
      </c>
      <c r="J157" s="64">
        <v>-7154.3352601156066</v>
      </c>
      <c r="K157" s="63">
        <v>7.792207792207792E-2</v>
      </c>
      <c r="L157" s="63">
        <v>0.25659472422062352</v>
      </c>
      <c r="M157" s="63">
        <v>0.22861710631494805</v>
      </c>
      <c r="N157" s="63">
        <v>0.55140186915887845</v>
      </c>
      <c r="O157" s="63">
        <v>0.41958041958041958</v>
      </c>
      <c r="P157" s="63">
        <v>0.45977011494252873</v>
      </c>
    </row>
    <row r="158" spans="1:16" x14ac:dyDescent="0.45">
      <c r="A158" s="65">
        <v>155</v>
      </c>
      <c r="B158" s="62">
        <v>-116.69999999999999</v>
      </c>
      <c r="C158" s="62">
        <v>-0.75290322580645153</v>
      </c>
      <c r="D158" s="67">
        <v>2.0516129032258066</v>
      </c>
      <c r="E158" s="63">
        <v>0.25161290322580643</v>
      </c>
      <c r="F158" s="63">
        <v>0.3032258064516129</v>
      </c>
      <c r="G158" s="63">
        <v>0.27662957074721778</v>
      </c>
      <c r="H158" s="63">
        <v>0.13990461049284578</v>
      </c>
      <c r="I158" s="64">
        <v>8463.7931034482754</v>
      </c>
      <c r="J158" s="64">
        <v>-7214.204545454545</v>
      </c>
      <c r="K158" s="63">
        <v>8.387096774193549E-2</v>
      </c>
      <c r="L158" s="63">
        <v>0.2559618441971383</v>
      </c>
      <c r="M158" s="63">
        <v>0.22813990461049286</v>
      </c>
      <c r="N158" s="63">
        <v>0.5496894409937888</v>
      </c>
      <c r="O158" s="63">
        <v>0.41811846689895471</v>
      </c>
      <c r="P158" s="63">
        <v>0.45977011494252873</v>
      </c>
    </row>
    <row r="159" spans="1:16" x14ac:dyDescent="0.45">
      <c r="A159" s="65">
        <v>156</v>
      </c>
      <c r="B159" s="62">
        <v>-82.1</v>
      </c>
      <c r="C159" s="62">
        <v>-0.5262820512820513</v>
      </c>
      <c r="D159" s="67">
        <v>2.0448717948717947</v>
      </c>
      <c r="E159" s="63">
        <v>0.25641025641025639</v>
      </c>
      <c r="F159" s="63">
        <v>0.30128205128205127</v>
      </c>
      <c r="G159" s="63">
        <v>0.27733755942947702</v>
      </c>
      <c r="H159" s="63">
        <v>0.14025356576862125</v>
      </c>
      <c r="I159" s="64">
        <v>8511.1428571428569</v>
      </c>
      <c r="J159" s="64">
        <v>-7195.4802259887001</v>
      </c>
      <c r="K159" s="63">
        <v>8.3333333333333329E-2</v>
      </c>
      <c r="L159" s="63">
        <v>0.25594294770206022</v>
      </c>
      <c r="M159" s="63">
        <v>0.22741679873217116</v>
      </c>
      <c r="N159" s="63">
        <v>0.54798761609907121</v>
      </c>
      <c r="O159" s="63">
        <v>0.41811846689895471</v>
      </c>
      <c r="P159" s="63">
        <v>0.46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41E9C-05CF-4415-B844-FBE1D9FD5245}">
  <sheetPr codeName="Sheet16"/>
  <dimension ref="A1:Q154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5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5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5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5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5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5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5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5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5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5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5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 x14ac:dyDescent="0.45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 x14ac:dyDescent="0.45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  <row r="116" spans="1:16" x14ac:dyDescent="0.45">
      <c r="A116" s="65">
        <v>113</v>
      </c>
      <c r="B116" s="62">
        <v>638.10000000000025</v>
      </c>
      <c r="C116" s="62">
        <v>5.646902654867259</v>
      </c>
      <c r="D116" s="67">
        <v>1.8672566371681416</v>
      </c>
      <c r="E116" s="63">
        <v>0.4247787610619469</v>
      </c>
      <c r="F116" s="63">
        <v>0.29203539823008851</v>
      </c>
      <c r="G116" s="63">
        <v>0.28277356446370533</v>
      </c>
      <c r="H116" s="63">
        <v>0.17118093174431204</v>
      </c>
      <c r="I116" s="64">
        <v>10757.088122605364</v>
      </c>
      <c r="J116" s="64">
        <v>-8006.3291139240509</v>
      </c>
      <c r="K116" s="63">
        <v>9.7345132743362831E-2</v>
      </c>
      <c r="L116" s="63">
        <v>0.31419284940411701</v>
      </c>
      <c r="M116" s="63">
        <v>0.17659804983748645</v>
      </c>
      <c r="N116" s="63">
        <v>0.55517241379310345</v>
      </c>
      <c r="O116" s="63">
        <v>0.3987730061349693</v>
      </c>
      <c r="P116" s="63">
        <v>0.49808429118773945</v>
      </c>
    </row>
    <row r="117" spans="1:16" x14ac:dyDescent="0.45">
      <c r="A117" s="65">
        <v>114</v>
      </c>
      <c r="B117" s="62">
        <v>637.10000000000025</v>
      </c>
      <c r="C117" s="62">
        <v>5.5885964912280723</v>
      </c>
      <c r="D117" s="67">
        <v>1.868421052631579</v>
      </c>
      <c r="E117" s="63">
        <v>0.42105263157894735</v>
      </c>
      <c r="F117" s="63">
        <v>0.28947368421052633</v>
      </c>
      <c r="G117" s="63">
        <v>0.28279569892473116</v>
      </c>
      <c r="H117" s="63">
        <v>0.16989247311827957</v>
      </c>
      <c r="I117" s="64">
        <v>10736.121673003803</v>
      </c>
      <c r="J117" s="64">
        <v>-8006.3291139240509</v>
      </c>
      <c r="K117" s="63">
        <v>9.6491228070175433E-2</v>
      </c>
      <c r="L117" s="63">
        <v>0.3139784946236559</v>
      </c>
      <c r="M117" s="63">
        <v>0.17741935483870969</v>
      </c>
      <c r="N117" s="63">
        <v>0.55136986301369861</v>
      </c>
      <c r="O117" s="63">
        <v>0.4</v>
      </c>
      <c r="P117" s="63">
        <v>0.49809885931558934</v>
      </c>
    </row>
    <row r="118" spans="1:16" x14ac:dyDescent="0.45">
      <c r="A118" s="65">
        <v>115</v>
      </c>
      <c r="B118" s="62">
        <v>581.10000000000025</v>
      </c>
      <c r="C118" s="62">
        <v>5.0530434782608715</v>
      </c>
      <c r="D118" s="67">
        <v>1.8782608695652174</v>
      </c>
      <c r="E118" s="63">
        <v>0.41739130434782606</v>
      </c>
      <c r="F118" s="63">
        <v>0.29565217391304349</v>
      </c>
      <c r="G118" s="63">
        <v>0.28128342245989307</v>
      </c>
      <c r="H118" s="63">
        <v>0.17005347593582887</v>
      </c>
      <c r="I118" s="64">
        <v>10736.121673003803</v>
      </c>
      <c r="J118" s="64">
        <v>-8106.9182389937105</v>
      </c>
      <c r="K118" s="63">
        <v>0.10434782608695652</v>
      </c>
      <c r="L118" s="63">
        <v>0.31229946524064173</v>
      </c>
      <c r="M118" s="63">
        <v>0.17647058823529413</v>
      </c>
      <c r="N118" s="63">
        <v>0.55136986301369861</v>
      </c>
      <c r="O118" s="63">
        <v>0.4</v>
      </c>
      <c r="P118" s="63">
        <v>0.49809885931558934</v>
      </c>
    </row>
    <row r="119" spans="1:16" x14ac:dyDescent="0.45">
      <c r="A119" s="65">
        <v>116</v>
      </c>
      <c r="B119" s="62">
        <v>558.8000000000003</v>
      </c>
      <c r="C119" s="62">
        <v>4.8172413793103477</v>
      </c>
      <c r="D119" s="67">
        <v>1.8879310344827587</v>
      </c>
      <c r="E119" s="63">
        <v>0.41379310344827586</v>
      </c>
      <c r="F119" s="63">
        <v>0.30172413793103448</v>
      </c>
      <c r="G119" s="63">
        <v>0.28088701161562829</v>
      </c>
      <c r="H119" s="63">
        <v>0.16895459345300951</v>
      </c>
      <c r="I119" s="64">
        <v>10659.774436090225</v>
      </c>
      <c r="J119" s="64">
        <v>-8088.75</v>
      </c>
      <c r="K119" s="63">
        <v>0.10344827586206896</v>
      </c>
      <c r="L119" s="63">
        <v>0.31151003167898628</v>
      </c>
      <c r="M119" s="63">
        <v>0.17634635691657866</v>
      </c>
      <c r="N119" s="63">
        <v>0.55254237288135588</v>
      </c>
      <c r="O119" s="63">
        <v>0.39520958083832336</v>
      </c>
      <c r="P119" s="63">
        <v>0.5</v>
      </c>
    </row>
    <row r="120" spans="1:16" x14ac:dyDescent="0.45">
      <c r="A120" s="65">
        <v>117</v>
      </c>
      <c r="B120" s="62">
        <v>619.00000000000034</v>
      </c>
      <c r="C120" s="62">
        <v>5.2905982905982931</v>
      </c>
      <c r="D120" s="67">
        <v>1.8803418803418803</v>
      </c>
      <c r="E120" s="63">
        <v>0.41880341880341881</v>
      </c>
      <c r="F120" s="63">
        <v>0.29914529914529914</v>
      </c>
      <c r="G120" s="63">
        <v>0.28347280334728031</v>
      </c>
      <c r="H120" s="63">
        <v>0.16945606694560669</v>
      </c>
      <c r="I120" s="64">
        <v>10674.169741697417</v>
      </c>
      <c r="J120" s="64">
        <v>-8017.2839506172841</v>
      </c>
      <c r="K120" s="63">
        <v>0.10256410256410256</v>
      </c>
      <c r="L120" s="63">
        <v>0.31171548117154813</v>
      </c>
      <c r="M120" s="63">
        <v>0.17782426778242677</v>
      </c>
      <c r="N120" s="63">
        <v>0.55704697986577179</v>
      </c>
      <c r="O120" s="63">
        <v>0.39411764705882352</v>
      </c>
      <c r="P120" s="63">
        <v>0.50553505535055354</v>
      </c>
    </row>
    <row r="121" spans="1:16" x14ac:dyDescent="0.45">
      <c r="A121" s="65">
        <v>118</v>
      </c>
      <c r="B121" s="62">
        <v>706.10000000000036</v>
      </c>
      <c r="C121" s="62">
        <v>5.9838983050847485</v>
      </c>
      <c r="D121" s="67">
        <v>1.8728813559322033</v>
      </c>
      <c r="E121" s="63">
        <v>0.42372881355932202</v>
      </c>
      <c r="F121" s="63">
        <v>0.29661016949152541</v>
      </c>
      <c r="G121" s="63">
        <v>0.28526970954356845</v>
      </c>
      <c r="H121" s="63">
        <v>0.16804979253112035</v>
      </c>
      <c r="I121" s="64">
        <v>10721.09090909091</v>
      </c>
      <c r="J121" s="64">
        <v>-8017.2839506172841</v>
      </c>
      <c r="K121" s="63">
        <v>0.10169491525423729</v>
      </c>
      <c r="L121" s="63">
        <v>0.31120331950207469</v>
      </c>
      <c r="M121" s="63">
        <v>0.17946058091286307</v>
      </c>
      <c r="N121" s="63">
        <v>0.55666666666666664</v>
      </c>
      <c r="O121" s="63">
        <v>0.40462427745664742</v>
      </c>
      <c r="P121" s="63">
        <v>0.50545454545454549</v>
      </c>
    </row>
    <row r="122" spans="1:16" x14ac:dyDescent="0.45">
      <c r="A122" s="65">
        <v>119</v>
      </c>
      <c r="B122" s="62">
        <v>672.80000000000041</v>
      </c>
      <c r="C122" s="62">
        <v>5.653781512605045</v>
      </c>
      <c r="D122" s="67">
        <v>1.8823529411764706</v>
      </c>
      <c r="E122" s="63">
        <v>0.42016806722689076</v>
      </c>
      <c r="F122" s="63">
        <v>0.30252100840336132</v>
      </c>
      <c r="G122" s="63">
        <v>0.28365878725590954</v>
      </c>
      <c r="H122" s="63">
        <v>0.16855087358684481</v>
      </c>
      <c r="I122" s="64">
        <v>10711.231884057972</v>
      </c>
      <c r="J122" s="64">
        <v>-7949.3902439024387</v>
      </c>
      <c r="K122" s="63">
        <v>0.10084033613445378</v>
      </c>
      <c r="L122" s="63">
        <v>0.31038026721479961</v>
      </c>
      <c r="M122" s="63">
        <v>0.17985611510791366</v>
      </c>
      <c r="N122" s="63">
        <v>0.55629139072847678</v>
      </c>
      <c r="O122" s="63">
        <v>0.4</v>
      </c>
      <c r="P122" s="63">
        <v>0.50724637681159424</v>
      </c>
    </row>
    <row r="123" spans="1:16" x14ac:dyDescent="0.45">
      <c r="A123" s="65">
        <v>120</v>
      </c>
      <c r="B123" s="62">
        <v>622.40000000000043</v>
      </c>
      <c r="C123" s="62">
        <v>5.1866666666666701</v>
      </c>
      <c r="D123" s="67">
        <v>1.8916666666666666</v>
      </c>
      <c r="E123" s="63">
        <v>0.41666666666666669</v>
      </c>
      <c r="F123" s="63">
        <v>0.30833333333333335</v>
      </c>
      <c r="G123" s="63">
        <v>0.28194726166328599</v>
      </c>
      <c r="H123" s="63">
        <v>0.16937119675456389</v>
      </c>
      <c r="I123" s="64">
        <v>10716.187050359713</v>
      </c>
      <c r="J123" s="64">
        <v>-8014.9700598802392</v>
      </c>
      <c r="K123" s="63">
        <v>0.10833333333333334</v>
      </c>
      <c r="L123" s="63">
        <v>0.30933062880324541</v>
      </c>
      <c r="M123" s="63">
        <v>0.18154158215010141</v>
      </c>
      <c r="N123" s="63">
        <v>0.55081967213114758</v>
      </c>
      <c r="O123" s="63">
        <v>0.4022346368715084</v>
      </c>
      <c r="P123" s="63">
        <v>0.5071942446043165</v>
      </c>
    </row>
    <row r="124" spans="1:16" x14ac:dyDescent="0.45">
      <c r="A124" s="65">
        <v>121</v>
      </c>
      <c r="B124" s="62">
        <v>623.70000000000039</v>
      </c>
      <c r="C124" s="62">
        <v>5.1545454545454579</v>
      </c>
      <c r="D124" s="67">
        <v>1.8925619834710743</v>
      </c>
      <c r="E124" s="63">
        <v>0.41322314049586778</v>
      </c>
      <c r="F124" s="63">
        <v>0.30578512396694213</v>
      </c>
      <c r="G124" s="63">
        <v>0.28225806451612906</v>
      </c>
      <c r="H124" s="63">
        <v>0.16935483870967741</v>
      </c>
      <c r="I124" s="64">
        <v>10701.428571428571</v>
      </c>
      <c r="J124" s="64">
        <v>-7998.2142857142853</v>
      </c>
      <c r="K124" s="63">
        <v>0.10743801652892562</v>
      </c>
      <c r="L124" s="63">
        <v>0.30947580645161288</v>
      </c>
      <c r="M124" s="63">
        <v>0.18044354838709678</v>
      </c>
      <c r="N124" s="63">
        <v>0.55374592833876224</v>
      </c>
      <c r="O124" s="63">
        <v>0.4022346368715084</v>
      </c>
      <c r="P124" s="63">
        <v>0.50714285714285712</v>
      </c>
    </row>
    <row r="125" spans="1:16" x14ac:dyDescent="0.45">
      <c r="A125" s="65">
        <v>122</v>
      </c>
      <c r="B125" s="62">
        <v>609.30000000000041</v>
      </c>
      <c r="C125" s="62">
        <v>4.9942622950819704</v>
      </c>
      <c r="D125" s="67">
        <v>1.8934426229508197</v>
      </c>
      <c r="E125" s="63">
        <v>0.4098360655737705</v>
      </c>
      <c r="F125" s="63">
        <v>0.30327868852459017</v>
      </c>
      <c r="G125" s="63">
        <v>0.28128128128128127</v>
      </c>
      <c r="H125" s="63">
        <v>0.17017017017017017</v>
      </c>
      <c r="I125" s="64">
        <v>10666.903914590748</v>
      </c>
      <c r="J125" s="64">
        <v>-7932.9411764705883</v>
      </c>
      <c r="K125" s="63">
        <v>0.10655737704918032</v>
      </c>
      <c r="L125" s="63">
        <v>0.30730730730730732</v>
      </c>
      <c r="M125" s="63">
        <v>0.18118118118118118</v>
      </c>
      <c r="N125" s="63">
        <v>0.55374592833876224</v>
      </c>
      <c r="O125" s="63">
        <v>0.40331491712707185</v>
      </c>
      <c r="P125" s="63">
        <v>0.50533807829181498</v>
      </c>
    </row>
    <row r="126" spans="1:16" x14ac:dyDescent="0.45">
      <c r="A126" s="65">
        <v>123</v>
      </c>
      <c r="B126" s="62">
        <v>621.50000000000045</v>
      </c>
      <c r="C126" s="62">
        <v>5.052845528455288</v>
      </c>
      <c r="D126" s="67">
        <v>1.8943089430894309</v>
      </c>
      <c r="E126" s="63">
        <v>0.4065040650406504</v>
      </c>
      <c r="F126" s="63">
        <v>0.30081300813008133</v>
      </c>
      <c r="G126" s="63">
        <v>0.2813121272365805</v>
      </c>
      <c r="H126" s="63">
        <v>0.16898608349900596</v>
      </c>
      <c r="I126" s="64">
        <v>10697.526501766784</v>
      </c>
      <c r="J126" s="64">
        <v>-7932.9411764705883</v>
      </c>
      <c r="K126" s="63">
        <v>0.10569105691056911</v>
      </c>
      <c r="L126" s="63">
        <v>0.30715705765407553</v>
      </c>
      <c r="M126" s="63">
        <v>0.18091451292246521</v>
      </c>
      <c r="N126" s="63">
        <v>0.55339805825242716</v>
      </c>
      <c r="O126" s="63">
        <v>0.40109890109890112</v>
      </c>
      <c r="P126" s="63">
        <v>0.50176678445229683</v>
      </c>
    </row>
    <row r="127" spans="1:16" x14ac:dyDescent="0.45">
      <c r="A127" s="65">
        <v>124</v>
      </c>
      <c r="B127" s="62">
        <v>571.00000000000045</v>
      </c>
      <c r="C127" s="62">
        <v>4.6048387096774226</v>
      </c>
      <c r="D127" s="67">
        <v>1.903225806451613</v>
      </c>
      <c r="E127" s="63">
        <v>0.40322580645161288</v>
      </c>
      <c r="F127" s="63">
        <v>0.30645161290322581</v>
      </c>
      <c r="G127" s="63">
        <v>0.27936821322803551</v>
      </c>
      <c r="H127" s="63">
        <v>0.16979269496544916</v>
      </c>
      <c r="I127" s="64">
        <v>10697.526501766784</v>
      </c>
      <c r="J127" s="64">
        <v>-7897.0930232558139</v>
      </c>
      <c r="K127" s="63">
        <v>0.11290322580645161</v>
      </c>
      <c r="L127" s="63">
        <v>0.30700888450148073</v>
      </c>
      <c r="M127" s="63">
        <v>0.18065153010858837</v>
      </c>
      <c r="N127" s="63">
        <v>0.54983922829581988</v>
      </c>
      <c r="O127" s="63">
        <v>0.39890710382513661</v>
      </c>
      <c r="P127" s="63">
        <v>0.50176678445229683</v>
      </c>
    </row>
    <row r="128" spans="1:16" x14ac:dyDescent="0.45">
      <c r="A128" s="65">
        <v>125</v>
      </c>
      <c r="B128" s="62">
        <v>505.50000000000045</v>
      </c>
      <c r="C128" s="62">
        <v>4.044000000000004</v>
      </c>
      <c r="D128" s="67">
        <v>1.9119999999999999</v>
      </c>
      <c r="E128" s="63">
        <v>0.4</v>
      </c>
      <c r="F128" s="63">
        <v>0.312</v>
      </c>
      <c r="G128" s="63">
        <v>0.27881773399014781</v>
      </c>
      <c r="H128" s="63">
        <v>0.17044334975369457</v>
      </c>
      <c r="I128" s="64">
        <v>10697.526501766784</v>
      </c>
      <c r="J128" s="64">
        <v>-8128.9017341040462</v>
      </c>
      <c r="K128" s="63">
        <v>0.12</v>
      </c>
      <c r="L128" s="63">
        <v>0.30640394088669953</v>
      </c>
      <c r="M128" s="63">
        <v>0.18029556650246306</v>
      </c>
      <c r="N128" s="63">
        <v>0.54983922829581988</v>
      </c>
      <c r="O128" s="63">
        <v>0.39890710382513661</v>
      </c>
      <c r="P128" s="63">
        <v>0.50176678445229683</v>
      </c>
    </row>
    <row r="129" spans="1:16" x14ac:dyDescent="0.45">
      <c r="A129" s="65">
        <v>126</v>
      </c>
      <c r="B129" s="62">
        <v>475.00000000000045</v>
      </c>
      <c r="C129" s="62">
        <v>3.7698412698412733</v>
      </c>
      <c r="D129" s="67">
        <v>1.9206349206349207</v>
      </c>
      <c r="E129" s="63">
        <v>0.3968253968253968</v>
      </c>
      <c r="F129" s="63">
        <v>0.31746031746031744</v>
      </c>
      <c r="G129" s="63">
        <v>0.27788649706457924</v>
      </c>
      <c r="H129" s="63">
        <v>0.17123287671232876</v>
      </c>
      <c r="I129" s="64">
        <v>10702.112676056338</v>
      </c>
      <c r="J129" s="64">
        <v>-8111.4285714285716</v>
      </c>
      <c r="K129" s="63">
        <v>0.11904761904761904</v>
      </c>
      <c r="L129" s="63">
        <v>0.30430528375733856</v>
      </c>
      <c r="M129" s="63">
        <v>0.18395303326810175</v>
      </c>
      <c r="N129" s="63">
        <v>0.54983922829581988</v>
      </c>
      <c r="O129" s="63">
        <v>0.39361702127659576</v>
      </c>
      <c r="P129" s="63">
        <v>0.50352112676056338</v>
      </c>
    </row>
    <row r="130" spans="1:16" x14ac:dyDescent="0.45">
      <c r="A130" s="65">
        <v>127</v>
      </c>
      <c r="B130" s="62">
        <v>531.30000000000041</v>
      </c>
      <c r="C130" s="62">
        <v>4.1834645669291373</v>
      </c>
      <c r="D130" s="67">
        <v>1.9133858267716535</v>
      </c>
      <c r="E130" s="63">
        <v>0.40157480314960631</v>
      </c>
      <c r="F130" s="63">
        <v>0.31496062992125984</v>
      </c>
      <c r="G130" s="63">
        <v>0.27756286266924562</v>
      </c>
      <c r="H130" s="63">
        <v>0.17117988394584138</v>
      </c>
      <c r="I130" s="64">
        <v>10827.177700348431</v>
      </c>
      <c r="J130" s="64">
        <v>-8116.9491525423728</v>
      </c>
      <c r="K130" s="63">
        <v>0.11811023622047244</v>
      </c>
      <c r="L130" s="63">
        <v>0.30367504835589942</v>
      </c>
      <c r="M130" s="63">
        <v>0.18568665377176016</v>
      </c>
      <c r="N130" s="63">
        <v>0.55095541401273884</v>
      </c>
      <c r="O130" s="63">
        <v>0.390625</v>
      </c>
      <c r="P130" s="63">
        <v>0.50871080139372826</v>
      </c>
    </row>
    <row r="131" spans="1:16" x14ac:dyDescent="0.45">
      <c r="A131" s="65">
        <v>128</v>
      </c>
      <c r="B131" s="62">
        <v>494.10000000000042</v>
      </c>
      <c r="C131" s="62">
        <v>3.8601562500000033</v>
      </c>
      <c r="D131" s="67">
        <v>1.921875</v>
      </c>
      <c r="E131" s="63">
        <v>0.3984375</v>
      </c>
      <c r="F131" s="63">
        <v>0.3203125</v>
      </c>
      <c r="G131" s="63">
        <v>0.27586206896551724</v>
      </c>
      <c r="H131" s="63">
        <v>0.17145593869731801</v>
      </c>
      <c r="I131" s="64">
        <v>10831.25</v>
      </c>
      <c r="J131" s="64">
        <v>-8136.3128491620109</v>
      </c>
      <c r="K131" s="63">
        <v>0.1171875</v>
      </c>
      <c r="L131" s="63">
        <v>0.30363984674329503</v>
      </c>
      <c r="M131" s="63">
        <v>0.18486590038314177</v>
      </c>
      <c r="N131" s="63">
        <v>0.54889589905362779</v>
      </c>
      <c r="O131" s="63">
        <v>0.38860103626943004</v>
      </c>
      <c r="P131" s="63">
        <v>0.51041666666666663</v>
      </c>
    </row>
    <row r="132" spans="1:16" x14ac:dyDescent="0.45">
      <c r="A132" s="65">
        <v>129</v>
      </c>
      <c r="B132" s="62">
        <v>529.80000000000041</v>
      </c>
      <c r="C132" s="62">
        <v>4.1069767441860501</v>
      </c>
      <c r="D132" s="67">
        <v>1.9147286821705427</v>
      </c>
      <c r="E132" s="63">
        <v>0.40310077519379844</v>
      </c>
      <c r="F132" s="63">
        <v>0.31782945736434109</v>
      </c>
      <c r="G132" s="63">
        <v>0.27714285714285714</v>
      </c>
      <c r="H132" s="63">
        <v>0.17047619047619048</v>
      </c>
      <c r="I132" s="64">
        <v>10828.52233676976</v>
      </c>
      <c r="J132" s="64">
        <v>-8136.3128491620109</v>
      </c>
      <c r="K132" s="63">
        <v>0.11627906976744186</v>
      </c>
      <c r="L132" s="63">
        <v>0.30476190476190479</v>
      </c>
      <c r="M132" s="63">
        <v>0.18380952380952381</v>
      </c>
      <c r="N132" s="63">
        <v>0.55312499999999998</v>
      </c>
      <c r="O132" s="63">
        <v>0.38860103626943004</v>
      </c>
      <c r="P132" s="63">
        <v>0.51202749140893467</v>
      </c>
    </row>
    <row r="133" spans="1:16" x14ac:dyDescent="0.45">
      <c r="A133" s="65">
        <v>130</v>
      </c>
      <c r="B133" s="62">
        <v>512.20000000000039</v>
      </c>
      <c r="C133" s="62">
        <v>3.9400000000000031</v>
      </c>
      <c r="D133" s="67">
        <v>1.9230769230769231</v>
      </c>
      <c r="E133" s="63">
        <v>0.4</v>
      </c>
      <c r="F133" s="63">
        <v>0.32307692307692309</v>
      </c>
      <c r="G133" s="63">
        <v>0.27599243856332706</v>
      </c>
      <c r="H133" s="63">
        <v>0.17013232514177692</v>
      </c>
      <c r="I133" s="64">
        <v>10798.630136986301</v>
      </c>
      <c r="J133" s="64">
        <v>-8105.5555555555557</v>
      </c>
      <c r="K133" s="63">
        <v>0.11538461538461539</v>
      </c>
      <c r="L133" s="63">
        <v>0.30434782608695654</v>
      </c>
      <c r="M133" s="63">
        <v>0.18525519848771266</v>
      </c>
      <c r="N133" s="63">
        <v>0.5496894409937888</v>
      </c>
      <c r="O133" s="63">
        <v>0.38265306122448978</v>
      </c>
      <c r="P133" s="63">
        <v>0.51369863013698636</v>
      </c>
    </row>
    <row r="134" spans="1:16" x14ac:dyDescent="0.45">
      <c r="A134" s="65">
        <v>131</v>
      </c>
      <c r="B134" s="62">
        <v>465.20000000000039</v>
      </c>
      <c r="C134" s="62">
        <v>3.5511450381679417</v>
      </c>
      <c r="D134" s="67">
        <v>1.9312977099236641</v>
      </c>
      <c r="E134" s="63">
        <v>0.39694656488549618</v>
      </c>
      <c r="F134" s="63">
        <v>0.3282442748091603</v>
      </c>
      <c r="G134" s="63">
        <v>0.27417840375586855</v>
      </c>
      <c r="H134" s="63">
        <v>0.17183098591549295</v>
      </c>
      <c r="I134" s="64">
        <v>10798.630136986301</v>
      </c>
      <c r="J134" s="64">
        <v>-8065.0273224043713</v>
      </c>
      <c r="K134" s="63">
        <v>0.12213740458015267</v>
      </c>
      <c r="L134" s="63">
        <v>0.30234741784037561</v>
      </c>
      <c r="M134" s="63">
        <v>0.18497652582159624</v>
      </c>
      <c r="N134" s="63">
        <v>0.5496894409937888</v>
      </c>
      <c r="O134" s="63">
        <v>0.38071065989847713</v>
      </c>
      <c r="P134" s="63">
        <v>0.51369863013698636</v>
      </c>
    </row>
    <row r="135" spans="1:16" x14ac:dyDescent="0.45">
      <c r="A135" s="65">
        <v>132</v>
      </c>
      <c r="B135" s="62">
        <v>452.20000000000039</v>
      </c>
      <c r="C135" s="62">
        <v>3.4257575757575789</v>
      </c>
      <c r="D135" s="67">
        <v>1.9318181818181819</v>
      </c>
      <c r="E135" s="63">
        <v>0.39393939393939392</v>
      </c>
      <c r="F135" s="63">
        <v>0.32575757575757575</v>
      </c>
      <c r="G135" s="63">
        <v>0.27255813953488373</v>
      </c>
      <c r="H135" s="63">
        <v>0.17209302325581396</v>
      </c>
      <c r="I135" s="64">
        <v>10816.382252559726</v>
      </c>
      <c r="J135" s="64">
        <v>-8040.5405405405409</v>
      </c>
      <c r="K135" s="63">
        <v>0.12121212121212122</v>
      </c>
      <c r="L135" s="63">
        <v>0.30139534883720931</v>
      </c>
      <c r="M135" s="63">
        <v>0.18511627906976744</v>
      </c>
      <c r="N135" s="63">
        <v>0.54938271604938271</v>
      </c>
      <c r="O135" s="63">
        <v>0.37688442211055279</v>
      </c>
      <c r="P135" s="63">
        <v>0.51194539249146753</v>
      </c>
    </row>
    <row r="136" spans="1:16" x14ac:dyDescent="0.45">
      <c r="A136" s="65">
        <v>133</v>
      </c>
      <c r="B136" s="62">
        <v>512.90000000000043</v>
      </c>
      <c r="C136" s="62">
        <v>3.8563909774436125</v>
      </c>
      <c r="D136" s="67">
        <v>1.9248120300751879</v>
      </c>
      <c r="E136" s="63">
        <v>0.39849624060150374</v>
      </c>
      <c r="F136" s="63">
        <v>0.32330827067669171</v>
      </c>
      <c r="G136" s="63">
        <v>0.27331486611265005</v>
      </c>
      <c r="H136" s="63">
        <v>0.17359187442289936</v>
      </c>
      <c r="I136" s="64">
        <v>10950</v>
      </c>
      <c r="J136" s="64">
        <v>-7993.6170212765956</v>
      </c>
      <c r="K136" s="63">
        <v>0.12030075187969924</v>
      </c>
      <c r="L136" s="63">
        <v>0.30009233610341646</v>
      </c>
      <c r="M136" s="63">
        <v>0.18374884579870729</v>
      </c>
      <c r="N136" s="63">
        <v>0.55076923076923079</v>
      </c>
      <c r="O136" s="63">
        <v>0.37688442211055279</v>
      </c>
      <c r="P136" s="63">
        <v>0.51351351351351349</v>
      </c>
    </row>
    <row r="137" spans="1:16" x14ac:dyDescent="0.45">
      <c r="A137" s="65">
        <v>134</v>
      </c>
      <c r="B137" s="62">
        <v>544.10000000000048</v>
      </c>
      <c r="C137" s="62">
        <v>4.0604477611940331</v>
      </c>
      <c r="D137" s="67">
        <v>1.9179104477611941</v>
      </c>
      <c r="E137" s="63">
        <v>0.40298507462686567</v>
      </c>
      <c r="F137" s="63">
        <v>0.32089552238805968</v>
      </c>
      <c r="G137" s="63">
        <v>0.27422303473491771</v>
      </c>
      <c r="H137" s="63">
        <v>0.17367458866544791</v>
      </c>
      <c r="I137" s="64">
        <v>10948</v>
      </c>
      <c r="J137" s="64">
        <v>-7993.6842105263158</v>
      </c>
      <c r="K137" s="63">
        <v>0.11940298507462686</v>
      </c>
      <c r="L137" s="63">
        <v>0.29981718464351004</v>
      </c>
      <c r="M137" s="63">
        <v>0.18190127970749542</v>
      </c>
      <c r="N137" s="63">
        <v>0.54878048780487809</v>
      </c>
      <c r="O137" s="63">
        <v>0.37688442211055279</v>
      </c>
      <c r="P137" s="63">
        <v>0.51</v>
      </c>
    </row>
    <row r="138" spans="1:16" x14ac:dyDescent="0.45">
      <c r="A138" s="65">
        <v>135</v>
      </c>
      <c r="B138" s="62">
        <v>548.60000000000048</v>
      </c>
      <c r="C138" s="62">
        <v>4.0637037037037071</v>
      </c>
      <c r="D138" s="67">
        <v>1.9185185185185185</v>
      </c>
      <c r="E138" s="63">
        <v>0.4</v>
      </c>
      <c r="F138" s="63">
        <v>0.31851851851851853</v>
      </c>
      <c r="G138" s="63">
        <v>0.27445652173913043</v>
      </c>
      <c r="H138" s="63">
        <v>0.17481884057971014</v>
      </c>
      <c r="I138" s="64">
        <v>10919.141914191419</v>
      </c>
      <c r="J138" s="64">
        <v>-7965.8031088082898</v>
      </c>
      <c r="K138" s="63">
        <v>0.11851851851851852</v>
      </c>
      <c r="L138" s="63">
        <v>0.29891304347826086</v>
      </c>
      <c r="M138" s="63">
        <v>0.18115942028985507</v>
      </c>
      <c r="N138" s="63">
        <v>0.54848484848484846</v>
      </c>
      <c r="O138" s="63">
        <v>0.375</v>
      </c>
      <c r="P138" s="63">
        <v>0.5082508250825083</v>
      </c>
    </row>
    <row r="139" spans="1:16" x14ac:dyDescent="0.45">
      <c r="A139" s="65">
        <v>136</v>
      </c>
      <c r="B139" s="62">
        <v>555.10000000000048</v>
      </c>
      <c r="C139" s="62">
        <v>4.0816176470588275</v>
      </c>
      <c r="D139" s="67">
        <v>1.9191176470588236</v>
      </c>
      <c r="E139" s="63">
        <v>0.39705882352941174</v>
      </c>
      <c r="F139" s="63">
        <v>0.31617647058823528</v>
      </c>
      <c r="G139" s="63">
        <v>0.27387387387387385</v>
      </c>
      <c r="H139" s="63">
        <v>0.17387387387387387</v>
      </c>
      <c r="I139" s="64">
        <v>10935.855263157895</v>
      </c>
      <c r="J139" s="64">
        <v>-7965.8031088082898</v>
      </c>
      <c r="K139" s="63">
        <v>0.11764705882352941</v>
      </c>
      <c r="L139" s="63">
        <v>0.29819819819819821</v>
      </c>
      <c r="M139" s="63">
        <v>0.18108108108108109</v>
      </c>
      <c r="N139" s="63">
        <v>0.54682779456193353</v>
      </c>
      <c r="O139" s="63">
        <v>0.37313432835820898</v>
      </c>
      <c r="P139" s="63">
        <v>0.50986842105263153</v>
      </c>
    </row>
    <row r="140" spans="1:16" x14ac:dyDescent="0.45">
      <c r="A140" s="65">
        <v>137</v>
      </c>
      <c r="B140" s="62">
        <v>588.50000000000045</v>
      </c>
      <c r="C140" s="62">
        <v>4.2956204379562077</v>
      </c>
      <c r="D140" s="67">
        <v>1.9124087591240877</v>
      </c>
      <c r="E140" s="63">
        <v>0.40145985401459855</v>
      </c>
      <c r="F140" s="63">
        <v>0.31386861313868614</v>
      </c>
      <c r="G140" s="63">
        <v>0.27370304114490163</v>
      </c>
      <c r="H140" s="63">
        <v>0.1744186046511628</v>
      </c>
      <c r="I140" s="64">
        <v>10949.346405228758</v>
      </c>
      <c r="J140" s="64">
        <v>-7916.4102564102568</v>
      </c>
      <c r="K140" s="63">
        <v>0.11678832116788321</v>
      </c>
      <c r="L140" s="63">
        <v>0.29785330948121647</v>
      </c>
      <c r="M140" s="63">
        <v>0.18067978533094811</v>
      </c>
      <c r="N140" s="63">
        <v>0.5495495495495496</v>
      </c>
      <c r="O140" s="63">
        <v>0.37128712871287128</v>
      </c>
      <c r="P140" s="63">
        <v>0.50980392156862742</v>
      </c>
    </row>
    <row r="141" spans="1:16" x14ac:dyDescent="0.45">
      <c r="A141" s="65">
        <v>138</v>
      </c>
      <c r="B141" s="62">
        <v>556.7000000000005</v>
      </c>
      <c r="C141" s="62">
        <v>4.0340579710144961</v>
      </c>
      <c r="D141" s="67">
        <v>1.9202898550724639</v>
      </c>
      <c r="E141" s="63">
        <v>0.39855072463768115</v>
      </c>
      <c r="F141" s="63">
        <v>0.3188405797101449</v>
      </c>
      <c r="G141" s="63">
        <v>0.27200000000000002</v>
      </c>
      <c r="H141" s="63">
        <v>0.17422222222222222</v>
      </c>
      <c r="I141" s="64">
        <v>10949.346405228758</v>
      </c>
      <c r="J141" s="64">
        <v>-7937.2448979591836</v>
      </c>
      <c r="K141" s="63">
        <v>0.11594202898550725</v>
      </c>
      <c r="L141" s="63">
        <v>0.29599999999999999</v>
      </c>
      <c r="M141" s="63">
        <v>0.18133333333333335</v>
      </c>
      <c r="N141" s="63">
        <v>0.5495495495495496</v>
      </c>
      <c r="O141" s="63">
        <v>0.36764705882352944</v>
      </c>
      <c r="P141" s="63">
        <v>0.50980392156862742</v>
      </c>
    </row>
    <row r="142" spans="1:16" x14ac:dyDescent="0.45">
      <c r="A142" s="65">
        <v>139</v>
      </c>
      <c r="B142" s="62">
        <v>581.90000000000055</v>
      </c>
      <c r="C142" s="62">
        <v>4.1863309352518021</v>
      </c>
      <c r="D142" s="67">
        <v>1.9136690647482015</v>
      </c>
      <c r="E142" s="63">
        <v>0.40287769784172661</v>
      </c>
      <c r="F142" s="63">
        <v>0.31654676258992803</v>
      </c>
      <c r="G142" s="63">
        <v>0.27208480565371024</v>
      </c>
      <c r="H142" s="63">
        <v>0.17402826855123674</v>
      </c>
      <c r="I142" s="64">
        <v>10969.155844155845</v>
      </c>
      <c r="J142" s="64">
        <v>-7926.3959390862947</v>
      </c>
      <c r="K142" s="63">
        <v>0.11510791366906475</v>
      </c>
      <c r="L142" s="63">
        <v>0.29593639575971731</v>
      </c>
      <c r="M142" s="63">
        <v>0.18197879858657243</v>
      </c>
      <c r="N142" s="63">
        <v>0.54925373134328359</v>
      </c>
      <c r="O142" s="63">
        <v>0.36893203883495146</v>
      </c>
      <c r="P142" s="63">
        <v>0.51298701298701299</v>
      </c>
    </row>
    <row r="143" spans="1:16" x14ac:dyDescent="0.45">
      <c r="A143" s="65">
        <v>140</v>
      </c>
      <c r="B143" s="62">
        <v>587.90000000000055</v>
      </c>
      <c r="C143" s="62">
        <v>4.1992857142857183</v>
      </c>
      <c r="D143" s="67">
        <v>1.9142857142857144</v>
      </c>
      <c r="E143" s="63">
        <v>0.4</v>
      </c>
      <c r="F143" s="63">
        <v>0.31428571428571428</v>
      </c>
      <c r="G143" s="63">
        <v>0.27192982456140352</v>
      </c>
      <c r="H143" s="63">
        <v>0.1736842105263158</v>
      </c>
      <c r="I143" s="64">
        <v>11027.41935483871</v>
      </c>
      <c r="J143" s="64">
        <v>-7946.969696969697</v>
      </c>
      <c r="K143" s="63">
        <v>0.11428571428571428</v>
      </c>
      <c r="L143" s="63">
        <v>0.29736842105263156</v>
      </c>
      <c r="M143" s="63">
        <v>0.18245614035087721</v>
      </c>
      <c r="N143" s="63">
        <v>0.54867256637168138</v>
      </c>
      <c r="O143" s="63">
        <v>0.36538461538461536</v>
      </c>
      <c r="P143" s="63">
        <v>0.5161290322580645</v>
      </c>
    </row>
    <row r="144" spans="1:16" x14ac:dyDescent="0.45">
      <c r="A144" s="65">
        <v>141</v>
      </c>
      <c r="B144" s="62">
        <v>534.90000000000055</v>
      </c>
      <c r="C144" s="62">
        <v>3.7936170212765998</v>
      </c>
      <c r="D144" s="67">
        <v>1.9219858156028369</v>
      </c>
      <c r="E144" s="63">
        <v>0.3971631205673759</v>
      </c>
      <c r="F144" s="63">
        <v>0.31914893617021278</v>
      </c>
      <c r="G144" s="63">
        <v>0.27097902097902099</v>
      </c>
      <c r="H144" s="63">
        <v>0.17482517482517482</v>
      </c>
      <c r="I144" s="64">
        <v>11027.41935483871</v>
      </c>
      <c r="J144" s="64">
        <v>-8017.5</v>
      </c>
      <c r="K144" s="63">
        <v>0.12056737588652482</v>
      </c>
      <c r="L144" s="63">
        <v>0.29720279720279719</v>
      </c>
      <c r="M144" s="63">
        <v>0.18269230769230768</v>
      </c>
      <c r="N144" s="63">
        <v>0.54705882352941182</v>
      </c>
      <c r="O144" s="63">
        <v>0.36363636363636365</v>
      </c>
      <c r="P144" s="63">
        <v>0.5161290322580645</v>
      </c>
    </row>
    <row r="145" spans="1:16" x14ac:dyDescent="0.45">
      <c r="A145" s="65">
        <v>142</v>
      </c>
      <c r="B145" s="62">
        <v>551.50000000000057</v>
      </c>
      <c r="C145" s="62">
        <v>3.8838028169014125</v>
      </c>
      <c r="D145" s="67">
        <v>1.9225352112676057</v>
      </c>
      <c r="E145" s="63">
        <v>0.39436619718309857</v>
      </c>
      <c r="F145" s="63">
        <v>0.31690140845070425</v>
      </c>
      <c r="G145" s="63">
        <v>0.27146574154379877</v>
      </c>
      <c r="H145" s="63">
        <v>0.17519514310494363</v>
      </c>
      <c r="I145" s="64">
        <v>11062.300319488819</v>
      </c>
      <c r="J145" s="64">
        <v>-8076.2376237623766</v>
      </c>
      <c r="K145" s="63">
        <v>0.11971830985915492</v>
      </c>
      <c r="L145" s="63">
        <v>0.29835212489158719</v>
      </c>
      <c r="M145" s="63">
        <v>0.18300086730268864</v>
      </c>
      <c r="N145" s="63">
        <v>0.54360465116279066</v>
      </c>
      <c r="O145" s="63">
        <v>0.36966824644549762</v>
      </c>
      <c r="P145" s="63">
        <v>0.51757188498402551</v>
      </c>
    </row>
    <row r="146" spans="1:16" x14ac:dyDescent="0.45">
      <c r="A146" s="65">
        <v>143</v>
      </c>
      <c r="B146" s="62">
        <v>528.30000000000052</v>
      </c>
      <c r="C146" s="62">
        <v>3.6944055944055982</v>
      </c>
      <c r="D146" s="67">
        <v>1.93006993006993</v>
      </c>
      <c r="E146" s="63">
        <v>0.39160839160839161</v>
      </c>
      <c r="F146" s="63">
        <v>0.32167832167832167</v>
      </c>
      <c r="G146" s="63">
        <v>0.27155172413793105</v>
      </c>
      <c r="H146" s="63">
        <v>0.17413793103448275</v>
      </c>
      <c r="I146" s="64">
        <v>11036.825396825398</v>
      </c>
      <c r="J146" s="64">
        <v>-8076.2376237623766</v>
      </c>
      <c r="K146" s="63">
        <v>0.11888111888111888</v>
      </c>
      <c r="L146" s="63">
        <v>0.29913793103448277</v>
      </c>
      <c r="M146" s="63">
        <v>0.18362068965517242</v>
      </c>
      <c r="N146" s="63">
        <v>0.5417867435158501</v>
      </c>
      <c r="O146" s="63">
        <v>0.37089201877934275</v>
      </c>
      <c r="P146" s="63">
        <v>0.51746031746031751</v>
      </c>
    </row>
    <row r="147" spans="1:16" x14ac:dyDescent="0.45">
      <c r="A147" s="65">
        <v>144</v>
      </c>
      <c r="B147" s="62">
        <v>480.90000000000055</v>
      </c>
      <c r="C147" s="62">
        <v>3.3395833333333371</v>
      </c>
      <c r="D147" s="67">
        <v>1.9375</v>
      </c>
      <c r="E147" s="63">
        <v>0.3888888888888889</v>
      </c>
      <c r="F147" s="63">
        <v>0.3263888888888889</v>
      </c>
      <c r="G147" s="63">
        <v>0.27163667523564694</v>
      </c>
      <c r="H147" s="63">
        <v>0.17395029991431019</v>
      </c>
      <c r="I147" s="64">
        <v>11041.640378548896</v>
      </c>
      <c r="J147" s="64">
        <v>-8272.9064039408859</v>
      </c>
      <c r="K147" s="63">
        <v>0.125</v>
      </c>
      <c r="L147" s="63">
        <v>0.29820051413881749</v>
      </c>
      <c r="M147" s="63">
        <v>0.18337617823479005</v>
      </c>
      <c r="N147" s="63">
        <v>0.54022988505747127</v>
      </c>
      <c r="O147" s="63">
        <v>0.37383177570093457</v>
      </c>
      <c r="P147" s="63">
        <v>0.51419558359621453</v>
      </c>
    </row>
    <row r="148" spans="1:16" x14ac:dyDescent="0.45">
      <c r="A148" s="65">
        <v>145</v>
      </c>
      <c r="B148" s="62">
        <v>496.00000000000057</v>
      </c>
      <c r="C148" s="62">
        <v>3.4206896551724175</v>
      </c>
      <c r="D148" s="67">
        <v>1.9379310344827587</v>
      </c>
      <c r="E148" s="63">
        <v>0.38620689655172413</v>
      </c>
      <c r="F148" s="63">
        <v>0.32413793103448274</v>
      </c>
      <c r="G148" s="63">
        <v>0.27257240204429301</v>
      </c>
      <c r="H148" s="63">
        <v>0.17461669505962521</v>
      </c>
      <c r="I148" s="64">
        <v>11038.125</v>
      </c>
      <c r="J148" s="64">
        <v>-8269.7560975609758</v>
      </c>
      <c r="K148" s="63">
        <v>0.12413793103448276</v>
      </c>
      <c r="L148" s="63">
        <v>0.29727427597955708</v>
      </c>
      <c r="M148" s="63">
        <v>0.18483816013628621</v>
      </c>
      <c r="N148" s="63">
        <v>0.5386819484240688</v>
      </c>
      <c r="O148" s="63">
        <v>0.38248847926267282</v>
      </c>
      <c r="P148" s="63">
        <v>0.50937500000000002</v>
      </c>
    </row>
    <row r="149" spans="1:16" x14ac:dyDescent="0.45">
      <c r="A149" s="65">
        <v>146</v>
      </c>
      <c r="B149" s="62">
        <v>449.90000000000055</v>
      </c>
      <c r="C149" s="62">
        <v>3.0815068493150721</v>
      </c>
      <c r="D149" s="67">
        <v>1.9452054794520548</v>
      </c>
      <c r="E149" s="63">
        <v>0.38356164383561642</v>
      </c>
      <c r="F149" s="63">
        <v>0.32876712328767121</v>
      </c>
      <c r="G149" s="63">
        <v>0.27164685908319186</v>
      </c>
      <c r="H149" s="63">
        <v>0.17487266553480477</v>
      </c>
      <c r="I149" s="64">
        <v>11038.125</v>
      </c>
      <c r="J149" s="64">
        <v>-8384.9514563106804</v>
      </c>
      <c r="K149" s="63">
        <v>0.13013698630136986</v>
      </c>
      <c r="L149" s="63">
        <v>0.29626485568760613</v>
      </c>
      <c r="M149" s="63">
        <v>0.18421052631578946</v>
      </c>
      <c r="N149" s="63">
        <v>0.5386819484240688</v>
      </c>
      <c r="O149" s="63">
        <v>0.38248847926267282</v>
      </c>
      <c r="P149" s="63">
        <v>0.50937500000000002</v>
      </c>
    </row>
    <row r="150" spans="1:16" x14ac:dyDescent="0.45">
      <c r="A150" s="65">
        <v>147</v>
      </c>
      <c r="B150" s="62">
        <v>524.00000000000057</v>
      </c>
      <c r="C150" s="62">
        <v>3.56462585034014</v>
      </c>
      <c r="D150" s="67">
        <v>1.9387755102040816</v>
      </c>
      <c r="E150" s="63">
        <v>0.38775510204081631</v>
      </c>
      <c r="F150" s="63">
        <v>0.32653061224489793</v>
      </c>
      <c r="G150" s="63">
        <v>0.27387996618765847</v>
      </c>
      <c r="H150" s="63">
        <v>0.17413355874894337</v>
      </c>
      <c r="I150" s="64">
        <v>11087.037037037036</v>
      </c>
      <c r="J150" s="64">
        <v>-8384.9514563106804</v>
      </c>
      <c r="K150" s="63">
        <v>0.12925170068027211</v>
      </c>
      <c r="L150" s="63">
        <v>0.2967032967032967</v>
      </c>
      <c r="M150" s="63">
        <v>0.18427726120033813</v>
      </c>
      <c r="N150" s="63">
        <v>0.54131054131054135</v>
      </c>
      <c r="O150" s="63">
        <v>0.38532110091743121</v>
      </c>
      <c r="P150" s="63">
        <v>0.51543209876543206</v>
      </c>
    </row>
    <row r="151" spans="1:16" x14ac:dyDescent="0.45">
      <c r="A151" s="65">
        <v>148</v>
      </c>
      <c r="B151" s="62">
        <v>514.50000000000057</v>
      </c>
      <c r="C151" s="62">
        <v>3.4763513513513553</v>
      </c>
      <c r="D151" s="67">
        <v>1.9391891891891893</v>
      </c>
      <c r="E151" s="63">
        <v>0.38513513513513514</v>
      </c>
      <c r="F151" s="63">
        <v>0.32432432432432434</v>
      </c>
      <c r="G151" s="63">
        <v>0.27318718381112983</v>
      </c>
      <c r="H151" s="63">
        <v>0.17369308600337269</v>
      </c>
      <c r="I151" s="64">
        <v>11087.037037037036</v>
      </c>
      <c r="J151" s="64">
        <v>-8384.9514563106804</v>
      </c>
      <c r="K151" s="63">
        <v>0.12837837837837837</v>
      </c>
      <c r="L151" s="63">
        <v>0.29595278246205736</v>
      </c>
      <c r="M151" s="63">
        <v>0.18465430016863407</v>
      </c>
      <c r="N151" s="63">
        <v>0.54131054131054135</v>
      </c>
      <c r="O151" s="63">
        <v>0.38356164383561642</v>
      </c>
      <c r="P151" s="63">
        <v>0.51543209876543206</v>
      </c>
    </row>
    <row r="152" spans="1:16" x14ac:dyDescent="0.45">
      <c r="A152" s="65">
        <v>149</v>
      </c>
      <c r="B152" s="62">
        <v>570.00000000000057</v>
      </c>
      <c r="C152" s="62">
        <v>3.825503355704702</v>
      </c>
      <c r="D152" s="67">
        <v>1.9328859060402686</v>
      </c>
      <c r="E152" s="63">
        <v>0.38926174496644295</v>
      </c>
      <c r="F152" s="63">
        <v>0.32214765100671139</v>
      </c>
      <c r="G152" s="63">
        <v>0.27417998317914216</v>
      </c>
      <c r="H152" s="63">
        <v>0.17325483599663583</v>
      </c>
      <c r="I152" s="64">
        <v>11153.98773006135</v>
      </c>
      <c r="J152" s="64">
        <v>-8384.9514563106804</v>
      </c>
      <c r="K152" s="63">
        <v>0.12751677852348994</v>
      </c>
      <c r="L152" s="63">
        <v>0.29604709840201848</v>
      </c>
      <c r="M152" s="63">
        <v>0.18418839360807401</v>
      </c>
      <c r="N152" s="63">
        <v>0.54261363636363635</v>
      </c>
      <c r="O152" s="63">
        <v>0.38356164383561642</v>
      </c>
      <c r="P152" s="63">
        <v>0.51533742331288346</v>
      </c>
    </row>
    <row r="153" spans="1:16" x14ac:dyDescent="0.45">
      <c r="A153" s="65">
        <v>150</v>
      </c>
      <c r="B153" s="62">
        <v>598.20000000000061</v>
      </c>
      <c r="C153" s="62">
        <v>3.988000000000004</v>
      </c>
      <c r="D153" s="67">
        <v>1.9266666666666667</v>
      </c>
      <c r="E153" s="63">
        <v>0.39333333333333331</v>
      </c>
      <c r="F153" s="63">
        <v>0.32</v>
      </c>
      <c r="G153" s="63">
        <v>0.27447698744769872</v>
      </c>
      <c r="H153" s="63">
        <v>0.17322175732217573</v>
      </c>
      <c r="I153" s="64">
        <v>11175</v>
      </c>
      <c r="J153" s="64">
        <v>-8402.4154589371974</v>
      </c>
      <c r="K153" s="63">
        <v>0.12666666666666668</v>
      </c>
      <c r="L153" s="63">
        <v>0.29623430962343095</v>
      </c>
      <c r="M153" s="63">
        <v>0.18326359832635983</v>
      </c>
      <c r="N153" s="63">
        <v>0.5423728813559322</v>
      </c>
      <c r="O153" s="63">
        <v>0.38356164383561642</v>
      </c>
      <c r="P153" s="63">
        <v>0.51219512195121952</v>
      </c>
    </row>
    <row r="154" spans="1:16" x14ac:dyDescent="0.45">
      <c r="A154" s="65">
        <v>151</v>
      </c>
      <c r="B154" s="62">
        <v>593.50000000000057</v>
      </c>
      <c r="C154" s="62">
        <v>3.9304635761589442</v>
      </c>
      <c r="D154" s="67">
        <v>1.9271523178807948</v>
      </c>
      <c r="E154" s="63">
        <v>0.39072847682119205</v>
      </c>
      <c r="F154" s="63">
        <v>0.31788079470198677</v>
      </c>
      <c r="G154" s="63">
        <v>0.27377998345740279</v>
      </c>
      <c r="H154" s="63">
        <v>0.17369727047146402</v>
      </c>
      <c r="I154" s="64">
        <v>11139.2749244713</v>
      </c>
      <c r="J154" s="64">
        <v>-8387.1428571428569</v>
      </c>
      <c r="K154" s="63">
        <v>0.12582781456953643</v>
      </c>
      <c r="L154" s="63">
        <v>0.29528535980148884</v>
      </c>
      <c r="M154" s="63">
        <v>0.18527708850289495</v>
      </c>
      <c r="N154" s="63">
        <v>0.54061624649859941</v>
      </c>
      <c r="O154" s="63">
        <v>0.38392857142857145</v>
      </c>
      <c r="P154" s="63">
        <v>0.51057401812688818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633D2-537B-49D8-9312-DA8AD39FE737}">
  <sheetPr codeName="Sheet14"/>
  <dimension ref="A1:Q10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5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5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5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5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5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5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5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  <row r="97" spans="1:16" x14ac:dyDescent="0.45">
      <c r="A97" s="65">
        <v>94</v>
      </c>
      <c r="B97" s="62">
        <v>-618.29999999999995</v>
      </c>
      <c r="C97" s="62">
        <v>-6.5776595744680844</v>
      </c>
      <c r="D97" s="67">
        <v>2.1702127659574466</v>
      </c>
      <c r="E97" s="63">
        <v>0.21276595744680851</v>
      </c>
      <c r="F97" s="63">
        <v>0.38297872340425532</v>
      </c>
      <c r="G97" s="63">
        <v>0.27340823970037453</v>
      </c>
      <c r="H97" s="63">
        <v>0.18102372034956304</v>
      </c>
      <c r="I97" s="64">
        <v>7834.7031963470317</v>
      </c>
      <c r="J97" s="64">
        <v>-7630.3448275862065</v>
      </c>
      <c r="K97" s="63">
        <v>7.4468085106382975E-2</v>
      </c>
      <c r="L97" s="63">
        <v>0.27840199750312111</v>
      </c>
      <c r="M97" s="63">
        <v>0.19850187265917604</v>
      </c>
      <c r="N97" s="63">
        <v>0.54260089686098656</v>
      </c>
      <c r="O97" s="63">
        <v>0.41509433962264153</v>
      </c>
      <c r="P97" s="63">
        <v>0.46118721461187212</v>
      </c>
    </row>
    <row r="98" spans="1:16" x14ac:dyDescent="0.45">
      <c r="A98" s="65">
        <v>95</v>
      </c>
      <c r="B98" s="62">
        <v>-599.19999999999993</v>
      </c>
      <c r="C98" s="62">
        <v>-6.3073684210526313</v>
      </c>
      <c r="D98" s="67">
        <v>2.1578947368421053</v>
      </c>
      <c r="E98" s="63">
        <v>0.22105263157894736</v>
      </c>
      <c r="F98" s="63">
        <v>0.37894736842105264</v>
      </c>
      <c r="G98" s="63">
        <v>0.27306273062730629</v>
      </c>
      <c r="H98" s="63">
        <v>0.17958179581795819</v>
      </c>
      <c r="I98" s="64">
        <v>7830.6306306306305</v>
      </c>
      <c r="J98" s="64">
        <v>-7591.7808219178078</v>
      </c>
      <c r="K98" s="63">
        <v>7.3684210526315783E-2</v>
      </c>
      <c r="L98" s="63">
        <v>0.2767527675276753</v>
      </c>
      <c r="M98" s="63">
        <v>0.19557195571955718</v>
      </c>
      <c r="N98" s="63">
        <v>0.54222222222222227</v>
      </c>
      <c r="O98" s="63">
        <v>0.41509433962264153</v>
      </c>
      <c r="P98" s="63">
        <v>0.46846846846846846</v>
      </c>
    </row>
    <row r="99" spans="1:16" x14ac:dyDescent="0.45">
      <c r="A99" s="65">
        <v>96</v>
      </c>
      <c r="B99" s="62">
        <v>-631.19999999999993</v>
      </c>
      <c r="C99" s="62">
        <v>-6.5749999999999993</v>
      </c>
      <c r="D99" s="67">
        <v>2.1666666666666665</v>
      </c>
      <c r="E99" s="63">
        <v>0.21875</v>
      </c>
      <c r="F99" s="63">
        <v>0.38541666666666669</v>
      </c>
      <c r="G99" s="63">
        <v>0.27106227106227104</v>
      </c>
      <c r="H99" s="63">
        <v>0.1807081807081807</v>
      </c>
      <c r="I99" s="64">
        <v>7830.6306306306305</v>
      </c>
      <c r="J99" s="64">
        <v>-7583.7837837837842</v>
      </c>
      <c r="K99" s="63">
        <v>7.2916666666666671E-2</v>
      </c>
      <c r="L99" s="63">
        <v>0.27594627594627597</v>
      </c>
      <c r="M99" s="63">
        <v>0.19536019536019536</v>
      </c>
      <c r="N99" s="63">
        <v>0.53982300884955747</v>
      </c>
      <c r="O99" s="63">
        <v>0.41249999999999998</v>
      </c>
      <c r="P99" s="63">
        <v>0.46846846846846846</v>
      </c>
    </row>
    <row r="100" spans="1:16" x14ac:dyDescent="0.45">
      <c r="A100" s="65">
        <v>97</v>
      </c>
      <c r="B100" s="62">
        <v>-673.49999999999989</v>
      </c>
      <c r="C100" s="62">
        <v>-6.9432989690721634</v>
      </c>
      <c r="D100" s="67">
        <v>2.1752577319587627</v>
      </c>
      <c r="E100" s="63">
        <v>0.21649484536082475</v>
      </c>
      <c r="F100" s="63">
        <v>0.39175257731958762</v>
      </c>
      <c r="G100" s="63">
        <v>0.27085852478839179</v>
      </c>
      <c r="H100" s="63">
        <v>0.18016928657799275</v>
      </c>
      <c r="I100" s="64">
        <v>7832.1428571428569</v>
      </c>
      <c r="J100" s="64">
        <v>-7855.0335570469797</v>
      </c>
      <c r="K100" s="63">
        <v>7.2164948453608241E-2</v>
      </c>
      <c r="L100" s="63">
        <v>0.279322853688029</v>
      </c>
      <c r="M100" s="63">
        <v>0.19347037484885127</v>
      </c>
      <c r="N100" s="63">
        <v>0.53679653679653683</v>
      </c>
      <c r="O100" s="63">
        <v>0.41249999999999998</v>
      </c>
      <c r="P100" s="63">
        <v>0.4732142857142857</v>
      </c>
    </row>
    <row r="101" spans="1:16" x14ac:dyDescent="0.45">
      <c r="A101" s="65">
        <v>98</v>
      </c>
      <c r="B101" s="62">
        <v>-700.69999999999993</v>
      </c>
      <c r="C101" s="62">
        <v>-7.1499999999999995</v>
      </c>
      <c r="D101" s="67">
        <v>2.1836734693877551</v>
      </c>
      <c r="E101" s="63">
        <v>0.21428571428571427</v>
      </c>
      <c r="F101" s="63">
        <v>0.39795918367346939</v>
      </c>
      <c r="G101" s="63">
        <v>0.26959619952494063</v>
      </c>
      <c r="H101" s="63">
        <v>0.18171021377672208</v>
      </c>
      <c r="I101" s="64">
        <v>7816.7400881057265</v>
      </c>
      <c r="J101" s="64">
        <v>-7814.3790849673205</v>
      </c>
      <c r="K101" s="63">
        <v>7.1428571428571425E-2</v>
      </c>
      <c r="L101" s="63">
        <v>0.27672209026128264</v>
      </c>
      <c r="M101" s="63">
        <v>0.19121140142517815</v>
      </c>
      <c r="N101" s="63">
        <v>0.54077253218884125</v>
      </c>
      <c r="O101" s="63">
        <v>0.40993788819875776</v>
      </c>
      <c r="P101" s="63">
        <v>0.47136563876651982</v>
      </c>
    </row>
    <row r="102" spans="1:16" x14ac:dyDescent="0.45">
      <c r="A102" s="65">
        <v>99</v>
      </c>
      <c r="B102" s="62">
        <v>-707.4</v>
      </c>
      <c r="C102" s="62">
        <v>-7.1454545454545455</v>
      </c>
      <c r="D102" s="67">
        <v>2.1818181818181817</v>
      </c>
      <c r="E102" s="63">
        <v>0.21212121212121213</v>
      </c>
      <c r="F102" s="63">
        <v>0.39393939393939392</v>
      </c>
      <c r="G102" s="63">
        <v>0.26846424384525203</v>
      </c>
      <c r="H102" s="63">
        <v>0.1817116060961313</v>
      </c>
      <c r="I102" s="64">
        <v>7835.8078602620089</v>
      </c>
      <c r="J102" s="64">
        <v>-7840.6451612903229</v>
      </c>
      <c r="K102" s="63">
        <v>7.0707070707070704E-2</v>
      </c>
      <c r="L102" s="63">
        <v>0.27549824150058616</v>
      </c>
      <c r="M102" s="63">
        <v>0.1910902696365768</v>
      </c>
      <c r="N102" s="63">
        <v>0.54042553191489362</v>
      </c>
      <c r="O102" s="63">
        <v>0.41104294478527609</v>
      </c>
      <c r="P102" s="63">
        <v>0.46724890829694321</v>
      </c>
    </row>
    <row r="103" spans="1:16" x14ac:dyDescent="0.45">
      <c r="A103" s="65">
        <v>100</v>
      </c>
      <c r="B103" s="62">
        <v>-752.69999999999993</v>
      </c>
      <c r="C103" s="62">
        <v>-7.5269999999999992</v>
      </c>
      <c r="D103" s="67">
        <v>2.19</v>
      </c>
      <c r="E103" s="63">
        <v>0.21</v>
      </c>
      <c r="F103" s="63">
        <v>0.4</v>
      </c>
      <c r="G103" s="63">
        <v>0.26535341830822712</v>
      </c>
      <c r="H103" s="63">
        <v>0.18308227114716108</v>
      </c>
      <c r="I103" s="64">
        <v>7835.8078602620089</v>
      </c>
      <c r="J103" s="64">
        <v>-7813.9240506329115</v>
      </c>
      <c r="K103" s="63">
        <v>0.08</v>
      </c>
      <c r="L103" s="63">
        <v>0.27346465816917731</v>
      </c>
      <c r="M103" s="63">
        <v>0.19119351100811124</v>
      </c>
      <c r="N103" s="63">
        <v>0.53813559322033899</v>
      </c>
      <c r="O103" s="63">
        <v>0.40606060606060607</v>
      </c>
      <c r="P103" s="63">
        <v>0.46724890829694321</v>
      </c>
    </row>
    <row r="104" spans="1:16" x14ac:dyDescent="0.45">
      <c r="A104" s="65">
        <v>101</v>
      </c>
      <c r="B104" s="62">
        <v>-765.99999999999989</v>
      </c>
      <c r="C104" s="62">
        <v>-7.5841584158415829</v>
      </c>
      <c r="D104" s="67">
        <v>2.1980198019801982</v>
      </c>
      <c r="E104" s="63">
        <v>0.20792079207920791</v>
      </c>
      <c r="F104" s="63">
        <v>0.40594059405940597</v>
      </c>
      <c r="G104" s="63">
        <v>0.26551724137931032</v>
      </c>
      <c r="H104" s="63">
        <v>0.18275862068965518</v>
      </c>
      <c r="I104" s="64">
        <v>7819.4805194805194</v>
      </c>
      <c r="J104" s="64">
        <v>-7813.2075471698117</v>
      </c>
      <c r="K104" s="63">
        <v>7.9207920792079209E-2</v>
      </c>
      <c r="L104" s="63">
        <v>0.27471264367816089</v>
      </c>
      <c r="M104" s="63">
        <v>0.19195402298850575</v>
      </c>
      <c r="N104" s="63">
        <v>0.53974895397489542</v>
      </c>
      <c r="O104" s="63">
        <v>0.40119760479041916</v>
      </c>
      <c r="P104" s="63">
        <v>0.46753246753246752</v>
      </c>
    </row>
    <row r="105" spans="1:16" x14ac:dyDescent="0.45">
      <c r="A105" s="65">
        <v>102</v>
      </c>
      <c r="B105" s="62">
        <v>-759.19999999999993</v>
      </c>
      <c r="C105" s="62">
        <v>-7.4431372549019601</v>
      </c>
      <c r="D105" s="67">
        <v>2.1960784313725492</v>
      </c>
      <c r="E105" s="63">
        <v>0.20588235294117646</v>
      </c>
      <c r="F105" s="63">
        <v>0.40196078431372551</v>
      </c>
      <c r="G105" s="63">
        <v>0.26560726447219069</v>
      </c>
      <c r="H105" s="63">
        <v>0.18161180476730987</v>
      </c>
      <c r="I105" s="64">
        <v>7844.0170940170938</v>
      </c>
      <c r="J105" s="64">
        <v>-7839.375</v>
      </c>
      <c r="K105" s="63">
        <v>7.8431372549019607E-2</v>
      </c>
      <c r="L105" s="63">
        <v>0.27582292849035189</v>
      </c>
      <c r="M105" s="63">
        <v>0.19069239500567536</v>
      </c>
      <c r="N105" s="63">
        <v>0.53909465020576131</v>
      </c>
      <c r="O105" s="63">
        <v>0.39880952380952384</v>
      </c>
      <c r="P105" s="63">
        <v>0.47435897435897434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02392-6715-4E25-8D4E-AF79D6B2F398}">
  <sheetPr codeName="Sheet12"/>
  <dimension ref="A1:Q18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5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5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5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5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5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5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5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 x14ac:dyDescent="0.45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  <row r="143" spans="1:16" x14ac:dyDescent="0.45">
      <c r="A143" s="65">
        <v>140</v>
      </c>
      <c r="B143" s="62">
        <v>11.899999999999817</v>
      </c>
      <c r="C143" s="62">
        <v>8.4999999999998702E-2</v>
      </c>
      <c r="D143" s="67">
        <v>1.9642857142857142</v>
      </c>
      <c r="E143" s="63">
        <v>0.33571428571428569</v>
      </c>
      <c r="F143" s="63">
        <v>0.3</v>
      </c>
      <c r="G143" s="63">
        <v>0.30204778156996587</v>
      </c>
      <c r="H143" s="63">
        <v>0.18515358361774745</v>
      </c>
      <c r="I143" s="64">
        <v>8322.3163841807909</v>
      </c>
      <c r="J143" s="64">
        <v>-7917.0506912442397</v>
      </c>
      <c r="K143" s="63">
        <v>0.12857142857142856</v>
      </c>
      <c r="L143" s="63">
        <v>0.23293515358361774</v>
      </c>
      <c r="M143" s="63">
        <v>0.30119453924914674</v>
      </c>
      <c r="N143" s="63">
        <v>0.50183150183150182</v>
      </c>
      <c r="O143" s="63">
        <v>0.37677053824362605</v>
      </c>
      <c r="P143" s="63">
        <v>0.4096045197740113</v>
      </c>
    </row>
    <row r="144" spans="1:16" x14ac:dyDescent="0.45">
      <c r="A144" s="65">
        <v>141</v>
      </c>
      <c r="B144" s="62">
        <v>-18.100000000000183</v>
      </c>
      <c r="C144" s="62">
        <v>-0.12836879432624243</v>
      </c>
      <c r="D144" s="67">
        <v>1.9716312056737588</v>
      </c>
      <c r="E144" s="63">
        <v>0.33333333333333331</v>
      </c>
      <c r="F144" s="63">
        <v>0.30496453900709219</v>
      </c>
      <c r="G144" s="63">
        <v>0.30195080576759964</v>
      </c>
      <c r="H144" s="63">
        <v>0.18575063613231552</v>
      </c>
      <c r="I144" s="64">
        <v>8342.9775280898884</v>
      </c>
      <c r="J144" s="64">
        <v>-7954.3378995433786</v>
      </c>
      <c r="K144" s="63">
        <v>0.1276595744680851</v>
      </c>
      <c r="L144" s="63">
        <v>0.23494486853265478</v>
      </c>
      <c r="M144" s="63">
        <v>0.29940627650551316</v>
      </c>
      <c r="N144" s="63">
        <v>0.50180505415162457</v>
      </c>
      <c r="O144" s="63">
        <v>0.37677053824362605</v>
      </c>
      <c r="P144" s="63">
        <v>0.4101123595505618</v>
      </c>
    </row>
    <row r="145" spans="1:16" x14ac:dyDescent="0.45">
      <c r="A145" s="65">
        <v>142</v>
      </c>
      <c r="B145" s="62">
        <v>30.699999999999815</v>
      </c>
      <c r="C145" s="62">
        <v>0.21619718309859023</v>
      </c>
      <c r="D145" s="67">
        <v>1.9647887323943662</v>
      </c>
      <c r="E145" s="63">
        <v>0.3380281690140845</v>
      </c>
      <c r="F145" s="63">
        <v>0.30281690140845069</v>
      </c>
      <c r="G145" s="63">
        <v>0.30497051390058971</v>
      </c>
      <c r="H145" s="63">
        <v>0.18449873631002528</v>
      </c>
      <c r="I145" s="64">
        <v>8284.2541436464089</v>
      </c>
      <c r="J145" s="64">
        <v>-7954.3378995433786</v>
      </c>
      <c r="K145" s="63">
        <v>0.12676056338028169</v>
      </c>
      <c r="L145" s="63">
        <v>0.23336141533277169</v>
      </c>
      <c r="M145" s="63">
        <v>0.29907329401853411</v>
      </c>
      <c r="N145" s="63">
        <v>0.50180505415162457</v>
      </c>
      <c r="O145" s="63">
        <v>0.38028169014084506</v>
      </c>
      <c r="P145" s="63">
        <v>0.41160220994475138</v>
      </c>
    </row>
    <row r="146" spans="1:16" x14ac:dyDescent="0.45">
      <c r="A146" s="65">
        <v>143</v>
      </c>
      <c r="B146" s="62">
        <v>61.399999999999814</v>
      </c>
      <c r="C146" s="62">
        <v>0.42937062937062809</v>
      </c>
      <c r="D146" s="67">
        <v>1.9580419580419581</v>
      </c>
      <c r="E146" s="63">
        <v>0.34265734265734266</v>
      </c>
      <c r="F146" s="63">
        <v>0.30069930069930068</v>
      </c>
      <c r="G146" s="63">
        <v>0.30595138306789604</v>
      </c>
      <c r="H146" s="63">
        <v>0.18357082984073764</v>
      </c>
      <c r="I146" s="64">
        <v>8291.5068493150684</v>
      </c>
      <c r="J146" s="64">
        <v>-7954.3378995433786</v>
      </c>
      <c r="K146" s="63">
        <v>0.12587412587412589</v>
      </c>
      <c r="L146" s="63">
        <v>0.23302598491198659</v>
      </c>
      <c r="M146" s="63">
        <v>0.30092204526404026</v>
      </c>
      <c r="N146" s="63">
        <v>0.50359712230215825</v>
      </c>
      <c r="O146" s="63">
        <v>0.38161559888579388</v>
      </c>
      <c r="P146" s="63">
        <v>0.41643835616438357</v>
      </c>
    </row>
    <row r="147" spans="1:16" x14ac:dyDescent="0.45">
      <c r="A147" s="65">
        <v>144</v>
      </c>
      <c r="B147" s="62">
        <v>21.799999999999812</v>
      </c>
      <c r="C147" s="62">
        <v>0.15138888888888757</v>
      </c>
      <c r="D147" s="67">
        <v>1.9652777777777777</v>
      </c>
      <c r="E147" s="63">
        <v>0.34027777777777779</v>
      </c>
      <c r="F147" s="63">
        <v>0.30555555555555558</v>
      </c>
      <c r="G147" s="63">
        <v>0.30532445923460899</v>
      </c>
      <c r="H147" s="63">
        <v>0.18302828618968386</v>
      </c>
      <c r="I147" s="64">
        <v>8273.0245231607623</v>
      </c>
      <c r="J147" s="64">
        <v>-7976.818181818182</v>
      </c>
      <c r="K147" s="63">
        <v>0.125</v>
      </c>
      <c r="L147" s="63">
        <v>0.23460898502495842</v>
      </c>
      <c r="M147" s="63">
        <v>0.29866888519134777</v>
      </c>
      <c r="N147" s="63">
        <v>0.50354609929078009</v>
      </c>
      <c r="O147" s="63">
        <v>0.38161559888579388</v>
      </c>
      <c r="P147" s="63">
        <v>0.41689373297002724</v>
      </c>
    </row>
    <row r="148" spans="1:16" x14ac:dyDescent="0.45">
      <c r="A148" s="65">
        <v>145</v>
      </c>
      <c r="B148" s="62">
        <v>56.199999999999811</v>
      </c>
      <c r="C148" s="62">
        <v>0.38758620689655043</v>
      </c>
      <c r="D148" s="67">
        <v>1.9586206896551723</v>
      </c>
      <c r="E148" s="63">
        <v>0.34482758620689657</v>
      </c>
      <c r="F148" s="63">
        <v>0.30344827586206896</v>
      </c>
      <c r="G148" s="63">
        <v>0.30724876441515653</v>
      </c>
      <c r="H148" s="63">
        <v>0.18204283360790774</v>
      </c>
      <c r="I148" s="64">
        <v>8230.8310991957096</v>
      </c>
      <c r="J148" s="64">
        <v>-7976.9230769230771</v>
      </c>
      <c r="K148" s="63">
        <v>0.12413793103448276</v>
      </c>
      <c r="L148" s="63">
        <v>0.23558484349258649</v>
      </c>
      <c r="M148" s="63">
        <v>0.29901153212520593</v>
      </c>
      <c r="N148" s="63">
        <v>0.50349650349650354</v>
      </c>
      <c r="O148" s="63">
        <v>0.38567493112947659</v>
      </c>
      <c r="P148" s="63">
        <v>0.41554959785522788</v>
      </c>
    </row>
    <row r="149" spans="1:16" x14ac:dyDescent="0.45">
      <c r="A149" s="65">
        <v>146</v>
      </c>
      <c r="B149" s="62">
        <v>21.799999999999812</v>
      </c>
      <c r="C149" s="62">
        <v>0.14931506849314941</v>
      </c>
      <c r="D149" s="67">
        <v>1.9657534246575343</v>
      </c>
      <c r="E149" s="63">
        <v>0.34246575342465752</v>
      </c>
      <c r="F149" s="63">
        <v>0.30821917808219179</v>
      </c>
      <c r="G149" s="63">
        <v>0.30523731587561376</v>
      </c>
      <c r="H149" s="63">
        <v>0.18248772504091654</v>
      </c>
      <c r="I149" s="64">
        <v>8230.8310991957096</v>
      </c>
      <c r="J149" s="64">
        <v>-7970.8520179372199</v>
      </c>
      <c r="K149" s="63">
        <v>0.12328767123287671</v>
      </c>
      <c r="L149" s="63">
        <v>0.23404255319148937</v>
      </c>
      <c r="M149" s="63">
        <v>0.29950900163666122</v>
      </c>
      <c r="N149" s="63">
        <v>0.50349650349650354</v>
      </c>
      <c r="O149" s="63">
        <v>0.38251366120218577</v>
      </c>
      <c r="P149" s="63">
        <v>0.41554959785522788</v>
      </c>
    </row>
    <row r="150" spans="1:16" x14ac:dyDescent="0.45">
      <c r="A150" s="65">
        <v>147</v>
      </c>
      <c r="B150" s="62">
        <v>-1.6000000000001862</v>
      </c>
      <c r="C150" s="62">
        <v>-1.0884353741497864E-2</v>
      </c>
      <c r="D150" s="67">
        <v>1.9727891156462585</v>
      </c>
      <c r="E150" s="63">
        <v>0.3401360544217687</v>
      </c>
      <c r="F150" s="63">
        <v>0.31292517006802723</v>
      </c>
      <c r="G150" s="63">
        <v>0.30537459283387625</v>
      </c>
      <c r="H150" s="63">
        <v>0.18322475570032573</v>
      </c>
      <c r="I150" s="64">
        <v>8221.3333333333339</v>
      </c>
      <c r="J150" s="64">
        <v>-7959.1111111111113</v>
      </c>
      <c r="K150" s="63">
        <v>0.12244897959183673</v>
      </c>
      <c r="L150" s="63">
        <v>0.23452768729641693</v>
      </c>
      <c r="M150" s="63">
        <v>0.29804560260586321</v>
      </c>
      <c r="N150" s="63">
        <v>0.50347222222222221</v>
      </c>
      <c r="O150" s="63">
        <v>0.38251366120218577</v>
      </c>
      <c r="P150" s="63">
        <v>0.41599999999999998</v>
      </c>
    </row>
    <row r="151" spans="1:16" x14ac:dyDescent="0.45">
      <c r="A151" s="65">
        <v>148</v>
      </c>
      <c r="B151" s="62">
        <v>58.999999999999815</v>
      </c>
      <c r="C151" s="62">
        <v>0.39864864864864741</v>
      </c>
      <c r="D151" s="67">
        <v>1.9662162162162162</v>
      </c>
      <c r="E151" s="63">
        <v>0.34459459459459457</v>
      </c>
      <c r="F151" s="63">
        <v>0.3108108108108108</v>
      </c>
      <c r="G151" s="63">
        <v>0.30769230769230771</v>
      </c>
      <c r="H151" s="63">
        <v>0.18380566801619433</v>
      </c>
      <c r="I151" s="64">
        <v>8247.105263157895</v>
      </c>
      <c r="J151" s="64">
        <v>-7899.1189427312775</v>
      </c>
      <c r="K151" s="63">
        <v>0.12162162162162163</v>
      </c>
      <c r="L151" s="63">
        <v>0.23400809716599191</v>
      </c>
      <c r="M151" s="63">
        <v>0.29878542510121459</v>
      </c>
      <c r="N151" s="63">
        <v>0.50519031141868509</v>
      </c>
      <c r="O151" s="63">
        <v>0.38482384823848237</v>
      </c>
      <c r="P151" s="63">
        <v>0.41578947368421054</v>
      </c>
    </row>
    <row r="152" spans="1:16" x14ac:dyDescent="0.45">
      <c r="A152" s="65">
        <v>149</v>
      </c>
      <c r="B152" s="62">
        <v>20.499999999999815</v>
      </c>
      <c r="C152" s="62">
        <v>0.13758389261744841</v>
      </c>
      <c r="D152" s="67">
        <v>1.9731543624161074</v>
      </c>
      <c r="E152" s="63">
        <v>0.34228187919463088</v>
      </c>
      <c r="F152" s="63">
        <v>0.31543624161073824</v>
      </c>
      <c r="G152" s="63">
        <v>0.30676328502415456</v>
      </c>
      <c r="H152" s="63">
        <v>0.18438003220611915</v>
      </c>
      <c r="I152" s="64">
        <v>8256.9553805774285</v>
      </c>
      <c r="J152" s="64">
        <v>-7917.4672489082968</v>
      </c>
      <c r="K152" s="63">
        <v>0.12080536912751678</v>
      </c>
      <c r="L152" s="63">
        <v>0.23429951690821257</v>
      </c>
      <c r="M152" s="63">
        <v>0.29871175523349436</v>
      </c>
      <c r="N152" s="63">
        <v>0.50515463917525771</v>
      </c>
      <c r="O152" s="63">
        <v>0.38274932614555257</v>
      </c>
      <c r="P152" s="63">
        <v>0.41469816272965881</v>
      </c>
    </row>
    <row r="153" spans="1:16" x14ac:dyDescent="0.45">
      <c r="A153" s="65">
        <v>150</v>
      </c>
      <c r="B153" s="62">
        <v>-14.500000000000185</v>
      </c>
      <c r="C153" s="62">
        <v>-9.66666666666679E-2</v>
      </c>
      <c r="D153" s="67">
        <v>1.98</v>
      </c>
      <c r="E153" s="63">
        <v>0.34</v>
      </c>
      <c r="F153" s="63">
        <v>0.32</v>
      </c>
      <c r="G153" s="63">
        <v>0.30480000000000002</v>
      </c>
      <c r="H153" s="63">
        <v>0.18479999999999999</v>
      </c>
      <c r="I153" s="64">
        <v>8256.9553805774285</v>
      </c>
      <c r="J153" s="64">
        <v>-7900.4329004329002</v>
      </c>
      <c r="K153" s="63">
        <v>0.12</v>
      </c>
      <c r="L153" s="63">
        <v>0.23280000000000001</v>
      </c>
      <c r="M153" s="63">
        <v>0.30080000000000001</v>
      </c>
      <c r="N153" s="63">
        <v>0.50515463917525771</v>
      </c>
      <c r="O153" s="63">
        <v>0.37765957446808512</v>
      </c>
      <c r="P153" s="63">
        <v>0.41469816272965881</v>
      </c>
    </row>
    <row r="154" spans="1:16" x14ac:dyDescent="0.45">
      <c r="A154" s="65">
        <v>151</v>
      </c>
      <c r="B154" s="62">
        <v>-9.1000000000001844</v>
      </c>
      <c r="C154" s="62">
        <v>-6.0264900662252874E-2</v>
      </c>
      <c r="D154" s="67">
        <v>1.9801324503311257</v>
      </c>
      <c r="E154" s="63">
        <v>0.33774834437086093</v>
      </c>
      <c r="F154" s="63">
        <v>0.31788079470198677</v>
      </c>
      <c r="G154" s="63">
        <v>0.30389817024661891</v>
      </c>
      <c r="H154" s="63">
        <v>0.18456642800318218</v>
      </c>
      <c r="I154" s="64">
        <v>8266.7539267015709</v>
      </c>
      <c r="J154" s="64">
        <v>-7877.5862068965516</v>
      </c>
      <c r="K154" s="63">
        <v>0.11920529801324503</v>
      </c>
      <c r="L154" s="63">
        <v>0.23150357995226731</v>
      </c>
      <c r="M154" s="63">
        <v>0.30071599045346065</v>
      </c>
      <c r="N154" s="63">
        <v>0.50515463917525771</v>
      </c>
      <c r="O154" s="63">
        <v>0.37566137566137564</v>
      </c>
      <c r="P154" s="63">
        <v>0.41361256544502617</v>
      </c>
    </row>
    <row r="155" spans="1:16" x14ac:dyDescent="0.45">
      <c r="A155" s="65">
        <v>152</v>
      </c>
      <c r="B155" s="62">
        <v>-44.100000000000186</v>
      </c>
      <c r="C155" s="62">
        <v>-0.29013157894736963</v>
      </c>
      <c r="D155" s="67">
        <v>1.986842105263158</v>
      </c>
      <c r="E155" s="63">
        <v>0.33552631578947367</v>
      </c>
      <c r="F155" s="63">
        <v>0.32236842105263158</v>
      </c>
      <c r="G155" s="63">
        <v>0.3027667984189723</v>
      </c>
      <c r="H155" s="63">
        <v>0.18498023715415018</v>
      </c>
      <c r="I155" s="64">
        <v>8266.0574412532642</v>
      </c>
      <c r="J155" s="64">
        <v>-7883.7606837606836</v>
      </c>
      <c r="K155" s="63">
        <v>0.11842105263157894</v>
      </c>
      <c r="L155" s="63">
        <v>0.23241106719367588</v>
      </c>
      <c r="M155" s="63">
        <v>0.30039525691699603</v>
      </c>
      <c r="N155" s="63">
        <v>0.50340136054421769</v>
      </c>
      <c r="O155" s="63">
        <v>0.37368421052631579</v>
      </c>
      <c r="P155" s="63">
        <v>0.41514360313315929</v>
      </c>
    </row>
    <row r="156" spans="1:16" x14ac:dyDescent="0.45">
      <c r="A156" s="65">
        <v>153</v>
      </c>
      <c r="B156" s="62">
        <v>-43.800000000000189</v>
      </c>
      <c r="C156" s="62">
        <v>-0.28627450980392283</v>
      </c>
      <c r="D156" s="67">
        <v>1.9869281045751634</v>
      </c>
      <c r="E156" s="63">
        <v>0.33333333333333331</v>
      </c>
      <c r="F156" s="63">
        <v>0.3202614379084967</v>
      </c>
      <c r="G156" s="63">
        <v>0.30322073841319719</v>
      </c>
      <c r="H156" s="63">
        <v>0.18460329929300864</v>
      </c>
      <c r="I156" s="64">
        <v>8247.6683937823836</v>
      </c>
      <c r="J156" s="64">
        <v>-7866.8085106382978</v>
      </c>
      <c r="K156" s="63">
        <v>0.11764705882352941</v>
      </c>
      <c r="L156" s="63">
        <v>0.23252160251374707</v>
      </c>
      <c r="M156" s="63">
        <v>0.30164964650432052</v>
      </c>
      <c r="N156" s="63">
        <v>0.5033783783783784</v>
      </c>
      <c r="O156" s="63">
        <v>0.375</v>
      </c>
      <c r="P156" s="63">
        <v>0.41450777202072536</v>
      </c>
    </row>
    <row r="157" spans="1:16" x14ac:dyDescent="0.45">
      <c r="A157" s="65">
        <v>154</v>
      </c>
      <c r="B157" s="62">
        <v>-31.800000000000189</v>
      </c>
      <c r="C157" s="62">
        <v>-0.20649350649350773</v>
      </c>
      <c r="D157" s="67">
        <v>1.9870129870129871</v>
      </c>
      <c r="E157" s="63">
        <v>0.33116883116883117</v>
      </c>
      <c r="F157" s="63">
        <v>0.31818181818181818</v>
      </c>
      <c r="G157" s="63">
        <v>0.30352941176470588</v>
      </c>
      <c r="H157" s="63">
        <v>0.18431372549019609</v>
      </c>
      <c r="I157" s="64">
        <v>8257.364341085271</v>
      </c>
      <c r="J157" s="64">
        <v>-7866.8085106382978</v>
      </c>
      <c r="K157" s="63">
        <v>0.11688311688311688</v>
      </c>
      <c r="L157" s="63">
        <v>0.23294117647058823</v>
      </c>
      <c r="M157" s="63">
        <v>0.30117647058823527</v>
      </c>
      <c r="N157" s="63">
        <v>0.50505050505050508</v>
      </c>
      <c r="O157" s="63">
        <v>0.375</v>
      </c>
      <c r="P157" s="63">
        <v>0.41602067183462532</v>
      </c>
    </row>
    <row r="158" spans="1:16" x14ac:dyDescent="0.45">
      <c r="A158" s="65">
        <v>155</v>
      </c>
      <c r="B158" s="62">
        <v>7.8999999999998138</v>
      </c>
      <c r="C158" s="62">
        <v>5.0967741935482667E-2</v>
      </c>
      <c r="D158" s="67">
        <v>1.9806451612903226</v>
      </c>
      <c r="E158" s="63">
        <v>0.33548387096774196</v>
      </c>
      <c r="F158" s="63">
        <v>0.31612903225806449</v>
      </c>
      <c r="G158" s="63">
        <v>0.30499219968798752</v>
      </c>
      <c r="H158" s="63">
        <v>0.18330733229329174</v>
      </c>
      <c r="I158" s="64">
        <v>8252.6854219948855</v>
      </c>
      <c r="J158" s="64">
        <v>-7866.8085106382978</v>
      </c>
      <c r="K158" s="63">
        <v>0.11612903225806452</v>
      </c>
      <c r="L158" s="63">
        <v>0.23400936037441497</v>
      </c>
      <c r="M158" s="63">
        <v>0.29953198127925118</v>
      </c>
      <c r="N158" s="63">
        <v>0.50666666666666671</v>
      </c>
      <c r="O158" s="63">
        <v>0.375</v>
      </c>
      <c r="P158" s="63">
        <v>0.41687979539641945</v>
      </c>
    </row>
    <row r="159" spans="1:16" x14ac:dyDescent="0.45">
      <c r="A159" s="65">
        <v>156</v>
      </c>
      <c r="B159" s="62">
        <v>-12.100000000000186</v>
      </c>
      <c r="C159" s="62">
        <v>-7.756410256410376E-2</v>
      </c>
      <c r="D159" s="67">
        <v>1.9807692307692308</v>
      </c>
      <c r="E159" s="63">
        <v>0.33333333333333331</v>
      </c>
      <c r="F159" s="63">
        <v>0.3141025641025641</v>
      </c>
      <c r="G159" s="63">
        <v>0.30602782071097373</v>
      </c>
      <c r="H159" s="63">
        <v>0.18238021638330756</v>
      </c>
      <c r="I159" s="64">
        <v>8215.6565656565654</v>
      </c>
      <c r="J159" s="64">
        <v>-7845.7627118644068</v>
      </c>
      <c r="K159" s="63">
        <v>0.11538461538461539</v>
      </c>
      <c r="L159" s="63">
        <v>0.2357032457496136</v>
      </c>
      <c r="M159" s="63">
        <v>0.29984544049459044</v>
      </c>
      <c r="N159" s="63">
        <v>0.50819672131147542</v>
      </c>
      <c r="O159" s="63">
        <v>0.37628865979381443</v>
      </c>
      <c r="P159" s="63">
        <v>0.41414141414141414</v>
      </c>
    </row>
    <row r="160" spans="1:16" x14ac:dyDescent="0.45">
      <c r="A160" s="65">
        <v>157</v>
      </c>
      <c r="B160" s="62">
        <v>8.8999999999998138</v>
      </c>
      <c r="C160" s="62">
        <v>5.6687898089170789E-2</v>
      </c>
      <c r="D160" s="67">
        <v>1.9745222929936306</v>
      </c>
      <c r="E160" s="63">
        <v>0.33757961783439489</v>
      </c>
      <c r="F160" s="63">
        <v>0.31210191082802546</v>
      </c>
      <c r="G160" s="63">
        <v>0.30721966205837176</v>
      </c>
      <c r="H160" s="63">
        <v>0.18202764976958524</v>
      </c>
      <c r="I160" s="64">
        <v>8179.25</v>
      </c>
      <c r="J160" s="64">
        <v>-7837.1308016877638</v>
      </c>
      <c r="K160" s="63">
        <v>0.11464968152866242</v>
      </c>
      <c r="L160" s="63">
        <v>0.23655913978494625</v>
      </c>
      <c r="M160" s="63">
        <v>0.29877112135176653</v>
      </c>
      <c r="N160" s="63">
        <v>0.50974025974025972</v>
      </c>
      <c r="O160" s="63">
        <v>0.37789203084832906</v>
      </c>
      <c r="P160" s="63">
        <v>0.41249999999999998</v>
      </c>
    </row>
    <row r="161" spans="1:16" x14ac:dyDescent="0.45">
      <c r="A161" s="65">
        <v>158</v>
      </c>
      <c r="B161" s="62">
        <v>47.099999999999817</v>
      </c>
      <c r="C161" s="62">
        <v>0.29810126582278362</v>
      </c>
      <c r="D161" s="67">
        <v>1.9683544303797469</v>
      </c>
      <c r="E161" s="63">
        <v>0.34177215189873417</v>
      </c>
      <c r="F161" s="63">
        <v>0.310126582278481</v>
      </c>
      <c r="G161" s="63">
        <v>0.30827638572513288</v>
      </c>
      <c r="H161" s="63">
        <v>0.18147304479878512</v>
      </c>
      <c r="I161" s="64">
        <v>8142.6108374384239</v>
      </c>
      <c r="J161" s="64">
        <v>-7830.1255230125525</v>
      </c>
      <c r="K161" s="63">
        <v>0.11392405063291139</v>
      </c>
      <c r="L161" s="63">
        <v>0.23690205011389523</v>
      </c>
      <c r="M161" s="63">
        <v>0.29992406985573272</v>
      </c>
      <c r="N161" s="63">
        <v>0.51282051282051277</v>
      </c>
      <c r="O161" s="63">
        <v>0.37721518987341773</v>
      </c>
      <c r="P161" s="63">
        <v>0.41133004926108374</v>
      </c>
    </row>
    <row r="162" spans="1:16" x14ac:dyDescent="0.45">
      <c r="A162" s="65">
        <v>159</v>
      </c>
      <c r="B162" s="62">
        <v>18.399999999999817</v>
      </c>
      <c r="C162" s="62">
        <v>0.11572327044025042</v>
      </c>
      <c r="D162" s="67">
        <v>1.9748427672955975</v>
      </c>
      <c r="E162" s="63">
        <v>0.33962264150943394</v>
      </c>
      <c r="F162" s="63">
        <v>0.31446540880503143</v>
      </c>
      <c r="G162" s="63">
        <v>0.30769230769230771</v>
      </c>
      <c r="H162" s="63">
        <v>0.18099547511312217</v>
      </c>
      <c r="I162" s="64">
        <v>8131.1274509803925</v>
      </c>
      <c r="J162" s="64">
        <v>-7864.166666666667</v>
      </c>
      <c r="K162" s="63">
        <v>0.11320754716981132</v>
      </c>
      <c r="L162" s="63">
        <v>0.2368024132730015</v>
      </c>
      <c r="M162" s="63">
        <v>0.30015082956259426</v>
      </c>
      <c r="N162" s="63">
        <v>0.51273885350318471</v>
      </c>
      <c r="O162" s="63">
        <v>0.37688442211055279</v>
      </c>
      <c r="P162" s="63">
        <v>0.41176470588235292</v>
      </c>
    </row>
    <row r="163" spans="1:16" x14ac:dyDescent="0.45">
      <c r="A163" s="65">
        <v>160</v>
      </c>
      <c r="B163" s="62">
        <v>-25.600000000000183</v>
      </c>
      <c r="C163" s="62">
        <v>-0.16000000000000114</v>
      </c>
      <c r="D163" s="67">
        <v>1.98125</v>
      </c>
      <c r="E163" s="63">
        <v>0.33750000000000002</v>
      </c>
      <c r="F163" s="63">
        <v>0.31874999999999998</v>
      </c>
      <c r="G163" s="63">
        <v>0.30757689422355589</v>
      </c>
      <c r="H163" s="63">
        <v>0.18229557389347337</v>
      </c>
      <c r="I163" s="64">
        <v>8116.0975609756097</v>
      </c>
      <c r="J163" s="64">
        <v>-7913.5802469135806</v>
      </c>
      <c r="K163" s="63">
        <v>0.1125</v>
      </c>
      <c r="L163" s="63">
        <v>0.23630907726931732</v>
      </c>
      <c r="M163" s="63">
        <v>0.30082520630157539</v>
      </c>
      <c r="N163" s="63">
        <v>0.51111111111111107</v>
      </c>
      <c r="O163" s="63">
        <v>0.37655860349127179</v>
      </c>
      <c r="P163" s="63">
        <v>0.41463414634146339</v>
      </c>
    </row>
    <row r="164" spans="1:16" x14ac:dyDescent="0.45">
      <c r="A164" s="65">
        <v>161</v>
      </c>
      <c r="B164" s="62">
        <v>-44.500000000000185</v>
      </c>
      <c r="C164" s="62">
        <v>-0.27639751552795144</v>
      </c>
      <c r="D164" s="67">
        <v>1.9813664596273293</v>
      </c>
      <c r="E164" s="63">
        <v>0.33540372670807456</v>
      </c>
      <c r="F164" s="63">
        <v>0.31677018633540371</v>
      </c>
      <c r="G164" s="63">
        <v>0.30843913368185211</v>
      </c>
      <c r="H164" s="63">
        <v>0.18222554144884243</v>
      </c>
      <c r="I164" s="64">
        <v>8083.0508474576272</v>
      </c>
      <c r="J164" s="64">
        <v>-7920.4918032786882</v>
      </c>
      <c r="K164" s="63">
        <v>0.11180124223602485</v>
      </c>
      <c r="L164" s="63">
        <v>0.23599701269604181</v>
      </c>
      <c r="M164" s="63">
        <v>0.30246452576549665</v>
      </c>
      <c r="N164" s="63">
        <v>0.51265822784810122</v>
      </c>
      <c r="O164" s="63">
        <v>0.37777777777777777</v>
      </c>
      <c r="P164" s="63">
        <v>0.41646489104116224</v>
      </c>
    </row>
    <row r="165" spans="1:16" x14ac:dyDescent="0.45">
      <c r="A165" s="65">
        <v>162</v>
      </c>
      <c r="B165" s="62">
        <v>-22.200000000000184</v>
      </c>
      <c r="C165" s="62">
        <v>-0.13703703703703818</v>
      </c>
      <c r="D165" s="67">
        <v>1.9753086419753085</v>
      </c>
      <c r="E165" s="63">
        <v>0.33950617283950618</v>
      </c>
      <c r="F165" s="63">
        <v>0.31481481481481483</v>
      </c>
      <c r="G165" s="63">
        <v>0.30957683741648107</v>
      </c>
      <c r="H165" s="63">
        <v>0.18114328136599853</v>
      </c>
      <c r="I165" s="64">
        <v>8041.9664268585129</v>
      </c>
      <c r="J165" s="64">
        <v>-7920.4918032786882</v>
      </c>
      <c r="K165" s="63">
        <v>0.1111111111111111</v>
      </c>
      <c r="L165" s="63">
        <v>0.23459539717891612</v>
      </c>
      <c r="M165" s="63">
        <v>0.30215293244246472</v>
      </c>
      <c r="N165" s="63">
        <v>0.51265822784810122</v>
      </c>
      <c r="O165" s="63">
        <v>0.3783783783783784</v>
      </c>
      <c r="P165" s="63">
        <v>0.41247002398081534</v>
      </c>
    </row>
    <row r="166" spans="1:16" x14ac:dyDescent="0.45">
      <c r="A166" s="65">
        <v>163</v>
      </c>
      <c r="B166" s="62">
        <v>25.099999999999813</v>
      </c>
      <c r="C166" s="62">
        <v>0.15398773006134855</v>
      </c>
      <c r="D166" s="67">
        <v>1.9693251533742331</v>
      </c>
      <c r="E166" s="63">
        <v>0.34355828220858897</v>
      </c>
      <c r="F166" s="63">
        <v>0.31288343558282211</v>
      </c>
      <c r="G166" s="63">
        <v>0.31093057607090102</v>
      </c>
      <c r="H166" s="63">
        <v>0.18020679468242246</v>
      </c>
      <c r="I166" s="64">
        <v>8038.7173396674589</v>
      </c>
      <c r="J166" s="64">
        <v>-7920.4918032786882</v>
      </c>
      <c r="K166" s="63">
        <v>0.11042944785276074</v>
      </c>
      <c r="L166" s="63">
        <v>0.23338257016248154</v>
      </c>
      <c r="M166" s="63">
        <v>0.30354505169867063</v>
      </c>
      <c r="N166" s="63">
        <v>0.51265822784810122</v>
      </c>
      <c r="O166" s="63">
        <v>0.38199513381995132</v>
      </c>
      <c r="P166" s="63">
        <v>0.41567695961995249</v>
      </c>
    </row>
    <row r="167" spans="1:16" x14ac:dyDescent="0.45">
      <c r="A167" s="65">
        <v>164</v>
      </c>
      <c r="B167" s="62">
        <v>-9.4000000000001869</v>
      </c>
      <c r="C167" s="62">
        <v>-5.7317073170732848E-2</v>
      </c>
      <c r="D167" s="67">
        <v>1.975609756097561</v>
      </c>
      <c r="E167" s="63">
        <v>0.34146341463414637</v>
      </c>
      <c r="F167" s="63">
        <v>0.31707317073170732</v>
      </c>
      <c r="G167" s="63">
        <v>0.30865102639296188</v>
      </c>
      <c r="H167" s="63">
        <v>0.17961876832844575</v>
      </c>
      <c r="I167" s="64">
        <v>8038.7173396674589</v>
      </c>
      <c r="J167" s="64">
        <v>-7920.8163265306121</v>
      </c>
      <c r="K167" s="63">
        <v>0.10975609756097561</v>
      </c>
      <c r="L167" s="63">
        <v>0.23240469208211142</v>
      </c>
      <c r="M167" s="63">
        <v>0.3027859237536657</v>
      </c>
      <c r="N167" s="63">
        <v>0.51104100946372244</v>
      </c>
      <c r="O167" s="63">
        <v>0.38014527845036322</v>
      </c>
      <c r="P167" s="63">
        <v>0.41567695961995249</v>
      </c>
    </row>
    <row r="168" spans="1:16" x14ac:dyDescent="0.45">
      <c r="A168" s="65">
        <v>165</v>
      </c>
      <c r="B168" s="62">
        <v>-48.100000000000193</v>
      </c>
      <c r="C168" s="62">
        <v>-0.29151515151515267</v>
      </c>
      <c r="D168" s="67">
        <v>1.9818181818181819</v>
      </c>
      <c r="E168" s="63">
        <v>0.33939393939393941</v>
      </c>
      <c r="F168" s="63">
        <v>0.32121212121212123</v>
      </c>
      <c r="G168" s="63">
        <v>0.30976676384839652</v>
      </c>
      <c r="H168" s="63">
        <v>0.17930029154518951</v>
      </c>
      <c r="I168" s="64">
        <v>8017.8823529411766</v>
      </c>
      <c r="J168" s="64">
        <v>-8018.6991869918702</v>
      </c>
      <c r="K168" s="63">
        <v>0.10909090909090909</v>
      </c>
      <c r="L168" s="63">
        <v>0.2325072886297376</v>
      </c>
      <c r="M168" s="63">
        <v>0.30320699708454812</v>
      </c>
      <c r="N168" s="63">
        <v>0.51410658307210033</v>
      </c>
      <c r="O168" s="63">
        <v>0.37980769230769229</v>
      </c>
      <c r="P168" s="63">
        <v>0.41411764705882353</v>
      </c>
    </row>
    <row r="169" spans="1:16" x14ac:dyDescent="0.45">
      <c r="A169" s="65">
        <v>166</v>
      </c>
      <c r="B169" s="62">
        <v>-22.900000000000194</v>
      </c>
      <c r="C169" s="62">
        <v>-0.13795180722891684</v>
      </c>
      <c r="D169" s="67">
        <v>1.9759036144578312</v>
      </c>
      <c r="E169" s="63">
        <v>0.34337349397590361</v>
      </c>
      <c r="F169" s="63">
        <v>0.31927710843373491</v>
      </c>
      <c r="G169" s="63">
        <v>0.31059506531204645</v>
      </c>
      <c r="H169" s="63">
        <v>0.17851959361393324</v>
      </c>
      <c r="I169" s="64">
        <v>8027.336448598131</v>
      </c>
      <c r="J169" s="64">
        <v>-8018.6991869918702</v>
      </c>
      <c r="K169" s="63">
        <v>0.10843373493975904</v>
      </c>
      <c r="L169" s="63">
        <v>0.23149492017416545</v>
      </c>
      <c r="M169" s="63">
        <v>0.3026124818577649</v>
      </c>
      <c r="N169" s="63">
        <v>0.51410658307210033</v>
      </c>
      <c r="O169" s="63">
        <v>0.38129496402877699</v>
      </c>
      <c r="P169" s="63">
        <v>0.4135514018691589</v>
      </c>
    </row>
    <row r="170" spans="1:16" x14ac:dyDescent="0.45">
      <c r="A170" s="65">
        <v>167</v>
      </c>
      <c r="B170" s="62">
        <v>-2.8000000000001926</v>
      </c>
      <c r="C170" s="62">
        <v>-1.6766467065869418E-2</v>
      </c>
      <c r="D170" s="67">
        <v>1.9760479041916168</v>
      </c>
      <c r="E170" s="63">
        <v>0.3413173652694611</v>
      </c>
      <c r="F170" s="63">
        <v>0.31736526946107785</v>
      </c>
      <c r="G170" s="63">
        <v>0.31123919308357351</v>
      </c>
      <c r="H170" s="63">
        <v>0.17939481268011528</v>
      </c>
      <c r="I170" s="64">
        <v>8040.0462962962965</v>
      </c>
      <c r="J170" s="64">
        <v>-7984.3373493975905</v>
      </c>
      <c r="K170" s="63">
        <v>0.10778443113772455</v>
      </c>
      <c r="L170" s="63">
        <v>0.2334293948126801</v>
      </c>
      <c r="M170" s="63">
        <v>0.30115273775216139</v>
      </c>
      <c r="N170" s="63">
        <v>0.51543209876543206</v>
      </c>
      <c r="O170" s="63">
        <v>0.38277511961722488</v>
      </c>
      <c r="P170" s="63">
        <v>0.41435185185185186</v>
      </c>
    </row>
    <row r="171" spans="1:16" x14ac:dyDescent="0.45">
      <c r="A171" s="65">
        <v>168</v>
      </c>
      <c r="B171" s="62">
        <v>21.399999999999807</v>
      </c>
      <c r="C171" s="62">
        <v>0.12738095238095123</v>
      </c>
      <c r="D171" s="67">
        <v>1.9702380952380953</v>
      </c>
      <c r="E171" s="63">
        <v>0.34523809523809523</v>
      </c>
      <c r="F171" s="63">
        <v>0.31547619047619047</v>
      </c>
      <c r="G171" s="63">
        <v>0.31254480286738351</v>
      </c>
      <c r="H171" s="63">
        <v>0.17921146953405018</v>
      </c>
      <c r="I171" s="64">
        <v>8005.7339449541287</v>
      </c>
      <c r="J171" s="64">
        <v>-7960.4</v>
      </c>
      <c r="K171" s="63">
        <v>0.10714285714285714</v>
      </c>
      <c r="L171" s="63">
        <v>0.23297491039426524</v>
      </c>
      <c r="M171" s="63">
        <v>0.30035842293906811</v>
      </c>
      <c r="N171" s="63">
        <v>0.51692307692307693</v>
      </c>
      <c r="O171" s="63">
        <v>0.38424821002386633</v>
      </c>
      <c r="P171" s="63">
        <v>0.41513761467889909</v>
      </c>
    </row>
    <row r="172" spans="1:16" x14ac:dyDescent="0.45">
      <c r="A172" s="65">
        <v>169</v>
      </c>
      <c r="B172" s="62">
        <v>20.799999999999805</v>
      </c>
      <c r="C172" s="62">
        <v>0.12307692307692192</v>
      </c>
      <c r="D172" s="67">
        <v>1.970414201183432</v>
      </c>
      <c r="E172" s="63">
        <v>0.34319526627218933</v>
      </c>
      <c r="F172" s="63">
        <v>0.31360946745562129</v>
      </c>
      <c r="G172" s="63">
        <v>0.31383737517831667</v>
      </c>
      <c r="H172" s="63">
        <v>0.1783166904422254</v>
      </c>
      <c r="I172" s="64">
        <v>7976.590909090909</v>
      </c>
      <c r="J172" s="64">
        <v>-7960.4</v>
      </c>
      <c r="K172" s="63">
        <v>0.10650887573964497</v>
      </c>
      <c r="L172" s="63">
        <v>0.23323823109843081</v>
      </c>
      <c r="M172" s="63">
        <v>0.30028530670470754</v>
      </c>
      <c r="N172" s="63">
        <v>0.51681957186544347</v>
      </c>
      <c r="O172" s="63">
        <v>0.38479809976247031</v>
      </c>
      <c r="P172" s="63">
        <v>0.41590909090909089</v>
      </c>
    </row>
    <row r="173" spans="1:16" x14ac:dyDescent="0.45">
      <c r="A173" s="65">
        <v>170</v>
      </c>
      <c r="B173" s="62">
        <v>-3.0000000000001954</v>
      </c>
      <c r="C173" s="62">
        <v>-1.764705882353056E-2</v>
      </c>
      <c r="D173" s="67">
        <v>1.9764705882352942</v>
      </c>
      <c r="E173" s="63">
        <v>0.3411764705882353</v>
      </c>
      <c r="F173" s="63">
        <v>0.31764705882352939</v>
      </c>
      <c r="G173" s="63">
        <v>0.31347517730496455</v>
      </c>
      <c r="H173" s="63">
        <v>0.17801418439716313</v>
      </c>
      <c r="I173" s="64">
        <v>7967.6470588235297</v>
      </c>
      <c r="J173" s="64">
        <v>-7933.8645418326696</v>
      </c>
      <c r="K173" s="63">
        <v>0.10588235294117647</v>
      </c>
      <c r="L173" s="63">
        <v>0.23262411347517731</v>
      </c>
      <c r="M173" s="63">
        <v>0.29929078014184396</v>
      </c>
      <c r="N173" s="63">
        <v>0.51829268292682928</v>
      </c>
      <c r="O173" s="63">
        <v>0.38625592417061611</v>
      </c>
      <c r="P173" s="63">
        <v>0.41628959276018102</v>
      </c>
    </row>
    <row r="174" spans="1:16" x14ac:dyDescent="0.45">
      <c r="A174" s="65">
        <v>171</v>
      </c>
      <c r="B174" s="62">
        <v>-27.400000000000194</v>
      </c>
      <c r="C174" s="62">
        <v>-0.16023391812865612</v>
      </c>
      <c r="D174" s="67">
        <v>1.9824561403508771</v>
      </c>
      <c r="E174" s="63">
        <v>0.33918128654970758</v>
      </c>
      <c r="F174" s="63">
        <v>0.32163742690058478</v>
      </c>
      <c r="G174" s="63">
        <v>0.31289640591966172</v>
      </c>
      <c r="H174" s="63">
        <v>0.17899929527836506</v>
      </c>
      <c r="I174" s="64">
        <v>7958.1081081081084</v>
      </c>
      <c r="J174" s="64">
        <v>-7918.1102362204729</v>
      </c>
      <c r="K174" s="63">
        <v>0.10526315789473684</v>
      </c>
      <c r="L174" s="63">
        <v>0.23326286116983791</v>
      </c>
      <c r="M174" s="63">
        <v>0.29809725158562367</v>
      </c>
      <c r="N174" s="63">
        <v>0.5166163141993958</v>
      </c>
      <c r="O174" s="63">
        <v>0.38534278959810875</v>
      </c>
      <c r="P174" s="63">
        <v>0.41666666666666669</v>
      </c>
    </row>
    <row r="175" spans="1:16" x14ac:dyDescent="0.45">
      <c r="A175" s="65">
        <v>172</v>
      </c>
      <c r="B175" s="62">
        <v>-60.500000000000199</v>
      </c>
      <c r="C175" s="62">
        <v>-0.35174418604651281</v>
      </c>
      <c r="D175" s="67">
        <v>1.9883720930232558</v>
      </c>
      <c r="E175" s="63">
        <v>0.33720930232558138</v>
      </c>
      <c r="F175" s="63">
        <v>0.32558139534883723</v>
      </c>
      <c r="G175" s="63">
        <v>0.31254379817799577</v>
      </c>
      <c r="H175" s="63">
        <v>0.17939733707077785</v>
      </c>
      <c r="I175" s="64">
        <v>7948.6547085201792</v>
      </c>
      <c r="J175" s="64">
        <v>-7970.3125</v>
      </c>
      <c r="K175" s="63">
        <v>0.10465116279069768</v>
      </c>
      <c r="L175" s="63">
        <v>0.23405746320953047</v>
      </c>
      <c r="M175" s="63">
        <v>0.29852838121934128</v>
      </c>
      <c r="N175" s="63">
        <v>0.51497005988023947</v>
      </c>
      <c r="O175" s="63">
        <v>0.38497652582159625</v>
      </c>
      <c r="P175" s="63">
        <v>0.4170403587443946</v>
      </c>
    </row>
    <row r="176" spans="1:16" x14ac:dyDescent="0.45">
      <c r="A176" s="65">
        <v>173</v>
      </c>
      <c r="B176" s="62">
        <v>-71.400000000000205</v>
      </c>
      <c r="C176" s="62">
        <v>-0.41271676300578153</v>
      </c>
      <c r="D176" s="67">
        <v>1.9884393063583814</v>
      </c>
      <c r="E176" s="63">
        <v>0.33526011560693642</v>
      </c>
      <c r="F176" s="63">
        <v>0.32369942196531792</v>
      </c>
      <c r="G176" s="63">
        <v>0.31202223766504517</v>
      </c>
      <c r="H176" s="63">
        <v>0.17790132036136205</v>
      </c>
      <c r="I176" s="64">
        <v>7922.0489977728284</v>
      </c>
      <c r="J176" s="64">
        <v>-7970.3125</v>
      </c>
      <c r="K176" s="63">
        <v>0.10404624277456648</v>
      </c>
      <c r="L176" s="63">
        <v>0.23349548297428771</v>
      </c>
      <c r="M176" s="63">
        <v>0.29881862404447534</v>
      </c>
      <c r="N176" s="63">
        <v>0.51190476190476186</v>
      </c>
      <c r="O176" s="63">
        <v>0.38604651162790699</v>
      </c>
      <c r="P176" s="63">
        <v>0.41870824053452116</v>
      </c>
    </row>
    <row r="177" spans="1:16" x14ac:dyDescent="0.45">
      <c r="A177" s="65">
        <v>174</v>
      </c>
      <c r="B177" s="62">
        <v>-41.100000000000207</v>
      </c>
      <c r="C177" s="62">
        <v>-0.23620689655172533</v>
      </c>
      <c r="D177" s="67">
        <v>1.9827586206896552</v>
      </c>
      <c r="E177" s="63">
        <v>0.33908045977011492</v>
      </c>
      <c r="F177" s="63">
        <v>0.32183908045977011</v>
      </c>
      <c r="G177" s="63">
        <v>0.31353591160220995</v>
      </c>
      <c r="H177" s="63">
        <v>0.17679558011049723</v>
      </c>
      <c r="I177" s="64">
        <v>7900.4405286343608</v>
      </c>
      <c r="J177" s="64">
        <v>-7970.3125</v>
      </c>
      <c r="K177" s="63">
        <v>0.10344827586206896</v>
      </c>
      <c r="L177" s="63">
        <v>0.23273480662983426</v>
      </c>
      <c r="M177" s="63">
        <v>0.29903314917127072</v>
      </c>
      <c r="N177" s="63">
        <v>0.51335311572700293</v>
      </c>
      <c r="O177" s="63">
        <v>0.39030023094688221</v>
      </c>
      <c r="P177" s="63">
        <v>0.41629955947136565</v>
      </c>
    </row>
    <row r="178" spans="1:16" x14ac:dyDescent="0.45">
      <c r="A178" s="65">
        <v>175</v>
      </c>
      <c r="B178" s="62">
        <v>-68.600000000000207</v>
      </c>
      <c r="C178" s="62">
        <v>-0.39200000000000118</v>
      </c>
      <c r="D178" s="67">
        <v>1.9828571428571429</v>
      </c>
      <c r="E178" s="63">
        <v>0.33714285714285713</v>
      </c>
      <c r="F178" s="63">
        <v>0.32</v>
      </c>
      <c r="G178" s="63">
        <v>0.31314521679284241</v>
      </c>
      <c r="H178" s="63">
        <v>0.17618719889883</v>
      </c>
      <c r="I178" s="64">
        <v>7886.3736263736264</v>
      </c>
      <c r="J178" s="64">
        <v>-7970.3125</v>
      </c>
      <c r="K178" s="63">
        <v>0.10285714285714286</v>
      </c>
      <c r="L178" s="63">
        <v>0.2326221610461115</v>
      </c>
      <c r="M178" s="63">
        <v>0.29800412938747417</v>
      </c>
      <c r="N178" s="63">
        <v>0.51183431952662717</v>
      </c>
      <c r="O178" s="63">
        <v>0.39030023094688221</v>
      </c>
      <c r="P178" s="63">
        <v>0.4175824175824176</v>
      </c>
    </row>
    <row r="179" spans="1:16" x14ac:dyDescent="0.45">
      <c r="A179" s="65">
        <v>176</v>
      </c>
      <c r="B179" s="62">
        <v>-6.0000000000002061</v>
      </c>
      <c r="C179" s="62">
        <v>-3.4090909090910261E-2</v>
      </c>
      <c r="D179" s="67">
        <v>1.9772727272727273</v>
      </c>
      <c r="E179" s="63">
        <v>0.34090909090909088</v>
      </c>
      <c r="F179" s="63">
        <v>0.31818181818181818</v>
      </c>
      <c r="G179" s="63">
        <v>0.31456043956043955</v>
      </c>
      <c r="H179" s="63">
        <v>0.17582417582417584</v>
      </c>
      <c r="I179" s="64">
        <v>7938.6462882096066</v>
      </c>
      <c r="J179" s="64">
        <v>-7970.3125</v>
      </c>
      <c r="K179" s="63">
        <v>0.10227272727272728</v>
      </c>
      <c r="L179" s="63">
        <v>0.23282967032967034</v>
      </c>
      <c r="M179" s="63">
        <v>0.29876373626373626</v>
      </c>
      <c r="N179" s="63">
        <v>0.51327433628318586</v>
      </c>
      <c r="O179" s="63">
        <v>0.39310344827586208</v>
      </c>
      <c r="P179" s="63">
        <v>0.41703056768558949</v>
      </c>
    </row>
    <row r="180" spans="1:16" x14ac:dyDescent="0.45">
      <c r="A180" s="65">
        <v>177</v>
      </c>
      <c r="B180" s="62">
        <v>-11.000000000000206</v>
      </c>
      <c r="C180" s="62">
        <v>-6.2146892655368394E-2</v>
      </c>
      <c r="D180" s="67">
        <v>1.9774011299435028</v>
      </c>
      <c r="E180" s="63">
        <v>0.33898305084745761</v>
      </c>
      <c r="F180" s="63">
        <v>0.31638418079096048</v>
      </c>
      <c r="G180" s="63">
        <v>0.31629175187457398</v>
      </c>
      <c r="H180" s="63">
        <v>0.17586912065439672</v>
      </c>
      <c r="I180" s="64">
        <v>7903.6637931034484</v>
      </c>
      <c r="J180" s="64">
        <v>-7970.1550387596899</v>
      </c>
      <c r="K180" s="63">
        <v>0.10169491525423729</v>
      </c>
      <c r="L180" s="63">
        <v>0.23176550783912747</v>
      </c>
      <c r="M180" s="63">
        <v>0.29993183367416498</v>
      </c>
      <c r="N180" s="63">
        <v>0.5117647058823529</v>
      </c>
      <c r="O180" s="63">
        <v>0.39772727272727271</v>
      </c>
      <c r="P180" s="63">
        <v>0.41379310344827586</v>
      </c>
    </row>
    <row r="181" spans="1:16" x14ac:dyDescent="0.45">
      <c r="A181" s="65">
        <v>178</v>
      </c>
      <c r="B181" s="62">
        <v>-47.000000000000206</v>
      </c>
      <c r="C181" s="62">
        <v>-0.26404494382022586</v>
      </c>
      <c r="D181" s="67">
        <v>1.9831460674157304</v>
      </c>
      <c r="E181" s="63">
        <v>0.33707865168539325</v>
      </c>
      <c r="F181" s="63">
        <v>0.3202247191011236</v>
      </c>
      <c r="G181" s="63">
        <v>0.31532748143146522</v>
      </c>
      <c r="H181" s="63">
        <v>0.17690749493585414</v>
      </c>
      <c r="I181" s="64">
        <v>7886.0813704496786</v>
      </c>
      <c r="J181" s="64">
        <v>-7936.259541984733</v>
      </c>
      <c r="K181" s="63">
        <v>0.10112359550561797</v>
      </c>
      <c r="L181" s="63">
        <v>0.22957461174881835</v>
      </c>
      <c r="M181" s="63">
        <v>0.29912221471978395</v>
      </c>
      <c r="N181" s="63">
        <v>0.5117647058823529</v>
      </c>
      <c r="O181" s="63">
        <v>0.39729119638826182</v>
      </c>
      <c r="P181" s="63">
        <v>0.41327623126338331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16637-A616-4943-81C4-BA82095FC88E}">
  <sheetPr codeName="Sheet10"/>
  <dimension ref="A1:Q20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5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5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5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5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5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5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5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5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5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5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5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 x14ac:dyDescent="0.45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  <row r="163" spans="1:16" x14ac:dyDescent="0.45">
      <c r="A163" s="65">
        <v>160</v>
      </c>
      <c r="B163" s="62">
        <v>1344.4</v>
      </c>
      <c r="C163" s="62">
        <v>8.4024999999999999</v>
      </c>
      <c r="D163" s="67">
        <v>1.79375</v>
      </c>
      <c r="E163" s="63">
        <v>0.45624999999999999</v>
      </c>
      <c r="F163" s="63">
        <v>0.25</v>
      </c>
      <c r="G163" s="63">
        <v>0.34348819497334349</v>
      </c>
      <c r="H163" s="63">
        <v>0.13175932977913177</v>
      </c>
      <c r="I163" s="64">
        <v>8114.1906873614189</v>
      </c>
      <c r="J163" s="64">
        <v>-7590.1734104046245</v>
      </c>
      <c r="K163" s="63">
        <v>4.3749999999999997E-2</v>
      </c>
      <c r="L163" s="63">
        <v>0.26656511805026656</v>
      </c>
      <c r="M163" s="63">
        <v>0.23229246001523229</v>
      </c>
      <c r="N163" s="63">
        <v>0.6</v>
      </c>
      <c r="O163" s="63">
        <v>0.49508196721311476</v>
      </c>
      <c r="P163" s="63">
        <v>0.41241685144124168</v>
      </c>
    </row>
    <row r="164" spans="1:16" x14ac:dyDescent="0.45">
      <c r="A164" s="65">
        <v>161</v>
      </c>
      <c r="B164" s="62">
        <v>1375.4</v>
      </c>
      <c r="C164" s="62">
        <v>8.5428571428571427</v>
      </c>
      <c r="D164" s="67">
        <v>1.7888198757763976</v>
      </c>
      <c r="E164" s="63">
        <v>0.45962732919254656</v>
      </c>
      <c r="F164" s="63">
        <v>0.2484472049689441</v>
      </c>
      <c r="G164" s="63">
        <v>0.34393939393939393</v>
      </c>
      <c r="H164" s="63">
        <v>0.13181818181818181</v>
      </c>
      <c r="I164" s="64">
        <v>8139.8678414096912</v>
      </c>
      <c r="J164" s="64">
        <v>-7592.5287356321842</v>
      </c>
      <c r="K164" s="63">
        <v>4.3478260869565216E-2</v>
      </c>
      <c r="L164" s="63">
        <v>0.26666666666666666</v>
      </c>
      <c r="M164" s="63">
        <v>0.23257575757575757</v>
      </c>
      <c r="N164" s="63">
        <v>0.60227272727272729</v>
      </c>
      <c r="O164" s="63">
        <v>0.49511400651465798</v>
      </c>
      <c r="P164" s="63">
        <v>0.41409691629955947</v>
      </c>
    </row>
    <row r="165" spans="1:16" x14ac:dyDescent="0.45">
      <c r="A165" s="65">
        <v>162</v>
      </c>
      <c r="B165" s="62">
        <v>1421.9</v>
      </c>
      <c r="C165" s="62">
        <v>8.7771604938271608</v>
      </c>
      <c r="D165" s="67">
        <v>1.7839506172839505</v>
      </c>
      <c r="E165" s="63">
        <v>0.46296296296296297</v>
      </c>
      <c r="F165" s="63">
        <v>0.24691358024691357</v>
      </c>
      <c r="G165" s="63">
        <v>0.34490566037735848</v>
      </c>
      <c r="H165" s="63">
        <v>0.13132075471698113</v>
      </c>
      <c r="I165" s="64">
        <v>8165.2078774617066</v>
      </c>
      <c r="J165" s="64">
        <v>-7592.5287356321842</v>
      </c>
      <c r="K165" s="63">
        <v>4.3209876543209874E-2</v>
      </c>
      <c r="L165" s="63">
        <v>0.26641509433962263</v>
      </c>
      <c r="M165" s="63">
        <v>0.23245283018867924</v>
      </c>
      <c r="N165" s="63">
        <v>0.60339943342776203</v>
      </c>
      <c r="O165" s="63">
        <v>0.49675324675324678</v>
      </c>
      <c r="P165" s="63">
        <v>0.41794310722100658</v>
      </c>
    </row>
    <row r="166" spans="1:16" x14ac:dyDescent="0.45">
      <c r="A166" s="65">
        <v>163</v>
      </c>
      <c r="B166" s="62">
        <v>1425.1000000000001</v>
      </c>
      <c r="C166" s="62">
        <v>8.7429447852760749</v>
      </c>
      <c r="D166" s="67">
        <v>1.7852760736196318</v>
      </c>
      <c r="E166" s="63">
        <v>0.46012269938650308</v>
      </c>
      <c r="F166" s="63">
        <v>0.24539877300613497</v>
      </c>
      <c r="G166" s="63">
        <v>0.34480179506357517</v>
      </c>
      <c r="H166" s="63">
        <v>0.13089005235602094</v>
      </c>
      <c r="I166" s="64">
        <v>8136.0086767895882</v>
      </c>
      <c r="J166" s="64">
        <v>-7571.4285714285716</v>
      </c>
      <c r="K166" s="63">
        <v>4.2944785276073622E-2</v>
      </c>
      <c r="L166" s="63">
        <v>0.26551982049364248</v>
      </c>
      <c r="M166" s="63">
        <v>0.23261032161555723</v>
      </c>
      <c r="N166" s="63">
        <v>0.60281690140845068</v>
      </c>
      <c r="O166" s="63">
        <v>0.49839228295819937</v>
      </c>
      <c r="P166" s="63">
        <v>0.41865509761388287</v>
      </c>
    </row>
    <row r="167" spans="1:16" x14ac:dyDescent="0.45">
      <c r="A167" s="65">
        <v>164</v>
      </c>
      <c r="B167" s="62">
        <v>1402.2</v>
      </c>
      <c r="C167" s="62">
        <v>8.5500000000000007</v>
      </c>
      <c r="D167" s="67">
        <v>1.7926829268292683</v>
      </c>
      <c r="E167" s="63">
        <v>0.45731707317073172</v>
      </c>
      <c r="F167" s="63">
        <v>0.25</v>
      </c>
      <c r="G167" s="63">
        <v>0.34247590808005929</v>
      </c>
      <c r="H167" s="63">
        <v>0.13046701260192736</v>
      </c>
      <c r="I167" s="64">
        <v>8144.3722943722942</v>
      </c>
      <c r="J167" s="64">
        <v>-7550.568181818182</v>
      </c>
      <c r="K167" s="63">
        <v>4.2682926829268296E-2</v>
      </c>
      <c r="L167" s="63">
        <v>0.26464047442550037</v>
      </c>
      <c r="M167" s="63">
        <v>0.2335063009636768</v>
      </c>
      <c r="N167" s="63">
        <v>0.60224089635854339</v>
      </c>
      <c r="O167" s="63">
        <v>0.49206349206349204</v>
      </c>
      <c r="P167" s="63">
        <v>0.41991341991341991</v>
      </c>
    </row>
    <row r="168" spans="1:16" x14ac:dyDescent="0.45">
      <c r="A168" s="65">
        <v>165</v>
      </c>
      <c r="B168" s="62">
        <v>1432.4</v>
      </c>
      <c r="C168" s="62">
        <v>8.6812121212121216</v>
      </c>
      <c r="D168" s="67">
        <v>1.7878787878787878</v>
      </c>
      <c r="E168" s="63">
        <v>0.46060606060606063</v>
      </c>
      <c r="F168" s="63">
        <v>0.24848484848484848</v>
      </c>
      <c r="G168" s="63">
        <v>0.34340456890198967</v>
      </c>
      <c r="H168" s="63">
        <v>0.13043478260869565</v>
      </c>
      <c r="I168" s="64">
        <v>8144.6351931330473</v>
      </c>
      <c r="J168" s="64">
        <v>-7553.1073446327682</v>
      </c>
      <c r="K168" s="63">
        <v>4.2424242424242427E-2</v>
      </c>
      <c r="L168" s="63">
        <v>0.26381724392041267</v>
      </c>
      <c r="M168" s="63">
        <v>0.23360353721444363</v>
      </c>
      <c r="N168" s="63">
        <v>0.6033519553072626</v>
      </c>
      <c r="O168" s="63">
        <v>0.49211356466876971</v>
      </c>
      <c r="P168" s="63">
        <v>0.42060085836909872</v>
      </c>
    </row>
    <row r="169" spans="1:16" x14ac:dyDescent="0.45">
      <c r="A169" s="65">
        <v>166</v>
      </c>
      <c r="B169" s="62">
        <v>1454.5</v>
      </c>
      <c r="C169" s="62">
        <v>8.7620481927710845</v>
      </c>
      <c r="D169" s="67">
        <v>1.7831325301204819</v>
      </c>
      <c r="E169" s="63">
        <v>0.46385542168674698</v>
      </c>
      <c r="F169" s="63">
        <v>0.24698795180722891</v>
      </c>
      <c r="G169" s="63">
        <v>0.3433602347762289</v>
      </c>
      <c r="H169" s="63">
        <v>0.12986060161408658</v>
      </c>
      <c r="I169" s="64">
        <v>8146.7948717948721</v>
      </c>
      <c r="J169" s="64">
        <v>-7553.1073446327682</v>
      </c>
      <c r="K169" s="63">
        <v>4.2168674698795178E-2</v>
      </c>
      <c r="L169" s="63">
        <v>0.26338958180484223</v>
      </c>
      <c r="M169" s="63">
        <v>0.23477622890682318</v>
      </c>
      <c r="N169" s="63">
        <v>0.6044568245125348</v>
      </c>
      <c r="O169" s="63">
        <v>0.49062499999999998</v>
      </c>
      <c r="P169" s="63">
        <v>0.42094017094017094</v>
      </c>
    </row>
    <row r="170" spans="1:16" x14ac:dyDescent="0.45">
      <c r="A170" s="65">
        <v>167</v>
      </c>
      <c r="B170" s="62">
        <v>1408.3</v>
      </c>
      <c r="C170" s="62">
        <v>8.432934131736527</v>
      </c>
      <c r="D170" s="67">
        <v>1.7904191616766467</v>
      </c>
      <c r="E170" s="63">
        <v>0.46107784431137727</v>
      </c>
      <c r="F170" s="63">
        <v>0.25149700598802394</v>
      </c>
      <c r="G170" s="63">
        <v>0.34233576642335767</v>
      </c>
      <c r="H170" s="63">
        <v>0.12992700729927006</v>
      </c>
      <c r="I170" s="64">
        <v>8132.1961620469083</v>
      </c>
      <c r="J170" s="64">
        <v>-7645.5056179775283</v>
      </c>
      <c r="K170" s="63">
        <v>4.790419161676647E-2</v>
      </c>
      <c r="L170" s="63">
        <v>0.26423357664233577</v>
      </c>
      <c r="M170" s="63">
        <v>0.23430656934306571</v>
      </c>
      <c r="N170" s="63">
        <v>0.59944751381215466</v>
      </c>
      <c r="O170" s="63">
        <v>0.48909657320872274</v>
      </c>
      <c r="P170" s="63">
        <v>0.42004264392324092</v>
      </c>
    </row>
    <row r="171" spans="1:16" x14ac:dyDescent="0.45">
      <c r="A171" s="65">
        <v>168</v>
      </c>
      <c r="B171" s="62">
        <v>1434.6</v>
      </c>
      <c r="C171" s="62">
        <v>8.5392857142857146</v>
      </c>
      <c r="D171" s="67">
        <v>1.7857142857142858</v>
      </c>
      <c r="E171" s="63">
        <v>0.4642857142857143</v>
      </c>
      <c r="F171" s="63">
        <v>0.25</v>
      </c>
      <c r="G171" s="63">
        <v>0.34350036310820625</v>
      </c>
      <c r="H171" s="63">
        <v>0.13071895424836602</v>
      </c>
      <c r="I171" s="64">
        <v>8142.2832980972516</v>
      </c>
      <c r="J171" s="64">
        <v>-7693.8888888888887</v>
      </c>
      <c r="K171" s="63">
        <v>4.7619047619047616E-2</v>
      </c>
      <c r="L171" s="63">
        <v>0.26361655773420478</v>
      </c>
      <c r="M171" s="63">
        <v>0.23529411764705882</v>
      </c>
      <c r="N171" s="63">
        <v>0.60055096418732778</v>
      </c>
      <c r="O171" s="63">
        <v>0.49074074074074076</v>
      </c>
      <c r="P171" s="63">
        <v>0.42283298097251587</v>
      </c>
    </row>
    <row r="172" spans="1:16" x14ac:dyDescent="0.45">
      <c r="A172" s="65">
        <v>169</v>
      </c>
      <c r="B172" s="62">
        <v>1474.3999999999999</v>
      </c>
      <c r="C172" s="62">
        <v>8.7242603550295854</v>
      </c>
      <c r="D172" s="67">
        <v>1.7810650887573964</v>
      </c>
      <c r="E172" s="63">
        <v>0.46745562130177515</v>
      </c>
      <c r="F172" s="63">
        <v>0.24852071005917159</v>
      </c>
      <c r="G172" s="63">
        <v>0.34393063583815031</v>
      </c>
      <c r="H172" s="63">
        <v>0.13005780346820808</v>
      </c>
      <c r="I172" s="64">
        <v>8137.8151260504201</v>
      </c>
      <c r="J172" s="64">
        <v>-7693.8888888888887</v>
      </c>
      <c r="K172" s="63">
        <v>4.7337278106508875E-2</v>
      </c>
      <c r="L172" s="63">
        <v>0.26517341040462428</v>
      </c>
      <c r="M172" s="63">
        <v>0.23410404624277456</v>
      </c>
      <c r="N172" s="63">
        <v>0.59945504087193457</v>
      </c>
      <c r="O172" s="63">
        <v>0.49074074074074076</v>
      </c>
      <c r="P172" s="63">
        <v>0.42436974789915966</v>
      </c>
    </row>
    <row r="173" spans="1:16" x14ac:dyDescent="0.45">
      <c r="A173" s="65">
        <v>170</v>
      </c>
      <c r="B173" s="62">
        <v>1472.4999999999998</v>
      </c>
      <c r="C173" s="62">
        <v>8.6617647058823515</v>
      </c>
      <c r="D173" s="67">
        <v>1.7823529411764707</v>
      </c>
      <c r="E173" s="63">
        <v>0.46470588235294119</v>
      </c>
      <c r="F173" s="63">
        <v>0.24705882352941178</v>
      </c>
      <c r="G173" s="63">
        <v>0.34316546762589928</v>
      </c>
      <c r="H173" s="63">
        <v>0.13093525179856116</v>
      </c>
      <c r="I173" s="64">
        <v>8145.9119496855346</v>
      </c>
      <c r="J173" s="64">
        <v>-7636.2637362637361</v>
      </c>
      <c r="K173" s="63">
        <v>4.7058823529411764E-2</v>
      </c>
      <c r="L173" s="63">
        <v>0.26402877697841726</v>
      </c>
      <c r="M173" s="63">
        <v>0.23525179856115108</v>
      </c>
      <c r="N173" s="63">
        <v>0.59945504087193457</v>
      </c>
      <c r="O173" s="63">
        <v>0.4892966360856269</v>
      </c>
      <c r="P173" s="63">
        <v>0.42348008385744235</v>
      </c>
    </row>
    <row r="174" spans="1:16" x14ac:dyDescent="0.45">
      <c r="A174" s="65">
        <v>171</v>
      </c>
      <c r="B174" s="62">
        <v>1533.2999999999997</v>
      </c>
      <c r="C174" s="62">
        <v>8.966666666666665</v>
      </c>
      <c r="D174" s="67">
        <v>1.7777777777777777</v>
      </c>
      <c r="E174" s="63">
        <v>0.46783625730994149</v>
      </c>
      <c r="F174" s="63">
        <v>0.24561403508771928</v>
      </c>
      <c r="G174" s="63">
        <v>0.34263233190271819</v>
      </c>
      <c r="H174" s="63">
        <v>0.1301859799713877</v>
      </c>
      <c r="I174" s="64">
        <v>8223.1732776617955</v>
      </c>
      <c r="J174" s="64">
        <v>-7636.2637362637361</v>
      </c>
      <c r="K174" s="63">
        <v>4.6783625730994149E-2</v>
      </c>
      <c r="L174" s="63">
        <v>0.26466380543633761</v>
      </c>
      <c r="M174" s="63">
        <v>0.23533619456366237</v>
      </c>
      <c r="N174" s="63">
        <v>0.5972972972972973</v>
      </c>
      <c r="O174" s="63">
        <v>0.48632218844984804</v>
      </c>
      <c r="P174" s="63">
        <v>0.42379958246346555</v>
      </c>
    </row>
    <row r="175" spans="1:16" x14ac:dyDescent="0.45">
      <c r="A175" s="65">
        <v>172</v>
      </c>
      <c r="B175" s="62">
        <v>1535.2999999999997</v>
      </c>
      <c r="C175" s="62">
        <v>8.9261627906976724</v>
      </c>
      <c r="D175" s="67">
        <v>1.7790697674418605</v>
      </c>
      <c r="E175" s="63">
        <v>0.46511627906976744</v>
      </c>
      <c r="F175" s="63">
        <v>0.2441860465116279</v>
      </c>
      <c r="G175" s="63">
        <v>0.34281650071123754</v>
      </c>
      <c r="H175" s="63">
        <v>0.13015647226173541</v>
      </c>
      <c r="I175" s="64">
        <v>8216.5975103734436</v>
      </c>
      <c r="J175" s="64">
        <v>-7660.109289617486</v>
      </c>
      <c r="K175" s="63">
        <v>4.6511627906976744E-2</v>
      </c>
      <c r="L175" s="63">
        <v>0.26386913229018494</v>
      </c>
      <c r="M175" s="63">
        <v>0.23613086770981509</v>
      </c>
      <c r="N175" s="63">
        <v>0.59568733153638809</v>
      </c>
      <c r="O175" s="63">
        <v>0.48795180722891568</v>
      </c>
      <c r="P175" s="63">
        <v>0.42531120331950206</v>
      </c>
    </row>
    <row r="176" spans="1:16" x14ac:dyDescent="0.45">
      <c r="A176" s="65">
        <v>173</v>
      </c>
      <c r="B176" s="62">
        <v>1503.0999999999997</v>
      </c>
      <c r="C176" s="62">
        <v>8.6884393063583794</v>
      </c>
      <c r="D176" s="67">
        <v>1.7861271676300579</v>
      </c>
      <c r="E176" s="63">
        <v>0.46242774566473988</v>
      </c>
      <c r="F176" s="63">
        <v>0.24855491329479767</v>
      </c>
      <c r="G176" s="63">
        <v>0.34253361641896674</v>
      </c>
      <c r="H176" s="63">
        <v>0.1316348195329087</v>
      </c>
      <c r="I176" s="64">
        <v>8210.1239669421484</v>
      </c>
      <c r="J176" s="64">
        <v>-7708.6021505376348</v>
      </c>
      <c r="K176" s="63">
        <v>4.6242774566473986E-2</v>
      </c>
      <c r="L176" s="63">
        <v>0.26610049539985847</v>
      </c>
      <c r="M176" s="63">
        <v>0.23496107572540695</v>
      </c>
      <c r="N176" s="63">
        <v>0.59308510638297873</v>
      </c>
      <c r="O176" s="63">
        <v>0.48795180722891568</v>
      </c>
      <c r="P176" s="63">
        <v>0.42561983471074383</v>
      </c>
    </row>
    <row r="177" spans="1:16" x14ac:dyDescent="0.45">
      <c r="A177" s="65">
        <v>174</v>
      </c>
      <c r="B177" s="62">
        <v>1548.2999999999997</v>
      </c>
      <c r="C177" s="62">
        <v>8.8982758620689637</v>
      </c>
      <c r="D177" s="67">
        <v>1.7816091954022988</v>
      </c>
      <c r="E177" s="63">
        <v>0.46551724137931033</v>
      </c>
      <c r="F177" s="63">
        <v>0.2471264367816092</v>
      </c>
      <c r="G177" s="63">
        <v>0.34412385643912735</v>
      </c>
      <c r="H177" s="63">
        <v>0.13089373680506686</v>
      </c>
      <c r="I177" s="64">
        <v>8218.6094069529645</v>
      </c>
      <c r="J177" s="64">
        <v>-7708.6021505376348</v>
      </c>
      <c r="K177" s="63">
        <v>4.5977011494252873E-2</v>
      </c>
      <c r="L177" s="63">
        <v>0.26600985221674878</v>
      </c>
      <c r="M177" s="63">
        <v>0.23574947220267417</v>
      </c>
      <c r="N177" s="63">
        <v>0.59259259259259256</v>
      </c>
      <c r="O177" s="63">
        <v>0.48955223880597015</v>
      </c>
      <c r="P177" s="63">
        <v>0.42740286298568508</v>
      </c>
    </row>
    <row r="178" spans="1:16" x14ac:dyDescent="0.45">
      <c r="A178" s="65">
        <v>175</v>
      </c>
      <c r="B178" s="62">
        <v>1535.7999999999997</v>
      </c>
      <c r="C178" s="62">
        <v>8.775999999999998</v>
      </c>
      <c r="D178" s="67">
        <v>1.7885714285714285</v>
      </c>
      <c r="E178" s="63">
        <v>0.46285714285714286</v>
      </c>
      <c r="F178" s="63">
        <v>0.25142857142857145</v>
      </c>
      <c r="G178" s="63">
        <v>0.3435969209237229</v>
      </c>
      <c r="H178" s="63">
        <v>0.13086074177746676</v>
      </c>
      <c r="I178" s="64">
        <v>8217.5152749490826</v>
      </c>
      <c r="J178" s="64">
        <v>-7731.5508021390378</v>
      </c>
      <c r="K178" s="63">
        <v>4.5714285714285714E-2</v>
      </c>
      <c r="L178" s="63">
        <v>0.26662001399580126</v>
      </c>
      <c r="M178" s="63">
        <v>0.23512946116165151</v>
      </c>
      <c r="N178" s="63">
        <v>0.59055118110236215</v>
      </c>
      <c r="O178" s="63">
        <v>0.48809523809523808</v>
      </c>
      <c r="P178" s="63">
        <v>0.42769857433808556</v>
      </c>
    </row>
    <row r="179" spans="1:16" x14ac:dyDescent="0.45">
      <c r="A179" s="65">
        <v>176</v>
      </c>
      <c r="B179" s="62">
        <v>1564.5999999999997</v>
      </c>
      <c r="C179" s="62">
        <v>8.8897727272727263</v>
      </c>
      <c r="D179" s="67">
        <v>1.7840909090909092</v>
      </c>
      <c r="E179" s="63">
        <v>0.46590909090909088</v>
      </c>
      <c r="F179" s="63">
        <v>0.25</v>
      </c>
      <c r="G179" s="63">
        <v>0.344683808200139</v>
      </c>
      <c r="H179" s="63">
        <v>0.13064628214037527</v>
      </c>
      <c r="I179" s="64">
        <v>8214.717741935483</v>
      </c>
      <c r="J179" s="64">
        <v>-7754.255319148936</v>
      </c>
      <c r="K179" s="63">
        <v>4.5454545454545456E-2</v>
      </c>
      <c r="L179" s="63">
        <v>0.26546212647671996</v>
      </c>
      <c r="M179" s="63">
        <v>0.23558026407227242</v>
      </c>
      <c r="N179" s="63">
        <v>0.59162303664921467</v>
      </c>
      <c r="O179" s="63">
        <v>0.48967551622418881</v>
      </c>
      <c r="P179" s="63">
        <v>0.42943548387096775</v>
      </c>
    </row>
    <row r="180" spans="1:16" x14ac:dyDescent="0.45">
      <c r="A180" s="65">
        <v>177</v>
      </c>
      <c r="B180" s="62">
        <v>1537.1999999999996</v>
      </c>
      <c r="C180" s="62">
        <v>8.6847457627118629</v>
      </c>
      <c r="D180" s="67">
        <v>1.7909604519774012</v>
      </c>
      <c r="E180" s="63">
        <v>0.4632768361581921</v>
      </c>
      <c r="F180" s="63">
        <v>0.25423728813559321</v>
      </c>
      <c r="G180" s="63">
        <v>0.34394463667820069</v>
      </c>
      <c r="H180" s="63">
        <v>0.13079584775086506</v>
      </c>
      <c r="I180" s="64">
        <v>8213.6820925553311</v>
      </c>
      <c r="J180" s="64">
        <v>-7753.9682539682535</v>
      </c>
      <c r="K180" s="63">
        <v>4.519774011299435E-2</v>
      </c>
      <c r="L180" s="63">
        <v>0.26505190311418686</v>
      </c>
      <c r="M180" s="63">
        <v>0.23598615916955018</v>
      </c>
      <c r="N180" s="63">
        <v>0.59007832898172319</v>
      </c>
      <c r="O180" s="63">
        <v>0.48973607038123168</v>
      </c>
      <c r="P180" s="63">
        <v>0.42857142857142855</v>
      </c>
    </row>
    <row r="181" spans="1:16" x14ac:dyDescent="0.45">
      <c r="A181" s="65">
        <v>178</v>
      </c>
      <c r="B181" s="62">
        <v>1526.1999999999996</v>
      </c>
      <c r="C181" s="62">
        <v>8.5741573033707841</v>
      </c>
      <c r="D181" s="67">
        <v>1.7921348314606742</v>
      </c>
      <c r="E181" s="63">
        <v>0.4606741573033708</v>
      </c>
      <c r="F181" s="63">
        <v>0.25280898876404495</v>
      </c>
      <c r="G181" s="63">
        <v>0.34178082191780823</v>
      </c>
      <c r="H181" s="63">
        <v>0.13082191780821917</v>
      </c>
      <c r="I181" s="64">
        <v>8220.8416833667343</v>
      </c>
      <c r="J181" s="64">
        <v>-7777.486910994764</v>
      </c>
      <c r="K181" s="63">
        <v>4.49438202247191E-2</v>
      </c>
      <c r="L181" s="63">
        <v>0.26506849315068493</v>
      </c>
      <c r="M181" s="63">
        <v>0.23698630136986301</v>
      </c>
      <c r="N181" s="63">
        <v>0.58656330749354002</v>
      </c>
      <c r="O181" s="63">
        <v>0.48554913294797686</v>
      </c>
      <c r="P181" s="63">
        <v>0.42685370741482964</v>
      </c>
    </row>
    <row r="182" spans="1:16" x14ac:dyDescent="0.45">
      <c r="A182" s="65">
        <v>179</v>
      </c>
      <c r="B182" s="62">
        <v>1554.0999999999997</v>
      </c>
      <c r="C182" s="62">
        <v>8.6821229050279314</v>
      </c>
      <c r="D182" s="67">
        <v>1.7877094972067038</v>
      </c>
      <c r="E182" s="63">
        <v>0.46368715083798884</v>
      </c>
      <c r="F182" s="63">
        <v>0.25139664804469275</v>
      </c>
      <c r="G182" s="63">
        <v>0.34104833219877467</v>
      </c>
      <c r="H182" s="63">
        <v>0.13002042205582029</v>
      </c>
      <c r="I182" s="64">
        <v>8235.3293413173651</v>
      </c>
      <c r="J182" s="64">
        <v>-7777.486910994764</v>
      </c>
      <c r="K182" s="63">
        <v>4.4692737430167599E-2</v>
      </c>
      <c r="L182" s="63">
        <v>0.26480599046970726</v>
      </c>
      <c r="M182" s="63">
        <v>0.23689584751531653</v>
      </c>
      <c r="N182" s="63">
        <v>0.58611825192802058</v>
      </c>
      <c r="O182" s="63">
        <v>0.48275862068965519</v>
      </c>
      <c r="P182" s="63">
        <v>0.42514970059880242</v>
      </c>
    </row>
    <row r="183" spans="1:16" x14ac:dyDescent="0.45">
      <c r="A183" s="65">
        <v>180</v>
      </c>
      <c r="B183" s="62">
        <v>1553.2999999999997</v>
      </c>
      <c r="C183" s="62">
        <v>8.6294444444444434</v>
      </c>
      <c r="D183" s="67">
        <v>1.788888888888889</v>
      </c>
      <c r="E183" s="63">
        <v>0.46111111111111114</v>
      </c>
      <c r="F183" s="63">
        <v>0.25</v>
      </c>
      <c r="G183" s="63">
        <v>0.34010840108401086</v>
      </c>
      <c r="H183" s="63">
        <v>0.12940379403794039</v>
      </c>
      <c r="I183" s="64">
        <v>8250.7968127490039</v>
      </c>
      <c r="J183" s="64">
        <v>-7777.486910994764</v>
      </c>
      <c r="K183" s="63">
        <v>4.4444444444444446E-2</v>
      </c>
      <c r="L183" s="63">
        <v>0.26422764227642276</v>
      </c>
      <c r="M183" s="63">
        <v>0.23712737127371275</v>
      </c>
      <c r="N183" s="63">
        <v>0.5871794871794872</v>
      </c>
      <c r="O183" s="63">
        <v>0.48</v>
      </c>
      <c r="P183" s="63">
        <v>0.42430278884462153</v>
      </c>
    </row>
    <row r="184" spans="1:16" x14ac:dyDescent="0.45">
      <c r="A184" s="65">
        <v>181</v>
      </c>
      <c r="B184" s="62">
        <v>1552.9999999999998</v>
      </c>
      <c r="C184" s="62">
        <v>8.5801104972375679</v>
      </c>
      <c r="D184" s="67">
        <v>1.7900552486187846</v>
      </c>
      <c r="E184" s="63">
        <v>0.4585635359116022</v>
      </c>
      <c r="F184" s="63">
        <v>0.24861878453038674</v>
      </c>
      <c r="G184" s="63">
        <v>0.33985165205664192</v>
      </c>
      <c r="H184" s="63">
        <v>0.12879298718813217</v>
      </c>
      <c r="I184" s="64">
        <v>8227.7777777777774</v>
      </c>
      <c r="J184" s="64">
        <v>-7777.486910994764</v>
      </c>
      <c r="K184" s="63">
        <v>4.4198895027624308E-2</v>
      </c>
      <c r="L184" s="63">
        <v>0.26298044504383006</v>
      </c>
      <c r="M184" s="63">
        <v>0.23735670937289277</v>
      </c>
      <c r="N184" s="63">
        <v>0.5871794871794872</v>
      </c>
      <c r="O184" s="63">
        <v>0.48295454545454547</v>
      </c>
      <c r="P184" s="63">
        <v>0.42261904761904762</v>
      </c>
    </row>
    <row r="185" spans="1:16" x14ac:dyDescent="0.45">
      <c r="A185" s="65">
        <v>182</v>
      </c>
      <c r="B185" s="62">
        <v>1600.4999999999998</v>
      </c>
      <c r="C185" s="62">
        <v>8.793956043956042</v>
      </c>
      <c r="D185" s="67">
        <v>1.7857142857142858</v>
      </c>
      <c r="E185" s="63">
        <v>0.46153846153846156</v>
      </c>
      <c r="F185" s="63">
        <v>0.24725274725274726</v>
      </c>
      <c r="G185" s="63">
        <v>0.34226389819156061</v>
      </c>
      <c r="H185" s="63">
        <v>0.12860013395847286</v>
      </c>
      <c r="I185" s="64">
        <v>8209.0019569471624</v>
      </c>
      <c r="J185" s="64">
        <v>-7820.3125</v>
      </c>
      <c r="K185" s="63">
        <v>4.3956043956043959E-2</v>
      </c>
      <c r="L185" s="63">
        <v>0.26389819156061622</v>
      </c>
      <c r="M185" s="63">
        <v>0.2377762893503014</v>
      </c>
      <c r="N185" s="63">
        <v>0.58883248730964466</v>
      </c>
      <c r="O185" s="63">
        <v>0.48732394366197185</v>
      </c>
      <c r="P185" s="63">
        <v>0.42465753424657532</v>
      </c>
    </row>
    <row r="186" spans="1:16" x14ac:dyDescent="0.45">
      <c r="A186" s="65">
        <v>183</v>
      </c>
      <c r="B186" s="62">
        <v>1578.4999999999998</v>
      </c>
      <c r="C186" s="62">
        <v>8.6256830601092886</v>
      </c>
      <c r="D186" s="67">
        <v>1.7868852459016393</v>
      </c>
      <c r="E186" s="63">
        <v>0.45901639344262296</v>
      </c>
      <c r="F186" s="63">
        <v>0.24590163934426229</v>
      </c>
      <c r="G186" s="63">
        <v>0.34110592938041306</v>
      </c>
      <c r="H186" s="63">
        <v>0.1279147235176549</v>
      </c>
      <c r="I186" s="64">
        <v>8208.59375</v>
      </c>
      <c r="J186" s="64">
        <v>-7820.3125</v>
      </c>
      <c r="K186" s="63">
        <v>4.3715846994535519E-2</v>
      </c>
      <c r="L186" s="63">
        <v>0.26382411725516325</v>
      </c>
      <c r="M186" s="63">
        <v>0.23717521652231846</v>
      </c>
      <c r="N186" s="63">
        <v>0.58838383838383834</v>
      </c>
      <c r="O186" s="63">
        <v>0.4859550561797753</v>
      </c>
      <c r="P186" s="63">
        <v>0.42578125</v>
      </c>
    </row>
    <row r="187" spans="1:16" x14ac:dyDescent="0.45">
      <c r="A187" s="65">
        <v>184</v>
      </c>
      <c r="B187" s="62">
        <v>1553.9999999999998</v>
      </c>
      <c r="C187" s="62">
        <v>8.445652173913043</v>
      </c>
      <c r="D187" s="67">
        <v>1.7934782608695652</v>
      </c>
      <c r="E187" s="63">
        <v>0.45652173913043476</v>
      </c>
      <c r="F187" s="63">
        <v>0.25</v>
      </c>
      <c r="G187" s="63">
        <v>0.34060846560846558</v>
      </c>
      <c r="H187" s="63">
        <v>0.12896825396825398</v>
      </c>
      <c r="I187" s="64">
        <v>8199.0291262135925</v>
      </c>
      <c r="J187" s="64">
        <v>-7829.2307692307695</v>
      </c>
      <c r="K187" s="63">
        <v>4.3478260869565216E-2</v>
      </c>
      <c r="L187" s="63">
        <v>0.26455026455026454</v>
      </c>
      <c r="M187" s="63">
        <v>0.23677248677248677</v>
      </c>
      <c r="N187" s="63">
        <v>0.58750000000000002</v>
      </c>
      <c r="O187" s="63">
        <v>0.48603351955307261</v>
      </c>
      <c r="P187" s="63">
        <v>0.42524271844660194</v>
      </c>
    </row>
    <row r="188" spans="1:16" x14ac:dyDescent="0.45">
      <c r="A188" s="65">
        <v>185</v>
      </c>
      <c r="B188" s="62">
        <v>1594.7999999999997</v>
      </c>
      <c r="C188" s="62">
        <v>8.6205405405405386</v>
      </c>
      <c r="D188" s="67">
        <v>1.7891891891891891</v>
      </c>
      <c r="E188" s="63">
        <v>0.45945945945945948</v>
      </c>
      <c r="F188" s="63">
        <v>0.24864864864864866</v>
      </c>
      <c r="G188" s="63">
        <v>0.34231274638633374</v>
      </c>
      <c r="H188" s="63">
        <v>0.1287779237844941</v>
      </c>
      <c r="I188" s="64">
        <v>8179.4625719769674</v>
      </c>
      <c r="J188" s="64">
        <v>-7815.8163265306121</v>
      </c>
      <c r="K188" s="63">
        <v>4.3243243243243246E-2</v>
      </c>
      <c r="L188" s="63">
        <v>0.26544021024967146</v>
      </c>
      <c r="M188" s="63">
        <v>0.23784494086727989</v>
      </c>
      <c r="N188" s="63">
        <v>0.5866336633663366</v>
      </c>
      <c r="O188" s="63">
        <v>0.48618784530386738</v>
      </c>
      <c r="P188" s="63">
        <v>0.42226487523992323</v>
      </c>
    </row>
    <row r="189" spans="1:16" x14ac:dyDescent="0.45">
      <c r="A189" s="65">
        <v>186</v>
      </c>
      <c r="B189" s="62">
        <v>1635.9999999999998</v>
      </c>
      <c r="C189" s="62">
        <v>8.7956989247311821</v>
      </c>
      <c r="D189" s="67">
        <v>1.7849462365591398</v>
      </c>
      <c r="E189" s="63">
        <v>0.46236559139784944</v>
      </c>
      <c r="F189" s="63">
        <v>0.24731182795698925</v>
      </c>
      <c r="G189" s="63">
        <v>0.34268929503916451</v>
      </c>
      <c r="H189" s="63">
        <v>0.12793733681462141</v>
      </c>
      <c r="I189" s="64">
        <v>8192.3809523809523</v>
      </c>
      <c r="J189" s="64">
        <v>-7815.8163265306121</v>
      </c>
      <c r="K189" s="63">
        <v>4.3010752688172046E-2</v>
      </c>
      <c r="L189" s="63">
        <v>0.26436031331592691</v>
      </c>
      <c r="M189" s="63">
        <v>0.23694516971279372</v>
      </c>
      <c r="N189" s="63">
        <v>0.58765432098765435</v>
      </c>
      <c r="O189" s="63">
        <v>0.48760330578512395</v>
      </c>
      <c r="P189" s="63">
        <v>0.42285714285714288</v>
      </c>
    </row>
    <row r="190" spans="1:16" x14ac:dyDescent="0.45">
      <c r="A190" s="65">
        <v>187</v>
      </c>
      <c r="B190" s="62">
        <v>1628.2999999999997</v>
      </c>
      <c r="C190" s="62">
        <v>8.7074866310160406</v>
      </c>
      <c r="D190" s="67">
        <v>1.786096256684492</v>
      </c>
      <c r="E190" s="63">
        <v>0.45989304812834225</v>
      </c>
      <c r="F190" s="63">
        <v>0.24598930481283424</v>
      </c>
      <c r="G190" s="63">
        <v>0.34350649350649348</v>
      </c>
      <c r="H190" s="63">
        <v>0.12727272727272726</v>
      </c>
      <c r="I190" s="64">
        <v>8148.5822306238188</v>
      </c>
      <c r="J190" s="64">
        <v>-7815.8163265306121</v>
      </c>
      <c r="K190" s="63">
        <v>4.2780748663101602E-2</v>
      </c>
      <c r="L190" s="63">
        <v>0.26428571428571429</v>
      </c>
      <c r="M190" s="63">
        <v>0.23831168831168831</v>
      </c>
      <c r="N190" s="63">
        <v>0.58968058968058967</v>
      </c>
      <c r="O190" s="63">
        <v>0.4877384196185286</v>
      </c>
      <c r="P190" s="63">
        <v>0.41965973534971646</v>
      </c>
    </row>
    <row r="191" spans="1:16" x14ac:dyDescent="0.45">
      <c r="A191" s="65">
        <v>188</v>
      </c>
      <c r="B191" s="62">
        <v>1659.9999999999998</v>
      </c>
      <c r="C191" s="62">
        <v>8.8297872340425521</v>
      </c>
      <c r="D191" s="67">
        <v>1.7819148936170213</v>
      </c>
      <c r="E191" s="63">
        <v>0.46276595744680848</v>
      </c>
      <c r="F191" s="63">
        <v>0.24468085106382978</v>
      </c>
      <c r="G191" s="63">
        <v>0.34431524547803616</v>
      </c>
      <c r="H191" s="63">
        <v>0.12661498708010335</v>
      </c>
      <c r="I191" s="64">
        <v>8144.0900562851784</v>
      </c>
      <c r="J191" s="64">
        <v>-7815.8163265306121</v>
      </c>
      <c r="K191" s="63">
        <v>4.2553191489361701E-2</v>
      </c>
      <c r="L191" s="63">
        <v>0.26550387596899228</v>
      </c>
      <c r="M191" s="63">
        <v>0.23772609819121446</v>
      </c>
      <c r="N191" s="63">
        <v>0.59367396593673971</v>
      </c>
      <c r="O191" s="63">
        <v>0.48641304347826086</v>
      </c>
      <c r="P191" s="63">
        <v>0.42213883677298314</v>
      </c>
    </row>
    <row r="192" spans="1:16" x14ac:dyDescent="0.45">
      <c r="A192" s="65">
        <v>189</v>
      </c>
      <c r="B192" s="62">
        <v>1692.1999999999998</v>
      </c>
      <c r="C192" s="62">
        <v>8.9534391534391524</v>
      </c>
      <c r="D192" s="67">
        <v>1.7777777777777777</v>
      </c>
      <c r="E192" s="63">
        <v>0.46560846560846558</v>
      </c>
      <c r="F192" s="63">
        <v>0.24338624338624337</v>
      </c>
      <c r="G192" s="63">
        <v>0.34553628773281952</v>
      </c>
      <c r="H192" s="63">
        <v>0.12588310854206808</v>
      </c>
      <c r="I192" s="64">
        <v>8104.0892193308546</v>
      </c>
      <c r="J192" s="64">
        <v>-7815.8163265306121</v>
      </c>
      <c r="K192" s="63">
        <v>4.2328042328042326E-2</v>
      </c>
      <c r="L192" s="63">
        <v>0.26461143224149003</v>
      </c>
      <c r="M192" s="63">
        <v>0.23827874116891459</v>
      </c>
      <c r="N192" s="63">
        <v>0.59466019417475724</v>
      </c>
      <c r="O192" s="63">
        <v>0.49056603773584906</v>
      </c>
      <c r="P192" s="63">
        <v>0.42193308550185876</v>
      </c>
    </row>
    <row r="193" spans="1:16" x14ac:dyDescent="0.45">
      <c r="A193" s="65">
        <v>190</v>
      </c>
      <c r="B193" s="62">
        <v>1689.2999999999997</v>
      </c>
      <c r="C193" s="62">
        <v>8.8910526315789458</v>
      </c>
      <c r="D193" s="67">
        <v>1.7789473684210526</v>
      </c>
      <c r="E193" s="63">
        <v>0.4631578947368421</v>
      </c>
      <c r="F193" s="63">
        <v>0.24210526315789474</v>
      </c>
      <c r="G193" s="63">
        <v>0.34504792332268369</v>
      </c>
      <c r="H193" s="63">
        <v>0.12587859424920128</v>
      </c>
      <c r="I193" s="64">
        <v>8101.4814814814818</v>
      </c>
      <c r="J193" s="64">
        <v>-7815.2284263959391</v>
      </c>
      <c r="K193" s="63">
        <v>4.2105263157894736E-2</v>
      </c>
      <c r="L193" s="63">
        <v>0.26517571884984026</v>
      </c>
      <c r="M193" s="63">
        <v>0.23706070287539935</v>
      </c>
      <c r="N193" s="63">
        <v>0.59277108433734937</v>
      </c>
      <c r="O193" s="63">
        <v>0.49056603773584906</v>
      </c>
      <c r="P193" s="63">
        <v>0.42407407407407405</v>
      </c>
    </row>
    <row r="194" spans="1:16" x14ac:dyDescent="0.45">
      <c r="A194" s="65">
        <v>191</v>
      </c>
      <c r="B194" s="62">
        <v>1721.2999999999997</v>
      </c>
      <c r="C194" s="62">
        <v>9.0120418848167532</v>
      </c>
      <c r="D194" s="67">
        <v>1.7748691099476439</v>
      </c>
      <c r="E194" s="63">
        <v>0.46596858638743455</v>
      </c>
      <c r="F194" s="63">
        <v>0.24083769633507854</v>
      </c>
      <c r="G194" s="63">
        <v>0.34456452638270818</v>
      </c>
      <c r="H194" s="63">
        <v>0.12523839796567068</v>
      </c>
      <c r="I194" s="64">
        <v>8130.6273062730625</v>
      </c>
      <c r="J194" s="64">
        <v>-7815.2284263959391</v>
      </c>
      <c r="K194" s="63">
        <v>4.1884816753926704E-2</v>
      </c>
      <c r="L194" s="63">
        <v>0.26509853782581055</v>
      </c>
      <c r="M194" s="63">
        <v>0.23712650985378259</v>
      </c>
      <c r="N194" s="63">
        <v>0.592326139088729</v>
      </c>
      <c r="O194" s="63">
        <v>0.4906166219839142</v>
      </c>
      <c r="P194" s="63">
        <v>0.42619926199261993</v>
      </c>
    </row>
    <row r="195" spans="1:16" x14ac:dyDescent="0.45">
      <c r="A195" s="65">
        <v>192</v>
      </c>
      <c r="B195" s="62">
        <v>1762.7999999999997</v>
      </c>
      <c r="C195" s="62">
        <v>9.1812499999999986</v>
      </c>
      <c r="D195" s="67">
        <v>1.7708333333333333</v>
      </c>
      <c r="E195" s="63">
        <v>0.46875</v>
      </c>
      <c r="F195" s="63">
        <v>0.23958333333333334</v>
      </c>
      <c r="G195" s="63">
        <v>0.34559289790741915</v>
      </c>
      <c r="H195" s="63">
        <v>0.12492073557387444</v>
      </c>
      <c r="I195" s="64">
        <v>8146.4220183486241</v>
      </c>
      <c r="J195" s="64">
        <v>-7815.2284263959391</v>
      </c>
      <c r="K195" s="63">
        <v>4.1666666666666664E-2</v>
      </c>
      <c r="L195" s="63">
        <v>0.26506024096385544</v>
      </c>
      <c r="M195" s="63">
        <v>0.23715916296766013</v>
      </c>
      <c r="N195" s="63">
        <v>0.59330143540669855</v>
      </c>
      <c r="O195" s="63">
        <v>0.49197860962566847</v>
      </c>
      <c r="P195" s="63">
        <v>0.42568807339449544</v>
      </c>
    </row>
    <row r="196" spans="1:16" x14ac:dyDescent="0.45">
      <c r="A196" s="65">
        <v>193</v>
      </c>
      <c r="B196" s="62">
        <v>1799.3999999999996</v>
      </c>
      <c r="C196" s="62">
        <v>9.323316062176163</v>
      </c>
      <c r="D196" s="67">
        <v>1.766839378238342</v>
      </c>
      <c r="E196" s="63">
        <v>0.47150259067357514</v>
      </c>
      <c r="F196" s="63">
        <v>0.23834196891191708</v>
      </c>
      <c r="G196" s="63">
        <v>0.34615384615384615</v>
      </c>
      <c r="H196" s="63">
        <v>0.12421185372005045</v>
      </c>
      <c r="I196" s="64">
        <v>8168.3060109289618</v>
      </c>
      <c r="J196" s="64">
        <v>-7815.2284263959391</v>
      </c>
      <c r="K196" s="63">
        <v>4.145077720207254E-2</v>
      </c>
      <c r="L196" s="63">
        <v>0.2635561160151324</v>
      </c>
      <c r="M196" s="63">
        <v>0.2364438839848676</v>
      </c>
      <c r="N196" s="63">
        <v>0.59330143540669855</v>
      </c>
      <c r="O196" s="63">
        <v>0.49333333333333335</v>
      </c>
      <c r="P196" s="63">
        <v>0.42258652094717669</v>
      </c>
    </row>
    <row r="197" spans="1:16" x14ac:dyDescent="0.45">
      <c r="A197" s="65">
        <v>194</v>
      </c>
      <c r="B197" s="62">
        <v>1831.2999999999997</v>
      </c>
      <c r="C197" s="62">
        <v>9.4396907216494839</v>
      </c>
      <c r="D197" s="67">
        <v>1.7628865979381443</v>
      </c>
      <c r="E197" s="63">
        <v>0.47422680412371132</v>
      </c>
      <c r="F197" s="63">
        <v>0.23711340206185566</v>
      </c>
      <c r="G197" s="63">
        <v>0.34651600753295669</v>
      </c>
      <c r="H197" s="63">
        <v>0.12429378531073447</v>
      </c>
      <c r="I197" s="64">
        <v>8200</v>
      </c>
      <c r="J197" s="64">
        <v>-7836.363636363636</v>
      </c>
      <c r="K197" s="63">
        <v>4.1237113402061855E-2</v>
      </c>
      <c r="L197" s="63">
        <v>0.26490897677338354</v>
      </c>
      <c r="M197" s="63">
        <v>0.23603264281230382</v>
      </c>
      <c r="N197" s="63">
        <v>0.59241706161137442</v>
      </c>
      <c r="O197" s="63">
        <v>0.49202127659574468</v>
      </c>
      <c r="P197" s="63">
        <v>0.42572463768115942</v>
      </c>
    </row>
    <row r="198" spans="1:16" x14ac:dyDescent="0.45">
      <c r="A198" s="65">
        <v>195</v>
      </c>
      <c r="B198" s="62">
        <v>1872.7999999999997</v>
      </c>
      <c r="C198" s="62">
        <v>9.604102564102563</v>
      </c>
      <c r="D198" s="67">
        <v>1.7589743589743589</v>
      </c>
      <c r="E198" s="63">
        <v>0.47692307692307695</v>
      </c>
      <c r="F198" s="63">
        <v>0.23589743589743589</v>
      </c>
      <c r="G198" s="63">
        <v>0.34625</v>
      </c>
      <c r="H198" s="63">
        <v>0.124375</v>
      </c>
      <c r="I198" s="64">
        <v>8261.73285198556</v>
      </c>
      <c r="J198" s="64">
        <v>-7855.276381909548</v>
      </c>
      <c r="K198" s="63">
        <v>4.1025641025641026E-2</v>
      </c>
      <c r="L198" s="63">
        <v>0.26437500000000003</v>
      </c>
      <c r="M198" s="63">
        <v>0.23624999999999999</v>
      </c>
      <c r="N198" s="63">
        <v>0.59101654846335694</v>
      </c>
      <c r="O198" s="63">
        <v>0.48941798941798942</v>
      </c>
      <c r="P198" s="63">
        <v>0.42418772563176893</v>
      </c>
    </row>
    <row r="199" spans="1:16" x14ac:dyDescent="0.45">
      <c r="A199" s="65">
        <v>196</v>
      </c>
      <c r="B199" s="62">
        <v>1834.0999999999997</v>
      </c>
      <c r="C199" s="62">
        <v>9.3576530612244877</v>
      </c>
      <c r="D199" s="67">
        <v>1.7653061224489797</v>
      </c>
      <c r="E199" s="63">
        <v>0.47448979591836737</v>
      </c>
      <c r="F199" s="63">
        <v>0.23979591836734693</v>
      </c>
      <c r="G199" s="63">
        <v>0.34429280397022333</v>
      </c>
      <c r="H199" s="63">
        <v>0.12406947890818859</v>
      </c>
      <c r="I199" s="64">
        <v>8254.0540540540533</v>
      </c>
      <c r="J199" s="64">
        <v>-7822.5</v>
      </c>
      <c r="K199" s="63">
        <v>4.0816326530612242E-2</v>
      </c>
      <c r="L199" s="63">
        <v>0.26426799007444168</v>
      </c>
      <c r="M199" s="63">
        <v>0.23635235732009927</v>
      </c>
      <c r="N199" s="63">
        <v>0.58920187793427226</v>
      </c>
      <c r="O199" s="63">
        <v>0.48556430446194226</v>
      </c>
      <c r="P199" s="63">
        <v>0.42522522522522521</v>
      </c>
    </row>
    <row r="200" spans="1:16" x14ac:dyDescent="0.45">
      <c r="A200" s="65">
        <v>197</v>
      </c>
      <c r="B200" s="62">
        <v>1788.5999999999997</v>
      </c>
      <c r="C200" s="62">
        <v>9.079187817258882</v>
      </c>
      <c r="D200" s="67">
        <v>1.7715736040609138</v>
      </c>
      <c r="E200" s="63">
        <v>0.4720812182741117</v>
      </c>
      <c r="F200" s="63">
        <v>0.24365482233502539</v>
      </c>
      <c r="G200" s="63">
        <v>0.34215384615384614</v>
      </c>
      <c r="H200" s="63">
        <v>0.12430769230769231</v>
      </c>
      <c r="I200" s="64">
        <v>8253.5971223021588</v>
      </c>
      <c r="J200" s="64">
        <v>-7832.1782178217818</v>
      </c>
      <c r="K200" s="63">
        <v>4.5685279187817257E-2</v>
      </c>
      <c r="L200" s="63">
        <v>0.26338461538461538</v>
      </c>
      <c r="M200" s="63">
        <v>0.2363076923076923</v>
      </c>
      <c r="N200" s="63">
        <v>0.58644859813084116</v>
      </c>
      <c r="O200" s="63">
        <v>0.484375</v>
      </c>
      <c r="P200" s="63">
        <v>0.42446043165467628</v>
      </c>
    </row>
    <row r="201" spans="1:16" x14ac:dyDescent="0.45">
      <c r="A201" s="65">
        <v>198</v>
      </c>
      <c r="B201" s="62">
        <v>1804.7999999999997</v>
      </c>
      <c r="C201" s="62">
        <v>9.1151515151515135</v>
      </c>
      <c r="D201" s="67">
        <v>1.7727272727272727</v>
      </c>
      <c r="E201" s="63">
        <v>0.46969696969696972</v>
      </c>
      <c r="F201" s="63">
        <v>0.24242424242424243</v>
      </c>
      <c r="G201" s="63">
        <v>0.34149326805385555</v>
      </c>
      <c r="H201" s="63">
        <v>0.12484700122399021</v>
      </c>
      <c r="I201" s="64">
        <v>8277.7777777777774</v>
      </c>
      <c r="J201" s="64">
        <v>-7767.6470588235297</v>
      </c>
      <c r="K201" s="63">
        <v>4.5454545454545456E-2</v>
      </c>
      <c r="L201" s="63">
        <v>0.26254589963280295</v>
      </c>
      <c r="M201" s="63">
        <v>0.2350061199510404</v>
      </c>
      <c r="N201" s="63">
        <v>0.58508158508158503</v>
      </c>
      <c r="O201" s="63">
        <v>0.484375</v>
      </c>
      <c r="P201" s="63">
        <v>0.42473118279569894</v>
      </c>
    </row>
    <row r="202" spans="1:16" x14ac:dyDescent="0.45">
      <c r="A202" s="65">
        <v>199</v>
      </c>
      <c r="B202" s="62">
        <v>1806.0999999999997</v>
      </c>
      <c r="C202" s="62">
        <v>9.0758793969849236</v>
      </c>
      <c r="D202" s="67">
        <v>1.7738693467336684</v>
      </c>
      <c r="E202" s="63">
        <v>0.46733668341708545</v>
      </c>
      <c r="F202" s="63">
        <v>0.24120603015075376</v>
      </c>
      <c r="G202" s="63">
        <v>0.3408399269628728</v>
      </c>
      <c r="H202" s="63">
        <v>0.1241631162507608</v>
      </c>
      <c r="I202" s="64">
        <v>8258.75</v>
      </c>
      <c r="J202" s="64">
        <v>-7767.6470588235297</v>
      </c>
      <c r="K202" s="63">
        <v>4.5226130653266333E-2</v>
      </c>
      <c r="L202" s="63">
        <v>0.26293365794278756</v>
      </c>
      <c r="M202" s="63">
        <v>0.23554473524041389</v>
      </c>
      <c r="N202" s="63">
        <v>0.58101851851851849</v>
      </c>
      <c r="O202" s="63">
        <v>0.48320413436692505</v>
      </c>
      <c r="P202" s="63">
        <v>0.42321428571428571</v>
      </c>
    </row>
    <row r="203" spans="1:16" x14ac:dyDescent="0.45">
      <c r="A203" s="65">
        <v>200</v>
      </c>
      <c r="B203" s="62">
        <v>1830.1999999999996</v>
      </c>
      <c r="C203" s="62">
        <v>9.150999999999998</v>
      </c>
      <c r="D203" s="67">
        <v>1.77</v>
      </c>
      <c r="E203" s="63">
        <v>0.47</v>
      </c>
      <c r="F203" s="63">
        <v>0.24</v>
      </c>
      <c r="G203" s="63">
        <v>0.34079903147699758</v>
      </c>
      <c r="H203" s="63">
        <v>0.12409200968523003</v>
      </c>
      <c r="I203" s="64">
        <v>8273.712255772647</v>
      </c>
      <c r="J203" s="64">
        <v>-7736.0975609756097</v>
      </c>
      <c r="K203" s="63">
        <v>4.4999999999999998E-2</v>
      </c>
      <c r="L203" s="63">
        <v>0.26392251815980627</v>
      </c>
      <c r="M203" s="63">
        <v>0.23547215496368037</v>
      </c>
      <c r="N203" s="63">
        <v>0.58027522935779818</v>
      </c>
      <c r="O203" s="63">
        <v>0.48329048843187661</v>
      </c>
      <c r="P203" s="63">
        <v>0.42273534635879217</v>
      </c>
    </row>
    <row r="204" spans="1:16" x14ac:dyDescent="0.45">
      <c r="A204" s="65">
        <v>201</v>
      </c>
      <c r="B204" s="62">
        <v>1812.7999999999995</v>
      </c>
      <c r="C204" s="62">
        <v>9.0189054726368134</v>
      </c>
      <c r="D204" s="67">
        <v>1.7761194029850746</v>
      </c>
      <c r="E204" s="63">
        <v>0.46766169154228854</v>
      </c>
      <c r="F204" s="63">
        <v>0.24378109452736318</v>
      </c>
      <c r="G204" s="63">
        <v>0.33974744437763077</v>
      </c>
      <c r="H204" s="63">
        <v>0.12507516536380037</v>
      </c>
      <c r="I204" s="64">
        <v>8286.9026548672573</v>
      </c>
      <c r="J204" s="64">
        <v>-7691.3461538461543</v>
      </c>
      <c r="K204" s="63">
        <v>4.4776119402985072E-2</v>
      </c>
      <c r="L204" s="63">
        <v>0.26398075766686713</v>
      </c>
      <c r="M204" s="63">
        <v>0.23571858087793146</v>
      </c>
      <c r="N204" s="63">
        <v>0.5808656036446469</v>
      </c>
      <c r="O204" s="63">
        <v>0.47959183673469385</v>
      </c>
      <c r="P204" s="63">
        <v>0.42123893805309737</v>
      </c>
    </row>
    <row r="205" spans="1:16" x14ac:dyDescent="0.45">
      <c r="A205" s="65">
        <v>202</v>
      </c>
      <c r="B205" s="62">
        <v>1853.4999999999995</v>
      </c>
      <c r="C205" s="62">
        <v>9.1757425742574235</v>
      </c>
      <c r="D205" s="67">
        <v>1.7722772277227723</v>
      </c>
      <c r="E205" s="63">
        <v>0.47029702970297027</v>
      </c>
      <c r="F205" s="63">
        <v>0.24257425742574257</v>
      </c>
      <c r="G205" s="63">
        <v>0.34048896839594511</v>
      </c>
      <c r="H205" s="63">
        <v>0.12522361359570661</v>
      </c>
      <c r="I205" s="64">
        <v>8282.6619964973725</v>
      </c>
      <c r="J205" s="64">
        <v>-7655.2380952380954</v>
      </c>
      <c r="K205" s="63">
        <v>4.4554455445544552E-2</v>
      </c>
      <c r="L205" s="63">
        <v>0.26416219439475253</v>
      </c>
      <c r="M205" s="63">
        <v>0.23673225998807393</v>
      </c>
      <c r="N205" s="63">
        <v>0.58013544018058694</v>
      </c>
      <c r="O205" s="63">
        <v>0.47858942065491183</v>
      </c>
      <c r="P205" s="63">
        <v>0.41856392294220668</v>
      </c>
    </row>
    <row r="206" spans="1:16" x14ac:dyDescent="0.45">
      <c r="A206" s="65">
        <v>203</v>
      </c>
      <c r="B206" s="62">
        <v>1867.4999999999995</v>
      </c>
      <c r="C206" s="62">
        <v>9.1995073891625587</v>
      </c>
      <c r="D206" s="67">
        <v>1.7684729064039408</v>
      </c>
      <c r="E206" s="63">
        <v>0.47290640394088668</v>
      </c>
      <c r="F206" s="63">
        <v>0.2413793103448276</v>
      </c>
      <c r="G206" s="63">
        <v>0.33966745843230406</v>
      </c>
      <c r="H206" s="63">
        <v>0.12470308788598575</v>
      </c>
      <c r="I206" s="64">
        <v>8289.1608391608388</v>
      </c>
      <c r="J206" s="64">
        <v>-7655.2380952380954</v>
      </c>
      <c r="K206" s="63">
        <v>4.4334975369458129E-2</v>
      </c>
      <c r="L206" s="63">
        <v>0.26543942992874109</v>
      </c>
      <c r="M206" s="63">
        <v>0.23634204275534443</v>
      </c>
      <c r="N206" s="63">
        <v>0.57718120805369133</v>
      </c>
      <c r="O206" s="63">
        <v>0.47738693467336685</v>
      </c>
      <c r="P206" s="63">
        <v>0.41958041958041958</v>
      </c>
    </row>
    <row r="207" spans="1:16" x14ac:dyDescent="0.45">
      <c r="A207" s="65">
        <v>204</v>
      </c>
      <c r="B207" s="62">
        <v>1934.3999999999996</v>
      </c>
      <c r="C207" s="62">
        <v>9.4823529411764689</v>
      </c>
      <c r="D207" s="67">
        <v>1.7647058823529411</v>
      </c>
      <c r="E207" s="63">
        <v>0.47549019607843135</v>
      </c>
      <c r="F207" s="63">
        <v>0.24019607843137256</v>
      </c>
      <c r="G207" s="63">
        <v>0.34238488783943327</v>
      </c>
      <c r="H207" s="63">
        <v>0.12396694214876033</v>
      </c>
      <c r="I207" s="64">
        <v>8280.689655172413</v>
      </c>
      <c r="J207" s="64">
        <v>-7655.2380952380954</v>
      </c>
      <c r="K207" s="63">
        <v>4.4117647058823532E-2</v>
      </c>
      <c r="L207" s="63">
        <v>0.26564344746162927</v>
      </c>
      <c r="M207" s="63">
        <v>0.2384887839433294</v>
      </c>
      <c r="N207" s="63">
        <v>0.57999999999999996</v>
      </c>
      <c r="O207" s="63">
        <v>0.48267326732673266</v>
      </c>
      <c r="P207" s="63">
        <v>0.4206896551724138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78BE9-CB30-4768-B77F-9BC2DBDF8E07}">
  <sheetPr codeName="Sheet8"/>
  <dimension ref="A1:Q9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5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5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5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5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5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5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5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5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  <row r="77" spans="1:16" x14ac:dyDescent="0.45">
      <c r="A77" s="65">
        <v>74</v>
      </c>
      <c r="B77" s="62">
        <v>-460.70000000000027</v>
      </c>
      <c r="C77" s="62">
        <v>-6.2256756756756797</v>
      </c>
      <c r="D77" s="67">
        <v>2.1351351351351351</v>
      </c>
      <c r="E77" s="63">
        <v>0.3108108108108108</v>
      </c>
      <c r="F77" s="63">
        <v>0.44594594594594594</v>
      </c>
      <c r="G77" s="63">
        <v>0.27231467473524962</v>
      </c>
      <c r="H77" s="63">
        <v>0.15582450832072617</v>
      </c>
      <c r="I77" s="64">
        <v>7012.7777777777774</v>
      </c>
      <c r="J77" s="64">
        <v>-7741.7475728155341</v>
      </c>
      <c r="K77" s="63">
        <v>6.7567567567567571E-2</v>
      </c>
      <c r="L77" s="63">
        <v>0.14523449319213314</v>
      </c>
      <c r="M77" s="63">
        <v>0.25264750378214829</v>
      </c>
      <c r="N77" s="63">
        <v>0.52083333333333337</v>
      </c>
      <c r="O77" s="63">
        <v>0.40119760479041916</v>
      </c>
      <c r="P77" s="63">
        <v>0.41666666666666669</v>
      </c>
    </row>
    <row r="78" spans="1:16" x14ac:dyDescent="0.45">
      <c r="A78" s="65">
        <v>75</v>
      </c>
      <c r="B78" s="62">
        <v>-462.20000000000027</v>
      </c>
      <c r="C78" s="62">
        <v>-6.1626666666666701</v>
      </c>
      <c r="D78" s="67">
        <v>2.1333333333333333</v>
      </c>
      <c r="E78" s="63">
        <v>0.30666666666666664</v>
      </c>
      <c r="F78" s="63">
        <v>0.44</v>
      </c>
      <c r="G78" s="63">
        <v>0.27286356821589203</v>
      </c>
      <c r="H78" s="63">
        <v>0.15442278860569716</v>
      </c>
      <c r="I78" s="64">
        <v>7030.7692307692305</v>
      </c>
      <c r="J78" s="64">
        <v>-7741.7475728155341</v>
      </c>
      <c r="K78" s="63">
        <v>6.6666666666666666E-2</v>
      </c>
      <c r="L78" s="63">
        <v>0.14542728635682159</v>
      </c>
      <c r="M78" s="63">
        <v>0.25337331334332835</v>
      </c>
      <c r="N78" s="63">
        <v>0.51546391752577314</v>
      </c>
      <c r="O78" s="63">
        <v>0.40828402366863903</v>
      </c>
      <c r="P78" s="63">
        <v>0.4175824175824176</v>
      </c>
    </row>
    <row r="79" spans="1:16" x14ac:dyDescent="0.45">
      <c r="A79" s="65">
        <v>76</v>
      </c>
      <c r="B79" s="62">
        <v>-520.50000000000023</v>
      </c>
      <c r="C79" s="62">
        <v>-6.8486842105263186</v>
      </c>
      <c r="D79" s="67">
        <v>2.1447368421052633</v>
      </c>
      <c r="E79" s="63">
        <v>0.30263157894736842</v>
      </c>
      <c r="F79" s="63">
        <v>0.44736842105263158</v>
      </c>
      <c r="G79" s="63">
        <v>0.27111111111111114</v>
      </c>
      <c r="H79" s="63">
        <v>0.15555555555555556</v>
      </c>
      <c r="I79" s="64">
        <v>7036.0655737704919</v>
      </c>
      <c r="J79" s="64">
        <v>-7880</v>
      </c>
      <c r="K79" s="63">
        <v>7.8947368421052627E-2</v>
      </c>
      <c r="L79" s="63">
        <v>0.14518518518518519</v>
      </c>
      <c r="M79" s="63">
        <v>0.25185185185185183</v>
      </c>
      <c r="N79" s="63">
        <v>0.52040816326530615</v>
      </c>
      <c r="O79" s="63">
        <v>0.40588235294117647</v>
      </c>
      <c r="P79" s="63">
        <v>0.41530054644808745</v>
      </c>
    </row>
    <row r="80" spans="1:16" x14ac:dyDescent="0.45">
      <c r="A80" s="65">
        <v>77</v>
      </c>
      <c r="B80" s="62">
        <v>-490.00000000000023</v>
      </c>
      <c r="C80" s="62">
        <v>-6.3636363636363669</v>
      </c>
      <c r="D80" s="67">
        <v>2.1298701298701297</v>
      </c>
      <c r="E80" s="63">
        <v>0.31168831168831168</v>
      </c>
      <c r="F80" s="63">
        <v>0.44155844155844154</v>
      </c>
      <c r="G80" s="63">
        <v>0.27339181286549707</v>
      </c>
      <c r="H80" s="63">
        <v>0.15350877192982457</v>
      </c>
      <c r="I80" s="64">
        <v>7100.5347593582892</v>
      </c>
      <c r="J80" s="64">
        <v>-7880</v>
      </c>
      <c r="K80" s="63">
        <v>7.792207792207792E-2</v>
      </c>
      <c r="L80" s="63">
        <v>0.14327485380116958</v>
      </c>
      <c r="M80" s="63">
        <v>0.25292397660818716</v>
      </c>
      <c r="N80" s="63">
        <v>0.52040816326530615</v>
      </c>
      <c r="O80" s="63">
        <v>0.41040462427745666</v>
      </c>
      <c r="P80" s="63">
        <v>0.41711229946524064</v>
      </c>
    </row>
    <row r="81" spans="1:16" x14ac:dyDescent="0.45">
      <c r="A81" s="65">
        <v>78</v>
      </c>
      <c r="B81" s="62">
        <v>-427.60000000000025</v>
      </c>
      <c r="C81" s="62">
        <v>-5.4820512820512857</v>
      </c>
      <c r="D81" s="67">
        <v>2.1153846153846154</v>
      </c>
      <c r="E81" s="63">
        <v>0.32051282051282054</v>
      </c>
      <c r="F81" s="63">
        <v>0.4358974358974359</v>
      </c>
      <c r="G81" s="63">
        <v>0.27833572453371591</v>
      </c>
      <c r="H81" s="63">
        <v>0.15208034433285508</v>
      </c>
      <c r="I81" s="64">
        <v>7171.1340206185569</v>
      </c>
      <c r="J81" s="64">
        <v>-7918.867924528302</v>
      </c>
      <c r="K81" s="63">
        <v>7.6923076923076927E-2</v>
      </c>
      <c r="L81" s="63">
        <v>0.14347202295552366</v>
      </c>
      <c r="M81" s="63">
        <v>0.25538020086083213</v>
      </c>
      <c r="N81" s="63">
        <v>0.52</v>
      </c>
      <c r="O81" s="63">
        <v>0.4157303370786517</v>
      </c>
      <c r="P81" s="63">
        <v>0.42783505154639173</v>
      </c>
    </row>
    <row r="82" spans="1:16" x14ac:dyDescent="0.45">
      <c r="A82" s="65">
        <v>79</v>
      </c>
      <c r="B82" s="62">
        <v>-419.20000000000027</v>
      </c>
      <c r="C82" s="62">
        <v>-5.306329113924054</v>
      </c>
      <c r="D82" s="67">
        <v>2.1139240506329116</v>
      </c>
      <c r="E82" s="63">
        <v>0.31645569620253167</v>
      </c>
      <c r="F82" s="63">
        <v>0.43037974683544306</v>
      </c>
      <c r="G82" s="63">
        <v>0.28005657708628007</v>
      </c>
      <c r="H82" s="63">
        <v>0.15275813295615276</v>
      </c>
      <c r="I82" s="64">
        <v>7225.757575757576</v>
      </c>
      <c r="J82" s="64">
        <v>-7901.8518518518522</v>
      </c>
      <c r="K82" s="63">
        <v>7.5949367088607597E-2</v>
      </c>
      <c r="L82" s="63">
        <v>0.14568599717114569</v>
      </c>
      <c r="M82" s="63">
        <v>0.25742574257425743</v>
      </c>
      <c r="N82" s="63">
        <v>0.53398058252427183</v>
      </c>
      <c r="O82" s="63">
        <v>0.41208791208791207</v>
      </c>
      <c r="P82" s="63">
        <v>0.42424242424242425</v>
      </c>
    </row>
    <row r="83" spans="1:16" x14ac:dyDescent="0.45">
      <c r="A83" s="65">
        <v>80</v>
      </c>
      <c r="B83" s="62">
        <v>-427.50000000000028</v>
      </c>
      <c r="C83" s="62">
        <v>-5.3437500000000036</v>
      </c>
      <c r="D83" s="67">
        <v>2.1124999999999998</v>
      </c>
      <c r="E83" s="63">
        <v>0.3125</v>
      </c>
      <c r="F83" s="63">
        <v>0.42499999999999999</v>
      </c>
      <c r="G83" s="63">
        <v>0.28050490883590462</v>
      </c>
      <c r="H83" s="63">
        <v>0.15287517531556802</v>
      </c>
      <c r="I83" s="64">
        <v>7225.5</v>
      </c>
      <c r="J83" s="64">
        <v>-7900</v>
      </c>
      <c r="K83" s="63">
        <v>7.4999999999999997E-2</v>
      </c>
      <c r="L83" s="63">
        <v>0.1458625525946704</v>
      </c>
      <c r="M83" s="63">
        <v>0.25806451612903225</v>
      </c>
      <c r="N83" s="63">
        <v>0.53846153846153844</v>
      </c>
      <c r="O83" s="63">
        <v>0.41304347826086957</v>
      </c>
      <c r="P83" s="63">
        <v>0.43</v>
      </c>
    </row>
    <row r="84" spans="1:16" x14ac:dyDescent="0.45">
      <c r="A84" s="65">
        <v>81</v>
      </c>
      <c r="B84" s="62">
        <v>-430.90000000000026</v>
      </c>
      <c r="C84" s="62">
        <v>-5.3197530864197562</v>
      </c>
      <c r="D84" s="67">
        <v>2.1111111111111112</v>
      </c>
      <c r="E84" s="63">
        <v>0.30864197530864196</v>
      </c>
      <c r="F84" s="63">
        <v>0.41975308641975306</v>
      </c>
      <c r="G84" s="63">
        <v>0.28155339805825241</v>
      </c>
      <c r="H84" s="63">
        <v>0.1553398058252427</v>
      </c>
      <c r="I84" s="64">
        <v>7173.8916256157636</v>
      </c>
      <c r="J84" s="64">
        <v>-7780.3571428571431</v>
      </c>
      <c r="K84" s="63">
        <v>7.407407407407407E-2</v>
      </c>
      <c r="L84" s="63">
        <v>0.14563106796116504</v>
      </c>
      <c r="M84" s="63">
        <v>0.2579750346740638</v>
      </c>
      <c r="N84" s="63">
        <v>0.54285714285714282</v>
      </c>
      <c r="O84" s="63">
        <v>0.41935483870967744</v>
      </c>
      <c r="P84" s="63">
        <v>0.42857142857142855</v>
      </c>
    </row>
    <row r="85" spans="1:16" x14ac:dyDescent="0.45">
      <c r="A85" s="65">
        <v>82</v>
      </c>
      <c r="B85" s="62">
        <v>-468.40000000000026</v>
      </c>
      <c r="C85" s="62">
        <v>-5.7121951219512228</v>
      </c>
      <c r="D85" s="67">
        <v>2.1219512195121952</v>
      </c>
      <c r="E85" s="63">
        <v>0.3048780487804878</v>
      </c>
      <c r="F85" s="63">
        <v>0.42682926829268292</v>
      </c>
      <c r="G85" s="63">
        <v>0.27922971114167811</v>
      </c>
      <c r="H85" s="63">
        <v>0.15680880330123798</v>
      </c>
      <c r="I85" s="64">
        <v>7173.8916256157636</v>
      </c>
      <c r="J85" s="64">
        <v>-7748.2456140350878</v>
      </c>
      <c r="K85" s="63">
        <v>7.3170731707317069E-2</v>
      </c>
      <c r="L85" s="63">
        <v>0.14442916093535077</v>
      </c>
      <c r="M85" s="63">
        <v>0.25722145804676755</v>
      </c>
      <c r="N85" s="63">
        <v>0.54285714285714282</v>
      </c>
      <c r="O85" s="63">
        <v>0.41711229946524064</v>
      </c>
      <c r="P85" s="63">
        <v>0.42857142857142855</v>
      </c>
    </row>
    <row r="86" spans="1:16" x14ac:dyDescent="0.45">
      <c r="A86" s="65">
        <v>83</v>
      </c>
      <c r="B86" s="62">
        <v>-502.90000000000026</v>
      </c>
      <c r="C86" s="62">
        <v>-6.0590361445783163</v>
      </c>
      <c r="D86" s="67">
        <v>2.1325301204819276</v>
      </c>
      <c r="E86" s="63">
        <v>0.30120481927710846</v>
      </c>
      <c r="F86" s="63">
        <v>0.43373493975903615</v>
      </c>
      <c r="G86" s="63">
        <v>0.27755102040816326</v>
      </c>
      <c r="H86" s="63">
        <v>0.16054421768707483</v>
      </c>
      <c r="I86" s="64">
        <v>7152.9411764705883</v>
      </c>
      <c r="J86" s="64">
        <v>-7683.0508474576272</v>
      </c>
      <c r="K86" s="63">
        <v>7.2289156626506021E-2</v>
      </c>
      <c r="L86" s="63">
        <v>0.14557823129251701</v>
      </c>
      <c r="M86" s="63">
        <v>0.25578231292517006</v>
      </c>
      <c r="N86" s="63">
        <v>0.53271028037383172</v>
      </c>
      <c r="O86" s="63">
        <v>0.41489361702127658</v>
      </c>
      <c r="P86" s="63">
        <v>0.4264705882352941</v>
      </c>
    </row>
    <row r="87" spans="1:16" x14ac:dyDescent="0.45">
      <c r="A87" s="65">
        <v>84</v>
      </c>
      <c r="B87" s="62">
        <v>-564.20000000000027</v>
      </c>
      <c r="C87" s="62">
        <v>-6.7166666666666703</v>
      </c>
      <c r="D87" s="67">
        <v>2.1428571428571428</v>
      </c>
      <c r="E87" s="63">
        <v>0.29761904761904762</v>
      </c>
      <c r="F87" s="63">
        <v>0.44047619047619047</v>
      </c>
      <c r="G87" s="63">
        <v>0.27516778523489932</v>
      </c>
      <c r="H87" s="63">
        <v>0.16107382550335569</v>
      </c>
      <c r="I87" s="64">
        <v>7127.8048780487807</v>
      </c>
      <c r="J87" s="64">
        <v>-7755</v>
      </c>
      <c r="K87" s="63">
        <v>8.3333333333333329E-2</v>
      </c>
      <c r="L87" s="63">
        <v>0.1436241610738255</v>
      </c>
      <c r="M87" s="63">
        <v>0.25771812080536916</v>
      </c>
      <c r="N87" s="63">
        <v>0.53271028037383172</v>
      </c>
      <c r="O87" s="63">
        <v>0.41145833333333331</v>
      </c>
      <c r="P87" s="63">
        <v>0.42439024390243901</v>
      </c>
    </row>
    <row r="88" spans="1:16" x14ac:dyDescent="0.45">
      <c r="A88" s="65">
        <v>85</v>
      </c>
      <c r="B88" s="62">
        <v>-589.90000000000032</v>
      </c>
      <c r="C88" s="62">
        <v>-6.9400000000000039</v>
      </c>
      <c r="D88" s="67">
        <v>2.1529411764705881</v>
      </c>
      <c r="E88" s="63">
        <v>0.29411764705882354</v>
      </c>
      <c r="F88" s="63">
        <v>0.44705882352941179</v>
      </c>
      <c r="G88" s="63">
        <v>0.27357237715803451</v>
      </c>
      <c r="H88" s="63">
        <v>0.16334661354581673</v>
      </c>
      <c r="I88" s="64">
        <v>7103.3980582524273</v>
      </c>
      <c r="J88" s="64">
        <v>-7657.7235772357726</v>
      </c>
      <c r="K88" s="63">
        <v>8.2352941176470587E-2</v>
      </c>
      <c r="L88" s="63">
        <v>0.14342629482071714</v>
      </c>
      <c r="M88" s="63">
        <v>0.25896414342629481</v>
      </c>
      <c r="N88" s="63">
        <v>0.52777777777777779</v>
      </c>
      <c r="O88" s="63">
        <v>0.40512820512820513</v>
      </c>
      <c r="P88" s="63">
        <v>0.42718446601941745</v>
      </c>
    </row>
    <row r="89" spans="1:16" x14ac:dyDescent="0.45">
      <c r="A89" s="65">
        <v>86</v>
      </c>
      <c r="B89" s="62">
        <v>-582.3000000000003</v>
      </c>
      <c r="C89" s="62">
        <v>-6.7709302325581433</v>
      </c>
      <c r="D89" s="67">
        <v>2.1511627906976742</v>
      </c>
      <c r="E89" s="63">
        <v>0.29069767441860467</v>
      </c>
      <c r="F89" s="63">
        <v>0.44186046511627908</v>
      </c>
      <c r="G89" s="63">
        <v>0.27500000000000002</v>
      </c>
      <c r="H89" s="63">
        <v>0.16447368421052633</v>
      </c>
      <c r="I89" s="64">
        <v>7093.7799043062205</v>
      </c>
      <c r="J89" s="64">
        <v>-7576.8</v>
      </c>
      <c r="K89" s="63">
        <v>8.1395348837209308E-2</v>
      </c>
      <c r="L89" s="63">
        <v>0.14342105263157895</v>
      </c>
      <c r="M89" s="63">
        <v>0.26184210526315788</v>
      </c>
      <c r="N89" s="63">
        <v>0.5321100917431193</v>
      </c>
      <c r="O89" s="63">
        <v>0.40703517587939697</v>
      </c>
      <c r="P89" s="63">
        <v>0.42583732057416268</v>
      </c>
    </row>
    <row r="90" spans="1:16" x14ac:dyDescent="0.45">
      <c r="A90" s="65">
        <v>87</v>
      </c>
      <c r="B90" s="62">
        <v>-606.90000000000032</v>
      </c>
      <c r="C90" s="62">
        <v>-6.9758620689655206</v>
      </c>
      <c r="D90" s="67">
        <v>2.1609195402298851</v>
      </c>
      <c r="E90" s="63">
        <v>0.28735632183908044</v>
      </c>
      <c r="F90" s="63">
        <v>0.44827586206896552</v>
      </c>
      <c r="G90" s="63">
        <v>0.27379400260756193</v>
      </c>
      <c r="H90" s="63">
        <v>0.16427640156453716</v>
      </c>
      <c r="I90" s="64">
        <v>7096.666666666667</v>
      </c>
      <c r="J90" s="64">
        <v>-7537.3015873015875</v>
      </c>
      <c r="K90" s="63">
        <v>8.0459770114942528E-2</v>
      </c>
      <c r="L90" s="63">
        <v>0.14211212516297261</v>
      </c>
      <c r="M90" s="63">
        <v>0.26336375488917863</v>
      </c>
      <c r="N90" s="63">
        <v>0.5321100917431193</v>
      </c>
      <c r="O90" s="63">
        <v>0.40099009900990101</v>
      </c>
      <c r="P90" s="63">
        <v>0.42857142857142855</v>
      </c>
    </row>
    <row r="91" spans="1:16" x14ac:dyDescent="0.45">
      <c r="A91" s="65">
        <v>88</v>
      </c>
      <c r="B91" s="62">
        <v>-597.70000000000027</v>
      </c>
      <c r="C91" s="62">
        <v>-6.792045454545458</v>
      </c>
      <c r="D91" s="67">
        <v>2.1590909090909092</v>
      </c>
      <c r="E91" s="63">
        <v>0.28409090909090912</v>
      </c>
      <c r="F91" s="63">
        <v>0.44318181818181818</v>
      </c>
      <c r="G91" s="63">
        <v>0.27307692307692305</v>
      </c>
      <c r="H91" s="63">
        <v>0.16282051282051282</v>
      </c>
      <c r="I91" s="64">
        <v>7107.9812206572769</v>
      </c>
      <c r="J91" s="64">
        <v>-7540.9448818897636</v>
      </c>
      <c r="K91" s="63">
        <v>7.9545454545454544E-2</v>
      </c>
      <c r="L91" s="63">
        <v>0.14102564102564102</v>
      </c>
      <c r="M91" s="63">
        <v>0.26282051282051283</v>
      </c>
      <c r="N91" s="63">
        <v>0.53636363636363638</v>
      </c>
      <c r="O91" s="63">
        <v>0.39512195121951221</v>
      </c>
      <c r="P91" s="63">
        <v>0.43661971830985913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6BA59-4BFE-43DD-B559-D7033676116D}">
  <sheetPr codeName="Sheet6"/>
  <dimension ref="A1:Q344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5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5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5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5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5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5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5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5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5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5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5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5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5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5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5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5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5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5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5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5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5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5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5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5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5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5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5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5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5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5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5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 x14ac:dyDescent="0.45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 x14ac:dyDescent="0.45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  <row r="278" spans="1:16" x14ac:dyDescent="0.45">
      <c r="A278" s="65">
        <v>275</v>
      </c>
      <c r="B278" s="62">
        <v>-4.2632564145606011E-14</v>
      </c>
      <c r="C278" s="62">
        <v>-5.1675835328007286E-17</v>
      </c>
      <c r="D278" s="67">
        <v>2</v>
      </c>
      <c r="E278" s="63">
        <v>0.33333333333333331</v>
      </c>
      <c r="F278" s="63">
        <v>0.33333333333333331</v>
      </c>
      <c r="G278" s="63">
        <v>0.29477180820335064</v>
      </c>
      <c r="H278" s="63">
        <v>0.16291161178509533</v>
      </c>
      <c r="I278" s="64">
        <v>8354.4341009309155</v>
      </c>
      <c r="J278" s="64">
        <v>-7746.8971631205677</v>
      </c>
      <c r="K278" s="63">
        <v>9.4545454545454544E-2</v>
      </c>
      <c r="L278" s="63">
        <v>0.25577700751010979</v>
      </c>
      <c r="M278" s="63">
        <v>0.22862507221259387</v>
      </c>
      <c r="N278" s="63">
        <v>0.55279503105590067</v>
      </c>
      <c r="O278" s="63">
        <v>0.42324699936828808</v>
      </c>
      <c r="P278" s="63">
        <v>0.44194022537971583</v>
      </c>
    </row>
    <row r="279" spans="1:16" x14ac:dyDescent="0.45">
      <c r="A279" s="65">
        <v>276</v>
      </c>
      <c r="B279" s="62">
        <v>-4.2632564145606011E-14</v>
      </c>
      <c r="C279" s="62">
        <v>-5.1488604040586971E-17</v>
      </c>
      <c r="D279" s="67">
        <v>2</v>
      </c>
      <c r="E279" s="63">
        <v>0.33333333333333331</v>
      </c>
      <c r="F279" s="63">
        <v>0.33333333333333331</v>
      </c>
      <c r="G279" s="63">
        <v>0.29488840892728579</v>
      </c>
      <c r="H279" s="63">
        <v>0.16285097192224621</v>
      </c>
      <c r="I279" s="64">
        <v>8362.98828125</v>
      </c>
      <c r="J279" s="64">
        <v>-7754.6419098143233</v>
      </c>
      <c r="K279" s="63">
        <v>9.420289855072464E-2</v>
      </c>
      <c r="L279" s="63">
        <v>0.25615550755939526</v>
      </c>
      <c r="M279" s="63">
        <v>0.22850971922246222</v>
      </c>
      <c r="N279" s="63">
        <v>0.55255761663856096</v>
      </c>
      <c r="O279" s="63">
        <v>0.42344045368620037</v>
      </c>
      <c r="P279" s="63">
        <v>0.4423828125</v>
      </c>
    </row>
    <row r="280" spans="1:16" x14ac:dyDescent="0.45">
      <c r="A280" s="65">
        <v>277</v>
      </c>
      <c r="B280" s="62">
        <v>-4.2632564145606011E-14</v>
      </c>
      <c r="C280" s="62">
        <v>-5.1302724603617344E-17</v>
      </c>
      <c r="D280" s="67">
        <v>2</v>
      </c>
      <c r="E280" s="63">
        <v>0.33333333333333331</v>
      </c>
      <c r="F280" s="63">
        <v>0.33333333333333331</v>
      </c>
      <c r="G280" s="63">
        <v>0.29482758620689653</v>
      </c>
      <c r="H280" s="63">
        <v>0.16264367816091954</v>
      </c>
      <c r="I280" s="64">
        <v>8375.9259259259252</v>
      </c>
      <c r="J280" s="64">
        <v>-7768.9929328621911</v>
      </c>
      <c r="K280" s="63">
        <v>9.5066185318892896E-2</v>
      </c>
      <c r="L280" s="63">
        <v>0.25603448275862067</v>
      </c>
      <c r="M280" s="63">
        <v>0.22816091954022988</v>
      </c>
      <c r="N280" s="63">
        <v>0.55274971941638606</v>
      </c>
      <c r="O280" s="63">
        <v>0.42380352644836272</v>
      </c>
      <c r="P280" s="63">
        <v>0.44298245614035087</v>
      </c>
    </row>
    <row r="281" spans="1:16" x14ac:dyDescent="0.45">
      <c r="A281" s="65">
        <v>278</v>
      </c>
      <c r="B281" s="62">
        <v>-4.2632564145606011E-14</v>
      </c>
      <c r="C281" s="62">
        <v>-5.1118182428784189E-17</v>
      </c>
      <c r="D281" s="67">
        <v>2</v>
      </c>
      <c r="E281" s="63">
        <v>0.33333333333333331</v>
      </c>
      <c r="F281" s="63">
        <v>0.33333333333333331</v>
      </c>
      <c r="G281" s="63">
        <v>0.2947398513436249</v>
      </c>
      <c r="H281" s="63">
        <v>0.1622355631789594</v>
      </c>
      <c r="I281" s="64">
        <v>8361.3482056256071</v>
      </c>
      <c r="J281" s="64">
        <v>-7758.2378854625549</v>
      </c>
      <c r="K281" s="63">
        <v>9.4724220623501193E-2</v>
      </c>
      <c r="L281" s="63">
        <v>0.2557175528873642</v>
      </c>
      <c r="M281" s="63">
        <v>0.22770154373927959</v>
      </c>
      <c r="N281" s="63">
        <v>0.55282280603689216</v>
      </c>
      <c r="O281" s="63">
        <v>0.42372881355932202</v>
      </c>
      <c r="P281" s="63">
        <v>0.44422890397672166</v>
      </c>
    </row>
    <row r="282" spans="1:16" x14ac:dyDescent="0.45">
      <c r="A282" s="65">
        <v>279</v>
      </c>
      <c r="B282" s="62">
        <v>-4.9737991503207013E-14</v>
      </c>
      <c r="C282" s="62">
        <v>-5.9424123659745533E-17</v>
      </c>
      <c r="D282" s="67">
        <v>2</v>
      </c>
      <c r="E282" s="63">
        <v>0.33333333333333331</v>
      </c>
      <c r="F282" s="63">
        <v>0.33333333333333331</v>
      </c>
      <c r="G282" s="63">
        <v>0.29472934472934476</v>
      </c>
      <c r="H282" s="63">
        <v>0.16225071225071225</v>
      </c>
      <c r="I282" s="64">
        <v>8350.8458192363469</v>
      </c>
      <c r="J282" s="64">
        <v>-7752.6777875329235</v>
      </c>
      <c r="K282" s="63">
        <v>9.55794504181601E-2</v>
      </c>
      <c r="L282" s="63">
        <v>0.25484330484330486</v>
      </c>
      <c r="M282" s="63">
        <v>0.22792022792022792</v>
      </c>
      <c r="N282" s="63">
        <v>0.55282280603689216</v>
      </c>
      <c r="O282" s="63">
        <v>0.42312499999999997</v>
      </c>
      <c r="P282" s="63">
        <v>0.44417593040115999</v>
      </c>
    </row>
    <row r="283" spans="1:16" x14ac:dyDescent="0.45">
      <c r="A283" s="65">
        <v>280</v>
      </c>
      <c r="B283" s="62">
        <v>-4.9737991503207013E-14</v>
      </c>
      <c r="C283" s="62">
        <v>-5.9211894646675015E-17</v>
      </c>
      <c r="D283" s="67">
        <v>2</v>
      </c>
      <c r="E283" s="63">
        <v>0.33333333333333331</v>
      </c>
      <c r="F283" s="63">
        <v>0.33333333333333331</v>
      </c>
      <c r="G283" s="63">
        <v>0.29482807615799944</v>
      </c>
      <c r="H283" s="63">
        <v>0.16197783461210571</v>
      </c>
      <c r="I283" s="64">
        <v>8352</v>
      </c>
      <c r="J283" s="64">
        <v>-7756.4035087719294</v>
      </c>
      <c r="K283" s="63">
        <v>9.5238095238095233E-2</v>
      </c>
      <c r="L283" s="63">
        <v>0.25461778914464339</v>
      </c>
      <c r="M283" s="63">
        <v>0.22861608411480533</v>
      </c>
      <c r="N283" s="63">
        <v>0.5530133928571429</v>
      </c>
      <c r="O283" s="63">
        <v>0.42324425108763208</v>
      </c>
      <c r="P283" s="63">
        <v>0.4453012048192771</v>
      </c>
    </row>
    <row r="284" spans="1:16" x14ac:dyDescent="0.45">
      <c r="A284" s="65">
        <v>281</v>
      </c>
      <c r="B284" s="62">
        <v>-4.9737991503207013E-14</v>
      </c>
      <c r="C284" s="62">
        <v>-5.9001176160387911E-17</v>
      </c>
      <c r="D284" s="67">
        <v>2</v>
      </c>
      <c r="E284" s="63">
        <v>0.33333333333333331</v>
      </c>
      <c r="F284" s="63">
        <v>0.33333333333333331</v>
      </c>
      <c r="G284" s="63">
        <v>0.29497523000707715</v>
      </c>
      <c r="H284" s="63">
        <v>0.16178343949044585</v>
      </c>
      <c r="I284" s="64">
        <v>8353.0230326295587</v>
      </c>
      <c r="J284" s="64">
        <v>-7751.3560804899389</v>
      </c>
      <c r="K284" s="63">
        <v>9.4899169632265717E-2</v>
      </c>
      <c r="L284" s="63">
        <v>0.25520169851380042</v>
      </c>
      <c r="M284" s="63">
        <v>0.22830856334041047</v>
      </c>
      <c r="N284" s="63">
        <v>0.55352190793122569</v>
      </c>
      <c r="O284" s="63">
        <v>0.42281463112213269</v>
      </c>
      <c r="P284" s="63">
        <v>0.44577735124760076</v>
      </c>
    </row>
    <row r="285" spans="1:16" x14ac:dyDescent="0.45">
      <c r="A285" s="65">
        <v>282</v>
      </c>
      <c r="B285" s="62">
        <v>-4.9737991503207013E-14</v>
      </c>
      <c r="C285" s="62">
        <v>-5.8791952131450369E-17</v>
      </c>
      <c r="D285" s="67">
        <v>2</v>
      </c>
      <c r="E285" s="63">
        <v>0.33333333333333331</v>
      </c>
      <c r="F285" s="63">
        <v>0.33333333333333331</v>
      </c>
      <c r="G285" s="63">
        <v>0.29474721870159132</v>
      </c>
      <c r="H285" s="63">
        <v>0.16166737079284607</v>
      </c>
      <c r="I285" s="64">
        <v>8344.2904921165791</v>
      </c>
      <c r="J285" s="64">
        <v>-7731.4459930313587</v>
      </c>
      <c r="K285" s="63">
        <v>9.4562647754137114E-2</v>
      </c>
      <c r="L285" s="63">
        <v>0.25517532741867344</v>
      </c>
      <c r="M285" s="63">
        <v>0.22884100830868892</v>
      </c>
      <c r="N285" s="63">
        <v>0.55353200883002207</v>
      </c>
      <c r="O285" s="63">
        <v>0.42153846153846153</v>
      </c>
      <c r="P285" s="63">
        <v>0.44577161968466317</v>
      </c>
    </row>
    <row r="286" spans="1:16" x14ac:dyDescent="0.45">
      <c r="A286" s="65">
        <v>283</v>
      </c>
      <c r="B286" s="62">
        <v>-4.9737991503207013E-14</v>
      </c>
      <c r="C286" s="62">
        <v>-5.8584206717558316E-17</v>
      </c>
      <c r="D286" s="67">
        <v>2</v>
      </c>
      <c r="E286" s="63">
        <v>0.33333333333333331</v>
      </c>
      <c r="F286" s="63">
        <v>0.33333333333333331</v>
      </c>
      <c r="G286" s="63">
        <v>0.29473684210526313</v>
      </c>
      <c r="H286" s="63">
        <v>0.16168421052631579</v>
      </c>
      <c r="I286" s="64">
        <v>8343.4761904761908</v>
      </c>
      <c r="J286" s="64">
        <v>-7734.635416666667</v>
      </c>
      <c r="K286" s="63">
        <v>9.4228504122497059E-2</v>
      </c>
      <c r="L286" s="63">
        <v>0.25445614035087721</v>
      </c>
      <c r="M286" s="63">
        <v>0.22919298245614034</v>
      </c>
      <c r="N286" s="63">
        <v>0.55377826806398234</v>
      </c>
      <c r="O286" s="63">
        <v>0.421310471524801</v>
      </c>
      <c r="P286" s="63">
        <v>0.44571428571428573</v>
      </c>
    </row>
    <row r="287" spans="1:16" x14ac:dyDescent="0.45">
      <c r="A287" s="65">
        <v>284</v>
      </c>
      <c r="B287" s="62">
        <v>-5.6843418860808015E-14</v>
      </c>
      <c r="C287" s="62">
        <v>-6.6717627770901427E-17</v>
      </c>
      <c r="D287" s="67">
        <v>2</v>
      </c>
      <c r="E287" s="63">
        <v>0.33333333333333331</v>
      </c>
      <c r="F287" s="63">
        <v>0.33333333333333331</v>
      </c>
      <c r="G287" s="63">
        <v>0.29444677577283535</v>
      </c>
      <c r="H287" s="63">
        <v>0.16156105749055813</v>
      </c>
      <c r="I287" s="64">
        <v>8353.8717339667455</v>
      </c>
      <c r="J287" s="64">
        <v>-7747.4458874458878</v>
      </c>
      <c r="K287" s="63">
        <v>9.5070422535211266E-2</v>
      </c>
      <c r="L287" s="63">
        <v>0.25402154147433209</v>
      </c>
      <c r="M287" s="63">
        <v>0.22912295425933696</v>
      </c>
      <c r="N287" s="63">
        <v>0.55396475770925113</v>
      </c>
      <c r="O287" s="63">
        <v>0.42185592185592186</v>
      </c>
      <c r="P287" s="63">
        <v>0.44560570071258909</v>
      </c>
    </row>
    <row r="288" spans="1:16" x14ac:dyDescent="0.45">
      <c r="A288" s="65">
        <v>285</v>
      </c>
      <c r="B288" s="62">
        <v>-5.6843418860808015E-14</v>
      </c>
      <c r="C288" s="62">
        <v>-6.6483530831354405E-17</v>
      </c>
      <c r="D288" s="67">
        <v>2</v>
      </c>
      <c r="E288" s="63">
        <v>0.33333333333333331</v>
      </c>
      <c r="F288" s="63">
        <v>0.33333333333333331</v>
      </c>
      <c r="G288" s="63">
        <v>0.29459308807134893</v>
      </c>
      <c r="H288" s="63">
        <v>0.16137123745819398</v>
      </c>
      <c r="I288" s="64">
        <v>8357.8524124881733</v>
      </c>
      <c r="J288" s="64">
        <v>-7747.1502590673572</v>
      </c>
      <c r="K288" s="63">
        <v>9.4736842105263161E-2</v>
      </c>
      <c r="L288" s="63">
        <v>0.25348383500557414</v>
      </c>
      <c r="M288" s="63">
        <v>0.22937569676700112</v>
      </c>
      <c r="N288" s="63">
        <v>0.55415063221550298</v>
      </c>
      <c r="O288" s="63">
        <v>0.42223572296476308</v>
      </c>
      <c r="P288" s="63">
        <v>0.44654683065279094</v>
      </c>
    </row>
    <row r="289" spans="1:16" x14ac:dyDescent="0.45">
      <c r="A289" s="65">
        <v>286</v>
      </c>
      <c r="B289" s="62">
        <v>-5.6843418860808015E-14</v>
      </c>
      <c r="C289" s="62">
        <v>-6.6251070933342675E-17</v>
      </c>
      <c r="D289" s="67">
        <v>2</v>
      </c>
      <c r="E289" s="63">
        <v>0.33333333333333331</v>
      </c>
      <c r="F289" s="63">
        <v>0.33333333333333331</v>
      </c>
      <c r="G289" s="63">
        <v>0.29452529452529452</v>
      </c>
      <c r="H289" s="63">
        <v>0.16119196119196119</v>
      </c>
      <c r="I289" s="64">
        <v>8366.2588235294115</v>
      </c>
      <c r="J289" s="64">
        <v>-7758.2115219260531</v>
      </c>
      <c r="K289" s="63">
        <v>9.5571095571095568E-2</v>
      </c>
      <c r="L289" s="63">
        <v>0.25336105336105336</v>
      </c>
      <c r="M289" s="63">
        <v>0.22952182952182953</v>
      </c>
      <c r="N289" s="63">
        <v>0.55196936542669583</v>
      </c>
      <c r="O289" s="63">
        <v>0.42330917874396135</v>
      </c>
      <c r="P289" s="63">
        <v>0.44705882352941179</v>
      </c>
    </row>
    <row r="290" spans="1:16" x14ac:dyDescent="0.45">
      <c r="A290" s="65">
        <v>287</v>
      </c>
      <c r="B290" s="62">
        <v>-5.3290705182007514E-14</v>
      </c>
      <c r="C290" s="62">
        <v>-6.1893966529625449E-17</v>
      </c>
      <c r="D290" s="67">
        <v>2</v>
      </c>
      <c r="E290" s="63">
        <v>0.33333333333333331</v>
      </c>
      <c r="F290" s="63">
        <v>0.33333333333333331</v>
      </c>
      <c r="G290" s="63">
        <v>0.29462187197566708</v>
      </c>
      <c r="H290" s="63">
        <v>0.16120558551085304</v>
      </c>
      <c r="I290" s="64">
        <v>8364.9929610511499</v>
      </c>
      <c r="J290" s="64">
        <v>-7754.1166380789018</v>
      </c>
      <c r="K290" s="63">
        <v>9.5238095238095233E-2</v>
      </c>
      <c r="L290" s="63">
        <v>0.25342181667357944</v>
      </c>
      <c r="M290" s="63">
        <v>0.22936540854417253</v>
      </c>
      <c r="N290" s="63">
        <v>0.55264593562465902</v>
      </c>
      <c r="O290" s="63">
        <v>0.42314647377938519</v>
      </c>
      <c r="P290" s="63">
        <v>0.44720788362271235</v>
      </c>
    </row>
    <row r="291" spans="1:16" x14ac:dyDescent="0.45">
      <c r="A291" s="65">
        <v>288</v>
      </c>
      <c r="B291" s="62">
        <v>-4.9737991503207013E-14</v>
      </c>
      <c r="C291" s="62">
        <v>-5.7567119795378484E-17</v>
      </c>
      <c r="D291" s="67">
        <v>2</v>
      </c>
      <c r="E291" s="63">
        <v>0.33333333333333331</v>
      </c>
      <c r="F291" s="63">
        <v>0.33333333333333331</v>
      </c>
      <c r="G291" s="63">
        <v>0.29473393989523022</v>
      </c>
      <c r="H291" s="63">
        <v>0.16142817755720981</v>
      </c>
      <c r="I291" s="64">
        <v>8362.4883068288127</v>
      </c>
      <c r="J291" s="64">
        <v>-7747.6515798462851</v>
      </c>
      <c r="K291" s="63">
        <v>9.6064814814814811E-2</v>
      </c>
      <c r="L291" s="63">
        <v>0.25323959194926937</v>
      </c>
      <c r="M291" s="63">
        <v>0.22952853598014888</v>
      </c>
      <c r="N291" s="63">
        <v>0.55198693522046816</v>
      </c>
      <c r="O291" s="63">
        <v>0.42342342342342343</v>
      </c>
      <c r="P291" s="63">
        <v>0.44667913938260057</v>
      </c>
    </row>
    <row r="292" spans="1:16" x14ac:dyDescent="0.45">
      <c r="A292" s="65">
        <v>289</v>
      </c>
      <c r="B292" s="62">
        <v>-4.9737991503207013E-14</v>
      </c>
      <c r="C292" s="62">
        <v>-5.7367925609235305E-17</v>
      </c>
      <c r="D292" s="67">
        <v>2</v>
      </c>
      <c r="E292" s="63">
        <v>0.33333333333333331</v>
      </c>
      <c r="F292" s="63">
        <v>0.33333333333333331</v>
      </c>
      <c r="G292" s="63">
        <v>0.29484536082474228</v>
      </c>
      <c r="H292" s="63">
        <v>0.16151202749140894</v>
      </c>
      <c r="I292" s="64">
        <v>8372.1678321678319</v>
      </c>
      <c r="J292" s="64">
        <v>-7758.7234042553191</v>
      </c>
      <c r="K292" s="63">
        <v>9.5732410611303345E-2</v>
      </c>
      <c r="L292" s="63">
        <v>0.2531958762886598</v>
      </c>
      <c r="M292" s="63">
        <v>0.22969072164948454</v>
      </c>
      <c r="N292" s="63">
        <v>0.55211726384364823</v>
      </c>
      <c r="O292" s="63">
        <v>0.42309994015559543</v>
      </c>
      <c r="P292" s="63">
        <v>0.44662004662004662</v>
      </c>
    </row>
    <row r="293" spans="1:16" x14ac:dyDescent="0.45">
      <c r="A293" s="65">
        <v>290</v>
      </c>
      <c r="B293" s="62">
        <v>-5.3290705182007514E-14</v>
      </c>
      <c r="C293" s="62">
        <v>-6.1253684117250015E-17</v>
      </c>
      <c r="D293" s="67">
        <v>2</v>
      </c>
      <c r="E293" s="63">
        <v>0.33333333333333331</v>
      </c>
      <c r="F293" s="63">
        <v>0.33333333333333331</v>
      </c>
      <c r="G293" s="63">
        <v>0.29468201754385964</v>
      </c>
      <c r="H293" s="63">
        <v>0.16132127192982457</v>
      </c>
      <c r="I293" s="64">
        <v>8372.3720930232557</v>
      </c>
      <c r="J293" s="64">
        <v>-7753.7807986406115</v>
      </c>
      <c r="K293" s="63">
        <v>9.6551724137931033E-2</v>
      </c>
      <c r="L293" s="63">
        <v>0.25356359649122806</v>
      </c>
      <c r="M293" s="63">
        <v>0.22930372807017543</v>
      </c>
      <c r="N293" s="63">
        <v>0.55135135135135138</v>
      </c>
      <c r="O293" s="63">
        <v>0.42319187089061566</v>
      </c>
      <c r="P293" s="63">
        <v>0.44697674418604649</v>
      </c>
    </row>
    <row r="294" spans="1:16" x14ac:dyDescent="0.45">
      <c r="A294" s="65">
        <v>291</v>
      </c>
      <c r="B294" s="62">
        <v>-5.8175686490358203E-14</v>
      </c>
      <c r="C294" s="62">
        <v>-6.6638816140158305E-17</v>
      </c>
      <c r="D294" s="67">
        <v>2</v>
      </c>
      <c r="E294" s="63">
        <v>0.33333333333333331</v>
      </c>
      <c r="F294" s="63">
        <v>0.33333333333333331</v>
      </c>
      <c r="G294" s="63">
        <v>0.2947771397320208</v>
      </c>
      <c r="H294" s="63">
        <v>0.16147115121684441</v>
      </c>
      <c r="I294" s="64">
        <v>8365.2597402597403</v>
      </c>
      <c r="J294" s="64">
        <v>-7743.5224386113459</v>
      </c>
      <c r="K294" s="63">
        <v>9.6219931271477668E-2</v>
      </c>
      <c r="L294" s="63">
        <v>0.25334974022422752</v>
      </c>
      <c r="M294" s="63">
        <v>0.22969647251845776</v>
      </c>
      <c r="N294" s="63">
        <v>0.55153804641122506</v>
      </c>
      <c r="O294" s="63">
        <v>0.4238095238095238</v>
      </c>
      <c r="P294" s="63">
        <v>0.44666048237476808</v>
      </c>
    </row>
    <row r="295" spans="1:16" x14ac:dyDescent="0.45">
      <c r="A295" s="65">
        <v>292</v>
      </c>
      <c r="B295" s="62">
        <v>-5.6843418860808015E-14</v>
      </c>
      <c r="C295" s="62">
        <v>-6.4889747558000013E-17</v>
      </c>
      <c r="D295" s="67">
        <v>2</v>
      </c>
      <c r="E295" s="63">
        <v>0.33333333333333331</v>
      </c>
      <c r="F295" s="63">
        <v>0.33333333333333331</v>
      </c>
      <c r="G295" s="63">
        <v>0.29435813573180702</v>
      </c>
      <c r="H295" s="63">
        <v>0.16107931316434995</v>
      </c>
      <c r="I295" s="64">
        <v>8381.8518518518522</v>
      </c>
      <c r="J295" s="64">
        <v>-7777.5803722504234</v>
      </c>
      <c r="K295" s="63">
        <v>9.5890410958904104E-2</v>
      </c>
      <c r="L295" s="63">
        <v>0.25374761515399291</v>
      </c>
      <c r="M295" s="63">
        <v>0.22962660125374762</v>
      </c>
      <c r="N295" s="63">
        <v>0.55048335123523096</v>
      </c>
      <c r="O295" s="63">
        <v>0.42255192878338277</v>
      </c>
      <c r="P295" s="63">
        <v>0.44722222222222224</v>
      </c>
    </row>
    <row r="296" spans="1:16" x14ac:dyDescent="0.45">
      <c r="A296" s="65">
        <v>293</v>
      </c>
      <c r="B296" s="62">
        <v>-5.6843418860808015E-14</v>
      </c>
      <c r="C296" s="62">
        <v>-6.4668280842784996E-17</v>
      </c>
      <c r="D296" s="67">
        <v>2</v>
      </c>
      <c r="E296" s="63">
        <v>0.33333333333333331</v>
      </c>
      <c r="F296" s="63">
        <v>0.33333333333333331</v>
      </c>
      <c r="G296" s="63">
        <v>0.29448519424069547</v>
      </c>
      <c r="H296" s="63">
        <v>0.16109752784569412</v>
      </c>
      <c r="I296" s="64">
        <v>8378.7822878228781</v>
      </c>
      <c r="J296" s="64">
        <v>-7781.6188870151773</v>
      </c>
      <c r="K296" s="63">
        <v>9.556313993174062E-2</v>
      </c>
      <c r="L296" s="63">
        <v>0.25332790002716654</v>
      </c>
      <c r="M296" s="63">
        <v>0.2306438467807661</v>
      </c>
      <c r="N296" s="63">
        <v>0.55013404825737267</v>
      </c>
      <c r="O296" s="63">
        <v>0.42285041224970554</v>
      </c>
      <c r="P296" s="63">
        <v>0.44741697416974169</v>
      </c>
    </row>
    <row r="297" spans="1:16" x14ac:dyDescent="0.45">
      <c r="A297" s="65">
        <v>294</v>
      </c>
      <c r="B297" s="62">
        <v>-5.6843418860808015E-14</v>
      </c>
      <c r="C297" s="62">
        <v>-6.4448320703863964E-17</v>
      </c>
      <c r="D297" s="67">
        <v>2</v>
      </c>
      <c r="E297" s="63">
        <v>0.33333333333333331</v>
      </c>
      <c r="F297" s="63">
        <v>0.33333333333333331</v>
      </c>
      <c r="G297" s="63">
        <v>0.29459569280780168</v>
      </c>
      <c r="H297" s="63">
        <v>0.16131653799268589</v>
      </c>
      <c r="I297" s="64">
        <v>8375.2183908045972</v>
      </c>
      <c r="J297" s="64">
        <v>-7779.0931989924429</v>
      </c>
      <c r="K297" s="63">
        <v>9.5238095238095233E-2</v>
      </c>
      <c r="L297" s="63">
        <v>0.25369091155356899</v>
      </c>
      <c r="M297" s="63">
        <v>0.23052959501557632</v>
      </c>
      <c r="N297" s="63">
        <v>0.54991991457554723</v>
      </c>
      <c r="O297" s="63">
        <v>0.42303172737955347</v>
      </c>
      <c r="P297" s="63">
        <v>0.44689655172413795</v>
      </c>
    </row>
    <row r="298" spans="1:16" x14ac:dyDescent="0.45">
      <c r="A298" s="65">
        <v>295</v>
      </c>
      <c r="B298" s="62">
        <v>-5.3290705182007514E-14</v>
      </c>
      <c r="C298" s="62">
        <v>-6.0215486081364422E-17</v>
      </c>
      <c r="D298" s="67">
        <v>2</v>
      </c>
      <c r="E298" s="63">
        <v>0.33333333333333331</v>
      </c>
      <c r="F298" s="63">
        <v>0.33333333333333331</v>
      </c>
      <c r="G298" s="63">
        <v>0.29458620224112325</v>
      </c>
      <c r="H298" s="63">
        <v>0.16106385851221816</v>
      </c>
      <c r="I298" s="64">
        <v>8375.1604032997257</v>
      </c>
      <c r="J298" s="64">
        <v>-7780.469404861693</v>
      </c>
      <c r="K298" s="63">
        <v>9.4915254237288138E-2</v>
      </c>
      <c r="L298" s="63">
        <v>0.25367895234237881</v>
      </c>
      <c r="M298" s="63">
        <v>0.23059268259754287</v>
      </c>
      <c r="N298" s="63">
        <v>0.54976051091005851</v>
      </c>
      <c r="O298" s="63">
        <v>0.42271662763466045</v>
      </c>
      <c r="P298" s="63">
        <v>0.4477543538038497</v>
      </c>
    </row>
    <row r="299" spans="1:16" x14ac:dyDescent="0.45">
      <c r="A299" s="65">
        <v>296</v>
      </c>
      <c r="B299" s="62">
        <v>-5.3290705182007514E-14</v>
      </c>
      <c r="C299" s="62">
        <v>-6.00120553851436E-17</v>
      </c>
      <c r="D299" s="67">
        <v>2</v>
      </c>
      <c r="E299" s="63">
        <v>0.33333333333333331</v>
      </c>
      <c r="F299" s="63">
        <v>0.33333333333333331</v>
      </c>
      <c r="G299" s="63">
        <v>0.29457677297806484</v>
      </c>
      <c r="H299" s="63">
        <v>0.16108195397658459</v>
      </c>
      <c r="I299" s="64">
        <v>8372.86432160804</v>
      </c>
      <c r="J299" s="64">
        <v>-7776.1069340016711</v>
      </c>
      <c r="K299" s="63">
        <v>9.45945945945946E-2</v>
      </c>
      <c r="L299" s="63">
        <v>0.25366707038083702</v>
      </c>
      <c r="M299" s="63">
        <v>0.23078993406001885</v>
      </c>
      <c r="N299" s="63">
        <v>0.54960212201591507</v>
      </c>
      <c r="O299" s="63">
        <v>0.42215743440233239</v>
      </c>
      <c r="P299" s="63">
        <v>0.44769301050708088</v>
      </c>
    </row>
    <row r="300" spans="1:16" x14ac:dyDescent="0.45">
      <c r="A300" s="65">
        <v>297</v>
      </c>
      <c r="B300" s="62">
        <v>-5.6843418860808015E-14</v>
      </c>
      <c r="C300" s="62">
        <v>-6.37973275654411E-17</v>
      </c>
      <c r="D300" s="67">
        <v>2</v>
      </c>
      <c r="E300" s="63">
        <v>0.33333333333333331</v>
      </c>
      <c r="F300" s="63">
        <v>0.33333333333333331</v>
      </c>
      <c r="G300" s="63">
        <v>0.29460804087669762</v>
      </c>
      <c r="H300" s="63">
        <v>0.16108645959392229</v>
      </c>
      <c r="I300" s="64">
        <v>8392.6061159288001</v>
      </c>
      <c r="J300" s="64">
        <v>-7809.6828046744577</v>
      </c>
      <c r="K300" s="63">
        <v>9.5398428731762061E-2</v>
      </c>
      <c r="L300" s="63">
        <v>0.25359688046255208</v>
      </c>
      <c r="M300" s="63">
        <v>0.23060373806642465</v>
      </c>
      <c r="N300" s="63">
        <v>0.54984093319194061</v>
      </c>
      <c r="O300" s="63">
        <v>0.42215743440233239</v>
      </c>
      <c r="P300" s="63">
        <v>0.447740757644911</v>
      </c>
    </row>
    <row r="301" spans="1:16" x14ac:dyDescent="0.45">
      <c r="A301" s="65">
        <v>298</v>
      </c>
      <c r="B301" s="62">
        <v>-5.6843418860808015E-14</v>
      </c>
      <c r="C301" s="62">
        <v>-6.3583242573610754E-17</v>
      </c>
      <c r="D301" s="67">
        <v>2</v>
      </c>
      <c r="E301" s="63">
        <v>0.33333333333333331</v>
      </c>
      <c r="F301" s="63">
        <v>0.33333333333333331</v>
      </c>
      <c r="G301" s="63">
        <v>0.29471708232770177</v>
      </c>
      <c r="H301" s="63">
        <v>0.16103513006167874</v>
      </c>
      <c r="I301" s="64">
        <v>8391.5832575068252</v>
      </c>
      <c r="J301" s="64">
        <v>-7811.1573688592844</v>
      </c>
      <c r="K301" s="63">
        <v>9.507829977628636E-2</v>
      </c>
      <c r="L301" s="63">
        <v>0.25368731563421831</v>
      </c>
      <c r="M301" s="63">
        <v>0.23075891659962455</v>
      </c>
      <c r="N301" s="63">
        <v>0.55021141649048622</v>
      </c>
      <c r="O301" s="63">
        <v>0.42126670540383498</v>
      </c>
      <c r="P301" s="63">
        <v>0.44813466787989081</v>
      </c>
    </row>
    <row r="302" spans="1:16" x14ac:dyDescent="0.45">
      <c r="A302" s="65">
        <v>299</v>
      </c>
      <c r="B302" s="62">
        <v>-5.6843418860808015E-14</v>
      </c>
      <c r="C302" s="62">
        <v>-6.3370589588414731E-17</v>
      </c>
      <c r="D302" s="67">
        <v>2</v>
      </c>
      <c r="E302" s="63">
        <v>0.33333333333333331</v>
      </c>
      <c r="F302" s="63">
        <v>0.33333333333333331</v>
      </c>
      <c r="G302" s="63">
        <v>0.29476914865225512</v>
      </c>
      <c r="H302" s="63">
        <v>0.16092874299439552</v>
      </c>
      <c r="I302" s="64">
        <v>8399.0040742417386</v>
      </c>
      <c r="J302" s="64">
        <v>-7799.9170812603652</v>
      </c>
      <c r="K302" s="63">
        <v>9.4760312151616496E-2</v>
      </c>
      <c r="L302" s="63">
        <v>0.25353616226314385</v>
      </c>
      <c r="M302" s="63">
        <v>0.23138510808646917</v>
      </c>
      <c r="N302" s="63">
        <v>0.55052631578947364</v>
      </c>
      <c r="O302" s="63">
        <v>0.42099192618223757</v>
      </c>
      <c r="P302" s="63">
        <v>0.44861928474422813</v>
      </c>
    </row>
    <row r="303" spans="1:16" x14ac:dyDescent="0.45">
      <c r="A303" s="65">
        <v>300</v>
      </c>
      <c r="B303" s="62">
        <v>-5.8619775700208265E-14</v>
      </c>
      <c r="C303" s="62">
        <v>-6.5133084111342517E-17</v>
      </c>
      <c r="D303" s="67">
        <v>2</v>
      </c>
      <c r="E303" s="63">
        <v>0.33333333333333331</v>
      </c>
      <c r="F303" s="63">
        <v>0.33333333333333331</v>
      </c>
      <c r="G303" s="63">
        <v>0.29492291334396598</v>
      </c>
      <c r="H303" s="63">
        <v>0.16095162147793726</v>
      </c>
      <c r="I303" s="64">
        <v>8402.2532672374946</v>
      </c>
      <c r="J303" s="64">
        <v>-7805.4500412881916</v>
      </c>
      <c r="K303" s="63">
        <v>9.4444444444444442E-2</v>
      </c>
      <c r="L303" s="63">
        <v>0.2534556087187666</v>
      </c>
      <c r="M303" s="63">
        <v>0.23152578415736311</v>
      </c>
      <c r="N303" s="63">
        <v>0.55112742527530156</v>
      </c>
      <c r="O303" s="63">
        <v>0.42078071182548793</v>
      </c>
      <c r="P303" s="63">
        <v>0.44885083370887785</v>
      </c>
    </row>
    <row r="304" spans="1:16" x14ac:dyDescent="0.45">
      <c r="A304" s="65">
        <v>301</v>
      </c>
      <c r="B304" s="62">
        <v>-5.6843418860808015E-14</v>
      </c>
      <c r="C304" s="62">
        <v>-6.2949522547960147E-17</v>
      </c>
      <c r="D304" s="67">
        <v>2</v>
      </c>
      <c r="E304" s="63">
        <v>0.33333333333333331</v>
      </c>
      <c r="F304" s="63">
        <v>0.33333333333333331</v>
      </c>
      <c r="G304" s="63">
        <v>0.29501458499071864</v>
      </c>
      <c r="H304" s="63">
        <v>0.16083267037920976</v>
      </c>
      <c r="I304" s="64">
        <v>8403.7752808988771</v>
      </c>
      <c r="J304" s="64">
        <v>-7805.2761747732893</v>
      </c>
      <c r="K304" s="63">
        <v>9.413067552602436E-2</v>
      </c>
      <c r="L304" s="63">
        <v>0.25351365685494565</v>
      </c>
      <c r="M304" s="63">
        <v>0.23150357995226731</v>
      </c>
      <c r="N304" s="63">
        <v>0.55177824267782427</v>
      </c>
      <c r="O304" s="63">
        <v>0.42096219931271478</v>
      </c>
      <c r="P304" s="63">
        <v>0.449438202247191</v>
      </c>
    </row>
    <row r="305" spans="1:16" x14ac:dyDescent="0.45">
      <c r="A305" s="65">
        <v>302</v>
      </c>
      <c r="B305" s="62">
        <v>-5.6843418860808015E-14</v>
      </c>
      <c r="C305" s="62">
        <v>-6.2741080420317897E-17</v>
      </c>
      <c r="D305" s="67">
        <v>2</v>
      </c>
      <c r="E305" s="63">
        <v>0.33333333333333331</v>
      </c>
      <c r="F305" s="63">
        <v>0.33333333333333331</v>
      </c>
      <c r="G305" s="63">
        <v>0.29513613534232092</v>
      </c>
      <c r="H305" s="63">
        <v>0.16098334655035687</v>
      </c>
      <c r="I305" s="64">
        <v>8387.8190774742507</v>
      </c>
      <c r="J305" s="64">
        <v>-7788.5878489326769</v>
      </c>
      <c r="K305" s="63">
        <v>9.3818984547461362E-2</v>
      </c>
      <c r="L305" s="63">
        <v>0.25350251123446998</v>
      </c>
      <c r="M305" s="63">
        <v>0.23156225218080889</v>
      </c>
      <c r="N305" s="63">
        <v>0.55161626694473409</v>
      </c>
      <c r="O305" s="63">
        <v>0.42123287671232879</v>
      </c>
      <c r="P305" s="63">
        <v>0.44917151813703537</v>
      </c>
    </row>
    <row r="306" spans="1:16" x14ac:dyDescent="0.45">
      <c r="A306" s="65">
        <v>303</v>
      </c>
      <c r="B306" s="62">
        <v>-5.3290705182007514E-14</v>
      </c>
      <c r="C306" s="62">
        <v>-5.8625638264034663E-17</v>
      </c>
      <c r="D306" s="67">
        <v>2</v>
      </c>
      <c r="E306" s="63">
        <v>0.33333333333333331</v>
      </c>
      <c r="F306" s="63">
        <v>0.33333333333333331</v>
      </c>
      <c r="G306" s="63">
        <v>0.29483642096964918</v>
      </c>
      <c r="H306" s="63">
        <v>0.1610826435422415</v>
      </c>
      <c r="I306" s="64">
        <v>8379.7682709447417</v>
      </c>
      <c r="J306" s="64">
        <v>-7786.0522022838495</v>
      </c>
      <c r="K306" s="63">
        <v>9.3509350935093508E-2</v>
      </c>
      <c r="L306" s="63">
        <v>0.25331756667980554</v>
      </c>
      <c r="M306" s="63">
        <v>0.2317698068584943</v>
      </c>
      <c r="N306" s="63">
        <v>0.55186721991701249</v>
      </c>
      <c r="O306" s="63">
        <v>0.42006802721088438</v>
      </c>
      <c r="P306" s="63">
        <v>0.44830659536541889</v>
      </c>
    </row>
    <row r="307" spans="1:16" x14ac:dyDescent="0.45">
      <c r="A307" s="65">
        <v>304</v>
      </c>
      <c r="B307" s="62">
        <v>-5.3290705182007514E-14</v>
      </c>
      <c r="C307" s="62">
        <v>-5.8432790769745078E-17</v>
      </c>
      <c r="D307" s="67">
        <v>2</v>
      </c>
      <c r="E307" s="63">
        <v>0.33333333333333331</v>
      </c>
      <c r="F307" s="63">
        <v>0.33333333333333331</v>
      </c>
      <c r="G307" s="63">
        <v>0.2945797329143755</v>
      </c>
      <c r="H307" s="63">
        <v>0.16090599633411887</v>
      </c>
      <c r="I307" s="64">
        <v>8381.8666666666668</v>
      </c>
      <c r="J307" s="64">
        <v>-7789.5036615134259</v>
      </c>
      <c r="K307" s="63">
        <v>9.3201754385964911E-2</v>
      </c>
      <c r="L307" s="63">
        <v>0.25320764598062317</v>
      </c>
      <c r="M307" s="63">
        <v>0.23173605655930871</v>
      </c>
      <c r="N307" s="63">
        <v>0.55170630816959665</v>
      </c>
      <c r="O307" s="63">
        <v>0.41977401129943503</v>
      </c>
      <c r="P307" s="63">
        <v>0.44844444444444442</v>
      </c>
    </row>
    <row r="308" spans="1:16" x14ac:dyDescent="0.45">
      <c r="A308" s="65">
        <v>305</v>
      </c>
      <c r="B308" s="62">
        <v>-5.9729998724833422E-14</v>
      </c>
      <c r="C308" s="62">
        <v>-6.5278687130965494E-17</v>
      </c>
      <c r="D308" s="67">
        <v>2</v>
      </c>
      <c r="E308" s="63">
        <v>0.33333333333333331</v>
      </c>
      <c r="F308" s="63">
        <v>0.33333333333333331</v>
      </c>
      <c r="G308" s="63">
        <v>0.29468599033816423</v>
      </c>
      <c r="H308" s="63">
        <v>0.16085650868259563</v>
      </c>
      <c r="I308" s="64">
        <v>8384.9800620292426</v>
      </c>
      <c r="J308" s="64">
        <v>-7799.431818181818</v>
      </c>
      <c r="K308" s="63">
        <v>9.2896174863387984E-2</v>
      </c>
      <c r="L308" s="63">
        <v>0.25316620968794884</v>
      </c>
      <c r="M308" s="63">
        <v>0.23214518866692779</v>
      </c>
      <c r="N308" s="63">
        <v>0.55183084063950494</v>
      </c>
      <c r="O308" s="63">
        <v>0.41957255343082117</v>
      </c>
      <c r="P308" s="63">
        <v>0.44882587505538324</v>
      </c>
    </row>
    <row r="309" spans="1:16" x14ac:dyDescent="0.45">
      <c r="A309" s="65">
        <v>306</v>
      </c>
      <c r="B309" s="62">
        <v>-6.3948846218409017E-14</v>
      </c>
      <c r="C309" s="62">
        <v>-6.9661052525500017E-17</v>
      </c>
      <c r="D309" s="67">
        <v>2</v>
      </c>
      <c r="E309" s="63">
        <v>0.33333333333333331</v>
      </c>
      <c r="F309" s="63">
        <v>0.33333333333333331</v>
      </c>
      <c r="G309" s="63">
        <v>0.29477660544483525</v>
      </c>
      <c r="H309" s="63">
        <v>0.16087013156180799</v>
      </c>
      <c r="I309" s="64">
        <v>8389.3946089262045</v>
      </c>
      <c r="J309" s="64">
        <v>-7797.894736842105</v>
      </c>
      <c r="K309" s="63">
        <v>9.2592592592592587E-2</v>
      </c>
      <c r="L309" s="63">
        <v>0.25283313794450957</v>
      </c>
      <c r="M309" s="63">
        <v>0.23238244105770484</v>
      </c>
      <c r="N309" s="63">
        <v>0.55229263266357542</v>
      </c>
      <c r="O309" s="63">
        <v>0.41984304932735428</v>
      </c>
      <c r="P309" s="63">
        <v>0.4489615554573575</v>
      </c>
    </row>
    <row r="310" spans="1:16" x14ac:dyDescent="0.45">
      <c r="A310" s="65">
        <v>307</v>
      </c>
      <c r="B310" s="62">
        <v>-6.3948846218409017E-14</v>
      </c>
      <c r="C310" s="62">
        <v>-6.9434143559618905E-17</v>
      </c>
      <c r="D310" s="67">
        <v>2</v>
      </c>
      <c r="E310" s="63">
        <v>0.33333333333333331</v>
      </c>
      <c r="F310" s="63">
        <v>0.33333333333333331</v>
      </c>
      <c r="G310" s="63">
        <v>0.2947669133878717</v>
      </c>
      <c r="H310" s="63">
        <v>0.16114790286975716</v>
      </c>
      <c r="I310" s="64">
        <v>8377.444933920704</v>
      </c>
      <c r="J310" s="64">
        <v>-7784.4480257856567</v>
      </c>
      <c r="K310" s="63">
        <v>9.2290988056460369E-2</v>
      </c>
      <c r="L310" s="63">
        <v>0.25230489546812102</v>
      </c>
      <c r="M310" s="63">
        <v>0.23243734579924685</v>
      </c>
      <c r="N310" s="63">
        <v>0.55172413793103448</v>
      </c>
      <c r="O310" s="63">
        <v>0.41899441340782123</v>
      </c>
      <c r="P310" s="63">
        <v>0.44801762114537447</v>
      </c>
    </row>
    <row r="311" spans="1:16" x14ac:dyDescent="0.45">
      <c r="A311" s="65">
        <v>308</v>
      </c>
      <c r="B311" s="62">
        <v>-6.3948846218409017E-14</v>
      </c>
      <c r="C311" s="62">
        <v>-6.9208708028581185E-17</v>
      </c>
      <c r="D311" s="67">
        <v>2</v>
      </c>
      <c r="E311" s="63">
        <v>0.33333333333333331</v>
      </c>
      <c r="F311" s="63">
        <v>0.33333333333333331</v>
      </c>
      <c r="G311" s="63">
        <v>0.29474229474229474</v>
      </c>
      <c r="H311" s="63">
        <v>0.16109816109816111</v>
      </c>
      <c r="I311" s="64">
        <v>8371.0456942003511</v>
      </c>
      <c r="J311" s="64">
        <v>-7779.2604501607721</v>
      </c>
      <c r="K311" s="63">
        <v>9.3073593073593072E-2</v>
      </c>
      <c r="L311" s="63">
        <v>0.25161875161875163</v>
      </c>
      <c r="M311" s="63">
        <v>0.23271173271173271</v>
      </c>
      <c r="N311" s="63">
        <v>0.55172413793103448</v>
      </c>
      <c r="O311" s="63">
        <v>0.42014468558708962</v>
      </c>
      <c r="P311" s="63">
        <v>0.44815465729349735</v>
      </c>
    </row>
    <row r="312" spans="1:16" x14ac:dyDescent="0.45">
      <c r="A312" s="65">
        <v>309</v>
      </c>
      <c r="B312" s="62">
        <v>-6.3948846218409017E-14</v>
      </c>
      <c r="C312" s="62">
        <v>-6.8984731627194187E-17</v>
      </c>
      <c r="D312" s="67">
        <v>2</v>
      </c>
      <c r="E312" s="63">
        <v>0.33333333333333331</v>
      </c>
      <c r="F312" s="63">
        <v>0.33333333333333331</v>
      </c>
      <c r="G312" s="63">
        <v>0.29463364293085653</v>
      </c>
      <c r="H312" s="63">
        <v>0.1609907120743034</v>
      </c>
      <c r="I312" s="64">
        <v>8369.7460595446591</v>
      </c>
      <c r="J312" s="64">
        <v>-7782.8525641025644</v>
      </c>
      <c r="K312" s="63">
        <v>9.2772384034519956E-2</v>
      </c>
      <c r="L312" s="63">
        <v>0.25154798761609909</v>
      </c>
      <c r="M312" s="63">
        <v>0.23271413828689372</v>
      </c>
      <c r="N312" s="63">
        <v>0.55179487179487174</v>
      </c>
      <c r="O312" s="63">
        <v>0.42017738359201773</v>
      </c>
      <c r="P312" s="63">
        <v>0.44833625218914186</v>
      </c>
    </row>
    <row r="313" spans="1:16" x14ac:dyDescent="0.45">
      <c r="A313" s="65">
        <v>310</v>
      </c>
      <c r="B313" s="62">
        <v>-6.3948846218409017E-14</v>
      </c>
      <c r="C313" s="62">
        <v>-6.8762200234848408E-17</v>
      </c>
      <c r="D313" s="67">
        <v>2</v>
      </c>
      <c r="E313" s="63">
        <v>0.33333333333333331</v>
      </c>
      <c r="F313" s="63">
        <v>0.33333333333333331</v>
      </c>
      <c r="G313" s="63">
        <v>0.29475308641975306</v>
      </c>
      <c r="H313" s="63">
        <v>0.1610082304526749</v>
      </c>
      <c r="I313" s="64">
        <v>8385.6020942408377</v>
      </c>
      <c r="J313" s="64">
        <v>-7795.766773162939</v>
      </c>
      <c r="K313" s="63">
        <v>9.2473118279569888E-2</v>
      </c>
      <c r="L313" s="63">
        <v>0.25141460905349794</v>
      </c>
      <c r="M313" s="63">
        <v>0.23251028806584362</v>
      </c>
      <c r="N313" s="63">
        <v>0.55242966751918154</v>
      </c>
      <c r="O313" s="63">
        <v>0.41980088495575218</v>
      </c>
      <c r="P313" s="63">
        <v>0.44851657940663175</v>
      </c>
    </row>
    <row r="314" spans="1:16" x14ac:dyDescent="0.45">
      <c r="A314" s="65">
        <v>311</v>
      </c>
      <c r="B314" s="62">
        <v>-6.4837024638109142E-14</v>
      </c>
      <c r="C314" s="62">
        <v>-6.9493059633557494E-17</v>
      </c>
      <c r="D314" s="67">
        <v>2</v>
      </c>
      <c r="E314" s="63">
        <v>0.33333333333333331</v>
      </c>
      <c r="F314" s="63">
        <v>0.33333333333333331</v>
      </c>
      <c r="G314" s="63">
        <v>0.29466000768344219</v>
      </c>
      <c r="H314" s="63">
        <v>0.16122422845434756</v>
      </c>
      <c r="I314" s="64">
        <v>8388.8309430682311</v>
      </c>
      <c r="J314" s="64">
        <v>-7800.7942811755365</v>
      </c>
      <c r="K314" s="63">
        <v>9.2175777063236874E-2</v>
      </c>
      <c r="L314" s="63">
        <v>0.25150467409399413</v>
      </c>
      <c r="M314" s="63">
        <v>0.2320399538993469</v>
      </c>
      <c r="N314" s="63">
        <v>0.55193482688391038</v>
      </c>
      <c r="O314" s="63">
        <v>0.41997792494481234</v>
      </c>
      <c r="P314" s="63">
        <v>0.44763146458061714</v>
      </c>
    </row>
    <row r="315" spans="1:16" x14ac:dyDescent="0.45">
      <c r="A315" s="65">
        <v>312</v>
      </c>
      <c r="B315" s="62">
        <v>-6.3948846218409017E-14</v>
      </c>
      <c r="C315" s="62">
        <v>-6.8321416900009637E-17</v>
      </c>
      <c r="D315" s="67">
        <v>2</v>
      </c>
      <c r="E315" s="63">
        <v>0.33333333333333331</v>
      </c>
      <c r="F315" s="63">
        <v>0.33333333333333331</v>
      </c>
      <c r="G315" s="63">
        <v>0.29468044393417525</v>
      </c>
      <c r="H315" s="63">
        <v>0.16150019135093763</v>
      </c>
      <c r="I315" s="64">
        <v>8383.4632034632032</v>
      </c>
      <c r="J315" s="64">
        <v>-7791.7061611374411</v>
      </c>
      <c r="K315" s="63">
        <v>9.2948717948717952E-2</v>
      </c>
      <c r="L315" s="63">
        <v>0.25143513203214696</v>
      </c>
      <c r="M315" s="63">
        <v>0.23204490368669473</v>
      </c>
      <c r="N315" s="63">
        <v>0.55149670218163371</v>
      </c>
      <c r="O315" s="63">
        <v>0.4194612424409016</v>
      </c>
      <c r="P315" s="63">
        <v>0.44675324675324674</v>
      </c>
    </row>
    <row r="316" spans="1:16" x14ac:dyDescent="0.45">
      <c r="A316" s="65">
        <v>313</v>
      </c>
      <c r="B316" s="62">
        <v>-6.3948846218409017E-14</v>
      </c>
      <c r="C316" s="62">
        <v>-6.8103137612789152E-17</v>
      </c>
      <c r="D316" s="67">
        <v>2</v>
      </c>
      <c r="E316" s="63">
        <v>0.33333333333333331</v>
      </c>
      <c r="F316" s="63">
        <v>0.33333333333333331</v>
      </c>
      <c r="G316" s="63">
        <v>0.29476899579992366</v>
      </c>
      <c r="H316" s="63">
        <v>0.16138475245004455</v>
      </c>
      <c r="I316" s="64">
        <v>8387.5647668393776</v>
      </c>
      <c r="J316" s="64">
        <v>-7800.6309148264982</v>
      </c>
      <c r="K316" s="63">
        <v>9.2651757188498399E-2</v>
      </c>
      <c r="L316" s="63">
        <v>0.25111365661193841</v>
      </c>
      <c r="M316" s="63">
        <v>0.23189512536591575</v>
      </c>
      <c r="N316" s="63">
        <v>0.55144450076026352</v>
      </c>
      <c r="O316" s="63">
        <v>0.41931942919868276</v>
      </c>
      <c r="P316" s="63">
        <v>0.44732297063903281</v>
      </c>
    </row>
    <row r="317" spans="1:16" x14ac:dyDescent="0.45">
      <c r="A317" s="65">
        <v>314</v>
      </c>
      <c r="B317" s="62">
        <v>-5.6843418860808015E-14</v>
      </c>
      <c r="C317" s="62">
        <v>-6.0343332124000015E-17</v>
      </c>
      <c r="D317" s="67">
        <v>2</v>
      </c>
      <c r="E317" s="63">
        <v>0.33333333333333331</v>
      </c>
      <c r="F317" s="63">
        <v>0.33333333333333331</v>
      </c>
      <c r="G317" s="63">
        <v>0.29478889311525297</v>
      </c>
      <c r="H317" s="63">
        <v>0.16140484341321162</v>
      </c>
      <c r="I317" s="64">
        <v>8389.1182795698933</v>
      </c>
      <c r="J317" s="64">
        <v>-7801.0212097407702</v>
      </c>
      <c r="K317" s="63">
        <v>9.3418259023354558E-2</v>
      </c>
      <c r="L317" s="63">
        <v>0.25091923418283252</v>
      </c>
      <c r="M317" s="63">
        <v>0.23177380499556233</v>
      </c>
      <c r="N317" s="63">
        <v>0.55179383527033854</v>
      </c>
      <c r="O317" s="63">
        <v>0.41958424507658643</v>
      </c>
      <c r="P317" s="63">
        <v>0.44731182795698926</v>
      </c>
    </row>
    <row r="318" spans="1:16" x14ac:dyDescent="0.45">
      <c r="A318" s="65">
        <v>315</v>
      </c>
      <c r="B318" s="62">
        <v>-5.773159728050814E-14</v>
      </c>
      <c r="C318" s="62">
        <v>-6.1091637333871044E-17</v>
      </c>
      <c r="D318" s="67">
        <v>2</v>
      </c>
      <c r="E318" s="63">
        <v>0.33333333333333331</v>
      </c>
      <c r="F318" s="63">
        <v>0.33333333333333331</v>
      </c>
      <c r="G318" s="63">
        <v>0.29477942105928456</v>
      </c>
      <c r="H318" s="63">
        <v>0.16154721274175199</v>
      </c>
      <c r="I318" s="64">
        <v>8380.102915951973</v>
      </c>
      <c r="J318" s="64">
        <v>-7784.2723004694835</v>
      </c>
      <c r="K318" s="63">
        <v>9.3121693121693119E-2</v>
      </c>
      <c r="L318" s="63">
        <v>0.25079003918594361</v>
      </c>
      <c r="M318" s="63">
        <v>0.23208191126279865</v>
      </c>
      <c r="N318" s="63">
        <v>0.55241935483870963</v>
      </c>
      <c r="O318" s="63">
        <v>0.41884531590413943</v>
      </c>
      <c r="P318" s="63">
        <v>0.44682675814751288</v>
      </c>
    </row>
    <row r="319" spans="1:16" x14ac:dyDescent="0.45">
      <c r="A319" s="65">
        <v>316</v>
      </c>
      <c r="B319" s="62">
        <v>-6.0396132539608516E-14</v>
      </c>
      <c r="C319" s="62">
        <v>-6.3709000569207294E-17</v>
      </c>
      <c r="D319" s="67">
        <v>2</v>
      </c>
      <c r="E319" s="63">
        <v>0.33333333333333331</v>
      </c>
      <c r="F319" s="63">
        <v>0.33333333333333331</v>
      </c>
      <c r="G319" s="63">
        <v>0.29488149268784669</v>
      </c>
      <c r="H319" s="63">
        <v>0.1616238023197176</v>
      </c>
      <c r="I319" s="64">
        <v>8370.6284737067126</v>
      </c>
      <c r="J319" s="64">
        <v>-7774.9609984399376</v>
      </c>
      <c r="K319" s="63">
        <v>9.2827004219409287E-2</v>
      </c>
      <c r="L319" s="63">
        <v>0.25037821482602118</v>
      </c>
      <c r="M319" s="63">
        <v>0.23234997478567826</v>
      </c>
      <c r="N319" s="63">
        <v>0.55287009063444104</v>
      </c>
      <c r="O319" s="63">
        <v>0.41888225718936517</v>
      </c>
      <c r="P319" s="63">
        <v>0.4467721248396751</v>
      </c>
    </row>
    <row r="320" spans="1:16" x14ac:dyDescent="0.45">
      <c r="A320" s="65">
        <v>317</v>
      </c>
      <c r="B320" s="62">
        <v>-6.3948846218409017E-14</v>
      </c>
      <c r="C320" s="62">
        <v>-6.7243792027769735E-17</v>
      </c>
      <c r="D320" s="67">
        <v>2</v>
      </c>
      <c r="E320" s="63">
        <v>0.33333333333333331</v>
      </c>
      <c r="F320" s="63">
        <v>0.33333333333333331</v>
      </c>
      <c r="G320" s="63">
        <v>0.29498302527348169</v>
      </c>
      <c r="H320" s="63">
        <v>0.16144850999622784</v>
      </c>
      <c r="I320" s="64">
        <v>8369.0537084398984</v>
      </c>
      <c r="J320" s="64">
        <v>-7769.3925233644859</v>
      </c>
      <c r="K320" s="63">
        <v>9.2534174553101992E-2</v>
      </c>
      <c r="L320" s="63">
        <v>0.25022004275116311</v>
      </c>
      <c r="M320" s="63">
        <v>0.23261662265811645</v>
      </c>
      <c r="N320" s="63">
        <v>0.55276381909547734</v>
      </c>
      <c r="O320" s="63">
        <v>0.41837837837837838</v>
      </c>
      <c r="P320" s="63">
        <v>0.4475703324808184</v>
      </c>
    </row>
    <row r="321" spans="1:16" x14ac:dyDescent="0.45">
      <c r="A321" s="65">
        <v>318</v>
      </c>
      <c r="B321" s="62">
        <v>-6.7501559897209518E-14</v>
      </c>
      <c r="C321" s="62">
        <v>-7.0756352093511026E-17</v>
      </c>
      <c r="D321" s="67">
        <v>2</v>
      </c>
      <c r="E321" s="63">
        <v>0.33333333333333331</v>
      </c>
      <c r="F321" s="63">
        <v>0.33333333333333331</v>
      </c>
      <c r="G321" s="63">
        <v>0.29509840792277797</v>
      </c>
      <c r="H321" s="63">
        <v>0.16121348878024319</v>
      </c>
      <c r="I321" s="64">
        <v>8366.3551401869154</v>
      </c>
      <c r="J321" s="64">
        <v>-7764.5412130637633</v>
      </c>
      <c r="K321" s="63">
        <v>9.2243186582809222E-2</v>
      </c>
      <c r="L321" s="63">
        <v>0.25047010154193305</v>
      </c>
      <c r="M321" s="63">
        <v>0.23229284192052149</v>
      </c>
      <c r="N321" s="63">
        <v>0.55355355355355351</v>
      </c>
      <c r="O321" s="63">
        <v>0.41878035617916892</v>
      </c>
      <c r="P321" s="63">
        <v>0.44859813084112149</v>
      </c>
    </row>
    <row r="322" spans="1:16" x14ac:dyDescent="0.45">
      <c r="A322" s="65">
        <v>319</v>
      </c>
      <c r="B322" s="62">
        <v>-6.3948846218409017E-14</v>
      </c>
      <c r="C322" s="62">
        <v>-6.6822200855181839E-17</v>
      </c>
      <c r="D322" s="67">
        <v>2</v>
      </c>
      <c r="E322" s="63">
        <v>0.33333333333333331</v>
      </c>
      <c r="F322" s="63">
        <v>0.33333333333333331</v>
      </c>
      <c r="G322" s="63">
        <v>0.2951024487756122</v>
      </c>
      <c r="H322" s="63">
        <v>0.1612943528235882</v>
      </c>
      <c r="I322" s="64">
        <v>8356.1812023708717</v>
      </c>
      <c r="J322" s="64">
        <v>-7760.2633617350893</v>
      </c>
      <c r="K322" s="63">
        <v>9.1954022988505746E-2</v>
      </c>
      <c r="L322" s="63">
        <v>0.25037481259370314</v>
      </c>
      <c r="M322" s="63">
        <v>0.23213393303348326</v>
      </c>
      <c r="N322" s="63">
        <v>0.55289421157684626</v>
      </c>
      <c r="O322" s="63">
        <v>0.41980624327233584</v>
      </c>
      <c r="P322" s="63">
        <v>0.4483488569009314</v>
      </c>
    </row>
    <row r="323" spans="1:16" x14ac:dyDescent="0.45">
      <c r="A323" s="65">
        <v>320</v>
      </c>
      <c r="B323" s="62">
        <v>-6.3948846218409017E-14</v>
      </c>
      <c r="C323" s="62">
        <v>-6.661338147750939E-17</v>
      </c>
      <c r="D323" s="67">
        <v>2</v>
      </c>
      <c r="E323" s="63">
        <v>0.33333333333333331</v>
      </c>
      <c r="F323" s="63">
        <v>0.33333333333333331</v>
      </c>
      <c r="G323" s="63">
        <v>0.29509217737917287</v>
      </c>
      <c r="H323" s="63">
        <v>0.16118584952665671</v>
      </c>
      <c r="I323" s="64">
        <v>8357.7036724356276</v>
      </c>
      <c r="J323" s="64">
        <v>-7770.788253477589</v>
      </c>
      <c r="K323" s="63">
        <v>9.166666666666666E-2</v>
      </c>
      <c r="L323" s="63">
        <v>0.25062282012954656</v>
      </c>
      <c r="M323" s="63">
        <v>0.23231190832087692</v>
      </c>
      <c r="N323" s="63">
        <v>0.55218687872763417</v>
      </c>
      <c r="O323" s="63">
        <v>0.41983914209115281</v>
      </c>
      <c r="P323" s="63">
        <v>0.4487125369354158</v>
      </c>
    </row>
    <row r="324" spans="1:16" x14ac:dyDescent="0.45">
      <c r="A324" s="65">
        <v>321</v>
      </c>
      <c r="B324" s="62">
        <v>-6.3948846218409017E-14</v>
      </c>
      <c r="C324" s="62">
        <v>-6.6405863155149545E-17</v>
      </c>
      <c r="D324" s="67">
        <v>2</v>
      </c>
      <c r="E324" s="63">
        <v>0.33333333333333331</v>
      </c>
      <c r="F324" s="63">
        <v>0.33333333333333331</v>
      </c>
      <c r="G324" s="63">
        <v>0.29483358171882762</v>
      </c>
      <c r="H324" s="63">
        <v>0.16082960755091902</v>
      </c>
      <c r="I324" s="64">
        <v>8375.4844144903109</v>
      </c>
      <c r="J324" s="64">
        <v>-7774.0540540540542</v>
      </c>
      <c r="K324" s="63">
        <v>9.138110072689512E-2</v>
      </c>
      <c r="L324" s="63">
        <v>0.25074515648286139</v>
      </c>
      <c r="M324" s="63">
        <v>0.23224043715846995</v>
      </c>
      <c r="N324" s="63">
        <v>0.55175829618623085</v>
      </c>
      <c r="O324" s="63">
        <v>0.41925133689839572</v>
      </c>
      <c r="P324" s="63">
        <v>0.44945240101095196</v>
      </c>
    </row>
    <row r="325" spans="1:16" x14ac:dyDescent="0.45">
      <c r="A325" s="65">
        <v>322</v>
      </c>
      <c r="B325" s="62">
        <v>-6.3948846218409017E-14</v>
      </c>
      <c r="C325" s="62">
        <v>-6.6199633766468963E-17</v>
      </c>
      <c r="D325" s="67">
        <v>2</v>
      </c>
      <c r="E325" s="63">
        <v>0.33333333333333331</v>
      </c>
      <c r="F325" s="63">
        <v>0.33333333333333331</v>
      </c>
      <c r="G325" s="63">
        <v>0.29489087301587302</v>
      </c>
      <c r="H325" s="63">
        <v>0.16083829365079366</v>
      </c>
      <c r="I325" s="64">
        <v>8380.3195962994105</v>
      </c>
      <c r="J325" s="64">
        <v>-7785.1966075558985</v>
      </c>
      <c r="K325" s="63">
        <v>9.213250517598344E-2</v>
      </c>
      <c r="L325" s="63">
        <v>0.25074404761904762</v>
      </c>
      <c r="M325" s="63">
        <v>0.23214285714285715</v>
      </c>
      <c r="N325" s="63">
        <v>0.55192878338278928</v>
      </c>
      <c r="O325" s="63">
        <v>0.41933760683760685</v>
      </c>
      <c r="P325" s="63">
        <v>0.44953742640874683</v>
      </c>
    </row>
    <row r="326" spans="1:16" x14ac:dyDescent="0.45">
      <c r="A326" s="65">
        <v>323</v>
      </c>
      <c r="B326" s="62">
        <v>-6.3948846218409017E-14</v>
      </c>
      <c r="C326" s="62">
        <v>-6.5994681339947383E-17</v>
      </c>
      <c r="D326" s="67">
        <v>2</v>
      </c>
      <c r="E326" s="63">
        <v>0.33333333333333331</v>
      </c>
      <c r="F326" s="63">
        <v>0.33333333333333331</v>
      </c>
      <c r="G326" s="63">
        <v>0.29489556297120256</v>
      </c>
      <c r="H326" s="63">
        <v>0.16104313434680509</v>
      </c>
      <c r="I326" s="64">
        <v>8399.4132439228833</v>
      </c>
      <c r="J326" s="64">
        <v>-7808.1350729086726</v>
      </c>
      <c r="K326" s="63">
        <v>9.2879256965944276E-2</v>
      </c>
      <c r="L326" s="63">
        <v>0.25052527499691013</v>
      </c>
      <c r="M326" s="63">
        <v>0.23198615745890497</v>
      </c>
      <c r="N326" s="63">
        <v>0.55155402072027626</v>
      </c>
      <c r="O326" s="63">
        <v>0.41981885988279166</v>
      </c>
      <c r="P326" s="63">
        <v>0.44886839899413244</v>
      </c>
    </row>
    <row r="327" spans="1:16" x14ac:dyDescent="0.45">
      <c r="A327" s="65">
        <v>324</v>
      </c>
      <c r="B327" s="62">
        <v>-6.3948846218409017E-14</v>
      </c>
      <c r="C327" s="62">
        <v>-6.5790994051861125E-17</v>
      </c>
      <c r="D327" s="67">
        <v>2</v>
      </c>
      <c r="E327" s="63">
        <v>0.33333333333333331</v>
      </c>
      <c r="F327" s="63">
        <v>0.33333333333333331</v>
      </c>
      <c r="G327" s="63">
        <v>0.29499506903353057</v>
      </c>
      <c r="H327" s="63">
        <v>0.16074950690335305</v>
      </c>
      <c r="I327" s="64">
        <v>8404.1788549937319</v>
      </c>
      <c r="J327" s="64">
        <v>-7811.3496932515336</v>
      </c>
      <c r="K327" s="63">
        <v>9.2592592592592587E-2</v>
      </c>
      <c r="L327" s="63">
        <v>0.25098619329388561</v>
      </c>
      <c r="M327" s="63">
        <v>0.23187869822485208</v>
      </c>
      <c r="N327" s="63">
        <v>0.55108055009823187</v>
      </c>
      <c r="O327" s="63">
        <v>0.41998936735778841</v>
      </c>
      <c r="P327" s="63">
        <v>0.45006268282490597</v>
      </c>
    </row>
    <row r="328" spans="1:16" x14ac:dyDescent="0.45">
      <c r="A328" s="65">
        <v>325</v>
      </c>
      <c r="B328" s="62">
        <v>-6.3948846218409017E-14</v>
      </c>
      <c r="C328" s="62">
        <v>-6.5588560224009254E-17</v>
      </c>
      <c r="D328" s="67">
        <v>2</v>
      </c>
      <c r="E328" s="63">
        <v>0.33333333333333331</v>
      </c>
      <c r="F328" s="63">
        <v>0.33333333333333331</v>
      </c>
      <c r="G328" s="63">
        <v>0.29497110537317101</v>
      </c>
      <c r="H328" s="63">
        <v>0.16082626337144965</v>
      </c>
      <c r="I328" s="64">
        <v>8422.4260108378494</v>
      </c>
      <c r="J328" s="64">
        <v>-7844.1896024464831</v>
      </c>
      <c r="K328" s="63">
        <v>9.3333333333333338E-2</v>
      </c>
      <c r="L328" s="63">
        <v>0.25070699618836839</v>
      </c>
      <c r="M328" s="63">
        <v>0.23189474978482724</v>
      </c>
      <c r="N328" s="63">
        <v>0.55076017655713583</v>
      </c>
      <c r="O328" s="63">
        <v>0.41993637327677624</v>
      </c>
      <c r="P328" s="63">
        <v>0.44977073780741977</v>
      </c>
    </row>
    <row r="329" spans="1:16" x14ac:dyDescent="0.45">
      <c r="A329" s="65">
        <v>326</v>
      </c>
      <c r="B329" s="62">
        <v>-6.3948846218409017E-14</v>
      </c>
      <c r="C329" s="62">
        <v>-6.5387368321481617E-17</v>
      </c>
      <c r="D329" s="67">
        <v>2</v>
      </c>
      <c r="E329" s="63">
        <v>0.33333333333333331</v>
      </c>
      <c r="F329" s="63">
        <v>0.33333333333333331</v>
      </c>
      <c r="G329" s="63">
        <v>0.29452809401395519</v>
      </c>
      <c r="H329" s="63">
        <v>0.16023993144815768</v>
      </c>
      <c r="I329" s="64">
        <v>8422.6932668329173</v>
      </c>
      <c r="J329" s="64">
        <v>-7839.1902215431628</v>
      </c>
      <c r="K329" s="63">
        <v>9.3047034764826175E-2</v>
      </c>
      <c r="L329" s="63">
        <v>0.25058146651976987</v>
      </c>
      <c r="M329" s="63">
        <v>0.23197453788713429</v>
      </c>
      <c r="N329" s="63">
        <v>0.54958475818270636</v>
      </c>
      <c r="O329" s="63">
        <v>0.41899736147757255</v>
      </c>
      <c r="P329" s="63">
        <v>0.45095594347464674</v>
      </c>
    </row>
    <row r="330" spans="1:16" x14ac:dyDescent="0.45">
      <c r="A330" s="65">
        <v>327</v>
      </c>
      <c r="B330" s="62">
        <v>-7.1054273576010019E-14</v>
      </c>
      <c r="C330" s="62">
        <v>-7.2430452167186566E-17</v>
      </c>
      <c r="D330" s="67">
        <v>2</v>
      </c>
      <c r="E330" s="63">
        <v>0.33333333333333331</v>
      </c>
      <c r="F330" s="63">
        <v>0.33333333333333331</v>
      </c>
      <c r="G330" s="63">
        <v>0.29410331384015592</v>
      </c>
      <c r="H330" s="63">
        <v>0.15984405458089668</v>
      </c>
      <c r="I330" s="64">
        <v>8423.487986743994</v>
      </c>
      <c r="J330" s="64">
        <v>-7840.7774390243903</v>
      </c>
      <c r="K330" s="63">
        <v>9.3781855249745152E-2</v>
      </c>
      <c r="L330" s="63">
        <v>0.2503654970760234</v>
      </c>
      <c r="M330" s="63">
        <v>0.23172514619883042</v>
      </c>
      <c r="N330" s="63">
        <v>0.54890510948905114</v>
      </c>
      <c r="O330" s="63">
        <v>0.41798107255520506</v>
      </c>
      <c r="P330" s="63">
        <v>0.45153272576636289</v>
      </c>
    </row>
    <row r="331" spans="1:16" x14ac:dyDescent="0.45">
      <c r="A331" s="65">
        <v>328</v>
      </c>
      <c r="B331" s="62">
        <v>-7.1054273576010019E-14</v>
      </c>
      <c r="C331" s="62">
        <v>-7.2209627617896359E-17</v>
      </c>
      <c r="D331" s="67">
        <v>2</v>
      </c>
      <c r="E331" s="63">
        <v>0.33333333333333331</v>
      </c>
      <c r="F331" s="63">
        <v>0.33333333333333331</v>
      </c>
      <c r="G331" s="63">
        <v>0.29411050394656951</v>
      </c>
      <c r="H331" s="63">
        <v>0.15992714025500912</v>
      </c>
      <c r="I331" s="64">
        <v>8422.8323699421962</v>
      </c>
      <c r="J331" s="64">
        <v>-7833.9407744874716</v>
      </c>
      <c r="K331" s="63">
        <v>9.451219512195122E-2</v>
      </c>
      <c r="L331" s="63">
        <v>0.24990892531876138</v>
      </c>
      <c r="M331" s="63">
        <v>0.2315725561627201</v>
      </c>
      <c r="N331" s="63">
        <v>0.5485908649173955</v>
      </c>
      <c r="O331" s="63">
        <v>0.41898269533298377</v>
      </c>
      <c r="P331" s="63">
        <v>0.45127993393889348</v>
      </c>
    </row>
    <row r="332" spans="1:16" x14ac:dyDescent="0.45">
      <c r="A332" s="65">
        <v>329</v>
      </c>
      <c r="B332" s="62">
        <v>-7.1054273576010019E-14</v>
      </c>
      <c r="C332" s="62">
        <v>-7.1990145467082087E-17</v>
      </c>
      <c r="D332" s="67">
        <v>2</v>
      </c>
      <c r="E332" s="63">
        <v>0.33333333333333331</v>
      </c>
      <c r="F332" s="63">
        <v>0.33333333333333331</v>
      </c>
      <c r="G332" s="63">
        <v>0.29408914728682173</v>
      </c>
      <c r="H332" s="63">
        <v>0.16024709302325582</v>
      </c>
      <c r="I332" s="64">
        <v>8426.6886326194399</v>
      </c>
      <c r="J332" s="64">
        <v>-7843.6885865457298</v>
      </c>
      <c r="K332" s="63">
        <v>9.5238095238095233E-2</v>
      </c>
      <c r="L332" s="63">
        <v>0.2502422480620155</v>
      </c>
      <c r="M332" s="63">
        <v>0.23146802325581395</v>
      </c>
      <c r="N332" s="63">
        <v>0.54791868344627304</v>
      </c>
      <c r="O332" s="63">
        <v>0.41967556253270538</v>
      </c>
      <c r="P332" s="63">
        <v>0.45016474464579903</v>
      </c>
    </row>
    <row r="333" spans="1:16" x14ac:dyDescent="0.45">
      <c r="A333" s="65">
        <v>330</v>
      </c>
      <c r="B333" s="62">
        <v>-7.1054273576010019E-14</v>
      </c>
      <c r="C333" s="62">
        <v>-7.1771993511121237E-17</v>
      </c>
      <c r="D333" s="67">
        <v>2</v>
      </c>
      <c r="E333" s="63">
        <v>0.33333333333333331</v>
      </c>
      <c r="F333" s="63">
        <v>0.33333333333333331</v>
      </c>
      <c r="G333" s="63">
        <v>0.29414610546686021</v>
      </c>
      <c r="H333" s="63">
        <v>0.16025641025641027</v>
      </c>
      <c r="I333" s="64">
        <v>8431.4967105263149</v>
      </c>
      <c r="J333" s="64">
        <v>-7858.9433962264147</v>
      </c>
      <c r="K333" s="63">
        <v>9.5959595959595953E-2</v>
      </c>
      <c r="L333" s="63">
        <v>0.25024189646831158</v>
      </c>
      <c r="M333" s="63">
        <v>0.23113207547169812</v>
      </c>
      <c r="N333" s="63">
        <v>0.54809086515224748</v>
      </c>
      <c r="O333" s="63">
        <v>0.41967556253270538</v>
      </c>
      <c r="P333" s="63">
        <v>0.45024671052631576</v>
      </c>
    </row>
    <row r="334" spans="1:16" x14ac:dyDescent="0.45">
      <c r="A334" s="65">
        <v>331</v>
      </c>
      <c r="B334" s="62">
        <v>-7.1054273576010019E-14</v>
      </c>
      <c r="C334" s="62">
        <v>-7.1555159693867088E-17</v>
      </c>
      <c r="D334" s="67">
        <v>2</v>
      </c>
      <c r="E334" s="63">
        <v>0.33333333333333331</v>
      </c>
      <c r="F334" s="63">
        <v>0.33333333333333331</v>
      </c>
      <c r="G334" s="63">
        <v>0.29415310427968655</v>
      </c>
      <c r="H334" s="63">
        <v>0.16009644364074743</v>
      </c>
      <c r="I334" s="64">
        <v>8415.7786885245896</v>
      </c>
      <c r="J334" s="64">
        <v>-7846.7620481927706</v>
      </c>
      <c r="K334" s="63">
        <v>9.5669687814702919E-2</v>
      </c>
      <c r="L334" s="63">
        <v>0.25051235684147077</v>
      </c>
      <c r="M334" s="63">
        <v>0.23122362869198312</v>
      </c>
      <c r="N334" s="63">
        <v>0.54716073147256983</v>
      </c>
      <c r="O334" s="63">
        <v>0.42022940563086547</v>
      </c>
      <c r="P334" s="63">
        <v>0.45081967213114754</v>
      </c>
    </row>
    <row r="335" spans="1:16" x14ac:dyDescent="0.45">
      <c r="A335" s="65">
        <v>332</v>
      </c>
      <c r="B335" s="62">
        <v>-7.815970093361102E-14</v>
      </c>
      <c r="C335" s="62">
        <v>-7.8473595314870504E-17</v>
      </c>
      <c r="D335" s="67">
        <v>2</v>
      </c>
      <c r="E335" s="63">
        <v>0.33333333333333331</v>
      </c>
      <c r="F335" s="63">
        <v>0.33333333333333331</v>
      </c>
      <c r="G335" s="63">
        <v>0.29422382671480146</v>
      </c>
      <c r="H335" s="63">
        <v>0.15980746089049339</v>
      </c>
      <c r="I335" s="64">
        <v>8423.7218813905929</v>
      </c>
      <c r="J335" s="64">
        <v>-7846.7620481927706</v>
      </c>
      <c r="K335" s="63">
        <v>9.6385542168674704E-2</v>
      </c>
      <c r="L335" s="63">
        <v>0.25054151624548737</v>
      </c>
      <c r="M335" s="63">
        <v>0.23092659446450059</v>
      </c>
      <c r="N335" s="63">
        <v>0.54707012487992313</v>
      </c>
      <c r="O335" s="63">
        <v>0.42053152683689421</v>
      </c>
      <c r="P335" s="63">
        <v>0.45194274028629855</v>
      </c>
    </row>
    <row r="336" spans="1:16" x14ac:dyDescent="0.45">
      <c r="A336" s="65">
        <v>333</v>
      </c>
      <c r="B336" s="62">
        <v>-7.815970093361102E-14</v>
      </c>
      <c r="C336" s="62">
        <v>-7.8237938872483503E-17</v>
      </c>
      <c r="D336" s="67">
        <v>2</v>
      </c>
      <c r="E336" s="63">
        <v>0.33333333333333331</v>
      </c>
      <c r="F336" s="63">
        <v>0.33333333333333331</v>
      </c>
      <c r="G336" s="63">
        <v>0.29426613775694194</v>
      </c>
      <c r="H336" s="63">
        <v>0.15987498497415556</v>
      </c>
      <c r="I336" s="64">
        <v>8432.8431372549021</v>
      </c>
      <c r="J336" s="64">
        <v>-7857.2180451127815</v>
      </c>
      <c r="K336" s="63">
        <v>9.7097097097097101E-2</v>
      </c>
      <c r="L336" s="63">
        <v>0.25063108546700325</v>
      </c>
      <c r="M336" s="63">
        <v>0.23103738430099771</v>
      </c>
      <c r="N336" s="63">
        <v>0.5467625899280576</v>
      </c>
      <c r="O336" s="63">
        <v>0.42091571279916751</v>
      </c>
      <c r="P336" s="63">
        <v>0.45179738562091504</v>
      </c>
    </row>
    <row r="337" spans="1:16" x14ac:dyDescent="0.45">
      <c r="A337" s="65">
        <v>334</v>
      </c>
      <c r="B337" s="62">
        <v>-7.815970093361102E-14</v>
      </c>
      <c r="C337" s="62">
        <v>-7.8003693546517987E-17</v>
      </c>
      <c r="D337" s="67">
        <v>2</v>
      </c>
      <c r="E337" s="63">
        <v>0.33333333333333331</v>
      </c>
      <c r="F337" s="63">
        <v>0.33333333333333331</v>
      </c>
      <c r="G337" s="63">
        <v>0.29418828049951967</v>
      </c>
      <c r="H337" s="63">
        <v>0.15982228626320846</v>
      </c>
      <c r="I337" s="64">
        <v>8443.9183673469379</v>
      </c>
      <c r="J337" s="64">
        <v>-7875.3568745304283</v>
      </c>
      <c r="K337" s="63">
        <v>9.7804391217564873E-2</v>
      </c>
      <c r="L337" s="63">
        <v>0.25072046109510088</v>
      </c>
      <c r="M337" s="63">
        <v>0.23090778097982709</v>
      </c>
      <c r="N337" s="63">
        <v>0.54645593869731801</v>
      </c>
      <c r="O337" s="63">
        <v>0.42069682787311491</v>
      </c>
      <c r="P337" s="63">
        <v>0.45183673469387753</v>
      </c>
    </row>
    <row r="338" spans="1:16" x14ac:dyDescent="0.45">
      <c r="A338" s="65">
        <v>335</v>
      </c>
      <c r="B338" s="62">
        <v>-8.1712414612411521E-14</v>
      </c>
      <c r="C338" s="62">
        <v>-8.1305885186479123E-17</v>
      </c>
      <c r="D338" s="67">
        <v>2</v>
      </c>
      <c r="E338" s="63">
        <v>0.33333333333333331</v>
      </c>
      <c r="F338" s="63">
        <v>0.33333333333333331</v>
      </c>
      <c r="G338" s="63">
        <v>0.29415288761083153</v>
      </c>
      <c r="H338" s="63">
        <v>0.15995686556434219</v>
      </c>
      <c r="I338" s="64">
        <v>8455.7230142566186</v>
      </c>
      <c r="J338" s="64">
        <v>-7896.1048689138579</v>
      </c>
      <c r="K338" s="63">
        <v>9.8507462686567168E-2</v>
      </c>
      <c r="L338" s="63">
        <v>0.25077881619937692</v>
      </c>
      <c r="M338" s="63">
        <v>0.23076923076923078</v>
      </c>
      <c r="N338" s="63">
        <v>0.54610606784519833</v>
      </c>
      <c r="O338" s="63">
        <v>0.42107995846313601</v>
      </c>
      <c r="P338" s="63">
        <v>0.45132382892057027</v>
      </c>
    </row>
    <row r="339" spans="1:16" x14ac:dyDescent="0.45">
      <c r="A339" s="65">
        <v>336</v>
      </c>
      <c r="B339" s="62">
        <v>-7.815970093361102E-14</v>
      </c>
      <c r="C339" s="62">
        <v>-7.7539385846836326E-17</v>
      </c>
      <c r="D339" s="67">
        <v>2</v>
      </c>
      <c r="E339" s="63">
        <v>0.33333333333333331</v>
      </c>
      <c r="F339" s="63">
        <v>0.33333333333333331</v>
      </c>
      <c r="G339" s="63">
        <v>0.29415979935506986</v>
      </c>
      <c r="H339" s="63">
        <v>0.15979935506986742</v>
      </c>
      <c r="I339" s="64">
        <v>8456.9224522939512</v>
      </c>
      <c r="J339" s="64">
        <v>-7895.2167414050818</v>
      </c>
      <c r="K339" s="63">
        <v>9.8214285714285712E-2</v>
      </c>
      <c r="L339" s="63">
        <v>0.25128388868983637</v>
      </c>
      <c r="M339" s="63">
        <v>0.2308611011584856</v>
      </c>
      <c r="N339" s="63">
        <v>0.54610266159695819</v>
      </c>
      <c r="O339" s="63">
        <v>0.42007242628039315</v>
      </c>
      <c r="P339" s="63">
        <v>0.45188794153471379</v>
      </c>
    </row>
    <row r="340" spans="1:16" x14ac:dyDescent="0.45">
      <c r="A340" s="65">
        <v>337</v>
      </c>
      <c r="B340" s="62">
        <v>-7.815970093361102E-14</v>
      </c>
      <c r="C340" s="62">
        <v>-7.7309298648477764E-17</v>
      </c>
      <c r="D340" s="67">
        <v>2</v>
      </c>
      <c r="E340" s="63">
        <v>0.33333333333333331</v>
      </c>
      <c r="F340" s="63">
        <v>0.33333333333333331</v>
      </c>
      <c r="G340" s="63">
        <v>0.29431358553414227</v>
      </c>
      <c r="H340" s="63">
        <v>0.1601237211515584</v>
      </c>
      <c r="I340" s="64">
        <v>8452.9911075181899</v>
      </c>
      <c r="J340" s="64">
        <v>-7883.4323922734029</v>
      </c>
      <c r="K340" s="63">
        <v>9.7922848664688422E-2</v>
      </c>
      <c r="L340" s="63">
        <v>0.25124910778015702</v>
      </c>
      <c r="M340" s="63">
        <v>0.23114442065191529</v>
      </c>
      <c r="N340" s="63">
        <v>0.54640151515151514</v>
      </c>
      <c r="O340" s="63">
        <v>0.41996911991765312</v>
      </c>
      <c r="P340" s="63">
        <v>0.45109135004042039</v>
      </c>
    </row>
    <row r="341" spans="1:16" x14ac:dyDescent="0.45">
      <c r="A341" s="65">
        <v>338</v>
      </c>
      <c r="B341" s="62">
        <v>-7.5495165674510645E-14</v>
      </c>
      <c r="C341" s="62">
        <v>-7.4452826108984855E-17</v>
      </c>
      <c r="D341" s="67">
        <v>2</v>
      </c>
      <c r="E341" s="63">
        <v>0.33333333333333331</v>
      </c>
      <c r="F341" s="63">
        <v>0.33333333333333331</v>
      </c>
      <c r="G341" s="63">
        <v>0.29427083333333331</v>
      </c>
      <c r="H341" s="63">
        <v>0.16039299242424243</v>
      </c>
      <c r="I341" s="64">
        <v>8446.1786001609016</v>
      </c>
      <c r="J341" s="64">
        <v>-7870.0369003690039</v>
      </c>
      <c r="K341" s="63">
        <v>9.7633136094674555E-2</v>
      </c>
      <c r="L341" s="63">
        <v>0.25082859848484851</v>
      </c>
      <c r="M341" s="63">
        <v>0.23153409090909091</v>
      </c>
      <c r="N341" s="63">
        <v>0.54601226993865026</v>
      </c>
      <c r="O341" s="63">
        <v>0.41973415132924335</v>
      </c>
      <c r="P341" s="63">
        <v>0.45012067578439258</v>
      </c>
    </row>
    <row r="342" spans="1:16" x14ac:dyDescent="0.45">
      <c r="A342" s="65">
        <v>339</v>
      </c>
      <c r="B342" s="62">
        <v>-7.460698725481052E-14</v>
      </c>
      <c r="C342" s="62">
        <v>-7.3359869473756655E-17</v>
      </c>
      <c r="D342" s="67">
        <v>2</v>
      </c>
      <c r="E342" s="63">
        <v>0.33333333333333331</v>
      </c>
      <c r="F342" s="63">
        <v>0.33333333333333331</v>
      </c>
      <c r="G342" s="63">
        <v>0.29413153855236746</v>
      </c>
      <c r="H342" s="63">
        <v>0.16023143228244185</v>
      </c>
      <c r="I342" s="64">
        <v>8445.1224407868322</v>
      </c>
      <c r="J342" s="64">
        <v>-7866.985998526161</v>
      </c>
      <c r="K342" s="63">
        <v>9.7345132743362831E-2</v>
      </c>
      <c r="L342" s="63">
        <v>0.25138741291769984</v>
      </c>
      <c r="M342" s="63">
        <v>0.23155036013697011</v>
      </c>
      <c r="N342" s="63">
        <v>0.54532644434006572</v>
      </c>
      <c r="O342" s="63">
        <v>0.41917389087200407</v>
      </c>
      <c r="P342" s="63">
        <v>0.45042151746286629</v>
      </c>
    </row>
    <row r="343" spans="1:16" x14ac:dyDescent="0.45">
      <c r="A343" s="65">
        <v>340</v>
      </c>
      <c r="B343" s="62">
        <v>-7.1054273576010019E-14</v>
      </c>
      <c r="C343" s="62">
        <v>-6.9661052525500017E-17</v>
      </c>
      <c r="D343" s="67">
        <v>2</v>
      </c>
      <c r="E343" s="63">
        <v>0.33333333333333331</v>
      </c>
      <c r="F343" s="63">
        <v>0.33333333333333331</v>
      </c>
      <c r="G343" s="63">
        <v>0.29393083980239942</v>
      </c>
      <c r="H343" s="63">
        <v>0.15984474241354976</v>
      </c>
      <c r="I343" s="64">
        <v>8444.017607042817</v>
      </c>
      <c r="J343" s="64">
        <v>-7867.1081677704196</v>
      </c>
      <c r="K343" s="63">
        <v>9.7058823529411767E-2</v>
      </c>
      <c r="L343" s="63">
        <v>0.25158786167960479</v>
      </c>
      <c r="M343" s="63">
        <v>0.23135732768760292</v>
      </c>
      <c r="N343" s="63">
        <v>0.54464703132304815</v>
      </c>
      <c r="O343" s="63">
        <v>0.41840366039654298</v>
      </c>
      <c r="P343" s="63">
        <v>0.45138055222088835</v>
      </c>
    </row>
    <row r="344" spans="1:16" x14ac:dyDescent="0.45">
      <c r="A344" s="65">
        <v>341</v>
      </c>
      <c r="B344" s="62">
        <v>-6.7501559897209518E-14</v>
      </c>
      <c r="C344" s="62">
        <v>-6.5983929518288877E-17</v>
      </c>
      <c r="D344" s="67">
        <v>2</v>
      </c>
      <c r="E344" s="63">
        <v>0.33333333333333331</v>
      </c>
      <c r="F344" s="63">
        <v>0.33333333333333331</v>
      </c>
      <c r="G344" s="63">
        <v>0.29406938584153774</v>
      </c>
      <c r="H344" s="63">
        <v>0.1597515236755743</v>
      </c>
      <c r="I344" s="64">
        <v>8442.8058987644472</v>
      </c>
      <c r="J344" s="64">
        <v>-7872.1203228173144</v>
      </c>
      <c r="K344" s="63">
        <v>9.7751710654936458E-2</v>
      </c>
      <c r="L344" s="63">
        <v>0.25164088138771684</v>
      </c>
      <c r="M344" s="63">
        <v>0.2318330989217065</v>
      </c>
      <c r="N344" s="63">
        <v>0.54494643688868183</v>
      </c>
      <c r="O344" s="63">
        <v>0.41860465116279072</v>
      </c>
      <c r="P344" s="63">
        <v>0.45197289756875247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2020-02-01T16:29:19Z</dcterms:modified>
</cp:coreProperties>
</file>