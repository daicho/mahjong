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3AE3BB8-4B41-4BC6-81D2-D8B41882AE88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47" r:id="rId6"/>
    <sheet name="たかの" sheetId="6149" r:id="rId7"/>
    <sheet name="だいち" sheetId="6151" r:id="rId8"/>
    <sheet name="ただ" sheetId="6153" r:id="rId9"/>
    <sheet name="りくと" sheetId="6155" r:id="rId10"/>
    <sheet name="れんたろう" sheetId="6157" r:id="rId11"/>
    <sheet name="まっつん" sheetId="6159" r:id="rId12"/>
    <sheet name="のり" sheetId="6161" r:id="rId13"/>
    <sheet name="ぱぱ" sheetId="6163" r:id="rId14"/>
    <sheet name="ほたに" sheetId="6165" r:id="rId15"/>
    <sheet name="いっしー" sheetId="6167" r:id="rId16"/>
    <sheet name="ともき" sheetId="6169" r:id="rId17"/>
    <sheet name="たか" sheetId="6171" r:id="rId18"/>
    <sheet name="ゆう" sheetId="6173" r:id="rId19"/>
    <sheet name="ゆう2" sheetId="6174" state="hidden" r:id="rId20"/>
    <sheet name="たか2" sheetId="6172" state="hidden" r:id="rId21"/>
    <sheet name="ともき2" sheetId="6170" state="hidden" r:id="rId22"/>
    <sheet name="いっしー2" sheetId="6168" state="hidden" r:id="rId23"/>
    <sheet name="ほたに2" sheetId="6166" state="hidden" r:id="rId24"/>
    <sheet name="ぱぱ2" sheetId="6164" state="hidden" r:id="rId25"/>
    <sheet name="のり2" sheetId="6162" state="hidden" r:id="rId26"/>
    <sheet name="まっつん2" sheetId="6160" state="hidden" r:id="rId27"/>
    <sheet name="れんたろう2" sheetId="6158" state="hidden" r:id="rId28"/>
    <sheet name="りくと2" sheetId="6156" state="hidden" r:id="rId29"/>
    <sheet name="ただ2" sheetId="6154" state="hidden" r:id="rId30"/>
    <sheet name="だいち2" sheetId="6152" state="hidden" r:id="rId31"/>
    <sheet name="たかの2" sheetId="6150" state="hidden" r:id="rId32"/>
    <sheet name="全体2" sheetId="614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159" l="1"/>
  <c r="O16" i="6169"/>
  <c r="O16" i="6171" l="1"/>
  <c r="O23" i="6149"/>
  <c r="O20" i="6159" l="1"/>
  <c r="O16" i="6173"/>
  <c r="O18" i="6171"/>
  <c r="O15" i="6149" l="1"/>
  <c r="O22" i="6169"/>
  <c r="O19" i="6171" l="1"/>
  <c r="O15" i="6173"/>
  <c r="O17" i="6173"/>
  <c r="C30" i="6173"/>
  <c r="B25" i="6173"/>
  <c r="C16" i="6173"/>
  <c r="B15" i="6173"/>
  <c r="H4" i="6173" s="1"/>
  <c r="B14" i="6173"/>
  <c r="C14" i="6173" s="1"/>
  <c r="B13" i="6173"/>
  <c r="C13" i="6173" s="1"/>
  <c r="O12" i="6173"/>
  <c r="C12" i="6173"/>
  <c r="O11" i="6173"/>
  <c r="C11" i="6173"/>
  <c r="O10" i="6173"/>
  <c r="C10" i="6173"/>
  <c r="C9" i="6173"/>
  <c r="C8" i="6173"/>
  <c r="O7" i="6173"/>
  <c r="C7" i="6173"/>
  <c r="O6" i="6173"/>
  <c r="B6" i="6173"/>
  <c r="O5" i="6173"/>
  <c r="B5" i="6173"/>
  <c r="O4" i="6173"/>
  <c r="O3" i="6173"/>
  <c r="O2" i="6173"/>
  <c r="O16" i="6161"/>
  <c r="O15" i="6171"/>
  <c r="O17" i="6171"/>
  <c r="C30" i="6171"/>
  <c r="B25" i="6171"/>
  <c r="C16" i="6171"/>
  <c r="B15" i="6171"/>
  <c r="H52" i="6171" s="1"/>
  <c r="B14" i="6171"/>
  <c r="B24" i="6171" s="1"/>
  <c r="B13" i="6171"/>
  <c r="C13" i="6171" s="1"/>
  <c r="O12" i="6171"/>
  <c r="C12" i="6171"/>
  <c r="O11" i="6171"/>
  <c r="C11" i="6171"/>
  <c r="O10" i="6171"/>
  <c r="C10" i="6171"/>
  <c r="C9" i="6171"/>
  <c r="C8" i="6171"/>
  <c r="O7" i="6171"/>
  <c r="C7" i="6171"/>
  <c r="O6" i="6171"/>
  <c r="B6" i="6171"/>
  <c r="O5" i="6171"/>
  <c r="B5" i="6171"/>
  <c r="O4" i="6171"/>
  <c r="O3" i="6171"/>
  <c r="O2" i="6171"/>
  <c r="O15" i="6147"/>
  <c r="H37" i="6173" l="1"/>
  <c r="H2" i="6173"/>
  <c r="H13" i="6173"/>
  <c r="H28" i="6173"/>
  <c r="C14" i="6171"/>
  <c r="H41" i="6173"/>
  <c r="H45" i="6173"/>
  <c r="H3" i="6173"/>
  <c r="H8" i="6173"/>
  <c r="C20" i="6173"/>
  <c r="H33" i="6173"/>
  <c r="H52" i="6173"/>
  <c r="H7" i="6173"/>
  <c r="H18" i="6173"/>
  <c r="C17" i="6173"/>
  <c r="C21" i="6173"/>
  <c r="H29" i="6173"/>
  <c r="H34" i="6173"/>
  <c r="H38" i="6173"/>
  <c r="H42" i="6173"/>
  <c r="H47" i="6173"/>
  <c r="H10" i="6173"/>
  <c r="H6" i="6173"/>
  <c r="H14" i="6173"/>
  <c r="H16" i="6173"/>
  <c r="H17" i="6173"/>
  <c r="C18" i="6173"/>
  <c r="B22" i="6173"/>
  <c r="H35" i="6173"/>
  <c r="H39" i="6173"/>
  <c r="H43" i="6173"/>
  <c r="H49" i="6173"/>
  <c r="H11" i="6173"/>
  <c r="H15" i="6173"/>
  <c r="B23" i="6173"/>
  <c r="C15" i="6173"/>
  <c r="C19" i="6173"/>
  <c r="H32" i="6173"/>
  <c r="H36" i="6173"/>
  <c r="H40" i="6173"/>
  <c r="H44" i="6173"/>
  <c r="H51" i="6173"/>
  <c r="B24" i="6173"/>
  <c r="H5" i="6173"/>
  <c r="H21" i="6173"/>
  <c r="H23" i="6173"/>
  <c r="H25" i="6173"/>
  <c r="H27" i="6173"/>
  <c r="H9" i="6173"/>
  <c r="H31" i="6173"/>
  <c r="C33" i="6173"/>
  <c r="C35" i="6173"/>
  <c r="C37" i="6173"/>
  <c r="C39" i="6173"/>
  <c r="C41" i="6173"/>
  <c r="C43" i="6173"/>
  <c r="H46" i="6173"/>
  <c r="H50" i="6173"/>
  <c r="H19" i="6173"/>
  <c r="H20" i="6173"/>
  <c r="H22" i="6173"/>
  <c r="H24" i="6173"/>
  <c r="H26" i="6173"/>
  <c r="H12" i="6173"/>
  <c r="H30" i="6173"/>
  <c r="C32" i="6173"/>
  <c r="C34" i="6173"/>
  <c r="C36" i="6173"/>
  <c r="C38" i="6173"/>
  <c r="C40" i="6173"/>
  <c r="C42" i="6173"/>
  <c r="C44" i="6173"/>
  <c r="H48" i="6173"/>
  <c r="H2" i="6171"/>
  <c r="H3" i="6171"/>
  <c r="H21" i="6171"/>
  <c r="H42" i="6171"/>
  <c r="H17" i="6171"/>
  <c r="C42" i="6171"/>
  <c r="H26" i="6171"/>
  <c r="C15" i="6171"/>
  <c r="C32" i="6171"/>
  <c r="H34" i="6171"/>
  <c r="C44" i="6171"/>
  <c r="C36" i="6171"/>
  <c r="H11" i="6171"/>
  <c r="H16" i="6171"/>
  <c r="C19" i="6171"/>
  <c r="H38" i="6171"/>
  <c r="H9" i="6171"/>
  <c r="H6" i="6171"/>
  <c r="H15" i="6171"/>
  <c r="H19" i="6171"/>
  <c r="H12" i="6171"/>
  <c r="H30" i="6171"/>
  <c r="C38" i="6171"/>
  <c r="H4" i="6171"/>
  <c r="H10" i="6171"/>
  <c r="H8" i="6171"/>
  <c r="H24" i="6171"/>
  <c r="H14" i="6171"/>
  <c r="C34" i="6171"/>
  <c r="C40" i="6171"/>
  <c r="H47" i="6171"/>
  <c r="H48" i="6171"/>
  <c r="C17" i="6171"/>
  <c r="C21" i="6171"/>
  <c r="H28" i="6171"/>
  <c r="H32" i="6171"/>
  <c r="H36" i="6171"/>
  <c r="H40" i="6171"/>
  <c r="H44" i="6171"/>
  <c r="H51" i="6171"/>
  <c r="H20" i="6171"/>
  <c r="H22" i="6171"/>
  <c r="H23" i="6171"/>
  <c r="H25" i="6171"/>
  <c r="H27" i="6171"/>
  <c r="H13" i="6171"/>
  <c r="H31" i="6171"/>
  <c r="C33" i="6171"/>
  <c r="C35" i="6171"/>
  <c r="C37" i="6171"/>
  <c r="C39" i="6171"/>
  <c r="C41" i="6171"/>
  <c r="C43" i="6171"/>
  <c r="H46" i="6171"/>
  <c r="H50" i="6171"/>
  <c r="B23" i="6171"/>
  <c r="H5" i="6171"/>
  <c r="H7" i="6171"/>
  <c r="H18" i="6171"/>
  <c r="C18" i="6171"/>
  <c r="C20" i="6171"/>
  <c r="B22" i="6171"/>
  <c r="H29" i="6171"/>
  <c r="H33" i="6171"/>
  <c r="H35" i="6171"/>
  <c r="H37" i="6171"/>
  <c r="H39" i="6171"/>
  <c r="H41" i="6171"/>
  <c r="H43" i="6171"/>
  <c r="H45" i="6171"/>
  <c r="H49" i="6171"/>
  <c r="O21" i="6169" l="1"/>
  <c r="O16" i="6151"/>
  <c r="O22" i="6153" l="1"/>
  <c r="O17" i="6169"/>
  <c r="O20" i="6169"/>
  <c r="O22" i="6155"/>
  <c r="O23" i="6163" l="1"/>
  <c r="O15" i="6169"/>
  <c r="O23" i="6157" l="1"/>
  <c r="O19" i="6169"/>
  <c r="O18" i="6169"/>
  <c r="C30" i="6169"/>
  <c r="B25" i="6169"/>
  <c r="C16" i="6169"/>
  <c r="B15" i="6169"/>
  <c r="H51" i="6169" s="1"/>
  <c r="B14" i="6169"/>
  <c r="B24" i="6169" s="1"/>
  <c r="B13" i="6169"/>
  <c r="C13" i="6169" s="1"/>
  <c r="O12" i="6169"/>
  <c r="C12" i="6169"/>
  <c r="O11" i="6169"/>
  <c r="C11" i="6169"/>
  <c r="O10" i="6169"/>
  <c r="C10" i="6169"/>
  <c r="C9" i="6169"/>
  <c r="C8" i="6169"/>
  <c r="O7" i="6169"/>
  <c r="C7" i="6169"/>
  <c r="O6" i="6169"/>
  <c r="B6" i="6169"/>
  <c r="O5" i="6169"/>
  <c r="B5" i="6169"/>
  <c r="O4" i="6169"/>
  <c r="O3" i="6169"/>
  <c r="O2" i="6169"/>
  <c r="O18" i="6161"/>
  <c r="O25" i="6147"/>
  <c r="C14" i="6169" l="1"/>
  <c r="H3" i="6169"/>
  <c r="H2" i="6169"/>
  <c r="C34" i="6169"/>
  <c r="H9" i="6169"/>
  <c r="H15" i="6169"/>
  <c r="C18" i="6169"/>
  <c r="H6" i="6169"/>
  <c r="H14" i="6169"/>
  <c r="C20" i="6169"/>
  <c r="C38" i="6169"/>
  <c r="H21" i="6169"/>
  <c r="H30" i="6169"/>
  <c r="C42" i="6169"/>
  <c r="H19" i="6169"/>
  <c r="C15" i="6169"/>
  <c r="H27" i="6169"/>
  <c r="H8" i="6169"/>
  <c r="B22" i="6169"/>
  <c r="H10" i="6169"/>
  <c r="H4" i="6169"/>
  <c r="H20" i="6169"/>
  <c r="H48" i="6169"/>
  <c r="H16" i="6169"/>
  <c r="H12" i="6169"/>
  <c r="H35" i="6169"/>
  <c r="H39" i="6169"/>
  <c r="H43" i="6169"/>
  <c r="H49" i="6169"/>
  <c r="C32" i="6169"/>
  <c r="C36" i="6169"/>
  <c r="C40" i="6169"/>
  <c r="C44" i="6169"/>
  <c r="H7" i="6169"/>
  <c r="H24" i="6169"/>
  <c r="H13" i="6169"/>
  <c r="H28" i="6169"/>
  <c r="H33" i="6169"/>
  <c r="H37" i="6169"/>
  <c r="H41" i="6169"/>
  <c r="H45" i="6169"/>
  <c r="H52" i="6169"/>
  <c r="H22" i="6169"/>
  <c r="H23" i="6169"/>
  <c r="H25" i="6169"/>
  <c r="H26" i="6169"/>
  <c r="H17" i="6169"/>
  <c r="H11" i="6169"/>
  <c r="H31" i="6169"/>
  <c r="C33" i="6169"/>
  <c r="C35" i="6169"/>
  <c r="C37" i="6169"/>
  <c r="C39" i="6169"/>
  <c r="C41" i="6169"/>
  <c r="C43" i="6169"/>
  <c r="H46" i="6169"/>
  <c r="H50" i="6169"/>
  <c r="H5" i="6169"/>
  <c r="H18" i="6169"/>
  <c r="C17" i="6169"/>
  <c r="C19" i="6169"/>
  <c r="C21" i="6169"/>
  <c r="B23" i="6169"/>
  <c r="H29" i="6169"/>
  <c r="H32" i="6169"/>
  <c r="H34" i="6169"/>
  <c r="H36" i="6169"/>
  <c r="H38" i="6169"/>
  <c r="H40" i="6169"/>
  <c r="H42" i="6169"/>
  <c r="H44" i="6169"/>
  <c r="H47" i="6169"/>
  <c r="O16" i="6159" l="1"/>
  <c r="O17" i="6167"/>
  <c r="O23" i="6151"/>
  <c r="O16" i="6167"/>
  <c r="O15" i="6167"/>
  <c r="C30" i="6167"/>
  <c r="B25" i="6167"/>
  <c r="C16" i="6167"/>
  <c r="B15" i="6167"/>
  <c r="H51" i="6167" s="1"/>
  <c r="B14" i="6167"/>
  <c r="B24" i="6167" s="1"/>
  <c r="B13" i="6167"/>
  <c r="C13" i="6167" s="1"/>
  <c r="O12" i="6167"/>
  <c r="C12" i="6167"/>
  <c r="O11" i="6167"/>
  <c r="C11" i="6167"/>
  <c r="O10" i="6167"/>
  <c r="C10" i="6167"/>
  <c r="C9" i="6167"/>
  <c r="C8" i="6167"/>
  <c r="O7" i="6167"/>
  <c r="C7" i="6167"/>
  <c r="O6" i="6167"/>
  <c r="B6" i="6167"/>
  <c r="O5" i="6167"/>
  <c r="B5" i="6167"/>
  <c r="O4" i="6167"/>
  <c r="O3" i="6167"/>
  <c r="O2" i="6167"/>
  <c r="O20" i="6161"/>
  <c r="O26" i="6147"/>
  <c r="C18" i="6167" l="1"/>
  <c r="H6" i="6167"/>
  <c r="H13" i="6167"/>
  <c r="H3" i="6167"/>
  <c r="H17" i="6167"/>
  <c r="C14" i="6167"/>
  <c r="H35" i="6167"/>
  <c r="C38" i="6167"/>
  <c r="H7" i="6167"/>
  <c r="C19" i="6167"/>
  <c r="H12" i="6167"/>
  <c r="C21" i="6167"/>
  <c r="H39" i="6167"/>
  <c r="H30" i="6167"/>
  <c r="H2" i="6167"/>
  <c r="H18" i="6167"/>
  <c r="H9" i="6167"/>
  <c r="H8" i="6167"/>
  <c r="C34" i="6167"/>
  <c r="C42" i="6167"/>
  <c r="H48" i="6167"/>
  <c r="H43" i="6167"/>
  <c r="H49" i="6167"/>
  <c r="C17" i="6167"/>
  <c r="H22" i="6167"/>
  <c r="B22" i="6167"/>
  <c r="H27" i="6167"/>
  <c r="C32" i="6167"/>
  <c r="C36" i="6167"/>
  <c r="C40" i="6167"/>
  <c r="C44" i="6167"/>
  <c r="H11" i="6167"/>
  <c r="H10" i="6167"/>
  <c r="H15" i="6167"/>
  <c r="H16" i="6167"/>
  <c r="H4" i="6167"/>
  <c r="H14" i="6167"/>
  <c r="B23" i="6167"/>
  <c r="C15" i="6167"/>
  <c r="H20" i="6167"/>
  <c r="C20" i="6167"/>
  <c r="H25" i="6167"/>
  <c r="H28" i="6167"/>
  <c r="H33" i="6167"/>
  <c r="H37" i="6167"/>
  <c r="H41" i="6167"/>
  <c r="H45" i="6167"/>
  <c r="H52" i="6167"/>
  <c r="H19" i="6167"/>
  <c r="H21" i="6167"/>
  <c r="H23" i="6167"/>
  <c r="H24" i="6167"/>
  <c r="H26" i="6167"/>
  <c r="H5" i="6167"/>
  <c r="H31" i="6167"/>
  <c r="C33" i="6167"/>
  <c r="C35" i="6167"/>
  <c r="C37" i="6167"/>
  <c r="C39" i="6167"/>
  <c r="C41" i="6167"/>
  <c r="C43" i="6167"/>
  <c r="H46" i="6167"/>
  <c r="H50" i="6167"/>
  <c r="H29" i="6167"/>
  <c r="H32" i="6167"/>
  <c r="H34" i="6167"/>
  <c r="H36" i="6167"/>
  <c r="H38" i="6167"/>
  <c r="H40" i="6167"/>
  <c r="H42" i="6167"/>
  <c r="H44" i="6167"/>
  <c r="H47" i="6167"/>
  <c r="O22" i="6149" l="1"/>
  <c r="O16" i="6157"/>
  <c r="O15" i="6157" l="1"/>
  <c r="O19" i="6165"/>
  <c r="O15" i="6155" l="1"/>
  <c r="O22" i="6161"/>
  <c r="O16" i="6165" l="1"/>
  <c r="O23" i="6155"/>
  <c r="O21" i="6149" l="1"/>
  <c r="O17" i="6151"/>
  <c r="O15" i="6161"/>
  <c r="O23" i="6161"/>
  <c r="O19" i="6159" l="1"/>
  <c r="O18" i="6163"/>
  <c r="O17" i="6153" l="1"/>
  <c r="O17" i="6159"/>
  <c r="O19" i="6161"/>
  <c r="O21" i="6161"/>
  <c r="O16" i="6149" l="1"/>
  <c r="O17" i="6163"/>
  <c r="O19" i="6163"/>
  <c r="O18" i="6155"/>
  <c r="O20" i="6153" l="1"/>
  <c r="O20" i="6157"/>
  <c r="O19" i="6157" l="1"/>
  <c r="O22" i="6151"/>
  <c r="O25" i="6161"/>
  <c r="O17" i="6165"/>
  <c r="O15" i="6165"/>
  <c r="O21" i="6163"/>
  <c r="O15" i="6153" l="1"/>
  <c r="O21" i="6153"/>
  <c r="O18" i="6165"/>
  <c r="O20" i="6165"/>
  <c r="C30" i="6165"/>
  <c r="B25" i="6165"/>
  <c r="C16" i="6165"/>
  <c r="B15" i="6165"/>
  <c r="H50" i="6165" s="1"/>
  <c r="B14" i="6165"/>
  <c r="B24" i="6165" s="1"/>
  <c r="B13" i="6165"/>
  <c r="C13" i="6165" s="1"/>
  <c r="O12" i="6165"/>
  <c r="C12" i="6165"/>
  <c r="O11" i="6165"/>
  <c r="C11" i="6165"/>
  <c r="O10" i="6165"/>
  <c r="C10" i="6165"/>
  <c r="C9" i="6165"/>
  <c r="C8" i="6165"/>
  <c r="O7" i="6165"/>
  <c r="C7" i="6165"/>
  <c r="O6" i="6165"/>
  <c r="B6" i="6165"/>
  <c r="O5" i="6165"/>
  <c r="B5" i="6165"/>
  <c r="O4" i="6165"/>
  <c r="O3" i="6165"/>
  <c r="O2" i="6165"/>
  <c r="O22" i="6159"/>
  <c r="O15" i="6159"/>
  <c r="O16" i="6147"/>
  <c r="C14" i="6165" l="1"/>
  <c r="H8" i="6165"/>
  <c r="H7" i="6165"/>
  <c r="H12" i="6165"/>
  <c r="H18" i="6165"/>
  <c r="H10" i="6165"/>
  <c r="H19" i="6165"/>
  <c r="C19" i="6165"/>
  <c r="H14" i="6165"/>
  <c r="H27" i="6165"/>
  <c r="H34" i="6165"/>
  <c r="C36" i="6165"/>
  <c r="H39" i="6165"/>
  <c r="H42" i="6165"/>
  <c r="C44" i="6165"/>
  <c r="H49" i="6165"/>
  <c r="H17" i="6165"/>
  <c r="C17" i="6165"/>
  <c r="B22" i="6165"/>
  <c r="H32" i="6165"/>
  <c r="H37" i="6165"/>
  <c r="C42" i="6165"/>
  <c r="H45" i="6165"/>
  <c r="H16" i="6165"/>
  <c r="H26" i="6165"/>
  <c r="C32" i="6165"/>
  <c r="H38" i="6165"/>
  <c r="C40" i="6165"/>
  <c r="H43" i="6165"/>
  <c r="H47" i="6165"/>
  <c r="H6" i="6165"/>
  <c r="H23" i="6165"/>
  <c r="H28" i="6165"/>
  <c r="C34" i="6165"/>
  <c r="H40" i="6165"/>
  <c r="H51" i="6165"/>
  <c r="H4" i="6165"/>
  <c r="C15" i="6165"/>
  <c r="H13" i="6165"/>
  <c r="C20" i="6165"/>
  <c r="H29" i="6165"/>
  <c r="H35" i="6165"/>
  <c r="H3" i="6165"/>
  <c r="H2" i="6165"/>
  <c r="H11" i="6165"/>
  <c r="H5" i="6165"/>
  <c r="H20" i="6165"/>
  <c r="C18" i="6165"/>
  <c r="C21" i="6165"/>
  <c r="H30" i="6165"/>
  <c r="H33" i="6165"/>
  <c r="H36" i="6165"/>
  <c r="C38" i="6165"/>
  <c r="H41" i="6165"/>
  <c r="H44" i="6165"/>
  <c r="H48" i="6165"/>
  <c r="H52" i="6165"/>
  <c r="B23" i="6165"/>
  <c r="H21" i="6165"/>
  <c r="H22" i="6165"/>
  <c r="H24" i="6165"/>
  <c r="H25" i="6165"/>
  <c r="H15" i="6165"/>
  <c r="H9" i="6165"/>
  <c r="H31" i="6165"/>
  <c r="C33" i="6165"/>
  <c r="C35" i="6165"/>
  <c r="C37" i="6165"/>
  <c r="C39" i="6165"/>
  <c r="C41" i="6165"/>
  <c r="C43" i="6165"/>
  <c r="H46" i="6165"/>
  <c r="O20" i="6151" l="1"/>
  <c r="O19" i="6155"/>
  <c r="O18" i="6151" l="1"/>
  <c r="O21" i="6159"/>
  <c r="O24" i="6159"/>
  <c r="O17" i="6149"/>
  <c r="O16" i="6153"/>
  <c r="O16" i="6155"/>
  <c r="O21" i="6155"/>
  <c r="O19" i="6149"/>
  <c r="O18" i="6153"/>
  <c r="O15" i="6151"/>
  <c r="O20" i="6163"/>
  <c r="O22" i="6163"/>
  <c r="O22" i="6157" l="1"/>
  <c r="O17" i="6157"/>
  <c r="O15" i="6163"/>
  <c r="O16" i="6163"/>
  <c r="C30" i="6163"/>
  <c r="B25" i="6163"/>
  <c r="C16" i="6163"/>
  <c r="B15" i="6163"/>
  <c r="H51" i="6163" s="1"/>
  <c r="B14" i="6163"/>
  <c r="B24" i="6163" s="1"/>
  <c r="B13" i="6163"/>
  <c r="C13" i="6163" s="1"/>
  <c r="O12" i="6163"/>
  <c r="C12" i="6163"/>
  <c r="O11" i="6163"/>
  <c r="C11" i="6163"/>
  <c r="O10" i="6163"/>
  <c r="C10" i="6163"/>
  <c r="C9" i="6163"/>
  <c r="C8" i="6163"/>
  <c r="O7" i="6163"/>
  <c r="C7" i="6163"/>
  <c r="O6" i="6163"/>
  <c r="B6" i="6163"/>
  <c r="O5" i="6163"/>
  <c r="B5" i="6163"/>
  <c r="O4" i="6163"/>
  <c r="O3" i="6163"/>
  <c r="O2" i="6163"/>
  <c r="O17" i="6147"/>
  <c r="O17" i="6161"/>
  <c r="O24" i="6161"/>
  <c r="C30" i="6161"/>
  <c r="B25" i="6161"/>
  <c r="C16" i="6161"/>
  <c r="B15" i="6161"/>
  <c r="H21" i="6161" s="1"/>
  <c r="B14" i="6161"/>
  <c r="B24" i="6161" s="1"/>
  <c r="B13" i="6161"/>
  <c r="C13" i="6161" s="1"/>
  <c r="O12" i="6161"/>
  <c r="C12" i="6161"/>
  <c r="O11" i="6161"/>
  <c r="C11" i="6161"/>
  <c r="O10" i="6161"/>
  <c r="C10" i="6161"/>
  <c r="C9" i="6161"/>
  <c r="C8" i="6161"/>
  <c r="O7" i="6161"/>
  <c r="C7" i="6161"/>
  <c r="O6" i="6161"/>
  <c r="B6" i="6161"/>
  <c r="O5" i="6161"/>
  <c r="B5" i="6161"/>
  <c r="O4" i="6161"/>
  <c r="O3" i="6161"/>
  <c r="O2" i="6161"/>
  <c r="O20" i="6147"/>
  <c r="C14" i="6161" l="1"/>
  <c r="C14" i="6163"/>
  <c r="H15" i="6163"/>
  <c r="H23" i="6163"/>
  <c r="C19" i="6163"/>
  <c r="H35" i="6163"/>
  <c r="H40" i="6163"/>
  <c r="H8" i="6163"/>
  <c r="H19" i="6163"/>
  <c r="H43" i="6163"/>
  <c r="C44" i="6163"/>
  <c r="C36" i="6163"/>
  <c r="H50" i="6163"/>
  <c r="H9" i="6163"/>
  <c r="H4" i="6163"/>
  <c r="H11" i="6163"/>
  <c r="H22" i="6163"/>
  <c r="H16" i="6163"/>
  <c r="C17" i="6163"/>
  <c r="H29" i="6163"/>
  <c r="H46" i="6163"/>
  <c r="H7" i="6163"/>
  <c r="H21" i="6163"/>
  <c r="C15" i="6163"/>
  <c r="H25" i="6163"/>
  <c r="C20" i="6163"/>
  <c r="H18" i="6163"/>
  <c r="H30" i="6163"/>
  <c r="C32" i="6163"/>
  <c r="H36" i="6163"/>
  <c r="H39" i="6163"/>
  <c r="C40" i="6163"/>
  <c r="H44" i="6163"/>
  <c r="H48" i="6163"/>
  <c r="H5" i="6163"/>
  <c r="H17" i="6163"/>
  <c r="B22" i="6163"/>
  <c r="H33" i="6163"/>
  <c r="C34" i="6163"/>
  <c r="H38" i="6163"/>
  <c r="H41" i="6163"/>
  <c r="C42" i="6163"/>
  <c r="H20" i="6163"/>
  <c r="H3" i="6163"/>
  <c r="H2" i="6163"/>
  <c r="H10" i="6163"/>
  <c r="H6" i="6163"/>
  <c r="H24" i="6163"/>
  <c r="C18" i="6163"/>
  <c r="C21" i="6163"/>
  <c r="H31" i="6163"/>
  <c r="H34" i="6163"/>
  <c r="H37" i="6163"/>
  <c r="C38" i="6163"/>
  <c r="H42" i="6163"/>
  <c r="H45" i="6163"/>
  <c r="H49" i="6163"/>
  <c r="H52" i="6163"/>
  <c r="B23" i="6163"/>
  <c r="H13" i="6163"/>
  <c r="H26" i="6163"/>
  <c r="H27" i="6163"/>
  <c r="H28" i="6163"/>
  <c r="H14" i="6163"/>
  <c r="H12" i="6163"/>
  <c r="H32" i="6163"/>
  <c r="C33" i="6163"/>
  <c r="C35" i="6163"/>
  <c r="C37" i="6163"/>
  <c r="C39" i="6163"/>
  <c r="C41" i="6163"/>
  <c r="C43" i="6163"/>
  <c r="H47" i="6163"/>
  <c r="C21" i="6161"/>
  <c r="C34" i="6161"/>
  <c r="H9" i="6161"/>
  <c r="H10" i="6161"/>
  <c r="H25" i="6161"/>
  <c r="H13" i="6161"/>
  <c r="H4" i="6161"/>
  <c r="H3" i="6161"/>
  <c r="H12" i="6161"/>
  <c r="C38" i="6161"/>
  <c r="H2" i="6161"/>
  <c r="H7" i="6161"/>
  <c r="H11" i="6161"/>
  <c r="H24" i="6161"/>
  <c r="C18" i="6161"/>
  <c r="H16" i="6161"/>
  <c r="H40" i="6161"/>
  <c r="C42" i="6161"/>
  <c r="C19" i="6161"/>
  <c r="H36" i="6161"/>
  <c r="H44" i="6161"/>
  <c r="H49" i="6161"/>
  <c r="H50" i="6161"/>
  <c r="C17" i="6161"/>
  <c r="H15" i="6161"/>
  <c r="B22" i="6161"/>
  <c r="H31" i="6161"/>
  <c r="C32" i="6161"/>
  <c r="C36" i="6161"/>
  <c r="C40" i="6161"/>
  <c r="C44" i="6161"/>
  <c r="H5" i="6161"/>
  <c r="H17" i="6161"/>
  <c r="H23" i="6161"/>
  <c r="H6" i="6161"/>
  <c r="H22" i="6161"/>
  <c r="B23" i="6161"/>
  <c r="C15" i="6161"/>
  <c r="H26" i="6161"/>
  <c r="C20" i="6161"/>
  <c r="H30" i="6161"/>
  <c r="H32" i="6161"/>
  <c r="H35" i="6161"/>
  <c r="H38" i="6161"/>
  <c r="H42" i="6161"/>
  <c r="H46" i="6161"/>
  <c r="H52" i="6161"/>
  <c r="H18" i="6161"/>
  <c r="H27" i="6161"/>
  <c r="H28" i="6161"/>
  <c r="H29" i="6161"/>
  <c r="H14" i="6161"/>
  <c r="H8" i="6161"/>
  <c r="H19" i="6161"/>
  <c r="C33" i="6161"/>
  <c r="C35" i="6161"/>
  <c r="C37" i="6161"/>
  <c r="C39" i="6161"/>
  <c r="C41" i="6161"/>
  <c r="C43" i="6161"/>
  <c r="H47" i="6161"/>
  <c r="H51" i="6161"/>
  <c r="H33" i="6161"/>
  <c r="H34" i="6161"/>
  <c r="H20" i="6161"/>
  <c r="H37" i="6161"/>
  <c r="H39" i="6161"/>
  <c r="H41" i="6161"/>
  <c r="H43" i="6161"/>
  <c r="H45" i="6161"/>
  <c r="H48" i="6161"/>
  <c r="O23" i="6159" l="1"/>
  <c r="O18" i="6159"/>
  <c r="C30" i="6159"/>
  <c r="B25" i="6159"/>
  <c r="C16" i="6159"/>
  <c r="B15" i="6159"/>
  <c r="H52" i="6159" s="1"/>
  <c r="B14" i="6159"/>
  <c r="B24" i="6159" s="1"/>
  <c r="B13" i="6159"/>
  <c r="C13" i="6159" s="1"/>
  <c r="O12" i="6159"/>
  <c r="C12" i="6159"/>
  <c r="O11" i="6159"/>
  <c r="C11" i="6159"/>
  <c r="O10" i="6159"/>
  <c r="C10" i="6159"/>
  <c r="C9" i="6159"/>
  <c r="C8" i="6159"/>
  <c r="O7" i="6159"/>
  <c r="C7" i="6159"/>
  <c r="O6" i="6159"/>
  <c r="B6" i="6159"/>
  <c r="O5" i="6159"/>
  <c r="B5" i="6159"/>
  <c r="O4" i="6159"/>
  <c r="O3" i="6159"/>
  <c r="O2" i="6159"/>
  <c r="O21" i="6157"/>
  <c r="O18" i="6157"/>
  <c r="C30" i="6157"/>
  <c r="B25" i="6157"/>
  <c r="C16" i="6157"/>
  <c r="B15" i="6157"/>
  <c r="H52" i="6157" s="1"/>
  <c r="B14" i="6157"/>
  <c r="B24" i="6157" s="1"/>
  <c r="B13" i="6157"/>
  <c r="C13" i="6157" s="1"/>
  <c r="O12" i="6157"/>
  <c r="C12" i="6157"/>
  <c r="O11" i="6157"/>
  <c r="C11" i="6157"/>
  <c r="O10" i="6157"/>
  <c r="C10" i="6157"/>
  <c r="C9" i="6157"/>
  <c r="C8" i="6157"/>
  <c r="O7" i="6157"/>
  <c r="C7" i="6157"/>
  <c r="O6" i="6157"/>
  <c r="B6" i="6157"/>
  <c r="O5" i="6157"/>
  <c r="B5" i="6157"/>
  <c r="O4" i="6157"/>
  <c r="O3" i="6157"/>
  <c r="O2" i="6157"/>
  <c r="O18" i="6147"/>
  <c r="O20" i="6155"/>
  <c r="O17" i="6155"/>
  <c r="C30" i="6155"/>
  <c r="B25" i="6155"/>
  <c r="C16" i="6155"/>
  <c r="B15" i="6155"/>
  <c r="H16" i="6155" s="1"/>
  <c r="B14" i="6155"/>
  <c r="B24" i="6155" s="1"/>
  <c r="B13" i="6155"/>
  <c r="C13" i="6155" s="1"/>
  <c r="O12" i="6155"/>
  <c r="C12" i="6155"/>
  <c r="O11" i="6155"/>
  <c r="C11" i="6155"/>
  <c r="O10" i="6155"/>
  <c r="C10" i="6155"/>
  <c r="C9" i="6155"/>
  <c r="C8" i="6155"/>
  <c r="O7" i="6155"/>
  <c r="C7" i="6155"/>
  <c r="O6" i="6155"/>
  <c r="B6" i="6155"/>
  <c r="O5" i="6155"/>
  <c r="B5" i="6155"/>
  <c r="O4" i="6155"/>
  <c r="O3" i="6155"/>
  <c r="O2" i="6155"/>
  <c r="O22" i="6147"/>
  <c r="O23" i="6147"/>
  <c r="C14" i="6155" l="1"/>
  <c r="C14" i="6157"/>
  <c r="H13" i="6155"/>
  <c r="H8" i="6155"/>
  <c r="H6" i="6155"/>
  <c r="H20" i="6155"/>
  <c r="C42" i="6155"/>
  <c r="C20" i="6155"/>
  <c r="H10" i="6155"/>
  <c r="H23" i="6155"/>
  <c r="C34" i="6155"/>
  <c r="C38" i="6155"/>
  <c r="H7" i="6159"/>
  <c r="C14" i="6159"/>
  <c r="H11" i="6159"/>
  <c r="H10" i="6159"/>
  <c r="H23" i="6159"/>
  <c r="H18" i="6159"/>
  <c r="C40" i="6159"/>
  <c r="H6" i="6159"/>
  <c r="H17" i="6159"/>
  <c r="C15" i="6159"/>
  <c r="H15" i="6159"/>
  <c r="C21" i="6159"/>
  <c r="H24" i="6159"/>
  <c r="C34" i="6159"/>
  <c r="C42" i="6159"/>
  <c r="H22" i="6159"/>
  <c r="C17" i="6159"/>
  <c r="H5" i="6159"/>
  <c r="H12" i="6159"/>
  <c r="H14" i="6159"/>
  <c r="C36" i="6159"/>
  <c r="C44" i="6159"/>
  <c r="C32" i="6159"/>
  <c r="H4" i="6159"/>
  <c r="H2" i="6159"/>
  <c r="H3" i="6159"/>
  <c r="H29" i="6159"/>
  <c r="C18" i="6159"/>
  <c r="H21" i="6159"/>
  <c r="H8" i="6159"/>
  <c r="H28" i="6159"/>
  <c r="C19" i="6159"/>
  <c r="H20" i="6159"/>
  <c r="C38" i="6159"/>
  <c r="H49" i="6159"/>
  <c r="H19" i="6159"/>
  <c r="H30" i="6159"/>
  <c r="H31" i="6159"/>
  <c r="H32" i="6159"/>
  <c r="H13" i="6159"/>
  <c r="H9" i="6159"/>
  <c r="H34" i="6159"/>
  <c r="C33" i="6159"/>
  <c r="C35" i="6159"/>
  <c r="C37" i="6159"/>
  <c r="C39" i="6159"/>
  <c r="C41" i="6159"/>
  <c r="C43" i="6159"/>
  <c r="H47" i="6159"/>
  <c r="H51" i="6159"/>
  <c r="B23" i="6159"/>
  <c r="H33" i="6159"/>
  <c r="H26" i="6159"/>
  <c r="H36" i="6159"/>
  <c r="H38" i="6159"/>
  <c r="H40" i="6159"/>
  <c r="H27" i="6159"/>
  <c r="H43" i="6159"/>
  <c r="H45" i="6159"/>
  <c r="H48" i="6159"/>
  <c r="H16" i="6159"/>
  <c r="C20" i="6159"/>
  <c r="B22" i="6159"/>
  <c r="H25" i="6159"/>
  <c r="H35" i="6159"/>
  <c r="H37" i="6159"/>
  <c r="H39" i="6159"/>
  <c r="H41" i="6159"/>
  <c r="H42" i="6159"/>
  <c r="H44" i="6159"/>
  <c r="H46" i="6159"/>
  <c r="H50" i="6159"/>
  <c r="H10" i="6157"/>
  <c r="H13" i="6157"/>
  <c r="H6" i="6157"/>
  <c r="H29" i="6157"/>
  <c r="H24" i="6157"/>
  <c r="C15" i="6157"/>
  <c r="H16" i="6157"/>
  <c r="H31" i="6157"/>
  <c r="H32" i="6157"/>
  <c r="H22" i="6157"/>
  <c r="H14" i="6157"/>
  <c r="H8" i="6157"/>
  <c r="H19" i="6157"/>
  <c r="C33" i="6157"/>
  <c r="C35" i="6157"/>
  <c r="C37" i="6157"/>
  <c r="C39" i="6157"/>
  <c r="C41" i="6157"/>
  <c r="C43" i="6157"/>
  <c r="H47" i="6157"/>
  <c r="H51" i="6157"/>
  <c r="H5" i="6157"/>
  <c r="H20" i="6157"/>
  <c r="C17" i="6157"/>
  <c r="C19" i="6157"/>
  <c r="C21" i="6157"/>
  <c r="B23" i="6157"/>
  <c r="H23" i="6157"/>
  <c r="H27" i="6157"/>
  <c r="H36" i="6157"/>
  <c r="H28" i="6157"/>
  <c r="H39" i="6157"/>
  <c r="H41" i="6157"/>
  <c r="H43" i="6157"/>
  <c r="H45" i="6157"/>
  <c r="H48" i="6157"/>
  <c r="H12" i="6157"/>
  <c r="H3" i="6157"/>
  <c r="H2" i="6157"/>
  <c r="H11" i="6157"/>
  <c r="H4" i="6157"/>
  <c r="H25" i="6157"/>
  <c r="H21" i="6157"/>
  <c r="H17" i="6157"/>
  <c r="H15" i="6157"/>
  <c r="H26" i="6157"/>
  <c r="H33" i="6157"/>
  <c r="H18" i="6157"/>
  <c r="C32" i="6157"/>
  <c r="C34" i="6157"/>
  <c r="C36" i="6157"/>
  <c r="C38" i="6157"/>
  <c r="C40" i="6157"/>
  <c r="C42" i="6157"/>
  <c r="C44" i="6157"/>
  <c r="H49" i="6157"/>
  <c r="H7" i="6157"/>
  <c r="H9" i="6157"/>
  <c r="H30" i="6157"/>
  <c r="C18" i="6157"/>
  <c r="C20" i="6157"/>
  <c r="B22" i="6157"/>
  <c r="H34" i="6157"/>
  <c r="H35" i="6157"/>
  <c r="H37" i="6157"/>
  <c r="H38" i="6157"/>
  <c r="H40" i="6157"/>
  <c r="H42" i="6157"/>
  <c r="H44" i="6157"/>
  <c r="H46" i="6157"/>
  <c r="H50" i="6157"/>
  <c r="H49" i="6155"/>
  <c r="H12" i="6155"/>
  <c r="H36" i="6155"/>
  <c r="H40" i="6155"/>
  <c r="H44" i="6155"/>
  <c r="H50" i="6155"/>
  <c r="H17" i="6155"/>
  <c r="C15" i="6155"/>
  <c r="B22" i="6155"/>
  <c r="H29" i="6155"/>
  <c r="C32" i="6155"/>
  <c r="C40" i="6155"/>
  <c r="C44" i="6155"/>
  <c r="H5" i="6155"/>
  <c r="H22" i="6155"/>
  <c r="H18" i="6155"/>
  <c r="H7" i="6155"/>
  <c r="H21" i="6155"/>
  <c r="C18" i="6155"/>
  <c r="C36" i="6155"/>
  <c r="H3" i="6155"/>
  <c r="H2" i="6155"/>
  <c r="H9" i="6155"/>
  <c r="H4" i="6155"/>
  <c r="H24" i="6155"/>
  <c r="H19" i="6155"/>
  <c r="H28" i="6155"/>
  <c r="H30" i="6155"/>
  <c r="H34" i="6155"/>
  <c r="H38" i="6155"/>
  <c r="H42" i="6155"/>
  <c r="H46" i="6155"/>
  <c r="H52" i="6155"/>
  <c r="H15" i="6155"/>
  <c r="H25" i="6155"/>
  <c r="H26" i="6155"/>
  <c r="H27" i="6155"/>
  <c r="H14" i="6155"/>
  <c r="H11" i="6155"/>
  <c r="H32" i="6155"/>
  <c r="C33" i="6155"/>
  <c r="C35" i="6155"/>
  <c r="C37" i="6155"/>
  <c r="C39" i="6155"/>
  <c r="C41" i="6155"/>
  <c r="C43" i="6155"/>
  <c r="H47" i="6155"/>
  <c r="H51" i="6155"/>
  <c r="C17" i="6155"/>
  <c r="C19" i="6155"/>
  <c r="C21" i="6155"/>
  <c r="B23" i="6155"/>
  <c r="H31" i="6155"/>
  <c r="H33" i="6155"/>
  <c r="H35" i="6155"/>
  <c r="H37" i="6155"/>
  <c r="H39" i="6155"/>
  <c r="H41" i="6155"/>
  <c r="H43" i="6155"/>
  <c r="H45" i="6155"/>
  <c r="H48" i="6155"/>
  <c r="O23" i="6153" l="1"/>
  <c r="O19" i="6153"/>
  <c r="C30" i="6153"/>
  <c r="B25" i="6153"/>
  <c r="C16" i="6153"/>
  <c r="B15" i="6153"/>
  <c r="H52" i="6153" s="1"/>
  <c r="B14" i="6153"/>
  <c r="B24" i="6153" s="1"/>
  <c r="B13" i="6153"/>
  <c r="C13" i="6153" s="1"/>
  <c r="O12" i="6153"/>
  <c r="C12" i="6153"/>
  <c r="O11" i="6153"/>
  <c r="C11" i="6153"/>
  <c r="O10" i="6153"/>
  <c r="C10" i="6153"/>
  <c r="C9" i="6153"/>
  <c r="C8" i="6153"/>
  <c r="O7" i="6153"/>
  <c r="C7" i="6153"/>
  <c r="O6" i="6153"/>
  <c r="B6" i="6153"/>
  <c r="O5" i="6153"/>
  <c r="B5" i="6153"/>
  <c r="O4" i="6153"/>
  <c r="O3" i="6153"/>
  <c r="O2" i="6153"/>
  <c r="O21" i="6151"/>
  <c r="O19" i="6151"/>
  <c r="C30" i="6151"/>
  <c r="B25" i="6151"/>
  <c r="C16" i="6151"/>
  <c r="B15" i="6151"/>
  <c r="H16" i="6151" s="1"/>
  <c r="B14" i="6151"/>
  <c r="C14" i="6151" s="1"/>
  <c r="B13" i="6151"/>
  <c r="C13" i="6151" s="1"/>
  <c r="O12" i="6151"/>
  <c r="C12" i="6151"/>
  <c r="O11" i="6151"/>
  <c r="C11" i="6151"/>
  <c r="O10" i="6151"/>
  <c r="C10" i="6151"/>
  <c r="C9" i="6151"/>
  <c r="C8" i="6151"/>
  <c r="O7" i="6151"/>
  <c r="C7" i="6151"/>
  <c r="O6" i="6151"/>
  <c r="B6" i="6151"/>
  <c r="O5" i="6151"/>
  <c r="B5" i="6151"/>
  <c r="O4" i="6151"/>
  <c r="O3" i="6151"/>
  <c r="O2" i="6151"/>
  <c r="O19" i="6147"/>
  <c r="O18" i="6149"/>
  <c r="O20" i="6149"/>
  <c r="C30" i="6149"/>
  <c r="B25" i="6149"/>
  <c r="C16" i="6149"/>
  <c r="B15" i="6149"/>
  <c r="H52" i="6149" s="1"/>
  <c r="B14" i="6149"/>
  <c r="B24" i="6149" s="1"/>
  <c r="B13" i="6149"/>
  <c r="C13" i="6149" s="1"/>
  <c r="O12" i="6149"/>
  <c r="C12" i="6149"/>
  <c r="O11" i="6149"/>
  <c r="C11" i="6149"/>
  <c r="O10" i="6149"/>
  <c r="C10" i="6149"/>
  <c r="C9" i="6149"/>
  <c r="C8" i="6149"/>
  <c r="O7" i="6149"/>
  <c r="C7" i="6149"/>
  <c r="O6" i="6149"/>
  <c r="B6" i="6149"/>
  <c r="O5" i="6149"/>
  <c r="B5" i="6149"/>
  <c r="O4" i="6149"/>
  <c r="O3" i="6149"/>
  <c r="O2" i="6149"/>
  <c r="O21" i="6147"/>
  <c r="O24" i="6147"/>
  <c r="C30" i="6147"/>
  <c r="B25" i="6147"/>
  <c r="C16" i="6147"/>
  <c r="B15" i="6147"/>
  <c r="H51" i="6147" s="1"/>
  <c r="B14" i="6147"/>
  <c r="C14" i="6147" s="1"/>
  <c r="B13" i="6147"/>
  <c r="C13" i="6147" s="1"/>
  <c r="O12" i="6147"/>
  <c r="C12" i="6147"/>
  <c r="O11" i="6147"/>
  <c r="C11" i="6147"/>
  <c r="O10" i="6147"/>
  <c r="C10" i="6147"/>
  <c r="C9" i="6147"/>
  <c r="C8" i="6147"/>
  <c r="O7" i="6147"/>
  <c r="C7" i="6147"/>
  <c r="O6" i="6147"/>
  <c r="B6" i="6147"/>
  <c r="O5" i="6147"/>
  <c r="B5" i="6147"/>
  <c r="O4" i="6147"/>
  <c r="O3" i="6147"/>
  <c r="O2" i="6147"/>
  <c r="H11" i="6153" l="1"/>
  <c r="B24" i="6151"/>
  <c r="H4" i="6151"/>
  <c r="C14" i="6149"/>
  <c r="H2" i="6153"/>
  <c r="C14" i="6153"/>
  <c r="H5" i="6153"/>
  <c r="H6" i="6153"/>
  <c r="H3" i="6153"/>
  <c r="C15" i="6153"/>
  <c r="H12" i="6153"/>
  <c r="H10" i="6153"/>
  <c r="H22" i="6153"/>
  <c r="H21" i="6153"/>
  <c r="H16" i="6153"/>
  <c r="H29" i="6153"/>
  <c r="H30" i="6153"/>
  <c r="H25" i="6153"/>
  <c r="H13" i="6153"/>
  <c r="H9" i="6153"/>
  <c r="H20" i="6153"/>
  <c r="C33" i="6153"/>
  <c r="C35" i="6153"/>
  <c r="C37" i="6153"/>
  <c r="C39" i="6153"/>
  <c r="C41" i="6153"/>
  <c r="C43" i="6153"/>
  <c r="H47" i="6153"/>
  <c r="H51" i="6153"/>
  <c r="H7" i="6153"/>
  <c r="H23" i="6153"/>
  <c r="C17" i="6153"/>
  <c r="C19" i="6153"/>
  <c r="C21" i="6153"/>
  <c r="B23" i="6153"/>
  <c r="H26" i="6153"/>
  <c r="H34" i="6153"/>
  <c r="H27" i="6153"/>
  <c r="H37" i="6153"/>
  <c r="H39" i="6153"/>
  <c r="H41" i="6153"/>
  <c r="H43" i="6153"/>
  <c r="H45" i="6153"/>
  <c r="H48" i="6153"/>
  <c r="H19" i="6153"/>
  <c r="H24" i="6153"/>
  <c r="H18" i="6153"/>
  <c r="H17" i="6153"/>
  <c r="H14" i="6153"/>
  <c r="H31" i="6153"/>
  <c r="H32" i="6153"/>
  <c r="H15" i="6153"/>
  <c r="C32" i="6153"/>
  <c r="C34" i="6153"/>
  <c r="C36" i="6153"/>
  <c r="C38" i="6153"/>
  <c r="C40" i="6153"/>
  <c r="C42" i="6153"/>
  <c r="C44" i="6153"/>
  <c r="H49" i="6153"/>
  <c r="H4" i="6153"/>
  <c r="H8" i="6153"/>
  <c r="H28" i="6153"/>
  <c r="C18" i="6153"/>
  <c r="C20" i="6153"/>
  <c r="B22" i="6153"/>
  <c r="H33" i="6153"/>
  <c r="H35" i="6153"/>
  <c r="H36" i="6153"/>
  <c r="H38" i="6153"/>
  <c r="H40" i="6153"/>
  <c r="H42" i="6153"/>
  <c r="H44" i="6153"/>
  <c r="H46" i="6153"/>
  <c r="H50" i="6153"/>
  <c r="H9" i="6151"/>
  <c r="H2" i="6151"/>
  <c r="H26" i="6151"/>
  <c r="C38" i="6151"/>
  <c r="H6" i="6151"/>
  <c r="H11" i="6151"/>
  <c r="C15" i="6151"/>
  <c r="H17" i="6151"/>
  <c r="H19" i="6151"/>
  <c r="C34" i="6151"/>
  <c r="C40" i="6151"/>
  <c r="H29" i="6151"/>
  <c r="C18" i="6151"/>
  <c r="H52" i="6151"/>
  <c r="H20" i="6151"/>
  <c r="C20" i="6151"/>
  <c r="C36" i="6151"/>
  <c r="H43" i="6151"/>
  <c r="H49" i="6151"/>
  <c r="H23" i="6151"/>
  <c r="H18" i="6151"/>
  <c r="H25" i="6151"/>
  <c r="H36" i="6151"/>
  <c r="C44" i="6151"/>
  <c r="H10" i="6151"/>
  <c r="H13" i="6151"/>
  <c r="H3" i="6151"/>
  <c r="H31" i="6151"/>
  <c r="B22" i="6151"/>
  <c r="H34" i="6151"/>
  <c r="C32" i="6151"/>
  <c r="H39" i="6151"/>
  <c r="C42" i="6151"/>
  <c r="H5" i="6151"/>
  <c r="H24" i="6151"/>
  <c r="H14" i="6151"/>
  <c r="H37" i="6151"/>
  <c r="H41" i="6151"/>
  <c r="H45" i="6151"/>
  <c r="H50" i="6151"/>
  <c r="H15" i="6151"/>
  <c r="H32" i="6151"/>
  <c r="H33" i="6151"/>
  <c r="H21" i="6151"/>
  <c r="H12" i="6151"/>
  <c r="H8" i="6151"/>
  <c r="H22" i="6151"/>
  <c r="C33" i="6151"/>
  <c r="C35" i="6151"/>
  <c r="C37" i="6151"/>
  <c r="C39" i="6151"/>
  <c r="C41" i="6151"/>
  <c r="C43" i="6151"/>
  <c r="H47" i="6151"/>
  <c r="H51" i="6151"/>
  <c r="H7" i="6151"/>
  <c r="H30" i="6151"/>
  <c r="C17" i="6151"/>
  <c r="C19" i="6151"/>
  <c r="C21" i="6151"/>
  <c r="B23" i="6151"/>
  <c r="H28" i="6151"/>
  <c r="H35" i="6151"/>
  <c r="H27" i="6151"/>
  <c r="H38" i="6151"/>
  <c r="H40" i="6151"/>
  <c r="H42" i="6151"/>
  <c r="H44" i="6151"/>
  <c r="H46" i="6151"/>
  <c r="H48" i="6151"/>
  <c r="H7" i="6149"/>
  <c r="C17" i="6149"/>
  <c r="C21" i="6149"/>
  <c r="H30" i="6149"/>
  <c r="C34" i="6149"/>
  <c r="C42" i="6149"/>
  <c r="H20" i="6149"/>
  <c r="H11" i="6149"/>
  <c r="C36" i="6149"/>
  <c r="C44" i="6149"/>
  <c r="H12" i="6149"/>
  <c r="H10" i="6149"/>
  <c r="C15" i="6149"/>
  <c r="H17" i="6149"/>
  <c r="H8" i="6149"/>
  <c r="H25" i="6149"/>
  <c r="H21" i="6149"/>
  <c r="C19" i="6149"/>
  <c r="H29" i="6149"/>
  <c r="C38" i="6149"/>
  <c r="H48" i="6149"/>
  <c r="H6" i="6149"/>
  <c r="H18" i="6149"/>
  <c r="H16" i="6149"/>
  <c r="H5" i="6149"/>
  <c r="H2" i="6149"/>
  <c r="H9" i="6149"/>
  <c r="H3" i="6149"/>
  <c r="H14" i="6149"/>
  <c r="C32" i="6149"/>
  <c r="C40" i="6149"/>
  <c r="H4" i="6149"/>
  <c r="H22" i="6149"/>
  <c r="H27" i="6149"/>
  <c r="H28" i="6149"/>
  <c r="H23" i="6149"/>
  <c r="H15" i="6149"/>
  <c r="H13" i="6149"/>
  <c r="H32" i="6149"/>
  <c r="C33" i="6149"/>
  <c r="C35" i="6149"/>
  <c r="C37" i="6149"/>
  <c r="C39" i="6149"/>
  <c r="C41" i="6149"/>
  <c r="C43" i="6149"/>
  <c r="H46" i="6149"/>
  <c r="H50" i="6149"/>
  <c r="B23" i="6149"/>
  <c r="H31" i="6149"/>
  <c r="H24" i="6149"/>
  <c r="H34" i="6149"/>
  <c r="H36" i="6149"/>
  <c r="H38" i="6149"/>
  <c r="H40" i="6149"/>
  <c r="H42" i="6149"/>
  <c r="H44" i="6149"/>
  <c r="H47" i="6149"/>
  <c r="H51" i="6149"/>
  <c r="H26" i="6149"/>
  <c r="C18" i="6149"/>
  <c r="C20" i="6149"/>
  <c r="B22" i="6149"/>
  <c r="H19" i="6149"/>
  <c r="H33" i="6149"/>
  <c r="H35" i="6149"/>
  <c r="H37" i="6149"/>
  <c r="H39" i="6149"/>
  <c r="H41" i="6149"/>
  <c r="H43" i="6149"/>
  <c r="H45" i="6149"/>
  <c r="H49" i="6149"/>
  <c r="H10" i="6147"/>
  <c r="H6" i="6147"/>
  <c r="H20" i="6147"/>
  <c r="H8" i="6147"/>
  <c r="H35" i="6147"/>
  <c r="C19" i="6147"/>
  <c r="H14" i="6147"/>
  <c r="H30" i="6147"/>
  <c r="H29" i="6147"/>
  <c r="C36" i="6147"/>
  <c r="H42" i="6147"/>
  <c r="H44" i="6147"/>
  <c r="C44" i="6147"/>
  <c r="H50" i="6147"/>
  <c r="H12" i="6147"/>
  <c r="H24" i="6147"/>
  <c r="C17" i="6147"/>
  <c r="H17" i="6147"/>
  <c r="H27" i="6147"/>
  <c r="C34" i="6147"/>
  <c r="H40" i="6147"/>
  <c r="C42" i="6147"/>
  <c r="H34" i="6147"/>
  <c r="C15" i="6147"/>
  <c r="C20" i="6147"/>
  <c r="H28" i="6147"/>
  <c r="C32" i="6147"/>
  <c r="H39" i="6147"/>
  <c r="H41" i="6147"/>
  <c r="C40" i="6147"/>
  <c r="H45" i="6147"/>
  <c r="H48" i="6147"/>
  <c r="H5" i="6147"/>
  <c r="B22" i="6147"/>
  <c r="H31" i="6147"/>
  <c r="H33" i="6147"/>
  <c r="H16" i="6147"/>
  <c r="H7" i="6147"/>
  <c r="H23" i="6147"/>
  <c r="B23" i="6147"/>
  <c r="H19" i="6147"/>
  <c r="H22" i="6147"/>
  <c r="H4" i="6147"/>
  <c r="H2" i="6147"/>
  <c r="H11" i="6147"/>
  <c r="H3" i="6147"/>
  <c r="H26" i="6147"/>
  <c r="C18" i="6147"/>
  <c r="C21" i="6147"/>
  <c r="H18" i="6147"/>
  <c r="H38" i="6147"/>
  <c r="H32" i="6147"/>
  <c r="C38" i="6147"/>
  <c r="H43" i="6147"/>
  <c r="H46" i="6147"/>
  <c r="H49" i="6147"/>
  <c r="H52" i="6147"/>
  <c r="B24" i="6147"/>
  <c r="H15" i="6147"/>
  <c r="H36" i="6147"/>
  <c r="H37" i="6147"/>
  <c r="H25" i="6147"/>
  <c r="H13" i="6147"/>
  <c r="H9" i="6147"/>
  <c r="H21" i="6147"/>
  <c r="C33" i="6147"/>
  <c r="C35" i="6147"/>
  <c r="C37" i="6147"/>
  <c r="C39" i="6147"/>
  <c r="C41" i="6147"/>
  <c r="C43" i="6147"/>
  <c r="H47" i="6147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<sst xmlns="http://schemas.openxmlformats.org/spreadsheetml/2006/main" count="3799" uniqueCount="289">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</sst>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全体!$K$2:$K$791</c:f>
              <c:numCache>
                <c:formatCode>General</c:formatCode>
                <c:ptCount val="7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</c:numCache>
            </c:numRef>
          </c:xVal>
          <c:yVal>
            <c:numRef>
              <c:f>全体!$L$2:$L$791</c:f>
              <c:numCache>
                <c:formatCode>\+0.0;\-0.0;\±0</c:formatCode>
                <c:ptCount val="79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E-4FBB-BF05-EE4C73340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-27.989821882951652</c:v>
                </c:pt>
                <c:pt idx="1">
                  <c:v>11.627906976744185</c:v>
                </c:pt>
                <c:pt idx="2">
                  <c:v>-8.2304526748971192</c:v>
                </c:pt>
                <c:pt idx="3">
                  <c:v>10.144927536231885</c:v>
                </c:pt>
                <c:pt idx="4">
                  <c:v>4.716981132075472</c:v>
                </c:pt>
                <c:pt idx="5">
                  <c:v>14.9812734082397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5-4A97-B64D-905859C0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148</c:v>
                </c:pt>
                <c:pt idx="1">
                  <c:v>329</c:v>
                </c:pt>
                <c:pt idx="2">
                  <c:v>384</c:v>
                </c:pt>
                <c:pt idx="3">
                  <c:v>343</c:v>
                </c:pt>
                <c:pt idx="4">
                  <c:v>311</c:v>
                </c:pt>
                <c:pt idx="5">
                  <c:v>204</c:v>
                </c:pt>
                <c:pt idx="6">
                  <c:v>108</c:v>
                </c:pt>
                <c:pt idx="7">
                  <c:v>53</c:v>
                </c:pt>
                <c:pt idx="8">
                  <c:v>26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1-44D9-8A03-D8593E269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たかの!$L$2:$L$70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E7-429D-B06C-6CB25D078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1494.1176470588234</c:v>
                </c:pt>
                <c:pt idx="1">
                  <c:v>-1811.9402985074628</c:v>
                </c:pt>
                <c:pt idx="2">
                  <c:v>-1627.6923076923076</c:v>
                </c:pt>
                <c:pt idx="3">
                  <c:v>-1221.311475409836</c:v>
                </c:pt>
                <c:pt idx="4">
                  <c:v>-223.33333333333334</c:v>
                </c:pt>
                <c:pt idx="5">
                  <c:v>-2334.6153846153848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1-487E-B638-A08952303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37</c:v>
                </c:pt>
                <c:pt idx="2">
                  <c:v>35</c:v>
                </c:pt>
                <c:pt idx="3">
                  <c:v>24</c:v>
                </c:pt>
                <c:pt idx="4">
                  <c:v>17</c:v>
                </c:pt>
                <c:pt idx="5">
                  <c:v>14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5-49F3-9DCE-973F7068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だいち!$K$2:$K$157</c:f>
              <c:numCache>
                <c:formatCode>General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だいち!$L$2:$L$157</c:f>
              <c:numCache>
                <c:formatCode>\+0.0;\-0.0;\±0</c:formatCode>
                <c:ptCount val="15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7-4A19-A789-3DE0B396F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1201.2987012987012</c:v>
                </c:pt>
                <c:pt idx="1">
                  <c:v>1026.4900662251655</c:v>
                </c:pt>
                <c:pt idx="2">
                  <c:v>773.10344827586209</c:v>
                </c:pt>
                <c:pt idx="3">
                  <c:v>150.37037037037038</c:v>
                </c:pt>
                <c:pt idx="4">
                  <c:v>2001.6</c:v>
                </c:pt>
                <c:pt idx="5">
                  <c:v>1746.0784313725489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D-445B-BBA5-F25718B3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40</c:v>
                </c:pt>
                <c:pt idx="1">
                  <c:v>79</c:v>
                </c:pt>
                <c:pt idx="2">
                  <c:v>90</c:v>
                </c:pt>
                <c:pt idx="3">
                  <c:v>79</c:v>
                </c:pt>
                <c:pt idx="4">
                  <c:v>62</c:v>
                </c:pt>
                <c:pt idx="5">
                  <c:v>40</c:v>
                </c:pt>
                <c:pt idx="6">
                  <c:v>21</c:v>
                </c:pt>
                <c:pt idx="7">
                  <c:v>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9-429D-AEA7-69B467CC3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ただ!$K$2:$K$139</c:f>
              <c:numCache>
                <c:formatCode>General</c:formatCode>
                <c:ptCount val="1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</c:numCache>
            </c:numRef>
          </c:xVal>
          <c:yVal>
            <c:numRef>
              <c:f>ただ!$L$2:$L$139</c:f>
              <c:numCache>
                <c:formatCode>\+0.0;\-0.0;\±0</c:formatCode>
                <c:ptCount val="13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1F-4750-B41E-E06FFC9E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-1557.3529411764705</c:v>
                </c:pt>
                <c:pt idx="1">
                  <c:v>1505.2238805970148</c:v>
                </c:pt>
                <c:pt idx="2">
                  <c:v>-285.36585365853659</c:v>
                </c:pt>
                <c:pt idx="3">
                  <c:v>394.87179487179486</c:v>
                </c:pt>
                <c:pt idx="4">
                  <c:v>-935.51401869158883</c:v>
                </c:pt>
                <c:pt idx="5">
                  <c:v>1464.4444444444443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4-4597-A3A0-7FA96601B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24</c:v>
                </c:pt>
                <c:pt idx="1">
                  <c:v>56</c:v>
                </c:pt>
                <c:pt idx="2">
                  <c:v>71</c:v>
                </c:pt>
                <c:pt idx="3">
                  <c:v>75</c:v>
                </c:pt>
                <c:pt idx="4">
                  <c:v>52</c:v>
                </c:pt>
                <c:pt idx="5">
                  <c:v>38</c:v>
                </c:pt>
                <c:pt idx="6">
                  <c:v>12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89A-958A-14566B892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りくと!$L$2:$L$93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F-4148-AF10-404AB097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-144.44444444444446</c:v>
                </c:pt>
                <c:pt idx="1">
                  <c:v>-1234.4444444444443</c:v>
                </c:pt>
                <c:pt idx="2">
                  <c:v>597.61904761904759</c:v>
                </c:pt>
                <c:pt idx="3">
                  <c:v>-551.80722891566268</c:v>
                </c:pt>
                <c:pt idx="4">
                  <c:v>-2937.1794871794873</c:v>
                </c:pt>
                <c:pt idx="5">
                  <c:v>-1258.2089552238806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D-4CCC-A189-F5B83A9F2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49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4-44E5-81A3-D89F38710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れんたろう!$L$2:$L$108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1-48E5-BF9E-A48CDAEA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1137.7358490566037</c:v>
                </c:pt>
                <c:pt idx="1">
                  <c:v>-1135.5769230769231</c:v>
                </c:pt>
                <c:pt idx="2">
                  <c:v>-298.94736842105266</c:v>
                </c:pt>
                <c:pt idx="3">
                  <c:v>2636.2637362637361</c:v>
                </c:pt>
                <c:pt idx="4">
                  <c:v>440.2439024390244</c:v>
                </c:pt>
                <c:pt idx="5">
                  <c:v>281.81818181818181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2-4D45-9FA2-FC4DC0279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30</c:v>
                </c:pt>
                <c:pt idx="3">
                  <c:v>45</c:v>
                </c:pt>
                <c:pt idx="4">
                  <c:v>57</c:v>
                </c:pt>
                <c:pt idx="5">
                  <c:v>27</c:v>
                </c:pt>
                <c:pt idx="6">
                  <c:v>21</c:v>
                </c:pt>
                <c:pt idx="7">
                  <c:v>15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4-443D-A42C-54C7E0EBB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まっつん!$L$2:$L$122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67-4E08-8A99-C49999092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295.83333333333331</c:v>
                </c:pt>
                <c:pt idx="1">
                  <c:v>230.76923076923077</c:v>
                </c:pt>
                <c:pt idx="2">
                  <c:v>508.10810810810813</c:v>
                </c:pt>
                <c:pt idx="3">
                  <c:v>198.0392156862745</c:v>
                </c:pt>
                <c:pt idx="4">
                  <c:v>104.39560439560439</c:v>
                </c:pt>
                <c:pt idx="5">
                  <c:v>-1056.9620253164558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A-4B84-88AE-A416EAC2E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50</c:v>
                </c:pt>
                <c:pt idx="2">
                  <c:v>59</c:v>
                </c:pt>
                <c:pt idx="3">
                  <c:v>50</c:v>
                </c:pt>
                <c:pt idx="4">
                  <c:v>40</c:v>
                </c:pt>
                <c:pt idx="5">
                  <c:v>32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B-4627-BB95-6DC8DD55E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のり!$L$2:$L$57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D-4B78-A43B-F0D903A22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-2096.3636363636365</c:v>
                </c:pt>
                <c:pt idx="1">
                  <c:v>-261.81818181818181</c:v>
                </c:pt>
                <c:pt idx="2">
                  <c:v>-1358.4905660377358</c:v>
                </c:pt>
                <c:pt idx="3">
                  <c:v>-2133.3333333333335</c:v>
                </c:pt>
                <c:pt idx="4">
                  <c:v>-1854.3478260869565</c:v>
                </c:pt>
                <c:pt idx="5">
                  <c:v>-1846.1538461538462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9-41F6-AD86-20659F6C6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24</c:v>
                </c:pt>
                <c:pt idx="2">
                  <c:v>25</c:v>
                </c:pt>
                <c:pt idx="3">
                  <c:v>16</c:v>
                </c:pt>
                <c:pt idx="4">
                  <c:v>17</c:v>
                </c:pt>
                <c:pt idx="5">
                  <c:v>8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F-4BE4-9F58-986DC97DC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0F-4559-B733-92F5EA96C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24-4F6F-A6E1-77BC001FF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E-479F-A57F-F934D35B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923-9ED5-B35166BF5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D-4F9E-9981-018CEF581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F-4D8D-9709-9C5D13531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B-417F-BED7-E44C5725D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8-42F6-9AEF-1F5A5FFB5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1-48A3-A6FA-F58837C4E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1-4103-9746-BB536D81B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-620</c:v>
                </c:pt>
                <c:pt idx="1">
                  <c:v>380</c:v>
                </c:pt>
                <c:pt idx="2">
                  <c:v>-750</c:v>
                </c:pt>
                <c:pt idx="3">
                  <c:v>1910</c:v>
                </c:pt>
                <c:pt idx="4">
                  <c:v>1222.2222222222222</c:v>
                </c:pt>
                <c:pt idx="5">
                  <c:v>2885.7142857142858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31-4E48-9328-16BB75603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8-4313-83F5-58D092DF0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4-41D8-A8DB-3BA76310B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4-434E-BB5F-F223B9EC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5-4D66-A7A7-FD92BF1E3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37-4190-A1A4-A68A76CBD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8-4F1F-BAE5-83FEA63D4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F-4034-A64A-2717904BA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96163466380676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ともき2!$C$3:$C$13</c:f>
              <c:numCache>
                <c:formatCode>\+0.0;\-0.0;\±0</c:formatCode>
                <c:ptCount val="11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  <c:pt idx="5">
                  <c:v>5.7200000000000006</c:v>
                </c:pt>
                <c:pt idx="6">
                  <c:v>-2.9666666666666663</c:v>
                </c:pt>
                <c:pt idx="7">
                  <c:v>3.3000000000000003</c:v>
                </c:pt>
                <c:pt idx="8">
                  <c:v>5.1624999999999996</c:v>
                </c:pt>
                <c:pt idx="9">
                  <c:v>8.8555555555555543</c:v>
                </c:pt>
                <c:pt idx="10">
                  <c:v>8.61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078787663346864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ともき2!$G$3:$G$13</c:f>
              <c:numCache>
                <c:formatCode>0.0%</c:formatCode>
                <c:ptCount val="11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  <c:pt idx="5">
                  <c:v>0.35555555555555557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0.39240506329113922</c:v>
                </c:pt>
                <c:pt idx="10">
                  <c:v>0.37777777777777777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825678338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ともき2!$H$3:$H$13</c:f>
              <c:numCache>
                <c:formatCode>0.0%</c:formatCode>
                <c:ptCount val="11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  <c:pt idx="5">
                  <c:v>8.8888888888888892E-2</c:v>
                </c:pt>
                <c:pt idx="6">
                  <c:v>0.11320754716981132</c:v>
                </c:pt>
                <c:pt idx="7">
                  <c:v>0.1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64968925269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ともき2!$I$3:$I$13</c:f>
              <c:numCache>
                <c:formatCode>0</c:formatCode>
                <c:ptCount val="11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  <c:pt idx="5">
                  <c:v>6868.75</c:v>
                </c:pt>
                <c:pt idx="6">
                  <c:v>6935.2941176470586</c:v>
                </c:pt>
                <c:pt idx="7">
                  <c:v>7342.8571428571431</c:v>
                </c:pt>
                <c:pt idx="8">
                  <c:v>7608</c:v>
                </c:pt>
                <c:pt idx="9">
                  <c:v>7138.7096774193551</c:v>
                </c:pt>
                <c:pt idx="10">
                  <c:v>7147.0588235294117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2.45632065775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ともき2!$J$3:$J$13</c:f>
              <c:numCache>
                <c:formatCode>0</c:formatCode>
                <c:ptCount val="11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  <c:pt idx="5">
                  <c:v>-6525</c:v>
                </c:pt>
                <c:pt idx="6">
                  <c:v>-8500</c:v>
                </c:pt>
                <c:pt idx="7">
                  <c:v>-8500</c:v>
                </c:pt>
                <c:pt idx="8">
                  <c:v>-8477.7777777777774</c:v>
                </c:pt>
                <c:pt idx="9">
                  <c:v>-8150</c:v>
                </c:pt>
                <c:pt idx="10">
                  <c:v>-7990.909090909091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8.16402609506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05703422053231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ともき2!$L$3:$L$13</c:f>
              <c:numCache>
                <c:formatCode>0.0%</c:formatCode>
                <c:ptCount val="11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  <c:pt idx="5">
                  <c:v>0.31111111111111112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0.35443037974683544</c:v>
                </c:pt>
                <c:pt idx="10">
                  <c:v>0.35555555555555557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48021828103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ともき2!$M$3:$M$13</c:f>
              <c:numCache>
                <c:formatCode>0.0%</c:formatCode>
                <c:ptCount val="11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  <c:pt idx="5">
                  <c:v>0.15555555555555556</c:v>
                </c:pt>
                <c:pt idx="6">
                  <c:v>0.13207547169811321</c:v>
                </c:pt>
                <c:pt idx="7">
                  <c:v>0.11666666666666667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224495983022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ともき2!$N$3:$N$13</c:f>
              <c:numCache>
                <c:formatCode>0.0%</c:formatCode>
                <c:ptCount val="11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  <c:pt idx="5">
                  <c:v>0.7142857142857143</c:v>
                </c:pt>
                <c:pt idx="6">
                  <c:v>0.6470588235294118</c:v>
                </c:pt>
                <c:pt idx="7">
                  <c:v>0.7142857142857143</c:v>
                </c:pt>
                <c:pt idx="8">
                  <c:v>0.68</c:v>
                </c:pt>
                <c:pt idx="9">
                  <c:v>0.6785714285714286</c:v>
                </c:pt>
                <c:pt idx="10">
                  <c:v>0.65625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14657210401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ともき2!$O$3:$O$13</c:f>
              <c:numCache>
                <c:formatCode>0.0%</c:formatCode>
                <c:ptCount val="11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0.72727272727272729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281521014009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ともき2!$P$3:$P$13</c:f>
              <c:numCache>
                <c:formatCode>0.0%</c:formatCode>
                <c:ptCount val="11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0.38095238095238093</c:v>
                </c:pt>
                <c:pt idx="8">
                  <c:v>0.44</c:v>
                </c:pt>
                <c:pt idx="9">
                  <c:v>0.4838709677419355</c:v>
                </c:pt>
                <c:pt idx="10">
                  <c:v>0.47058823529411764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959917780061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2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5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5" x14ac:dyDescent="0.45">
      <c r="A82" s="28" t="s">
        <v>288</v>
      </c>
      <c r="B82" s="29">
        <v>43814.578449074077</v>
      </c>
      <c r="C82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789</v>
      </c>
    </row>
    <row r="2" spans="1:2" x14ac:dyDescent="0.45">
      <c r="A2" t="s">
        <v>161</v>
      </c>
      <c r="B2">
        <v>68</v>
      </c>
    </row>
    <row r="3" spans="1:2" x14ac:dyDescent="0.45">
      <c r="A3" t="s">
        <v>126</v>
      </c>
      <c r="B3">
        <v>155</v>
      </c>
    </row>
    <row r="4" spans="1:2" x14ac:dyDescent="0.45">
      <c r="A4" t="s">
        <v>127</v>
      </c>
      <c r="B4">
        <v>137</v>
      </c>
    </row>
    <row r="5" spans="1:2" x14ac:dyDescent="0.45">
      <c r="A5" t="s">
        <v>172</v>
      </c>
      <c r="B5">
        <v>91</v>
      </c>
    </row>
    <row r="6" spans="1:2" x14ac:dyDescent="0.45">
      <c r="A6" t="s">
        <v>170</v>
      </c>
      <c r="B6">
        <v>106</v>
      </c>
    </row>
    <row r="7" spans="1:2" x14ac:dyDescent="0.45">
      <c r="A7" t="s">
        <v>171</v>
      </c>
      <c r="B7">
        <v>120</v>
      </c>
    </row>
    <row r="8" spans="1:2" x14ac:dyDescent="0.45">
      <c r="A8" t="s">
        <v>197</v>
      </c>
      <c r="B8">
        <v>55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10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0.98311289702695426</v>
      </c>
      <c r="G2" s="167"/>
      <c r="H2" s="166">
        <v>0.88269022157479993</v>
      </c>
      <c r="I2" s="167"/>
      <c r="J2" s="166">
        <v>0.92991968865422858</v>
      </c>
      <c r="K2" s="167"/>
      <c r="L2" s="166">
        <v>0.80555177965712277</v>
      </c>
      <c r="M2" s="167"/>
      <c r="N2" s="166">
        <v>0.64565149329955662</v>
      </c>
      <c r="O2" s="167"/>
      <c r="P2" s="166">
        <v>0.25615951214080823</v>
      </c>
      <c r="Q2" s="167"/>
      <c r="R2" s="166">
        <v>-9.9607930041747724E-3</v>
      </c>
      <c r="S2" s="167"/>
      <c r="T2" s="166">
        <v>0.46268054284402366</v>
      </c>
      <c r="U2" s="167"/>
      <c r="V2" s="166">
        <v>0.70957098479108471</v>
      </c>
      <c r="W2" s="167"/>
      <c r="X2" s="166">
        <v>-0.3587568924548693</v>
      </c>
      <c r="Y2" s="167"/>
      <c r="Z2" s="166">
        <v>0.64619666869153958</v>
      </c>
      <c r="AA2" s="167"/>
      <c r="AB2" s="166">
        <v>0.54695215954557508</v>
      </c>
      <c r="AC2" s="167"/>
      <c r="AD2" s="166">
        <v>0.10905908410694676</v>
      </c>
      <c r="AE2" s="167"/>
      <c r="AF2" s="166">
        <v>0.43732937489564866</v>
      </c>
      <c r="AG2" s="167"/>
    </row>
    <row r="3" spans="1:33" x14ac:dyDescent="0.45">
      <c r="A3" s="70">
        <v>1</v>
      </c>
      <c r="B3" s="71" t="s">
        <v>126</v>
      </c>
      <c r="C3" s="72">
        <v>1213.8000000000002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10790.717299578058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395.80000000000024</v>
      </c>
      <c r="D4" s="81" t="s">
        <v>203</v>
      </c>
      <c r="E4" s="93">
        <v>13.1</v>
      </c>
      <c r="F4" s="81" t="s">
        <v>274</v>
      </c>
      <c r="G4" s="82">
        <v>1.7</v>
      </c>
      <c r="H4" s="81" t="s">
        <v>274</v>
      </c>
      <c r="I4" s="83">
        <v>0.5</v>
      </c>
      <c r="J4" s="81" t="s">
        <v>274</v>
      </c>
      <c r="K4" s="83">
        <v>0.2</v>
      </c>
      <c r="L4" s="81" t="s">
        <v>274</v>
      </c>
      <c r="M4" s="84">
        <v>0.37777777777777777</v>
      </c>
      <c r="N4" s="81" t="s">
        <v>274</v>
      </c>
      <c r="O4" s="84">
        <v>0.12222222222222222</v>
      </c>
      <c r="P4" s="81" t="s">
        <v>281</v>
      </c>
      <c r="Q4" s="85">
        <v>9534.6153846153848</v>
      </c>
      <c r="R4" s="81" t="s">
        <v>171</v>
      </c>
      <c r="S4" s="85">
        <v>-7283.2061068702287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0.65625</v>
      </c>
      <c r="AB4" s="81" t="s">
        <v>274</v>
      </c>
      <c r="AC4" s="84">
        <v>0.72727272727272729</v>
      </c>
      <c r="AD4" s="81" t="s">
        <v>170</v>
      </c>
      <c r="AE4" s="84">
        <v>0.51898734177215189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274</v>
      </c>
      <c r="E5" s="93">
        <v>8.61</v>
      </c>
      <c r="F5" s="81" t="s">
        <v>281</v>
      </c>
      <c r="G5" s="82">
        <v>1.75</v>
      </c>
      <c r="H5" s="81" t="s">
        <v>203</v>
      </c>
      <c r="I5" s="83">
        <v>0.5</v>
      </c>
      <c r="J5" s="81" t="s">
        <v>126</v>
      </c>
      <c r="K5" s="83">
        <v>0.25806451612903225</v>
      </c>
      <c r="L5" s="81" t="s">
        <v>281</v>
      </c>
      <c r="M5" s="84">
        <v>0.37681159420289856</v>
      </c>
      <c r="N5" s="81" t="s">
        <v>126</v>
      </c>
      <c r="O5" s="84">
        <v>0.13307086614173227</v>
      </c>
      <c r="P5" s="81" t="s">
        <v>280</v>
      </c>
      <c r="Q5" s="85">
        <v>8512.5</v>
      </c>
      <c r="R5" s="81" t="s">
        <v>172</v>
      </c>
      <c r="S5" s="85">
        <v>-7539.4366197183099</v>
      </c>
      <c r="T5" s="81" t="s">
        <v>126</v>
      </c>
      <c r="U5" s="83">
        <v>4.5161290322580643E-2</v>
      </c>
      <c r="V5" s="81" t="s">
        <v>274</v>
      </c>
      <c r="W5" s="84">
        <v>0.35555555555555557</v>
      </c>
      <c r="X5" s="81" t="s">
        <v>127</v>
      </c>
      <c r="Y5" s="84">
        <v>0.29991281604184827</v>
      </c>
      <c r="Z5" s="81" t="s">
        <v>126</v>
      </c>
      <c r="AA5" s="84">
        <v>0.59882005899705015</v>
      </c>
      <c r="AB5" s="81" t="s">
        <v>126</v>
      </c>
      <c r="AC5" s="84">
        <v>0.49146757679180886</v>
      </c>
      <c r="AD5" s="81" t="s">
        <v>274</v>
      </c>
      <c r="AE5" s="84">
        <v>0.47058823529411764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274</v>
      </c>
      <c r="C6" s="80">
        <v>86.1</v>
      </c>
      <c r="D6" s="81" t="s">
        <v>126</v>
      </c>
      <c r="E6" s="93">
        <v>7.8309677419354848</v>
      </c>
      <c r="F6" s="81" t="s">
        <v>126</v>
      </c>
      <c r="G6" s="82">
        <v>1.8129032258064517</v>
      </c>
      <c r="H6" s="81" t="s">
        <v>126</v>
      </c>
      <c r="I6" s="83">
        <v>0.44516129032258067</v>
      </c>
      <c r="J6" s="81" t="s">
        <v>171</v>
      </c>
      <c r="K6" s="83">
        <v>0.28333333333333333</v>
      </c>
      <c r="L6" s="81" t="s">
        <v>126</v>
      </c>
      <c r="M6" s="84">
        <v>0.34173228346456691</v>
      </c>
      <c r="N6" s="81" t="s">
        <v>171</v>
      </c>
      <c r="O6" s="84">
        <v>0.13435897435897437</v>
      </c>
      <c r="P6" s="81" t="s">
        <v>196</v>
      </c>
      <c r="Q6" s="85">
        <v>8385.7142857142862</v>
      </c>
      <c r="R6" s="81" t="s">
        <v>126</v>
      </c>
      <c r="S6" s="85">
        <v>-7683.4319526627223</v>
      </c>
      <c r="T6" s="81" t="s">
        <v>171</v>
      </c>
      <c r="U6" s="83">
        <v>6.6666666666666666E-2</v>
      </c>
      <c r="V6" s="81" t="s">
        <v>170</v>
      </c>
      <c r="W6" s="84">
        <v>0.30974477958236657</v>
      </c>
      <c r="X6" s="81" t="s">
        <v>161</v>
      </c>
      <c r="Y6" s="84">
        <v>0.24916943521594684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0.46478873239436619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171</v>
      </c>
      <c r="C7" s="80">
        <v>66.700000000000017</v>
      </c>
      <c r="D7" s="81" t="s">
        <v>170</v>
      </c>
      <c r="E7" s="93">
        <v>3.7339622641509456</v>
      </c>
      <c r="F7" s="81" t="s">
        <v>170</v>
      </c>
      <c r="G7" s="82">
        <v>1.9150943396226414</v>
      </c>
      <c r="H7" s="81" t="s">
        <v>228</v>
      </c>
      <c r="I7" s="83">
        <v>0.42857142857142855</v>
      </c>
      <c r="J7" s="81" t="s">
        <v>127</v>
      </c>
      <c r="K7" s="83">
        <v>0.29927007299270075</v>
      </c>
      <c r="L7" s="81" t="s">
        <v>127</v>
      </c>
      <c r="M7" s="84">
        <v>0.30340017436791633</v>
      </c>
      <c r="N7" s="81" t="s">
        <v>161</v>
      </c>
      <c r="O7" s="84">
        <v>0.15780730897009967</v>
      </c>
      <c r="P7" s="81" t="s">
        <v>141</v>
      </c>
      <c r="Q7" s="85">
        <v>8372.4563206577586</v>
      </c>
      <c r="R7" s="81" t="s">
        <v>141</v>
      </c>
      <c r="S7" s="85">
        <v>-7788.1640260950608</v>
      </c>
      <c r="T7" s="81" t="s">
        <v>161</v>
      </c>
      <c r="U7" s="83">
        <v>7.3529411764705885E-2</v>
      </c>
      <c r="V7" s="81" t="s">
        <v>172</v>
      </c>
      <c r="W7" s="84">
        <v>0.27849740932642486</v>
      </c>
      <c r="X7" s="81" t="s">
        <v>126</v>
      </c>
      <c r="Y7" s="84">
        <v>0.23070866141732282</v>
      </c>
      <c r="Z7" s="81" t="s">
        <v>171</v>
      </c>
      <c r="AA7" s="84">
        <v>0.56106870229007633</v>
      </c>
      <c r="AB7" s="81" t="s">
        <v>171</v>
      </c>
      <c r="AC7" s="84">
        <v>0.44392523364485981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58.999999999999815</v>
      </c>
      <c r="D8" s="81" t="s">
        <v>171</v>
      </c>
      <c r="E8" s="93">
        <v>0.55583333333333351</v>
      </c>
      <c r="F8" s="81" t="s">
        <v>127</v>
      </c>
      <c r="G8" s="82">
        <v>1.9562043795620438</v>
      </c>
      <c r="H8" s="81" t="s">
        <v>170</v>
      </c>
      <c r="I8" s="83">
        <v>0.39622641509433965</v>
      </c>
      <c r="J8" s="81" t="s">
        <v>170</v>
      </c>
      <c r="K8" s="83">
        <v>0.31132075471698112</v>
      </c>
      <c r="L8" s="81" t="s">
        <v>141</v>
      </c>
      <c r="M8" s="84">
        <v>0.2949825678338639</v>
      </c>
      <c r="N8" s="81" t="s">
        <v>141</v>
      </c>
      <c r="O8" s="84">
        <v>0.1626496892526906</v>
      </c>
      <c r="P8" s="81" t="s">
        <v>127</v>
      </c>
      <c r="Q8" s="85">
        <v>8371.2643678160912</v>
      </c>
      <c r="R8" s="81" t="s">
        <v>161</v>
      </c>
      <c r="S8" s="85">
        <v>-7827.3684210526317</v>
      </c>
      <c r="T8" s="81" t="s">
        <v>172</v>
      </c>
      <c r="U8" s="83">
        <v>7.6923076923076927E-2</v>
      </c>
      <c r="V8" s="81" t="s">
        <v>171</v>
      </c>
      <c r="W8" s="84">
        <v>0.26871794871794874</v>
      </c>
      <c r="X8" s="81" t="s">
        <v>197</v>
      </c>
      <c r="Y8" s="84">
        <v>0.22958057395143489</v>
      </c>
      <c r="Z8" s="81" t="s">
        <v>141</v>
      </c>
      <c r="AA8" s="84">
        <v>0.55614657210401897</v>
      </c>
      <c r="AB8" s="81" t="s">
        <v>197</v>
      </c>
      <c r="AC8" s="84">
        <v>0.42307692307692307</v>
      </c>
      <c r="AD8" s="81" t="s">
        <v>171</v>
      </c>
      <c r="AE8" s="84">
        <v>0.44642857142857145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203</v>
      </c>
      <c r="C9" s="80">
        <v>26.2</v>
      </c>
      <c r="D9" s="81" t="s">
        <v>127</v>
      </c>
      <c r="E9" s="93">
        <v>0.43065693430656798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141</v>
      </c>
      <c r="K9" s="83">
        <v>0.33333333333333331</v>
      </c>
      <c r="L9" s="81" t="s">
        <v>171</v>
      </c>
      <c r="M9" s="84">
        <v>0.28717948717948716</v>
      </c>
      <c r="N9" s="81" t="s">
        <v>196</v>
      </c>
      <c r="O9" s="84">
        <v>0.17499999999999999</v>
      </c>
      <c r="P9" s="81" t="s">
        <v>171</v>
      </c>
      <c r="Q9" s="85">
        <v>8314.2857142857138</v>
      </c>
      <c r="R9" s="81" t="s">
        <v>127</v>
      </c>
      <c r="S9" s="85">
        <v>-7936.1502347417836</v>
      </c>
      <c r="T9" s="81" t="s">
        <v>141</v>
      </c>
      <c r="U9" s="83">
        <v>9.5057034220532313E-2</v>
      </c>
      <c r="V9" s="81" t="s">
        <v>126</v>
      </c>
      <c r="W9" s="84">
        <v>0.26692913385826772</v>
      </c>
      <c r="X9" s="81" t="s">
        <v>141</v>
      </c>
      <c r="Y9" s="84">
        <v>0.22722449598302258</v>
      </c>
      <c r="Z9" s="81" t="s">
        <v>170</v>
      </c>
      <c r="AA9" s="84">
        <v>0.55430711610486894</v>
      </c>
      <c r="AB9" s="81" t="s">
        <v>141</v>
      </c>
      <c r="AC9" s="84">
        <v>0.42228152101400934</v>
      </c>
      <c r="AD9" s="81" t="s">
        <v>197</v>
      </c>
      <c r="AE9" s="84">
        <v>0.44444444444444442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-4.7961634663806763E-14</v>
      </c>
      <c r="D10" s="81" t="s">
        <v>141</v>
      </c>
      <c r="E10" s="93">
        <v>-6.0787876633468649E-17</v>
      </c>
      <c r="F10" s="81" t="s">
        <v>171</v>
      </c>
      <c r="G10" s="82">
        <v>2.0333333333333332</v>
      </c>
      <c r="H10" s="81" t="s">
        <v>127</v>
      </c>
      <c r="I10" s="83">
        <v>0.34306569343065696</v>
      </c>
      <c r="J10" s="81" t="s">
        <v>281</v>
      </c>
      <c r="K10" s="83">
        <v>0.375</v>
      </c>
      <c r="L10" s="81" t="s">
        <v>172</v>
      </c>
      <c r="M10" s="84">
        <v>0.27590673575129532</v>
      </c>
      <c r="N10" s="81" t="s">
        <v>170</v>
      </c>
      <c r="O10" s="84">
        <v>0.1751740139211137</v>
      </c>
      <c r="P10" s="81" t="s">
        <v>126</v>
      </c>
      <c r="Q10" s="85">
        <v>8153.2258064516127</v>
      </c>
      <c r="R10" s="81" t="s">
        <v>280</v>
      </c>
      <c r="S10" s="85">
        <v>-7987.5</v>
      </c>
      <c r="T10" s="81" t="s">
        <v>274</v>
      </c>
      <c r="U10" s="83">
        <v>0.1</v>
      </c>
      <c r="V10" s="81" t="s">
        <v>203</v>
      </c>
      <c r="W10" s="84">
        <v>0.26666666666666666</v>
      </c>
      <c r="X10" s="81" t="s">
        <v>171</v>
      </c>
      <c r="Y10" s="84">
        <v>0.2194871794871795</v>
      </c>
      <c r="Z10" s="81" t="s">
        <v>172</v>
      </c>
      <c r="AA10" s="84">
        <v>0.5488372093023256</v>
      </c>
      <c r="AB10" s="81" t="s">
        <v>172</v>
      </c>
      <c r="AC10" s="84">
        <v>0.41025641025641024</v>
      </c>
      <c r="AD10" s="81" t="s">
        <v>141</v>
      </c>
      <c r="AE10" s="84">
        <v>0.44295991778006166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0.33333333333333331</v>
      </c>
      <c r="J11" s="81" t="s">
        <v>172</v>
      </c>
      <c r="K11" s="83">
        <v>0.38461538461538464</v>
      </c>
      <c r="L11" s="81" t="s">
        <v>170</v>
      </c>
      <c r="M11" s="84">
        <v>0.27494199535962877</v>
      </c>
      <c r="N11" s="81" t="s">
        <v>197</v>
      </c>
      <c r="O11" s="84">
        <v>0.18101545253863136</v>
      </c>
      <c r="P11" s="81" t="s">
        <v>197</v>
      </c>
      <c r="Q11" s="85">
        <v>7968.3760683760684</v>
      </c>
      <c r="R11" s="81" t="s">
        <v>274</v>
      </c>
      <c r="S11" s="85">
        <v>-7990.909090909091</v>
      </c>
      <c r="T11" s="81" t="s">
        <v>170</v>
      </c>
      <c r="U11" s="83">
        <v>0.10377358490566038</v>
      </c>
      <c r="V11" s="81" t="s">
        <v>196</v>
      </c>
      <c r="W11" s="84">
        <v>0.25833333333333336</v>
      </c>
      <c r="X11" s="81" t="s">
        <v>172</v>
      </c>
      <c r="Y11" s="84">
        <v>0.20207253886010362</v>
      </c>
      <c r="Z11" s="81" t="s">
        <v>197</v>
      </c>
      <c r="AA11" s="84">
        <v>0.54081632653061229</v>
      </c>
      <c r="AB11" s="81" t="s">
        <v>161</v>
      </c>
      <c r="AC11" s="84">
        <v>0.40666666666666668</v>
      </c>
      <c r="AD11" s="81" t="s">
        <v>126</v>
      </c>
      <c r="AE11" s="84">
        <v>0.41705069124423966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172</v>
      </c>
      <c r="E12" s="93">
        <v>-6.4109890109890104</v>
      </c>
      <c r="F12" s="81" t="s">
        <v>228</v>
      </c>
      <c r="G12" s="82">
        <v>2.1428571428571428</v>
      </c>
      <c r="H12" s="81" t="s">
        <v>161</v>
      </c>
      <c r="I12" s="83">
        <v>0.30882352941176472</v>
      </c>
      <c r="J12" s="81" t="s">
        <v>196</v>
      </c>
      <c r="K12" s="83">
        <v>0.4</v>
      </c>
      <c r="L12" s="81" t="s">
        <v>161</v>
      </c>
      <c r="M12" s="84">
        <v>0.27242524916943522</v>
      </c>
      <c r="N12" s="81" t="s">
        <v>172</v>
      </c>
      <c r="O12" s="84">
        <v>0.18393782383419688</v>
      </c>
      <c r="P12" s="81" t="s">
        <v>172</v>
      </c>
      <c r="Q12" s="85">
        <v>7712.6760563380285</v>
      </c>
      <c r="R12" s="81" t="s">
        <v>203</v>
      </c>
      <c r="S12" s="85">
        <v>-8000</v>
      </c>
      <c r="T12" s="81" t="s">
        <v>196</v>
      </c>
      <c r="U12" s="83">
        <v>0.12</v>
      </c>
      <c r="V12" s="81" t="s">
        <v>141</v>
      </c>
      <c r="W12" s="84">
        <v>0.25648021828103684</v>
      </c>
      <c r="X12" s="81" t="s">
        <v>170</v>
      </c>
      <c r="Y12" s="84">
        <v>0.17053364269141533</v>
      </c>
      <c r="Z12" s="81" t="s">
        <v>228</v>
      </c>
      <c r="AA12" s="84">
        <v>0.53333333333333333</v>
      </c>
      <c r="AB12" s="81" t="s">
        <v>127</v>
      </c>
      <c r="AC12" s="84">
        <v>0.38372093023255816</v>
      </c>
      <c r="AD12" s="81" t="s">
        <v>127</v>
      </c>
      <c r="AE12" s="84">
        <v>0.41091954022988508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-7.5441176470588269</v>
      </c>
      <c r="F13" s="81" t="s">
        <v>172</v>
      </c>
      <c r="G13" s="82">
        <v>2.1648351648351647</v>
      </c>
      <c r="H13" s="81" t="s">
        <v>171</v>
      </c>
      <c r="I13" s="83">
        <v>0.25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0.1857018308631212</v>
      </c>
      <c r="P13" s="81" t="s">
        <v>228</v>
      </c>
      <c r="Q13" s="85">
        <v>7473.333333333333</v>
      </c>
      <c r="R13" s="81" t="s">
        <v>170</v>
      </c>
      <c r="S13" s="85">
        <v>-8184.1059602649011</v>
      </c>
      <c r="T13" s="81" t="s">
        <v>127</v>
      </c>
      <c r="U13" s="83">
        <v>0.13138686131386862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0.51136363636363635</v>
      </c>
      <c r="AB13" s="81" t="s">
        <v>170</v>
      </c>
      <c r="AC13" s="84">
        <v>0.37414965986394561</v>
      </c>
      <c r="AD13" s="81" t="s">
        <v>161</v>
      </c>
      <c r="AE13" s="84">
        <v>0.40243902439024393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-513.00000000000023</v>
      </c>
      <c r="D14" s="81" t="s">
        <v>197</v>
      </c>
      <c r="E14" s="93">
        <v>-11.389090909090909</v>
      </c>
      <c r="F14" s="81" t="s">
        <v>161</v>
      </c>
      <c r="G14" s="82">
        <v>2.1764705882352939</v>
      </c>
      <c r="H14" s="81" t="s">
        <v>172</v>
      </c>
      <c r="I14" s="83">
        <v>0.21978021978021978</v>
      </c>
      <c r="J14" s="81" t="s">
        <v>197</v>
      </c>
      <c r="K14" s="83">
        <v>0.47272727272727272</v>
      </c>
      <c r="L14" s="81" t="s">
        <v>197</v>
      </c>
      <c r="M14" s="84">
        <v>0.25827814569536423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-8185.3658536585363</v>
      </c>
      <c r="T14" s="81" t="s">
        <v>197</v>
      </c>
      <c r="U14" s="83">
        <v>0.18181818181818182</v>
      </c>
      <c r="V14" s="81" t="s">
        <v>127</v>
      </c>
      <c r="W14" s="84">
        <v>0.23278116826503922</v>
      </c>
      <c r="X14" s="81" t="s">
        <v>196</v>
      </c>
      <c r="Y14" s="84">
        <v>0.15</v>
      </c>
      <c r="Z14" s="81" t="s">
        <v>127</v>
      </c>
      <c r="AA14" s="84">
        <v>0.50187265917602997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-583.4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0.48529411764705882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274</v>
      </c>
      <c r="Q15" s="85">
        <v>7147.0588235294117</v>
      </c>
      <c r="R15" s="81" t="s">
        <v>281</v>
      </c>
      <c r="S15" s="85">
        <v>-8437.5</v>
      </c>
      <c r="T15" s="81" t="s">
        <v>280</v>
      </c>
      <c r="U15" s="83">
        <v>0.2</v>
      </c>
      <c r="V15" s="81" t="s">
        <v>197</v>
      </c>
      <c r="W15" s="84">
        <v>0.21633554083885209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-626.4</v>
      </c>
      <c r="D16" s="81" t="s">
        <v>280</v>
      </c>
      <c r="E16" s="93">
        <v>-16.160000000000004</v>
      </c>
      <c r="F16" s="81" t="s">
        <v>197</v>
      </c>
      <c r="G16" s="82">
        <v>2.290909090909091</v>
      </c>
      <c r="H16" s="81" t="s">
        <v>197</v>
      </c>
      <c r="I16" s="83">
        <v>0.18181818181818182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161</v>
      </c>
      <c r="Q16" s="85">
        <v>6887.1951219512193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0.1461794019933555</v>
      </c>
      <c r="X16" s="81" t="s">
        <v>274</v>
      </c>
      <c r="Y16" s="84">
        <v>0.12222222222222222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53C4-13AA-4FFF-9CBC-962524260415}">
  <sheetPr codeName="Sheet4"/>
  <dimension ref="A1:Q79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789</v>
      </c>
      <c r="C2" s="155"/>
      <c r="E2" s="58" t="s">
        <v>66</v>
      </c>
      <c r="F2" s="55" t="s">
        <v>22</v>
      </c>
      <c r="G2" s="43">
        <v>1472</v>
      </c>
      <c r="H2" s="128">
        <f>IF(B$15=0,0,G2/B$15)</f>
        <v>0.75642343268242551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-27.989821882951652</v>
      </c>
      <c r="P2" s="114">
        <v>786</v>
      </c>
      <c r="Q2" s="98">
        <v>-22000</v>
      </c>
    </row>
    <row r="3" spans="1:17" x14ac:dyDescent="0.45">
      <c r="A3" s="51" t="s">
        <v>8</v>
      </c>
      <c r="B3" s="156">
        <v>6597</v>
      </c>
      <c r="C3" s="157"/>
      <c r="E3" s="59" t="s">
        <v>72</v>
      </c>
      <c r="F3" s="56" t="s">
        <v>27</v>
      </c>
      <c r="G3" s="44">
        <v>1041</v>
      </c>
      <c r="H3" s="129">
        <f>IF(B$15=0,0,G3/B$15)</f>
        <v>0.53494347379239471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11.627906976744185</v>
      </c>
      <c r="P3" s="115">
        <v>774</v>
      </c>
      <c r="Q3" s="99">
        <v>9000</v>
      </c>
    </row>
    <row r="4" spans="1:17" x14ac:dyDescent="0.45">
      <c r="A4" s="51" t="s">
        <v>6</v>
      </c>
      <c r="B4" s="158">
        <v>-4.7961634663806763E-14</v>
      </c>
      <c r="C4" s="159"/>
      <c r="E4" s="59" t="s">
        <v>64</v>
      </c>
      <c r="F4" s="56" t="s">
        <v>20</v>
      </c>
      <c r="G4" s="44">
        <v>907</v>
      </c>
      <c r="H4" s="129">
        <f>IF(B$15=0,0,G4/B$15)</f>
        <v>0.46608427543679343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-8.2304526748971192</v>
      </c>
      <c r="P4" s="115">
        <v>729</v>
      </c>
      <c r="Q4" s="99">
        <v>-6000</v>
      </c>
    </row>
    <row r="5" spans="1:17" x14ac:dyDescent="0.45">
      <c r="A5" s="51" t="s">
        <v>7</v>
      </c>
      <c r="B5" s="160">
        <f>IF(B$2=0,0,B$4/B$2)</f>
        <v>-6.0787876633468649E-17</v>
      </c>
      <c r="C5" s="161"/>
      <c r="E5" s="59" t="s">
        <v>166</v>
      </c>
      <c r="F5" s="56" t="s">
        <v>167</v>
      </c>
      <c r="G5" s="44">
        <v>767</v>
      </c>
      <c r="H5" s="129">
        <f>IF(B$15=0,0,G5/B$15)</f>
        <v>0.39414182939362796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10.144927536231885</v>
      </c>
      <c r="P5" s="115">
        <v>690</v>
      </c>
      <c r="Q5" s="99">
        <v>7000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602</v>
      </c>
      <c r="H6" s="129">
        <f>IF(B$15=0,0,G6/B$15)</f>
        <v>0.30935251798561153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4.716981132075472</v>
      </c>
      <c r="P6" s="115">
        <v>636</v>
      </c>
      <c r="Q6" s="99">
        <v>3000</v>
      </c>
    </row>
    <row r="7" spans="1:17" x14ac:dyDescent="0.45">
      <c r="A7" s="51" t="s">
        <v>2</v>
      </c>
      <c r="B7" s="44">
        <v>263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557</v>
      </c>
      <c r="H7" s="129">
        <f>IF(B$15=0,0,G7/B$15)</f>
        <v>0.28622816032887977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14.9812734082397</v>
      </c>
      <c r="P7" s="116">
        <v>534</v>
      </c>
      <c r="Q7" s="100">
        <v>8000</v>
      </c>
    </row>
    <row r="8" spans="1:17" x14ac:dyDescent="0.45">
      <c r="A8" s="51" t="s">
        <v>3</v>
      </c>
      <c r="B8" s="44">
        <v>263</v>
      </c>
      <c r="C8" s="37">
        <f t="shared" si="1"/>
        <v>0.33333333333333331</v>
      </c>
      <c r="E8" s="59" t="s">
        <v>69</v>
      </c>
      <c r="F8" s="56" t="s">
        <v>24</v>
      </c>
      <c r="G8" s="44">
        <v>281</v>
      </c>
      <c r="H8" s="129">
        <f>IF(B$15=0,0,G8/B$15)</f>
        <v>0.14439876670092497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263</v>
      </c>
      <c r="C9" s="38">
        <f t="shared" si="1"/>
        <v>0.33333333333333331</v>
      </c>
      <c r="E9" s="59" t="s">
        <v>89</v>
      </c>
      <c r="F9" s="56" t="s">
        <v>44</v>
      </c>
      <c r="G9" s="44">
        <v>260</v>
      </c>
      <c r="H9" s="129">
        <f>IF(B$15=0,0,G9/B$15)</f>
        <v>0.13360739979445016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75</v>
      </c>
      <c r="C10" s="40">
        <f t="shared" si="1"/>
        <v>9.5057034220532313E-2</v>
      </c>
      <c r="E10" s="59" t="s">
        <v>65</v>
      </c>
      <c r="F10" s="56" t="s">
        <v>21</v>
      </c>
      <c r="G10" s="44">
        <v>211</v>
      </c>
      <c r="H10" s="129">
        <f>IF(B$15=0,0,G10/B$15)</f>
        <v>0.10842754367934224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-2.0520912547528525</v>
      </c>
      <c r="P10" s="114">
        <v>263</v>
      </c>
      <c r="Q10" s="102">
        <v>-539.70000000000016</v>
      </c>
    </row>
    <row r="11" spans="1:17" x14ac:dyDescent="0.45">
      <c r="A11" s="54" t="s">
        <v>121</v>
      </c>
      <c r="B11" s="47">
        <v>1692</v>
      </c>
      <c r="C11" s="42">
        <f>IF(B$3=0,0,B11/B$3)</f>
        <v>0.25648021828103684</v>
      </c>
      <c r="E11" s="59" t="s">
        <v>70</v>
      </c>
      <c r="F11" s="56" t="s">
        <v>25</v>
      </c>
      <c r="G11" s="44">
        <v>180</v>
      </c>
      <c r="H11" s="129">
        <f>IF(B$15=0,0,G11/B$15)</f>
        <v>9.249743062692703E-2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0.75171102661596967</v>
      </c>
      <c r="P11" s="115">
        <v>263</v>
      </c>
      <c r="Q11" s="103">
        <v>197.70000000000002</v>
      </c>
    </row>
    <row r="12" spans="1:17" x14ac:dyDescent="0.45">
      <c r="A12" s="51" t="s">
        <v>118</v>
      </c>
      <c r="B12" s="44">
        <v>1499</v>
      </c>
      <c r="C12" s="37">
        <f>IF(B$3=0,0,B12/B$3)</f>
        <v>0.22722449598302258</v>
      </c>
      <c r="E12" s="59" t="s">
        <v>71</v>
      </c>
      <c r="F12" s="56" t="s">
        <v>26</v>
      </c>
      <c r="G12" s="44">
        <v>154</v>
      </c>
      <c r="H12" s="129">
        <f>IF(B$15=0,0,G12/B$15)</f>
        <v>7.9136690647482008E-2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1.3003802281368817</v>
      </c>
      <c r="P12" s="116">
        <v>263</v>
      </c>
      <c r="Q12" s="104">
        <v>341.99999999999989</v>
      </c>
    </row>
    <row r="13" spans="1:17" x14ac:dyDescent="0.45">
      <c r="A13" s="50" t="s">
        <v>123</v>
      </c>
      <c r="B13" s="43">
        <f>B19</f>
        <v>941</v>
      </c>
      <c r="C13" s="35">
        <f>IF(B$11=0,0,B13/B$11)</f>
        <v>0.55614657210401897</v>
      </c>
      <c r="E13" s="59" t="s">
        <v>86</v>
      </c>
      <c r="F13" s="56" t="s">
        <v>41</v>
      </c>
      <c r="G13" s="44">
        <v>104</v>
      </c>
      <c r="H13" s="129">
        <f>IF(B$15=0,0,G13/B$15)</f>
        <v>5.3442959917780058E-2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633</v>
      </c>
      <c r="C14" s="35">
        <f>IF(B$12=0,0,B14/B$12)</f>
        <v>0.42228152101400934</v>
      </c>
      <c r="E14" s="59" t="s">
        <v>83</v>
      </c>
      <c r="F14" s="56" t="s">
        <v>38</v>
      </c>
      <c r="G14" s="44">
        <v>98</v>
      </c>
      <c r="H14" s="129">
        <f>IF(B$15=0,0,G14/B$15)</f>
        <v>5.0359712230215826E-2</v>
      </c>
      <c r="I14" s="90">
        <v>8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1946</v>
      </c>
      <c r="C15" s="35">
        <f>IF(B$3=0,0,B15/B$3)</f>
        <v>0.2949825678338639</v>
      </c>
      <c r="E15" s="59" t="s">
        <v>78</v>
      </c>
      <c r="F15" s="56" t="s">
        <v>33</v>
      </c>
      <c r="G15" s="44">
        <v>47</v>
      </c>
      <c r="H15" s="129">
        <f>IF(B$15=0,0,G15/B$15)</f>
        <v>2.4152106885919837E-2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1073</v>
      </c>
      <c r="C16" s="37">
        <f>IF(B$3=0,0,B16/B$3)</f>
        <v>0.1626496892526906</v>
      </c>
      <c r="E16" s="59" t="s">
        <v>162</v>
      </c>
      <c r="F16" s="56" t="s">
        <v>163</v>
      </c>
      <c r="G16" s="44">
        <v>46</v>
      </c>
      <c r="H16" s="129">
        <f>IF(B$15=0,0,G16/B$15)</f>
        <v>2.3638232271325797E-2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862</v>
      </c>
      <c r="C17" s="37">
        <f>IF(B$15=0,0,B17/B$15)</f>
        <v>0.44295991778006166</v>
      </c>
      <c r="E17" s="59" t="s">
        <v>81</v>
      </c>
      <c r="F17" s="56" t="s">
        <v>36</v>
      </c>
      <c r="G17" s="44">
        <v>38</v>
      </c>
      <c r="H17" s="129">
        <f>IF(B$15=0,0,G17/B$15)</f>
        <v>1.9527235354573486E-2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17.083636363636352</v>
      </c>
      <c r="P17" s="115">
        <v>110</v>
      </c>
      <c r="Q17" s="103">
        <v>1879.1999999999987</v>
      </c>
    </row>
    <row r="18" spans="1:17" x14ac:dyDescent="0.45">
      <c r="A18" s="51" t="s">
        <v>11</v>
      </c>
      <c r="B18" s="44">
        <v>1084</v>
      </c>
      <c r="C18" s="37">
        <f>IF(B$15=0,0,B18/B$15)</f>
        <v>0.55704008221993828</v>
      </c>
      <c r="E18" s="59" t="s">
        <v>91</v>
      </c>
      <c r="F18" s="56" t="s">
        <v>46</v>
      </c>
      <c r="G18" s="44">
        <v>28</v>
      </c>
      <c r="H18" s="129">
        <f>IF(B$15=0,0,G18/B$15)</f>
        <v>1.4388489208633094E-2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9.6164835164835125</v>
      </c>
      <c r="P18" s="115">
        <v>182</v>
      </c>
      <c r="Q18" s="103">
        <v>1750.1999999999994</v>
      </c>
    </row>
    <row r="19" spans="1:17" x14ac:dyDescent="0.45">
      <c r="A19" s="51" t="s">
        <v>195</v>
      </c>
      <c r="B19" s="44">
        <v>941</v>
      </c>
      <c r="C19" s="37">
        <f>IF(B$15=0,0,B19/B$15)</f>
        <v>0.48355601233299073</v>
      </c>
      <c r="E19" s="59" t="s">
        <v>79</v>
      </c>
      <c r="F19" s="56" t="s">
        <v>34</v>
      </c>
      <c r="G19" s="44">
        <v>25</v>
      </c>
      <c r="H19" s="129">
        <f>IF(B$15=0,0,G19/B$15)</f>
        <v>1.2846865364850977E-2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8.0230263157894672</v>
      </c>
      <c r="P19" s="115">
        <v>152</v>
      </c>
      <c r="Q19" s="103">
        <v>1219.4999999999991</v>
      </c>
    </row>
    <row r="20" spans="1:17" x14ac:dyDescent="0.45">
      <c r="A20" s="51" t="s">
        <v>193</v>
      </c>
      <c r="B20" s="44">
        <v>633</v>
      </c>
      <c r="C20" s="37">
        <f>IF(B$15=0,0,B20/B$15)</f>
        <v>0.32528263103802674</v>
      </c>
      <c r="E20" s="59" t="s">
        <v>75</v>
      </c>
      <c r="F20" s="56" t="s">
        <v>30</v>
      </c>
      <c r="G20" s="44">
        <v>15</v>
      </c>
      <c r="H20" s="129">
        <f>IF(B$15=0,0,G20/B$15)</f>
        <v>7.7081192189105861E-3</v>
      </c>
      <c r="I20" s="90">
        <v>5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5">
      <c r="A21" s="51" t="s">
        <v>194</v>
      </c>
      <c r="B21" s="44">
        <v>372</v>
      </c>
      <c r="C21" s="37">
        <f>IF(B$15=0,0,B21/B$15)</f>
        <v>0.19116135662898254</v>
      </c>
      <c r="E21" s="59" t="s">
        <v>92</v>
      </c>
      <c r="F21" s="56" t="s">
        <v>47</v>
      </c>
      <c r="G21" s="44">
        <v>11</v>
      </c>
      <c r="H21" s="129">
        <f>IF(B$15=0,0,G21/B$15)</f>
        <v>5.6526207605344294E-3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-0.64598540145985839</v>
      </c>
      <c r="P21" s="115">
        <v>274</v>
      </c>
      <c r="Q21" s="103">
        <v>-177.00000000000119</v>
      </c>
    </row>
    <row r="22" spans="1:17" x14ac:dyDescent="0.45">
      <c r="A22" s="51" t="s">
        <v>5</v>
      </c>
      <c r="B22" s="48">
        <f>IF(B$15=0,0,C22/B$15)</f>
        <v>8372.4563206577586</v>
      </c>
      <c r="C22" s="39">
        <v>16292800</v>
      </c>
      <c r="E22" s="59" t="s">
        <v>85</v>
      </c>
      <c r="F22" s="56" t="s">
        <v>40</v>
      </c>
      <c r="G22" s="44">
        <v>9</v>
      </c>
      <c r="H22" s="129">
        <f>IF(B$15=0,0,G22/B$15)</f>
        <v>4.6248715313463515E-3</v>
      </c>
      <c r="I22" s="90">
        <v>4</v>
      </c>
      <c r="K22" s="36">
        <v>20</v>
      </c>
      <c r="L22" s="95">
        <v>-61.199999999999996</v>
      </c>
      <c r="N22" s="111" t="s">
        <v>171</v>
      </c>
      <c r="O22" s="121">
        <f>IF(P22=0,0,Q22/P22)</f>
        <v>-0.83375000000000044</v>
      </c>
      <c r="P22" s="115">
        <v>240</v>
      </c>
      <c r="Q22" s="103">
        <v>-200.10000000000011</v>
      </c>
    </row>
    <row r="23" spans="1:17" x14ac:dyDescent="0.45">
      <c r="A23" s="52" t="s">
        <v>177</v>
      </c>
      <c r="B23" s="136">
        <f>IF($B$15-B$14=0,0,C23/($B$15-B$14))</f>
        <v>8998.0198019801974</v>
      </c>
      <c r="C23" s="137">
        <v>11814400</v>
      </c>
      <c r="E23" s="59" t="s">
        <v>73</v>
      </c>
      <c r="F23" s="56" t="s">
        <v>28</v>
      </c>
      <c r="G23" s="44">
        <v>8</v>
      </c>
      <c r="H23" s="129">
        <f>IF(B$15=0,0,G23/B$15)</f>
        <v>4.1109969167523125E-3</v>
      </c>
      <c r="I23" s="90">
        <v>3</v>
      </c>
      <c r="K23" s="36">
        <v>21</v>
      </c>
      <c r="L23" s="95">
        <v>7.1054273576010019E-15</v>
      </c>
      <c r="N23" s="111" t="s">
        <v>170</v>
      </c>
      <c r="O23" s="121">
        <f>IF(P23=0,0,Q23/P23)</f>
        <v>-5.600943396226409</v>
      </c>
      <c r="P23" s="115">
        <v>212</v>
      </c>
      <c r="Q23" s="103">
        <v>-1187.3999999999987</v>
      </c>
    </row>
    <row r="24" spans="1:17" x14ac:dyDescent="0.45">
      <c r="A24" s="52" t="s">
        <v>178</v>
      </c>
      <c r="B24" s="136">
        <f>IF(B$14=0,0,C24/B$14)</f>
        <v>7074.8815165876777</v>
      </c>
      <c r="C24" s="137">
        <v>4478400</v>
      </c>
      <c r="E24" s="59" t="s">
        <v>74</v>
      </c>
      <c r="F24" s="56" t="s">
        <v>29</v>
      </c>
      <c r="G24" s="44">
        <v>8</v>
      </c>
      <c r="H24" s="129">
        <f>IF(B$15=0,0,G24/B$15)</f>
        <v>4.1109969167523125E-3</v>
      </c>
      <c r="I24" s="90">
        <v>5</v>
      </c>
      <c r="K24" s="36">
        <v>22</v>
      </c>
      <c r="L24" s="95">
        <v>-25.099999999999994</v>
      </c>
      <c r="N24" s="111" t="s">
        <v>126</v>
      </c>
      <c r="O24" s="121">
        <f>IF(P24=0,0,Q24/P24)</f>
        <v>-11.746451612903222</v>
      </c>
      <c r="P24" s="115">
        <v>310</v>
      </c>
      <c r="Q24" s="103">
        <v>-3641.3999999999987</v>
      </c>
    </row>
    <row r="25" spans="1:17" x14ac:dyDescent="0.45">
      <c r="A25" s="52" t="s">
        <v>176</v>
      </c>
      <c r="B25" s="136">
        <f>IF(B$16=0,0,C25/B$16)</f>
        <v>-7788.1640260950608</v>
      </c>
      <c r="C25" s="137">
        <v>-8356700</v>
      </c>
      <c r="E25" s="59" t="s">
        <v>84</v>
      </c>
      <c r="F25" s="56" t="s">
        <v>39</v>
      </c>
      <c r="G25" s="44">
        <v>7</v>
      </c>
      <c r="H25" s="129">
        <f>IF(B$15=0,0,G25/B$15)</f>
        <v>3.5971223021582736E-3</v>
      </c>
      <c r="I25" s="90">
        <v>4</v>
      </c>
      <c r="K25" s="36">
        <v>23</v>
      </c>
      <c r="L25" s="95">
        <v>-26.799999999999994</v>
      </c>
      <c r="N25" s="111" t="s">
        <v>274</v>
      </c>
      <c r="O25" s="121">
        <f>IF(P25=0,0,Q25/P25)</f>
        <v>-12.915000000000003</v>
      </c>
      <c r="P25" s="115">
        <v>20</v>
      </c>
      <c r="Q25" s="103">
        <v>-258.30000000000007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3.0832476875642342E-3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5</v>
      </c>
      <c r="H27" s="129">
        <f>IF(B$15=0,0,G27/B$15)</f>
        <v>2.5693730729701952E-3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4</v>
      </c>
      <c r="H28" s="129">
        <f>IF(B$15=0,0,G28/B$15)</f>
        <v>2.0554984583761563E-3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95</v>
      </c>
      <c r="F29" s="56" t="s">
        <v>50</v>
      </c>
      <c r="G29" s="44">
        <v>4</v>
      </c>
      <c r="H29" s="129">
        <f>IF(B$15=0,0,G29/B$15)</f>
        <v>2.0554984583761563E-3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18</v>
      </c>
      <c r="C30" s="40">
        <f>IF(B$3=0,0,B30/B$3)</f>
        <v>2.7285129604365621E-3</v>
      </c>
      <c r="E30" s="59" t="s">
        <v>87</v>
      </c>
      <c r="F30" s="56" t="s">
        <v>42</v>
      </c>
      <c r="G30" s="44">
        <v>3</v>
      </c>
      <c r="H30" s="129">
        <f>IF(B$15=0,0,G30/B$15)</f>
        <v>1.5416238437821171E-3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3</v>
      </c>
      <c r="H31" s="129">
        <f>IF(B$15=0,0,G31/B$15)</f>
        <v>1.5416238437821171E-3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148</v>
      </c>
      <c r="C32" s="141">
        <f>IF(B$15=0,0,B32/B$15)</f>
        <v>7.6053442959917783E-2</v>
      </c>
      <c r="E32" s="59" t="s">
        <v>97</v>
      </c>
      <c r="F32" s="56" t="s">
        <v>52</v>
      </c>
      <c r="G32" s="44">
        <v>1</v>
      </c>
      <c r="H32" s="129">
        <f>IF(B$15=0,0,G32/B$15)</f>
        <v>5.1387461459403907E-4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329</v>
      </c>
      <c r="C33" s="37">
        <f t="shared" ref="C33:C44" si="2">IF(B$15=0,0,B33/B$15)</f>
        <v>0.16906474820143885</v>
      </c>
      <c r="E33" s="59" t="s">
        <v>101</v>
      </c>
      <c r="F33" s="56" t="s">
        <v>56</v>
      </c>
      <c r="G33" s="44">
        <v>1</v>
      </c>
      <c r="H33" s="129">
        <f>IF(B$15=0,0,G33/B$15)</f>
        <v>5.1387461459403907E-4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384</v>
      </c>
      <c r="C34" s="37">
        <f>IF(B$15=0,0,B34/B$15)</f>
        <v>0.19732785200411099</v>
      </c>
      <c r="E34" s="59" t="s">
        <v>106</v>
      </c>
      <c r="F34" s="56" t="s">
        <v>113</v>
      </c>
      <c r="G34" s="44">
        <v>1</v>
      </c>
      <c r="H34" s="129">
        <f>IF(B$15=0,0,G34/B$15)</f>
        <v>5.1387461459403907E-4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343</v>
      </c>
      <c r="C35" s="37">
        <f t="shared" si="2"/>
        <v>0.17625899280575538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311</v>
      </c>
      <c r="C36" s="37">
        <f t="shared" si="2"/>
        <v>0.15981500513874614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204</v>
      </c>
      <c r="C37" s="37">
        <f t="shared" si="2"/>
        <v>0.10483042137718397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108</v>
      </c>
      <c r="C38" s="37">
        <f t="shared" si="2"/>
        <v>5.5498458376156218E-2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53</v>
      </c>
      <c r="C39" s="37">
        <f t="shared" si="2"/>
        <v>2.7235354573484069E-2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26</v>
      </c>
      <c r="C40" s="37">
        <f t="shared" si="2"/>
        <v>1.3360739979445015E-2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3.5971223021582736E-3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3.0832476875642342E-3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3.0832476875642342E-3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1.0791366906474821E-2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57CAB-F7E9-44E4-B52F-79B5F8FB223C}">
  <sheetPr codeName="Sheet7"/>
  <dimension ref="A1:Q7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68</v>
      </c>
      <c r="C2" s="155"/>
      <c r="E2" s="58" t="s">
        <v>66</v>
      </c>
      <c r="F2" s="55" t="s">
        <v>22</v>
      </c>
      <c r="G2" s="43">
        <v>123</v>
      </c>
      <c r="H2" s="128">
        <f>IF(B$15=0,0,G2/B$15)</f>
        <v>0.75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1494.1176470588234</v>
      </c>
      <c r="P2" s="114">
        <v>68</v>
      </c>
      <c r="Q2" s="98">
        <v>101600</v>
      </c>
    </row>
    <row r="3" spans="1:17" x14ac:dyDescent="0.45">
      <c r="A3" s="51" t="s">
        <v>8</v>
      </c>
      <c r="B3" s="156">
        <v>602</v>
      </c>
      <c r="C3" s="157"/>
      <c r="E3" s="59" t="s">
        <v>72</v>
      </c>
      <c r="F3" s="56" t="s">
        <v>27</v>
      </c>
      <c r="G3" s="44">
        <v>91</v>
      </c>
      <c r="H3" s="129">
        <f>IF(B$15=0,0,G3/B$15)</f>
        <v>0.55487804878048785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-1811.9402985074628</v>
      </c>
      <c r="P3" s="115">
        <v>67</v>
      </c>
      <c r="Q3" s="99">
        <v>-121400</v>
      </c>
    </row>
    <row r="4" spans="1:17" x14ac:dyDescent="0.45">
      <c r="A4" s="51" t="s">
        <v>6</v>
      </c>
      <c r="B4" s="158">
        <v>-513.00000000000023</v>
      </c>
      <c r="C4" s="159"/>
      <c r="E4" s="59" t="s">
        <v>166</v>
      </c>
      <c r="F4" s="56" t="s">
        <v>167</v>
      </c>
      <c r="G4" s="44">
        <v>67</v>
      </c>
      <c r="H4" s="129">
        <f>IF(B$15=0,0,G4/B$15)</f>
        <v>0.40853658536585363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-1627.6923076923076</v>
      </c>
      <c r="P4" s="115">
        <v>65</v>
      </c>
      <c r="Q4" s="99">
        <v>-105800</v>
      </c>
    </row>
    <row r="5" spans="1:17" x14ac:dyDescent="0.45">
      <c r="A5" s="51" t="s">
        <v>7</v>
      </c>
      <c r="B5" s="160">
        <f>IF(B$2=0,0,B$4/B$2)</f>
        <v>-7.5441176470588269</v>
      </c>
      <c r="C5" s="161"/>
      <c r="E5" s="59" t="s">
        <v>64</v>
      </c>
      <c r="F5" s="56" t="s">
        <v>20</v>
      </c>
      <c r="G5" s="44">
        <v>43</v>
      </c>
      <c r="H5" s="129">
        <f>IF(B$15=0,0,G5/B$15)</f>
        <v>0.26219512195121952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-1221.311475409836</v>
      </c>
      <c r="P5" s="115">
        <v>61</v>
      </c>
      <c r="Q5" s="99">
        <v>-74500</v>
      </c>
    </row>
    <row r="6" spans="1:17" x14ac:dyDescent="0.45">
      <c r="A6" s="51" t="s">
        <v>1</v>
      </c>
      <c r="B6" s="150">
        <f>IF(B$2=0,0,(B$7*1+B$8*2+B$9*3)/B$2)</f>
        <v>2.1764705882352939</v>
      </c>
      <c r="C6" s="151"/>
      <c r="E6" s="59" t="s">
        <v>68</v>
      </c>
      <c r="F6" s="56" t="s">
        <v>12</v>
      </c>
      <c r="G6" s="44">
        <v>43</v>
      </c>
      <c r="H6" s="129">
        <f>IF(B$15=0,0,G6/B$15)</f>
        <v>0.26219512195121952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-223.33333333333334</v>
      </c>
      <c r="P6" s="115">
        <v>60</v>
      </c>
      <c r="Q6" s="99">
        <v>-13400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0.30882352941176472</v>
      </c>
      <c r="E7" s="59" t="s">
        <v>69</v>
      </c>
      <c r="F7" s="56" t="s">
        <v>24</v>
      </c>
      <c r="G7" s="44">
        <v>32</v>
      </c>
      <c r="H7" s="129">
        <f>IF(B$15=0,0,G7/B$15)</f>
        <v>0.1951219512195122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-2334.6153846153848</v>
      </c>
      <c r="P7" s="116">
        <v>52</v>
      </c>
      <c r="Q7" s="100">
        <v>-121400</v>
      </c>
    </row>
    <row r="8" spans="1:17" x14ac:dyDescent="0.45">
      <c r="A8" s="51" t="s">
        <v>3</v>
      </c>
      <c r="B8" s="44">
        <v>14</v>
      </c>
      <c r="C8" s="37">
        <f t="shared" si="1"/>
        <v>0.20588235294117646</v>
      </c>
      <c r="E8" s="59" t="s">
        <v>67</v>
      </c>
      <c r="F8" s="56" t="s">
        <v>23</v>
      </c>
      <c r="G8" s="44">
        <v>24</v>
      </c>
      <c r="H8" s="129">
        <f>IF(B$15=0,0,G8/B$15)</f>
        <v>0.14634146341463414</v>
      </c>
      <c r="I8" s="90">
        <v>13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0.48529411764705882</v>
      </c>
      <c r="E9" s="59" t="s">
        <v>70</v>
      </c>
      <c r="F9" s="56" t="s">
        <v>25</v>
      </c>
      <c r="G9" s="44">
        <v>20</v>
      </c>
      <c r="H9" s="129">
        <f>IF(B$15=0,0,G9/B$15)</f>
        <v>0.12195121951219512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7.3529411764705885E-2</v>
      </c>
      <c r="E10" s="59" t="s">
        <v>71</v>
      </c>
      <c r="F10" s="56" t="s">
        <v>26</v>
      </c>
      <c r="G10" s="44">
        <v>18</v>
      </c>
      <c r="H10" s="129">
        <f>IF(B$15=0,0,G10/B$15)</f>
        <v>0.10975609756097561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-13.207692307692307</v>
      </c>
      <c r="P10" s="114">
        <v>26</v>
      </c>
      <c r="Q10" s="102">
        <v>-343.4</v>
      </c>
    </row>
    <row r="11" spans="1:17" x14ac:dyDescent="0.45">
      <c r="A11" s="54" t="s">
        <v>121</v>
      </c>
      <c r="B11" s="47">
        <v>88</v>
      </c>
      <c r="C11" s="42">
        <f>IF(B$3=0,0,B11/B$3)</f>
        <v>0.1461794019933555</v>
      </c>
      <c r="E11" s="59" t="s">
        <v>83</v>
      </c>
      <c r="F11" s="56" t="s">
        <v>38</v>
      </c>
      <c r="G11" s="44">
        <v>13</v>
      </c>
      <c r="H11" s="129">
        <f>IF(B$15=0,0,G11/B$15)</f>
        <v>7.926829268292683E-2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150</v>
      </c>
      <c r="C12" s="37">
        <f>IF(B$3=0,0,B12/B$3)</f>
        <v>0.24916943521594684</v>
      </c>
      <c r="E12" s="59" t="s">
        <v>65</v>
      </c>
      <c r="F12" s="56" t="s">
        <v>21</v>
      </c>
      <c r="G12" s="44">
        <v>10</v>
      </c>
      <c r="H12" s="129">
        <f>IF(B$15=0,0,G12/B$15)</f>
        <v>6.097560975609756E-2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-0.67391304347826031</v>
      </c>
      <c r="P12" s="116">
        <v>23</v>
      </c>
      <c r="Q12" s="104">
        <v>-15.499999999999988</v>
      </c>
    </row>
    <row r="13" spans="1:17" x14ac:dyDescent="0.45">
      <c r="A13" s="50" t="s">
        <v>123</v>
      </c>
      <c r="B13" s="43">
        <f>B19</f>
        <v>45</v>
      </c>
      <c r="C13" s="35">
        <f>IF(B$11=0,0,B13/B$11)</f>
        <v>0.51136363636363635</v>
      </c>
      <c r="E13" s="59" t="s">
        <v>89</v>
      </c>
      <c r="F13" s="56" t="s">
        <v>44</v>
      </c>
      <c r="G13" s="44">
        <v>9</v>
      </c>
      <c r="H13" s="129">
        <f>IF(B$15=0,0,G13/B$15)</f>
        <v>5.4878048780487805E-2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61</v>
      </c>
      <c r="C14" s="35">
        <f>IF(B$12=0,0,B14/B$12)</f>
        <v>0.40666666666666668</v>
      </c>
      <c r="E14" s="59" t="s">
        <v>81</v>
      </c>
      <c r="F14" s="56" t="s">
        <v>36</v>
      </c>
      <c r="G14" s="44">
        <v>6</v>
      </c>
      <c r="H14" s="129">
        <f>IF(B$15=0,0,G14/B$15)</f>
        <v>3.6585365853658534E-2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164</v>
      </c>
      <c r="C15" s="35">
        <f>IF(B$3=0,0,B15/B$3)</f>
        <v>0.27242524916943522</v>
      </c>
      <c r="E15" s="59" t="s">
        <v>86</v>
      </c>
      <c r="F15" s="56" t="s">
        <v>41</v>
      </c>
      <c r="G15" s="44">
        <v>5</v>
      </c>
      <c r="H15" s="129">
        <f>IF(B$15=0,0,G15/B$15)</f>
        <v>3.048780487804878E-2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51.55</v>
      </c>
      <c r="P15" s="114">
        <v>2</v>
      </c>
      <c r="Q15" s="102">
        <v>103.1</v>
      </c>
    </row>
    <row r="16" spans="1:17" x14ac:dyDescent="0.45">
      <c r="A16" s="51" t="s">
        <v>13</v>
      </c>
      <c r="B16" s="44">
        <v>95</v>
      </c>
      <c r="C16" s="37">
        <f>IF(B$3=0,0,B16/B$3)</f>
        <v>0.15780730897009967</v>
      </c>
      <c r="E16" s="59" t="s">
        <v>79</v>
      </c>
      <c r="F16" s="56" t="s">
        <v>34</v>
      </c>
      <c r="G16" s="44">
        <v>3</v>
      </c>
      <c r="H16" s="129">
        <f>IF(B$15=0,0,G16/B$15)</f>
        <v>1.8292682926829267E-2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66</v>
      </c>
      <c r="C17" s="37">
        <f>IF(B$15=0,0,B17/B$15)</f>
        <v>0.40243902439024393</v>
      </c>
      <c r="E17" s="59" t="s">
        <v>91</v>
      </c>
      <c r="F17" s="56" t="s">
        <v>46</v>
      </c>
      <c r="G17" s="44">
        <v>3</v>
      </c>
      <c r="H17" s="129">
        <f>IF(B$15=0,0,G17/B$15)</f>
        <v>1.8292682926829267E-2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-3.9454545454545453</v>
      </c>
      <c r="P17" s="115">
        <v>22</v>
      </c>
      <c r="Q17" s="103">
        <v>-86.8</v>
      </c>
    </row>
    <row r="18" spans="1:17" x14ac:dyDescent="0.45">
      <c r="A18" s="51" t="s">
        <v>11</v>
      </c>
      <c r="B18" s="44">
        <v>98</v>
      </c>
      <c r="C18" s="37">
        <f>IF(B$15=0,0,B18/B$15)</f>
        <v>0.59756097560975607</v>
      </c>
      <c r="E18" s="59" t="s">
        <v>74</v>
      </c>
      <c r="F18" s="56" t="s">
        <v>29</v>
      </c>
      <c r="G18" s="44">
        <v>2</v>
      </c>
      <c r="H18" s="129">
        <f>IF(B$15=0,0,G18/B$15)</f>
        <v>1.2195121951219513E-2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 t="shared" si="2"/>
        <v>-4.1851851851851869</v>
      </c>
      <c r="P18" s="115">
        <v>27</v>
      </c>
      <c r="Q18" s="103">
        <v>-113.00000000000004</v>
      </c>
    </row>
    <row r="19" spans="1:17" x14ac:dyDescent="0.45">
      <c r="A19" s="51" t="s">
        <v>195</v>
      </c>
      <c r="B19" s="44">
        <v>45</v>
      </c>
      <c r="C19" s="37">
        <f>IF(B$15=0,0,B19/B$15)</f>
        <v>0.27439024390243905</v>
      </c>
      <c r="E19" s="59" t="s">
        <v>88</v>
      </c>
      <c r="F19" s="56" t="s">
        <v>43</v>
      </c>
      <c r="G19" s="44">
        <v>2</v>
      </c>
      <c r="H19" s="129">
        <f>IF(B$15=0,0,G19/B$15)</f>
        <v>1.2195121951219513E-2</v>
      </c>
      <c r="I19" s="90">
        <v>1</v>
      </c>
      <c r="K19" s="36">
        <v>17</v>
      </c>
      <c r="L19" s="95">
        <v>-65.2</v>
      </c>
      <c r="N19" s="111" t="s">
        <v>172</v>
      </c>
      <c r="O19" s="121">
        <f t="shared" si="2"/>
        <v>-6.0625000000000036</v>
      </c>
      <c r="P19" s="115">
        <v>16</v>
      </c>
      <c r="Q19" s="103">
        <v>-97.000000000000057</v>
      </c>
    </row>
    <row r="20" spans="1:17" x14ac:dyDescent="0.45">
      <c r="A20" s="51" t="s">
        <v>193</v>
      </c>
      <c r="B20" s="44">
        <v>61</v>
      </c>
      <c r="C20" s="37">
        <f>IF(B$15=0,0,B20/B$15)</f>
        <v>0.37195121951219512</v>
      </c>
      <c r="E20" s="59" t="s">
        <v>75</v>
      </c>
      <c r="F20" s="56" t="s">
        <v>30</v>
      </c>
      <c r="G20" s="44">
        <v>1</v>
      </c>
      <c r="H20" s="129">
        <f>IF(B$15=0,0,G20/B$15)</f>
        <v>6.0975609756097563E-3</v>
      </c>
      <c r="I20" s="90">
        <v>6</v>
      </c>
      <c r="K20" s="36">
        <v>18</v>
      </c>
      <c r="L20" s="95">
        <v>-80.2</v>
      </c>
      <c r="N20" s="111" t="s">
        <v>126</v>
      </c>
      <c r="O20" s="121">
        <f t="shared" si="2"/>
        <v>-11.200000000000001</v>
      </c>
      <c r="P20" s="115">
        <v>35</v>
      </c>
      <c r="Q20" s="103">
        <v>-392.00000000000006</v>
      </c>
    </row>
    <row r="21" spans="1:17" x14ac:dyDescent="0.45">
      <c r="A21" s="51" t="s">
        <v>194</v>
      </c>
      <c r="B21" s="44">
        <v>58</v>
      </c>
      <c r="C21" s="37">
        <f>IF(B$15=0,0,B21/B$15)</f>
        <v>0.35365853658536583</v>
      </c>
      <c r="E21" s="59" t="s">
        <v>77</v>
      </c>
      <c r="F21" s="56" t="s">
        <v>32</v>
      </c>
      <c r="G21" s="44">
        <v>1</v>
      </c>
      <c r="H21" s="129">
        <f>IF(B$15=0,0,G21/B$15)</f>
        <v>6.0975609756097563E-3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 t="shared" si="2"/>
        <v>-32.455555555555549</v>
      </c>
      <c r="P21" s="115">
        <v>9</v>
      </c>
      <c r="Q21" s="103">
        <v>-292.09999999999997</v>
      </c>
    </row>
    <row r="22" spans="1:17" x14ac:dyDescent="0.45">
      <c r="A22" s="51" t="s">
        <v>5</v>
      </c>
      <c r="B22" s="48">
        <f>IF(B$15=0,0,C22/B$15)</f>
        <v>6887.1951219512193</v>
      </c>
      <c r="C22" s="39">
        <v>1129500</v>
      </c>
      <c r="E22" s="59" t="s">
        <v>78</v>
      </c>
      <c r="F22" s="56" t="s">
        <v>33</v>
      </c>
      <c r="G22" s="44">
        <v>1</v>
      </c>
      <c r="H22" s="129">
        <f>IF(B$15=0,0,G22/B$15)</f>
        <v>6.0975609756097563E-3</v>
      </c>
      <c r="I22" s="90">
        <v>10</v>
      </c>
      <c r="K22" s="36">
        <v>20</v>
      </c>
      <c r="L22" s="95">
        <v>-88.8</v>
      </c>
      <c r="N22" s="111" t="s">
        <v>170</v>
      </c>
      <c r="O22" s="121">
        <f t="shared" si="2"/>
        <v>-37.1</v>
      </c>
      <c r="P22" s="115">
        <v>18</v>
      </c>
      <c r="Q22" s="103">
        <v>-667.80000000000007</v>
      </c>
    </row>
    <row r="23" spans="1:17" x14ac:dyDescent="0.45">
      <c r="A23" s="52" t="s">
        <v>177</v>
      </c>
      <c r="B23" s="136">
        <f>IF($B$15-B$14=0,0,C23/($B$15-B$14))</f>
        <v>7350.4854368932038</v>
      </c>
      <c r="C23" s="137">
        <v>757100</v>
      </c>
      <c r="E23" s="59" t="s">
        <v>84</v>
      </c>
      <c r="F23" s="56" t="s">
        <v>39</v>
      </c>
      <c r="G23" s="44">
        <v>1</v>
      </c>
      <c r="H23" s="129">
        <f>IF(B$15=0,0,G23/B$15)</f>
        <v>6.0975609756097563E-3</v>
      </c>
      <c r="I23" s="90">
        <v>3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6104.9180327868853</v>
      </c>
      <c r="C24" s="137">
        <v>372400</v>
      </c>
      <c r="E24" s="59" t="s">
        <v>93</v>
      </c>
      <c r="F24" s="56" t="s">
        <v>48</v>
      </c>
      <c r="G24" s="44">
        <v>1</v>
      </c>
      <c r="H24" s="129">
        <f>IF(B$15=0,0,G24/B$15)</f>
        <v>6.0975609756097563E-3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-7827.3684210526317</v>
      </c>
      <c r="C25" s="137">
        <v>-743600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3.3222591362126247E-3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0.12804878048780488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37</v>
      </c>
      <c r="C33" s="37">
        <f t="shared" ref="C33:C44" si="3">IF(B$15=0,0,B33/B$15)</f>
        <v>0.22560975609756098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35</v>
      </c>
      <c r="C34" s="37">
        <f>IF(B$15=0,0,B34/B$15)</f>
        <v>0.21341463414634146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24</v>
      </c>
      <c r="C35" s="37">
        <f t="shared" si="3"/>
        <v>0.14634146341463414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0.10365853658536585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8.5365853658536592E-2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10</v>
      </c>
      <c r="C38" s="37">
        <f t="shared" si="3"/>
        <v>6.097560975609756E-2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3.048780487804878E-2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6.0975609756097563E-3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</sheetData>
  <sortState xmlns:xlrd2="http://schemas.microsoft.com/office/spreadsheetml/2017/richdata2" ref="E2:I7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7B0B-061B-4A2D-8AC4-02C5B61AFF51}">
  <sheetPr codeName="Sheet9"/>
  <dimension ref="A1:Q15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155</v>
      </c>
      <c r="C2" s="155"/>
      <c r="E2" s="58" t="s">
        <v>66</v>
      </c>
      <c r="F2" s="55" t="s">
        <v>22</v>
      </c>
      <c r="G2" s="43">
        <v>294</v>
      </c>
      <c r="H2" s="128">
        <f>IF(B$15=0,0,G2/B$15)</f>
        <v>0.67741935483870963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1201.2987012987012</v>
      </c>
      <c r="P2" s="114">
        <v>154</v>
      </c>
      <c r="Q2" s="98">
        <v>185000</v>
      </c>
    </row>
    <row r="3" spans="1:17" x14ac:dyDescent="0.45">
      <c r="A3" s="51" t="s">
        <v>8</v>
      </c>
      <c r="B3" s="156">
        <v>1270</v>
      </c>
      <c r="C3" s="157"/>
      <c r="E3" s="59" t="s">
        <v>72</v>
      </c>
      <c r="F3" s="56" t="s">
        <v>27</v>
      </c>
      <c r="G3" s="44">
        <v>228</v>
      </c>
      <c r="H3" s="129">
        <f>IF(B$15=0,0,G3/B$15)</f>
        <v>0.52534562211981561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1026.4900662251655</v>
      </c>
      <c r="P3" s="115">
        <v>151</v>
      </c>
      <c r="Q3" s="99">
        <v>155000</v>
      </c>
    </row>
    <row r="4" spans="1:17" x14ac:dyDescent="0.45">
      <c r="A4" s="51" t="s">
        <v>6</v>
      </c>
      <c r="B4" s="158">
        <v>1213.8000000000002</v>
      </c>
      <c r="C4" s="159"/>
      <c r="E4" s="59" t="s">
        <v>64</v>
      </c>
      <c r="F4" s="56" t="s">
        <v>20</v>
      </c>
      <c r="G4" s="44">
        <v>193</v>
      </c>
      <c r="H4" s="129">
        <f>IF(B$15=0,0,G4/B$15)</f>
        <v>0.4447004608294931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773.10344827586209</v>
      </c>
      <c r="P4" s="115">
        <v>145</v>
      </c>
      <c r="Q4" s="99">
        <v>112100</v>
      </c>
    </row>
    <row r="5" spans="1:17" x14ac:dyDescent="0.45">
      <c r="A5" s="51" t="s">
        <v>7</v>
      </c>
      <c r="B5" s="160">
        <f>IF(B$2=0,0,B$4/B$2)</f>
        <v>7.8309677419354848</v>
      </c>
      <c r="C5" s="161"/>
      <c r="E5" s="59" t="s">
        <v>166</v>
      </c>
      <c r="F5" s="56" t="s">
        <v>167</v>
      </c>
      <c r="G5" s="44">
        <v>164</v>
      </c>
      <c r="H5" s="129">
        <f>IF(B$15=0,0,G5/B$15)</f>
        <v>0.37788018433179721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150.37037037037038</v>
      </c>
      <c r="P5" s="115">
        <v>135</v>
      </c>
      <c r="Q5" s="99">
        <v>20300</v>
      </c>
    </row>
    <row r="6" spans="1:17" x14ac:dyDescent="0.45">
      <c r="A6" s="51" t="s">
        <v>1</v>
      </c>
      <c r="B6" s="150">
        <f>IF(B$2=0,0,(B$7*1+B$8*2+B$9*3)/B$2)</f>
        <v>1.8129032258064517</v>
      </c>
      <c r="C6" s="151"/>
      <c r="E6" s="59" t="s">
        <v>68</v>
      </c>
      <c r="F6" s="56" t="s">
        <v>12</v>
      </c>
      <c r="G6" s="44">
        <v>120</v>
      </c>
      <c r="H6" s="129">
        <f>IF(B$15=0,0,G6/B$15)</f>
        <v>0.27649769585253459</v>
      </c>
      <c r="I6" s="90">
        <v>9</v>
      </c>
      <c r="K6" s="36">
        <v>4</v>
      </c>
      <c r="L6" s="95">
        <v>101.60000000000001</v>
      </c>
      <c r="N6" s="111" t="s">
        <v>134</v>
      </c>
      <c r="O6" s="118">
        <f t="shared" si="0"/>
        <v>2001.6</v>
      </c>
      <c r="P6" s="115">
        <v>125</v>
      </c>
      <c r="Q6" s="99">
        <v>250200</v>
      </c>
    </row>
    <row r="7" spans="1:17" x14ac:dyDescent="0.45">
      <c r="A7" s="51" t="s">
        <v>2</v>
      </c>
      <c r="B7" s="44">
        <v>69</v>
      </c>
      <c r="C7" s="37">
        <f t="shared" ref="C7:C10" si="1">IF(B$2=0,0,B7/B$2)</f>
        <v>0.44516129032258067</v>
      </c>
      <c r="E7" s="59" t="s">
        <v>67</v>
      </c>
      <c r="F7" s="56" t="s">
        <v>23</v>
      </c>
      <c r="G7" s="44">
        <v>110</v>
      </c>
      <c r="H7" s="129">
        <f>IF(B$15=0,0,G7/B$15)</f>
        <v>0.25345622119815669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1746.0784313725489</v>
      </c>
      <c r="P7" s="116">
        <v>102</v>
      </c>
      <c r="Q7" s="100">
        <v>178100</v>
      </c>
    </row>
    <row r="8" spans="1:17" x14ac:dyDescent="0.45">
      <c r="A8" s="51" t="s">
        <v>3</v>
      </c>
      <c r="B8" s="44">
        <v>46</v>
      </c>
      <c r="C8" s="37">
        <f t="shared" si="1"/>
        <v>0.29677419354838708</v>
      </c>
      <c r="E8" s="59" t="s">
        <v>89</v>
      </c>
      <c r="F8" s="56" t="s">
        <v>44</v>
      </c>
      <c r="G8" s="44">
        <v>61</v>
      </c>
      <c r="H8" s="129">
        <f>IF(B$15=0,0,G8/B$15)</f>
        <v>0.14055299539170507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0.25806451612903225</v>
      </c>
      <c r="E9" s="59" t="s">
        <v>69</v>
      </c>
      <c r="F9" s="56" t="s">
        <v>24</v>
      </c>
      <c r="G9" s="44">
        <v>57</v>
      </c>
      <c r="H9" s="129">
        <f>IF(B$15=0,0,G9/B$15)</f>
        <v>0.1313364055299539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4.5161290322580643E-2</v>
      </c>
      <c r="E10" s="59" t="s">
        <v>65</v>
      </c>
      <c r="F10" s="56" t="s">
        <v>21</v>
      </c>
      <c r="G10" s="44">
        <v>49</v>
      </c>
      <c r="H10" s="129">
        <f>IF(B$15=0,0,G10/B$15)</f>
        <v>0.11290322580645161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12.337777777777772</v>
      </c>
      <c r="P10" s="114">
        <v>45</v>
      </c>
      <c r="Q10" s="102">
        <v>555.1999999999997</v>
      </c>
    </row>
    <row r="11" spans="1:17" x14ac:dyDescent="0.45">
      <c r="A11" s="54" t="s">
        <v>121</v>
      </c>
      <c r="B11" s="47">
        <v>339</v>
      </c>
      <c r="C11" s="42">
        <f>IF(B$3=0,0,B11/B$3)</f>
        <v>0.26692913385826772</v>
      </c>
      <c r="E11" s="59" t="s">
        <v>71</v>
      </c>
      <c r="F11" s="56" t="s">
        <v>26</v>
      </c>
      <c r="G11" s="44">
        <v>30</v>
      </c>
      <c r="H11" s="129">
        <f>IF(B$15=0,0,G11/B$15)</f>
        <v>6.9124423963133647E-2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5">
      <c r="A12" s="51" t="s">
        <v>118</v>
      </c>
      <c r="B12" s="44">
        <v>293</v>
      </c>
      <c r="C12" s="37">
        <f>IF(B$3=0,0,B12/B$3)</f>
        <v>0.23070866141732282</v>
      </c>
      <c r="E12" s="59" t="s">
        <v>86</v>
      </c>
      <c r="F12" s="56" t="s">
        <v>41</v>
      </c>
      <c r="G12" s="44">
        <v>29</v>
      </c>
      <c r="H12" s="129">
        <f>IF(B$15=0,0,G12/B$15)</f>
        <v>6.6820276497695855E-2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9.1245614035087712</v>
      </c>
      <c r="P12" s="116">
        <v>57</v>
      </c>
      <c r="Q12" s="104">
        <v>520.09999999999991</v>
      </c>
    </row>
    <row r="13" spans="1:17" x14ac:dyDescent="0.45">
      <c r="A13" s="50" t="s">
        <v>123</v>
      </c>
      <c r="B13" s="43">
        <f>B19</f>
        <v>203</v>
      </c>
      <c r="C13" s="35">
        <f>IF(B$11=0,0,B13/B$11)</f>
        <v>0.59882005899705015</v>
      </c>
      <c r="E13" s="59" t="s">
        <v>70</v>
      </c>
      <c r="F13" s="56" t="s">
        <v>25</v>
      </c>
      <c r="G13" s="44">
        <v>24</v>
      </c>
      <c r="H13" s="129">
        <f>IF(B$15=0,0,G13/B$15)</f>
        <v>5.5299539170506916E-2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144</v>
      </c>
      <c r="C14" s="35">
        <f>IF(B$12=0,0,B14/B$12)</f>
        <v>0.49146757679180886</v>
      </c>
      <c r="E14" s="59" t="s">
        <v>83</v>
      </c>
      <c r="F14" s="56" t="s">
        <v>38</v>
      </c>
      <c r="G14" s="44">
        <v>21</v>
      </c>
      <c r="H14" s="129">
        <f>IF(B$15=0,0,G14/B$15)</f>
        <v>4.8387096774193547E-2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434</v>
      </c>
      <c r="C15" s="35">
        <f>IF(B$3=0,0,B15/B$3)</f>
        <v>0.34173228346456691</v>
      </c>
      <c r="E15" s="59" t="s">
        <v>78</v>
      </c>
      <c r="F15" s="56" t="s">
        <v>33</v>
      </c>
      <c r="G15" s="44">
        <v>15</v>
      </c>
      <c r="H15" s="129">
        <f>IF(B$15=0,0,G15/B$15)</f>
        <v>3.4562211981566823E-2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169</v>
      </c>
      <c r="C16" s="37">
        <f>IF(B$3=0,0,B16/B$3)</f>
        <v>0.13307086614173227</v>
      </c>
      <c r="E16" s="59" t="s">
        <v>162</v>
      </c>
      <c r="F16" s="56" t="s">
        <v>163</v>
      </c>
      <c r="G16" s="44">
        <v>13</v>
      </c>
      <c r="H16" s="129">
        <f>IF(B$15=0,0,G16/B$15)</f>
        <v>2.9953917050691243E-2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>IF(P16=0,0,Q16/P16)</f>
        <v>29.949999999999996</v>
      </c>
      <c r="P16" s="115">
        <v>2</v>
      </c>
      <c r="Q16" s="103">
        <v>59.899999999999991</v>
      </c>
    </row>
    <row r="17" spans="1:17" x14ac:dyDescent="0.45">
      <c r="A17" s="51" t="s">
        <v>12</v>
      </c>
      <c r="B17" s="44">
        <v>181</v>
      </c>
      <c r="C17" s="37">
        <f>IF(B$15=0,0,B17/B$15)</f>
        <v>0.41705069124423966</v>
      </c>
      <c r="E17" s="59" t="s">
        <v>81</v>
      </c>
      <c r="F17" s="56" t="s">
        <v>36</v>
      </c>
      <c r="G17" s="44">
        <v>6</v>
      </c>
      <c r="H17" s="129">
        <f>IF(B$15=0,0,G17/B$15)</f>
        <v>1.3824884792626729E-2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27.288235294117644</v>
      </c>
      <c r="P17" s="115">
        <v>17</v>
      </c>
      <c r="Q17" s="103">
        <v>463.9</v>
      </c>
    </row>
    <row r="18" spans="1:17" x14ac:dyDescent="0.45">
      <c r="A18" s="51" t="s">
        <v>11</v>
      </c>
      <c r="B18" s="44">
        <v>253</v>
      </c>
      <c r="C18" s="37">
        <f>IF(B$15=0,0,B18/B$15)</f>
        <v>0.58294930875576034</v>
      </c>
      <c r="E18" s="59" t="s">
        <v>75</v>
      </c>
      <c r="F18" s="56" t="s">
        <v>30</v>
      </c>
      <c r="G18" s="44">
        <v>5</v>
      </c>
      <c r="H18" s="129">
        <f>IF(B$15=0,0,G18/B$15)</f>
        <v>1.1520737327188941E-2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>IF(P18=0,0,Q18/P18)</f>
        <v>12.944642857142856</v>
      </c>
      <c r="P18" s="115">
        <v>56</v>
      </c>
      <c r="Q18" s="103">
        <v>724.9</v>
      </c>
    </row>
    <row r="19" spans="1:17" x14ac:dyDescent="0.45">
      <c r="A19" s="51" t="s">
        <v>195</v>
      </c>
      <c r="B19" s="44">
        <v>203</v>
      </c>
      <c r="C19" s="37">
        <f>IF(B$15=0,0,B19/B$15)</f>
        <v>0.46774193548387094</v>
      </c>
      <c r="E19" s="59" t="s">
        <v>91</v>
      </c>
      <c r="F19" s="56" t="s">
        <v>46</v>
      </c>
      <c r="G19" s="44">
        <v>4</v>
      </c>
      <c r="H19" s="129">
        <f>IF(B$15=0,0,G19/B$15)</f>
        <v>9.2165898617511521E-3</v>
      </c>
      <c r="I19" s="90">
        <v>7</v>
      </c>
      <c r="K19" s="36">
        <v>17</v>
      </c>
      <c r="L19" s="95">
        <v>359.09999999999991</v>
      </c>
      <c r="N19" s="111" t="s">
        <v>127</v>
      </c>
      <c r="O19" s="121">
        <f>IF(P19=0,0,Q19/P19)</f>
        <v>12.341935483870968</v>
      </c>
      <c r="P19" s="115">
        <v>93</v>
      </c>
      <c r="Q19" s="103">
        <v>1147.8</v>
      </c>
    </row>
    <row r="20" spans="1:17" x14ac:dyDescent="0.45">
      <c r="A20" s="51" t="s">
        <v>193</v>
      </c>
      <c r="B20" s="44">
        <v>144</v>
      </c>
      <c r="C20" s="37">
        <f>IF(B$15=0,0,B20/B$15)</f>
        <v>0.33179723502304148</v>
      </c>
      <c r="E20" s="59" t="s">
        <v>77</v>
      </c>
      <c r="F20" s="56" t="s">
        <v>32</v>
      </c>
      <c r="G20" s="44">
        <v>3</v>
      </c>
      <c r="H20" s="129">
        <f>IF(B$15=0,0,G20/B$15)</f>
        <v>6.9124423963133645E-3</v>
      </c>
      <c r="I20" s="90">
        <v>1</v>
      </c>
      <c r="K20" s="36">
        <v>18</v>
      </c>
      <c r="L20" s="95">
        <v>352.39999999999992</v>
      </c>
      <c r="N20" s="111" t="s">
        <v>172</v>
      </c>
      <c r="O20" s="121">
        <f>IF(P20=0,0,Q20/P20)</f>
        <v>12.148214285714285</v>
      </c>
      <c r="P20" s="115">
        <v>56</v>
      </c>
      <c r="Q20" s="103">
        <v>680.3</v>
      </c>
    </row>
    <row r="21" spans="1:17" x14ac:dyDescent="0.45">
      <c r="A21" s="51" t="s">
        <v>194</v>
      </c>
      <c r="B21" s="44">
        <v>87</v>
      </c>
      <c r="C21" s="37">
        <f>IF(B$15=0,0,B21/B$15)</f>
        <v>0.20046082949308755</v>
      </c>
      <c r="E21" s="59" t="s">
        <v>84</v>
      </c>
      <c r="F21" s="56" t="s">
        <v>39</v>
      </c>
      <c r="G21" s="44">
        <v>3</v>
      </c>
      <c r="H21" s="129">
        <f>IF(B$15=0,0,G21/B$15)</f>
        <v>6.9124423963133645E-3</v>
      </c>
      <c r="I21" s="90">
        <v>2</v>
      </c>
      <c r="K21" s="36">
        <v>19</v>
      </c>
      <c r="L21" s="95">
        <v>383.19999999999993</v>
      </c>
      <c r="N21" s="111" t="s">
        <v>161</v>
      </c>
      <c r="O21" s="121">
        <f>IF(P21=0,0,Q21/P21)</f>
        <v>11.755555555555556</v>
      </c>
      <c r="P21" s="115">
        <v>36</v>
      </c>
      <c r="Q21" s="103">
        <v>423.20000000000005</v>
      </c>
    </row>
    <row r="22" spans="1:17" x14ac:dyDescent="0.45">
      <c r="A22" s="51" t="s">
        <v>5</v>
      </c>
      <c r="B22" s="48">
        <f>IF(B$15=0,0,C22/B$15)</f>
        <v>8153.2258064516127</v>
      </c>
      <c r="C22" s="39">
        <v>3538500</v>
      </c>
      <c r="E22" s="59" t="s">
        <v>92</v>
      </c>
      <c r="F22" s="56" t="s">
        <v>47</v>
      </c>
      <c r="G22" s="44">
        <v>3</v>
      </c>
      <c r="H22" s="129">
        <f>IF(B$15=0,0,G22/B$15)</f>
        <v>6.9124423963133645E-3</v>
      </c>
      <c r="I22" s="90">
        <v>4</v>
      </c>
      <c r="K22" s="36">
        <v>20</v>
      </c>
      <c r="L22" s="95">
        <v>365.49999999999994</v>
      </c>
      <c r="N22" s="111" t="s">
        <v>170</v>
      </c>
      <c r="O22" s="121">
        <f>IF(P22=0,0,Q22/P22)</f>
        <v>-2.5707317073170728</v>
      </c>
      <c r="P22" s="115">
        <v>41</v>
      </c>
      <c r="Q22" s="103">
        <v>-105.39999999999998</v>
      </c>
    </row>
    <row r="23" spans="1:17" x14ac:dyDescent="0.45">
      <c r="A23" s="52" t="s">
        <v>177</v>
      </c>
      <c r="B23" s="136">
        <f>IF($B$15-B$14=0,0,C23/($B$15-B$14))</f>
        <v>8606.8965517241377</v>
      </c>
      <c r="C23" s="137">
        <v>2496000</v>
      </c>
      <c r="E23" s="59" t="s">
        <v>74</v>
      </c>
      <c r="F23" s="56" t="s">
        <v>29</v>
      </c>
      <c r="G23" s="44">
        <v>2</v>
      </c>
      <c r="H23" s="129">
        <f>IF(B$15=0,0,G23/B$15)</f>
        <v>4.608294930875576E-3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7239.583333333333</v>
      </c>
      <c r="C24" s="137">
        <v>1042500</v>
      </c>
      <c r="E24" s="59" t="s">
        <v>79</v>
      </c>
      <c r="F24" s="56" t="s">
        <v>34</v>
      </c>
      <c r="G24" s="44">
        <v>2</v>
      </c>
      <c r="H24" s="129">
        <f>IF(B$15=0,0,G24/B$15)</f>
        <v>4.608294930875576E-3</v>
      </c>
      <c r="I24" s="90">
        <v>9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-7683.4319526627223</v>
      </c>
      <c r="C25" s="137">
        <v>-1298500</v>
      </c>
      <c r="E25" s="59" t="s">
        <v>85</v>
      </c>
      <c r="F25" s="56" t="s">
        <v>40</v>
      </c>
      <c r="G25" s="44">
        <v>2</v>
      </c>
      <c r="H25" s="129">
        <f>IF(B$15=0,0,G25/B$15)</f>
        <v>4.608294930875576E-3</v>
      </c>
      <c r="I25" s="90">
        <v>5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4.608294930875576E-3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4.608294930875576E-3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2.304147465437788E-3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2.304147465437788E-3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7.874015748031496E-4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40</v>
      </c>
      <c r="C32" s="141">
        <f>IF(B$15=0,0,B32/B$15)</f>
        <v>9.2165898617511524E-2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79</v>
      </c>
      <c r="C33" s="37">
        <f t="shared" ref="C33:C44" si="2">IF(B$15=0,0,B33/B$15)</f>
        <v>0.18202764976958524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90</v>
      </c>
      <c r="C34" s="37">
        <f>IF(B$15=0,0,B34/B$15)</f>
        <v>0.20737327188940091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79</v>
      </c>
      <c r="C35" s="37">
        <f t="shared" si="2"/>
        <v>0.18202764976958524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62</v>
      </c>
      <c r="C36" s="37">
        <f t="shared" si="2"/>
        <v>0.14285714285714285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40</v>
      </c>
      <c r="C37" s="37">
        <f t="shared" si="2"/>
        <v>9.2165898617511524E-2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21</v>
      </c>
      <c r="C38" s="37">
        <f t="shared" si="2"/>
        <v>4.8387096774193547E-2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1.3824884792626729E-2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2.3041474654377881E-2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2.304147465437788E-3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1.3824884792626729E-2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2F36-9EF9-4FB8-9866-4E48C91959DE}">
  <sheetPr codeName="Sheet11"/>
  <dimension ref="A1:Q13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137</v>
      </c>
      <c r="C2" s="155"/>
      <c r="E2" s="58" t="s">
        <v>66</v>
      </c>
      <c r="F2" s="55" t="s">
        <v>22</v>
      </c>
      <c r="G2" s="43">
        <v>281</v>
      </c>
      <c r="H2" s="128">
        <f>IF(B$15=0,0,G2/B$15)</f>
        <v>0.80747126436781613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-1557.3529411764705</v>
      </c>
      <c r="P2" s="114">
        <v>136</v>
      </c>
      <c r="Q2" s="98">
        <v>-211800</v>
      </c>
    </row>
    <row r="3" spans="1:17" x14ac:dyDescent="0.45">
      <c r="A3" s="51" t="s">
        <v>8</v>
      </c>
      <c r="B3" s="156">
        <v>1147</v>
      </c>
      <c r="C3" s="157"/>
      <c r="E3" s="59" t="s">
        <v>72</v>
      </c>
      <c r="F3" s="56" t="s">
        <v>27</v>
      </c>
      <c r="G3" s="44">
        <v>196</v>
      </c>
      <c r="H3" s="129">
        <f>IF(B$15=0,0,G3/B$15)</f>
        <v>0.56321839080459768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1505.2238805970148</v>
      </c>
      <c r="P3" s="115">
        <v>134</v>
      </c>
      <c r="Q3" s="99">
        <v>201700</v>
      </c>
    </row>
    <row r="4" spans="1:17" x14ac:dyDescent="0.45">
      <c r="A4" s="51" t="s">
        <v>6</v>
      </c>
      <c r="B4" s="158">
        <v>58.999999999999815</v>
      </c>
      <c r="C4" s="159"/>
      <c r="E4" s="59" t="s">
        <v>166</v>
      </c>
      <c r="F4" s="56" t="s">
        <v>167</v>
      </c>
      <c r="G4" s="44">
        <v>137</v>
      </c>
      <c r="H4" s="129">
        <f>IF(B$15=0,0,G4/B$15)</f>
        <v>0.39367816091954022</v>
      </c>
      <c r="I4" s="90">
        <v>7</v>
      </c>
      <c r="K4" s="36">
        <v>2</v>
      </c>
      <c r="L4" s="95">
        <v>-34.299999999999997</v>
      </c>
      <c r="N4" s="111" t="s">
        <v>132</v>
      </c>
      <c r="O4" s="118">
        <f t="shared" si="0"/>
        <v>-285.36585365853659</v>
      </c>
      <c r="P4" s="115">
        <v>123</v>
      </c>
      <c r="Q4" s="99">
        <v>-35100</v>
      </c>
    </row>
    <row r="5" spans="1:17" x14ac:dyDescent="0.45">
      <c r="A5" s="51" t="s">
        <v>7</v>
      </c>
      <c r="B5" s="160">
        <f>IF(B$2=0,0,B$4/B$2)</f>
        <v>0.43065693430656798</v>
      </c>
      <c r="C5" s="161"/>
      <c r="E5" s="59" t="s">
        <v>64</v>
      </c>
      <c r="F5" s="56" t="s">
        <v>20</v>
      </c>
      <c r="G5" s="44">
        <v>134</v>
      </c>
      <c r="H5" s="129">
        <f>IF(B$15=0,0,G5/B$15)</f>
        <v>0.38505747126436779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394.87179487179486</v>
      </c>
      <c r="P5" s="115">
        <v>117</v>
      </c>
      <c r="Q5" s="99">
        <v>46200</v>
      </c>
    </row>
    <row r="6" spans="1:17" x14ac:dyDescent="0.45">
      <c r="A6" s="51" t="s">
        <v>1</v>
      </c>
      <c r="B6" s="150">
        <f>IF(B$2=0,0,(B$7*1+B$8*2+B$9*3)/B$2)</f>
        <v>1.9562043795620438</v>
      </c>
      <c r="C6" s="151"/>
      <c r="E6" s="59" t="s">
        <v>68</v>
      </c>
      <c r="F6" s="56" t="s">
        <v>12</v>
      </c>
      <c r="G6" s="44">
        <v>96</v>
      </c>
      <c r="H6" s="129">
        <f>IF(B$15=0,0,G6/B$15)</f>
        <v>0.27586206896551724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-935.51401869158883</v>
      </c>
      <c r="P6" s="115">
        <v>107</v>
      </c>
      <c r="Q6" s="99">
        <v>-100100</v>
      </c>
    </row>
    <row r="7" spans="1:17" x14ac:dyDescent="0.45">
      <c r="A7" s="51" t="s">
        <v>2</v>
      </c>
      <c r="B7" s="44">
        <v>47</v>
      </c>
      <c r="C7" s="37">
        <f t="shared" ref="C7:C10" si="1">IF(B$2=0,0,B7/B$2)</f>
        <v>0.34306569343065696</v>
      </c>
      <c r="E7" s="59" t="s">
        <v>67</v>
      </c>
      <c r="F7" s="56" t="s">
        <v>23</v>
      </c>
      <c r="G7" s="44">
        <v>72</v>
      </c>
      <c r="H7" s="129">
        <f>IF(B$15=0,0,G7/B$15)</f>
        <v>0.20689655172413793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1464.4444444444443</v>
      </c>
      <c r="P7" s="116">
        <v>90</v>
      </c>
      <c r="Q7" s="100">
        <v>131800</v>
      </c>
    </row>
    <row r="8" spans="1:17" x14ac:dyDescent="0.45">
      <c r="A8" s="51" t="s">
        <v>3</v>
      </c>
      <c r="B8" s="44">
        <v>49</v>
      </c>
      <c r="C8" s="37">
        <f t="shared" si="1"/>
        <v>0.35766423357664234</v>
      </c>
      <c r="E8" s="59" t="s">
        <v>69</v>
      </c>
      <c r="F8" s="56" t="s">
        <v>24</v>
      </c>
      <c r="G8" s="44">
        <v>41</v>
      </c>
      <c r="H8" s="129">
        <f>IF(B$15=0,0,G8/B$15)</f>
        <v>0.11781609195402298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0.29927007299270075</v>
      </c>
      <c r="E9" s="59" t="s">
        <v>89</v>
      </c>
      <c r="F9" s="56" t="s">
        <v>44</v>
      </c>
      <c r="G9" s="44">
        <v>41</v>
      </c>
      <c r="H9" s="129">
        <f>IF(B$15=0,0,G9/B$15)</f>
        <v>0.11781609195402298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0.13138686131386862</v>
      </c>
      <c r="E10" s="59" t="s">
        <v>70</v>
      </c>
      <c r="F10" s="56" t="s">
        <v>25</v>
      </c>
      <c r="G10" s="44">
        <v>35</v>
      </c>
      <c r="H10" s="129">
        <f>IF(B$15=0,0,G10/B$15)</f>
        <v>0.10057471264367816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1.371052631578948</v>
      </c>
      <c r="P10" s="114">
        <v>38</v>
      </c>
      <c r="Q10" s="102">
        <v>52.100000000000023</v>
      </c>
    </row>
    <row r="11" spans="1:17" x14ac:dyDescent="0.45">
      <c r="A11" s="54" t="s">
        <v>121</v>
      </c>
      <c r="B11" s="47">
        <v>267</v>
      </c>
      <c r="C11" s="42">
        <f>IF(B$3=0,0,B11/B$3)</f>
        <v>0.23278116826503922</v>
      </c>
      <c r="E11" s="59" t="s">
        <v>71</v>
      </c>
      <c r="F11" s="56" t="s">
        <v>26</v>
      </c>
      <c r="G11" s="44">
        <v>34</v>
      </c>
      <c r="H11" s="129">
        <f>IF(B$15=0,0,G11/B$15)</f>
        <v>9.7701149425287362E-2</v>
      </c>
      <c r="I11" s="90">
        <v>4</v>
      </c>
      <c r="K11" s="36">
        <v>9</v>
      </c>
      <c r="L11" s="95">
        <v>-83.699999999999989</v>
      </c>
      <c r="N11" s="111" t="s">
        <v>158</v>
      </c>
      <c r="O11" s="121">
        <f>IF(P11=0,0,Q11/P11)</f>
        <v>4.8382978723404273</v>
      </c>
      <c r="P11" s="115">
        <v>47</v>
      </c>
      <c r="Q11" s="103">
        <v>227.40000000000006</v>
      </c>
    </row>
    <row r="12" spans="1:17" x14ac:dyDescent="0.45">
      <c r="A12" s="51" t="s">
        <v>118</v>
      </c>
      <c r="B12" s="44">
        <v>344</v>
      </c>
      <c r="C12" s="37">
        <f>IF(B$3=0,0,B12/B$3)</f>
        <v>0.29991281604184827</v>
      </c>
      <c r="E12" s="59" t="s">
        <v>65</v>
      </c>
      <c r="F12" s="56" t="s">
        <v>21</v>
      </c>
      <c r="G12" s="44">
        <v>30</v>
      </c>
      <c r="H12" s="129">
        <f>IF(B$15=0,0,G12/B$15)</f>
        <v>8.6206896551724144E-2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134</v>
      </c>
      <c r="C13" s="35">
        <f>IF(B$11=0,0,B13/B$11)</f>
        <v>0.50187265917602997</v>
      </c>
      <c r="E13" s="59" t="s">
        <v>86</v>
      </c>
      <c r="F13" s="56" t="s">
        <v>41</v>
      </c>
      <c r="G13" s="44">
        <v>24</v>
      </c>
      <c r="H13" s="129">
        <f>IF(B$15=0,0,G13/B$15)</f>
        <v>6.8965517241379309E-2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132</v>
      </c>
      <c r="C14" s="35">
        <f>IF(B$12=0,0,B14/B$12)</f>
        <v>0.38372093023255816</v>
      </c>
      <c r="E14" s="59" t="s">
        <v>83</v>
      </c>
      <c r="F14" s="56" t="s">
        <v>38</v>
      </c>
      <c r="G14" s="44">
        <v>19</v>
      </c>
      <c r="H14" s="129">
        <f>IF(B$15=0,0,G14/B$15)</f>
        <v>5.459770114942529E-2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348</v>
      </c>
      <c r="C15" s="35">
        <f>IF(B$3=0,0,B15/B$3)</f>
        <v>0.30340017436791633</v>
      </c>
      <c r="E15" s="59" t="s">
        <v>91</v>
      </c>
      <c r="F15" s="56" t="s">
        <v>46</v>
      </c>
      <c r="G15" s="44">
        <v>11</v>
      </c>
      <c r="H15" s="129">
        <f>IF(B$15=0,0,G15/B$15)</f>
        <v>3.1609195402298854E-2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213</v>
      </c>
      <c r="C16" s="37">
        <f>IF(B$3=0,0,B16/B$3)</f>
        <v>0.1857018308631212</v>
      </c>
      <c r="E16" s="59" t="s">
        <v>78</v>
      </c>
      <c r="F16" s="56" t="s">
        <v>33</v>
      </c>
      <c r="G16" s="44">
        <v>10</v>
      </c>
      <c r="H16" s="129">
        <f>IF(B$15=0,0,G16/B$15)</f>
        <v>2.8735632183908046E-2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143</v>
      </c>
      <c r="C17" s="37">
        <f>IF(B$15=0,0,B17/B$15)</f>
        <v>0.41091954022988508</v>
      </c>
      <c r="E17" s="59" t="s">
        <v>81</v>
      </c>
      <c r="F17" s="56" t="s">
        <v>36</v>
      </c>
      <c r="G17" s="44">
        <v>8</v>
      </c>
      <c r="H17" s="129">
        <f>IF(B$15=0,0,G17/B$15)</f>
        <v>2.2988505747126436E-2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205</v>
      </c>
      <c r="C18" s="37">
        <f>IF(B$15=0,0,B18/B$15)</f>
        <v>0.58908045977011492</v>
      </c>
      <c r="E18" s="59" t="s">
        <v>79</v>
      </c>
      <c r="F18" s="56" t="s">
        <v>34</v>
      </c>
      <c r="G18" s="44">
        <v>6</v>
      </c>
      <c r="H18" s="129">
        <f>IF(B$15=0,0,G18/B$15)</f>
        <v>1.7241379310344827E-2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134</v>
      </c>
      <c r="C19" s="37">
        <f>IF(B$15=0,0,B19/B$15)</f>
        <v>0.38505747126436779</v>
      </c>
      <c r="E19" s="59" t="s">
        <v>162</v>
      </c>
      <c r="F19" s="56" t="s">
        <v>163</v>
      </c>
      <c r="G19" s="44">
        <v>5</v>
      </c>
      <c r="H19" s="129">
        <f>IF(B$15=0,0,G19/B$15)</f>
        <v>1.4367816091954023E-2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4.1851851851851842</v>
      </c>
      <c r="P19" s="115">
        <v>27</v>
      </c>
      <c r="Q19" s="103">
        <v>112.99999999999999</v>
      </c>
    </row>
    <row r="20" spans="1:17" x14ac:dyDescent="0.45">
      <c r="A20" s="51" t="s">
        <v>193</v>
      </c>
      <c r="B20" s="44">
        <v>132</v>
      </c>
      <c r="C20" s="37">
        <f>IF(B$15=0,0,B20/B$15)</f>
        <v>0.37931034482758619</v>
      </c>
      <c r="E20" s="59" t="s">
        <v>92</v>
      </c>
      <c r="F20" s="56" t="s">
        <v>47</v>
      </c>
      <c r="G20" s="44">
        <v>3</v>
      </c>
      <c r="H20" s="129">
        <f>IF(B$15=0,0,G20/B$15)</f>
        <v>8.6206896551724137E-3</v>
      </c>
      <c r="I20" s="90">
        <v>2</v>
      </c>
      <c r="K20" s="36">
        <v>18</v>
      </c>
      <c r="L20" s="95">
        <v>-112.90000000000002</v>
      </c>
      <c r="N20" s="111" t="s">
        <v>170</v>
      </c>
      <c r="O20" s="121">
        <f>IF(P20=0,0,Q20/P20)</f>
        <v>0.66000000000000569</v>
      </c>
      <c r="P20" s="115">
        <v>40</v>
      </c>
      <c r="Q20" s="103">
        <v>26.400000000000226</v>
      </c>
    </row>
    <row r="21" spans="1:17" x14ac:dyDescent="0.45">
      <c r="A21" s="51" t="s">
        <v>194</v>
      </c>
      <c r="B21" s="44">
        <v>82</v>
      </c>
      <c r="C21" s="37">
        <f>IF(B$15=0,0,B21/B$15)</f>
        <v>0.23563218390804597</v>
      </c>
      <c r="E21" s="59" t="s">
        <v>74</v>
      </c>
      <c r="F21" s="56" t="s">
        <v>29</v>
      </c>
      <c r="G21" s="44">
        <v>2</v>
      </c>
      <c r="H21" s="129">
        <f>IF(B$15=0,0,G21/B$15)</f>
        <v>5.7471264367816091E-3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-2.0166666666666644</v>
      </c>
      <c r="P21" s="115">
        <v>42</v>
      </c>
      <c r="Q21" s="103">
        <v>-84.699999999999903</v>
      </c>
    </row>
    <row r="22" spans="1:17" x14ac:dyDescent="0.45">
      <c r="A22" s="51" t="s">
        <v>5</v>
      </c>
      <c r="B22" s="48">
        <f>IF(B$15=0,0,C22/B$15)</f>
        <v>8371.2643678160912</v>
      </c>
      <c r="C22" s="39">
        <v>2913200</v>
      </c>
      <c r="E22" s="59" t="s">
        <v>75</v>
      </c>
      <c r="F22" s="56" t="s">
        <v>30</v>
      </c>
      <c r="G22" s="44">
        <v>2</v>
      </c>
      <c r="H22" s="129">
        <f>IF(B$15=0,0,G22/B$15)</f>
        <v>5.7471264367816091E-3</v>
      </c>
      <c r="I22" s="90">
        <v>7</v>
      </c>
      <c r="K22" s="36">
        <v>20</v>
      </c>
      <c r="L22" s="95">
        <v>-96.000000000000028</v>
      </c>
      <c r="N22" s="111" t="s">
        <v>274</v>
      </c>
      <c r="O22" s="121">
        <f>IF(P22=0,0,Q22/P22)</f>
        <v>-6.2333333333333316</v>
      </c>
      <c r="P22" s="115">
        <v>3</v>
      </c>
      <c r="Q22" s="103">
        <v>-18.699999999999996</v>
      </c>
    </row>
    <row r="23" spans="1:17" x14ac:dyDescent="0.45">
      <c r="A23" s="52" t="s">
        <v>177</v>
      </c>
      <c r="B23" s="136">
        <f>IF($B$15-B$14=0,0,C23/($B$15-B$14))</f>
        <v>9002.3148148148157</v>
      </c>
      <c r="C23" s="137">
        <v>1944500</v>
      </c>
      <c r="E23" s="59" t="s">
        <v>73</v>
      </c>
      <c r="F23" s="56" t="s">
        <v>28</v>
      </c>
      <c r="G23" s="44">
        <v>1</v>
      </c>
      <c r="H23" s="129">
        <f>IF(B$15=0,0,G23/B$15)</f>
        <v>2.8735632183908046E-3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-12.341935483870968</v>
      </c>
      <c r="P23" s="115">
        <v>93</v>
      </c>
      <c r="Q23" s="103">
        <v>-1147.8</v>
      </c>
    </row>
    <row r="24" spans="1:17" x14ac:dyDescent="0.45">
      <c r="A24" s="52" t="s">
        <v>178</v>
      </c>
      <c r="B24" s="136">
        <f>IF(B$14=0,0,C24/B$14)</f>
        <v>7338.636363636364</v>
      </c>
      <c r="C24" s="137">
        <v>968700</v>
      </c>
      <c r="E24" s="59" t="s">
        <v>77</v>
      </c>
      <c r="F24" s="56" t="s">
        <v>32</v>
      </c>
      <c r="G24" s="44">
        <v>1</v>
      </c>
      <c r="H24" s="129">
        <f>IF(B$15=0,0,G24/B$15)</f>
        <v>2.8735632183908046E-3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-7936.1502347417836</v>
      </c>
      <c r="C25" s="137">
        <v>-1690400</v>
      </c>
      <c r="E25" s="59" t="s">
        <v>84</v>
      </c>
      <c r="F25" s="56" t="s">
        <v>39</v>
      </c>
      <c r="G25" s="44">
        <v>1</v>
      </c>
      <c r="H25" s="129">
        <f>IF(B$15=0,0,G25/B$15)</f>
        <v>2.8735632183908046E-3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90</v>
      </c>
      <c r="F26" s="56" t="s">
        <v>45</v>
      </c>
      <c r="G26" s="44">
        <v>1</v>
      </c>
      <c r="H26" s="129">
        <f>IF(B$15=0,0,G26/B$15)</f>
        <v>2.8735632183908046E-3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9</v>
      </c>
      <c r="E27" s="59" t="s">
        <v>95</v>
      </c>
      <c r="F27" s="56" t="s">
        <v>50</v>
      </c>
      <c r="G27" s="44">
        <v>1</v>
      </c>
      <c r="H27" s="129">
        <f>IF(B$15=0,0,G27/B$15)</f>
        <v>2.8735632183908046E-3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3.4873583260680036E-3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24</v>
      </c>
      <c r="C32" s="141">
        <f>IF(B$15=0,0,B32/B$15)</f>
        <v>6.8965517241379309E-2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56</v>
      </c>
      <c r="C33" s="37">
        <f t="shared" ref="C33:C44" si="2">IF(B$15=0,0,B33/B$15)</f>
        <v>0.16091954022988506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71</v>
      </c>
      <c r="C34" s="37">
        <f>IF(B$15=0,0,B34/B$15)</f>
        <v>0.20402298850574713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75</v>
      </c>
      <c r="C35" s="37">
        <f t="shared" si="2"/>
        <v>0.21551724137931033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52</v>
      </c>
      <c r="C36" s="37">
        <f t="shared" si="2"/>
        <v>0.14942528735632185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2"/>
        <v>0.10919540229885058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12</v>
      </c>
      <c r="C38" s="37">
        <f t="shared" si="2"/>
        <v>3.4482758620689655E-2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2.2988505747126436E-2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1.4367816091954023E-2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2.8735632183908046E-3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5.7471264367816091E-3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1.1494252873563218E-2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B1BC-CFCD-4866-BD24-A090F5382ECE}">
  <sheetPr codeName="Sheet13"/>
  <dimension ref="A1:Q9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91</v>
      </c>
      <c r="C2" s="155"/>
      <c r="E2" s="58" t="s">
        <v>66</v>
      </c>
      <c r="F2" s="55" t="s">
        <v>22</v>
      </c>
      <c r="G2" s="43">
        <v>167</v>
      </c>
      <c r="H2" s="128">
        <f>IF(B$15=0,0,G2/B$15)</f>
        <v>0.784037558685446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-144.44444444444446</v>
      </c>
      <c r="P2" s="114">
        <v>90</v>
      </c>
      <c r="Q2" s="98">
        <v>-13000</v>
      </c>
    </row>
    <row r="3" spans="1:17" x14ac:dyDescent="0.45">
      <c r="A3" s="51" t="s">
        <v>8</v>
      </c>
      <c r="B3" s="156">
        <v>772</v>
      </c>
      <c r="C3" s="157"/>
      <c r="E3" s="59" t="s">
        <v>64</v>
      </c>
      <c r="F3" s="56" t="s">
        <v>20</v>
      </c>
      <c r="G3" s="44">
        <v>119</v>
      </c>
      <c r="H3" s="129">
        <f>IF(B$15=0,0,G3/B$15)</f>
        <v>0.55868544600938963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-1234.4444444444443</v>
      </c>
      <c r="P3" s="115">
        <v>90</v>
      </c>
      <c r="Q3" s="99">
        <v>-111100</v>
      </c>
    </row>
    <row r="4" spans="1:17" x14ac:dyDescent="0.45">
      <c r="A4" s="51" t="s">
        <v>6</v>
      </c>
      <c r="B4" s="158">
        <v>-583.4</v>
      </c>
      <c r="C4" s="159"/>
      <c r="E4" s="59" t="s">
        <v>72</v>
      </c>
      <c r="F4" s="56" t="s">
        <v>27</v>
      </c>
      <c r="G4" s="44">
        <v>108</v>
      </c>
      <c r="H4" s="129">
        <f>IF(B$15=0,0,G4/B$15)</f>
        <v>0.50704225352112675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597.61904761904759</v>
      </c>
      <c r="P4" s="115">
        <v>84</v>
      </c>
      <c r="Q4" s="99">
        <v>50200</v>
      </c>
    </row>
    <row r="5" spans="1:17" x14ac:dyDescent="0.45">
      <c r="A5" s="51" t="s">
        <v>7</v>
      </c>
      <c r="B5" s="160">
        <f>IF(B$2=0,0,B$4/B$2)</f>
        <v>-6.4109890109890104</v>
      </c>
      <c r="C5" s="161"/>
      <c r="E5" s="59" t="s">
        <v>166</v>
      </c>
      <c r="F5" s="56" t="s">
        <v>167</v>
      </c>
      <c r="G5" s="44">
        <v>89</v>
      </c>
      <c r="H5" s="129">
        <f>IF(B$15=0,0,G5/B$15)</f>
        <v>0.41784037558685444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-551.80722891566268</v>
      </c>
      <c r="P5" s="115">
        <v>83</v>
      </c>
      <c r="Q5" s="99">
        <v>-45800</v>
      </c>
    </row>
    <row r="6" spans="1:17" x14ac:dyDescent="0.45">
      <c r="A6" s="51" t="s">
        <v>1</v>
      </c>
      <c r="B6" s="150">
        <f>IF(B$2=0,0,(B$7*1+B$8*2+B$9*3)/B$2)</f>
        <v>2.1648351648351647</v>
      </c>
      <c r="C6" s="151"/>
      <c r="E6" s="59" t="s">
        <v>68</v>
      </c>
      <c r="F6" s="56" t="s">
        <v>12</v>
      </c>
      <c r="G6" s="44">
        <v>72</v>
      </c>
      <c r="H6" s="129">
        <f>IF(B$15=0,0,G6/B$15)</f>
        <v>0.3380281690140845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-2937.1794871794873</v>
      </c>
      <c r="P6" s="115">
        <v>78</v>
      </c>
      <c r="Q6" s="99">
        <v>-229100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0.21978021978021978</v>
      </c>
      <c r="E7" s="59" t="s">
        <v>67</v>
      </c>
      <c r="F7" s="56" t="s">
        <v>23</v>
      </c>
      <c r="G7" s="44">
        <v>62</v>
      </c>
      <c r="H7" s="129">
        <f>IF(B$15=0,0,G7/B$15)</f>
        <v>0.29107981220657275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-1258.2089552238806</v>
      </c>
      <c r="P7" s="116">
        <v>67</v>
      </c>
      <c r="Q7" s="100">
        <v>-84300</v>
      </c>
    </row>
    <row r="8" spans="1:17" x14ac:dyDescent="0.45">
      <c r="A8" s="51" t="s">
        <v>3</v>
      </c>
      <c r="B8" s="44">
        <v>36</v>
      </c>
      <c r="C8" s="37">
        <f t="shared" si="1"/>
        <v>0.39560439560439559</v>
      </c>
      <c r="E8" s="59" t="s">
        <v>69</v>
      </c>
      <c r="F8" s="56" t="s">
        <v>24</v>
      </c>
      <c r="G8" s="44">
        <v>30</v>
      </c>
      <c r="H8" s="129">
        <f>IF(B$15=0,0,G8/B$15)</f>
        <v>0.14084507042253522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35</v>
      </c>
      <c r="C9" s="38">
        <f t="shared" si="1"/>
        <v>0.38461538461538464</v>
      </c>
      <c r="E9" s="59" t="s">
        <v>70</v>
      </c>
      <c r="F9" s="56" t="s">
        <v>25</v>
      </c>
      <c r="G9" s="44">
        <v>26</v>
      </c>
      <c r="H9" s="129">
        <f>IF(B$15=0,0,G9/B$15)</f>
        <v>0.12206572769953052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7.6923076923076927E-2</v>
      </c>
      <c r="E10" s="59" t="s">
        <v>65</v>
      </c>
      <c r="F10" s="56" t="s">
        <v>21</v>
      </c>
      <c r="G10" s="44">
        <v>25</v>
      </c>
      <c r="H10" s="129">
        <f>IF(B$15=0,0,G10/B$15)</f>
        <v>0.11737089201877934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-5.00810810810811</v>
      </c>
      <c r="P10" s="114">
        <v>37</v>
      </c>
      <c r="Q10" s="102">
        <v>-185.30000000000007</v>
      </c>
    </row>
    <row r="11" spans="1:17" x14ac:dyDescent="0.45">
      <c r="A11" s="54" t="s">
        <v>121</v>
      </c>
      <c r="B11" s="47">
        <v>215</v>
      </c>
      <c r="C11" s="42">
        <f>IF(B$3=0,0,B11/B$3)</f>
        <v>0.27849740932642486</v>
      </c>
      <c r="E11" s="59" t="s">
        <v>89</v>
      </c>
      <c r="F11" s="56" t="s">
        <v>44</v>
      </c>
      <c r="G11" s="44">
        <v>25</v>
      </c>
      <c r="H11" s="129">
        <f>IF(B$15=0,0,G11/B$15)</f>
        <v>0.11737089201877934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-6.8115384615384631</v>
      </c>
      <c r="P11" s="115">
        <v>26</v>
      </c>
      <c r="Q11" s="103">
        <v>-177.10000000000005</v>
      </c>
    </row>
    <row r="12" spans="1:17" x14ac:dyDescent="0.45">
      <c r="A12" s="51" t="s">
        <v>118</v>
      </c>
      <c r="B12" s="44">
        <v>156</v>
      </c>
      <c r="C12" s="37">
        <f>IF(B$3=0,0,B12/B$3)</f>
        <v>0.20207253886010362</v>
      </c>
      <c r="E12" s="59" t="s">
        <v>83</v>
      </c>
      <c r="F12" s="56" t="s">
        <v>38</v>
      </c>
      <c r="G12" s="44">
        <v>11</v>
      </c>
      <c r="H12" s="129">
        <f>IF(B$15=0,0,G12/B$15)</f>
        <v>5.1643192488262914E-2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5">
      <c r="A13" s="50" t="s">
        <v>123</v>
      </c>
      <c r="B13" s="43">
        <f>B19</f>
        <v>118</v>
      </c>
      <c r="C13" s="35">
        <f>IF(B$11=0,0,B13/B$11)</f>
        <v>0.5488372093023256</v>
      </c>
      <c r="E13" s="59" t="s">
        <v>71</v>
      </c>
      <c r="F13" s="56" t="s">
        <v>26</v>
      </c>
      <c r="G13" s="44">
        <v>9</v>
      </c>
      <c r="H13" s="129">
        <f>IF(B$15=0,0,G13/B$15)</f>
        <v>4.2253521126760563E-2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64</v>
      </c>
      <c r="C14" s="35">
        <f>IF(B$12=0,0,B14/B$12)</f>
        <v>0.41025641025641024</v>
      </c>
      <c r="E14" s="59" t="s">
        <v>86</v>
      </c>
      <c r="F14" s="56" t="s">
        <v>41</v>
      </c>
      <c r="G14" s="44">
        <v>9</v>
      </c>
      <c r="H14" s="129">
        <f>IF(B$15=0,0,G14/B$15)</f>
        <v>4.2253521126760563E-2</v>
      </c>
      <c r="I14" s="90">
        <v>8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213</v>
      </c>
      <c r="C15" s="35">
        <f>IF(B$3=0,0,B15/B$3)</f>
        <v>0.27590673575129532</v>
      </c>
      <c r="E15" s="59" t="s">
        <v>78</v>
      </c>
      <c r="F15" s="56" t="s">
        <v>33</v>
      </c>
      <c r="G15" s="44">
        <v>7</v>
      </c>
      <c r="H15" s="129">
        <f>IF(B$15=0,0,G15/B$15)</f>
        <v>3.2863849765258218E-2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142</v>
      </c>
      <c r="C16" s="37">
        <f>IF(B$3=0,0,B16/B$3)</f>
        <v>0.18393782383419688</v>
      </c>
      <c r="E16" s="59" t="s">
        <v>162</v>
      </c>
      <c r="F16" s="56" t="s">
        <v>163</v>
      </c>
      <c r="G16" s="44">
        <v>4</v>
      </c>
      <c r="H16" s="129">
        <f>IF(B$15=0,0,G16/B$15)</f>
        <v>1.8779342723004695E-2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6.0625000000000036</v>
      </c>
      <c r="P16" s="115">
        <v>16</v>
      </c>
      <c r="Q16" s="103">
        <v>97.000000000000057</v>
      </c>
    </row>
    <row r="17" spans="1:17" x14ac:dyDescent="0.45">
      <c r="A17" s="51" t="s">
        <v>12</v>
      </c>
      <c r="B17" s="44">
        <v>99</v>
      </c>
      <c r="C17" s="37">
        <f>IF(B$15=0,0,B17/B$15)</f>
        <v>0.46478873239436619</v>
      </c>
      <c r="E17" s="59" t="s">
        <v>75</v>
      </c>
      <c r="F17" s="56" t="s">
        <v>30</v>
      </c>
      <c r="G17" s="44">
        <v>3</v>
      </c>
      <c r="H17" s="129">
        <f>IF(B$15=0,0,G17/B$15)</f>
        <v>1.4084507042253521E-2</v>
      </c>
      <c r="I17" s="90">
        <v>3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114</v>
      </c>
      <c r="C18" s="37">
        <f>IF(B$15=0,0,B18/B$15)</f>
        <v>0.53521126760563376</v>
      </c>
      <c r="E18" s="59" t="s">
        <v>79</v>
      </c>
      <c r="F18" s="56" t="s">
        <v>34</v>
      </c>
      <c r="G18" s="44">
        <v>3</v>
      </c>
      <c r="H18" s="129">
        <f>IF(B$15=0,0,G18/B$15)</f>
        <v>1.4084507042253521E-2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118</v>
      </c>
      <c r="C19" s="37">
        <f>IF(B$15=0,0,B19/B$15)</f>
        <v>0.5539906103286385</v>
      </c>
      <c r="E19" s="59" t="s">
        <v>81</v>
      </c>
      <c r="F19" s="56" t="s">
        <v>36</v>
      </c>
      <c r="G19" s="44">
        <v>3</v>
      </c>
      <c r="H19" s="129">
        <f>IF(B$15=0,0,G19/B$15)</f>
        <v>1.4084507042253521E-2</v>
      </c>
      <c r="I19" s="90">
        <v>9</v>
      </c>
      <c r="K19" s="36">
        <v>17</v>
      </c>
      <c r="L19" s="95">
        <v>-251.4</v>
      </c>
      <c r="N19" s="111" t="s">
        <v>126</v>
      </c>
      <c r="O19" s="121">
        <f>IF(P19=0,0,Q19/P19)</f>
        <v>-12.148214285714287</v>
      </c>
      <c r="P19" s="115">
        <v>56</v>
      </c>
      <c r="Q19" s="103">
        <v>-680.30000000000007</v>
      </c>
    </row>
    <row r="20" spans="1:17" x14ac:dyDescent="0.45">
      <c r="A20" s="51" t="s">
        <v>193</v>
      </c>
      <c r="B20" s="44">
        <v>64</v>
      </c>
      <c r="C20" s="37">
        <f>IF(B$15=0,0,B20/B$15)</f>
        <v>0.30046948356807512</v>
      </c>
      <c r="E20" s="59" t="s">
        <v>91</v>
      </c>
      <c r="F20" s="56" t="s">
        <v>46</v>
      </c>
      <c r="G20" s="44">
        <v>1</v>
      </c>
      <c r="H20" s="129">
        <f>IF(B$15=0,0,G20/B$15)</f>
        <v>4.6948356807511738E-3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>IF(P20=0,0,Q20/P20)</f>
        <v>-13.237499999999999</v>
      </c>
      <c r="P20" s="115">
        <v>24</v>
      </c>
      <c r="Q20" s="103">
        <v>-317.7</v>
      </c>
    </row>
    <row r="21" spans="1:17" x14ac:dyDescent="0.45">
      <c r="A21" s="51" t="s">
        <v>194</v>
      </c>
      <c r="B21" s="44">
        <v>31</v>
      </c>
      <c r="C21" s="37">
        <f>IF(B$15=0,0,B21/B$15)</f>
        <v>0.14553990610328638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7712.6760563380285</v>
      </c>
      <c r="C22" s="39">
        <v>1642800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-34.699999999999996</v>
      </c>
      <c r="P22" s="115">
        <v>3</v>
      </c>
      <c r="Q22" s="103">
        <v>-104.1</v>
      </c>
    </row>
    <row r="23" spans="1:17" x14ac:dyDescent="0.45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6262.5</v>
      </c>
      <c r="C24" s="137">
        <v>400800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-7539.4366197183099</v>
      </c>
      <c r="C25" s="137">
        <v>-1070600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3.8860103626943004E-3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15</v>
      </c>
      <c r="C32" s="141">
        <f>IF(B$15=0,0,B32/B$15)</f>
        <v>7.0422535211267609E-2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0.18309859154929578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49</v>
      </c>
      <c r="C34" s="37">
        <f>IF(B$15=0,0,B34/B$15)</f>
        <v>0.2300469483568075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32</v>
      </c>
      <c r="C35" s="37">
        <f t="shared" si="2"/>
        <v>0.15023474178403756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2"/>
        <v>0.16431924882629109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22</v>
      </c>
      <c r="C37" s="37">
        <f t="shared" si="2"/>
        <v>0.10328638497652583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2"/>
        <v>6.1032863849765258E-2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1.8779342723004695E-2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4.6948356807511738E-3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4.6948356807511738E-3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9.3896713615023476E-3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5F1F-E42F-459A-A41F-1800BFBCD48A}">
  <sheetPr codeName="Sheet15"/>
  <dimension ref="A1:Q10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106</v>
      </c>
      <c r="C2" s="155"/>
      <c r="E2" s="58" t="s">
        <v>66</v>
      </c>
      <c r="F2" s="55" t="s">
        <v>22</v>
      </c>
      <c r="G2" s="43">
        <v>198</v>
      </c>
      <c r="H2" s="128">
        <f>IF(B$15=0,0,G2/B$15)</f>
        <v>0.83544303797468356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1137.7358490566037</v>
      </c>
      <c r="P2" s="114">
        <v>106</v>
      </c>
      <c r="Q2" s="98">
        <v>120600</v>
      </c>
    </row>
    <row r="3" spans="1:17" x14ac:dyDescent="0.45">
      <c r="A3" s="51" t="s">
        <v>8</v>
      </c>
      <c r="B3" s="156">
        <v>862</v>
      </c>
      <c r="C3" s="157"/>
      <c r="E3" s="59" t="s">
        <v>64</v>
      </c>
      <c r="F3" s="56" t="s">
        <v>20</v>
      </c>
      <c r="G3" s="44">
        <v>132</v>
      </c>
      <c r="H3" s="129">
        <f>IF(B$15=0,0,G3/B$15)</f>
        <v>0.55696202531645567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-1135.5769230769231</v>
      </c>
      <c r="P3" s="115">
        <v>104</v>
      </c>
      <c r="Q3" s="99">
        <v>-118100</v>
      </c>
    </row>
    <row r="4" spans="1:17" x14ac:dyDescent="0.45">
      <c r="A4" s="51" t="s">
        <v>6</v>
      </c>
      <c r="B4" s="158">
        <v>395.80000000000024</v>
      </c>
      <c r="C4" s="159"/>
      <c r="E4" s="59" t="s">
        <v>72</v>
      </c>
      <c r="F4" s="56" t="s">
        <v>27</v>
      </c>
      <c r="G4" s="44">
        <v>127</v>
      </c>
      <c r="H4" s="129">
        <f>IF(B$15=0,0,G4/B$15)</f>
        <v>0.53586497890295359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-298.94736842105266</v>
      </c>
      <c r="P4" s="115">
        <v>95</v>
      </c>
      <c r="Q4" s="99">
        <v>-28400</v>
      </c>
    </row>
    <row r="5" spans="1:17" x14ac:dyDescent="0.45">
      <c r="A5" s="51" t="s">
        <v>7</v>
      </c>
      <c r="B5" s="160">
        <f>IF(B$2=0,0,B$4/B$2)</f>
        <v>3.7339622641509456</v>
      </c>
      <c r="C5" s="161"/>
      <c r="E5" s="59" t="s">
        <v>67</v>
      </c>
      <c r="F5" s="56" t="s">
        <v>23</v>
      </c>
      <c r="G5" s="44">
        <v>103</v>
      </c>
      <c r="H5" s="129">
        <f>IF(B$15=0,0,G5/B$15)</f>
        <v>0.43459915611814348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2636.2637362637361</v>
      </c>
      <c r="P5" s="115">
        <v>91</v>
      </c>
      <c r="Q5" s="99">
        <v>239900</v>
      </c>
    </row>
    <row r="6" spans="1:17" x14ac:dyDescent="0.45">
      <c r="A6" s="51" t="s">
        <v>1</v>
      </c>
      <c r="B6" s="150">
        <f>IF(B$2=0,0,(B$7*1+B$8*2+B$9*3)/B$2)</f>
        <v>1.9150943396226414</v>
      </c>
      <c r="C6" s="151"/>
      <c r="E6" s="59" t="s">
        <v>68</v>
      </c>
      <c r="F6" s="56" t="s">
        <v>12</v>
      </c>
      <c r="G6" s="44">
        <v>96</v>
      </c>
      <c r="H6" s="129">
        <f>IF(B$15=0,0,G6/B$15)</f>
        <v>0.4050632911392405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440.2439024390244</v>
      </c>
      <c r="P6" s="115">
        <v>82</v>
      </c>
      <c r="Q6" s="99">
        <v>36100</v>
      </c>
    </row>
    <row r="7" spans="1:17" x14ac:dyDescent="0.45">
      <c r="A7" s="51" t="s">
        <v>2</v>
      </c>
      <c r="B7" s="44">
        <v>42</v>
      </c>
      <c r="C7" s="37">
        <f t="shared" ref="C7:C10" si="1">IF(B$2=0,0,B7/B$2)</f>
        <v>0.39622641509433965</v>
      </c>
      <c r="E7" s="59" t="s">
        <v>166</v>
      </c>
      <c r="F7" s="56" t="s">
        <v>167</v>
      </c>
      <c r="G7" s="44">
        <v>92</v>
      </c>
      <c r="H7" s="129">
        <f>IF(B$15=0,0,G7/B$15)</f>
        <v>0.3881856540084388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281.81818181818181</v>
      </c>
      <c r="P7" s="116">
        <v>66</v>
      </c>
      <c r="Q7" s="100">
        <v>18600</v>
      </c>
    </row>
    <row r="8" spans="1:17" x14ac:dyDescent="0.45">
      <c r="A8" s="51" t="s">
        <v>3</v>
      </c>
      <c r="B8" s="44">
        <v>31</v>
      </c>
      <c r="C8" s="37">
        <f t="shared" si="1"/>
        <v>0.29245283018867924</v>
      </c>
      <c r="E8" s="59" t="s">
        <v>89</v>
      </c>
      <c r="F8" s="56" t="s">
        <v>44</v>
      </c>
      <c r="G8" s="44">
        <v>56</v>
      </c>
      <c r="H8" s="129">
        <f>IF(B$15=0,0,G8/B$15)</f>
        <v>0.23628691983122363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0.31132075471698112</v>
      </c>
      <c r="E9" s="59" t="s">
        <v>69</v>
      </c>
      <c r="F9" s="56" t="s">
        <v>24</v>
      </c>
      <c r="G9" s="44">
        <v>51</v>
      </c>
      <c r="H9" s="129">
        <f>IF(B$15=0,0,G9/B$15)</f>
        <v>0.21518987341772153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0.10377358490566038</v>
      </c>
      <c r="E10" s="59" t="s">
        <v>65</v>
      </c>
      <c r="F10" s="56" t="s">
        <v>21</v>
      </c>
      <c r="G10" s="44">
        <v>37</v>
      </c>
      <c r="H10" s="129">
        <f>IF(B$15=0,0,G10/B$15)</f>
        <v>0.15611814345991562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-0.913333333333333</v>
      </c>
      <c r="P10" s="114">
        <v>30</v>
      </c>
      <c r="Q10" s="102">
        <v>-27.399999999999991</v>
      </c>
    </row>
    <row r="11" spans="1:17" x14ac:dyDescent="0.45">
      <c r="A11" s="54" t="s">
        <v>121</v>
      </c>
      <c r="B11" s="47">
        <v>267</v>
      </c>
      <c r="C11" s="42">
        <f>IF(B$3=0,0,B11/B$3)</f>
        <v>0.30974477958236657</v>
      </c>
      <c r="E11" s="59" t="s">
        <v>70</v>
      </c>
      <c r="F11" s="56" t="s">
        <v>25</v>
      </c>
      <c r="G11" s="44">
        <v>25</v>
      </c>
      <c r="H11" s="129">
        <f>IF(B$15=0,0,G11/B$15)</f>
        <v>0.10548523206751055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6.7441860465116266</v>
      </c>
      <c r="P11" s="115">
        <v>43</v>
      </c>
      <c r="Q11" s="103">
        <v>289.99999999999994</v>
      </c>
    </row>
    <row r="12" spans="1:17" x14ac:dyDescent="0.45">
      <c r="A12" s="51" t="s">
        <v>118</v>
      </c>
      <c r="B12" s="44">
        <v>147</v>
      </c>
      <c r="C12" s="37">
        <f>IF(B$3=0,0,B12/B$3)</f>
        <v>0.17053364269141533</v>
      </c>
      <c r="E12" s="59" t="s">
        <v>162</v>
      </c>
      <c r="F12" s="56" t="s">
        <v>163</v>
      </c>
      <c r="G12" s="44">
        <v>16</v>
      </c>
      <c r="H12" s="129">
        <f>IF(B$15=0,0,G12/B$15)</f>
        <v>6.7510548523206745E-2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4.036363636363637</v>
      </c>
      <c r="P12" s="116">
        <v>33</v>
      </c>
      <c r="Q12" s="104">
        <v>133.20000000000002</v>
      </c>
    </row>
    <row r="13" spans="1:17" x14ac:dyDescent="0.45">
      <c r="A13" s="50" t="s">
        <v>123</v>
      </c>
      <c r="B13" s="43">
        <f>B19</f>
        <v>148</v>
      </c>
      <c r="C13" s="35">
        <f>IF(B$11=0,0,B13/B$11)</f>
        <v>0.55430711610486894</v>
      </c>
      <c r="E13" s="59" t="s">
        <v>71</v>
      </c>
      <c r="F13" s="56" t="s">
        <v>26</v>
      </c>
      <c r="G13" s="44">
        <v>13</v>
      </c>
      <c r="H13" s="129">
        <f>IF(B$15=0,0,G13/B$15)</f>
        <v>5.4852320675105488E-2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55</v>
      </c>
      <c r="C14" s="35">
        <f>IF(B$12=0,0,B14/B$12)</f>
        <v>0.37414965986394561</v>
      </c>
      <c r="E14" s="59" t="s">
        <v>86</v>
      </c>
      <c r="F14" s="56" t="s">
        <v>41</v>
      </c>
      <c r="G14" s="44">
        <v>10</v>
      </c>
      <c r="H14" s="129">
        <f>IF(B$15=0,0,G14/B$15)</f>
        <v>4.2194092827004218E-2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237</v>
      </c>
      <c r="C15" s="35">
        <f>IF(B$3=0,0,B15/B$3)</f>
        <v>0.27494199535962877</v>
      </c>
      <c r="E15" s="59" t="s">
        <v>83</v>
      </c>
      <c r="F15" s="56" t="s">
        <v>38</v>
      </c>
      <c r="G15" s="44">
        <v>7</v>
      </c>
      <c r="H15" s="129">
        <f>IF(B$15=0,0,G15/B$15)</f>
        <v>2.9535864978902954E-2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151</v>
      </c>
      <c r="C16" s="37">
        <f>IF(B$3=0,0,B16/B$3)</f>
        <v>0.1751740139211137</v>
      </c>
      <c r="E16" s="59" t="s">
        <v>78</v>
      </c>
      <c r="F16" s="56" t="s">
        <v>33</v>
      </c>
      <c r="G16" s="44">
        <v>4</v>
      </c>
      <c r="H16" s="129">
        <f>IF(B$15=0,0,G16/B$15)</f>
        <v>1.6877637130801686E-2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123</v>
      </c>
      <c r="C17" s="37">
        <f>IF(B$15=0,0,B17/B$15)</f>
        <v>0.51898734177215189</v>
      </c>
      <c r="E17" s="59" t="s">
        <v>81</v>
      </c>
      <c r="F17" s="56" t="s">
        <v>36</v>
      </c>
      <c r="G17" s="44">
        <v>4</v>
      </c>
      <c r="H17" s="129">
        <f>IF(B$15=0,0,G17/B$15)</f>
        <v>1.6877637130801686E-2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114</v>
      </c>
      <c r="C18" s="37">
        <f>IF(B$15=0,0,B18/B$15)</f>
        <v>0.48101265822784811</v>
      </c>
      <c r="E18" s="59" t="s">
        <v>91</v>
      </c>
      <c r="F18" s="56" t="s">
        <v>46</v>
      </c>
      <c r="G18" s="44">
        <v>4</v>
      </c>
      <c r="H18" s="129">
        <f>IF(B$15=0,0,G18/B$15)</f>
        <v>1.6877637130801686E-2</v>
      </c>
      <c r="I18" s="90">
        <v>5</v>
      </c>
      <c r="K18" s="36">
        <v>16</v>
      </c>
      <c r="L18" s="95">
        <v>-63.099999999999966</v>
      </c>
      <c r="N18" s="111" t="s">
        <v>171</v>
      </c>
      <c r="O18" s="121">
        <f>IF(P18=0,0,Q18/P18)</f>
        <v>7.75</v>
      </c>
      <c r="P18" s="115">
        <v>54</v>
      </c>
      <c r="Q18" s="103">
        <v>418.5</v>
      </c>
    </row>
    <row r="19" spans="1:17" x14ac:dyDescent="0.45">
      <c r="A19" s="51" t="s">
        <v>195</v>
      </c>
      <c r="B19" s="44">
        <v>148</v>
      </c>
      <c r="C19" s="37">
        <f>IF(B$15=0,0,B19/B$15)</f>
        <v>0.62447257383966248</v>
      </c>
      <c r="E19" s="59" t="s">
        <v>92</v>
      </c>
      <c r="F19" s="56" t="s">
        <v>47</v>
      </c>
      <c r="G19" s="44">
        <v>4</v>
      </c>
      <c r="H19" s="129">
        <f>IF(B$15=0,0,G19/B$15)</f>
        <v>1.6877637130801686E-2</v>
      </c>
      <c r="I19" s="90">
        <v>1</v>
      </c>
      <c r="K19" s="36">
        <v>17</v>
      </c>
      <c r="L19" s="95">
        <v>-55.799999999999969</v>
      </c>
      <c r="N19" s="111" t="s">
        <v>126</v>
      </c>
      <c r="O19" s="121">
        <f>IF(P19=0,0,Q19/P19)</f>
        <v>2.5707317073170706</v>
      </c>
      <c r="P19" s="115">
        <v>41</v>
      </c>
      <c r="Q19" s="103">
        <v>105.39999999999989</v>
      </c>
    </row>
    <row r="20" spans="1:17" x14ac:dyDescent="0.45">
      <c r="A20" s="51" t="s">
        <v>193</v>
      </c>
      <c r="B20" s="44">
        <v>55</v>
      </c>
      <c r="C20" s="37">
        <f>IF(B$15=0,0,B20/B$15)</f>
        <v>0.2320675105485232</v>
      </c>
      <c r="E20" s="59" t="s">
        <v>73</v>
      </c>
      <c r="F20" s="56" t="s">
        <v>28</v>
      </c>
      <c r="G20" s="44">
        <v>2</v>
      </c>
      <c r="H20" s="129">
        <f>IF(B$15=0,0,G20/B$15)</f>
        <v>8.4388185654008432E-3</v>
      </c>
      <c r="I20" s="90">
        <v>2</v>
      </c>
      <c r="K20" s="36">
        <v>18</v>
      </c>
      <c r="L20" s="95">
        <v>-24.999999999999968</v>
      </c>
      <c r="N20" s="111" t="s">
        <v>127</v>
      </c>
      <c r="O20" s="121">
        <f>IF(P20=0,0,Q20/P20)</f>
        <v>-0.66000000000000258</v>
      </c>
      <c r="P20" s="115">
        <v>40</v>
      </c>
      <c r="Q20" s="103">
        <v>-26.400000000000102</v>
      </c>
    </row>
    <row r="21" spans="1:17" x14ac:dyDescent="0.45">
      <c r="A21" s="51" t="s">
        <v>194</v>
      </c>
      <c r="B21" s="44">
        <v>34</v>
      </c>
      <c r="C21" s="37">
        <f>IF(B$15=0,0,B21/B$15)</f>
        <v>0.14345991561181434</v>
      </c>
      <c r="E21" s="59" t="s">
        <v>79</v>
      </c>
      <c r="F21" s="56" t="s">
        <v>34</v>
      </c>
      <c r="G21" s="44">
        <v>2</v>
      </c>
      <c r="H21" s="129">
        <f>IF(B$15=0,0,G21/B$15)</f>
        <v>8.4388185654008432E-3</v>
      </c>
      <c r="I21" s="90">
        <v>8</v>
      </c>
      <c r="K21" s="36">
        <v>19</v>
      </c>
      <c r="L21" s="95">
        <v>-27.799999999999969</v>
      </c>
      <c r="N21" s="111" t="s">
        <v>172</v>
      </c>
      <c r="O21" s="121">
        <f>IF(P21=0,0,Q21/P21)</f>
        <v>-2.5450000000000008</v>
      </c>
      <c r="P21" s="115">
        <v>20</v>
      </c>
      <c r="Q21" s="103">
        <v>-50.90000000000002</v>
      </c>
    </row>
    <row r="22" spans="1:17" x14ac:dyDescent="0.45">
      <c r="A22" s="51" t="s">
        <v>5</v>
      </c>
      <c r="B22" s="48">
        <f>IF(B$15=0,0,C22/B$15)</f>
        <v>10790.717299578058</v>
      </c>
      <c r="C22" s="39">
        <v>2557400</v>
      </c>
      <c r="E22" s="59" t="s">
        <v>84</v>
      </c>
      <c r="F22" s="56" t="s">
        <v>39</v>
      </c>
      <c r="G22" s="44">
        <v>2</v>
      </c>
      <c r="H22" s="129">
        <f>IF(B$15=0,0,G22/B$15)</f>
        <v>8.4388185654008432E-3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-14.099999999999998</v>
      </c>
      <c r="P22" s="115">
        <v>8</v>
      </c>
      <c r="Q22" s="103">
        <v>-112.79999999999998</v>
      </c>
    </row>
    <row r="23" spans="1:17" x14ac:dyDescent="0.45">
      <c r="A23" s="52" t="s">
        <v>177</v>
      </c>
      <c r="B23" s="136">
        <f>IF($B$15-B$14=0,0,C23/($B$15-B$14))</f>
        <v>11445.054945054944</v>
      </c>
      <c r="C23" s="137">
        <v>2083000</v>
      </c>
      <c r="E23" s="59" t="s">
        <v>90</v>
      </c>
      <c r="F23" s="56" t="s">
        <v>45</v>
      </c>
      <c r="G23" s="44">
        <v>2</v>
      </c>
      <c r="H23" s="129">
        <f>IF(B$15=0,0,G23/B$15)</f>
        <v>8.4388185654008432E-3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-25.316666666666666</v>
      </c>
      <c r="P23" s="115">
        <v>6</v>
      </c>
      <c r="Q23" s="103">
        <v>-151.9</v>
      </c>
    </row>
    <row r="24" spans="1:17" x14ac:dyDescent="0.45">
      <c r="A24" s="52" t="s">
        <v>178</v>
      </c>
      <c r="B24" s="136">
        <f>IF(B$14=0,0,C24/B$14)</f>
        <v>8625.454545454546</v>
      </c>
      <c r="C24" s="137">
        <v>474400</v>
      </c>
      <c r="E24" s="59" t="s">
        <v>75</v>
      </c>
      <c r="F24" s="56" t="s">
        <v>30</v>
      </c>
      <c r="G24" s="44">
        <v>1</v>
      </c>
      <c r="H24" s="129">
        <f>IF(B$15=0,0,G24/B$15)</f>
        <v>4.2194092827004216E-3</v>
      </c>
      <c r="I24" s="90">
        <v>8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-8184.1059602649011</v>
      </c>
      <c r="C25" s="137">
        <v>-1235800</v>
      </c>
      <c r="E25" s="59" t="s">
        <v>77</v>
      </c>
      <c r="F25" s="56" t="s">
        <v>32</v>
      </c>
      <c r="G25" s="44">
        <v>1</v>
      </c>
      <c r="H25" s="129">
        <f>IF(B$15=0,0,G25/B$15)</f>
        <v>4.2194092827004216E-3</v>
      </c>
      <c r="I25" s="90">
        <v>3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85</v>
      </c>
      <c r="F26" s="56" t="s">
        <v>40</v>
      </c>
      <c r="G26" s="44">
        <v>1</v>
      </c>
      <c r="H26" s="129">
        <f>IF(B$15=0,0,G26/B$15)</f>
        <v>4.2194092827004216E-3</v>
      </c>
      <c r="I26" s="90">
        <v>6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6</v>
      </c>
      <c r="E27" s="59" t="s">
        <v>93</v>
      </c>
      <c r="F27" s="56" t="s">
        <v>48</v>
      </c>
      <c r="G27" s="44">
        <v>1</v>
      </c>
      <c r="H27" s="129">
        <f>IF(B$15=0,0,G27/B$15)</f>
        <v>4.2194092827004216E-3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4.2194092827004216E-3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1.1600928074245939E-3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6</v>
      </c>
      <c r="C32" s="141">
        <f>IF(B$15=0,0,B32/B$15)</f>
        <v>2.5316455696202531E-2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2">IF(B$15=0,0,B33/B$15)</f>
        <v>8.0168776371308023E-2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30</v>
      </c>
      <c r="C34" s="37">
        <f>IF(B$15=0,0,B34/B$15)</f>
        <v>0.12658227848101267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45</v>
      </c>
      <c r="C35" s="37">
        <f t="shared" si="2"/>
        <v>0.189873417721519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57</v>
      </c>
      <c r="C36" s="37">
        <f t="shared" si="2"/>
        <v>0.24050632911392406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27</v>
      </c>
      <c r="C37" s="37">
        <f t="shared" si="2"/>
        <v>0.11392405063291139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2"/>
        <v>8.8607594936708861E-2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2"/>
        <v>6.3291139240506333E-2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2.5316455696202531E-2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8.4388185654008432E-3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8.4388185654008432E-3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4.2194092827004216E-3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2.5316455696202531E-2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2734-DF76-4B50-A8D4-6DEBB6719F3C}">
  <sheetPr codeName="Sheet17"/>
  <dimension ref="A1:Q12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120</v>
      </c>
      <c r="C2" s="155"/>
      <c r="E2" s="58" t="s">
        <v>66</v>
      </c>
      <c r="F2" s="55" t="s">
        <v>22</v>
      </c>
      <c r="G2" s="43">
        <v>208</v>
      </c>
      <c r="H2" s="128">
        <f>IF(B$15=0,0,G2/B$15)</f>
        <v>0.74285714285714288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295.83333333333331</v>
      </c>
      <c r="P2" s="114">
        <v>120</v>
      </c>
      <c r="Q2" s="98">
        <v>35500</v>
      </c>
    </row>
    <row r="3" spans="1:17" x14ac:dyDescent="0.45">
      <c r="A3" s="51" t="s">
        <v>8</v>
      </c>
      <c r="B3" s="156">
        <v>975</v>
      </c>
      <c r="C3" s="157"/>
      <c r="E3" s="59" t="s">
        <v>72</v>
      </c>
      <c r="F3" s="56" t="s">
        <v>27</v>
      </c>
      <c r="G3" s="44">
        <v>158</v>
      </c>
      <c r="H3" s="129">
        <f>IF(B$15=0,0,G3/B$15)</f>
        <v>0.56428571428571428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230.76923076923077</v>
      </c>
      <c r="P3" s="115">
        <v>117</v>
      </c>
      <c r="Q3" s="99">
        <v>27000</v>
      </c>
    </row>
    <row r="4" spans="1:17" x14ac:dyDescent="0.45">
      <c r="A4" s="51" t="s">
        <v>6</v>
      </c>
      <c r="B4" s="158">
        <v>66.700000000000017</v>
      </c>
      <c r="C4" s="159"/>
      <c r="E4" s="59" t="s">
        <v>64</v>
      </c>
      <c r="F4" s="56" t="s">
        <v>20</v>
      </c>
      <c r="G4" s="44">
        <v>141</v>
      </c>
      <c r="H4" s="129">
        <f>IF(B$15=0,0,G4/B$15)</f>
        <v>0.50357142857142856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508.10810810810813</v>
      </c>
      <c r="P4" s="115">
        <v>111</v>
      </c>
      <c r="Q4" s="99">
        <v>56400</v>
      </c>
    </row>
    <row r="5" spans="1:17" x14ac:dyDescent="0.45">
      <c r="A5" s="51" t="s">
        <v>7</v>
      </c>
      <c r="B5" s="160">
        <f>IF(B$2=0,0,B$4/B$2)</f>
        <v>0.55583333333333351</v>
      </c>
      <c r="C5" s="161"/>
      <c r="E5" s="59" t="s">
        <v>166</v>
      </c>
      <c r="F5" s="56" t="s">
        <v>167</v>
      </c>
      <c r="G5" s="44">
        <v>121</v>
      </c>
      <c r="H5" s="129">
        <f>IF(B$15=0,0,G5/B$15)</f>
        <v>0.43214285714285716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198.0392156862745</v>
      </c>
      <c r="P5" s="115">
        <v>102</v>
      </c>
      <c r="Q5" s="99">
        <v>20200</v>
      </c>
    </row>
    <row r="6" spans="1:17" x14ac:dyDescent="0.45">
      <c r="A6" s="51" t="s">
        <v>1</v>
      </c>
      <c r="B6" s="150">
        <f>IF(B$2=0,0,(B$7*1+B$8*2+B$9*3)/B$2)</f>
        <v>2.0333333333333332</v>
      </c>
      <c r="C6" s="151"/>
      <c r="E6" s="59" t="s">
        <v>67</v>
      </c>
      <c r="F6" s="56" t="s">
        <v>23</v>
      </c>
      <c r="G6" s="44">
        <v>100</v>
      </c>
      <c r="H6" s="129">
        <f>IF(B$15=0,0,G6/B$15)</f>
        <v>0.35714285714285715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104.39560439560439</v>
      </c>
      <c r="P6" s="115">
        <v>91</v>
      </c>
      <c r="Q6" s="99">
        <v>9500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0.25</v>
      </c>
      <c r="E7" s="59" t="s">
        <v>68</v>
      </c>
      <c r="F7" s="56" t="s">
        <v>12</v>
      </c>
      <c r="G7" s="44">
        <v>91</v>
      </c>
      <c r="H7" s="129">
        <f>IF(B$15=0,0,G7/B$15)</f>
        <v>0.32500000000000001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-1056.9620253164558</v>
      </c>
      <c r="P7" s="116">
        <v>79</v>
      </c>
      <c r="Q7" s="100">
        <v>-83500</v>
      </c>
    </row>
    <row r="8" spans="1:17" x14ac:dyDescent="0.45">
      <c r="A8" s="51" t="s">
        <v>3</v>
      </c>
      <c r="B8" s="44">
        <v>56</v>
      </c>
      <c r="C8" s="37">
        <f t="shared" si="1"/>
        <v>0.46666666666666667</v>
      </c>
      <c r="E8" s="59" t="s">
        <v>69</v>
      </c>
      <c r="F8" s="56" t="s">
        <v>24</v>
      </c>
      <c r="G8" s="44">
        <v>37</v>
      </c>
      <c r="H8" s="129">
        <f>IF(B$15=0,0,G8/B$15)</f>
        <v>0.13214285714285715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0.28333333333333333</v>
      </c>
      <c r="E9" s="59" t="s">
        <v>89</v>
      </c>
      <c r="F9" s="56" t="s">
        <v>44</v>
      </c>
      <c r="G9" s="44">
        <v>34</v>
      </c>
      <c r="H9" s="129">
        <f>IF(B$15=0,0,G9/B$15)</f>
        <v>0.12142857142857143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6.6666666666666666E-2</v>
      </c>
      <c r="E10" s="59" t="s">
        <v>71</v>
      </c>
      <c r="F10" s="56" t="s">
        <v>26</v>
      </c>
      <c r="G10" s="44">
        <v>27</v>
      </c>
      <c r="H10" s="129">
        <f>IF(B$15=0,0,G10/B$15)</f>
        <v>9.6428571428571433E-2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0.32040816326530597</v>
      </c>
      <c r="P10" s="114">
        <v>49</v>
      </c>
      <c r="Q10" s="102">
        <v>15.699999999999992</v>
      </c>
    </row>
    <row r="11" spans="1:17" x14ac:dyDescent="0.45">
      <c r="A11" s="54" t="s">
        <v>121</v>
      </c>
      <c r="B11" s="47">
        <v>262</v>
      </c>
      <c r="C11" s="42">
        <f>IF(B$3=0,0,B11/B$3)</f>
        <v>0.26871794871794874</v>
      </c>
      <c r="E11" s="59" t="s">
        <v>65</v>
      </c>
      <c r="F11" s="56" t="s">
        <v>21</v>
      </c>
      <c r="G11" s="44">
        <v>23</v>
      </c>
      <c r="H11" s="129">
        <f>IF(B$15=0,0,G11/B$15)</f>
        <v>8.2142857142857142E-2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3.0085714285714293</v>
      </c>
      <c r="P11" s="115">
        <v>35</v>
      </c>
      <c r="Q11" s="103">
        <v>105.30000000000003</v>
      </c>
    </row>
    <row r="12" spans="1:17" x14ac:dyDescent="0.45">
      <c r="A12" s="51" t="s">
        <v>118</v>
      </c>
      <c r="B12" s="44">
        <v>214</v>
      </c>
      <c r="C12" s="37">
        <f>IF(B$3=0,0,B12/B$3)</f>
        <v>0.2194871794871795</v>
      </c>
      <c r="E12" s="59" t="s">
        <v>70</v>
      </c>
      <c r="F12" s="56" t="s">
        <v>25</v>
      </c>
      <c r="G12" s="44">
        <v>22</v>
      </c>
      <c r="H12" s="129">
        <f>IF(B$15=0,0,G12/B$15)</f>
        <v>7.857142857142857E-2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5">
      <c r="A13" s="50" t="s">
        <v>123</v>
      </c>
      <c r="B13" s="43">
        <f>B19</f>
        <v>147</v>
      </c>
      <c r="C13" s="35">
        <f>IF(B$11=0,0,B13/B$11)</f>
        <v>0.56106870229007633</v>
      </c>
      <c r="E13" s="59" t="s">
        <v>86</v>
      </c>
      <c r="F13" s="56" t="s">
        <v>41</v>
      </c>
      <c r="G13" s="44">
        <v>14</v>
      </c>
      <c r="H13" s="129">
        <f>IF(B$15=0,0,G13/B$15)</f>
        <v>0.05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95</v>
      </c>
      <c r="C14" s="35">
        <f>IF(B$12=0,0,B14/B$12)</f>
        <v>0.44392523364485981</v>
      </c>
      <c r="E14" s="59" t="s">
        <v>83</v>
      </c>
      <c r="F14" s="56" t="s">
        <v>38</v>
      </c>
      <c r="G14" s="44">
        <v>12</v>
      </c>
      <c r="H14" s="129">
        <f>IF(B$15=0,0,G14/B$15)</f>
        <v>4.2857142857142858E-2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280</v>
      </c>
      <c r="C15" s="35">
        <f>IF(B$3=0,0,B15/B$3)</f>
        <v>0.28717948717948716</v>
      </c>
      <c r="E15" s="59" t="s">
        <v>79</v>
      </c>
      <c r="F15" s="56" t="s">
        <v>34</v>
      </c>
      <c r="G15" s="44">
        <v>7</v>
      </c>
      <c r="H15" s="129">
        <f>IF(B$15=0,0,G15/B$15)</f>
        <v>2.5000000000000001E-2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131</v>
      </c>
      <c r="C16" s="37">
        <f>IF(B$3=0,0,B16/B$3)</f>
        <v>0.13435897435897437</v>
      </c>
      <c r="E16" s="59" t="s">
        <v>162</v>
      </c>
      <c r="F16" s="56" t="s">
        <v>163</v>
      </c>
      <c r="G16" s="44">
        <v>6</v>
      </c>
      <c r="H16" s="129">
        <f>IF(B$15=0,0,G16/B$15)</f>
        <v>2.1428571428571429E-2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125</v>
      </c>
      <c r="C17" s="37">
        <f>IF(B$15=0,0,B17/B$15)</f>
        <v>0.44642857142857145</v>
      </c>
      <c r="E17" s="59" t="s">
        <v>73</v>
      </c>
      <c r="F17" s="56" t="s">
        <v>28</v>
      </c>
      <c r="G17" s="44">
        <v>5</v>
      </c>
      <c r="H17" s="129">
        <f>IF(B$15=0,0,G17/B$15)</f>
        <v>1.7857142857142856E-2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23.608333333333331</v>
      </c>
      <c r="P17" s="115">
        <v>24</v>
      </c>
      <c r="Q17" s="103">
        <v>566.59999999999991</v>
      </c>
    </row>
    <row r="18" spans="1:17" x14ac:dyDescent="0.45">
      <c r="A18" s="51" t="s">
        <v>11</v>
      </c>
      <c r="B18" s="44">
        <v>155</v>
      </c>
      <c r="C18" s="37">
        <f>IF(B$15=0,0,B18/B$15)</f>
        <v>0.5535714285714286</v>
      </c>
      <c r="E18" s="59" t="s">
        <v>81</v>
      </c>
      <c r="F18" s="56" t="s">
        <v>36</v>
      </c>
      <c r="G18" s="44">
        <v>5</v>
      </c>
      <c r="H18" s="129">
        <f>IF(B$15=0,0,G18/B$15)</f>
        <v>1.7857142857142856E-2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147</v>
      </c>
      <c r="C19" s="37">
        <f>IF(B$15=0,0,B19/B$15)</f>
        <v>0.52500000000000002</v>
      </c>
      <c r="E19" s="59" t="s">
        <v>78</v>
      </c>
      <c r="F19" s="56" t="s">
        <v>33</v>
      </c>
      <c r="G19" s="44">
        <v>3</v>
      </c>
      <c r="H19" s="129">
        <f>IF(B$15=0,0,G19/B$15)</f>
        <v>1.0714285714285714E-2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95</v>
      </c>
      <c r="C20" s="37">
        <f>IF(B$15=0,0,B20/B$15)</f>
        <v>0.3392857142857143</v>
      </c>
      <c r="E20" s="59" t="s">
        <v>85</v>
      </c>
      <c r="F20" s="56" t="s">
        <v>40</v>
      </c>
      <c r="G20" s="44">
        <v>3</v>
      </c>
      <c r="H20" s="129">
        <f>IF(B$15=0,0,G20/B$15)</f>
        <v>1.0714285714285714E-2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38</v>
      </c>
      <c r="C21" s="37">
        <f>IF(B$15=0,0,B21/B$15)</f>
        <v>0.1357142857142857</v>
      </c>
      <c r="E21" s="59" t="s">
        <v>91</v>
      </c>
      <c r="F21" s="56" t="s">
        <v>46</v>
      </c>
      <c r="G21" s="44">
        <v>2</v>
      </c>
      <c r="H21" s="129">
        <f>IF(B$15=0,0,G21/B$15)</f>
        <v>7.1428571428571426E-3</v>
      </c>
      <c r="I21" s="90">
        <v>8</v>
      </c>
      <c r="K21" s="36">
        <v>19</v>
      </c>
      <c r="L21" s="95">
        <v>-56.399999999999991</v>
      </c>
      <c r="N21" s="111" t="s">
        <v>161</v>
      </c>
      <c r="O21" s="121">
        <f>IF(P21=0,0,Q21/P21)</f>
        <v>4.7920000000000007</v>
      </c>
      <c r="P21" s="115">
        <v>25</v>
      </c>
      <c r="Q21" s="103">
        <v>119.80000000000001</v>
      </c>
    </row>
    <row r="22" spans="1:17" x14ac:dyDescent="0.45">
      <c r="A22" s="51" t="s">
        <v>5</v>
      </c>
      <c r="B22" s="48">
        <f>IF(B$15=0,0,C22/B$15)</f>
        <v>8314.2857142857138</v>
      </c>
      <c r="C22" s="39">
        <v>2328000</v>
      </c>
      <c r="E22" s="59" t="s">
        <v>74</v>
      </c>
      <c r="F22" s="56" t="s">
        <v>29</v>
      </c>
      <c r="G22" s="44">
        <v>1</v>
      </c>
      <c r="H22" s="129">
        <f>IF(B$15=0,0,G22/B$15)</f>
        <v>3.5714285714285713E-3</v>
      </c>
      <c r="I22" s="90">
        <v>6</v>
      </c>
      <c r="K22" s="36">
        <v>20</v>
      </c>
      <c r="L22" s="95">
        <v>-93.199999999999989</v>
      </c>
      <c r="N22" s="111" t="s">
        <v>127</v>
      </c>
      <c r="O22" s="121">
        <f>IF(P22=0,0,Q22/P22)</f>
        <v>2.0166666666666671</v>
      </c>
      <c r="P22" s="115">
        <v>42</v>
      </c>
      <c r="Q22" s="103">
        <v>84.700000000000017</v>
      </c>
    </row>
    <row r="23" spans="1:17" x14ac:dyDescent="0.45">
      <c r="A23" s="52" t="s">
        <v>177</v>
      </c>
      <c r="B23" s="136">
        <f>IF($B$15-B$14=0,0,C23/($B$15-B$14))</f>
        <v>9146.4864864864867</v>
      </c>
      <c r="C23" s="137">
        <v>1692100</v>
      </c>
      <c r="E23" s="59" t="s">
        <v>75</v>
      </c>
      <c r="F23" s="56" t="s">
        <v>30</v>
      </c>
      <c r="G23" s="44">
        <v>1</v>
      </c>
      <c r="H23" s="129">
        <f>IF(B$15=0,0,G23/B$15)</f>
        <v>3.5714285714285713E-3</v>
      </c>
      <c r="I23" s="90">
        <v>9</v>
      </c>
      <c r="K23" s="36">
        <v>21</v>
      </c>
      <c r="L23" s="95">
        <v>-123.69999999999999</v>
      </c>
      <c r="N23" s="111" t="s">
        <v>170</v>
      </c>
      <c r="O23" s="121">
        <f>IF(P23=0,0,Q23/P23)</f>
        <v>-7.7500000000000009</v>
      </c>
      <c r="P23" s="115">
        <v>54</v>
      </c>
      <c r="Q23" s="103">
        <v>-418.50000000000006</v>
      </c>
    </row>
    <row r="24" spans="1:17" x14ac:dyDescent="0.45">
      <c r="A24" s="52" t="s">
        <v>178</v>
      </c>
      <c r="B24" s="136">
        <f>IF(B$14=0,0,C24/B$14)</f>
        <v>6693.6842105263158</v>
      </c>
      <c r="C24" s="137">
        <v>635900</v>
      </c>
      <c r="E24" s="59" t="s">
        <v>87</v>
      </c>
      <c r="F24" s="56" t="s">
        <v>42</v>
      </c>
      <c r="G24" s="44">
        <v>1</v>
      </c>
      <c r="H24" s="129">
        <f>IF(B$15=0,0,G24/B$15)</f>
        <v>3.5714285714285713E-3</v>
      </c>
      <c r="I24" s="90">
        <v>3</v>
      </c>
      <c r="K24" s="36">
        <v>22</v>
      </c>
      <c r="L24" s="95">
        <v>-66.999999999999986</v>
      </c>
      <c r="N24" s="111" t="s">
        <v>126</v>
      </c>
      <c r="O24" s="121">
        <f>IF(P24=0,0,Q24/P24)</f>
        <v>-12.944642857142856</v>
      </c>
      <c r="P24" s="115">
        <v>56</v>
      </c>
      <c r="Q24" s="103">
        <v>-724.9</v>
      </c>
    </row>
    <row r="25" spans="1:17" x14ac:dyDescent="0.45">
      <c r="A25" s="52" t="s">
        <v>176</v>
      </c>
      <c r="B25" s="136">
        <f>IF(B$16=0,0,C25/B$16)</f>
        <v>-7283.2061068702287</v>
      </c>
      <c r="C25" s="137">
        <v>-954100</v>
      </c>
      <c r="E25" s="59" t="s">
        <v>88</v>
      </c>
      <c r="F25" s="56" t="s">
        <v>43</v>
      </c>
      <c r="G25" s="44">
        <v>1</v>
      </c>
      <c r="H25" s="129">
        <f>IF(B$15=0,0,G25/B$15)</f>
        <v>3.5714285714285713E-3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3.5714285714285713E-3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0</v>
      </c>
      <c r="E27" s="59" t="s">
        <v>101</v>
      </c>
      <c r="F27" s="56" t="s">
        <v>56</v>
      </c>
      <c r="G27" s="44">
        <v>1</v>
      </c>
      <c r="H27" s="129">
        <f>IF(B$15=0,0,G27/B$15)</f>
        <v>3.5714285714285713E-3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2.0512820512820513E-3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18</v>
      </c>
      <c r="C32" s="141">
        <f>IF(B$15=0,0,B32/B$15)</f>
        <v>6.4285714285714279E-2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50</v>
      </c>
      <c r="C33" s="37">
        <f t="shared" ref="C33:C44" si="2">IF(B$15=0,0,B33/B$15)</f>
        <v>0.17857142857142858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59</v>
      </c>
      <c r="C34" s="37">
        <f>IF(B$15=0,0,B34/B$15)</f>
        <v>0.21071428571428572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50</v>
      </c>
      <c r="C35" s="37">
        <f t="shared" si="2"/>
        <v>0.17857142857142858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2"/>
        <v>0.14285714285714285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32</v>
      </c>
      <c r="C37" s="37">
        <f t="shared" si="2"/>
        <v>0.11428571428571428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2"/>
        <v>0.05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2.5000000000000001E-2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1.0714285714285714E-2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7.1428571428571426E-3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3.5714285714285713E-3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7.1428571428571426E-3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7.1428571428571426E-3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4239-A202-471B-BAC5-A23633BFC187}">
  <sheetPr codeName="Sheet19"/>
  <dimension ref="A1:Q5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55</v>
      </c>
      <c r="C2" s="155"/>
      <c r="E2" s="58" t="s">
        <v>72</v>
      </c>
      <c r="F2" s="55" t="s">
        <v>27</v>
      </c>
      <c r="G2" s="43">
        <v>75</v>
      </c>
      <c r="H2" s="128">
        <f>IF(B$15=0,0,G2/B$15)</f>
        <v>0.64102564102564108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-2096.3636363636365</v>
      </c>
      <c r="P2" s="114">
        <v>55</v>
      </c>
      <c r="Q2" s="98">
        <v>-115300</v>
      </c>
    </row>
    <row r="3" spans="1:17" x14ac:dyDescent="0.45">
      <c r="A3" s="51" t="s">
        <v>8</v>
      </c>
      <c r="B3" s="156">
        <v>453</v>
      </c>
      <c r="C3" s="157"/>
      <c r="E3" s="59" t="s">
        <v>66</v>
      </c>
      <c r="F3" s="56" t="s">
        <v>22</v>
      </c>
      <c r="G3" s="44">
        <v>74</v>
      </c>
      <c r="H3" s="129">
        <f>IF(B$15=0,0,G3/B$15)</f>
        <v>0.63247863247863245</v>
      </c>
      <c r="I3" s="90">
        <v>11</v>
      </c>
      <c r="K3" s="36">
        <v>1</v>
      </c>
      <c r="L3" s="95">
        <v>-12</v>
      </c>
      <c r="N3" s="111" t="s">
        <v>131</v>
      </c>
      <c r="O3" s="118">
        <f t="shared" si="0"/>
        <v>-261.81818181818181</v>
      </c>
      <c r="P3" s="115">
        <v>55</v>
      </c>
      <c r="Q3" s="99">
        <v>-14400</v>
      </c>
    </row>
    <row r="4" spans="1:17" x14ac:dyDescent="0.45">
      <c r="A4" s="51" t="s">
        <v>6</v>
      </c>
      <c r="B4" s="158">
        <v>-626.4</v>
      </c>
      <c r="C4" s="159"/>
      <c r="E4" s="59" t="s">
        <v>64</v>
      </c>
      <c r="F4" s="56" t="s">
        <v>20</v>
      </c>
      <c r="G4" s="44">
        <v>51</v>
      </c>
      <c r="H4" s="129">
        <f>IF(B$15=0,0,G4/B$15)</f>
        <v>0.4358974358974359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-1358.4905660377358</v>
      </c>
      <c r="P4" s="115">
        <v>53</v>
      </c>
      <c r="Q4" s="99">
        <v>-72000</v>
      </c>
    </row>
    <row r="5" spans="1:17" x14ac:dyDescent="0.45">
      <c r="A5" s="51" t="s">
        <v>7</v>
      </c>
      <c r="B5" s="160">
        <f>IF(B$2=0,0,B$4/B$2)</f>
        <v>-11.389090909090909</v>
      </c>
      <c r="C5" s="161"/>
      <c r="E5" s="59" t="s">
        <v>166</v>
      </c>
      <c r="F5" s="56" t="s">
        <v>167</v>
      </c>
      <c r="G5" s="44">
        <v>42</v>
      </c>
      <c r="H5" s="129">
        <f>IF(B$15=0,0,G5/B$15)</f>
        <v>0.35897435897435898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-2133.3333333333335</v>
      </c>
      <c r="P5" s="115">
        <v>48</v>
      </c>
      <c r="Q5" s="99">
        <v>-102400</v>
      </c>
    </row>
    <row r="6" spans="1:17" x14ac:dyDescent="0.45">
      <c r="A6" s="51" t="s">
        <v>1</v>
      </c>
      <c r="B6" s="150">
        <f>IF(B$2=0,0,(B$7*1+B$8*2+B$9*3)/B$2)</f>
        <v>2.290909090909091</v>
      </c>
      <c r="C6" s="151"/>
      <c r="E6" s="59" t="s">
        <v>67</v>
      </c>
      <c r="F6" s="56" t="s">
        <v>23</v>
      </c>
      <c r="G6" s="44">
        <v>29</v>
      </c>
      <c r="H6" s="129">
        <f>IF(B$15=0,0,G6/B$15)</f>
        <v>0.24786324786324787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-1854.3478260869565</v>
      </c>
      <c r="P6" s="115">
        <v>46</v>
      </c>
      <c r="Q6" s="99">
        <v>-85300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0.18181818181818182</v>
      </c>
      <c r="E7" s="59" t="s">
        <v>68</v>
      </c>
      <c r="F7" s="56" t="s">
        <v>12</v>
      </c>
      <c r="G7" s="44">
        <v>29</v>
      </c>
      <c r="H7" s="129">
        <f>IF(B$15=0,0,G7/B$15)</f>
        <v>0.24786324786324787</v>
      </c>
      <c r="I7" s="90">
        <v>13</v>
      </c>
      <c r="K7" s="36">
        <v>5</v>
      </c>
      <c r="L7" s="95">
        <v>-124.3</v>
      </c>
      <c r="N7" s="112" t="s">
        <v>135</v>
      </c>
      <c r="O7" s="119">
        <f t="shared" si="0"/>
        <v>-1846.1538461538462</v>
      </c>
      <c r="P7" s="116">
        <v>39</v>
      </c>
      <c r="Q7" s="100">
        <v>-72000</v>
      </c>
    </row>
    <row r="8" spans="1:17" x14ac:dyDescent="0.45">
      <c r="A8" s="51" t="s">
        <v>3</v>
      </c>
      <c r="B8" s="44">
        <v>19</v>
      </c>
      <c r="C8" s="37">
        <f t="shared" si="1"/>
        <v>0.34545454545454546</v>
      </c>
      <c r="E8" s="59" t="s">
        <v>89</v>
      </c>
      <c r="F8" s="56" t="s">
        <v>44</v>
      </c>
      <c r="G8" s="44">
        <v>18</v>
      </c>
      <c r="H8" s="129">
        <f>IF(B$15=0,0,G8/B$15)</f>
        <v>0.15384615384615385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26</v>
      </c>
      <c r="C9" s="38">
        <f t="shared" si="1"/>
        <v>0.47272727272727272</v>
      </c>
      <c r="E9" s="59" t="s">
        <v>65</v>
      </c>
      <c r="F9" s="56" t="s">
        <v>21</v>
      </c>
      <c r="G9" s="44">
        <v>14</v>
      </c>
      <c r="H9" s="129">
        <f>IF(B$15=0,0,G9/B$15)</f>
        <v>0.11965811965811966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0.18181818181818182</v>
      </c>
      <c r="E10" s="59" t="s">
        <v>70</v>
      </c>
      <c r="F10" s="56" t="s">
        <v>25</v>
      </c>
      <c r="G10" s="44">
        <v>12</v>
      </c>
      <c r="H10" s="129">
        <f>IF(B$15=0,0,G10/B$15)</f>
        <v>0.10256410256410256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-19.613043478260867</v>
      </c>
      <c r="P10" s="114">
        <v>23</v>
      </c>
      <c r="Q10" s="102">
        <v>-451.09999999999997</v>
      </c>
    </row>
    <row r="11" spans="1:17" x14ac:dyDescent="0.45">
      <c r="A11" s="54" t="s">
        <v>121</v>
      </c>
      <c r="B11" s="47">
        <v>98</v>
      </c>
      <c r="C11" s="42">
        <f>IF(B$3=0,0,B11/B$3)</f>
        <v>0.21633554083885209</v>
      </c>
      <c r="E11" s="59" t="s">
        <v>71</v>
      </c>
      <c r="F11" s="56" t="s">
        <v>26</v>
      </c>
      <c r="G11" s="44">
        <v>11</v>
      </c>
      <c r="H11" s="129">
        <f>IF(B$15=0,0,G11/B$15)</f>
        <v>9.4017094017094016E-2</v>
      </c>
      <c r="I11" s="90">
        <v>7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 x14ac:dyDescent="0.45">
      <c r="A12" s="51" t="s">
        <v>118</v>
      </c>
      <c r="B12" s="44">
        <v>104</v>
      </c>
      <c r="C12" s="37">
        <f>IF(B$3=0,0,B12/B$3)</f>
        <v>0.22958057395143489</v>
      </c>
      <c r="E12" s="59" t="s">
        <v>69</v>
      </c>
      <c r="F12" s="56" t="s">
        <v>24</v>
      </c>
      <c r="G12" s="44">
        <v>9</v>
      </c>
      <c r="H12" s="129">
        <f>IF(B$15=0,0,G12/B$15)</f>
        <v>7.6923076923076927E-2</v>
      </c>
      <c r="I12" s="90">
        <v>12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5">
      <c r="A13" s="50" t="s">
        <v>123</v>
      </c>
      <c r="B13" s="43">
        <f>B19</f>
        <v>53</v>
      </c>
      <c r="C13" s="35">
        <f>IF(B$11=0,0,B13/B$11)</f>
        <v>0.54081632653061229</v>
      </c>
      <c r="E13" s="59" t="s">
        <v>83</v>
      </c>
      <c r="F13" s="56" t="s">
        <v>38</v>
      </c>
      <c r="G13" s="44">
        <v>8</v>
      </c>
      <c r="H13" s="129">
        <f>IF(B$15=0,0,G13/B$15)</f>
        <v>6.8376068376068383E-2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44</v>
      </c>
      <c r="C14" s="35">
        <f>IF(B$12=0,0,B14/B$12)</f>
        <v>0.42307692307692307</v>
      </c>
      <c r="E14" s="59" t="s">
        <v>86</v>
      </c>
      <c r="F14" s="56" t="s">
        <v>41</v>
      </c>
      <c r="G14" s="44">
        <v>8</v>
      </c>
      <c r="H14" s="129">
        <f>IF(B$15=0,0,G14/B$15)</f>
        <v>6.8376068376068383E-2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117</v>
      </c>
      <c r="C15" s="35">
        <f>IF(B$3=0,0,B15/B$3)</f>
        <v>0.25827814569536423</v>
      </c>
      <c r="E15" s="59" t="s">
        <v>81</v>
      </c>
      <c r="F15" s="56" t="s">
        <v>36</v>
      </c>
      <c r="G15" s="44">
        <v>3</v>
      </c>
      <c r="H15" s="129">
        <f>IF(B$15=0,0,G15/B$15)</f>
        <v>2.564102564102564E-2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11.526666666666662</v>
      </c>
      <c r="P15" s="114">
        <v>15</v>
      </c>
      <c r="Q15" s="102">
        <v>172.89999999999992</v>
      </c>
    </row>
    <row r="16" spans="1:17" x14ac:dyDescent="0.45">
      <c r="A16" s="51" t="s">
        <v>13</v>
      </c>
      <c r="B16" s="44">
        <v>82</v>
      </c>
      <c r="C16" s="37">
        <f>IF(B$3=0,0,B16/B$3)</f>
        <v>0.18101545253863136</v>
      </c>
      <c r="E16" s="59" t="s">
        <v>91</v>
      </c>
      <c r="F16" s="56" t="s">
        <v>46</v>
      </c>
      <c r="G16" s="44">
        <v>2</v>
      </c>
      <c r="H16" s="129">
        <f>IF(B$15=0,0,G16/B$15)</f>
        <v>1.7094017094017096E-2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52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8.5470085470085479E-3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65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8.5470085470085479E-3</v>
      </c>
      <c r="I18" s="90">
        <v>9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53</v>
      </c>
      <c r="C19" s="37">
        <f>IF(B$15=0,0,B19/B$15)</f>
        <v>0.45299145299145299</v>
      </c>
      <c r="E19" s="59" t="s">
        <v>92</v>
      </c>
      <c r="F19" s="56" t="s">
        <v>47</v>
      </c>
      <c r="G19" s="44">
        <v>1</v>
      </c>
      <c r="H19" s="129">
        <f>IF(B$15=0,0,G19/B$15)</f>
        <v>8.5470085470085479E-3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44</v>
      </c>
      <c r="C20" s="37">
        <f>IF(B$15=0,0,B20/B$15)</f>
        <v>0.37606837606837606</v>
      </c>
      <c r="E20" s="59" t="s">
        <v>95</v>
      </c>
      <c r="F20" s="56" t="s">
        <v>50</v>
      </c>
      <c r="G20" s="44">
        <v>1</v>
      </c>
      <c r="H20" s="129">
        <f>IF(B$15=0,0,G20/B$15)</f>
        <v>8.5470085470085479E-3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20</v>
      </c>
      <c r="C21" s="37">
        <f>IF(B$15=0,0,B21/B$15)</f>
        <v>0.17094017094017094</v>
      </c>
      <c r="E21" s="59" t="s">
        <v>162</v>
      </c>
      <c r="F21" s="56" t="s">
        <v>163</v>
      </c>
      <c r="G21" s="44">
        <v>1</v>
      </c>
      <c r="H21" s="129">
        <f>IF(B$15=0,0,G21/B$15)</f>
        <v>8.5470085470085479E-3</v>
      </c>
      <c r="I21" s="90">
        <v>8</v>
      </c>
      <c r="K21" s="36">
        <v>19</v>
      </c>
      <c r="L21" s="95">
        <v>-400.60000000000008</v>
      </c>
      <c r="N21" s="111" t="s">
        <v>171</v>
      </c>
      <c r="O21" s="121">
        <f t="shared" si="2"/>
        <v>-23.608333333333331</v>
      </c>
      <c r="P21" s="115">
        <v>24</v>
      </c>
      <c r="Q21" s="103">
        <v>-566.59999999999991</v>
      </c>
    </row>
    <row r="22" spans="1:17" x14ac:dyDescent="0.45">
      <c r="A22" s="51" t="s">
        <v>5</v>
      </c>
      <c r="B22" s="48">
        <f>IF(B$15=0,0,C22/B$15)</f>
        <v>7968.3760683760684</v>
      </c>
      <c r="C22" s="39">
        <v>932300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8380.82191780822</v>
      </c>
      <c r="C23" s="137">
        <v>611800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-27.288235294117648</v>
      </c>
      <c r="P23" s="115">
        <v>17</v>
      </c>
      <c r="Q23" s="103">
        <v>-463.90000000000003</v>
      </c>
    </row>
    <row r="24" spans="1:17" x14ac:dyDescent="0.45">
      <c r="A24" s="52" t="s">
        <v>178</v>
      </c>
      <c r="B24" s="136">
        <f>IF(B$14=0,0,C24/B$14)</f>
        <v>7284.090909090909</v>
      </c>
      <c r="C24" s="137">
        <v>320500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-8185.3658536585363</v>
      </c>
      <c r="C25" s="137">
        <v>-671200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21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6.6225165562913907E-3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10</v>
      </c>
      <c r="C32" s="141">
        <f>IF(B$15=0,0,B32/B$15)</f>
        <v>8.5470085470085472E-2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24</v>
      </c>
      <c r="C33" s="37">
        <f t="shared" ref="C33:C44" si="3">IF(B$15=0,0,B33/B$15)</f>
        <v>0.20512820512820512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25</v>
      </c>
      <c r="C34" s="37">
        <f>IF(B$15=0,0,B34/B$15)</f>
        <v>0.21367521367521367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16</v>
      </c>
      <c r="C35" s="37">
        <f t="shared" si="3"/>
        <v>0.13675213675213677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17</v>
      </c>
      <c r="C36" s="37">
        <f t="shared" si="3"/>
        <v>0.14529914529914531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8</v>
      </c>
      <c r="C37" s="37">
        <f t="shared" si="3"/>
        <v>6.8376068376068383E-2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9</v>
      </c>
      <c r="C38" s="37">
        <f t="shared" si="3"/>
        <v>7.6923076923076927E-2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4.2735042735042736E-2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8.5470085470085479E-3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1.7094017094017096E-2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</sheetData>
  <sortState xmlns:xlrd2="http://schemas.microsoft.com/office/spreadsheetml/2017/richdata2" ref="E2:I5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8449-D73D-4AB5-BFF3-AB2B1CBECA97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9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86EF2-241B-41CC-962B-558F5373C26F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4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F24AC-3853-4C6A-9FFA-143DCB63F2F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2963-D98F-439C-A601-CAE959B12724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64</v>
      </c>
      <c r="F2" s="55" t="s">
        <v>20</v>
      </c>
      <c r="G2" s="43">
        <v>22</v>
      </c>
      <c r="H2" s="128">
        <f>IF(B$15=0,0,G2/B$15)</f>
        <v>0.6470588235294118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-620</v>
      </c>
      <c r="P2" s="114">
        <v>10</v>
      </c>
      <c r="Q2" s="98">
        <v>-6200</v>
      </c>
    </row>
    <row r="3" spans="1:17" x14ac:dyDescent="0.45">
      <c r="A3" s="51" t="s">
        <v>8</v>
      </c>
      <c r="B3" s="156">
        <v>90</v>
      </c>
      <c r="C3" s="157"/>
      <c r="E3" s="59" t="s">
        <v>66</v>
      </c>
      <c r="F3" s="56" t="s">
        <v>22</v>
      </c>
      <c r="G3" s="44">
        <v>19</v>
      </c>
      <c r="H3" s="129">
        <f>IF(B$15=0,0,G3/B$15)</f>
        <v>0.55882352941176472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380</v>
      </c>
      <c r="P3" s="115">
        <v>10</v>
      </c>
      <c r="Q3" s="99">
        <v>3800</v>
      </c>
    </row>
    <row r="4" spans="1:17" x14ac:dyDescent="0.45">
      <c r="A4" s="51" t="s">
        <v>6</v>
      </c>
      <c r="B4" s="158">
        <v>86.1</v>
      </c>
      <c r="C4" s="159"/>
      <c r="E4" s="59" t="s">
        <v>72</v>
      </c>
      <c r="F4" s="56" t="s">
        <v>27</v>
      </c>
      <c r="G4" s="44">
        <v>16</v>
      </c>
      <c r="H4" s="129">
        <f>IF(B$15=0,0,G4/B$15)</f>
        <v>0.47058823529411764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-750</v>
      </c>
      <c r="P4" s="115">
        <v>10</v>
      </c>
      <c r="Q4" s="99">
        <v>-7500</v>
      </c>
    </row>
    <row r="5" spans="1:17" x14ac:dyDescent="0.45">
      <c r="A5" s="51" t="s">
        <v>7</v>
      </c>
      <c r="B5" s="160">
        <f>IF(B$2=0,0,B$4/B$2)</f>
        <v>8.61</v>
      </c>
      <c r="C5" s="161"/>
      <c r="E5" s="59" t="s">
        <v>67</v>
      </c>
      <c r="F5" s="56" t="s">
        <v>23</v>
      </c>
      <c r="G5" s="44">
        <v>13</v>
      </c>
      <c r="H5" s="129">
        <f>IF(B$15=0,0,G5/B$15)</f>
        <v>0.38235294117647056</v>
      </c>
      <c r="I5" s="90">
        <v>5</v>
      </c>
      <c r="K5" s="36">
        <v>3</v>
      </c>
      <c r="L5" s="95">
        <v>20.399999999999999</v>
      </c>
      <c r="N5" s="111" t="s">
        <v>133</v>
      </c>
      <c r="O5" s="118">
        <f t="shared" si="0"/>
        <v>1910</v>
      </c>
      <c r="P5" s="115">
        <v>10</v>
      </c>
      <c r="Q5" s="99">
        <v>19100</v>
      </c>
    </row>
    <row r="6" spans="1:17" x14ac:dyDescent="0.45">
      <c r="A6" s="51" t="s">
        <v>1</v>
      </c>
      <c r="B6" s="150">
        <f>IF(B$2=0,0,(B$7*1+B$8*2+B$9*3)/B$2)</f>
        <v>1.7</v>
      </c>
      <c r="C6" s="151"/>
      <c r="E6" s="59" t="s">
        <v>68</v>
      </c>
      <c r="F6" s="56" t="s">
        <v>12</v>
      </c>
      <c r="G6" s="44">
        <v>12</v>
      </c>
      <c r="H6" s="129">
        <f>IF(B$15=0,0,G6/B$15)</f>
        <v>0.35294117647058826</v>
      </c>
      <c r="I6" s="90">
        <v>3</v>
      </c>
      <c r="K6" s="36">
        <v>4</v>
      </c>
      <c r="L6" s="95">
        <v>53.1</v>
      </c>
      <c r="N6" s="111" t="s">
        <v>134</v>
      </c>
      <c r="O6" s="118">
        <f t="shared" si="0"/>
        <v>1222.2222222222222</v>
      </c>
      <c r="P6" s="115">
        <v>9</v>
      </c>
      <c r="Q6" s="99">
        <v>11000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166</v>
      </c>
      <c r="F7" s="56" t="s">
        <v>167</v>
      </c>
      <c r="G7" s="44">
        <v>9</v>
      </c>
      <c r="H7" s="129">
        <f>IF(B$15=0,0,G7/B$15)</f>
        <v>0.26470588235294118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2885.7142857142858</v>
      </c>
      <c r="P7" s="116">
        <v>7</v>
      </c>
      <c r="Q7" s="100">
        <v>20200</v>
      </c>
    </row>
    <row r="8" spans="1:17" x14ac:dyDescent="0.45">
      <c r="A8" s="51" t="s">
        <v>3</v>
      </c>
      <c r="B8" s="44">
        <v>3</v>
      </c>
      <c r="C8" s="37">
        <f t="shared" si="1"/>
        <v>0.3</v>
      </c>
      <c r="E8" s="59" t="s">
        <v>65</v>
      </c>
      <c r="F8" s="56" t="s">
        <v>21</v>
      </c>
      <c r="G8" s="44">
        <v>6</v>
      </c>
      <c r="H8" s="129">
        <f>IF(B$15=0,0,G8/B$15)</f>
        <v>0.17647058823529413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0.2</v>
      </c>
      <c r="E9" s="59" t="s">
        <v>69</v>
      </c>
      <c r="F9" s="56" t="s">
        <v>24</v>
      </c>
      <c r="G9" s="44">
        <v>3</v>
      </c>
      <c r="H9" s="129">
        <f>IF(B$15=0,0,G9/B$15)</f>
        <v>8.8235294117647065E-2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0.1</v>
      </c>
      <c r="E10" s="59" t="s">
        <v>70</v>
      </c>
      <c r="F10" s="56" t="s">
        <v>25</v>
      </c>
      <c r="G10" s="44">
        <v>3</v>
      </c>
      <c r="H10" s="129">
        <f>IF(B$15=0,0,G10/B$15)</f>
        <v>8.8235294117647065E-2</v>
      </c>
      <c r="I10" s="90">
        <v>10</v>
      </c>
      <c r="K10" s="36">
        <v>8</v>
      </c>
      <c r="L10" s="95">
        <v>41.3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5">
      <c r="A11" s="54" t="s">
        <v>121</v>
      </c>
      <c r="B11" s="47">
        <v>32</v>
      </c>
      <c r="C11" s="42">
        <f>IF(B$3=0,0,B11/B$3)</f>
        <v>0.35555555555555557</v>
      </c>
      <c r="E11" s="59" t="s">
        <v>89</v>
      </c>
      <c r="F11" s="56" t="s">
        <v>44</v>
      </c>
      <c r="G11" s="44">
        <v>3</v>
      </c>
      <c r="H11" s="129">
        <f>IF(B$15=0,0,G11/B$15)</f>
        <v>8.8235294117647065E-2</v>
      </c>
      <c r="I11" s="90">
        <v>11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11</v>
      </c>
      <c r="C12" s="37">
        <f>IF(B$3=0,0,B12/B$3)</f>
        <v>0.12222222222222222</v>
      </c>
      <c r="E12" s="59" t="s">
        <v>83</v>
      </c>
      <c r="F12" s="56" t="s">
        <v>38</v>
      </c>
      <c r="G12" s="44">
        <v>2</v>
      </c>
      <c r="H12" s="129">
        <f>IF(B$15=0,0,G12/B$15)</f>
        <v>5.8823529411764705E-2</v>
      </c>
      <c r="I12" s="90">
        <v>5</v>
      </c>
      <c r="K12" s="36">
        <v>10</v>
      </c>
      <c r="L12" s="95">
        <v>86.1</v>
      </c>
      <c r="N12" s="112" t="s">
        <v>159</v>
      </c>
      <c r="O12" s="122">
        <f>IF(P12=0,0,Q12/P12)</f>
        <v>36.799999999999997</v>
      </c>
      <c r="P12" s="116">
        <v>2</v>
      </c>
      <c r="Q12" s="104">
        <v>73.599999999999994</v>
      </c>
    </row>
    <row r="13" spans="1:17" x14ac:dyDescent="0.45">
      <c r="A13" s="50" t="s">
        <v>123</v>
      </c>
      <c r="B13" s="43">
        <f>B19</f>
        <v>21</v>
      </c>
      <c r="C13" s="35">
        <f>IF(B$11=0,0,B13/B$11)</f>
        <v>0.65625</v>
      </c>
      <c r="E13" s="59" t="s">
        <v>85</v>
      </c>
      <c r="F13" s="56" t="s">
        <v>40</v>
      </c>
      <c r="G13" s="44">
        <v>2</v>
      </c>
      <c r="H13" s="129">
        <f>IF(B$15=0,0,G13/B$15)</f>
        <v>5.8823529411764705E-2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</v>
      </c>
      <c r="C14" s="35">
        <f>IF(B$12=0,0,B14/B$12)</f>
        <v>0.72727272727272729</v>
      </c>
      <c r="E14" s="59" t="s">
        <v>71</v>
      </c>
      <c r="F14" s="56" t="s">
        <v>26</v>
      </c>
      <c r="G14" s="44">
        <v>1</v>
      </c>
      <c r="H14" s="129">
        <f>IF(B$15=0,0,G14/B$15)</f>
        <v>2.9411764705882353E-2</v>
      </c>
      <c r="I14" s="90">
        <v>13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</v>
      </c>
      <c r="C15" s="35">
        <f>IF(B$3=0,0,B15/B$3)</f>
        <v>0.37777777777777777</v>
      </c>
      <c r="E15" s="59" t="s">
        <v>75</v>
      </c>
      <c r="F15" s="56" t="s">
        <v>30</v>
      </c>
      <c r="G15" s="44">
        <v>1</v>
      </c>
      <c r="H15" s="129">
        <f>IF(B$15=0,0,G15/B$15)</f>
        <v>2.9411764705882353E-2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11</v>
      </c>
      <c r="C16" s="37">
        <f>IF(B$3=0,0,B16/B$3)</f>
        <v>0.12222222222222222</v>
      </c>
      <c r="E16" s="59" t="s">
        <v>79</v>
      </c>
      <c r="F16" s="56" t="s">
        <v>34</v>
      </c>
      <c r="G16" s="44">
        <v>1</v>
      </c>
      <c r="H16" s="129">
        <f>IF(B$15=0,0,G16/B$15)</f>
        <v>2.9411764705882353E-2</v>
      </c>
      <c r="I16" s="90">
        <v>2</v>
      </c>
      <c r="N16" s="111" t="s">
        <v>171</v>
      </c>
      <c r="O16" s="121">
        <f>IF(P16=0,0,Q16/P16)</f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16</v>
      </c>
      <c r="C17" s="37">
        <f>IF(B$15=0,0,B17/B$15)</f>
        <v>0.47058823529411764</v>
      </c>
      <c r="E17" s="59" t="s">
        <v>86</v>
      </c>
      <c r="F17" s="56" t="s">
        <v>41</v>
      </c>
      <c r="G17" s="44">
        <v>1</v>
      </c>
      <c r="H17" s="129">
        <f>IF(B$15=0,0,G17/B$15)</f>
        <v>2.9411764705882353E-2</v>
      </c>
      <c r="I17" s="90">
        <v>11</v>
      </c>
      <c r="N17" s="111" t="s">
        <v>172</v>
      </c>
      <c r="O17" s="121">
        <f>IF(P17=0,0,Q17/P17)</f>
        <v>34.699999999999996</v>
      </c>
      <c r="P17" s="115">
        <v>3</v>
      </c>
      <c r="Q17" s="103">
        <v>104.1</v>
      </c>
    </row>
    <row r="18" spans="1:17" x14ac:dyDescent="0.45">
      <c r="A18" s="51" t="s">
        <v>11</v>
      </c>
      <c r="B18" s="44">
        <v>18</v>
      </c>
      <c r="C18" s="37">
        <f>IF(B$15=0,0,B18/B$15)</f>
        <v>0.52941176470588236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170</v>
      </c>
      <c r="O18" s="121">
        <f>IF(P18=0,0,Q18/P18)</f>
        <v>25.316666666666666</v>
      </c>
      <c r="P18" s="115">
        <v>6</v>
      </c>
      <c r="Q18" s="103">
        <v>151.9</v>
      </c>
    </row>
    <row r="19" spans="1:17" x14ac:dyDescent="0.45">
      <c r="A19" s="51" t="s">
        <v>195</v>
      </c>
      <c r="B19" s="44">
        <v>21</v>
      </c>
      <c r="C19" s="37">
        <f>IF(B$15=0,0,B19/B$15)</f>
        <v>0.61764705882352944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197</v>
      </c>
      <c r="O19" s="121">
        <f>IF(P19=0,0,Q19/P19)</f>
        <v>12.000000000000002</v>
      </c>
      <c r="P19" s="115">
        <v>1</v>
      </c>
      <c r="Q19" s="103">
        <v>12.000000000000002</v>
      </c>
    </row>
    <row r="20" spans="1:17" x14ac:dyDescent="0.45">
      <c r="A20" s="51" t="s">
        <v>193</v>
      </c>
      <c r="B20" s="44">
        <v>8</v>
      </c>
      <c r="C20" s="37">
        <f>IF(B$15=0,0,B20/B$15)</f>
        <v>0.23529411764705882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>IF(P20=0,0,Q20/P20)</f>
        <v>6.2333333333333343</v>
      </c>
      <c r="P20" s="115">
        <v>3</v>
      </c>
      <c r="Q20" s="103">
        <v>18.700000000000003</v>
      </c>
    </row>
    <row r="21" spans="1:17" x14ac:dyDescent="0.45">
      <c r="A21" s="51" t="s">
        <v>194</v>
      </c>
      <c r="B21" s="44">
        <v>5</v>
      </c>
      <c r="C21" s="37">
        <f>IF(B$15=0,0,B21/B$15)</f>
        <v>0.14705882352941177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-29.949999999999996</v>
      </c>
      <c r="P21" s="115">
        <v>2</v>
      </c>
      <c r="Q21" s="103">
        <v>-59.899999999999991</v>
      </c>
    </row>
    <row r="22" spans="1:17" x14ac:dyDescent="0.45">
      <c r="A22" s="51" t="s">
        <v>5</v>
      </c>
      <c r="B22" s="48">
        <f>IF(B$15=0,0,C22/B$15)</f>
        <v>7147.0588235294117</v>
      </c>
      <c r="C22" s="39">
        <v>243000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-51.55</v>
      </c>
      <c r="P22" s="115">
        <v>2</v>
      </c>
      <c r="Q22" s="103">
        <v>-103.1</v>
      </c>
    </row>
    <row r="23" spans="1:17" x14ac:dyDescent="0.45">
      <c r="A23" s="52" t="s">
        <v>177</v>
      </c>
      <c r="B23" s="136">
        <f>IF($B$15-B$14=0,0,C23/($B$15-B$14))</f>
        <v>7565.3846153846152</v>
      </c>
      <c r="C23" s="137">
        <v>196700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5787.5</v>
      </c>
      <c r="C24" s="137">
        <v>46300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-7990.909090909091</v>
      </c>
      <c r="C25" s="137">
        <v>-87900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1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3</v>
      </c>
      <c r="C32" s="141">
        <f>IF(B$15=0,0,B32/B$15)</f>
        <v>8.8235294117647065E-2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8</v>
      </c>
      <c r="C33" s="37">
        <f t="shared" ref="C33:C44" si="2">IF(B$15=0,0,B33/B$15)</f>
        <v>0.23529411764705882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5</v>
      </c>
      <c r="C34" s="37">
        <f>IF(B$15=0,0,B34/B$15)</f>
        <v>0.14705882352941177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2"/>
        <v>0.26470588235294118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5</v>
      </c>
      <c r="C36" s="37">
        <f t="shared" si="2"/>
        <v>0.14705882352941177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2.9411764705882353E-2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2"/>
        <v>5.8823529411764705E-2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2.9411764705882353E-2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D99B-11CA-4BE4-AB25-3BFA2F514FA7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5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4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2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363E-A0F0-4A02-845E-3B05350B782E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12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6CE41-B84A-480B-B2B3-462930710693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48032-F2CC-48A2-B1E0-766CB9D9A28C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14061-A518-4D76-8E47-48642FD9FB1E}">
  <sheetPr codeName="Sheet28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2F4D-2FB1-4AC2-A18A-17854BEA473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8CEC-F03E-416D-90B9-D54B7B96426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FC41-C54F-4C3E-89EA-DB3B13719860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B1DFC-FADA-4372-B5A6-D3D6D4AF0B3D}">
  <sheetPr codeName="Sheet20"/>
  <dimension ref="A1:Q5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28C35-2CF8-4307-97AA-50E0DA93D122}">
  <sheetPr codeName="Sheet18"/>
  <dimension ref="A1:Q12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741E-0E94-47E2-93FC-6BAAED1E7F3C}">
  <sheetPr codeName="Sheet16"/>
  <dimension ref="A1:Q10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912A4-C413-4022-8AE3-28B67F840C9E}">
  <sheetPr codeName="Sheet14"/>
  <dimension ref="A1:Q9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A668-4C57-4BA6-827A-8E1F3F3A1F89}">
  <sheetPr codeName="Sheet12"/>
  <dimension ref="A1:Q14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A3E04-5866-4C78-A151-A2385B1C500B}">
  <sheetPr codeName="Sheet10"/>
  <dimension ref="A1:Q15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5287-9281-4E41-9555-D26CE51A3D33}">
  <sheetPr codeName="Sheet8"/>
  <dimension ref="A1:Q7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9B0-E4BB-491E-A693-2786963BE876}">
  <sheetPr codeName="Sheet6"/>
  <dimension ref="A1:Q26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2019-12-15T05:01:42Z</dcterms:modified>
</cp:coreProperties>
</file>