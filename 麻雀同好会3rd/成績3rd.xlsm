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3A11EE12-4069-4F41-8336-FAA845A792A9}" xr6:coauthVersionLast="41" xr6:coauthVersionMax="41" xr10:uidLastSave="{00000000-0000-0000-0000-000000000000}"/>
  <bookViews>
    <workbookView xWindow="-120" yWindow="-120" windowWidth="29040" windowHeight="1644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0" i="6341" l="1"/>
  <c r="O17" i="6357"/>
  <c r="O19" i="6357"/>
  <c r="O22" i="6343"/>
  <c r="O23" i="6351" l="1"/>
  <c r="O15" i="6357"/>
  <c r="O19" i="6345" l="1"/>
  <c r="O18" i="6357"/>
  <c r="O20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8" i="6349"/>
  <c r="O19" i="6335"/>
  <c r="C19" i="6357" l="1"/>
  <c r="H8" i="6357"/>
  <c r="H9" i="6357"/>
  <c r="H5" i="6357"/>
  <c r="H20" i="6357"/>
  <c r="H12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3" i="6357"/>
  <c r="C32" i="6357"/>
  <c r="H35" i="6357"/>
  <c r="H38" i="6357"/>
  <c r="C40" i="6357"/>
  <c r="H43" i="6357"/>
  <c r="H47" i="6357"/>
  <c r="H7" i="6357"/>
  <c r="H14" i="6357"/>
  <c r="H15" i="6357"/>
  <c r="H24" i="6357"/>
  <c r="H6" i="6357"/>
  <c r="C15" i="6357"/>
  <c r="H16" i="6357"/>
  <c r="H29" i="6357"/>
  <c r="H2" i="6357"/>
  <c r="H3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2" i="6349"/>
  <c r="O16" i="6353" l="1"/>
  <c r="O23" i="6343"/>
  <c r="O21" i="6337" l="1"/>
  <c r="O17" i="6339"/>
  <c r="O15" i="6349"/>
  <c r="O23" i="6349"/>
  <c r="O19" i="6347" l="1"/>
  <c r="O18" i="6351"/>
  <c r="O17" i="6341" l="1"/>
  <c r="O17" i="6347"/>
  <c r="O19" i="6349"/>
  <c r="O20" i="6349"/>
  <c r="O16" i="6337" l="1"/>
  <c r="O17" i="6351"/>
  <c r="O19" i="6351"/>
  <c r="O18" i="6343"/>
  <c r="O22" i="6341" l="1"/>
  <c r="O20" i="6345"/>
  <c r="O21" i="6345" l="1"/>
  <c r="O22" i="6339"/>
  <c r="O25" i="6349"/>
  <c r="O17" i="6353"/>
  <c r="O15" i="6353"/>
  <c r="O21" i="6351"/>
  <c r="O15" i="6341" l="1"/>
  <c r="O21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8" i="6339" l="1"/>
  <c r="O19" i="6343"/>
  <c r="O19" i="6339" l="1"/>
  <c r="O22" i="6347"/>
  <c r="O24" i="6347"/>
  <c r="O17" i="6337"/>
  <c r="O16" i="6341"/>
  <c r="O17" i="6343"/>
  <c r="O21" i="6343"/>
  <c r="O18" i="6337"/>
  <c r="O18" i="6341"/>
  <c r="O16" i="6339"/>
  <c r="O20" i="6351"/>
  <c r="O22" i="6351"/>
  <c r="O23" i="6345" l="1"/>
  <c r="O17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7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1" i="6335"/>
  <c r="C14" i="6349" l="1"/>
  <c r="H12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0" i="6349"/>
  <c r="H6" i="6349"/>
  <c r="C38" i="6349"/>
  <c r="C18" i="6349"/>
  <c r="H42" i="6349"/>
  <c r="H45" i="6349"/>
  <c r="C21" i="6349"/>
  <c r="H35" i="6349"/>
  <c r="H4" i="6349"/>
  <c r="H2" i="6349"/>
  <c r="H11" i="6349"/>
  <c r="H17" i="6349"/>
  <c r="H23" i="6349"/>
  <c r="H25" i="6349"/>
  <c r="H37" i="6349"/>
  <c r="H49" i="6349"/>
  <c r="H24" i="6349"/>
  <c r="C19" i="6349"/>
  <c r="H13" i="6349"/>
  <c r="H31" i="6349"/>
  <c r="H20" i="6349"/>
  <c r="C36" i="6349"/>
  <c r="H40" i="6349"/>
  <c r="H43" i="6349"/>
  <c r="C44" i="6349"/>
  <c r="H50" i="6349"/>
  <c r="C17" i="6349"/>
  <c r="H15" i="6349"/>
  <c r="B22" i="6349"/>
  <c r="H32" i="6349"/>
  <c r="H34" i="6349"/>
  <c r="C34" i="6349"/>
  <c r="H38" i="6349"/>
  <c r="H41" i="6349"/>
  <c r="C42" i="6349"/>
  <c r="H46" i="6349"/>
  <c r="H21" i="6349"/>
  <c r="H7" i="6349"/>
  <c r="H22" i="6349"/>
  <c r="C15" i="6349"/>
  <c r="H26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4" i="6349"/>
  <c r="H8" i="6349"/>
  <c r="H19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2" i="6345"/>
  <c r="O18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20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2" i="6335"/>
  <c r="O24" i="6335"/>
  <c r="C34" i="6343" l="1"/>
  <c r="C18" i="6343"/>
  <c r="C14" i="6345"/>
  <c r="C14" i="6343"/>
  <c r="H23" i="6343"/>
  <c r="H2" i="6343"/>
  <c r="H3" i="6343"/>
  <c r="H9" i="6343"/>
  <c r="H8" i="6343"/>
  <c r="H4" i="6343"/>
  <c r="C42" i="6343"/>
  <c r="C19" i="6343"/>
  <c r="H36" i="6343"/>
  <c r="H22" i="6343"/>
  <c r="H19" i="6343"/>
  <c r="H14" i="6343"/>
  <c r="C21" i="6343"/>
  <c r="H20" i="6343"/>
  <c r="C38" i="6343"/>
  <c r="H6" i="6343"/>
  <c r="H24" i="6343"/>
  <c r="H10" i="6343"/>
  <c r="H12" i="6343"/>
  <c r="H40" i="6343"/>
  <c r="C14" i="6347"/>
  <c r="H7" i="6347"/>
  <c r="H11" i="6347"/>
  <c r="H28" i="6347"/>
  <c r="H8" i="6347"/>
  <c r="H29" i="6347"/>
  <c r="C19" i="6347"/>
  <c r="H14" i="6347"/>
  <c r="H24" i="6347"/>
  <c r="H36" i="6347"/>
  <c r="C36" i="6347"/>
  <c r="H41" i="6347"/>
  <c r="H43" i="6347"/>
  <c r="C44" i="6347"/>
  <c r="H50" i="6347"/>
  <c r="B22" i="6347"/>
  <c r="C34" i="6347"/>
  <c r="H46" i="6347"/>
  <c r="H6" i="6347"/>
  <c r="H17" i="6347"/>
  <c r="H15" i="6347"/>
  <c r="C20" i="6347"/>
  <c r="H34" i="6347"/>
  <c r="C32" i="6347"/>
  <c r="H37" i="6347"/>
  <c r="H40" i="6347"/>
  <c r="C40" i="6347"/>
  <c r="H44" i="6347"/>
  <c r="H48" i="6347"/>
  <c r="H5" i="6347"/>
  <c r="H10" i="6347"/>
  <c r="H23" i="6347"/>
  <c r="H22" i="6347"/>
  <c r="C17" i="6347"/>
  <c r="H19" i="6347"/>
  <c r="H25" i="6347"/>
  <c r="H27" i="6347"/>
  <c r="H39" i="6347"/>
  <c r="C42" i="6347"/>
  <c r="H16" i="6347"/>
  <c r="C15" i="6347"/>
  <c r="H20" i="6347"/>
  <c r="H4" i="6347"/>
  <c r="H2" i="6347"/>
  <c r="H12" i="6347"/>
  <c r="H3" i="6347"/>
  <c r="H30" i="6347"/>
  <c r="C18" i="6347"/>
  <c r="C21" i="6347"/>
  <c r="H21" i="6347"/>
  <c r="H35" i="6347"/>
  <c r="H38" i="6347"/>
  <c r="C38" i="6347"/>
  <c r="H42" i="6347"/>
  <c r="H45" i="6347"/>
  <c r="H49" i="6347"/>
  <c r="H52" i="6347"/>
  <c r="B23" i="6347"/>
  <c r="H18" i="6347"/>
  <c r="H31" i="6347"/>
  <c r="H32" i="6347"/>
  <c r="H33" i="6347"/>
  <c r="H13" i="6347"/>
  <c r="H9" i="6347"/>
  <c r="H26" i="6347"/>
  <c r="C33" i="6347"/>
  <c r="C35" i="6347"/>
  <c r="C37" i="6347"/>
  <c r="C39" i="6347"/>
  <c r="C41" i="6347"/>
  <c r="C43" i="6347"/>
  <c r="H47" i="6347"/>
  <c r="H6" i="6345"/>
  <c r="H10" i="6345"/>
  <c r="H13" i="6345"/>
  <c r="H29" i="6345"/>
  <c r="H20" i="6345"/>
  <c r="H9" i="6345"/>
  <c r="H30" i="6345"/>
  <c r="C20" i="6345"/>
  <c r="H37" i="6345"/>
  <c r="C40" i="6345"/>
  <c r="H48" i="6345"/>
  <c r="H33" i="6345"/>
  <c r="C32" i="6345"/>
  <c r="H42" i="6345"/>
  <c r="H5" i="6345"/>
  <c r="H22" i="6345"/>
  <c r="C18" i="6345"/>
  <c r="H14" i="6345"/>
  <c r="H35" i="6345"/>
  <c r="H39" i="6345"/>
  <c r="H44" i="6345"/>
  <c r="H7" i="6345"/>
  <c r="H23" i="6345"/>
  <c r="C21" i="6345"/>
  <c r="H28" i="6345"/>
  <c r="H49" i="6345"/>
  <c r="C15" i="6345"/>
  <c r="H25" i="6345"/>
  <c r="H4" i="6345"/>
  <c r="H2" i="6345"/>
  <c r="H11" i="6345"/>
  <c r="H3" i="6345"/>
  <c r="H26" i="6345"/>
  <c r="C19" i="6345"/>
  <c r="H21" i="6345"/>
  <c r="H16" i="6345"/>
  <c r="H36" i="6345"/>
  <c r="C38" i="6345"/>
  <c r="H45" i="6345"/>
  <c r="H52" i="6345"/>
  <c r="C36" i="6345"/>
  <c r="H40" i="6345"/>
  <c r="H43" i="6345"/>
  <c r="C44" i="6345"/>
  <c r="H50" i="6345"/>
  <c r="C17" i="6345"/>
  <c r="H18" i="6345"/>
  <c r="B22" i="6345"/>
  <c r="H34" i="6345"/>
  <c r="H27" i="6345"/>
  <c r="C34" i="6345"/>
  <c r="H38" i="6345"/>
  <c r="H41" i="6345"/>
  <c r="C42" i="6345"/>
  <c r="H46" i="6345"/>
  <c r="H12" i="6345"/>
  <c r="B23" i="6345"/>
  <c r="H17" i="6345"/>
  <c r="H31" i="6345"/>
  <c r="H32" i="6345"/>
  <c r="H24" i="6345"/>
  <c r="H15" i="6345"/>
  <c r="H8" i="6345"/>
  <c r="H19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1" i="6343"/>
  <c r="B23" i="6343"/>
  <c r="C15" i="6343"/>
  <c r="H16" i="6343"/>
  <c r="C20" i="6343"/>
  <c r="H28" i="6343"/>
  <c r="H30" i="6343"/>
  <c r="H34" i="6343"/>
  <c r="H38" i="6343"/>
  <c r="H42" i="6343"/>
  <c r="H46" i="6343"/>
  <c r="H52" i="6343"/>
  <c r="H15" i="6343"/>
  <c r="H25" i="6343"/>
  <c r="H26" i="6343"/>
  <c r="H27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20" i="6339"/>
  <c r="O21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20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3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3" i="6337"/>
  <c r="H11" i="6337"/>
  <c r="H27" i="6337"/>
  <c r="C14" i="6337"/>
  <c r="C14" i="6341"/>
  <c r="C15" i="6341"/>
  <c r="H6" i="6341"/>
  <c r="H21" i="6341"/>
  <c r="H8" i="6337"/>
  <c r="H9" i="6337"/>
  <c r="H22" i="6341"/>
  <c r="H15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6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3" i="6339"/>
  <c r="H9" i="6339"/>
  <c r="H31" i="6339"/>
  <c r="C19" i="6339"/>
  <c r="H14" i="6339"/>
  <c r="H34" i="6339"/>
  <c r="H27" i="6339"/>
  <c r="C36" i="6339"/>
  <c r="H41" i="6339"/>
  <c r="H44" i="6339"/>
  <c r="C44" i="6339"/>
  <c r="H50" i="6339"/>
  <c r="H10" i="6339"/>
  <c r="H6" i="6339"/>
  <c r="H11" i="6339"/>
  <c r="H19" i="6339"/>
  <c r="C17" i="6339"/>
  <c r="B22" i="6339"/>
  <c r="H26" i="6339"/>
  <c r="H35" i="6339"/>
  <c r="C34" i="6339"/>
  <c r="H39" i="6339"/>
  <c r="H42" i="6339"/>
  <c r="C42" i="6339"/>
  <c r="H29" i="6339"/>
  <c r="H7" i="6339"/>
  <c r="H30" i="6339"/>
  <c r="B23" i="6339"/>
  <c r="C15" i="6339"/>
  <c r="H20" i="6339"/>
  <c r="C20" i="6339"/>
  <c r="H21" i="6339"/>
  <c r="H28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8" i="6339"/>
  <c r="H36" i="6339"/>
  <c r="H38" i="6339"/>
  <c r="C38" i="6339"/>
  <c r="H43" i="6339"/>
  <c r="H46" i="6339"/>
  <c r="H49" i="6339"/>
  <c r="H52" i="6339"/>
  <c r="B24" i="6339"/>
  <c r="H15" i="6339"/>
  <c r="H32" i="6339"/>
  <c r="H33" i="6339"/>
  <c r="H24" i="6339"/>
  <c r="H12" i="6339"/>
  <c r="H8" i="6339"/>
  <c r="H22" i="6339"/>
  <c r="C33" i="6339"/>
  <c r="C35" i="6339"/>
  <c r="C37" i="6339"/>
  <c r="C39" i="6339"/>
  <c r="C41" i="6339"/>
  <c r="C43" i="6339"/>
  <c r="H47" i="6339"/>
  <c r="H25" i="6337"/>
  <c r="H6" i="6337"/>
  <c r="C19" i="6337"/>
  <c r="H34" i="6337"/>
  <c r="C36" i="6337"/>
  <c r="H39" i="6337"/>
  <c r="H42" i="6337"/>
  <c r="C44" i="6337"/>
  <c r="H49" i="6337"/>
  <c r="C17" i="6337"/>
  <c r="H14" i="6337"/>
  <c r="B22" i="6337"/>
  <c r="H21" i="6337"/>
  <c r="H22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19" i="6337"/>
  <c r="H7" i="6337"/>
  <c r="H26" i="6337"/>
  <c r="H16" i="6337"/>
  <c r="H5" i="6337"/>
  <c r="H2" i="6337"/>
  <c r="H10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20" i="6337"/>
  <c r="H28" i="6337"/>
  <c r="H29" i="6337"/>
  <c r="H24" i="6337"/>
  <c r="H15" i="6337"/>
  <c r="H12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3" i="6335"/>
  <c r="H28" i="6335"/>
  <c r="H31" i="6335"/>
  <c r="C36" i="6335"/>
  <c r="H42" i="6335"/>
  <c r="H44" i="6335"/>
  <c r="C44" i="6335"/>
  <c r="H50" i="6335"/>
  <c r="H20" i="6335"/>
  <c r="C17" i="6335"/>
  <c r="H27" i="6335"/>
  <c r="H30" i="6335"/>
  <c r="H40" i="6335"/>
  <c r="H33" i="6335"/>
  <c r="H34" i="6335"/>
  <c r="H16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7" i="6335"/>
  <c r="C42" i="6335"/>
  <c r="H7" i="6335"/>
  <c r="H23" i="6335"/>
  <c r="H21" i="6335"/>
  <c r="H4" i="6335"/>
  <c r="H2" i="6335"/>
  <c r="H11" i="6335"/>
  <c r="H3" i="6335"/>
  <c r="H26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4" i="6335"/>
  <c r="H9" i="6335"/>
  <c r="H22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<sst xmlns="http://schemas.openxmlformats.org/spreadsheetml/2006/main" count="3852" uniqueCount="302">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</sst>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全体!$K$2:$K$911</c:f>
              <c:numCache>
                <c:formatCode>General</c:formatCode>
                <c:ptCount val="9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</c:numCache>
            </c:numRef>
          </c:xVal>
          <c:yVal>
            <c:numRef>
              <c:f>全体!$L$2:$L$911</c:f>
              <c:numCache>
                <c:formatCode>\+0.0;\-0.0;\±0</c:formatCode>
                <c:ptCount val="91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-29.801324503311257</c:v>
                </c:pt>
                <c:pt idx="1">
                  <c:v>8.9485458612975393</c:v>
                </c:pt>
                <c:pt idx="2">
                  <c:v>-2.3809523809523809</c:v>
                </c:pt>
                <c:pt idx="3">
                  <c:v>8.8383838383838391</c:v>
                </c:pt>
                <c:pt idx="4">
                  <c:v>4.1152263374485596</c:v>
                </c:pt>
                <c:pt idx="5">
                  <c:v>14.77832512315271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176</c:v>
                </c:pt>
                <c:pt idx="1">
                  <c:v>382</c:v>
                </c:pt>
                <c:pt idx="2">
                  <c:v>436</c:v>
                </c:pt>
                <c:pt idx="3">
                  <c:v>396</c:v>
                </c:pt>
                <c:pt idx="4">
                  <c:v>355</c:v>
                </c:pt>
                <c:pt idx="5">
                  <c:v>244</c:v>
                </c:pt>
                <c:pt idx="6">
                  <c:v>117</c:v>
                </c:pt>
                <c:pt idx="7">
                  <c:v>63</c:v>
                </c:pt>
                <c:pt idx="8">
                  <c:v>28</c:v>
                </c:pt>
                <c:pt idx="9">
                  <c:v>10</c:v>
                </c:pt>
                <c:pt idx="10">
                  <c:v>6</c:v>
                </c:pt>
                <c:pt idx="11">
                  <c:v>6</c:v>
                </c:pt>
                <c:pt idx="1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たかの!$K$2:$K$83</c:f>
              <c:numCache>
                <c:formatCode>General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</c:numCache>
            </c:numRef>
          </c:xVal>
          <c:yVal>
            <c:numRef>
              <c:f>たかの!$L$2:$L$83</c:f>
              <c:numCache>
                <c:formatCode>\+0.0;\-0.0;\±0</c:formatCode>
                <c:ptCount val="8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2034.5679012345679</c:v>
                </c:pt>
                <c:pt idx="1">
                  <c:v>-2061.25</c:v>
                </c:pt>
                <c:pt idx="2">
                  <c:v>-1572.7272727272727</c:v>
                </c:pt>
                <c:pt idx="3">
                  <c:v>-919.44444444444446</c:v>
                </c:pt>
                <c:pt idx="4">
                  <c:v>-11.428571428571429</c:v>
                </c:pt>
                <c:pt idx="5">
                  <c:v>-1923.3333333333333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40</c:v>
                </c:pt>
                <c:pt idx="2">
                  <c:v>43</c:v>
                </c:pt>
                <c:pt idx="3">
                  <c:v>34</c:v>
                </c:pt>
                <c:pt idx="4">
                  <c:v>22</c:v>
                </c:pt>
                <c:pt idx="5">
                  <c:v>17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だいち!$K$2:$K$180</c:f>
              <c:numCache>
                <c:formatCode>General</c:formatCode>
                <c:ptCount val="1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</c:numCache>
            </c:numRef>
          </c:xVal>
          <c:yVal>
            <c:numRef>
              <c:f>だいち!$L$2:$L$180</c:f>
              <c:numCache>
                <c:formatCode>\+0.0;\-0.0;\±0</c:formatCode>
                <c:ptCount val="179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1176.2711864406779</c:v>
                </c:pt>
                <c:pt idx="1">
                  <c:v>1260.344827586207</c:v>
                </c:pt>
                <c:pt idx="2">
                  <c:v>994.61077844311376</c:v>
                </c:pt>
                <c:pt idx="3">
                  <c:v>335.89743589743591</c:v>
                </c:pt>
                <c:pt idx="4">
                  <c:v>1482.7586206896551</c:v>
                </c:pt>
                <c:pt idx="5">
                  <c:v>2100.8333333333335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47</c:v>
                </c:pt>
                <c:pt idx="1">
                  <c:v>92</c:v>
                </c:pt>
                <c:pt idx="2">
                  <c:v>97</c:v>
                </c:pt>
                <c:pt idx="3">
                  <c:v>91</c:v>
                </c:pt>
                <c:pt idx="4">
                  <c:v>71</c:v>
                </c:pt>
                <c:pt idx="5">
                  <c:v>49</c:v>
                </c:pt>
                <c:pt idx="6">
                  <c:v>24</c:v>
                </c:pt>
                <c:pt idx="7">
                  <c:v>8</c:v>
                </c:pt>
                <c:pt idx="8">
                  <c:v>10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ただ!$K$2:$K$160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ただ!$L$2:$L$160</c:f>
              <c:numCache>
                <c:formatCode>\+0.0;\-0.0;\±0</c:formatCode>
                <c:ptCount val="15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-1084.7133757961783</c:v>
                </c:pt>
                <c:pt idx="1">
                  <c:v>1403.2258064516129</c:v>
                </c:pt>
                <c:pt idx="2">
                  <c:v>-269.93006993006992</c:v>
                </c:pt>
                <c:pt idx="3">
                  <c:v>299.26470588235293</c:v>
                </c:pt>
                <c:pt idx="4">
                  <c:v>-1116.1290322580646</c:v>
                </c:pt>
                <c:pt idx="5">
                  <c:v>1200.9615384615386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30</c:v>
                </c:pt>
                <c:pt idx="1">
                  <c:v>72</c:v>
                </c:pt>
                <c:pt idx="2">
                  <c:v>86</c:v>
                </c:pt>
                <c:pt idx="3">
                  <c:v>80</c:v>
                </c:pt>
                <c:pt idx="4">
                  <c:v>60</c:v>
                </c:pt>
                <c:pt idx="5">
                  <c:v>42</c:v>
                </c:pt>
                <c:pt idx="6">
                  <c:v>14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-526.80412371134025</c:v>
                </c:pt>
                <c:pt idx="1">
                  <c:v>-712.37113402061857</c:v>
                </c:pt>
                <c:pt idx="2">
                  <c:v>480.2197802197802</c:v>
                </c:pt>
                <c:pt idx="3">
                  <c:v>-673.03370786516859</c:v>
                </c:pt>
                <c:pt idx="4">
                  <c:v>-2978.5714285714284</c:v>
                </c:pt>
                <c:pt idx="5">
                  <c:v>-1929.7297297297298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52</c:v>
                </c:pt>
                <c:pt idx="3">
                  <c:v>34</c:v>
                </c:pt>
                <c:pt idx="4">
                  <c:v>39</c:v>
                </c:pt>
                <c:pt idx="5">
                  <c:v>23</c:v>
                </c:pt>
                <c:pt idx="6">
                  <c:v>13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れんたろう!$K$2:$K$132</c:f>
              <c:numCache>
                <c:formatCode>General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れんたろう!$L$2:$L$132</c:f>
              <c:numCache>
                <c:formatCode>\+0.0;\-0.0;\±0</c:formatCode>
                <c:ptCount val="13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1456.9230769230769</c:v>
                </c:pt>
                <c:pt idx="1">
                  <c:v>-1936.71875</c:v>
                </c:pt>
                <c:pt idx="2">
                  <c:v>-139.65517241379311</c:v>
                </c:pt>
                <c:pt idx="3">
                  <c:v>2018.1818181818182</c:v>
                </c:pt>
                <c:pt idx="4">
                  <c:v>1395.9183673469388</c:v>
                </c:pt>
                <c:pt idx="5">
                  <c:v>255.26315789473685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8</c:v>
                </c:pt>
                <c:pt idx="1">
                  <c:v>23</c:v>
                </c:pt>
                <c:pt idx="2">
                  <c:v>39</c:v>
                </c:pt>
                <c:pt idx="3">
                  <c:v>55</c:v>
                </c:pt>
                <c:pt idx="4">
                  <c:v>65</c:v>
                </c:pt>
                <c:pt idx="5">
                  <c:v>42</c:v>
                </c:pt>
                <c:pt idx="6">
                  <c:v>22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-380.28169014084506</c:v>
                </c:pt>
                <c:pt idx="1">
                  <c:v>189.92805755395685</c:v>
                </c:pt>
                <c:pt idx="2">
                  <c:v>150.38167938931298</c:v>
                </c:pt>
                <c:pt idx="3">
                  <c:v>170.83333333333334</c:v>
                </c:pt>
                <c:pt idx="4">
                  <c:v>171.55963302752295</c:v>
                </c:pt>
                <c:pt idx="5">
                  <c:v>-1058.0645161290322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19</c:v>
                </c:pt>
                <c:pt idx="1">
                  <c:v>61</c:v>
                </c:pt>
                <c:pt idx="2">
                  <c:v>66</c:v>
                </c:pt>
                <c:pt idx="3">
                  <c:v>59</c:v>
                </c:pt>
                <c:pt idx="4">
                  <c:v>47</c:v>
                </c:pt>
                <c:pt idx="5">
                  <c:v>37</c:v>
                </c:pt>
                <c:pt idx="6">
                  <c:v>15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-2541.9354838709678</c:v>
                </c:pt>
                <c:pt idx="1">
                  <c:v>738.70967741935488</c:v>
                </c:pt>
                <c:pt idx="2">
                  <c:v>-691.52542372881351</c:v>
                </c:pt>
                <c:pt idx="3">
                  <c:v>-1784.9056603773586</c:v>
                </c:pt>
                <c:pt idx="4">
                  <c:v>-1862</c:v>
                </c:pt>
                <c:pt idx="5">
                  <c:v>-2182.9268292682927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27</c:v>
                </c:pt>
                <c:pt idx="3">
                  <c:v>21</c:v>
                </c:pt>
                <c:pt idx="4">
                  <c:v>19</c:v>
                </c:pt>
                <c:pt idx="5">
                  <c:v>11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-2923.0769230769229</c:v>
                </c:pt>
                <c:pt idx="1">
                  <c:v>-430.76923076923077</c:v>
                </c:pt>
                <c:pt idx="2">
                  <c:v>-2992.3076923076924</c:v>
                </c:pt>
                <c:pt idx="3">
                  <c:v>623.07692307692309</c:v>
                </c:pt>
                <c:pt idx="4">
                  <c:v>-827.27272727272725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りくと2!$A$3:$A$101</c:f>
              <c:numCache>
                <c:formatCode>0\ "回"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りくと2!$B$3:$B$101</c:f>
              <c:numCache>
                <c:formatCode>\+0.0;\-0.0;\±0</c:formatCode>
                <c:ptCount val="99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329070518200751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りくと2!$A$3:$A$101</c:f>
              <c:numCache>
                <c:formatCode>0\ "回"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りくと2!$C$3:$C$101</c:f>
              <c:numCache>
                <c:formatCode>\+0.0;\-0.0;\±0</c:formatCode>
                <c:ptCount val="99"/>
                <c:pt idx="1">
                  <c:v>-37.799999999999997</c:v>
                </c:pt>
                <c:pt idx="2">
                  <c:v>-15.049999999999999</c:v>
                </c:pt>
                <c:pt idx="3">
                  <c:v>-5.8666666666666663</c:v>
                </c:pt>
                <c:pt idx="4">
                  <c:v>-13.724999999999998</c:v>
                </c:pt>
                <c:pt idx="5">
                  <c:v>-6.7399999999999975</c:v>
                </c:pt>
                <c:pt idx="6">
                  <c:v>-9.5666666666666647</c:v>
                </c:pt>
                <c:pt idx="7">
                  <c:v>-5.6428571428571415</c:v>
                </c:pt>
                <c:pt idx="8">
                  <c:v>-7.8749999999999991</c:v>
                </c:pt>
                <c:pt idx="9">
                  <c:v>-8.2444444444444436</c:v>
                </c:pt>
                <c:pt idx="10">
                  <c:v>-11.719999999999999</c:v>
                </c:pt>
                <c:pt idx="11">
                  <c:v>-16.118181818181817</c:v>
                </c:pt>
                <c:pt idx="12">
                  <c:v>-13.216666666666667</c:v>
                </c:pt>
                <c:pt idx="13">
                  <c:v>-15.946153846153846</c:v>
                </c:pt>
                <c:pt idx="14">
                  <c:v>-14.62857142857143</c:v>
                </c:pt>
                <c:pt idx="15">
                  <c:v>-14.766666666666667</c:v>
                </c:pt>
                <c:pt idx="16">
                  <c:v>-14.018750000000001</c:v>
                </c:pt>
                <c:pt idx="17">
                  <c:v>-14.788235294117648</c:v>
                </c:pt>
                <c:pt idx="18">
                  <c:v>-13.333333333333334</c:v>
                </c:pt>
                <c:pt idx="19">
                  <c:v>-11.473684210526315</c:v>
                </c:pt>
                <c:pt idx="20">
                  <c:v>-8.879999999999999</c:v>
                </c:pt>
                <c:pt idx="21">
                  <c:v>-6.3476190476190482</c:v>
                </c:pt>
                <c:pt idx="22">
                  <c:v>-7.4818181818181833</c:v>
                </c:pt>
                <c:pt idx="23">
                  <c:v>-7.073913043478262</c:v>
                </c:pt>
                <c:pt idx="24">
                  <c:v>-6.7916666666666679</c:v>
                </c:pt>
                <c:pt idx="25">
                  <c:v>-7.4000000000000012</c:v>
                </c:pt>
                <c:pt idx="26">
                  <c:v>-7.1538461538461551</c:v>
                </c:pt>
                <c:pt idx="27">
                  <c:v>-6.0370370370370381</c:v>
                </c:pt>
                <c:pt idx="28">
                  <c:v>-6.4892857142857148</c:v>
                </c:pt>
                <c:pt idx="29">
                  <c:v>-5.5137931034482763</c:v>
                </c:pt>
                <c:pt idx="30">
                  <c:v>-5.8533333333333335</c:v>
                </c:pt>
                <c:pt idx="31">
                  <c:v>-6.8580645161290317</c:v>
                </c:pt>
                <c:pt idx="32">
                  <c:v>-7.65</c:v>
                </c:pt>
                <c:pt idx="33">
                  <c:v>-7.9181818181818189</c:v>
                </c:pt>
                <c:pt idx="34">
                  <c:v>-6.9647058823529413</c:v>
                </c:pt>
                <c:pt idx="35">
                  <c:v>-7.5600000000000005</c:v>
                </c:pt>
                <c:pt idx="36">
                  <c:v>-7.0055555555555564</c:v>
                </c:pt>
                <c:pt idx="37">
                  <c:v>-7.0540540540540544</c:v>
                </c:pt>
                <c:pt idx="38">
                  <c:v>-6.4578947368421051</c:v>
                </c:pt>
                <c:pt idx="39">
                  <c:v>-5.8205128205128203</c:v>
                </c:pt>
                <c:pt idx="40">
                  <c:v>-6.7099999999999991</c:v>
                </c:pt>
                <c:pt idx="41">
                  <c:v>-6.4487804878048776</c:v>
                </c:pt>
                <c:pt idx="42">
                  <c:v>-6.4023809523809518</c:v>
                </c:pt>
                <c:pt idx="43">
                  <c:v>-6.9627906976744178</c:v>
                </c:pt>
                <c:pt idx="44">
                  <c:v>-7.5159090909090907</c:v>
                </c:pt>
                <c:pt idx="45">
                  <c:v>-7.8466666666666658</c:v>
                </c:pt>
                <c:pt idx="46">
                  <c:v>-7.6478260869565204</c:v>
                </c:pt>
                <c:pt idx="47">
                  <c:v>-7.3659574468085092</c:v>
                </c:pt>
                <c:pt idx="48">
                  <c:v>-7.445833333333332</c:v>
                </c:pt>
                <c:pt idx="49">
                  <c:v>-8.2469387755102019</c:v>
                </c:pt>
                <c:pt idx="50">
                  <c:v>-8.0199999999999978</c:v>
                </c:pt>
                <c:pt idx="51">
                  <c:v>-8.1333333333333311</c:v>
                </c:pt>
                <c:pt idx="52">
                  <c:v>-7.7673076923076909</c:v>
                </c:pt>
                <c:pt idx="53">
                  <c:v>-7.2981132075471677</c:v>
                </c:pt>
                <c:pt idx="54">
                  <c:v>-8.1722222222222207</c:v>
                </c:pt>
                <c:pt idx="55">
                  <c:v>-7.2381818181818165</c:v>
                </c:pt>
                <c:pt idx="56">
                  <c:v>-7.0249999999999986</c:v>
                </c:pt>
                <c:pt idx="57">
                  <c:v>-6.6052631578947363</c:v>
                </c:pt>
                <c:pt idx="58">
                  <c:v>-6.4396551724137918</c:v>
                </c:pt>
                <c:pt idx="59">
                  <c:v>-6.7677966101694906</c:v>
                </c:pt>
                <c:pt idx="60">
                  <c:v>-7.4799999999999995</c:v>
                </c:pt>
                <c:pt idx="61">
                  <c:v>-7.4360655737704908</c:v>
                </c:pt>
                <c:pt idx="62">
                  <c:v>-8.0935483870967726</c:v>
                </c:pt>
                <c:pt idx="63">
                  <c:v>-7.2587301587301578</c:v>
                </c:pt>
                <c:pt idx="64">
                  <c:v>-6.5796874999999995</c:v>
                </c:pt>
                <c:pt idx="65">
                  <c:v>-7.1676923076923069</c:v>
                </c:pt>
                <c:pt idx="66">
                  <c:v>-6.6954545454545453</c:v>
                </c:pt>
                <c:pt idx="67">
                  <c:v>-7.1283582089552233</c:v>
                </c:pt>
                <c:pt idx="68">
                  <c:v>-7.019117647058823</c:v>
                </c:pt>
                <c:pt idx="69">
                  <c:v>-7.0565217391304342</c:v>
                </c:pt>
                <c:pt idx="70">
                  <c:v>-6.5428571428571427</c:v>
                </c:pt>
                <c:pt idx="71">
                  <c:v>-6.8281690140845068</c:v>
                </c:pt>
                <c:pt idx="72">
                  <c:v>-7.0333333333333341</c:v>
                </c:pt>
                <c:pt idx="73">
                  <c:v>-6.9219178082191783</c:v>
                </c:pt>
                <c:pt idx="74">
                  <c:v>-6.6270270270270277</c:v>
                </c:pt>
                <c:pt idx="75">
                  <c:v>-6.5306666666666668</c:v>
                </c:pt>
                <c:pt idx="76">
                  <c:v>-6.4907894736842104</c:v>
                </c:pt>
                <c:pt idx="77">
                  <c:v>-6.1545454545454552</c:v>
                </c:pt>
                <c:pt idx="78">
                  <c:v>-5.8884615384615389</c:v>
                </c:pt>
                <c:pt idx="79">
                  <c:v>-6.0962025316455701</c:v>
                </c:pt>
                <c:pt idx="80">
                  <c:v>-6.0825000000000005</c:v>
                </c:pt>
                <c:pt idx="81">
                  <c:v>-6.2246913580246916</c:v>
                </c:pt>
                <c:pt idx="82">
                  <c:v>-6.5524390243902451</c:v>
                </c:pt>
                <c:pt idx="83">
                  <c:v>-6.3192771084337362</c:v>
                </c:pt>
                <c:pt idx="84">
                  <c:v>-6.2500000000000018</c:v>
                </c:pt>
                <c:pt idx="85">
                  <c:v>-5.9917647058823542</c:v>
                </c:pt>
                <c:pt idx="86">
                  <c:v>-5.8151162790697688</c:v>
                </c:pt>
                <c:pt idx="87">
                  <c:v>-6.3172413793103468</c:v>
                </c:pt>
                <c:pt idx="88">
                  <c:v>-5.8125000000000009</c:v>
                </c:pt>
                <c:pt idx="89">
                  <c:v>-5.7898876404494386</c:v>
                </c:pt>
                <c:pt idx="90">
                  <c:v>-6.19</c:v>
                </c:pt>
                <c:pt idx="91">
                  <c:v>-6.4109890109890104</c:v>
                </c:pt>
                <c:pt idx="92">
                  <c:v>-6.3934782608695642</c:v>
                </c:pt>
                <c:pt idx="93">
                  <c:v>-6.7505376344086017</c:v>
                </c:pt>
                <c:pt idx="94">
                  <c:v>-6.5776595744680844</c:v>
                </c:pt>
                <c:pt idx="95">
                  <c:v>-6.3073684210526313</c:v>
                </c:pt>
                <c:pt idx="96">
                  <c:v>-6.5749999999999993</c:v>
                </c:pt>
                <c:pt idx="97">
                  <c:v>-6.9432989690721634</c:v>
                </c:pt>
                <c:pt idx="98">
                  <c:v>-7.1499999999999995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862563826403466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りくと2!$A$3:$A$101</c:f>
              <c:numCache>
                <c:formatCode>0\ "回"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りくと2!$D$3:$D$101</c:f>
              <c:numCache>
                <c:formatCode>0.00\ "位"</c:formatCode>
                <c:ptCount val="99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2.375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2.4285714285714284</c:v>
                </c:pt>
                <c:pt idx="15">
                  <c:v>2.4666666666666668</c:v>
                </c:pt>
                <c:pt idx="16">
                  <c:v>2.4375</c:v>
                </c:pt>
                <c:pt idx="17">
                  <c:v>2.4705882352941178</c:v>
                </c:pt>
                <c:pt idx="18">
                  <c:v>2.4444444444444446</c:v>
                </c:pt>
                <c:pt idx="19">
                  <c:v>2.3684210526315788</c:v>
                </c:pt>
                <c:pt idx="20">
                  <c:v>2.2999999999999998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2.25</c:v>
                </c:pt>
                <c:pt idx="25">
                  <c:v>2.2799999999999998</c:v>
                </c:pt>
                <c:pt idx="26">
                  <c:v>2.2692307692307692</c:v>
                </c:pt>
                <c:pt idx="27">
                  <c:v>2.2222222222222223</c:v>
                </c:pt>
                <c:pt idx="28">
                  <c:v>2.2142857142857144</c:v>
                </c:pt>
                <c:pt idx="29">
                  <c:v>2.1724137931034484</c:v>
                </c:pt>
                <c:pt idx="30">
                  <c:v>2.2000000000000002</c:v>
                </c:pt>
                <c:pt idx="31">
                  <c:v>2.225806451612903</c:v>
                </c:pt>
                <c:pt idx="32">
                  <c:v>2.25</c:v>
                </c:pt>
                <c:pt idx="33">
                  <c:v>2.2727272727272729</c:v>
                </c:pt>
                <c:pt idx="34">
                  <c:v>2.2352941176470589</c:v>
                </c:pt>
                <c:pt idx="35">
                  <c:v>2.2571428571428571</c:v>
                </c:pt>
                <c:pt idx="36">
                  <c:v>2.2222222222222223</c:v>
                </c:pt>
                <c:pt idx="37">
                  <c:v>2.2162162162162162</c:v>
                </c:pt>
                <c:pt idx="38">
                  <c:v>2.2105263157894739</c:v>
                </c:pt>
                <c:pt idx="39">
                  <c:v>2.1794871794871793</c:v>
                </c:pt>
                <c:pt idx="40">
                  <c:v>2.2000000000000002</c:v>
                </c:pt>
                <c:pt idx="41">
                  <c:v>2.1951219512195124</c:v>
                </c:pt>
                <c:pt idx="42">
                  <c:v>2.1904761904761907</c:v>
                </c:pt>
                <c:pt idx="43">
                  <c:v>2.2093023255813953</c:v>
                </c:pt>
                <c:pt idx="44">
                  <c:v>2.2272727272727271</c:v>
                </c:pt>
                <c:pt idx="45">
                  <c:v>2.2444444444444445</c:v>
                </c:pt>
                <c:pt idx="46">
                  <c:v>2.2391304347826089</c:v>
                </c:pt>
                <c:pt idx="47">
                  <c:v>2.2340425531914891</c:v>
                </c:pt>
                <c:pt idx="48">
                  <c:v>2.2291666666666665</c:v>
                </c:pt>
                <c:pt idx="49">
                  <c:v>2.2448979591836733</c:v>
                </c:pt>
                <c:pt idx="50">
                  <c:v>2.2400000000000002</c:v>
                </c:pt>
                <c:pt idx="51">
                  <c:v>2.2352941176470589</c:v>
                </c:pt>
                <c:pt idx="52">
                  <c:v>2.2307692307692308</c:v>
                </c:pt>
                <c:pt idx="53">
                  <c:v>2.2075471698113209</c:v>
                </c:pt>
                <c:pt idx="54">
                  <c:v>2.2222222222222223</c:v>
                </c:pt>
                <c:pt idx="55">
                  <c:v>2.2000000000000002</c:v>
                </c:pt>
                <c:pt idx="56">
                  <c:v>2.1964285714285716</c:v>
                </c:pt>
                <c:pt idx="57">
                  <c:v>2.1754385964912282</c:v>
                </c:pt>
                <c:pt idx="58">
                  <c:v>2.1724137931034484</c:v>
                </c:pt>
                <c:pt idx="59">
                  <c:v>2.1864406779661016</c:v>
                </c:pt>
                <c:pt idx="60">
                  <c:v>2.2000000000000002</c:v>
                </c:pt>
                <c:pt idx="61">
                  <c:v>2.1967213114754101</c:v>
                </c:pt>
                <c:pt idx="62">
                  <c:v>2.2096774193548385</c:v>
                </c:pt>
                <c:pt idx="63">
                  <c:v>2.1904761904761907</c:v>
                </c:pt>
                <c:pt idx="64">
                  <c:v>2.171875</c:v>
                </c:pt>
                <c:pt idx="65">
                  <c:v>2.1846153846153844</c:v>
                </c:pt>
                <c:pt idx="66">
                  <c:v>2.1666666666666665</c:v>
                </c:pt>
                <c:pt idx="67">
                  <c:v>2.1791044776119404</c:v>
                </c:pt>
                <c:pt idx="68">
                  <c:v>2.1764705882352939</c:v>
                </c:pt>
                <c:pt idx="69">
                  <c:v>2.1739130434782608</c:v>
                </c:pt>
                <c:pt idx="70">
                  <c:v>2.157142857142857</c:v>
                </c:pt>
                <c:pt idx="71">
                  <c:v>2.1690140845070425</c:v>
                </c:pt>
                <c:pt idx="72">
                  <c:v>2.1805555555555554</c:v>
                </c:pt>
                <c:pt idx="73">
                  <c:v>2.1780821917808217</c:v>
                </c:pt>
                <c:pt idx="74">
                  <c:v>2.1756756756756759</c:v>
                </c:pt>
                <c:pt idx="75">
                  <c:v>2.1733333333333333</c:v>
                </c:pt>
                <c:pt idx="76">
                  <c:v>2.1710526315789473</c:v>
                </c:pt>
                <c:pt idx="77">
                  <c:v>2.1558441558441559</c:v>
                </c:pt>
                <c:pt idx="78">
                  <c:v>2.1538461538461537</c:v>
                </c:pt>
                <c:pt idx="79">
                  <c:v>2.1645569620253164</c:v>
                </c:pt>
                <c:pt idx="80">
                  <c:v>2.1625000000000001</c:v>
                </c:pt>
                <c:pt idx="81">
                  <c:v>2.1728395061728394</c:v>
                </c:pt>
                <c:pt idx="82">
                  <c:v>2.1829268292682928</c:v>
                </c:pt>
                <c:pt idx="83">
                  <c:v>2.1686746987951806</c:v>
                </c:pt>
                <c:pt idx="84">
                  <c:v>2.1666666666666665</c:v>
                </c:pt>
                <c:pt idx="85">
                  <c:v>2.1529411764705881</c:v>
                </c:pt>
                <c:pt idx="86">
                  <c:v>2.1511627906976742</c:v>
                </c:pt>
                <c:pt idx="87">
                  <c:v>2.1609195402298851</c:v>
                </c:pt>
                <c:pt idx="88">
                  <c:v>2.1477272727272729</c:v>
                </c:pt>
                <c:pt idx="89">
                  <c:v>2.1460674157303372</c:v>
                </c:pt>
                <c:pt idx="90">
                  <c:v>2.1555555555555554</c:v>
                </c:pt>
                <c:pt idx="91">
                  <c:v>2.1648351648351647</c:v>
                </c:pt>
                <c:pt idx="92">
                  <c:v>2.1630434782608696</c:v>
                </c:pt>
                <c:pt idx="93">
                  <c:v>2.172043010752688</c:v>
                </c:pt>
                <c:pt idx="94">
                  <c:v>2.1702127659574466</c:v>
                </c:pt>
                <c:pt idx="95">
                  <c:v>2.1578947368421053</c:v>
                </c:pt>
                <c:pt idx="96">
                  <c:v>2.1666666666666665</c:v>
                </c:pt>
                <c:pt idx="97">
                  <c:v>2.1752577319587627</c:v>
                </c:pt>
                <c:pt idx="98">
                  <c:v>2.1836734693877551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りくと2!$A$3:$A$101</c:f>
              <c:numCache>
                <c:formatCode>0\ "回"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りくと2!$E$3:$E$101</c:f>
              <c:numCache>
                <c:formatCode>0.0%</c:formatCode>
                <c:ptCount val="9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0.23076923076923078</c:v>
                </c:pt>
                <c:pt idx="40">
                  <c:v>0.22500000000000001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0.20689655172413793</c:v>
                </c:pt>
                <c:pt idx="59">
                  <c:v>0.20338983050847459</c:v>
                </c:pt>
                <c:pt idx="60">
                  <c:v>0.2</c:v>
                </c:pt>
                <c:pt idx="61">
                  <c:v>0.19672131147540983</c:v>
                </c:pt>
                <c:pt idx="62">
                  <c:v>0.19354838709677419</c:v>
                </c:pt>
                <c:pt idx="63">
                  <c:v>0.20634920634920634</c:v>
                </c:pt>
                <c:pt idx="64">
                  <c:v>0.21875</c:v>
                </c:pt>
                <c:pt idx="65">
                  <c:v>0.2153846153846154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0.22857142857142856</c:v>
                </c:pt>
                <c:pt idx="71">
                  <c:v>0.22535211267605634</c:v>
                </c:pt>
                <c:pt idx="72">
                  <c:v>0.22222222222222221</c:v>
                </c:pt>
                <c:pt idx="73">
                  <c:v>0.21917808219178081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0.22077922077922077</c:v>
                </c:pt>
                <c:pt idx="78">
                  <c:v>0.21794871794871795</c:v>
                </c:pt>
                <c:pt idx="79">
                  <c:v>0.21518987341772153</c:v>
                </c:pt>
                <c:pt idx="80">
                  <c:v>0.21249999999999999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0.21686746987951808</c:v>
                </c:pt>
                <c:pt idx="84">
                  <c:v>0.21428571428571427</c:v>
                </c:pt>
                <c:pt idx="85">
                  <c:v>0.22352941176470589</c:v>
                </c:pt>
                <c:pt idx="86">
                  <c:v>0.22093023255813954</c:v>
                </c:pt>
                <c:pt idx="87">
                  <c:v>0.21839080459770116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0.22222222222222221</c:v>
                </c:pt>
                <c:pt idx="91">
                  <c:v>0.21978021978021978</c:v>
                </c:pt>
                <c:pt idx="92">
                  <c:v>0.21739130434782608</c:v>
                </c:pt>
                <c:pt idx="93">
                  <c:v>0.21505376344086022</c:v>
                </c:pt>
                <c:pt idx="94">
                  <c:v>0.21276595744680851</c:v>
                </c:pt>
                <c:pt idx="95">
                  <c:v>0.22105263157894736</c:v>
                </c:pt>
                <c:pt idx="96">
                  <c:v>0.21875</c:v>
                </c:pt>
                <c:pt idx="97">
                  <c:v>0.21649484536082475</c:v>
                </c:pt>
                <c:pt idx="98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りくと2!$A$3:$A$101</c:f>
              <c:numCache>
                <c:formatCode>0\ "回"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りくと2!$F$3:$F$101</c:f>
              <c:numCache>
                <c:formatCode>0.0%</c:formatCode>
                <c:ptCount val="9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0.53333333333333333</c:v>
                </c:pt>
                <c:pt idx="16">
                  <c:v>0.5</c:v>
                </c:pt>
                <c:pt idx="17">
                  <c:v>0.52941176470588236</c:v>
                </c:pt>
                <c:pt idx="18">
                  <c:v>0.5</c:v>
                </c:pt>
                <c:pt idx="19">
                  <c:v>0.47368421052631576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0.4</c:v>
                </c:pt>
                <c:pt idx="31">
                  <c:v>0.41935483870967744</c:v>
                </c:pt>
                <c:pt idx="32">
                  <c:v>0.4375</c:v>
                </c:pt>
                <c:pt idx="33">
                  <c:v>0.45454545454545453</c:v>
                </c:pt>
                <c:pt idx="34">
                  <c:v>0.44117647058823528</c:v>
                </c:pt>
                <c:pt idx="35">
                  <c:v>0.45714285714285713</c:v>
                </c:pt>
                <c:pt idx="36">
                  <c:v>0.44444444444444442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0.42499999999999999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0.41860465116279072</c:v>
                </c:pt>
                <c:pt idx="44">
                  <c:v>0.43181818181818182</c:v>
                </c:pt>
                <c:pt idx="45">
                  <c:v>0.44444444444444442</c:v>
                </c:pt>
                <c:pt idx="46">
                  <c:v>0.43478260869565216</c:v>
                </c:pt>
                <c:pt idx="47">
                  <c:v>0.42553191489361702</c:v>
                </c:pt>
                <c:pt idx="48">
                  <c:v>0.41666666666666669</c:v>
                </c:pt>
                <c:pt idx="49">
                  <c:v>0.42857142857142855</c:v>
                </c:pt>
                <c:pt idx="50">
                  <c:v>0.42</c:v>
                </c:pt>
                <c:pt idx="51">
                  <c:v>0.41176470588235292</c:v>
                </c:pt>
                <c:pt idx="52">
                  <c:v>0.40384615384615385</c:v>
                </c:pt>
                <c:pt idx="53">
                  <c:v>0.39622641509433965</c:v>
                </c:pt>
                <c:pt idx="54">
                  <c:v>0.40740740740740738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0.38596491228070173</c:v>
                </c:pt>
                <c:pt idx="58">
                  <c:v>0.37931034482758619</c:v>
                </c:pt>
                <c:pt idx="59">
                  <c:v>0.38983050847457629</c:v>
                </c:pt>
                <c:pt idx="60">
                  <c:v>0.4</c:v>
                </c:pt>
                <c:pt idx="61">
                  <c:v>0.39344262295081966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0.390625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0.40298507462686567</c:v>
                </c:pt>
                <c:pt idx="68">
                  <c:v>0.39705882352941174</c:v>
                </c:pt>
                <c:pt idx="69">
                  <c:v>0.39130434782608697</c:v>
                </c:pt>
                <c:pt idx="70">
                  <c:v>0.38571428571428573</c:v>
                </c:pt>
                <c:pt idx="71">
                  <c:v>0.39436619718309857</c:v>
                </c:pt>
                <c:pt idx="72">
                  <c:v>0.40277777777777779</c:v>
                </c:pt>
                <c:pt idx="73">
                  <c:v>0.39726027397260272</c:v>
                </c:pt>
                <c:pt idx="74">
                  <c:v>0.39189189189189189</c:v>
                </c:pt>
                <c:pt idx="75">
                  <c:v>0.38666666666666666</c:v>
                </c:pt>
                <c:pt idx="76">
                  <c:v>0.38157894736842107</c:v>
                </c:pt>
                <c:pt idx="77">
                  <c:v>0.37662337662337664</c:v>
                </c:pt>
                <c:pt idx="78">
                  <c:v>0.37179487179487181</c:v>
                </c:pt>
                <c:pt idx="79">
                  <c:v>0.379746835443038</c:v>
                </c:pt>
                <c:pt idx="80">
                  <c:v>0.375</c:v>
                </c:pt>
                <c:pt idx="81">
                  <c:v>0.38271604938271603</c:v>
                </c:pt>
                <c:pt idx="82">
                  <c:v>0.3902439024390244</c:v>
                </c:pt>
                <c:pt idx="83">
                  <c:v>0.38554216867469882</c:v>
                </c:pt>
                <c:pt idx="84">
                  <c:v>0.38095238095238093</c:v>
                </c:pt>
                <c:pt idx="85">
                  <c:v>0.37647058823529411</c:v>
                </c:pt>
                <c:pt idx="86">
                  <c:v>0.37209302325581395</c:v>
                </c:pt>
                <c:pt idx="87">
                  <c:v>0.37931034482758619</c:v>
                </c:pt>
                <c:pt idx="88">
                  <c:v>0.375</c:v>
                </c:pt>
                <c:pt idx="89">
                  <c:v>0.3707865168539326</c:v>
                </c:pt>
                <c:pt idx="90">
                  <c:v>0.37777777777777777</c:v>
                </c:pt>
                <c:pt idx="91">
                  <c:v>0.38461538461538464</c:v>
                </c:pt>
                <c:pt idx="92">
                  <c:v>0.38043478260869568</c:v>
                </c:pt>
                <c:pt idx="93">
                  <c:v>0.38709677419354838</c:v>
                </c:pt>
                <c:pt idx="94">
                  <c:v>0.38297872340425532</c:v>
                </c:pt>
                <c:pt idx="95">
                  <c:v>0.37894736842105264</c:v>
                </c:pt>
                <c:pt idx="96">
                  <c:v>0.38541666666666669</c:v>
                </c:pt>
                <c:pt idx="97">
                  <c:v>0.39175257731958762</c:v>
                </c:pt>
                <c:pt idx="98">
                  <c:v>0.39795918367346939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りくと2!$A$3:$A$101</c:f>
              <c:numCache>
                <c:formatCode>0\ "回"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りくと2!$G$3:$G$101</c:f>
              <c:numCache>
                <c:formatCode>0.0%</c:formatCode>
                <c:ptCount val="99"/>
                <c:pt idx="1">
                  <c:v>9.0909090909090912E-2</c:v>
                </c:pt>
                <c:pt idx="2">
                  <c:v>0.21052631578947367</c:v>
                </c:pt>
                <c:pt idx="3">
                  <c:v>0.26666666666666666</c:v>
                </c:pt>
                <c:pt idx="4">
                  <c:v>0.28205128205128205</c:v>
                </c:pt>
                <c:pt idx="5">
                  <c:v>0.30612244897959184</c:v>
                </c:pt>
                <c:pt idx="6">
                  <c:v>0.2982456140350877</c:v>
                </c:pt>
                <c:pt idx="7">
                  <c:v>0.29850746268656714</c:v>
                </c:pt>
                <c:pt idx="8">
                  <c:v>0.26315789473684209</c:v>
                </c:pt>
                <c:pt idx="9">
                  <c:v>0.27058823529411763</c:v>
                </c:pt>
                <c:pt idx="10">
                  <c:v>0.23958333333333334</c:v>
                </c:pt>
                <c:pt idx="11">
                  <c:v>0.23</c:v>
                </c:pt>
                <c:pt idx="12">
                  <c:v>0.23636363636363636</c:v>
                </c:pt>
                <c:pt idx="13">
                  <c:v>0.23529411764705882</c:v>
                </c:pt>
                <c:pt idx="14">
                  <c:v>0.2421875</c:v>
                </c:pt>
                <c:pt idx="15">
                  <c:v>0.25362318840579712</c:v>
                </c:pt>
                <c:pt idx="16">
                  <c:v>0.26666666666666666</c:v>
                </c:pt>
                <c:pt idx="17">
                  <c:v>0.25477707006369427</c:v>
                </c:pt>
                <c:pt idx="18">
                  <c:v>0.26347305389221559</c:v>
                </c:pt>
                <c:pt idx="19">
                  <c:v>0.2768361581920904</c:v>
                </c:pt>
                <c:pt idx="20">
                  <c:v>0.28176795580110497</c:v>
                </c:pt>
                <c:pt idx="21">
                  <c:v>0.29411764705882354</c:v>
                </c:pt>
                <c:pt idx="22">
                  <c:v>0.28717948717948716</c:v>
                </c:pt>
                <c:pt idx="23">
                  <c:v>0.29207920792079206</c:v>
                </c:pt>
                <c:pt idx="24">
                  <c:v>0.29523809523809524</c:v>
                </c:pt>
                <c:pt idx="25">
                  <c:v>0.29357798165137616</c:v>
                </c:pt>
                <c:pt idx="26">
                  <c:v>0.28444444444444444</c:v>
                </c:pt>
                <c:pt idx="27">
                  <c:v>0.28755364806866951</c:v>
                </c:pt>
                <c:pt idx="28">
                  <c:v>0.2863070539419087</c:v>
                </c:pt>
                <c:pt idx="29">
                  <c:v>0.28629032258064518</c:v>
                </c:pt>
                <c:pt idx="30">
                  <c:v>0.28515625</c:v>
                </c:pt>
                <c:pt idx="31">
                  <c:v>0.28464419475655428</c:v>
                </c:pt>
                <c:pt idx="32">
                  <c:v>0.28260869565217389</c:v>
                </c:pt>
                <c:pt idx="33">
                  <c:v>0.28521126760563381</c:v>
                </c:pt>
                <c:pt idx="34">
                  <c:v>0.28474576271186441</c:v>
                </c:pt>
                <c:pt idx="35">
                  <c:v>0.2814569536423841</c:v>
                </c:pt>
                <c:pt idx="36">
                  <c:v>0.28064516129032258</c:v>
                </c:pt>
                <c:pt idx="37">
                  <c:v>0.27936507936507937</c:v>
                </c:pt>
                <c:pt idx="38">
                  <c:v>0.28048780487804881</c:v>
                </c:pt>
                <c:pt idx="39">
                  <c:v>0.28106508875739644</c:v>
                </c:pt>
                <c:pt idx="40">
                  <c:v>0.2857142857142857</c:v>
                </c:pt>
                <c:pt idx="41">
                  <c:v>0.28491620111731841</c:v>
                </c:pt>
                <c:pt idx="42">
                  <c:v>0.28415300546448086</c:v>
                </c:pt>
                <c:pt idx="43">
                  <c:v>0.28000000000000003</c:v>
                </c:pt>
                <c:pt idx="44">
                  <c:v>0.27676240208877284</c:v>
                </c:pt>
                <c:pt idx="45">
                  <c:v>0.27763496143958871</c:v>
                </c:pt>
                <c:pt idx="46">
                  <c:v>0.27848101265822783</c:v>
                </c:pt>
                <c:pt idx="47">
                  <c:v>0.28179551122194513</c:v>
                </c:pt>
                <c:pt idx="48">
                  <c:v>0.28398058252427183</c:v>
                </c:pt>
                <c:pt idx="49">
                  <c:v>0.28199052132701424</c:v>
                </c:pt>
                <c:pt idx="50">
                  <c:v>0.28037383177570091</c:v>
                </c:pt>
                <c:pt idx="51">
                  <c:v>0.27816091954022987</c:v>
                </c:pt>
                <c:pt idx="52">
                  <c:v>0.27740492170022374</c:v>
                </c:pt>
                <c:pt idx="53">
                  <c:v>0.27912087912087913</c:v>
                </c:pt>
                <c:pt idx="54">
                  <c:v>0.27668845315904139</c:v>
                </c:pt>
                <c:pt idx="55">
                  <c:v>0.2817204301075269</c:v>
                </c:pt>
                <c:pt idx="56">
                  <c:v>0.28059071729957807</c:v>
                </c:pt>
                <c:pt idx="57">
                  <c:v>0.28333333333333333</c:v>
                </c:pt>
                <c:pt idx="58">
                  <c:v>0.2822085889570552</c:v>
                </c:pt>
                <c:pt idx="59">
                  <c:v>0.28225806451612906</c:v>
                </c:pt>
                <c:pt idx="60">
                  <c:v>0.2788844621513944</c:v>
                </c:pt>
                <c:pt idx="61">
                  <c:v>0.27906976744186046</c:v>
                </c:pt>
                <c:pt idx="62">
                  <c:v>0.2774566473988439</c:v>
                </c:pt>
                <c:pt idx="63">
                  <c:v>0.28030303030303028</c:v>
                </c:pt>
                <c:pt idx="64">
                  <c:v>0.28044280442804426</c:v>
                </c:pt>
                <c:pt idx="65">
                  <c:v>0.27767695099818512</c:v>
                </c:pt>
                <c:pt idx="66">
                  <c:v>0.28163992869875221</c:v>
                </c:pt>
                <c:pt idx="67">
                  <c:v>0.28097731239092494</c:v>
                </c:pt>
                <c:pt idx="68">
                  <c:v>0.2817391304347826</c:v>
                </c:pt>
                <c:pt idx="69">
                  <c:v>0.28006872852233677</c:v>
                </c:pt>
                <c:pt idx="70">
                  <c:v>0.2799325463743676</c:v>
                </c:pt>
                <c:pt idx="71">
                  <c:v>0.27860696517412936</c:v>
                </c:pt>
                <c:pt idx="72">
                  <c:v>0.27659574468085107</c:v>
                </c:pt>
                <c:pt idx="73">
                  <c:v>0.27741935483870966</c:v>
                </c:pt>
                <c:pt idx="74">
                  <c:v>0.27892234548335976</c:v>
                </c:pt>
                <c:pt idx="75">
                  <c:v>0.27899686520376177</c:v>
                </c:pt>
                <c:pt idx="76">
                  <c:v>0.2806201550387597</c:v>
                </c:pt>
                <c:pt idx="77">
                  <c:v>0.28134556574923547</c:v>
                </c:pt>
                <c:pt idx="78">
                  <c:v>0.28120300751879701</c:v>
                </c:pt>
                <c:pt idx="79">
                  <c:v>0.28125</c:v>
                </c:pt>
                <c:pt idx="80">
                  <c:v>0.28046989720998533</c:v>
                </c:pt>
                <c:pt idx="81">
                  <c:v>0.28075253256150506</c:v>
                </c:pt>
                <c:pt idx="82">
                  <c:v>0.27936962750716332</c:v>
                </c:pt>
                <c:pt idx="83">
                  <c:v>0.28125</c:v>
                </c:pt>
                <c:pt idx="84">
                  <c:v>0.2808988764044944</c:v>
                </c:pt>
                <c:pt idx="85">
                  <c:v>0.28294036061026351</c:v>
                </c:pt>
                <c:pt idx="86">
                  <c:v>0.28335625859697389</c:v>
                </c:pt>
                <c:pt idx="87">
                  <c:v>0.28146143437077131</c:v>
                </c:pt>
                <c:pt idx="88">
                  <c:v>0.28170894526034712</c:v>
                </c:pt>
                <c:pt idx="89">
                  <c:v>0.28042328042328041</c:v>
                </c:pt>
                <c:pt idx="90">
                  <c:v>0.27785058977719529</c:v>
                </c:pt>
                <c:pt idx="91">
                  <c:v>0.27590673575129532</c:v>
                </c:pt>
                <c:pt idx="92">
                  <c:v>0.27493606138107418</c:v>
                </c:pt>
                <c:pt idx="93">
                  <c:v>0.27386934673366836</c:v>
                </c:pt>
                <c:pt idx="94">
                  <c:v>0.27340823970037453</c:v>
                </c:pt>
                <c:pt idx="95">
                  <c:v>0.27306273062730629</c:v>
                </c:pt>
                <c:pt idx="96">
                  <c:v>0.27106227106227104</c:v>
                </c:pt>
                <c:pt idx="97">
                  <c:v>0.27085852478839179</c:v>
                </c:pt>
                <c:pt idx="98">
                  <c:v>0.26959619952494063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836420969649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りくと2!$A$3:$A$101</c:f>
              <c:numCache>
                <c:formatCode>0\ "回"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りくと2!$H$3:$H$101</c:f>
              <c:numCache>
                <c:formatCode>0.0%</c:formatCode>
                <c:ptCount val="99"/>
                <c:pt idx="1">
                  <c:v>0.18181818181818182</c:v>
                </c:pt>
                <c:pt idx="2">
                  <c:v>0.15789473684210525</c:v>
                </c:pt>
                <c:pt idx="3">
                  <c:v>0.2</c:v>
                </c:pt>
                <c:pt idx="4">
                  <c:v>0.20512820512820512</c:v>
                </c:pt>
                <c:pt idx="5">
                  <c:v>0.22448979591836735</c:v>
                </c:pt>
                <c:pt idx="6">
                  <c:v>0.22807017543859648</c:v>
                </c:pt>
                <c:pt idx="7">
                  <c:v>0.20895522388059701</c:v>
                </c:pt>
                <c:pt idx="8">
                  <c:v>0.21052631578947367</c:v>
                </c:pt>
                <c:pt idx="9">
                  <c:v>0.21176470588235294</c:v>
                </c:pt>
                <c:pt idx="10">
                  <c:v>0.22916666666666666</c:v>
                </c:pt>
                <c:pt idx="11">
                  <c:v>0.25</c:v>
                </c:pt>
                <c:pt idx="12">
                  <c:v>0.23636363636363636</c:v>
                </c:pt>
                <c:pt idx="13">
                  <c:v>0.24369747899159663</c:v>
                </c:pt>
                <c:pt idx="14">
                  <c:v>0.25</c:v>
                </c:pt>
                <c:pt idx="15">
                  <c:v>0.24637681159420291</c:v>
                </c:pt>
                <c:pt idx="16">
                  <c:v>0.23333333333333334</c:v>
                </c:pt>
                <c:pt idx="17">
                  <c:v>0.24203821656050956</c:v>
                </c:pt>
                <c:pt idx="18">
                  <c:v>0.22754491017964071</c:v>
                </c:pt>
                <c:pt idx="19">
                  <c:v>0.22033898305084745</c:v>
                </c:pt>
                <c:pt idx="20">
                  <c:v>0.21546961325966851</c:v>
                </c:pt>
                <c:pt idx="21">
                  <c:v>0.21390374331550802</c:v>
                </c:pt>
                <c:pt idx="22">
                  <c:v>0.21025641025641026</c:v>
                </c:pt>
                <c:pt idx="23">
                  <c:v>0.20297029702970298</c:v>
                </c:pt>
                <c:pt idx="24">
                  <c:v>0.19523809523809524</c:v>
                </c:pt>
                <c:pt idx="25">
                  <c:v>0.20183486238532111</c:v>
                </c:pt>
                <c:pt idx="26">
                  <c:v>0.19555555555555557</c:v>
                </c:pt>
                <c:pt idx="27">
                  <c:v>0.19313304721030042</c:v>
                </c:pt>
                <c:pt idx="28">
                  <c:v>0.1908713692946058</c:v>
                </c:pt>
                <c:pt idx="29">
                  <c:v>0.18951612903225806</c:v>
                </c:pt>
                <c:pt idx="30">
                  <c:v>0.19140625</c:v>
                </c:pt>
                <c:pt idx="31">
                  <c:v>0.19850187265917604</c:v>
                </c:pt>
                <c:pt idx="32">
                  <c:v>0.19565217391304349</c:v>
                </c:pt>
                <c:pt idx="33">
                  <c:v>0.19366197183098591</c:v>
                </c:pt>
                <c:pt idx="34">
                  <c:v>0.19661016949152543</c:v>
                </c:pt>
                <c:pt idx="35">
                  <c:v>0.19536423841059603</c:v>
                </c:pt>
                <c:pt idx="36">
                  <c:v>0.20322580645161289</c:v>
                </c:pt>
                <c:pt idx="37">
                  <c:v>0.2</c:v>
                </c:pt>
                <c:pt idx="38">
                  <c:v>0.19817073170731708</c:v>
                </c:pt>
                <c:pt idx="39">
                  <c:v>0.19526627218934911</c:v>
                </c:pt>
                <c:pt idx="40">
                  <c:v>0.19714285714285715</c:v>
                </c:pt>
                <c:pt idx="41">
                  <c:v>0.19553072625698323</c:v>
                </c:pt>
                <c:pt idx="42">
                  <c:v>0.19672131147540983</c:v>
                </c:pt>
                <c:pt idx="43">
                  <c:v>0.19733333333333333</c:v>
                </c:pt>
                <c:pt idx="44">
                  <c:v>0.20104438642297651</c:v>
                </c:pt>
                <c:pt idx="45">
                  <c:v>0.20308483290488433</c:v>
                </c:pt>
                <c:pt idx="46">
                  <c:v>0.20506329113924052</c:v>
                </c:pt>
                <c:pt idx="47">
                  <c:v>0.20448877805486285</c:v>
                </c:pt>
                <c:pt idx="48">
                  <c:v>0.20631067961165048</c:v>
                </c:pt>
                <c:pt idx="49">
                  <c:v>0.20853080568720378</c:v>
                </c:pt>
                <c:pt idx="50">
                  <c:v>0.20794392523364486</c:v>
                </c:pt>
                <c:pt idx="51">
                  <c:v>0.2045977011494253</c:v>
                </c:pt>
                <c:pt idx="52">
                  <c:v>0.20805369127516779</c:v>
                </c:pt>
                <c:pt idx="53">
                  <c:v>0.20659340659340658</c:v>
                </c:pt>
                <c:pt idx="54">
                  <c:v>0.20915032679738563</c:v>
                </c:pt>
                <c:pt idx="55">
                  <c:v>0.20645161290322581</c:v>
                </c:pt>
                <c:pt idx="56">
                  <c:v>0.20886075949367089</c:v>
                </c:pt>
                <c:pt idx="57">
                  <c:v>0.20833333333333334</c:v>
                </c:pt>
                <c:pt idx="58">
                  <c:v>0.20654396728016361</c:v>
                </c:pt>
                <c:pt idx="59">
                  <c:v>0.20766129032258066</c:v>
                </c:pt>
                <c:pt idx="60">
                  <c:v>0.21115537848605578</c:v>
                </c:pt>
                <c:pt idx="61">
                  <c:v>0.21124031007751937</c:v>
                </c:pt>
                <c:pt idx="62">
                  <c:v>0.2119460500963391</c:v>
                </c:pt>
                <c:pt idx="63">
                  <c:v>0.20833333333333334</c:v>
                </c:pt>
                <c:pt idx="64">
                  <c:v>0.20664206642066421</c:v>
                </c:pt>
                <c:pt idx="65">
                  <c:v>0.20689655172413793</c:v>
                </c:pt>
                <c:pt idx="66">
                  <c:v>0.20320855614973263</c:v>
                </c:pt>
                <c:pt idx="67">
                  <c:v>0.20418848167539266</c:v>
                </c:pt>
                <c:pt idx="68">
                  <c:v>0.20347826086956522</c:v>
                </c:pt>
                <c:pt idx="69">
                  <c:v>0.20103092783505155</c:v>
                </c:pt>
                <c:pt idx="70">
                  <c:v>0.20067453625632378</c:v>
                </c:pt>
                <c:pt idx="71">
                  <c:v>0.20232172470978441</c:v>
                </c:pt>
                <c:pt idx="72">
                  <c:v>0.20294599018003273</c:v>
                </c:pt>
                <c:pt idx="73">
                  <c:v>0.20161290322580644</c:v>
                </c:pt>
                <c:pt idx="74">
                  <c:v>0.19968304278922344</c:v>
                </c:pt>
                <c:pt idx="75">
                  <c:v>0.19749216300940439</c:v>
                </c:pt>
                <c:pt idx="76">
                  <c:v>0.19689922480620156</c:v>
                </c:pt>
                <c:pt idx="77">
                  <c:v>0.19571865443425077</c:v>
                </c:pt>
                <c:pt idx="78">
                  <c:v>0.19398496240601504</c:v>
                </c:pt>
                <c:pt idx="79">
                  <c:v>0.19196428571428573</c:v>
                </c:pt>
                <c:pt idx="80">
                  <c:v>0.1894273127753304</c:v>
                </c:pt>
                <c:pt idx="81">
                  <c:v>0.19102749638205499</c:v>
                </c:pt>
                <c:pt idx="82">
                  <c:v>0.19054441260744986</c:v>
                </c:pt>
                <c:pt idx="83">
                  <c:v>0.19034090909090909</c:v>
                </c:pt>
                <c:pt idx="84">
                  <c:v>0.19101123595505617</c:v>
                </c:pt>
                <c:pt idx="85">
                  <c:v>0.19001386962552011</c:v>
                </c:pt>
                <c:pt idx="86">
                  <c:v>0.18844566712517194</c:v>
                </c:pt>
                <c:pt idx="87">
                  <c:v>0.18809201623815969</c:v>
                </c:pt>
                <c:pt idx="88">
                  <c:v>0.1855807743658211</c:v>
                </c:pt>
                <c:pt idx="89">
                  <c:v>0.18518518518518517</c:v>
                </c:pt>
                <c:pt idx="90">
                  <c:v>0.18479685452162517</c:v>
                </c:pt>
                <c:pt idx="91">
                  <c:v>0.18393782383419688</c:v>
                </c:pt>
                <c:pt idx="92">
                  <c:v>0.1815856777493606</c:v>
                </c:pt>
                <c:pt idx="93">
                  <c:v>0.18216080402010051</c:v>
                </c:pt>
                <c:pt idx="94">
                  <c:v>0.18102372034956304</c:v>
                </c:pt>
                <c:pt idx="95">
                  <c:v>0.17958179581795819</c:v>
                </c:pt>
                <c:pt idx="96">
                  <c:v>0.1807081807081807</c:v>
                </c:pt>
                <c:pt idx="97">
                  <c:v>0.18016928657799275</c:v>
                </c:pt>
                <c:pt idx="98">
                  <c:v>0.18171021377672208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0826435422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りくと2!$A$3:$A$101</c:f>
              <c:numCache>
                <c:formatCode>0\ "回"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りくと2!$I$3:$I$101</c:f>
              <c:numCache>
                <c:formatCode>0</c:formatCode>
                <c:ptCount val="99"/>
                <c:pt idx="1">
                  <c:v>2100</c:v>
                </c:pt>
                <c:pt idx="2">
                  <c:v>4750</c:v>
                </c:pt>
                <c:pt idx="3">
                  <c:v>5262.5</c:v>
                </c:pt>
                <c:pt idx="4">
                  <c:v>5290.909090909091</c:v>
                </c:pt>
                <c:pt idx="5">
                  <c:v>6226.666666666667</c:v>
                </c:pt>
                <c:pt idx="6">
                  <c:v>6670.588235294118</c:v>
                </c:pt>
                <c:pt idx="7">
                  <c:v>7750</c:v>
                </c:pt>
                <c:pt idx="8">
                  <c:v>7750</c:v>
                </c:pt>
                <c:pt idx="9">
                  <c:v>7686.95652173913</c:v>
                </c:pt>
                <c:pt idx="10">
                  <c:v>7686.95652173913</c:v>
                </c:pt>
                <c:pt idx="11">
                  <c:v>7686.95652173913</c:v>
                </c:pt>
                <c:pt idx="12">
                  <c:v>7769.2307692307695</c:v>
                </c:pt>
                <c:pt idx="13">
                  <c:v>7928.5714285714284</c:v>
                </c:pt>
                <c:pt idx="14">
                  <c:v>8000</c:v>
                </c:pt>
                <c:pt idx="15">
                  <c:v>7902.8571428571431</c:v>
                </c:pt>
                <c:pt idx="16">
                  <c:v>7385</c:v>
                </c:pt>
                <c:pt idx="17">
                  <c:v>7385</c:v>
                </c:pt>
                <c:pt idx="18">
                  <c:v>7393.181818181818</c:v>
                </c:pt>
                <c:pt idx="19">
                  <c:v>7220.408163265306</c:v>
                </c:pt>
                <c:pt idx="20">
                  <c:v>7464.7058823529414</c:v>
                </c:pt>
                <c:pt idx="21">
                  <c:v>7780</c:v>
                </c:pt>
                <c:pt idx="22">
                  <c:v>7778.5714285714284</c:v>
                </c:pt>
                <c:pt idx="23">
                  <c:v>7488.1355932203387</c:v>
                </c:pt>
                <c:pt idx="24">
                  <c:v>7233.8709677419356</c:v>
                </c:pt>
                <c:pt idx="25">
                  <c:v>7193.75</c:v>
                </c:pt>
                <c:pt idx="26">
                  <c:v>7193.75</c:v>
                </c:pt>
                <c:pt idx="27">
                  <c:v>7349.253731343284</c:v>
                </c:pt>
                <c:pt idx="28">
                  <c:v>7308.695652173913</c:v>
                </c:pt>
                <c:pt idx="29">
                  <c:v>7497.1830985915494</c:v>
                </c:pt>
                <c:pt idx="30">
                  <c:v>7424.6575342465758</c:v>
                </c:pt>
                <c:pt idx="31">
                  <c:v>7410.5263157894733</c:v>
                </c:pt>
                <c:pt idx="32">
                  <c:v>7312.8205128205127</c:v>
                </c:pt>
                <c:pt idx="33">
                  <c:v>7334.5679012345681</c:v>
                </c:pt>
                <c:pt idx="34">
                  <c:v>7525</c:v>
                </c:pt>
                <c:pt idx="35">
                  <c:v>7483.5294117647063</c:v>
                </c:pt>
                <c:pt idx="36">
                  <c:v>7537.9310344827591</c:v>
                </c:pt>
                <c:pt idx="37">
                  <c:v>7539.772727272727</c:v>
                </c:pt>
                <c:pt idx="38">
                  <c:v>7594.565217391304</c:v>
                </c:pt>
                <c:pt idx="39">
                  <c:v>7648.4210526315792</c:v>
                </c:pt>
                <c:pt idx="40">
                  <c:v>7463</c:v>
                </c:pt>
                <c:pt idx="41">
                  <c:v>7524.5098039215691</c:v>
                </c:pt>
                <c:pt idx="42">
                  <c:v>7549.0384615384619</c:v>
                </c:pt>
                <c:pt idx="43">
                  <c:v>7648.5714285714284</c:v>
                </c:pt>
                <c:pt idx="44">
                  <c:v>7689.6226415094343</c:v>
                </c:pt>
                <c:pt idx="45">
                  <c:v>7639.8148148148148</c:v>
                </c:pt>
                <c:pt idx="46">
                  <c:v>7719.090909090909</c:v>
                </c:pt>
                <c:pt idx="47">
                  <c:v>7690.2654867256633</c:v>
                </c:pt>
                <c:pt idx="48">
                  <c:v>7707.6923076923076</c:v>
                </c:pt>
                <c:pt idx="49">
                  <c:v>7687.3949579831933</c:v>
                </c:pt>
                <c:pt idx="50">
                  <c:v>7723.333333333333</c:v>
                </c:pt>
                <c:pt idx="51">
                  <c:v>7680.9917355371899</c:v>
                </c:pt>
                <c:pt idx="52">
                  <c:v>7850</c:v>
                </c:pt>
                <c:pt idx="53">
                  <c:v>7898.4251968503941</c:v>
                </c:pt>
                <c:pt idx="54">
                  <c:v>7898.4251968503941</c:v>
                </c:pt>
                <c:pt idx="55">
                  <c:v>7971.7557251908393</c:v>
                </c:pt>
                <c:pt idx="56">
                  <c:v>8032.3308270676689</c:v>
                </c:pt>
                <c:pt idx="57">
                  <c:v>8029.411764705882</c:v>
                </c:pt>
                <c:pt idx="58">
                  <c:v>8039.130434782609</c:v>
                </c:pt>
                <c:pt idx="59">
                  <c:v>7988.5714285714284</c:v>
                </c:pt>
                <c:pt idx="60">
                  <c:v>7988.5714285714284</c:v>
                </c:pt>
                <c:pt idx="61">
                  <c:v>8055.5555555555557</c:v>
                </c:pt>
                <c:pt idx="62">
                  <c:v>8055.5555555555557</c:v>
                </c:pt>
                <c:pt idx="63">
                  <c:v>8081.0810810810808</c:v>
                </c:pt>
                <c:pt idx="64">
                  <c:v>8158.5526315789475</c:v>
                </c:pt>
                <c:pt idx="65">
                  <c:v>8139.2156862745096</c:v>
                </c:pt>
                <c:pt idx="66">
                  <c:v>8005.0632911392404</c:v>
                </c:pt>
                <c:pt idx="67">
                  <c:v>8029.1925465838513</c:v>
                </c:pt>
                <c:pt idx="68">
                  <c:v>7987.6543209876545</c:v>
                </c:pt>
                <c:pt idx="69">
                  <c:v>7962.5766871165642</c:v>
                </c:pt>
                <c:pt idx="70">
                  <c:v>8094.5783132530123</c:v>
                </c:pt>
                <c:pt idx="71">
                  <c:v>8067.8571428571431</c:v>
                </c:pt>
                <c:pt idx="72">
                  <c:v>8067.455621301775</c:v>
                </c:pt>
                <c:pt idx="73">
                  <c:v>8034.3023255813951</c:v>
                </c:pt>
                <c:pt idx="74">
                  <c:v>8047.727272727273</c:v>
                </c:pt>
                <c:pt idx="75">
                  <c:v>8001.6853932584272</c:v>
                </c:pt>
                <c:pt idx="76">
                  <c:v>7906.0773480662983</c:v>
                </c:pt>
                <c:pt idx="77">
                  <c:v>7863.04347826087</c:v>
                </c:pt>
                <c:pt idx="78">
                  <c:v>7845.454545454545</c:v>
                </c:pt>
                <c:pt idx="79">
                  <c:v>7810.0529100529102</c:v>
                </c:pt>
                <c:pt idx="80">
                  <c:v>7791.0994764397901</c:v>
                </c:pt>
                <c:pt idx="81">
                  <c:v>7787.1134020618556</c:v>
                </c:pt>
                <c:pt idx="82">
                  <c:v>7767.1794871794873</c:v>
                </c:pt>
                <c:pt idx="83">
                  <c:v>7712.6262626262624</c:v>
                </c:pt>
                <c:pt idx="84">
                  <c:v>7715.5</c:v>
                </c:pt>
                <c:pt idx="85">
                  <c:v>7675</c:v>
                </c:pt>
                <c:pt idx="86">
                  <c:v>7678.155339805825</c:v>
                </c:pt>
                <c:pt idx="87">
                  <c:v>7688.4615384615381</c:v>
                </c:pt>
                <c:pt idx="88">
                  <c:v>7709.9526066350709</c:v>
                </c:pt>
                <c:pt idx="89">
                  <c:v>7730.1886792452833</c:v>
                </c:pt>
                <c:pt idx="90">
                  <c:v>7730.1886792452833</c:v>
                </c:pt>
                <c:pt idx="91">
                  <c:v>7712.6760563380285</c:v>
                </c:pt>
                <c:pt idx="92">
                  <c:v>7733.9534883720926</c:v>
                </c:pt>
                <c:pt idx="93">
                  <c:v>7760.5504587155965</c:v>
                </c:pt>
                <c:pt idx="94">
                  <c:v>7834.7031963470317</c:v>
                </c:pt>
                <c:pt idx="95">
                  <c:v>7830.6306306306305</c:v>
                </c:pt>
                <c:pt idx="96">
                  <c:v>7830.6306306306305</c:v>
                </c:pt>
                <c:pt idx="97">
                  <c:v>7832.1428571428569</c:v>
                </c:pt>
                <c:pt idx="98">
                  <c:v>7816.7400881057265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79.76827094474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りくと2!$A$3:$A$101</c:f>
              <c:numCache>
                <c:formatCode>0\ "回"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りくと2!$J$3:$J$101</c:f>
              <c:numCache>
                <c:formatCode>0</c:formatCode>
                <c:ptCount val="99"/>
                <c:pt idx="1">
                  <c:v>-14900</c:v>
                </c:pt>
                <c:pt idx="2">
                  <c:v>-11233.333333333334</c:v>
                </c:pt>
                <c:pt idx="3">
                  <c:v>-7716.666666666667</c:v>
                </c:pt>
                <c:pt idx="4">
                  <c:v>-10275</c:v>
                </c:pt>
                <c:pt idx="5">
                  <c:v>-8127.272727272727</c:v>
                </c:pt>
                <c:pt idx="6">
                  <c:v>-8392.3076923076915</c:v>
                </c:pt>
                <c:pt idx="7">
                  <c:v>-8071.4285714285716</c:v>
                </c:pt>
                <c:pt idx="8">
                  <c:v>-7625</c:v>
                </c:pt>
                <c:pt idx="9">
                  <c:v>-7872.2222222222226</c:v>
                </c:pt>
                <c:pt idx="10">
                  <c:v>-7695.454545454545</c:v>
                </c:pt>
                <c:pt idx="11">
                  <c:v>-8256</c:v>
                </c:pt>
                <c:pt idx="12">
                  <c:v>-8015.3846153846152</c:v>
                </c:pt>
                <c:pt idx="13">
                  <c:v>-8551.7241379310344</c:v>
                </c:pt>
                <c:pt idx="14">
                  <c:v>-8203.125</c:v>
                </c:pt>
                <c:pt idx="15">
                  <c:v>-8285.2941176470595</c:v>
                </c:pt>
                <c:pt idx="16">
                  <c:v>-8214.2857142857138</c:v>
                </c:pt>
                <c:pt idx="17">
                  <c:v>-7931.5789473684208</c:v>
                </c:pt>
                <c:pt idx="18">
                  <c:v>-7931.5789473684208</c:v>
                </c:pt>
                <c:pt idx="19">
                  <c:v>-7933.333333333333</c:v>
                </c:pt>
                <c:pt idx="20">
                  <c:v>-7933.333333333333</c:v>
                </c:pt>
                <c:pt idx="21">
                  <c:v>-7832.5</c:v>
                </c:pt>
                <c:pt idx="22">
                  <c:v>-7934.1463414634145</c:v>
                </c:pt>
                <c:pt idx="23">
                  <c:v>-7934.1463414634145</c:v>
                </c:pt>
                <c:pt idx="24">
                  <c:v>-7934.1463414634145</c:v>
                </c:pt>
                <c:pt idx="25">
                  <c:v>-7665.909090909091</c:v>
                </c:pt>
                <c:pt idx="26">
                  <c:v>-7665.909090909091</c:v>
                </c:pt>
                <c:pt idx="27">
                  <c:v>-7762.2222222222226</c:v>
                </c:pt>
                <c:pt idx="28">
                  <c:v>-7678.260869565217</c:v>
                </c:pt>
                <c:pt idx="29">
                  <c:v>-7557.4468085106382</c:v>
                </c:pt>
                <c:pt idx="30">
                  <c:v>-7348.9795918367345</c:v>
                </c:pt>
                <c:pt idx="31">
                  <c:v>-7345.2830188679245</c:v>
                </c:pt>
                <c:pt idx="32">
                  <c:v>-7351.8518518518522</c:v>
                </c:pt>
                <c:pt idx="33">
                  <c:v>-7358.181818181818</c:v>
                </c:pt>
                <c:pt idx="34">
                  <c:v>-7244.8275862068967</c:v>
                </c:pt>
                <c:pt idx="35">
                  <c:v>-7257.6271186440681</c:v>
                </c:pt>
                <c:pt idx="36">
                  <c:v>-7063.4920634920636</c:v>
                </c:pt>
                <c:pt idx="37">
                  <c:v>-7063.4920634920636</c:v>
                </c:pt>
                <c:pt idx="38">
                  <c:v>-7004.6153846153848</c:v>
                </c:pt>
                <c:pt idx="39">
                  <c:v>-7019.69696969697</c:v>
                </c:pt>
                <c:pt idx="40">
                  <c:v>-7313.04347826087</c:v>
                </c:pt>
                <c:pt idx="41">
                  <c:v>-7322.8571428571431</c:v>
                </c:pt>
                <c:pt idx="42">
                  <c:v>-7341.666666666667</c:v>
                </c:pt>
                <c:pt idx="43">
                  <c:v>-7340.5405405405409</c:v>
                </c:pt>
                <c:pt idx="44">
                  <c:v>-7389.6103896103896</c:v>
                </c:pt>
                <c:pt idx="45">
                  <c:v>-7435.4430379746836</c:v>
                </c:pt>
                <c:pt idx="46">
                  <c:v>-7379.0123456790125</c:v>
                </c:pt>
                <c:pt idx="47">
                  <c:v>-7435.3658536585363</c:v>
                </c:pt>
                <c:pt idx="48">
                  <c:v>-7502.3529411764703</c:v>
                </c:pt>
                <c:pt idx="49">
                  <c:v>-7563.636363636364</c:v>
                </c:pt>
                <c:pt idx="50">
                  <c:v>-7507.8651685393261</c:v>
                </c:pt>
                <c:pt idx="51">
                  <c:v>-7507.8651685393261</c:v>
                </c:pt>
                <c:pt idx="52">
                  <c:v>-7535.4838709677415</c:v>
                </c:pt>
                <c:pt idx="53">
                  <c:v>-7540.4255319148933</c:v>
                </c:pt>
                <c:pt idx="54">
                  <c:v>-7651.041666666667</c:v>
                </c:pt>
                <c:pt idx="55">
                  <c:v>-7651.041666666667</c:v>
                </c:pt>
                <c:pt idx="56">
                  <c:v>-7584.848484848485</c:v>
                </c:pt>
                <c:pt idx="57">
                  <c:v>-7629</c:v>
                </c:pt>
                <c:pt idx="58">
                  <c:v>-7592.0792079207922</c:v>
                </c:pt>
                <c:pt idx="59">
                  <c:v>-7638.8349514563106</c:v>
                </c:pt>
                <c:pt idx="60">
                  <c:v>-7686.7924528301883</c:v>
                </c:pt>
                <c:pt idx="61">
                  <c:v>-7655.0458715596333</c:v>
                </c:pt>
                <c:pt idx="62">
                  <c:v>-7611.818181818182</c:v>
                </c:pt>
                <c:pt idx="63">
                  <c:v>-7611.818181818182</c:v>
                </c:pt>
                <c:pt idx="64">
                  <c:v>-7617.8571428571431</c:v>
                </c:pt>
                <c:pt idx="65">
                  <c:v>-7657.0175438596489</c:v>
                </c:pt>
                <c:pt idx="66">
                  <c:v>-7657.0175438596489</c:v>
                </c:pt>
                <c:pt idx="67">
                  <c:v>-7662.3931623931621</c:v>
                </c:pt>
                <c:pt idx="68">
                  <c:v>-7662.3931623931621</c:v>
                </c:pt>
                <c:pt idx="69">
                  <c:v>-7662.3931623931621</c:v>
                </c:pt>
                <c:pt idx="70">
                  <c:v>-7667.226890756303</c:v>
                </c:pt>
                <c:pt idx="71">
                  <c:v>-7622.1311475409839</c:v>
                </c:pt>
                <c:pt idx="72">
                  <c:v>-7592.7419354838712</c:v>
                </c:pt>
                <c:pt idx="73">
                  <c:v>-7544</c:v>
                </c:pt>
                <c:pt idx="74">
                  <c:v>-7576.1904761904761</c:v>
                </c:pt>
                <c:pt idx="75">
                  <c:v>-7576.1904761904761</c:v>
                </c:pt>
                <c:pt idx="76">
                  <c:v>-7577.1653543307084</c:v>
                </c:pt>
                <c:pt idx="77">
                  <c:v>-7548.4375</c:v>
                </c:pt>
                <c:pt idx="78">
                  <c:v>-7549.6124031007748</c:v>
                </c:pt>
                <c:pt idx="79">
                  <c:v>-7549.6124031007748</c:v>
                </c:pt>
                <c:pt idx="80">
                  <c:v>-7549.6124031007748</c:v>
                </c:pt>
                <c:pt idx="81">
                  <c:v>-7499.242424242424</c:v>
                </c:pt>
                <c:pt idx="82">
                  <c:v>-7503.0075187969924</c:v>
                </c:pt>
                <c:pt idx="83">
                  <c:v>-7485.8208955223881</c:v>
                </c:pt>
                <c:pt idx="84">
                  <c:v>-7478.6764705882351</c:v>
                </c:pt>
                <c:pt idx="85">
                  <c:v>-7452.554744525547</c:v>
                </c:pt>
                <c:pt idx="86">
                  <c:v>-7452.554744525547</c:v>
                </c:pt>
                <c:pt idx="87">
                  <c:v>-7452.517985611511</c:v>
                </c:pt>
                <c:pt idx="88">
                  <c:v>-7452.517985611511</c:v>
                </c:pt>
                <c:pt idx="89">
                  <c:v>-7477.1428571428569</c:v>
                </c:pt>
                <c:pt idx="90">
                  <c:v>-7551.7730496453896</c:v>
                </c:pt>
                <c:pt idx="91">
                  <c:v>-7539.4366197183099</c:v>
                </c:pt>
                <c:pt idx="92">
                  <c:v>-7539.4366197183099</c:v>
                </c:pt>
                <c:pt idx="93">
                  <c:v>-7630.3448275862065</c:v>
                </c:pt>
                <c:pt idx="94">
                  <c:v>-7630.3448275862065</c:v>
                </c:pt>
                <c:pt idx="95">
                  <c:v>-7591.7808219178078</c:v>
                </c:pt>
                <c:pt idx="96">
                  <c:v>-7583.7837837837842</c:v>
                </c:pt>
                <c:pt idx="97">
                  <c:v>-7855.0335570469797</c:v>
                </c:pt>
                <c:pt idx="98">
                  <c:v>-7814.3790849673205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86.05220228384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りくと2!$A$3:$A$101</c:f>
              <c:numCache>
                <c:formatCode>0\ "回"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りくと2!$K$3:$K$101</c:f>
              <c:numCache>
                <c:formatCode>0.0%</c:formatCode>
                <c:ptCount val="9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4.6511627906976744E-2</c:v>
                </c:pt>
                <c:pt idx="44">
                  <c:v>4.5454545454545456E-2</c:v>
                </c:pt>
                <c:pt idx="45">
                  <c:v>4.4444444444444446E-2</c:v>
                </c:pt>
                <c:pt idx="46">
                  <c:v>4.3478260869565216E-2</c:v>
                </c:pt>
                <c:pt idx="47">
                  <c:v>4.2553191489361701E-2</c:v>
                </c:pt>
                <c:pt idx="48">
                  <c:v>4.1666666666666664E-2</c:v>
                </c:pt>
                <c:pt idx="49">
                  <c:v>6.1224489795918366E-2</c:v>
                </c:pt>
                <c:pt idx="50">
                  <c:v>0.06</c:v>
                </c:pt>
                <c:pt idx="51">
                  <c:v>5.8823529411764705E-2</c:v>
                </c:pt>
                <c:pt idx="52">
                  <c:v>5.7692307692307696E-2</c:v>
                </c:pt>
                <c:pt idx="53">
                  <c:v>5.6603773584905662E-2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9.6774193548387094E-2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8.2191780821917804E-2</c:v>
                </c:pt>
                <c:pt idx="74">
                  <c:v>8.1081081081081086E-2</c:v>
                </c:pt>
                <c:pt idx="75">
                  <c:v>0.08</c:v>
                </c:pt>
                <c:pt idx="76">
                  <c:v>7.8947368421052627E-2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  <c:pt idx="83">
                  <c:v>7.2289156626506021E-2</c:v>
                </c:pt>
                <c:pt idx="84">
                  <c:v>7.1428571428571425E-2</c:v>
                </c:pt>
                <c:pt idx="85">
                  <c:v>7.0588235294117646E-2</c:v>
                </c:pt>
                <c:pt idx="86">
                  <c:v>6.9767441860465115E-2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7.8651685393258425E-2</c:v>
                </c:pt>
                <c:pt idx="90">
                  <c:v>7.7777777777777779E-2</c:v>
                </c:pt>
                <c:pt idx="91">
                  <c:v>7.6923076923076927E-2</c:v>
                </c:pt>
                <c:pt idx="92">
                  <c:v>7.6086956521739135E-2</c:v>
                </c:pt>
                <c:pt idx="93">
                  <c:v>7.5268817204301078E-2</c:v>
                </c:pt>
                <c:pt idx="94">
                  <c:v>7.4468085106382975E-2</c:v>
                </c:pt>
                <c:pt idx="95">
                  <c:v>7.3684210526315783E-2</c:v>
                </c:pt>
                <c:pt idx="96">
                  <c:v>7.2916666666666671E-2</c:v>
                </c:pt>
                <c:pt idx="97">
                  <c:v>7.2164948453608241E-2</c:v>
                </c:pt>
                <c:pt idx="98">
                  <c:v>7.1428571428571425E-2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50935093509350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りくと2!$A$3:$A$101</c:f>
              <c:numCache>
                <c:formatCode>0\ "回"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りくと2!$L$3:$L$101</c:f>
              <c:numCache>
                <c:formatCode>0.0%</c:formatCode>
                <c:ptCount val="99"/>
                <c:pt idx="1">
                  <c:v>0.27272727272727271</c:v>
                </c:pt>
                <c:pt idx="2">
                  <c:v>0.26315789473684209</c:v>
                </c:pt>
                <c:pt idx="3">
                  <c:v>0.26666666666666666</c:v>
                </c:pt>
                <c:pt idx="4">
                  <c:v>0.25641025641025639</c:v>
                </c:pt>
                <c:pt idx="5">
                  <c:v>0.26530612244897961</c:v>
                </c:pt>
                <c:pt idx="6">
                  <c:v>0.2807017543859649</c:v>
                </c:pt>
                <c:pt idx="7">
                  <c:v>0.26865671641791045</c:v>
                </c:pt>
                <c:pt idx="8">
                  <c:v>0.25</c:v>
                </c:pt>
                <c:pt idx="9">
                  <c:v>0.24705882352941178</c:v>
                </c:pt>
                <c:pt idx="10">
                  <c:v>0.23958333333333334</c:v>
                </c:pt>
                <c:pt idx="11">
                  <c:v>0.24</c:v>
                </c:pt>
                <c:pt idx="12">
                  <c:v>0.24545454545454545</c:v>
                </c:pt>
                <c:pt idx="13">
                  <c:v>0.26050420168067229</c:v>
                </c:pt>
                <c:pt idx="14">
                  <c:v>0.25</c:v>
                </c:pt>
                <c:pt idx="15">
                  <c:v>0.25362318840579712</c:v>
                </c:pt>
                <c:pt idx="16">
                  <c:v>0.25333333333333335</c:v>
                </c:pt>
                <c:pt idx="17">
                  <c:v>0.24203821656050956</c:v>
                </c:pt>
                <c:pt idx="18">
                  <c:v>0.25149700598802394</c:v>
                </c:pt>
                <c:pt idx="19">
                  <c:v>0.24858757062146894</c:v>
                </c:pt>
                <c:pt idx="20">
                  <c:v>0.24861878453038674</c:v>
                </c:pt>
                <c:pt idx="21">
                  <c:v>0.25133689839572193</c:v>
                </c:pt>
                <c:pt idx="22">
                  <c:v>0.24615384615384617</c:v>
                </c:pt>
                <c:pt idx="23">
                  <c:v>0.25247524752475248</c:v>
                </c:pt>
                <c:pt idx="24">
                  <c:v>0.26666666666666666</c:v>
                </c:pt>
                <c:pt idx="25">
                  <c:v>0.28440366972477066</c:v>
                </c:pt>
                <c:pt idx="26">
                  <c:v>0.28000000000000003</c:v>
                </c:pt>
                <c:pt idx="27">
                  <c:v>0.27896995708154504</c:v>
                </c:pt>
                <c:pt idx="28">
                  <c:v>0.27800829875518673</c:v>
                </c:pt>
                <c:pt idx="29">
                  <c:v>0.27822580645161288</c:v>
                </c:pt>
                <c:pt idx="30">
                  <c:v>0.28125</c:v>
                </c:pt>
                <c:pt idx="31">
                  <c:v>0.2808988764044944</c:v>
                </c:pt>
                <c:pt idx="32">
                  <c:v>0.27536231884057971</c:v>
                </c:pt>
                <c:pt idx="33">
                  <c:v>0.28521126760563381</c:v>
                </c:pt>
                <c:pt idx="34">
                  <c:v>0.28135593220338984</c:v>
                </c:pt>
                <c:pt idx="35">
                  <c:v>0.27814569536423839</c:v>
                </c:pt>
                <c:pt idx="36">
                  <c:v>0.28387096774193549</c:v>
                </c:pt>
                <c:pt idx="37">
                  <c:v>0.28253968253968254</c:v>
                </c:pt>
                <c:pt idx="38">
                  <c:v>0.28963414634146339</c:v>
                </c:pt>
                <c:pt idx="39">
                  <c:v>0.29289940828402367</c:v>
                </c:pt>
                <c:pt idx="40">
                  <c:v>0.29142857142857143</c:v>
                </c:pt>
                <c:pt idx="41">
                  <c:v>0.29329608938547486</c:v>
                </c:pt>
                <c:pt idx="42">
                  <c:v>0.29234972677595628</c:v>
                </c:pt>
                <c:pt idx="43">
                  <c:v>0.28799999999999998</c:v>
                </c:pt>
                <c:pt idx="44">
                  <c:v>0.28720626631853785</c:v>
                </c:pt>
                <c:pt idx="45">
                  <c:v>0.2879177377892031</c:v>
                </c:pt>
                <c:pt idx="46">
                  <c:v>0.28607594936708863</c:v>
                </c:pt>
                <c:pt idx="47">
                  <c:v>0.28678304239401498</c:v>
                </c:pt>
                <c:pt idx="48">
                  <c:v>0.29126213592233008</c:v>
                </c:pt>
                <c:pt idx="49">
                  <c:v>0.28672985781990523</c:v>
                </c:pt>
                <c:pt idx="50">
                  <c:v>0.28504672897196259</c:v>
                </c:pt>
                <c:pt idx="51">
                  <c:v>0.28275862068965518</c:v>
                </c:pt>
                <c:pt idx="52">
                  <c:v>0.28411633109619688</c:v>
                </c:pt>
                <c:pt idx="53">
                  <c:v>0.28351648351648351</c:v>
                </c:pt>
                <c:pt idx="54">
                  <c:v>0.28104575163398693</c:v>
                </c:pt>
                <c:pt idx="55">
                  <c:v>0.28387096774193549</c:v>
                </c:pt>
                <c:pt idx="56">
                  <c:v>0.2848101265822785</c:v>
                </c:pt>
                <c:pt idx="57">
                  <c:v>0.28541666666666665</c:v>
                </c:pt>
                <c:pt idx="58">
                  <c:v>0.28834355828220859</c:v>
                </c:pt>
                <c:pt idx="59">
                  <c:v>0.28629032258064518</c:v>
                </c:pt>
                <c:pt idx="60">
                  <c:v>0.28286852589641437</c:v>
                </c:pt>
                <c:pt idx="61">
                  <c:v>0.28488372093023256</c:v>
                </c:pt>
                <c:pt idx="62">
                  <c:v>0.28516377649325625</c:v>
                </c:pt>
                <c:pt idx="63">
                  <c:v>0.29166666666666669</c:v>
                </c:pt>
                <c:pt idx="64">
                  <c:v>0.28782287822878228</c:v>
                </c:pt>
                <c:pt idx="65">
                  <c:v>0.2867513611615245</c:v>
                </c:pt>
                <c:pt idx="66">
                  <c:v>0.28520499108734404</c:v>
                </c:pt>
                <c:pt idx="67">
                  <c:v>0.2879581151832461</c:v>
                </c:pt>
                <c:pt idx="68">
                  <c:v>0.28869565217391302</c:v>
                </c:pt>
                <c:pt idx="69">
                  <c:v>0.28694158075601373</c:v>
                </c:pt>
                <c:pt idx="70">
                  <c:v>0.28499156829679595</c:v>
                </c:pt>
                <c:pt idx="71">
                  <c:v>0.28524046434494194</c:v>
                </c:pt>
                <c:pt idx="72">
                  <c:v>0.28477905073649756</c:v>
                </c:pt>
                <c:pt idx="73">
                  <c:v>0.2870967741935484</c:v>
                </c:pt>
                <c:pt idx="74">
                  <c:v>0.28526148969889065</c:v>
                </c:pt>
                <c:pt idx="75">
                  <c:v>0.28369905956112851</c:v>
                </c:pt>
                <c:pt idx="76">
                  <c:v>0.28372093023255812</c:v>
                </c:pt>
                <c:pt idx="77">
                  <c:v>0.28287461773700306</c:v>
                </c:pt>
                <c:pt idx="78">
                  <c:v>0.28120300751879701</c:v>
                </c:pt>
                <c:pt idx="79">
                  <c:v>0.28125</c:v>
                </c:pt>
                <c:pt idx="80">
                  <c:v>0.28193832599118945</c:v>
                </c:pt>
                <c:pt idx="81">
                  <c:v>0.28075253256150506</c:v>
                </c:pt>
                <c:pt idx="82">
                  <c:v>0.2822349570200573</c:v>
                </c:pt>
                <c:pt idx="83">
                  <c:v>0.27982954545454547</c:v>
                </c:pt>
                <c:pt idx="84">
                  <c:v>0.2794943820224719</c:v>
                </c:pt>
                <c:pt idx="85">
                  <c:v>0.28016643550624132</c:v>
                </c:pt>
                <c:pt idx="86">
                  <c:v>0.28060522696011003</c:v>
                </c:pt>
                <c:pt idx="87">
                  <c:v>0.28281461434370769</c:v>
                </c:pt>
                <c:pt idx="88">
                  <c:v>0.28304405874499333</c:v>
                </c:pt>
                <c:pt idx="89">
                  <c:v>0.28174603174603174</c:v>
                </c:pt>
                <c:pt idx="90">
                  <c:v>0.28047182175622543</c:v>
                </c:pt>
                <c:pt idx="91">
                  <c:v>0.27849740932642486</c:v>
                </c:pt>
                <c:pt idx="92">
                  <c:v>0.27877237851662406</c:v>
                </c:pt>
                <c:pt idx="93">
                  <c:v>0.27763819095477388</c:v>
                </c:pt>
                <c:pt idx="94">
                  <c:v>0.27840199750312111</c:v>
                </c:pt>
                <c:pt idx="95">
                  <c:v>0.2767527675276753</c:v>
                </c:pt>
                <c:pt idx="96">
                  <c:v>0.27594627594627597</c:v>
                </c:pt>
                <c:pt idx="97">
                  <c:v>0.279322853688029</c:v>
                </c:pt>
                <c:pt idx="98">
                  <c:v>0.27672209026128264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317566679805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りくと2!$A$3:$A$101</c:f>
              <c:numCache>
                <c:formatCode>0\ "回"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りくと2!$M$3:$M$101</c:f>
              <c:numCache>
                <c:formatCode>0.0%</c:formatCode>
                <c:ptCount val="99"/>
                <c:pt idx="1">
                  <c:v>0</c:v>
                </c:pt>
                <c:pt idx="2">
                  <c:v>0.26315789473684209</c:v>
                </c:pt>
                <c:pt idx="3">
                  <c:v>0.23333333333333334</c:v>
                </c:pt>
                <c:pt idx="4">
                  <c:v>0.23076923076923078</c:v>
                </c:pt>
                <c:pt idx="5">
                  <c:v>0.20408163265306123</c:v>
                </c:pt>
                <c:pt idx="6">
                  <c:v>0.21052631578947367</c:v>
                </c:pt>
                <c:pt idx="7">
                  <c:v>0.19402985074626866</c:v>
                </c:pt>
                <c:pt idx="8">
                  <c:v>0.19736842105263158</c:v>
                </c:pt>
                <c:pt idx="9">
                  <c:v>0.17647058823529413</c:v>
                </c:pt>
                <c:pt idx="10">
                  <c:v>0.15625</c:v>
                </c:pt>
                <c:pt idx="11">
                  <c:v>0.15</c:v>
                </c:pt>
                <c:pt idx="12">
                  <c:v>0.15454545454545454</c:v>
                </c:pt>
                <c:pt idx="13">
                  <c:v>0.15966386554621848</c:v>
                </c:pt>
                <c:pt idx="14">
                  <c:v>0.171875</c:v>
                </c:pt>
                <c:pt idx="15">
                  <c:v>0.18840579710144928</c:v>
                </c:pt>
                <c:pt idx="16">
                  <c:v>0.19333333333333333</c:v>
                </c:pt>
                <c:pt idx="17">
                  <c:v>0.18471337579617833</c:v>
                </c:pt>
                <c:pt idx="18">
                  <c:v>0.19161676646706588</c:v>
                </c:pt>
                <c:pt idx="19">
                  <c:v>0.19774011299435029</c:v>
                </c:pt>
                <c:pt idx="20">
                  <c:v>0.20441988950276244</c:v>
                </c:pt>
                <c:pt idx="21">
                  <c:v>0.20855614973262032</c:v>
                </c:pt>
                <c:pt idx="22">
                  <c:v>0.2</c:v>
                </c:pt>
                <c:pt idx="23">
                  <c:v>0.19801980198019803</c:v>
                </c:pt>
                <c:pt idx="24">
                  <c:v>0.19047619047619047</c:v>
                </c:pt>
                <c:pt idx="25">
                  <c:v>0.18807339449541285</c:v>
                </c:pt>
                <c:pt idx="26">
                  <c:v>0.18666666666666668</c:v>
                </c:pt>
                <c:pt idx="27">
                  <c:v>0.19313304721030042</c:v>
                </c:pt>
                <c:pt idx="28">
                  <c:v>0.18672199170124482</c:v>
                </c:pt>
                <c:pt idx="29">
                  <c:v>0.18145161290322581</c:v>
                </c:pt>
                <c:pt idx="30">
                  <c:v>0.1796875</c:v>
                </c:pt>
                <c:pt idx="31">
                  <c:v>0.1797752808988764</c:v>
                </c:pt>
                <c:pt idx="32">
                  <c:v>0.18115942028985507</c:v>
                </c:pt>
                <c:pt idx="33">
                  <c:v>0.176056338028169</c:v>
                </c:pt>
                <c:pt idx="34">
                  <c:v>0.17627118644067796</c:v>
                </c:pt>
                <c:pt idx="35">
                  <c:v>0.17218543046357615</c:v>
                </c:pt>
                <c:pt idx="36">
                  <c:v>0.17419354838709677</c:v>
                </c:pt>
                <c:pt idx="37">
                  <c:v>0.17142857142857143</c:v>
                </c:pt>
                <c:pt idx="38">
                  <c:v>0.1676829268292683</c:v>
                </c:pt>
                <c:pt idx="39">
                  <c:v>0.16568047337278108</c:v>
                </c:pt>
                <c:pt idx="40">
                  <c:v>0.16857142857142857</c:v>
                </c:pt>
                <c:pt idx="41">
                  <c:v>0.16480446927374301</c:v>
                </c:pt>
                <c:pt idx="42">
                  <c:v>0.16939890710382513</c:v>
                </c:pt>
                <c:pt idx="43">
                  <c:v>0.17599999999999999</c:v>
                </c:pt>
                <c:pt idx="44">
                  <c:v>0.18015665796344649</c:v>
                </c:pt>
                <c:pt idx="45">
                  <c:v>0.18508997429305912</c:v>
                </c:pt>
                <c:pt idx="46">
                  <c:v>0.18734177215189873</c:v>
                </c:pt>
                <c:pt idx="47">
                  <c:v>0.18703241895261846</c:v>
                </c:pt>
                <c:pt idx="48">
                  <c:v>0.18446601941747573</c:v>
                </c:pt>
                <c:pt idx="49">
                  <c:v>0.1872037914691943</c:v>
                </c:pt>
                <c:pt idx="50">
                  <c:v>0.18457943925233644</c:v>
                </c:pt>
                <c:pt idx="51">
                  <c:v>0.18390804597701149</c:v>
                </c:pt>
                <c:pt idx="52">
                  <c:v>0.18568232662192394</c:v>
                </c:pt>
                <c:pt idx="53">
                  <c:v>0.18461538461538463</c:v>
                </c:pt>
                <c:pt idx="54">
                  <c:v>0.18300653594771241</c:v>
                </c:pt>
                <c:pt idx="55">
                  <c:v>0.18494623655913978</c:v>
                </c:pt>
                <c:pt idx="56">
                  <c:v>0.18354430379746836</c:v>
                </c:pt>
                <c:pt idx="57">
                  <c:v>0.18333333333333332</c:v>
                </c:pt>
                <c:pt idx="58">
                  <c:v>0.18404907975460122</c:v>
                </c:pt>
                <c:pt idx="59">
                  <c:v>0.1875</c:v>
                </c:pt>
                <c:pt idx="60">
                  <c:v>0.18725099601593626</c:v>
                </c:pt>
                <c:pt idx="61">
                  <c:v>0.18992248062015504</c:v>
                </c:pt>
                <c:pt idx="62">
                  <c:v>0.18882466281310212</c:v>
                </c:pt>
                <c:pt idx="63">
                  <c:v>0.1875</c:v>
                </c:pt>
                <c:pt idx="64">
                  <c:v>0.18819188191881919</c:v>
                </c:pt>
                <c:pt idx="65">
                  <c:v>0.19237749546279492</c:v>
                </c:pt>
                <c:pt idx="66">
                  <c:v>0.19073083778966132</c:v>
                </c:pt>
                <c:pt idx="67">
                  <c:v>0.19022687609075042</c:v>
                </c:pt>
                <c:pt idx="68">
                  <c:v>0.19130434782608696</c:v>
                </c:pt>
                <c:pt idx="69">
                  <c:v>0.19243986254295534</c:v>
                </c:pt>
                <c:pt idx="70">
                  <c:v>0.19224283305227655</c:v>
                </c:pt>
                <c:pt idx="71">
                  <c:v>0.19237147595356552</c:v>
                </c:pt>
                <c:pt idx="72">
                  <c:v>0.19148936170212766</c:v>
                </c:pt>
                <c:pt idx="73">
                  <c:v>0.19354838709677419</c:v>
                </c:pt>
                <c:pt idx="74">
                  <c:v>0.19492868462757529</c:v>
                </c:pt>
                <c:pt idx="75">
                  <c:v>0.19749216300940439</c:v>
                </c:pt>
                <c:pt idx="76">
                  <c:v>0.19689922480620156</c:v>
                </c:pt>
                <c:pt idx="77">
                  <c:v>0.19724770642201836</c:v>
                </c:pt>
                <c:pt idx="78">
                  <c:v>0.2</c:v>
                </c:pt>
                <c:pt idx="79">
                  <c:v>0.20238095238095238</c:v>
                </c:pt>
                <c:pt idx="80">
                  <c:v>0.20264317180616739</c:v>
                </c:pt>
                <c:pt idx="81">
                  <c:v>0.2040520984081042</c:v>
                </c:pt>
                <c:pt idx="82">
                  <c:v>0.2020057306590258</c:v>
                </c:pt>
                <c:pt idx="83">
                  <c:v>0.20170454545454544</c:v>
                </c:pt>
                <c:pt idx="84">
                  <c:v>0.199438202247191</c:v>
                </c:pt>
                <c:pt idx="85">
                  <c:v>0.20110957004160887</c:v>
                </c:pt>
                <c:pt idx="86">
                  <c:v>0.20082530949105915</c:v>
                </c:pt>
                <c:pt idx="87">
                  <c:v>0.20162381596752368</c:v>
                </c:pt>
                <c:pt idx="88">
                  <c:v>0.19893190921228304</c:v>
                </c:pt>
                <c:pt idx="89">
                  <c:v>0.20105820105820105</c:v>
                </c:pt>
                <c:pt idx="90">
                  <c:v>0.20183486238532111</c:v>
                </c:pt>
                <c:pt idx="91">
                  <c:v>0.20207253886010362</c:v>
                </c:pt>
                <c:pt idx="92">
                  <c:v>0.19948849104859334</c:v>
                </c:pt>
                <c:pt idx="93">
                  <c:v>0.19974874371859297</c:v>
                </c:pt>
                <c:pt idx="94">
                  <c:v>0.19850187265917604</c:v>
                </c:pt>
                <c:pt idx="95">
                  <c:v>0.19557195571955718</c:v>
                </c:pt>
                <c:pt idx="96">
                  <c:v>0.19536019536019536</c:v>
                </c:pt>
                <c:pt idx="97">
                  <c:v>0.19347037484885127</c:v>
                </c:pt>
                <c:pt idx="98">
                  <c:v>0.19121140142517815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76980685849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りくと2!$A$3:$A$101</c:f>
              <c:numCache>
                <c:formatCode>0\ "回"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りくと2!$N$3:$N$101</c:f>
              <c:numCache>
                <c:formatCode>0.0%</c:formatCode>
                <c:ptCount val="99"/>
                <c:pt idx="1">
                  <c:v>0</c:v>
                </c:pt>
                <c:pt idx="2">
                  <c:v>0.4</c:v>
                </c:pt>
                <c:pt idx="3">
                  <c:v>0.625</c:v>
                </c:pt>
                <c:pt idx="4">
                  <c:v>0.7</c:v>
                </c:pt>
                <c:pt idx="5">
                  <c:v>0.69230769230769229</c:v>
                </c:pt>
                <c:pt idx="6">
                  <c:v>0.625</c:v>
                </c:pt>
                <c:pt idx="7">
                  <c:v>0.66666666666666663</c:v>
                </c:pt>
                <c:pt idx="8">
                  <c:v>0.63157894736842102</c:v>
                </c:pt>
                <c:pt idx="9">
                  <c:v>0.61904761904761907</c:v>
                </c:pt>
                <c:pt idx="10">
                  <c:v>0.56521739130434778</c:v>
                </c:pt>
                <c:pt idx="11">
                  <c:v>0.54166666666666663</c:v>
                </c:pt>
                <c:pt idx="12">
                  <c:v>0.59259259259259256</c:v>
                </c:pt>
                <c:pt idx="13">
                  <c:v>0.58064516129032262</c:v>
                </c:pt>
                <c:pt idx="14">
                  <c:v>0.59375</c:v>
                </c:pt>
                <c:pt idx="15">
                  <c:v>0.6</c:v>
                </c:pt>
                <c:pt idx="16">
                  <c:v>0.60526315789473684</c:v>
                </c:pt>
                <c:pt idx="17">
                  <c:v>0.60526315789473684</c:v>
                </c:pt>
                <c:pt idx="18">
                  <c:v>0.59523809523809523</c:v>
                </c:pt>
                <c:pt idx="19">
                  <c:v>0.59090909090909094</c:v>
                </c:pt>
                <c:pt idx="20">
                  <c:v>0.6</c:v>
                </c:pt>
                <c:pt idx="21">
                  <c:v>0.61702127659574468</c:v>
                </c:pt>
                <c:pt idx="22">
                  <c:v>0.625</c:v>
                </c:pt>
                <c:pt idx="23">
                  <c:v>0.6470588235294118</c:v>
                </c:pt>
                <c:pt idx="24">
                  <c:v>0.6071428571428571</c:v>
                </c:pt>
                <c:pt idx="25">
                  <c:v>0.58064516129032262</c:v>
                </c:pt>
                <c:pt idx="26">
                  <c:v>0.5714285714285714</c:v>
                </c:pt>
                <c:pt idx="27">
                  <c:v>0.56923076923076921</c:v>
                </c:pt>
                <c:pt idx="28">
                  <c:v>0.58208955223880599</c:v>
                </c:pt>
                <c:pt idx="29">
                  <c:v>0.59420289855072461</c:v>
                </c:pt>
                <c:pt idx="30">
                  <c:v>0.58333333333333337</c:v>
                </c:pt>
                <c:pt idx="31">
                  <c:v>0.58666666666666667</c:v>
                </c:pt>
                <c:pt idx="32">
                  <c:v>0.57894736842105265</c:v>
                </c:pt>
                <c:pt idx="33">
                  <c:v>0.58024691358024694</c:v>
                </c:pt>
                <c:pt idx="34">
                  <c:v>0.59036144578313254</c:v>
                </c:pt>
                <c:pt idx="35">
                  <c:v>0.59523809523809523</c:v>
                </c:pt>
                <c:pt idx="36">
                  <c:v>0.59090909090909094</c:v>
                </c:pt>
                <c:pt idx="37">
                  <c:v>0.5955056179775281</c:v>
                </c:pt>
                <c:pt idx="38">
                  <c:v>0.58947368421052626</c:v>
                </c:pt>
                <c:pt idx="39">
                  <c:v>0.58585858585858586</c:v>
                </c:pt>
                <c:pt idx="40">
                  <c:v>0.59803921568627449</c:v>
                </c:pt>
                <c:pt idx="41">
                  <c:v>0.6</c:v>
                </c:pt>
                <c:pt idx="42">
                  <c:v>0.60747663551401865</c:v>
                </c:pt>
                <c:pt idx="43">
                  <c:v>0.60185185185185186</c:v>
                </c:pt>
                <c:pt idx="44">
                  <c:v>0.59090909090909094</c:v>
                </c:pt>
                <c:pt idx="45">
                  <c:v>0.5892857142857143</c:v>
                </c:pt>
                <c:pt idx="46">
                  <c:v>0.59292035398230092</c:v>
                </c:pt>
                <c:pt idx="47">
                  <c:v>0.6</c:v>
                </c:pt>
                <c:pt idx="48">
                  <c:v>0.6</c:v>
                </c:pt>
                <c:pt idx="49">
                  <c:v>0.60330578512396693</c:v>
                </c:pt>
                <c:pt idx="50">
                  <c:v>0.60655737704918034</c:v>
                </c:pt>
                <c:pt idx="51">
                  <c:v>0.60162601626016265</c:v>
                </c:pt>
                <c:pt idx="52">
                  <c:v>0.59055118110236215</c:v>
                </c:pt>
                <c:pt idx="53">
                  <c:v>0.5968992248062015</c:v>
                </c:pt>
                <c:pt idx="54">
                  <c:v>0.5968992248062015</c:v>
                </c:pt>
                <c:pt idx="55">
                  <c:v>0.60606060606060608</c:v>
                </c:pt>
                <c:pt idx="56">
                  <c:v>0.6074074074074074</c:v>
                </c:pt>
                <c:pt idx="57">
                  <c:v>0.61313868613138689</c:v>
                </c:pt>
                <c:pt idx="58">
                  <c:v>0.6028368794326241</c:v>
                </c:pt>
                <c:pt idx="59">
                  <c:v>0.59859154929577463</c:v>
                </c:pt>
                <c:pt idx="60">
                  <c:v>0.59859154929577463</c:v>
                </c:pt>
                <c:pt idx="61">
                  <c:v>0.59183673469387754</c:v>
                </c:pt>
                <c:pt idx="62">
                  <c:v>0.58783783783783783</c:v>
                </c:pt>
                <c:pt idx="63">
                  <c:v>0.58441558441558439</c:v>
                </c:pt>
                <c:pt idx="64">
                  <c:v>0.58333333333333337</c:v>
                </c:pt>
                <c:pt idx="65">
                  <c:v>0.58227848101265822</c:v>
                </c:pt>
                <c:pt idx="66">
                  <c:v>0.58750000000000002</c:v>
                </c:pt>
                <c:pt idx="67">
                  <c:v>0.5757575757575758</c:v>
                </c:pt>
                <c:pt idx="68">
                  <c:v>0.57228915662650603</c:v>
                </c:pt>
                <c:pt idx="69">
                  <c:v>0.56886227544910184</c:v>
                </c:pt>
                <c:pt idx="70">
                  <c:v>0.57396449704142016</c:v>
                </c:pt>
                <c:pt idx="71">
                  <c:v>0.57558139534883723</c:v>
                </c:pt>
                <c:pt idx="72">
                  <c:v>0.57471264367816088</c:v>
                </c:pt>
                <c:pt idx="73">
                  <c:v>0.5730337078651685</c:v>
                </c:pt>
                <c:pt idx="74">
                  <c:v>0.57222222222222219</c:v>
                </c:pt>
                <c:pt idx="75">
                  <c:v>0.56906077348066297</c:v>
                </c:pt>
                <c:pt idx="76">
                  <c:v>0.56830601092896171</c:v>
                </c:pt>
                <c:pt idx="77">
                  <c:v>0.572972972972973</c:v>
                </c:pt>
                <c:pt idx="78">
                  <c:v>0.57219251336898391</c:v>
                </c:pt>
                <c:pt idx="79">
                  <c:v>0.5714285714285714</c:v>
                </c:pt>
                <c:pt idx="80">
                  <c:v>0.56770833333333337</c:v>
                </c:pt>
                <c:pt idx="81">
                  <c:v>0.57216494845360821</c:v>
                </c:pt>
                <c:pt idx="82">
                  <c:v>0.56852791878172593</c:v>
                </c:pt>
                <c:pt idx="83">
                  <c:v>0.56852791878172593</c:v>
                </c:pt>
                <c:pt idx="84">
                  <c:v>0.56783919597989951</c:v>
                </c:pt>
                <c:pt idx="85">
                  <c:v>0.56930693069306926</c:v>
                </c:pt>
                <c:pt idx="86">
                  <c:v>0.56372549019607843</c:v>
                </c:pt>
                <c:pt idx="87">
                  <c:v>0.55502392344497609</c:v>
                </c:pt>
                <c:pt idx="88">
                  <c:v>0.55660377358490565</c:v>
                </c:pt>
                <c:pt idx="89">
                  <c:v>0.5539906103286385</c:v>
                </c:pt>
                <c:pt idx="90">
                  <c:v>0.55140186915887845</c:v>
                </c:pt>
                <c:pt idx="91">
                  <c:v>0.5488372093023256</c:v>
                </c:pt>
                <c:pt idx="92">
                  <c:v>0.54587155963302747</c:v>
                </c:pt>
                <c:pt idx="93">
                  <c:v>0.54298642533936647</c:v>
                </c:pt>
                <c:pt idx="94">
                  <c:v>0.54260089686098656</c:v>
                </c:pt>
                <c:pt idx="95">
                  <c:v>0.54222222222222227</c:v>
                </c:pt>
                <c:pt idx="96">
                  <c:v>0.53982300884955747</c:v>
                </c:pt>
                <c:pt idx="97">
                  <c:v>0.53679653679653683</c:v>
                </c:pt>
                <c:pt idx="98">
                  <c:v>0.54077253218884125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1867219917012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りくと2!$A$3:$A$101</c:f>
              <c:numCache>
                <c:formatCode>0\ "回"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りくと2!$O$3:$O$101</c:f>
              <c:numCache>
                <c:formatCode>0.0%</c:formatCode>
                <c:ptCount val="99"/>
                <c:pt idx="1">
                  <c:v>0</c:v>
                </c:pt>
                <c:pt idx="2">
                  <c:v>0.2</c:v>
                </c:pt>
                <c:pt idx="3">
                  <c:v>0.14285714285714285</c:v>
                </c:pt>
                <c:pt idx="4">
                  <c:v>0.1111111111111111</c:v>
                </c:pt>
                <c:pt idx="5">
                  <c:v>0.2</c:v>
                </c:pt>
                <c:pt idx="6">
                  <c:v>0.25</c:v>
                </c:pt>
                <c:pt idx="7">
                  <c:v>0.23076923076923078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0.17647058823529413</c:v>
                </c:pt>
                <c:pt idx="13">
                  <c:v>0.15789473684210525</c:v>
                </c:pt>
                <c:pt idx="14">
                  <c:v>0.22727272727272727</c:v>
                </c:pt>
                <c:pt idx="15">
                  <c:v>0.26923076923076922</c:v>
                </c:pt>
                <c:pt idx="16">
                  <c:v>0.31034482758620691</c:v>
                </c:pt>
                <c:pt idx="17">
                  <c:v>0.31034482758620691</c:v>
                </c:pt>
                <c:pt idx="18">
                  <c:v>0.34375</c:v>
                </c:pt>
                <c:pt idx="19">
                  <c:v>0.4</c:v>
                </c:pt>
                <c:pt idx="20">
                  <c:v>0.40540540540540543</c:v>
                </c:pt>
                <c:pt idx="21">
                  <c:v>0.4358974358974359</c:v>
                </c:pt>
                <c:pt idx="22">
                  <c:v>0.4358974358974359</c:v>
                </c:pt>
                <c:pt idx="23">
                  <c:v>0.42499999999999999</c:v>
                </c:pt>
                <c:pt idx="24">
                  <c:v>0.42499999999999999</c:v>
                </c:pt>
                <c:pt idx="25">
                  <c:v>0.41463414634146339</c:v>
                </c:pt>
                <c:pt idx="26">
                  <c:v>0.40476190476190477</c:v>
                </c:pt>
                <c:pt idx="27">
                  <c:v>0.42222222222222222</c:v>
                </c:pt>
                <c:pt idx="28">
                  <c:v>0.42222222222222222</c:v>
                </c:pt>
                <c:pt idx="29">
                  <c:v>0.42222222222222222</c:v>
                </c:pt>
                <c:pt idx="30">
                  <c:v>0.43478260869565216</c:v>
                </c:pt>
                <c:pt idx="31">
                  <c:v>0.4375</c:v>
                </c:pt>
                <c:pt idx="32">
                  <c:v>0.44</c:v>
                </c:pt>
                <c:pt idx="33">
                  <c:v>0.44</c:v>
                </c:pt>
                <c:pt idx="34">
                  <c:v>0.42307692307692307</c:v>
                </c:pt>
                <c:pt idx="35">
                  <c:v>0.42307692307692307</c:v>
                </c:pt>
                <c:pt idx="36">
                  <c:v>0.40740740740740738</c:v>
                </c:pt>
                <c:pt idx="37">
                  <c:v>0.40740740740740738</c:v>
                </c:pt>
                <c:pt idx="38">
                  <c:v>0.4</c:v>
                </c:pt>
                <c:pt idx="39">
                  <c:v>0.4107142857142857</c:v>
                </c:pt>
                <c:pt idx="40">
                  <c:v>0.42372881355932202</c:v>
                </c:pt>
                <c:pt idx="41">
                  <c:v>0.42372881355932202</c:v>
                </c:pt>
                <c:pt idx="42">
                  <c:v>0.40322580645161288</c:v>
                </c:pt>
                <c:pt idx="43">
                  <c:v>0.39393939393939392</c:v>
                </c:pt>
                <c:pt idx="44">
                  <c:v>0.39130434782608697</c:v>
                </c:pt>
                <c:pt idx="45">
                  <c:v>0.3888888888888889</c:v>
                </c:pt>
                <c:pt idx="46">
                  <c:v>0.39189189189189189</c:v>
                </c:pt>
                <c:pt idx="47">
                  <c:v>0.4</c:v>
                </c:pt>
                <c:pt idx="48">
                  <c:v>0.39473684210526316</c:v>
                </c:pt>
                <c:pt idx="49">
                  <c:v>0.39240506329113922</c:v>
                </c:pt>
                <c:pt idx="50">
                  <c:v>0.39240506329113922</c:v>
                </c:pt>
                <c:pt idx="51">
                  <c:v>0.38750000000000001</c:v>
                </c:pt>
                <c:pt idx="52">
                  <c:v>0.38554216867469882</c:v>
                </c:pt>
                <c:pt idx="53">
                  <c:v>0.39285714285714285</c:v>
                </c:pt>
                <c:pt idx="54">
                  <c:v>0.39285714285714285</c:v>
                </c:pt>
                <c:pt idx="55">
                  <c:v>0.39534883720930231</c:v>
                </c:pt>
                <c:pt idx="56">
                  <c:v>0.39080459770114945</c:v>
                </c:pt>
                <c:pt idx="57">
                  <c:v>0.38636363636363635</c:v>
                </c:pt>
                <c:pt idx="58">
                  <c:v>0.3888888888888889</c:v>
                </c:pt>
                <c:pt idx="59">
                  <c:v>0.38709677419354838</c:v>
                </c:pt>
                <c:pt idx="60">
                  <c:v>0.38297872340425532</c:v>
                </c:pt>
                <c:pt idx="61">
                  <c:v>0.38775510204081631</c:v>
                </c:pt>
                <c:pt idx="62">
                  <c:v>0.38775510204081631</c:v>
                </c:pt>
                <c:pt idx="63">
                  <c:v>0.38383838383838381</c:v>
                </c:pt>
                <c:pt idx="64">
                  <c:v>0.40196078431372551</c:v>
                </c:pt>
                <c:pt idx="65">
                  <c:v>0.3867924528301887</c:v>
                </c:pt>
                <c:pt idx="66">
                  <c:v>0.3925233644859813</c:v>
                </c:pt>
                <c:pt idx="67">
                  <c:v>0.40366972477064222</c:v>
                </c:pt>
                <c:pt idx="68">
                  <c:v>0.40909090909090912</c:v>
                </c:pt>
                <c:pt idx="69">
                  <c:v>0.4107142857142857</c:v>
                </c:pt>
                <c:pt idx="70">
                  <c:v>0.41228070175438597</c:v>
                </c:pt>
                <c:pt idx="71">
                  <c:v>0.40517241379310343</c:v>
                </c:pt>
                <c:pt idx="72">
                  <c:v>0.40170940170940173</c:v>
                </c:pt>
                <c:pt idx="73">
                  <c:v>0.4</c:v>
                </c:pt>
                <c:pt idx="74">
                  <c:v>0.4065040650406504</c:v>
                </c:pt>
                <c:pt idx="75">
                  <c:v>0.41269841269841268</c:v>
                </c:pt>
                <c:pt idx="76">
                  <c:v>0.41732283464566927</c:v>
                </c:pt>
                <c:pt idx="77">
                  <c:v>0.41860465116279072</c:v>
                </c:pt>
                <c:pt idx="78">
                  <c:v>0.41353383458646614</c:v>
                </c:pt>
                <c:pt idx="79">
                  <c:v>0.41176470588235292</c:v>
                </c:pt>
                <c:pt idx="80">
                  <c:v>0.40579710144927539</c:v>
                </c:pt>
                <c:pt idx="81">
                  <c:v>0.40425531914893614</c:v>
                </c:pt>
                <c:pt idx="82">
                  <c:v>0.40425531914893614</c:v>
                </c:pt>
                <c:pt idx="83">
                  <c:v>0.40845070422535212</c:v>
                </c:pt>
                <c:pt idx="84">
                  <c:v>0.40845070422535212</c:v>
                </c:pt>
                <c:pt idx="85">
                  <c:v>0.41379310344827586</c:v>
                </c:pt>
                <c:pt idx="86">
                  <c:v>0.4178082191780822</c:v>
                </c:pt>
                <c:pt idx="87">
                  <c:v>0.41610738255033558</c:v>
                </c:pt>
                <c:pt idx="88">
                  <c:v>0.41610738255033558</c:v>
                </c:pt>
                <c:pt idx="89">
                  <c:v>0.41447368421052633</c:v>
                </c:pt>
                <c:pt idx="90">
                  <c:v>0.40909090909090912</c:v>
                </c:pt>
                <c:pt idx="91">
                  <c:v>0.41025641025641024</c:v>
                </c:pt>
                <c:pt idx="92">
                  <c:v>0.41025641025641024</c:v>
                </c:pt>
                <c:pt idx="93">
                  <c:v>0.41509433962264153</c:v>
                </c:pt>
                <c:pt idx="94">
                  <c:v>0.41509433962264153</c:v>
                </c:pt>
                <c:pt idx="95">
                  <c:v>0.41509433962264153</c:v>
                </c:pt>
                <c:pt idx="96">
                  <c:v>0.41249999999999998</c:v>
                </c:pt>
                <c:pt idx="97">
                  <c:v>0.41249999999999998</c:v>
                </c:pt>
                <c:pt idx="98">
                  <c:v>0.40993788819875776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0068027210884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りくと2!$A$3:$A$101</c:f>
              <c:numCache>
                <c:formatCode>0\ "回"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りくと2!$P$3:$P$101</c:f>
              <c:numCache>
                <c:formatCode>0.0%</c:formatCode>
                <c:ptCount val="99"/>
                <c:pt idx="1">
                  <c:v>1</c:v>
                </c:pt>
                <c:pt idx="2">
                  <c:v>0.25</c:v>
                </c:pt>
                <c:pt idx="3">
                  <c:v>0.25</c:v>
                </c:pt>
                <c:pt idx="4">
                  <c:v>0.18181818181818182</c:v>
                </c:pt>
                <c:pt idx="5">
                  <c:v>0.26666666666666666</c:v>
                </c:pt>
                <c:pt idx="6">
                  <c:v>0.23529411764705882</c:v>
                </c:pt>
                <c:pt idx="7">
                  <c:v>0.3</c:v>
                </c:pt>
                <c:pt idx="8">
                  <c:v>0.3</c:v>
                </c:pt>
                <c:pt idx="9">
                  <c:v>0.34782608695652173</c:v>
                </c:pt>
                <c:pt idx="10">
                  <c:v>0.34782608695652173</c:v>
                </c:pt>
                <c:pt idx="11">
                  <c:v>0.34782608695652173</c:v>
                </c:pt>
                <c:pt idx="12">
                  <c:v>0.34615384615384615</c:v>
                </c:pt>
                <c:pt idx="13">
                  <c:v>0.32142857142857145</c:v>
                </c:pt>
                <c:pt idx="14">
                  <c:v>0.35483870967741937</c:v>
                </c:pt>
                <c:pt idx="15">
                  <c:v>0.37142857142857144</c:v>
                </c:pt>
                <c:pt idx="16">
                  <c:v>0.375</c:v>
                </c:pt>
                <c:pt idx="17">
                  <c:v>0.375</c:v>
                </c:pt>
                <c:pt idx="18">
                  <c:v>0.38636363636363635</c:v>
                </c:pt>
                <c:pt idx="19">
                  <c:v>0.36734693877551022</c:v>
                </c:pt>
                <c:pt idx="20">
                  <c:v>0.35294117647058826</c:v>
                </c:pt>
                <c:pt idx="21">
                  <c:v>0.34545454545454546</c:v>
                </c:pt>
                <c:pt idx="22">
                  <c:v>0.35714285714285715</c:v>
                </c:pt>
                <c:pt idx="23">
                  <c:v>0.3728813559322034</c:v>
                </c:pt>
                <c:pt idx="24">
                  <c:v>0.37096774193548387</c:v>
                </c:pt>
                <c:pt idx="25">
                  <c:v>0.375</c:v>
                </c:pt>
                <c:pt idx="26">
                  <c:v>0.375</c:v>
                </c:pt>
                <c:pt idx="27">
                  <c:v>0.38805970149253732</c:v>
                </c:pt>
                <c:pt idx="28">
                  <c:v>0.37681159420289856</c:v>
                </c:pt>
                <c:pt idx="29">
                  <c:v>0.39436619718309857</c:v>
                </c:pt>
                <c:pt idx="30">
                  <c:v>0.38356164383561642</c:v>
                </c:pt>
                <c:pt idx="31">
                  <c:v>0.38157894736842107</c:v>
                </c:pt>
                <c:pt idx="32">
                  <c:v>0.38461538461538464</c:v>
                </c:pt>
                <c:pt idx="33">
                  <c:v>0.39506172839506171</c:v>
                </c:pt>
                <c:pt idx="34">
                  <c:v>0.39285714285714285</c:v>
                </c:pt>
                <c:pt idx="35">
                  <c:v>0.4</c:v>
                </c:pt>
                <c:pt idx="36">
                  <c:v>0.41379310344827586</c:v>
                </c:pt>
                <c:pt idx="37">
                  <c:v>0.40909090909090912</c:v>
                </c:pt>
                <c:pt idx="38">
                  <c:v>0.41304347826086957</c:v>
                </c:pt>
                <c:pt idx="39">
                  <c:v>0.42105263157894735</c:v>
                </c:pt>
                <c:pt idx="40">
                  <c:v>0.42</c:v>
                </c:pt>
                <c:pt idx="41">
                  <c:v>0.42156862745098039</c:v>
                </c:pt>
                <c:pt idx="42">
                  <c:v>0.43269230769230771</c:v>
                </c:pt>
                <c:pt idx="43">
                  <c:v>0.43809523809523809</c:v>
                </c:pt>
                <c:pt idx="44">
                  <c:v>0.43396226415094341</c:v>
                </c:pt>
                <c:pt idx="45">
                  <c:v>0.42592592592592593</c:v>
                </c:pt>
                <c:pt idx="46">
                  <c:v>0.42727272727272725</c:v>
                </c:pt>
                <c:pt idx="47">
                  <c:v>0.4247787610619469</c:v>
                </c:pt>
                <c:pt idx="48">
                  <c:v>0.4358974358974359</c:v>
                </c:pt>
                <c:pt idx="49">
                  <c:v>0.43697478991596639</c:v>
                </c:pt>
                <c:pt idx="50">
                  <c:v>0.44166666666666665</c:v>
                </c:pt>
                <c:pt idx="51">
                  <c:v>0.43801652892561982</c:v>
                </c:pt>
                <c:pt idx="52">
                  <c:v>0.44354838709677419</c:v>
                </c:pt>
                <c:pt idx="53">
                  <c:v>0.44881889763779526</c:v>
                </c:pt>
                <c:pt idx="54">
                  <c:v>0.44881889763779526</c:v>
                </c:pt>
                <c:pt idx="55">
                  <c:v>0.45038167938931295</c:v>
                </c:pt>
                <c:pt idx="56">
                  <c:v>0.45864661654135336</c:v>
                </c:pt>
                <c:pt idx="57">
                  <c:v>0.47058823529411764</c:v>
                </c:pt>
                <c:pt idx="58">
                  <c:v>0.46376811594202899</c:v>
                </c:pt>
                <c:pt idx="59">
                  <c:v>0.45714285714285713</c:v>
                </c:pt>
                <c:pt idx="60">
                  <c:v>0.45714285714285713</c:v>
                </c:pt>
                <c:pt idx="61">
                  <c:v>0.4513888888888889</c:v>
                </c:pt>
                <c:pt idx="62">
                  <c:v>0.4513888888888889</c:v>
                </c:pt>
                <c:pt idx="63">
                  <c:v>0.45270270270270269</c:v>
                </c:pt>
                <c:pt idx="64">
                  <c:v>0.46052631578947367</c:v>
                </c:pt>
                <c:pt idx="65">
                  <c:v>0.45751633986928103</c:v>
                </c:pt>
                <c:pt idx="66">
                  <c:v>0.46202531645569622</c:v>
                </c:pt>
                <c:pt idx="67">
                  <c:v>0.45962732919254656</c:v>
                </c:pt>
                <c:pt idx="68">
                  <c:v>0.4567901234567901</c:v>
                </c:pt>
                <c:pt idx="69">
                  <c:v>0.45398773006134968</c:v>
                </c:pt>
                <c:pt idx="70">
                  <c:v>0.45783132530120479</c:v>
                </c:pt>
                <c:pt idx="71">
                  <c:v>0.4642857142857143</c:v>
                </c:pt>
                <c:pt idx="72">
                  <c:v>0.46153846153846156</c:v>
                </c:pt>
                <c:pt idx="73">
                  <c:v>0.46511627906976744</c:v>
                </c:pt>
                <c:pt idx="74">
                  <c:v>0.46590909090909088</c:v>
                </c:pt>
                <c:pt idx="75">
                  <c:v>0.46629213483146065</c:v>
                </c:pt>
                <c:pt idx="76">
                  <c:v>0.46408839779005523</c:v>
                </c:pt>
                <c:pt idx="77">
                  <c:v>0.45652173913043476</c:v>
                </c:pt>
                <c:pt idx="78">
                  <c:v>0.45989304812834225</c:v>
                </c:pt>
                <c:pt idx="79">
                  <c:v>0.455026455026455</c:v>
                </c:pt>
                <c:pt idx="80">
                  <c:v>0.45549738219895286</c:v>
                </c:pt>
                <c:pt idx="81">
                  <c:v>0.45360824742268041</c:v>
                </c:pt>
                <c:pt idx="82">
                  <c:v>0.45128205128205129</c:v>
                </c:pt>
                <c:pt idx="83">
                  <c:v>0.4494949494949495</c:v>
                </c:pt>
                <c:pt idx="84">
                  <c:v>0.45</c:v>
                </c:pt>
                <c:pt idx="85">
                  <c:v>0.45588235294117646</c:v>
                </c:pt>
                <c:pt idx="86">
                  <c:v>0.4563106796116505</c:v>
                </c:pt>
                <c:pt idx="87">
                  <c:v>0.45673076923076922</c:v>
                </c:pt>
                <c:pt idx="88">
                  <c:v>0.46445497630331756</c:v>
                </c:pt>
                <c:pt idx="89">
                  <c:v>0.46226415094339623</c:v>
                </c:pt>
                <c:pt idx="90">
                  <c:v>0.46226415094339623</c:v>
                </c:pt>
                <c:pt idx="91">
                  <c:v>0.46478873239436619</c:v>
                </c:pt>
                <c:pt idx="92">
                  <c:v>0.46511627906976744</c:v>
                </c:pt>
                <c:pt idx="93">
                  <c:v>0.46330275229357798</c:v>
                </c:pt>
                <c:pt idx="94">
                  <c:v>0.46118721461187212</c:v>
                </c:pt>
                <c:pt idx="95">
                  <c:v>0.46846846846846846</c:v>
                </c:pt>
                <c:pt idx="96">
                  <c:v>0.46846846846846846</c:v>
                </c:pt>
                <c:pt idx="97">
                  <c:v>0.4732142857142857</c:v>
                </c:pt>
                <c:pt idx="98">
                  <c:v>0.47136563876651982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8306595365418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95"/>
  <sheetViews>
    <sheetView workbookViewId="0"/>
  </sheetViews>
  <sheetFormatPr defaultColWidth="9" defaultRowHeight="18.75" x14ac:dyDescent="0.4"/>
  <cols>
    <col min="1" max="1" width="19.125" style="28" customWidth="1"/>
    <col min="2" max="2" width="19.1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218</v>
      </c>
      <c r="B2" s="29">
        <v>43735.624351851853</v>
      </c>
      <c r="C2" s="28" t="s">
        <v>128</v>
      </c>
      <c r="D2" s="28" t="s">
        <v>129</v>
      </c>
    </row>
    <row r="3" spans="1:12" x14ac:dyDescent="0.4">
      <c r="A3" s="28" t="s">
        <v>219</v>
      </c>
      <c r="B3" s="29">
        <v>43735.624351851853</v>
      </c>
      <c r="C3" s="28" t="s">
        <v>128</v>
      </c>
    </row>
    <row r="4" spans="1:12" x14ac:dyDescent="0.4">
      <c r="A4" s="28" t="s">
        <v>220</v>
      </c>
      <c r="B4" s="29">
        <v>43735.624351851853</v>
      </c>
      <c r="C4" s="28" t="s">
        <v>128</v>
      </c>
    </row>
    <row r="5" spans="1:12" x14ac:dyDescent="0.4">
      <c r="A5" s="28" t="s">
        <v>221</v>
      </c>
      <c r="B5" s="29">
        <v>43736.046932870369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">
      <c r="A6" s="28" t="s">
        <v>222</v>
      </c>
      <c r="B6" s="29">
        <v>43737.059895833336</v>
      </c>
      <c r="C6" s="28" t="s">
        <v>128</v>
      </c>
      <c r="D6" s="28" t="s">
        <v>129</v>
      </c>
      <c r="E6" s="28" t="s">
        <v>173</v>
      </c>
    </row>
    <row r="7" spans="1:12" x14ac:dyDescent="0.4">
      <c r="A7" s="28" t="s">
        <v>223</v>
      </c>
      <c r="B7" s="29">
        <v>43739.000706018516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">
      <c r="A8" s="28" t="s">
        <v>227</v>
      </c>
      <c r="B8" s="29">
        <v>43741.94121527778</v>
      </c>
      <c r="C8" s="28" t="s">
        <v>128</v>
      </c>
    </row>
    <row r="9" spans="1:12" x14ac:dyDescent="0.4">
      <c r="A9" s="28" t="s">
        <v>229</v>
      </c>
      <c r="B9" s="29">
        <v>43739.660624999997</v>
      </c>
      <c r="C9" s="28" t="s">
        <v>129</v>
      </c>
      <c r="D9" s="28" t="s">
        <v>173</v>
      </c>
      <c r="E9" s="28" t="s">
        <v>128</v>
      </c>
    </row>
    <row r="10" spans="1:12" x14ac:dyDescent="0.4">
      <c r="A10" s="28" t="s">
        <v>230</v>
      </c>
      <c r="B10" s="29">
        <v>43740.021921296298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">
      <c r="A11" s="28" t="s">
        <v>231</v>
      </c>
      <c r="B11" s="29">
        <v>43741.94121527778</v>
      </c>
      <c r="C11" s="28" t="s">
        <v>128</v>
      </c>
    </row>
    <row r="12" spans="1:12" x14ac:dyDescent="0.4">
      <c r="A12" s="28" t="s">
        <v>232</v>
      </c>
      <c r="B12" s="29">
        <v>43744.941354166665</v>
      </c>
      <c r="C12" s="28" t="s">
        <v>128</v>
      </c>
      <c r="D12" s="28" t="s">
        <v>129</v>
      </c>
      <c r="E12" s="28" t="s">
        <v>173</v>
      </c>
    </row>
    <row r="13" spans="1:12" x14ac:dyDescent="0.4">
      <c r="A13" s="28" t="s">
        <v>233</v>
      </c>
      <c r="B13" s="29">
        <v>43744.941354166665</v>
      </c>
      <c r="C13" s="28" t="s">
        <v>128</v>
      </c>
      <c r="D13" s="28" t="s">
        <v>129</v>
      </c>
    </row>
    <row r="14" spans="1:12" x14ac:dyDescent="0.4">
      <c r="A14" s="28" t="s">
        <v>234</v>
      </c>
      <c r="B14" s="29">
        <v>43743.104375000003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">
      <c r="A15" s="28" t="s">
        <v>235</v>
      </c>
      <c r="B15" s="29">
        <v>43744.941354166665</v>
      </c>
      <c r="C15" s="28" t="s">
        <v>128</v>
      </c>
      <c r="D15" s="28" t="s">
        <v>129</v>
      </c>
    </row>
    <row r="16" spans="1:12" x14ac:dyDescent="0.4">
      <c r="A16" s="28" t="s">
        <v>236</v>
      </c>
      <c r="B16" s="29">
        <v>43743.786203703705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">
      <c r="A17" s="28" t="s">
        <v>237</v>
      </c>
      <c r="B17" s="29">
        <v>43745.016377314816</v>
      </c>
      <c r="C17" s="28" t="s">
        <v>128</v>
      </c>
      <c r="D17" s="28" t="s">
        <v>129</v>
      </c>
    </row>
    <row r="18" spans="1:12" x14ac:dyDescent="0.4">
      <c r="A18" s="28" t="s">
        <v>238</v>
      </c>
      <c r="B18" s="29">
        <v>43745.531828703701</v>
      </c>
      <c r="C18" s="28" t="s">
        <v>128</v>
      </c>
    </row>
    <row r="19" spans="1:12" x14ac:dyDescent="0.4">
      <c r="A19" s="28" t="s">
        <v>239</v>
      </c>
      <c r="B19" s="29">
        <v>43748.019456018519</v>
      </c>
      <c r="C19" s="28" t="s">
        <v>128</v>
      </c>
    </row>
    <row r="20" spans="1:12" x14ac:dyDescent="0.4">
      <c r="A20" s="28" t="s">
        <v>240</v>
      </c>
      <c r="B20" s="29">
        <v>43747.02511574074</v>
      </c>
      <c r="C20" s="28" t="s">
        <v>128</v>
      </c>
      <c r="D20" s="28" t="s">
        <v>129</v>
      </c>
    </row>
    <row r="21" spans="1:12" x14ac:dyDescent="0.4">
      <c r="A21" s="28" t="s">
        <v>241</v>
      </c>
      <c r="B21" s="29">
        <v>43747.024814814817</v>
      </c>
      <c r="C21" s="28" t="s">
        <v>128</v>
      </c>
    </row>
    <row r="22" spans="1:12" x14ac:dyDescent="0.4">
      <c r="A22" s="28" t="s">
        <v>242</v>
      </c>
      <c r="B22" s="29">
        <v>43748.018101851849</v>
      </c>
      <c r="C22" s="28" t="s">
        <v>128</v>
      </c>
      <c r="D22" s="28" t="s">
        <v>129</v>
      </c>
      <c r="E22" s="28" t="s">
        <v>173</v>
      </c>
    </row>
    <row r="23" spans="1:12" x14ac:dyDescent="0.4">
      <c r="A23" s="28" t="s">
        <v>243</v>
      </c>
      <c r="B23" s="29">
        <v>43812.011736111112</v>
      </c>
      <c r="C23" s="28" t="s">
        <v>128</v>
      </c>
    </row>
    <row r="24" spans="1:12" x14ac:dyDescent="0.4">
      <c r="A24" s="28" t="s">
        <v>244</v>
      </c>
      <c r="B24" s="29">
        <v>43750.503020833334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">
      <c r="A25" s="28" t="s">
        <v>245</v>
      </c>
      <c r="B25" s="29">
        <v>43753.56559027778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">
      <c r="A26" s="28" t="s">
        <v>246</v>
      </c>
      <c r="B26" s="29">
        <v>43753.56559027778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">
      <c r="A27" s="28" t="s">
        <v>247</v>
      </c>
      <c r="B27" s="29">
        <v>43753.56559027778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">
      <c r="A28" s="28" t="s">
        <v>248</v>
      </c>
      <c r="B28" s="29">
        <v>43812.011736111112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">
      <c r="A29" s="28" t="s">
        <v>200</v>
      </c>
      <c r="B29" s="29">
        <v>43762.714826388888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">
      <c r="A30" s="28" t="s">
        <v>201</v>
      </c>
      <c r="B30" s="29">
        <v>43762.714826388888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">
      <c r="A31" s="28" t="s">
        <v>202</v>
      </c>
      <c r="B31" s="29">
        <v>43762.714826388888</v>
      </c>
      <c r="C31" s="28" t="s">
        <v>128</v>
      </c>
      <c r="D31" s="28" t="s">
        <v>129</v>
      </c>
      <c r="E31" s="28" t="s">
        <v>173</v>
      </c>
    </row>
    <row r="32" spans="1:12" x14ac:dyDescent="0.4">
      <c r="A32" s="28" t="s">
        <v>204</v>
      </c>
      <c r="B32" s="29">
        <v>43762.714826388888</v>
      </c>
      <c r="C32" s="28" t="s">
        <v>128</v>
      </c>
      <c r="D32" s="28" t="s">
        <v>129</v>
      </c>
      <c r="E32" s="28" t="s">
        <v>173</v>
      </c>
    </row>
    <row r="33" spans="1:9" x14ac:dyDescent="0.4">
      <c r="A33" s="28" t="s">
        <v>205</v>
      </c>
      <c r="B33" s="29">
        <v>43762.714826388888</v>
      </c>
      <c r="C33" s="28" t="s">
        <v>128</v>
      </c>
      <c r="D33" s="28" t="s">
        <v>129</v>
      </c>
      <c r="E33" s="28" t="s">
        <v>173</v>
      </c>
    </row>
    <row r="34" spans="1:9" x14ac:dyDescent="0.4">
      <c r="A34" s="28" t="s">
        <v>206</v>
      </c>
      <c r="B34" s="29">
        <v>43762.714826388888</v>
      </c>
      <c r="C34" s="28" t="s">
        <v>128</v>
      </c>
      <c r="D34" s="28" t="s">
        <v>129</v>
      </c>
      <c r="E34" s="28" t="s">
        <v>173</v>
      </c>
    </row>
    <row r="35" spans="1:9" x14ac:dyDescent="0.4">
      <c r="A35" s="28" t="s">
        <v>207</v>
      </c>
      <c r="B35" s="29">
        <v>43762.714826388888</v>
      </c>
      <c r="C35" s="28" t="s">
        <v>128</v>
      </c>
      <c r="D35" s="28" t="s">
        <v>129</v>
      </c>
      <c r="E35" s="28" t="s">
        <v>173</v>
      </c>
    </row>
    <row r="36" spans="1:9" x14ac:dyDescent="0.4">
      <c r="A36" s="28" t="s">
        <v>208</v>
      </c>
      <c r="B36" s="29">
        <v>43763.368263888886</v>
      </c>
      <c r="C36" s="28" t="s">
        <v>128</v>
      </c>
      <c r="D36" s="28" t="s">
        <v>129</v>
      </c>
    </row>
    <row r="37" spans="1:9" x14ac:dyDescent="0.4">
      <c r="A37" s="28" t="s">
        <v>209</v>
      </c>
      <c r="B37" s="29">
        <v>43763.368263888886</v>
      </c>
      <c r="C37" s="28" t="s">
        <v>128</v>
      </c>
      <c r="D37" s="28" t="s">
        <v>129</v>
      </c>
      <c r="E37" s="28" t="s">
        <v>173</v>
      </c>
    </row>
    <row r="38" spans="1:9" x14ac:dyDescent="0.4">
      <c r="A38" s="28" t="s">
        <v>210</v>
      </c>
      <c r="B38" s="29">
        <v>43764.955659722225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">
      <c r="A39" s="28" t="s">
        <v>211</v>
      </c>
      <c r="B39" s="29">
        <v>43765.064502314817</v>
      </c>
      <c r="C39" s="28" t="s">
        <v>128</v>
      </c>
      <c r="D39" s="28" t="s">
        <v>129</v>
      </c>
      <c r="E39" s="28" t="s">
        <v>173</v>
      </c>
    </row>
    <row r="40" spans="1:9" x14ac:dyDescent="0.4">
      <c r="A40" s="28" t="s">
        <v>212</v>
      </c>
      <c r="B40" s="29">
        <v>43767.744305555556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">
      <c r="A41" s="28" t="s">
        <v>213</v>
      </c>
      <c r="B41" s="29">
        <v>43767.744305555556</v>
      </c>
      <c r="C41" s="28" t="s">
        <v>128</v>
      </c>
    </row>
    <row r="42" spans="1:9" x14ac:dyDescent="0.4">
      <c r="A42" s="28" t="s">
        <v>214</v>
      </c>
      <c r="B42" s="29">
        <v>43767.744305555556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">
      <c r="A43" s="28" t="s">
        <v>215</v>
      </c>
      <c r="B43" s="29">
        <v>43768.428414351853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">
      <c r="A44" s="28" t="s">
        <v>216</v>
      </c>
      <c r="B44" s="29">
        <v>43769.787280092591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">
      <c r="A45" s="28" t="s">
        <v>217</v>
      </c>
      <c r="B45" s="29">
        <v>43774.96366898148</v>
      </c>
      <c r="C45" s="28" t="s">
        <v>128</v>
      </c>
      <c r="D45" s="28" t="s">
        <v>129</v>
      </c>
    </row>
    <row r="46" spans="1:9" x14ac:dyDescent="0.4">
      <c r="A46" s="28" t="s">
        <v>249</v>
      </c>
      <c r="B46" s="29">
        <v>43774.96366898148</v>
      </c>
      <c r="C46" s="28" t="s">
        <v>128</v>
      </c>
      <c r="D46" s="28" t="s">
        <v>129</v>
      </c>
    </row>
    <row r="47" spans="1:9" x14ac:dyDescent="0.4">
      <c r="A47" s="28" t="s">
        <v>250</v>
      </c>
      <c r="B47" s="29">
        <v>43774.96366898148</v>
      </c>
      <c r="C47" s="28" t="s">
        <v>128</v>
      </c>
    </row>
    <row r="48" spans="1:9" x14ac:dyDescent="0.4">
      <c r="A48" s="28" t="s">
        <v>251</v>
      </c>
      <c r="B48" s="29">
        <v>43774.96366898148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">
      <c r="A49" s="28" t="s">
        <v>252</v>
      </c>
      <c r="B49" s="29">
        <v>43774.96366898148</v>
      </c>
      <c r="C49" s="28" t="s">
        <v>128</v>
      </c>
      <c r="D49" s="28" t="s">
        <v>129</v>
      </c>
    </row>
    <row r="50" spans="1:9" x14ac:dyDescent="0.4">
      <c r="A50" s="28" t="s">
        <v>253</v>
      </c>
      <c r="B50" s="29">
        <v>43774.96366898148</v>
      </c>
      <c r="C50" s="28" t="s">
        <v>128</v>
      </c>
    </row>
    <row r="51" spans="1:9" x14ac:dyDescent="0.4">
      <c r="A51" s="28" t="s">
        <v>254</v>
      </c>
      <c r="B51" s="29">
        <v>43775.020810185182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">
      <c r="A52" s="28" t="s">
        <v>255</v>
      </c>
      <c r="B52" s="29">
        <v>43788.617604166669</v>
      </c>
      <c r="C52" s="28" t="s">
        <v>128</v>
      </c>
      <c r="D52" s="28" t="s">
        <v>129</v>
      </c>
    </row>
    <row r="53" spans="1:9" x14ac:dyDescent="0.4">
      <c r="A53" s="28" t="s">
        <v>256</v>
      </c>
      <c r="B53" s="29">
        <v>43788.617604166669</v>
      </c>
      <c r="C53" s="28" t="s">
        <v>128</v>
      </c>
    </row>
    <row r="54" spans="1:9" x14ac:dyDescent="0.4">
      <c r="A54" s="28" t="s">
        <v>257</v>
      </c>
      <c r="B54" s="29">
        <v>43788.617604166669</v>
      </c>
      <c r="C54" s="28" t="s">
        <v>128</v>
      </c>
      <c r="D54" s="28" t="s">
        <v>129</v>
      </c>
    </row>
    <row r="55" spans="1:9" x14ac:dyDescent="0.4">
      <c r="A55" s="28" t="s">
        <v>258</v>
      </c>
      <c r="B55" s="29">
        <v>43788.617604166669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">
      <c r="A56" s="28" t="s">
        <v>259</v>
      </c>
      <c r="B56" s="29">
        <v>43788.617604166669</v>
      </c>
      <c r="C56" s="28" t="s">
        <v>128</v>
      </c>
    </row>
    <row r="57" spans="1:9" x14ac:dyDescent="0.4">
      <c r="A57" s="28" t="s">
        <v>260</v>
      </c>
      <c r="B57" s="29">
        <v>43788.617604166669</v>
      </c>
      <c r="C57" s="28" t="s">
        <v>128</v>
      </c>
    </row>
    <row r="58" spans="1:9" x14ac:dyDescent="0.4">
      <c r="A58" s="28" t="s">
        <v>261</v>
      </c>
      <c r="B58" s="29">
        <v>43788.617604166669</v>
      </c>
      <c r="C58" s="28" t="s">
        <v>128</v>
      </c>
      <c r="D58" s="28" t="s">
        <v>129</v>
      </c>
    </row>
    <row r="59" spans="1:9" x14ac:dyDescent="0.4">
      <c r="A59" s="28" t="s">
        <v>262</v>
      </c>
      <c r="B59" s="29">
        <v>43788.617604166669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">
      <c r="A60" s="28" t="s">
        <v>263</v>
      </c>
      <c r="B60" s="29">
        <v>43788.617604166669</v>
      </c>
      <c r="C60" s="28" t="s">
        <v>128</v>
      </c>
    </row>
    <row r="61" spans="1:9" x14ac:dyDescent="0.4">
      <c r="A61" s="28" t="s">
        <v>264</v>
      </c>
      <c r="B61" s="29">
        <v>43812.011736111112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">
      <c r="A62" s="28" t="s">
        <v>265</v>
      </c>
      <c r="B62" s="29">
        <v>43812.011736111112</v>
      </c>
      <c r="C62" s="28" t="s">
        <v>128</v>
      </c>
    </row>
    <row r="63" spans="1:9" x14ac:dyDescent="0.4">
      <c r="A63" s="28" t="s">
        <v>266</v>
      </c>
      <c r="B63" s="29">
        <v>43812.011736111112</v>
      </c>
      <c r="C63" s="28" t="s">
        <v>128</v>
      </c>
    </row>
    <row r="64" spans="1:9" x14ac:dyDescent="0.4">
      <c r="A64" s="28" t="s">
        <v>267</v>
      </c>
      <c r="B64" s="29">
        <v>43812.011736111112</v>
      </c>
      <c r="C64" s="28" t="s">
        <v>128</v>
      </c>
      <c r="D64" s="28" t="s">
        <v>129</v>
      </c>
    </row>
    <row r="65" spans="1:12" x14ac:dyDescent="0.4">
      <c r="A65" s="28" t="s">
        <v>268</v>
      </c>
      <c r="B65" s="29">
        <v>43812.011747685188</v>
      </c>
      <c r="C65" s="28" t="s">
        <v>128</v>
      </c>
      <c r="D65" s="28" t="s">
        <v>129</v>
      </c>
      <c r="E65" s="28" t="s">
        <v>173</v>
      </c>
    </row>
    <row r="66" spans="1:12" x14ac:dyDescent="0.4">
      <c r="A66" s="28" t="s">
        <v>269</v>
      </c>
      <c r="B66" s="29">
        <v>43812.011747685188</v>
      </c>
      <c r="C66" s="28" t="s">
        <v>128</v>
      </c>
    </row>
    <row r="67" spans="1:12" x14ac:dyDescent="0.4">
      <c r="A67" s="28" t="s">
        <v>270</v>
      </c>
      <c r="B67" s="29">
        <v>43812.011747685188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">
      <c r="A68" s="28" t="s">
        <v>271</v>
      </c>
      <c r="B68" s="29">
        <v>43812.011747685188</v>
      </c>
      <c r="C68" s="28" t="s">
        <v>128</v>
      </c>
      <c r="D68" s="28" t="s">
        <v>129</v>
      </c>
      <c r="E68" s="28" t="s">
        <v>173</v>
      </c>
    </row>
    <row r="69" spans="1:12" x14ac:dyDescent="0.4">
      <c r="A69" s="28" t="s">
        <v>272</v>
      </c>
      <c r="B69" s="29">
        <v>43812.011747685188</v>
      </c>
      <c r="C69" s="28" t="s">
        <v>128</v>
      </c>
      <c r="D69" s="28" t="s">
        <v>129</v>
      </c>
      <c r="E69" s="28" t="s">
        <v>173</v>
      </c>
    </row>
    <row r="70" spans="1:12" x14ac:dyDescent="0.4">
      <c r="A70" s="28" t="s">
        <v>273</v>
      </c>
      <c r="B70" s="29">
        <v>43812.011747685188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">
      <c r="A71" s="28" t="s">
        <v>275</v>
      </c>
      <c r="B71" s="29">
        <v>43812.011747685188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">
      <c r="A72" s="28" t="s">
        <v>276</v>
      </c>
      <c r="B72" s="29">
        <v>43812.011747685188</v>
      </c>
      <c r="C72" s="28" t="s">
        <v>128</v>
      </c>
      <c r="D72" s="28" t="s">
        <v>129</v>
      </c>
    </row>
    <row r="73" spans="1:12" x14ac:dyDescent="0.4">
      <c r="A73" s="28" t="s">
        <v>277</v>
      </c>
      <c r="B73" s="29">
        <v>43812.011747685188</v>
      </c>
      <c r="C73" s="28" t="s">
        <v>128</v>
      </c>
    </row>
    <row r="74" spans="1:12" x14ac:dyDescent="0.4">
      <c r="A74" s="28" t="s">
        <v>278</v>
      </c>
      <c r="B74" s="29">
        <v>43812.011747685188</v>
      </c>
      <c r="C74" s="28" t="s">
        <v>128</v>
      </c>
    </row>
    <row r="75" spans="1:12" x14ac:dyDescent="0.4">
      <c r="A75" s="28" t="s">
        <v>279</v>
      </c>
      <c r="B75" s="29">
        <v>43812.011747685188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">
      <c r="A76" s="28" t="s">
        <v>282</v>
      </c>
      <c r="B76" s="29">
        <v>43812.011747685188</v>
      </c>
      <c r="C76" s="28" t="s">
        <v>128</v>
      </c>
    </row>
    <row r="77" spans="1:12" x14ac:dyDescent="0.4">
      <c r="A77" s="28" t="s">
        <v>283</v>
      </c>
      <c r="B77" s="29">
        <v>43812.011747685188</v>
      </c>
      <c r="C77" s="28" t="s">
        <v>128</v>
      </c>
      <c r="D77" s="28" t="s">
        <v>129</v>
      </c>
    </row>
    <row r="78" spans="1:12" x14ac:dyDescent="0.4">
      <c r="A78" s="28" t="s">
        <v>285</v>
      </c>
      <c r="B78" s="29">
        <v>43812.011747685188</v>
      </c>
      <c r="C78" s="28" t="s">
        <v>128</v>
      </c>
      <c r="D78" s="28" t="s">
        <v>129</v>
      </c>
      <c r="E78" s="28" t="s">
        <v>173</v>
      </c>
    </row>
    <row r="79" spans="1:12" x14ac:dyDescent="0.4">
      <c r="A79" s="28" t="s">
        <v>284</v>
      </c>
      <c r="B79" s="29">
        <v>43812.011747685188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">
      <c r="A80" s="28" t="s">
        <v>286</v>
      </c>
      <c r="B80" s="29">
        <v>43812.940081018518</v>
      </c>
      <c r="C80" s="28" t="s">
        <v>128</v>
      </c>
    </row>
    <row r="81" spans="1:9" x14ac:dyDescent="0.4">
      <c r="A81" s="28" t="s">
        <v>287</v>
      </c>
      <c r="B81" s="29">
        <v>43813.051678240743</v>
      </c>
      <c r="C81" s="28" t="s">
        <v>128</v>
      </c>
      <c r="D81" s="28" t="s">
        <v>129</v>
      </c>
      <c r="E81" s="28" t="s">
        <v>173</v>
      </c>
    </row>
    <row r="82" spans="1:9" x14ac:dyDescent="0.4">
      <c r="A82" s="28" t="s">
        <v>288</v>
      </c>
      <c r="B82" s="29">
        <v>43815.960185185184</v>
      </c>
      <c r="C82" s="28" t="s">
        <v>128</v>
      </c>
    </row>
    <row r="83" spans="1:9" x14ac:dyDescent="0.4">
      <c r="A83" s="28" t="s">
        <v>289</v>
      </c>
      <c r="B83" s="29">
        <v>43816.119837962964</v>
      </c>
      <c r="C83" s="28" t="s">
        <v>128</v>
      </c>
      <c r="D83" s="28" t="s">
        <v>129</v>
      </c>
      <c r="E83" s="28" t="s">
        <v>173</v>
      </c>
    </row>
    <row r="84" spans="1:9" x14ac:dyDescent="0.4">
      <c r="A84" s="28" t="s">
        <v>290</v>
      </c>
      <c r="B84" s="29">
        <v>43818.049363425926</v>
      </c>
      <c r="C84" s="28" t="s">
        <v>128</v>
      </c>
      <c r="D84" s="28" t="s">
        <v>129</v>
      </c>
    </row>
    <row r="85" spans="1:9" x14ac:dyDescent="0.4">
      <c r="A85" s="28" t="s">
        <v>291</v>
      </c>
      <c r="B85" s="29">
        <v>43837.741377314815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">
      <c r="A86" s="28" t="s">
        <v>292</v>
      </c>
      <c r="B86" s="29">
        <v>43837.741377314815</v>
      </c>
      <c r="C86" s="28" t="s">
        <v>128</v>
      </c>
      <c r="D86" s="28" t="s">
        <v>129</v>
      </c>
    </row>
    <row r="87" spans="1:9" x14ac:dyDescent="0.4">
      <c r="A87" s="28" t="s">
        <v>293</v>
      </c>
      <c r="B87" s="29">
        <v>43837.741377314815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">
      <c r="A88" s="28" t="s">
        <v>294</v>
      </c>
      <c r="B88" s="29">
        <v>43837.773657407408</v>
      </c>
      <c r="C88" s="28" t="s">
        <v>128</v>
      </c>
    </row>
    <row r="89" spans="1:9" x14ac:dyDescent="0.4">
      <c r="A89" s="28" t="s">
        <v>295</v>
      </c>
      <c r="B89" s="29">
        <v>43839.958333333336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">
      <c r="A90" s="28" t="s">
        <v>296</v>
      </c>
      <c r="B90" s="29">
        <v>43840.01121527778</v>
      </c>
      <c r="C90" s="28" t="s">
        <v>128</v>
      </c>
    </row>
    <row r="91" spans="1:9" x14ac:dyDescent="0.4">
      <c r="A91" s="28" t="s">
        <v>297</v>
      </c>
      <c r="B91" s="29">
        <v>43843.94021990741</v>
      </c>
      <c r="C91" s="28" t="s">
        <v>128</v>
      </c>
      <c r="D91" s="28" t="s">
        <v>129</v>
      </c>
      <c r="E91" s="28" t="s">
        <v>173</v>
      </c>
    </row>
    <row r="92" spans="1:9" x14ac:dyDescent="0.4">
      <c r="A92" s="28" t="s">
        <v>298</v>
      </c>
      <c r="B92" s="29">
        <v>43843.94023148148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">
      <c r="A93" s="28" t="s">
        <v>299</v>
      </c>
      <c r="B93" s="29">
        <v>43844.019513888888</v>
      </c>
      <c r="C93" s="28" t="s">
        <v>128</v>
      </c>
      <c r="D93" s="28" t="s">
        <v>129</v>
      </c>
      <c r="E93" s="28" t="s">
        <v>173</v>
      </c>
    </row>
    <row r="94" spans="1:9" x14ac:dyDescent="0.4">
      <c r="A94" s="28" t="s">
        <v>300</v>
      </c>
      <c r="B94" s="29">
        <v>43846.63857638889</v>
      </c>
      <c r="C94" s="28" t="s">
        <v>128</v>
      </c>
      <c r="D94" s="28" t="s">
        <v>129</v>
      </c>
      <c r="E94" s="28" t="s">
        <v>173</v>
      </c>
    </row>
    <row r="95" spans="1:9" x14ac:dyDescent="0.4">
      <c r="A95" s="28" t="s">
        <v>301</v>
      </c>
      <c r="B95" s="29">
        <v>43846.63857638889</v>
      </c>
      <c r="C95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909</v>
      </c>
    </row>
    <row r="2" spans="1:2" x14ac:dyDescent="0.4">
      <c r="A2" t="s">
        <v>161</v>
      </c>
      <c r="B2">
        <v>81</v>
      </c>
    </row>
    <row r="3" spans="1:2" x14ac:dyDescent="0.4">
      <c r="A3" t="s">
        <v>126</v>
      </c>
      <c r="B3">
        <v>178</v>
      </c>
    </row>
    <row r="4" spans="1:2" x14ac:dyDescent="0.4">
      <c r="A4" t="s">
        <v>127</v>
      </c>
      <c r="B4">
        <v>158</v>
      </c>
    </row>
    <row r="5" spans="1:2" x14ac:dyDescent="0.4">
      <c r="A5" t="s">
        <v>172</v>
      </c>
      <c r="B5">
        <v>98</v>
      </c>
    </row>
    <row r="6" spans="1:2" x14ac:dyDescent="0.4">
      <c r="A6" t="s">
        <v>170</v>
      </c>
      <c r="B6">
        <v>130</v>
      </c>
    </row>
    <row r="7" spans="1:2" x14ac:dyDescent="0.4">
      <c r="A7" t="s">
        <v>171</v>
      </c>
      <c r="B7">
        <v>142</v>
      </c>
    </row>
    <row r="8" spans="1:2" x14ac:dyDescent="0.4">
      <c r="A8" t="s">
        <v>197</v>
      </c>
      <c r="B8">
        <v>62</v>
      </c>
    </row>
    <row r="9" spans="1:2" x14ac:dyDescent="0.4">
      <c r="A9" t="s">
        <v>196</v>
      </c>
      <c r="B9">
        <v>25</v>
      </c>
    </row>
    <row r="10" spans="1:2" x14ac:dyDescent="0.4">
      <c r="A10" t="s">
        <v>228</v>
      </c>
      <c r="B10">
        <v>7</v>
      </c>
    </row>
    <row r="11" spans="1:2" x14ac:dyDescent="0.4">
      <c r="A11" t="s">
        <v>203</v>
      </c>
      <c r="B11">
        <v>2</v>
      </c>
    </row>
    <row r="12" spans="1:2" x14ac:dyDescent="0.4">
      <c r="A12" t="s">
        <v>274</v>
      </c>
      <c r="B12">
        <v>13</v>
      </c>
    </row>
    <row r="13" spans="1:2" x14ac:dyDescent="0.4">
      <c r="A13" t="s">
        <v>281</v>
      </c>
      <c r="B13">
        <v>8</v>
      </c>
    </row>
    <row r="14" spans="1:2" x14ac:dyDescent="0.4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">
      <c r="A2" s="68" t="s">
        <v>154</v>
      </c>
      <c r="B2" s="164"/>
      <c r="C2" s="165"/>
      <c r="D2" s="164"/>
      <c r="E2" s="165"/>
      <c r="F2" s="166">
        <v>0.96868464341989957</v>
      </c>
      <c r="G2" s="167"/>
      <c r="H2" s="166">
        <v>0.85009611027823351</v>
      </c>
      <c r="I2" s="167"/>
      <c r="J2" s="166">
        <v>0.8951119493330929</v>
      </c>
      <c r="K2" s="167"/>
      <c r="L2" s="166">
        <v>0.48022994677223635</v>
      </c>
      <c r="M2" s="167"/>
      <c r="N2" s="166">
        <v>0.56474594284383406</v>
      </c>
      <c r="O2" s="167"/>
      <c r="P2" s="166">
        <v>0.45782608521803908</v>
      </c>
      <c r="Q2" s="167"/>
      <c r="R2" s="166">
        <v>0.19573045836106109</v>
      </c>
      <c r="S2" s="167"/>
      <c r="T2" s="166">
        <v>0.38449620460346684</v>
      </c>
      <c r="U2" s="167"/>
      <c r="V2" s="166">
        <v>0.39987566225676896</v>
      </c>
      <c r="W2" s="167"/>
      <c r="X2" s="166">
        <v>0.10766499920738222</v>
      </c>
      <c r="Y2" s="167"/>
      <c r="Z2" s="166">
        <v>0.32581742078604192</v>
      </c>
      <c r="AA2" s="167"/>
      <c r="AB2" s="166">
        <v>-4.4203186996858414E-2</v>
      </c>
      <c r="AC2" s="167"/>
      <c r="AD2" s="166">
        <v>-5.4311710573836498E-2</v>
      </c>
      <c r="AE2" s="167"/>
      <c r="AF2" s="166">
        <v>0.85070735085143478</v>
      </c>
      <c r="AG2" s="167"/>
    </row>
    <row r="3" spans="1:33" x14ac:dyDescent="0.4">
      <c r="A3" s="70">
        <v>1</v>
      </c>
      <c r="B3" s="71" t="s">
        <v>126</v>
      </c>
      <c r="C3" s="72">
        <v>1526.1999999999996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10798.630136986301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">
      <c r="A4" s="78">
        <v>2</v>
      </c>
      <c r="B4" s="79" t="s">
        <v>170</v>
      </c>
      <c r="C4" s="80">
        <v>512.20000000000039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0.25280898876404495</v>
      </c>
      <c r="L4" s="81" t="s">
        <v>281</v>
      </c>
      <c r="M4" s="84">
        <v>0.37681159420289856</v>
      </c>
      <c r="N4" s="81" t="s">
        <v>126</v>
      </c>
      <c r="O4" s="84">
        <v>0.13082191780821917</v>
      </c>
      <c r="P4" s="81" t="s">
        <v>281</v>
      </c>
      <c r="Q4" s="85">
        <v>9534.6153846153848</v>
      </c>
      <c r="R4" s="81" t="s">
        <v>171</v>
      </c>
      <c r="S4" s="85">
        <v>-7051.875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0.61111111111111116</v>
      </c>
      <c r="AB4" s="81" t="s">
        <v>274</v>
      </c>
      <c r="AC4" s="84">
        <v>0.73333333333333328</v>
      </c>
      <c r="AD4" s="81" t="s">
        <v>170</v>
      </c>
      <c r="AE4" s="84">
        <v>0.51369863013698636</v>
      </c>
      <c r="AF4" s="81" t="s">
        <v>141</v>
      </c>
      <c r="AG4" s="88">
        <v>149100</v>
      </c>
    </row>
    <row r="5" spans="1:33" x14ac:dyDescent="0.4">
      <c r="A5" s="78">
        <v>3</v>
      </c>
      <c r="B5" s="79" t="s">
        <v>281</v>
      </c>
      <c r="C5" s="80">
        <v>106.5</v>
      </c>
      <c r="D5" s="81" t="s">
        <v>126</v>
      </c>
      <c r="E5" s="93">
        <v>8.5741573033707841</v>
      </c>
      <c r="F5" s="81" t="s">
        <v>126</v>
      </c>
      <c r="G5" s="82">
        <v>1.7921348314606742</v>
      </c>
      <c r="H5" s="81" t="s">
        <v>126</v>
      </c>
      <c r="I5" s="83">
        <v>0.4606741573033708</v>
      </c>
      <c r="J5" s="81" t="s">
        <v>171</v>
      </c>
      <c r="K5" s="83">
        <v>0.30281690140845069</v>
      </c>
      <c r="L5" s="81" t="s">
        <v>274</v>
      </c>
      <c r="M5" s="84">
        <v>0.3559322033898305</v>
      </c>
      <c r="N5" s="81" t="s">
        <v>171</v>
      </c>
      <c r="O5" s="84">
        <v>0.1388888888888889</v>
      </c>
      <c r="P5" s="81" t="s">
        <v>280</v>
      </c>
      <c r="Q5" s="85">
        <v>8512.5</v>
      </c>
      <c r="R5" s="81" t="s">
        <v>126</v>
      </c>
      <c r="S5" s="85">
        <v>-7777.486910994764</v>
      </c>
      <c r="T5" s="81" t="s">
        <v>126</v>
      </c>
      <c r="U5" s="83">
        <v>4.49438202247191E-2</v>
      </c>
      <c r="V5" s="81" t="s">
        <v>274</v>
      </c>
      <c r="W5" s="84">
        <v>0.30508474576271188</v>
      </c>
      <c r="X5" s="81" t="s">
        <v>127</v>
      </c>
      <c r="Y5" s="84">
        <v>0.29992406985573272</v>
      </c>
      <c r="Z5" s="81" t="s">
        <v>196</v>
      </c>
      <c r="AA5" s="84">
        <v>0.59677419354838712</v>
      </c>
      <c r="AB5" s="81" t="s">
        <v>126</v>
      </c>
      <c r="AC5" s="84">
        <v>0.48554913294797686</v>
      </c>
      <c r="AD5" s="81" t="s">
        <v>274</v>
      </c>
      <c r="AE5" s="84">
        <v>0.5</v>
      </c>
      <c r="AF5" s="81" t="s">
        <v>170</v>
      </c>
      <c r="AG5" s="88">
        <v>122100</v>
      </c>
    </row>
    <row r="6" spans="1:33" x14ac:dyDescent="0.4">
      <c r="A6" s="78">
        <v>4</v>
      </c>
      <c r="B6" s="79" t="s">
        <v>127</v>
      </c>
      <c r="C6" s="80">
        <v>47.099999999999817</v>
      </c>
      <c r="D6" s="81" t="s">
        <v>170</v>
      </c>
      <c r="E6" s="93">
        <v>3.9400000000000031</v>
      </c>
      <c r="F6" s="81" t="s">
        <v>170</v>
      </c>
      <c r="G6" s="82">
        <v>1.9230769230769231</v>
      </c>
      <c r="H6" s="81" t="s">
        <v>228</v>
      </c>
      <c r="I6" s="83">
        <v>0.42857142857142855</v>
      </c>
      <c r="J6" s="81" t="s">
        <v>127</v>
      </c>
      <c r="K6" s="83">
        <v>0.310126582278481</v>
      </c>
      <c r="L6" s="81" t="s">
        <v>126</v>
      </c>
      <c r="M6" s="84">
        <v>0.34178082191780823</v>
      </c>
      <c r="N6" s="81" t="s">
        <v>161</v>
      </c>
      <c r="O6" s="84">
        <v>0.1553398058252427</v>
      </c>
      <c r="P6" s="81" t="s">
        <v>196</v>
      </c>
      <c r="Q6" s="85">
        <v>8385.7142857142862</v>
      </c>
      <c r="R6" s="81" t="s">
        <v>161</v>
      </c>
      <c r="S6" s="85">
        <v>-7780.3571428571431</v>
      </c>
      <c r="T6" s="81" t="s">
        <v>171</v>
      </c>
      <c r="U6" s="83">
        <v>7.0422535211267609E-2</v>
      </c>
      <c r="V6" s="81" t="s">
        <v>170</v>
      </c>
      <c r="W6" s="84">
        <v>0.30434782608695654</v>
      </c>
      <c r="X6" s="81" t="s">
        <v>161</v>
      </c>
      <c r="Y6" s="84">
        <v>0.2579750346740638</v>
      </c>
      <c r="Z6" s="81" t="s">
        <v>126</v>
      </c>
      <c r="AA6" s="84">
        <v>0.58656330749354002</v>
      </c>
      <c r="AB6" s="81" t="s">
        <v>281</v>
      </c>
      <c r="AC6" s="84">
        <v>0.45454545454545453</v>
      </c>
      <c r="AD6" s="81" t="s">
        <v>172</v>
      </c>
      <c r="AE6" s="84">
        <v>0.47136563876651982</v>
      </c>
      <c r="AF6" s="81" t="s">
        <v>171</v>
      </c>
      <c r="AG6" s="88">
        <v>101400</v>
      </c>
    </row>
    <row r="7" spans="1:33" x14ac:dyDescent="0.4">
      <c r="A7" s="78">
        <v>5</v>
      </c>
      <c r="B7" s="79" t="s">
        <v>203</v>
      </c>
      <c r="C7" s="80">
        <v>26.2</v>
      </c>
      <c r="D7" s="81" t="s">
        <v>127</v>
      </c>
      <c r="E7" s="93">
        <v>0.29810126582278362</v>
      </c>
      <c r="F7" s="81" t="s">
        <v>127</v>
      </c>
      <c r="G7" s="82">
        <v>1.9683544303797469</v>
      </c>
      <c r="H7" s="81" t="s">
        <v>170</v>
      </c>
      <c r="I7" s="83">
        <v>0.4</v>
      </c>
      <c r="J7" s="81" t="s">
        <v>170</v>
      </c>
      <c r="K7" s="83">
        <v>0.32307692307692309</v>
      </c>
      <c r="L7" s="81" t="s">
        <v>127</v>
      </c>
      <c r="M7" s="84">
        <v>0.30827638572513288</v>
      </c>
      <c r="N7" s="81" t="s">
        <v>141</v>
      </c>
      <c r="O7" s="84">
        <v>0.1610826435422415</v>
      </c>
      <c r="P7" s="81" t="s">
        <v>141</v>
      </c>
      <c r="Q7" s="85">
        <v>8379.7682709447417</v>
      </c>
      <c r="R7" s="81" t="s">
        <v>141</v>
      </c>
      <c r="S7" s="85">
        <v>-7786.0522022838495</v>
      </c>
      <c r="T7" s="81" t="s">
        <v>172</v>
      </c>
      <c r="U7" s="83">
        <v>7.1428571428571425E-2</v>
      </c>
      <c r="V7" s="81" t="s">
        <v>172</v>
      </c>
      <c r="W7" s="84">
        <v>0.27672209026128264</v>
      </c>
      <c r="X7" s="81" t="s">
        <v>126</v>
      </c>
      <c r="Y7" s="84">
        <v>0.23698630136986301</v>
      </c>
      <c r="Z7" s="81" t="s">
        <v>171</v>
      </c>
      <c r="AA7" s="84">
        <v>0.55333333333333334</v>
      </c>
      <c r="AB7" s="81" t="s">
        <v>197</v>
      </c>
      <c r="AC7" s="84">
        <v>0.43220338983050849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">
      <c r="A8" s="78">
        <v>6</v>
      </c>
      <c r="B8" s="79" t="s">
        <v>141</v>
      </c>
      <c r="C8" s="80">
        <v>-5.3290705182007514E-14</v>
      </c>
      <c r="D8" s="81" t="s">
        <v>141</v>
      </c>
      <c r="E8" s="93">
        <v>-5.8625638264034663E-17</v>
      </c>
      <c r="F8" s="81" t="s">
        <v>274</v>
      </c>
      <c r="G8" s="82">
        <v>2</v>
      </c>
      <c r="H8" s="81" t="s">
        <v>274</v>
      </c>
      <c r="I8" s="83">
        <v>0.38461538461538464</v>
      </c>
      <c r="J8" s="81" t="s">
        <v>141</v>
      </c>
      <c r="K8" s="83">
        <v>0.33333333333333331</v>
      </c>
      <c r="L8" s="81" t="s">
        <v>141</v>
      </c>
      <c r="M8" s="84">
        <v>0.29483642096964918</v>
      </c>
      <c r="N8" s="81" t="s">
        <v>274</v>
      </c>
      <c r="O8" s="84">
        <v>0.16949152542372881</v>
      </c>
      <c r="P8" s="81" t="s">
        <v>171</v>
      </c>
      <c r="Q8" s="85">
        <v>8240.9937888198765</v>
      </c>
      <c r="R8" s="81" t="s">
        <v>172</v>
      </c>
      <c r="S8" s="85">
        <v>-7814.3790849673205</v>
      </c>
      <c r="T8" s="81" t="s">
        <v>161</v>
      </c>
      <c r="U8" s="83">
        <v>7.407407407407407E-2</v>
      </c>
      <c r="V8" s="81" t="s">
        <v>203</v>
      </c>
      <c r="W8" s="84">
        <v>0.26666666666666666</v>
      </c>
      <c r="X8" s="81" t="s">
        <v>171</v>
      </c>
      <c r="Y8" s="84">
        <v>0.23177083333333334</v>
      </c>
      <c r="Z8" s="81" t="s">
        <v>141</v>
      </c>
      <c r="AA8" s="84">
        <v>0.55186721991701249</v>
      </c>
      <c r="AB8" s="81" t="s">
        <v>171</v>
      </c>
      <c r="AC8" s="84">
        <v>0.42322097378277151</v>
      </c>
      <c r="AD8" s="81" t="s">
        <v>197</v>
      </c>
      <c r="AE8" s="84">
        <v>0.45522388059701491</v>
      </c>
      <c r="AF8" s="81" t="s">
        <v>127</v>
      </c>
      <c r="AG8" s="88">
        <v>91800</v>
      </c>
    </row>
    <row r="9" spans="1:33" x14ac:dyDescent="0.4">
      <c r="A9" s="78">
        <v>7</v>
      </c>
      <c r="B9" s="79" t="s">
        <v>196</v>
      </c>
      <c r="C9" s="80">
        <v>-45.7</v>
      </c>
      <c r="D9" s="81" t="s">
        <v>171</v>
      </c>
      <c r="E9" s="93">
        <v>-1.0021126760563379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281</v>
      </c>
      <c r="K9" s="83">
        <v>0.375</v>
      </c>
      <c r="L9" s="81" t="s">
        <v>161</v>
      </c>
      <c r="M9" s="84">
        <v>0.28155339805825241</v>
      </c>
      <c r="N9" s="81" t="s">
        <v>170</v>
      </c>
      <c r="O9" s="84">
        <v>0.17013232514177692</v>
      </c>
      <c r="P9" s="81" t="s">
        <v>126</v>
      </c>
      <c r="Q9" s="85">
        <v>8220.8416833667343</v>
      </c>
      <c r="R9" s="81" t="s">
        <v>127</v>
      </c>
      <c r="S9" s="85">
        <v>-7830.1255230125525</v>
      </c>
      <c r="T9" s="81" t="s">
        <v>141</v>
      </c>
      <c r="U9" s="83">
        <v>9.3509350935093508E-2</v>
      </c>
      <c r="V9" s="81" t="s">
        <v>126</v>
      </c>
      <c r="W9" s="84">
        <v>0.26506849315068493</v>
      </c>
      <c r="X9" s="81" t="s">
        <v>141</v>
      </c>
      <c r="Y9" s="84">
        <v>0.2317698068584943</v>
      </c>
      <c r="Z9" s="81" t="s">
        <v>170</v>
      </c>
      <c r="AA9" s="84">
        <v>0.5496894409937888</v>
      </c>
      <c r="AB9" s="81" t="s">
        <v>141</v>
      </c>
      <c r="AC9" s="84">
        <v>0.42006802721088438</v>
      </c>
      <c r="AD9" s="81" t="s">
        <v>141</v>
      </c>
      <c r="AE9" s="84">
        <v>0.44830659536541889</v>
      </c>
      <c r="AF9" s="81" t="s">
        <v>161</v>
      </c>
      <c r="AG9" s="88">
        <v>87400</v>
      </c>
    </row>
    <row r="10" spans="1:33" x14ac:dyDescent="0.4">
      <c r="A10" s="78">
        <v>8</v>
      </c>
      <c r="B10" s="79" t="s">
        <v>274</v>
      </c>
      <c r="C10" s="80">
        <v>-47.6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0.34177215189873417</v>
      </c>
      <c r="J10" s="81" t="s">
        <v>274</v>
      </c>
      <c r="K10" s="83">
        <v>0.38461538461538464</v>
      </c>
      <c r="L10" s="81" t="s">
        <v>171</v>
      </c>
      <c r="M10" s="84">
        <v>0.2795138888888889</v>
      </c>
      <c r="N10" s="81" t="s">
        <v>196</v>
      </c>
      <c r="O10" s="84">
        <v>0.17499999999999999</v>
      </c>
      <c r="P10" s="81" t="s">
        <v>127</v>
      </c>
      <c r="Q10" s="85">
        <v>8142.6108374384239</v>
      </c>
      <c r="R10" s="81" t="s">
        <v>280</v>
      </c>
      <c r="S10" s="85">
        <v>-7987.5</v>
      </c>
      <c r="T10" s="81" t="s">
        <v>127</v>
      </c>
      <c r="U10" s="83">
        <v>0.11392405063291139</v>
      </c>
      <c r="V10" s="81" t="s">
        <v>171</v>
      </c>
      <c r="W10" s="84">
        <v>0.26041666666666669</v>
      </c>
      <c r="X10" s="81" t="s">
        <v>197</v>
      </c>
      <c r="Y10" s="84">
        <v>0.22823984526112184</v>
      </c>
      <c r="Z10" s="81" t="s">
        <v>161</v>
      </c>
      <c r="AA10" s="84">
        <v>0.54285714285714282</v>
      </c>
      <c r="AB10" s="81" t="s">
        <v>161</v>
      </c>
      <c r="AC10" s="84">
        <v>0.41935483870967744</v>
      </c>
      <c r="AD10" s="81" t="s">
        <v>171</v>
      </c>
      <c r="AE10" s="84">
        <v>0.44409937888198758</v>
      </c>
      <c r="AF10" s="81" t="s">
        <v>197</v>
      </c>
      <c r="AG10" s="88">
        <v>85100</v>
      </c>
    </row>
    <row r="11" spans="1:33" x14ac:dyDescent="0.4">
      <c r="A11" s="78">
        <v>9</v>
      </c>
      <c r="B11" s="79" t="s">
        <v>280</v>
      </c>
      <c r="C11" s="80">
        <v>-80.800000000000011</v>
      </c>
      <c r="D11" s="81" t="s">
        <v>274</v>
      </c>
      <c r="E11" s="93">
        <v>-3.6615384615384619</v>
      </c>
      <c r="F11" s="81" t="s">
        <v>171</v>
      </c>
      <c r="G11" s="82">
        <v>2.056338028169014</v>
      </c>
      <c r="H11" s="81" t="s">
        <v>141</v>
      </c>
      <c r="I11" s="83">
        <v>0.33333333333333331</v>
      </c>
      <c r="J11" s="81" t="s">
        <v>172</v>
      </c>
      <c r="K11" s="83">
        <v>0.39795918367346939</v>
      </c>
      <c r="L11" s="81" t="s">
        <v>170</v>
      </c>
      <c r="M11" s="84">
        <v>0.27599243856332706</v>
      </c>
      <c r="N11" s="81" t="s">
        <v>197</v>
      </c>
      <c r="O11" s="84">
        <v>0.17794970986460348</v>
      </c>
      <c r="P11" s="81" t="s">
        <v>197</v>
      </c>
      <c r="Q11" s="85">
        <v>8070.1492537313434</v>
      </c>
      <c r="R11" s="81" t="s">
        <v>203</v>
      </c>
      <c r="S11" s="85">
        <v>-8000</v>
      </c>
      <c r="T11" s="81" t="s">
        <v>170</v>
      </c>
      <c r="U11" s="83">
        <v>0.11538461538461539</v>
      </c>
      <c r="V11" s="81" t="s">
        <v>196</v>
      </c>
      <c r="W11" s="84">
        <v>0.25833333333333336</v>
      </c>
      <c r="X11" s="81" t="s">
        <v>172</v>
      </c>
      <c r="Y11" s="84">
        <v>0.19121140142517815</v>
      </c>
      <c r="Z11" s="81" t="s">
        <v>172</v>
      </c>
      <c r="AA11" s="84">
        <v>0.54077253218884125</v>
      </c>
      <c r="AB11" s="81" t="s">
        <v>172</v>
      </c>
      <c r="AC11" s="84">
        <v>0.40993788819875776</v>
      </c>
      <c r="AD11" s="81" t="s">
        <v>161</v>
      </c>
      <c r="AE11" s="84">
        <v>0.42857142857142855</v>
      </c>
      <c r="AF11" s="81" t="s">
        <v>281</v>
      </c>
      <c r="AG11" s="88">
        <v>70900</v>
      </c>
    </row>
    <row r="12" spans="1:33" x14ac:dyDescent="0.4">
      <c r="A12" s="78">
        <v>10</v>
      </c>
      <c r="B12" s="79" t="s">
        <v>228</v>
      </c>
      <c r="C12" s="80">
        <v>-104.80000000000001</v>
      </c>
      <c r="D12" s="81" t="s">
        <v>161</v>
      </c>
      <c r="E12" s="93">
        <v>-5.3197530864197562</v>
      </c>
      <c r="F12" s="81" t="s">
        <v>161</v>
      </c>
      <c r="G12" s="82">
        <v>2.1111111111111112</v>
      </c>
      <c r="H12" s="81" t="s">
        <v>161</v>
      </c>
      <c r="I12" s="83">
        <v>0.30864197530864196</v>
      </c>
      <c r="J12" s="81" t="s">
        <v>196</v>
      </c>
      <c r="K12" s="83">
        <v>0.4</v>
      </c>
      <c r="L12" s="81" t="s">
        <v>172</v>
      </c>
      <c r="M12" s="84">
        <v>0.26959619952494063</v>
      </c>
      <c r="N12" s="81" t="s">
        <v>127</v>
      </c>
      <c r="O12" s="84">
        <v>0.18147304479878512</v>
      </c>
      <c r="P12" s="81" t="s">
        <v>172</v>
      </c>
      <c r="Q12" s="85">
        <v>7816.7400881057265</v>
      </c>
      <c r="R12" s="81" t="s">
        <v>170</v>
      </c>
      <c r="S12" s="85">
        <v>-8105.5555555555557</v>
      </c>
      <c r="T12" s="81" t="s">
        <v>196</v>
      </c>
      <c r="U12" s="83">
        <v>0.12</v>
      </c>
      <c r="V12" s="81" t="s">
        <v>141</v>
      </c>
      <c r="W12" s="84">
        <v>0.25331756667980554</v>
      </c>
      <c r="X12" s="81" t="s">
        <v>170</v>
      </c>
      <c r="Y12" s="84">
        <v>0.18525519848771266</v>
      </c>
      <c r="Z12" s="81" t="s">
        <v>228</v>
      </c>
      <c r="AA12" s="84">
        <v>0.53333333333333333</v>
      </c>
      <c r="AB12" s="81" t="s">
        <v>170</v>
      </c>
      <c r="AC12" s="84">
        <v>0.38265306122448978</v>
      </c>
      <c r="AD12" s="81" t="s">
        <v>126</v>
      </c>
      <c r="AE12" s="84">
        <v>0.42685370741482964</v>
      </c>
      <c r="AF12" s="81" t="s">
        <v>172</v>
      </c>
      <c r="AG12" s="88">
        <v>69500</v>
      </c>
    </row>
    <row r="13" spans="1:33" x14ac:dyDescent="0.4">
      <c r="A13" s="78">
        <v>11</v>
      </c>
      <c r="B13" s="79" t="s">
        <v>171</v>
      </c>
      <c r="C13" s="80">
        <v>-142.29999999999998</v>
      </c>
      <c r="D13" s="81" t="s">
        <v>172</v>
      </c>
      <c r="E13" s="93">
        <v>-7.1499999999999995</v>
      </c>
      <c r="F13" s="81" t="s">
        <v>228</v>
      </c>
      <c r="G13" s="82">
        <v>2.1428571428571428</v>
      </c>
      <c r="H13" s="81" t="s">
        <v>171</v>
      </c>
      <c r="I13" s="83">
        <v>0.24647887323943662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172</v>
      </c>
      <c r="O13" s="84">
        <v>0.18171021377672208</v>
      </c>
      <c r="P13" s="81" t="s">
        <v>228</v>
      </c>
      <c r="Q13" s="85">
        <v>7473.333333333333</v>
      </c>
      <c r="R13" s="81" t="s">
        <v>274</v>
      </c>
      <c r="S13" s="85">
        <v>-8205</v>
      </c>
      <c r="T13" s="81" t="s">
        <v>197</v>
      </c>
      <c r="U13" s="83">
        <v>0.16129032258064516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197</v>
      </c>
      <c r="AA13" s="84">
        <v>0.52293577981651373</v>
      </c>
      <c r="AB13" s="81" t="s">
        <v>127</v>
      </c>
      <c r="AC13" s="84">
        <v>0.37721518987341773</v>
      </c>
      <c r="AD13" s="81" t="s">
        <v>127</v>
      </c>
      <c r="AE13" s="84">
        <v>0.41133004926108374</v>
      </c>
      <c r="AF13" s="81" t="s">
        <v>274</v>
      </c>
      <c r="AG13" s="88">
        <v>65900</v>
      </c>
    </row>
    <row r="14" spans="1:33" x14ac:dyDescent="0.4">
      <c r="A14" s="78">
        <v>12</v>
      </c>
      <c r="B14" s="79" t="s">
        <v>161</v>
      </c>
      <c r="C14" s="80">
        <v>-430.90000000000026</v>
      </c>
      <c r="D14" s="81" t="s">
        <v>197</v>
      </c>
      <c r="E14" s="93">
        <v>-10.732258064516131</v>
      </c>
      <c r="F14" s="81" t="s">
        <v>172</v>
      </c>
      <c r="G14" s="82">
        <v>2.1836734693877551</v>
      </c>
      <c r="H14" s="81" t="s">
        <v>172</v>
      </c>
      <c r="I14" s="83">
        <v>0.21428571428571427</v>
      </c>
      <c r="J14" s="81" t="s">
        <v>161</v>
      </c>
      <c r="K14" s="83">
        <v>0.41975308641975306</v>
      </c>
      <c r="L14" s="81" t="s">
        <v>197</v>
      </c>
      <c r="M14" s="84">
        <v>0.25918762088974856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-8323.9130434782601</v>
      </c>
      <c r="T14" s="81" t="s">
        <v>280</v>
      </c>
      <c r="U14" s="83">
        <v>0.2</v>
      </c>
      <c r="V14" s="81" t="s">
        <v>127</v>
      </c>
      <c r="W14" s="84">
        <v>0.23690205011389523</v>
      </c>
      <c r="X14" s="81" t="s">
        <v>196</v>
      </c>
      <c r="Y14" s="84">
        <v>0.15</v>
      </c>
      <c r="Z14" s="81" t="s">
        <v>127</v>
      </c>
      <c r="AA14" s="84">
        <v>0.51282051282051277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">
      <c r="A15" s="78">
        <v>13</v>
      </c>
      <c r="B15" s="79" t="s">
        <v>197</v>
      </c>
      <c r="C15" s="80">
        <v>-665.40000000000009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197</v>
      </c>
      <c r="K15" s="83">
        <v>0.43548387096774194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7173.8916256157636</v>
      </c>
      <c r="R15" s="81" t="s">
        <v>281</v>
      </c>
      <c r="S15" s="85">
        <v>-8437.5</v>
      </c>
      <c r="T15" s="81" t="s">
        <v>274</v>
      </c>
      <c r="U15" s="83">
        <v>0.23076923076923078</v>
      </c>
      <c r="V15" s="81" t="s">
        <v>197</v>
      </c>
      <c r="W15" s="84">
        <v>0.21083172147001933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">
      <c r="A16" s="78">
        <v>14</v>
      </c>
      <c r="B16" s="79" t="s">
        <v>172</v>
      </c>
      <c r="C16" s="80">
        <v>-700.69999999999993</v>
      </c>
      <c r="D16" s="81" t="s">
        <v>280</v>
      </c>
      <c r="E16" s="93">
        <v>-16.160000000000004</v>
      </c>
      <c r="F16" s="81" t="s">
        <v>197</v>
      </c>
      <c r="G16" s="82">
        <v>2.274193548387097</v>
      </c>
      <c r="H16" s="81" t="s">
        <v>197</v>
      </c>
      <c r="I16" s="83">
        <v>0.16129032258064516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6407.1428571428569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0.14563106796116504</v>
      </c>
      <c r="X16" s="81" t="s">
        <v>274</v>
      </c>
      <c r="Y16" s="84">
        <v>0.1271186440677966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91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909</v>
      </c>
      <c r="C2" s="155"/>
      <c r="E2" s="58" t="s">
        <v>66</v>
      </c>
      <c r="F2" s="55" t="s">
        <v>22</v>
      </c>
      <c r="G2" s="43">
        <v>1694</v>
      </c>
      <c r="H2" s="128">
        <f>IF(B$15=0,0,G2/B$15)</f>
        <v>0.75490196078431371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-29.801324503311257</v>
      </c>
      <c r="P2" s="114">
        <v>906</v>
      </c>
      <c r="Q2" s="98">
        <v>-27000</v>
      </c>
    </row>
    <row r="3" spans="1:17" x14ac:dyDescent="0.4">
      <c r="A3" s="51" t="s">
        <v>8</v>
      </c>
      <c r="B3" s="156">
        <v>7611</v>
      </c>
      <c r="C3" s="157"/>
      <c r="E3" s="59" t="s">
        <v>72</v>
      </c>
      <c r="F3" s="56" t="s">
        <v>27</v>
      </c>
      <c r="G3" s="44">
        <v>1204</v>
      </c>
      <c r="H3" s="129">
        <f>IF(B$15=0,0,G3/B$15)</f>
        <v>0.53654188948306591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8.9485458612975393</v>
      </c>
      <c r="P3" s="115">
        <v>894</v>
      </c>
      <c r="Q3" s="99">
        <v>8000</v>
      </c>
    </row>
    <row r="4" spans="1:17" x14ac:dyDescent="0.4">
      <c r="A4" s="51" t="s">
        <v>6</v>
      </c>
      <c r="B4" s="158">
        <v>-5.3290705182007514E-14</v>
      </c>
      <c r="C4" s="159"/>
      <c r="E4" s="59" t="s">
        <v>64</v>
      </c>
      <c r="F4" s="56" t="s">
        <v>20</v>
      </c>
      <c r="G4" s="44">
        <v>1027</v>
      </c>
      <c r="H4" s="129">
        <f>IF(B$15=0,0,G4/B$15)</f>
        <v>0.45766488413547235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-2.3809523809523809</v>
      </c>
      <c r="P4" s="115">
        <v>840</v>
      </c>
      <c r="Q4" s="99">
        <v>-2000</v>
      </c>
    </row>
    <row r="5" spans="1:17" x14ac:dyDescent="0.4">
      <c r="A5" s="51" t="s">
        <v>7</v>
      </c>
      <c r="B5" s="160">
        <f>IF(B$2=0,0,B$4/B$2)</f>
        <v>-5.8625638264034663E-17</v>
      </c>
      <c r="C5" s="161"/>
      <c r="E5" s="59" t="s">
        <v>166</v>
      </c>
      <c r="F5" s="56" t="s">
        <v>167</v>
      </c>
      <c r="G5" s="44">
        <v>871</v>
      </c>
      <c r="H5" s="129">
        <f>IF(B$15=0,0,G5/B$15)</f>
        <v>0.38814616755793224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0"/>
        <v>8.8383838383838391</v>
      </c>
      <c r="P5" s="115">
        <v>792</v>
      </c>
      <c r="Q5" s="99">
        <v>7000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700</v>
      </c>
      <c r="H6" s="129">
        <f>IF(B$15=0,0,G6/B$15)</f>
        <v>0.31194295900178254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4.1152263374485596</v>
      </c>
      <c r="P6" s="115">
        <v>729</v>
      </c>
      <c r="Q6" s="99">
        <v>3000</v>
      </c>
    </row>
    <row r="7" spans="1:17" x14ac:dyDescent="0.4">
      <c r="A7" s="51" t="s">
        <v>2</v>
      </c>
      <c r="B7" s="44">
        <v>303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630</v>
      </c>
      <c r="H7" s="129">
        <f>IF(B$15=0,0,G7/B$15)</f>
        <v>0.28074866310160429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14.77832512315271</v>
      </c>
      <c r="P7" s="116">
        <v>609</v>
      </c>
      <c r="Q7" s="100">
        <v>9000</v>
      </c>
    </row>
    <row r="8" spans="1:17" x14ac:dyDescent="0.4">
      <c r="A8" s="51" t="s">
        <v>3</v>
      </c>
      <c r="B8" s="44">
        <v>303</v>
      </c>
      <c r="C8" s="37">
        <f t="shared" si="1"/>
        <v>0.33333333333333331</v>
      </c>
      <c r="E8" s="59" t="s">
        <v>69</v>
      </c>
      <c r="F8" s="56" t="s">
        <v>24</v>
      </c>
      <c r="G8" s="44">
        <v>322</v>
      </c>
      <c r="H8" s="129">
        <f>IF(B$15=0,0,G8/B$15)</f>
        <v>0.14349376114081996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303</v>
      </c>
      <c r="C9" s="38">
        <f t="shared" si="1"/>
        <v>0.33333333333333331</v>
      </c>
      <c r="E9" s="59" t="s">
        <v>89</v>
      </c>
      <c r="F9" s="56" t="s">
        <v>44</v>
      </c>
      <c r="G9" s="44">
        <v>310</v>
      </c>
      <c r="H9" s="129">
        <f>IF(B$15=0,0,G9/B$15)</f>
        <v>0.13814616755793227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85</v>
      </c>
      <c r="C10" s="40">
        <f t="shared" si="1"/>
        <v>9.3509350935093508E-2</v>
      </c>
      <c r="E10" s="59" t="s">
        <v>65</v>
      </c>
      <c r="F10" s="56" t="s">
        <v>21</v>
      </c>
      <c r="G10" s="44">
        <v>236</v>
      </c>
      <c r="H10" s="129">
        <f>IF(B$15=0,0,G10/B$15)</f>
        <v>0.10516934046345811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-3.3168316831683167</v>
      </c>
      <c r="P10" s="114">
        <v>303</v>
      </c>
      <c r="Q10" s="102">
        <v>-1004.9999999999999</v>
      </c>
    </row>
    <row r="11" spans="1:17" x14ac:dyDescent="0.4">
      <c r="A11" s="54" t="s">
        <v>121</v>
      </c>
      <c r="B11" s="47">
        <v>1928</v>
      </c>
      <c r="C11" s="42">
        <f>IF(B$3=0,0,B11/B$3)</f>
        <v>0.25331756667980554</v>
      </c>
      <c r="E11" s="59" t="s">
        <v>70</v>
      </c>
      <c r="F11" s="56" t="s">
        <v>25</v>
      </c>
      <c r="G11" s="44">
        <v>208</v>
      </c>
      <c r="H11" s="129">
        <f>IF(B$15=0,0,G11/B$15)</f>
        <v>9.2691622103386814E-2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0.84191419141914203</v>
      </c>
      <c r="P11" s="115">
        <v>303</v>
      </c>
      <c r="Q11" s="103">
        <v>255.10000000000002</v>
      </c>
    </row>
    <row r="12" spans="1:17" x14ac:dyDescent="0.4">
      <c r="A12" s="51" t="s">
        <v>118</v>
      </c>
      <c r="B12" s="44">
        <v>1764</v>
      </c>
      <c r="C12" s="37">
        <f>IF(B$3=0,0,B12/B$3)</f>
        <v>0.2317698068584943</v>
      </c>
      <c r="E12" s="59" t="s">
        <v>71</v>
      </c>
      <c r="F12" s="56" t="s">
        <v>26</v>
      </c>
      <c r="G12" s="44">
        <v>178</v>
      </c>
      <c r="H12" s="129">
        <f>IF(B$15=0,0,G12/B$15)</f>
        <v>7.9322638146167551E-2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2.4749174917491739</v>
      </c>
      <c r="P12" s="116">
        <v>303</v>
      </c>
      <c r="Q12" s="104">
        <v>749.89999999999964</v>
      </c>
    </row>
    <row r="13" spans="1:17" x14ac:dyDescent="0.4">
      <c r="A13" s="50" t="s">
        <v>123</v>
      </c>
      <c r="B13" s="43">
        <f>B19</f>
        <v>1064</v>
      </c>
      <c r="C13" s="35">
        <f>IF(B$11=0,0,B13/B$11)</f>
        <v>0.55186721991701249</v>
      </c>
      <c r="E13" s="59" t="s">
        <v>83</v>
      </c>
      <c r="F13" s="56" t="s">
        <v>38</v>
      </c>
      <c r="G13" s="44">
        <v>113</v>
      </c>
      <c r="H13" s="129">
        <f>IF(B$15=0,0,G13/B$15)</f>
        <v>5.0356506238859178E-2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741</v>
      </c>
      <c r="C14" s="35">
        <f>IF(B$12=0,0,B14/B$12)</f>
        <v>0.42006802721088438</v>
      </c>
      <c r="E14" s="59" t="s">
        <v>86</v>
      </c>
      <c r="F14" s="56" t="s">
        <v>41</v>
      </c>
      <c r="G14" s="44">
        <v>111</v>
      </c>
      <c r="H14" s="129">
        <f>IF(B$15=0,0,G14/B$15)</f>
        <v>4.9465240641711233E-2</v>
      </c>
      <c r="I14" s="90">
        <v>5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2244</v>
      </c>
      <c r="C15" s="35">
        <f>IF(B$3=0,0,B15/B$3)</f>
        <v>0.29483642096964918</v>
      </c>
      <c r="E15" s="59" t="s">
        <v>78</v>
      </c>
      <c r="F15" s="56" t="s">
        <v>33</v>
      </c>
      <c r="G15" s="44">
        <v>63</v>
      </c>
      <c r="H15" s="129">
        <f>IF(B$15=0,0,G15/B$15)</f>
        <v>2.8074866310160429E-2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">
      <c r="A16" s="51" t="s">
        <v>13</v>
      </c>
      <c r="B16" s="44">
        <v>1226</v>
      </c>
      <c r="C16" s="37">
        <f>IF(B$3=0,0,B16/B$3)</f>
        <v>0.1610826435422415</v>
      </c>
      <c r="E16" s="59" t="s">
        <v>162</v>
      </c>
      <c r="F16" s="56" t="s">
        <v>163</v>
      </c>
      <c r="G16" s="44">
        <v>48</v>
      </c>
      <c r="H16" s="129">
        <f>IF(B$15=0,0,G16/B$15)</f>
        <v>2.1390374331550801E-2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1" t="s">
        <v>12</v>
      </c>
      <c r="B17" s="44">
        <v>1006</v>
      </c>
      <c r="C17" s="37">
        <f>IF(B$15=0,0,B17/B$15)</f>
        <v>0.44830659536541889</v>
      </c>
      <c r="E17" s="59" t="s">
        <v>81</v>
      </c>
      <c r="F17" s="56" t="s">
        <v>36</v>
      </c>
      <c r="G17" s="44">
        <v>47</v>
      </c>
      <c r="H17" s="129">
        <f>IF(B$15=0,0,G17/B$15)</f>
        <v>2.0944741532976829E-2</v>
      </c>
      <c r="I17" s="90">
        <v>4</v>
      </c>
      <c r="K17" s="36">
        <v>15</v>
      </c>
      <c r="L17" s="95">
        <v>0</v>
      </c>
      <c r="N17" s="111" t="s">
        <v>197</v>
      </c>
      <c r="O17" s="121">
        <f>IF(P17=0,0,Q17/P17)</f>
        <v>16.098387096774179</v>
      </c>
      <c r="P17" s="115">
        <v>124</v>
      </c>
      <c r="Q17" s="103">
        <v>1996.1999999999982</v>
      </c>
    </row>
    <row r="18" spans="1:17" x14ac:dyDescent="0.4">
      <c r="A18" s="51" t="s">
        <v>11</v>
      </c>
      <c r="B18" s="44">
        <v>1238</v>
      </c>
      <c r="C18" s="37">
        <f>IF(B$15=0,0,B18/B$15)</f>
        <v>0.55169340463458105</v>
      </c>
      <c r="E18" s="59" t="s">
        <v>91</v>
      </c>
      <c r="F18" s="56" t="s">
        <v>46</v>
      </c>
      <c r="G18" s="44">
        <v>35</v>
      </c>
      <c r="H18" s="129">
        <f>IF(B$15=0,0,G18/B$15)</f>
        <v>1.5597147950089126E-2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10.724999999999994</v>
      </c>
      <c r="P18" s="115">
        <v>196</v>
      </c>
      <c r="Q18" s="103">
        <v>2102.099999999999</v>
      </c>
    </row>
    <row r="19" spans="1:17" x14ac:dyDescent="0.4">
      <c r="A19" s="51" t="s">
        <v>195</v>
      </c>
      <c r="B19" s="44">
        <v>1064</v>
      </c>
      <c r="C19" s="37">
        <f>IF(B$15=0,0,B19/B$15)</f>
        <v>0.47415329768270947</v>
      </c>
      <c r="E19" s="59" t="s">
        <v>79</v>
      </c>
      <c r="F19" s="56" t="s">
        <v>34</v>
      </c>
      <c r="G19" s="44">
        <v>32</v>
      </c>
      <c r="H19" s="129">
        <f>IF(B$15=0,0,G19/B$15)</f>
        <v>1.4260249554367201E-2</v>
      </c>
      <c r="I19" s="90">
        <v>7</v>
      </c>
      <c r="K19" s="36">
        <v>17</v>
      </c>
      <c r="L19" s="95">
        <v>-20.5</v>
      </c>
      <c r="N19" s="111" t="s">
        <v>274</v>
      </c>
      <c r="O19" s="121">
        <f>IF(P19=0,0,Q19/P19)</f>
        <v>5.4923076923076897</v>
      </c>
      <c r="P19" s="115">
        <v>26</v>
      </c>
      <c r="Q19" s="103">
        <v>142.79999999999993</v>
      </c>
    </row>
    <row r="20" spans="1:17" x14ac:dyDescent="0.4">
      <c r="A20" s="51" t="s">
        <v>193</v>
      </c>
      <c r="B20" s="44">
        <v>741</v>
      </c>
      <c r="C20" s="37">
        <f>IF(B$15=0,0,B20/B$15)</f>
        <v>0.3302139037433155</v>
      </c>
      <c r="E20" s="59" t="s">
        <v>75</v>
      </c>
      <c r="F20" s="56" t="s">
        <v>30</v>
      </c>
      <c r="G20" s="44">
        <v>18</v>
      </c>
      <c r="H20" s="129">
        <f>IF(B$15=0,0,G20/B$15)</f>
        <v>8.0213903743315516E-3</v>
      </c>
      <c r="I20" s="90">
        <v>6</v>
      </c>
      <c r="K20" s="36">
        <v>18</v>
      </c>
      <c r="L20" s="95">
        <v>0</v>
      </c>
      <c r="N20" s="111" t="s">
        <v>161</v>
      </c>
      <c r="O20" s="121">
        <f>IF(P20=0,0,Q20/P20)</f>
        <v>5.4674157303370707</v>
      </c>
      <c r="P20" s="115">
        <v>178</v>
      </c>
      <c r="Q20" s="103">
        <v>973.19999999999857</v>
      </c>
    </row>
    <row r="21" spans="1:17" x14ac:dyDescent="0.4">
      <c r="A21" s="51" t="s">
        <v>194</v>
      </c>
      <c r="B21" s="44">
        <v>439</v>
      </c>
      <c r="C21" s="37">
        <f>IF(B$15=0,0,B21/B$15)</f>
        <v>0.19563279857397503</v>
      </c>
      <c r="E21" s="59" t="s">
        <v>85</v>
      </c>
      <c r="F21" s="56" t="s">
        <v>40</v>
      </c>
      <c r="G21" s="44">
        <v>13</v>
      </c>
      <c r="H21" s="129">
        <f>IF(B$15=0,0,G21/B$15)</f>
        <v>5.7932263814616759E-3</v>
      </c>
      <c r="I21" s="90">
        <v>6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">
      <c r="A22" s="51" t="s">
        <v>5</v>
      </c>
      <c r="B22" s="48">
        <f>IF(B$15=0,0,C22/B$15)</f>
        <v>8379.7682709447417</v>
      </c>
      <c r="C22" s="39">
        <v>18804200</v>
      </c>
      <c r="E22" s="59" t="s">
        <v>92</v>
      </c>
      <c r="F22" s="56" t="s">
        <v>47</v>
      </c>
      <c r="G22" s="44">
        <v>13</v>
      </c>
      <c r="H22" s="129">
        <f>IF(B$15=0,0,G22/B$15)</f>
        <v>5.7932263814616759E-3</v>
      </c>
      <c r="I22" s="90">
        <v>5</v>
      </c>
      <c r="K22" s="36">
        <v>20</v>
      </c>
      <c r="L22" s="95">
        <v>-61.199999999999996</v>
      </c>
      <c r="N22" s="111" t="s">
        <v>171</v>
      </c>
      <c r="O22" s="121">
        <f>IF(P22=0,0,Q22/P22)</f>
        <v>1.5031690140845073</v>
      </c>
      <c r="P22" s="115">
        <v>284</v>
      </c>
      <c r="Q22" s="103">
        <v>426.90000000000009</v>
      </c>
    </row>
    <row r="23" spans="1:17" x14ac:dyDescent="0.4">
      <c r="A23" s="52" t="s">
        <v>177</v>
      </c>
      <c r="B23" s="136">
        <f>IF($B$15-B$14=0,0,C23/($B$15-B$14))</f>
        <v>9030.1397205588819</v>
      </c>
      <c r="C23" s="137">
        <v>13572300</v>
      </c>
      <c r="E23" s="59" t="s">
        <v>73</v>
      </c>
      <c r="F23" s="56" t="s">
        <v>28</v>
      </c>
      <c r="G23" s="44">
        <v>8</v>
      </c>
      <c r="H23" s="129">
        <f>IF(B$15=0,0,G23/B$15)</f>
        <v>3.5650623885918001E-3</v>
      </c>
      <c r="I23" s="90">
        <v>3</v>
      </c>
      <c r="K23" s="36">
        <v>21</v>
      </c>
      <c r="L23" s="95">
        <v>7.1054273576010019E-15</v>
      </c>
      <c r="N23" s="111" t="s">
        <v>127</v>
      </c>
      <c r="O23" s="121">
        <f>IF(P23=0,0,Q23/P23)</f>
        <v>-0.44715189873418104</v>
      </c>
      <c r="P23" s="115">
        <v>316</v>
      </c>
      <c r="Q23" s="103">
        <v>-141.30000000000121</v>
      </c>
    </row>
    <row r="24" spans="1:17" x14ac:dyDescent="0.4">
      <c r="A24" s="52" t="s">
        <v>178</v>
      </c>
      <c r="B24" s="136">
        <f>IF(B$14=0,0,C24/B$14)</f>
        <v>7060.59379217274</v>
      </c>
      <c r="C24" s="137">
        <v>5231900</v>
      </c>
      <c r="E24" s="59" t="s">
        <v>74</v>
      </c>
      <c r="F24" s="56" t="s">
        <v>29</v>
      </c>
      <c r="G24" s="44">
        <v>8</v>
      </c>
      <c r="H24" s="129">
        <f>IF(B$15=0,0,G24/B$15)</f>
        <v>3.5650623885918001E-3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-5.909999999999993</v>
      </c>
      <c r="P24" s="115">
        <v>260</v>
      </c>
      <c r="Q24" s="103">
        <v>-1536.5999999999981</v>
      </c>
    </row>
    <row r="25" spans="1:17" x14ac:dyDescent="0.4">
      <c r="A25" s="52" t="s">
        <v>176</v>
      </c>
      <c r="B25" s="136">
        <f>IF(B$16=0,0,C25/B$16)</f>
        <v>-7786.0522022838495</v>
      </c>
      <c r="C25" s="137">
        <v>-9545700</v>
      </c>
      <c r="E25" s="59" t="s">
        <v>84</v>
      </c>
      <c r="F25" s="56" t="s">
        <v>39</v>
      </c>
      <c r="G25" s="44">
        <v>7</v>
      </c>
      <c r="H25" s="129">
        <f>IF(B$15=0,0,G25/B$15)</f>
        <v>3.1194295900178253E-3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-12.861235955056188</v>
      </c>
      <c r="P25" s="115">
        <v>356</v>
      </c>
      <c r="Q25" s="103">
        <v>-4578.6000000000031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6</v>
      </c>
      <c r="H26" s="129">
        <f>IF(B$15=0,0,G26/B$15)</f>
        <v>2.6737967914438501E-3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">
      <c r="A27" s="51" t="s">
        <v>165</v>
      </c>
      <c r="B27" s="44">
        <v>31</v>
      </c>
      <c r="C27" s="131">
        <v>4</v>
      </c>
      <c r="E27" s="59" t="s">
        <v>88</v>
      </c>
      <c r="F27" s="56" t="s">
        <v>43</v>
      </c>
      <c r="G27" s="44">
        <v>5</v>
      </c>
      <c r="H27" s="129">
        <f>IF(B$15=0,0,G27/B$15)</f>
        <v>2.2281639928698753E-3</v>
      </c>
      <c r="I27" s="90">
        <v>4</v>
      </c>
      <c r="K27" s="36">
        <v>25</v>
      </c>
      <c r="L27" s="95">
        <v>15.000000000000007</v>
      </c>
    </row>
    <row r="28" spans="1:17" x14ac:dyDescent="0.4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4</v>
      </c>
      <c r="H28" s="129">
        <f>IF(B$15=0,0,G28/B$15)</f>
        <v>1.7825311942959001E-3</v>
      </c>
      <c r="I28" s="90">
        <v>5</v>
      </c>
      <c r="K28" s="36">
        <v>26</v>
      </c>
      <c r="L28" s="95">
        <v>0.60000000000000675</v>
      </c>
    </row>
    <row r="29" spans="1:17" x14ac:dyDescent="0.4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1.7825311942959001E-3</v>
      </c>
      <c r="I29" s="90">
        <v>4</v>
      </c>
      <c r="K29" s="36">
        <v>27</v>
      </c>
      <c r="L29" s="95">
        <v>6.7723604502134549E-15</v>
      </c>
    </row>
    <row r="30" spans="1:17" x14ac:dyDescent="0.4">
      <c r="A30" s="53" t="s">
        <v>139</v>
      </c>
      <c r="B30" s="61">
        <v>21</v>
      </c>
      <c r="C30" s="40">
        <f>IF(B$3=0,0,B30/B$3)</f>
        <v>2.7591643673630273E-3</v>
      </c>
      <c r="E30" s="59" t="s">
        <v>93</v>
      </c>
      <c r="F30" s="56" t="s">
        <v>48</v>
      </c>
      <c r="G30" s="44">
        <v>4</v>
      </c>
      <c r="H30" s="129">
        <f>IF(B$15=0,0,G30/B$15)</f>
        <v>1.7825311942959001E-3</v>
      </c>
      <c r="I30" s="90">
        <v>4</v>
      </c>
      <c r="K30" s="36">
        <v>28</v>
      </c>
      <c r="L30" s="95">
        <v>-30.199999999999992</v>
      </c>
    </row>
    <row r="31" spans="1:17" x14ac:dyDescent="0.4">
      <c r="E31" s="59" t="s">
        <v>95</v>
      </c>
      <c r="F31" s="56" t="s">
        <v>50</v>
      </c>
      <c r="G31" s="44">
        <v>4</v>
      </c>
      <c r="H31" s="129">
        <f>IF(B$15=0,0,G31/B$15)</f>
        <v>1.7825311942959001E-3</v>
      </c>
      <c r="I31" s="90">
        <v>4</v>
      </c>
      <c r="K31" s="36">
        <v>29</v>
      </c>
      <c r="L31" s="95">
        <v>-2.3999999999999915</v>
      </c>
    </row>
    <row r="32" spans="1:17" x14ac:dyDescent="0.4">
      <c r="A32" s="86" t="s">
        <v>183</v>
      </c>
      <c r="B32" s="144">
        <v>176</v>
      </c>
      <c r="C32" s="141">
        <f>IF(B$15=0,0,B32/B$15)</f>
        <v>7.8431372549019607E-2</v>
      </c>
      <c r="E32" s="59" t="s">
        <v>97</v>
      </c>
      <c r="F32" s="56" t="s">
        <v>52</v>
      </c>
      <c r="G32" s="44">
        <v>1</v>
      </c>
      <c r="H32" s="129">
        <f>IF(B$15=0,0,G32/B$15)</f>
        <v>4.4563279857397502E-4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179</v>
      </c>
      <c r="B33" s="44">
        <v>382</v>
      </c>
      <c r="C33" s="37">
        <f t="shared" ref="C33:C44" si="2">IF(B$15=0,0,B33/B$15)</f>
        <v>0.17023172905525846</v>
      </c>
      <c r="E33" s="59" t="s">
        <v>101</v>
      </c>
      <c r="F33" s="56" t="s">
        <v>56</v>
      </c>
      <c r="G33" s="44">
        <v>1</v>
      </c>
      <c r="H33" s="129">
        <f>IF(B$15=0,0,G33/B$15)</f>
        <v>4.4563279857397502E-4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180</v>
      </c>
      <c r="B34" s="145">
        <v>436</v>
      </c>
      <c r="C34" s="37">
        <f>IF(B$15=0,0,B34/B$15)</f>
        <v>0.19429590017825313</v>
      </c>
      <c r="E34" s="59" t="s">
        <v>106</v>
      </c>
      <c r="F34" s="56" t="s">
        <v>113</v>
      </c>
      <c r="G34" s="44">
        <v>1</v>
      </c>
      <c r="H34" s="129">
        <f>IF(B$15=0,0,G34/B$15)</f>
        <v>4.4563279857397502E-4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181</v>
      </c>
      <c r="B35" s="145">
        <v>396</v>
      </c>
      <c r="C35" s="37">
        <f t="shared" si="2"/>
        <v>0.17647058823529413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182</v>
      </c>
      <c r="B36" s="145">
        <v>355</v>
      </c>
      <c r="C36" s="37">
        <f t="shared" si="2"/>
        <v>0.15819964349376114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184</v>
      </c>
      <c r="B37" s="145">
        <v>244</v>
      </c>
      <c r="C37" s="37">
        <f t="shared" si="2"/>
        <v>0.10873440285204991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185</v>
      </c>
      <c r="B38" s="145">
        <v>117</v>
      </c>
      <c r="C38" s="37">
        <f t="shared" si="2"/>
        <v>5.213903743315508E-2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186</v>
      </c>
      <c r="B39" s="145">
        <v>63</v>
      </c>
      <c r="C39" s="37">
        <f t="shared" si="2"/>
        <v>2.8074866310160429E-2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187</v>
      </c>
      <c r="B40" s="145">
        <v>28</v>
      </c>
      <c r="C40" s="37">
        <f t="shared" si="2"/>
        <v>1.2477718360071301E-2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188</v>
      </c>
      <c r="B41" s="145">
        <v>10</v>
      </c>
      <c r="C41" s="37">
        <f t="shared" si="2"/>
        <v>4.4563279857397506E-3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189</v>
      </c>
      <c r="B42" s="145">
        <v>6</v>
      </c>
      <c r="C42" s="37">
        <f t="shared" si="2"/>
        <v>2.6737967914438501E-3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190</v>
      </c>
      <c r="B43" s="145">
        <v>6</v>
      </c>
      <c r="C43" s="37">
        <f t="shared" si="2"/>
        <v>2.6737967914438501E-3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3" t="s">
        <v>191</v>
      </c>
      <c r="B44" s="140">
        <v>25</v>
      </c>
      <c r="C44" s="40">
        <f t="shared" si="2"/>
        <v>1.1140819964349376E-2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33.49999999999995</v>
      </c>
    </row>
    <row r="607" spans="11:12" x14ac:dyDescent="0.4">
      <c r="K607" s="36">
        <v>605</v>
      </c>
      <c r="L607" s="95">
        <v>0.6999999999999531</v>
      </c>
    </row>
    <row r="608" spans="11:12" x14ac:dyDescent="0.4">
      <c r="K608" s="36">
        <v>606</v>
      </c>
      <c r="L608" s="95">
        <v>-4.6851411639181606E-14</v>
      </c>
    </row>
    <row r="609" spans="11:12" x14ac:dyDescent="0.4">
      <c r="K609" s="36">
        <v>607</v>
      </c>
      <c r="L609" s="95">
        <v>11.999999999999954</v>
      </c>
    </row>
    <row r="610" spans="11:12" x14ac:dyDescent="0.4">
      <c r="K610" s="36">
        <v>608</v>
      </c>
      <c r="L610" s="95">
        <v>38.299999999999955</v>
      </c>
    </row>
    <row r="611" spans="11:12" x14ac:dyDescent="0.4">
      <c r="K611" s="36">
        <v>609</v>
      </c>
      <c r="L611" s="95">
        <v>-4.2632564145606011E-14</v>
      </c>
    </row>
    <row r="612" spans="11:12" x14ac:dyDescent="0.4">
      <c r="K612" s="36">
        <v>610</v>
      </c>
      <c r="L612" s="95">
        <v>7.3999999999999577</v>
      </c>
    </row>
    <row r="613" spans="11:12" x14ac:dyDescent="0.4">
      <c r="K613" s="36">
        <v>611</v>
      </c>
      <c r="L613" s="95">
        <v>26.799999999999955</v>
      </c>
    </row>
    <row r="614" spans="11:12" x14ac:dyDescent="0.4">
      <c r="K614" s="36">
        <v>612</v>
      </c>
      <c r="L614" s="95">
        <v>-4.6185277824406512E-14</v>
      </c>
    </row>
    <row r="615" spans="11:12" x14ac:dyDescent="0.4">
      <c r="K615" s="36">
        <v>613</v>
      </c>
      <c r="L615" s="95">
        <v>-26.800000000000047</v>
      </c>
    </row>
    <row r="616" spans="11:12" x14ac:dyDescent="0.4">
      <c r="K616" s="36">
        <v>614</v>
      </c>
      <c r="L616" s="95">
        <v>-5.3000000000000469</v>
      </c>
    </row>
    <row r="617" spans="11:12" x14ac:dyDescent="0.4">
      <c r="K617" s="36">
        <v>615</v>
      </c>
      <c r="L617" s="95">
        <v>-4.7073456244106637E-14</v>
      </c>
    </row>
    <row r="618" spans="11:12" x14ac:dyDescent="0.4">
      <c r="K618" s="36">
        <v>616</v>
      </c>
      <c r="L618" s="95">
        <v>-20.200000000000045</v>
      </c>
    </row>
    <row r="619" spans="11:12" x14ac:dyDescent="0.4">
      <c r="K619" s="36">
        <v>617</v>
      </c>
      <c r="L619" s="95">
        <v>-28.900000000000045</v>
      </c>
    </row>
    <row r="620" spans="11:12" x14ac:dyDescent="0.4">
      <c r="K620" s="36">
        <v>618</v>
      </c>
      <c r="L620" s="95">
        <v>-4.6185277824406512E-14</v>
      </c>
    </row>
    <row r="621" spans="11:12" x14ac:dyDescent="0.4">
      <c r="K621" s="36">
        <v>619</v>
      </c>
      <c r="L621" s="95">
        <v>-22.600000000000048</v>
      </c>
    </row>
    <row r="622" spans="11:12" x14ac:dyDescent="0.4">
      <c r="K622" s="36">
        <v>620</v>
      </c>
      <c r="L622" s="95">
        <v>-20.000000000000046</v>
      </c>
    </row>
    <row r="623" spans="11:12" x14ac:dyDescent="0.4">
      <c r="K623" s="36">
        <v>621</v>
      </c>
      <c r="L623" s="95">
        <v>-4.6185277824406512E-14</v>
      </c>
    </row>
    <row r="624" spans="11:12" x14ac:dyDescent="0.4">
      <c r="K624" s="36">
        <v>622</v>
      </c>
      <c r="L624" s="95">
        <v>42.299999999999955</v>
      </c>
    </row>
    <row r="625" spans="11:12" x14ac:dyDescent="0.4">
      <c r="K625" s="36">
        <v>623</v>
      </c>
      <c r="L625" s="95">
        <v>46.999999999999957</v>
      </c>
    </row>
    <row r="626" spans="11:12" x14ac:dyDescent="0.4">
      <c r="K626" s="36">
        <v>624</v>
      </c>
      <c r="L626" s="95">
        <v>-4.2632564145606011E-14</v>
      </c>
    </row>
    <row r="627" spans="11:12" x14ac:dyDescent="0.4">
      <c r="K627" s="36">
        <v>625</v>
      </c>
      <c r="L627" s="95">
        <v>-21.600000000000044</v>
      </c>
    </row>
    <row r="628" spans="11:12" x14ac:dyDescent="0.4">
      <c r="K628" s="36">
        <v>626</v>
      </c>
      <c r="L628" s="95">
        <v>0.59999999999995524</v>
      </c>
    </row>
    <row r="629" spans="11:12" x14ac:dyDescent="0.4">
      <c r="K629" s="36">
        <v>627</v>
      </c>
      <c r="L629" s="95">
        <v>-4.4741987892393809E-14</v>
      </c>
    </row>
    <row r="630" spans="11:12" x14ac:dyDescent="0.4">
      <c r="K630" s="36">
        <v>628</v>
      </c>
      <c r="L630" s="95">
        <v>1.0999999999999552</v>
      </c>
    </row>
    <row r="631" spans="11:12" x14ac:dyDescent="0.4">
      <c r="K631" s="36">
        <v>629</v>
      </c>
      <c r="L631" s="95">
        <v>-47.400000000000048</v>
      </c>
    </row>
    <row r="632" spans="11:12" x14ac:dyDescent="0.4">
      <c r="K632" s="36">
        <v>630</v>
      </c>
      <c r="L632" s="95">
        <v>-4.9737991503207013E-14</v>
      </c>
    </row>
    <row r="633" spans="11:12" x14ac:dyDescent="0.4">
      <c r="K633" s="36">
        <v>631</v>
      </c>
      <c r="L633" s="95">
        <v>-55.50000000000005</v>
      </c>
    </row>
    <row r="634" spans="11:12" x14ac:dyDescent="0.4">
      <c r="K634" s="36">
        <v>632</v>
      </c>
      <c r="L634" s="95">
        <v>-66.200000000000045</v>
      </c>
    </row>
    <row r="635" spans="11:12" x14ac:dyDescent="0.4">
      <c r="K635" s="36">
        <v>633</v>
      </c>
      <c r="L635" s="95">
        <v>-4.2632564145606011E-14</v>
      </c>
    </row>
    <row r="636" spans="11:12" x14ac:dyDescent="0.4">
      <c r="K636" s="36">
        <v>634</v>
      </c>
      <c r="L636" s="95">
        <v>54.19999999999996</v>
      </c>
    </row>
    <row r="637" spans="11:12" x14ac:dyDescent="0.4">
      <c r="K637" s="36">
        <v>635</v>
      </c>
      <c r="L637" s="95">
        <v>48.69999999999996</v>
      </c>
    </row>
    <row r="638" spans="11:12" x14ac:dyDescent="0.4">
      <c r="K638" s="36">
        <v>636</v>
      </c>
      <c r="L638" s="95">
        <v>-4.2632564145606011E-14</v>
      </c>
    </row>
    <row r="639" spans="11:12" x14ac:dyDescent="0.4">
      <c r="K639" s="36">
        <v>637</v>
      </c>
      <c r="L639" s="95">
        <v>15.699999999999957</v>
      </c>
    </row>
    <row r="640" spans="11:12" x14ac:dyDescent="0.4">
      <c r="K640" s="36">
        <v>638</v>
      </c>
      <c r="L640" s="95">
        <v>18.299999999999958</v>
      </c>
    </row>
    <row r="641" spans="11:12" x14ac:dyDescent="0.4">
      <c r="K641" s="36">
        <v>639</v>
      </c>
      <c r="L641" s="95">
        <v>-4.2632564145606011E-14</v>
      </c>
    </row>
    <row r="642" spans="11:12" x14ac:dyDescent="0.4">
      <c r="K642" s="36">
        <v>640</v>
      </c>
      <c r="L642" s="95">
        <v>26.799999999999958</v>
      </c>
    </row>
    <row r="643" spans="11:12" x14ac:dyDescent="0.4">
      <c r="K643" s="36">
        <v>641</v>
      </c>
      <c r="L643" s="95">
        <v>-14.900000000000045</v>
      </c>
    </row>
    <row r="644" spans="11:12" x14ac:dyDescent="0.4">
      <c r="K644" s="36">
        <v>642</v>
      </c>
      <c r="L644" s="95">
        <v>-4.4408920985006262E-14</v>
      </c>
    </row>
    <row r="645" spans="11:12" x14ac:dyDescent="0.4">
      <c r="K645" s="36">
        <v>643</v>
      </c>
      <c r="L645" s="95">
        <v>57.799999999999955</v>
      </c>
    </row>
    <row r="646" spans="11:12" x14ac:dyDescent="0.4">
      <c r="K646" s="36">
        <v>644</v>
      </c>
      <c r="L646" s="95">
        <v>45.199999999999953</v>
      </c>
    </row>
    <row r="647" spans="11:12" x14ac:dyDescent="0.4">
      <c r="K647" s="36">
        <v>645</v>
      </c>
      <c r="L647" s="95">
        <v>-4.9737991503207013E-14</v>
      </c>
    </row>
    <row r="648" spans="11:12" x14ac:dyDescent="0.4">
      <c r="K648" s="36">
        <v>646</v>
      </c>
      <c r="L648" s="95">
        <v>-4.5000000000000497</v>
      </c>
    </row>
    <row r="649" spans="11:12" x14ac:dyDescent="0.4">
      <c r="K649" s="36">
        <v>647</v>
      </c>
      <c r="L649" s="95">
        <v>-28.80000000000005</v>
      </c>
    </row>
    <row r="650" spans="11:12" x14ac:dyDescent="0.4">
      <c r="K650" s="36">
        <v>648</v>
      </c>
      <c r="L650" s="95">
        <v>-4.9737991503207013E-14</v>
      </c>
    </row>
    <row r="651" spans="11:12" x14ac:dyDescent="0.4">
      <c r="K651" s="36">
        <v>649</v>
      </c>
      <c r="L651" s="95">
        <v>-19.700000000000049</v>
      </c>
    </row>
    <row r="652" spans="11:12" x14ac:dyDescent="0.4">
      <c r="K652" s="36">
        <v>650</v>
      </c>
      <c r="L652" s="95">
        <v>-1.6000000000000476</v>
      </c>
    </row>
    <row r="653" spans="11:12" x14ac:dyDescent="0.4">
      <c r="K653" s="36">
        <v>651</v>
      </c>
      <c r="L653" s="95">
        <v>-4.75175454539567E-14</v>
      </c>
    </row>
    <row r="654" spans="11:12" x14ac:dyDescent="0.4">
      <c r="K654" s="36">
        <v>652</v>
      </c>
      <c r="L654" s="95">
        <v>-46.800000000000047</v>
      </c>
    </row>
    <row r="655" spans="11:12" x14ac:dyDescent="0.4">
      <c r="K655" s="36">
        <v>653</v>
      </c>
      <c r="L655" s="95">
        <v>29.599999999999959</v>
      </c>
    </row>
    <row r="656" spans="11:12" x14ac:dyDescent="0.4">
      <c r="K656" s="36">
        <v>654</v>
      </c>
      <c r="L656" s="95">
        <v>-4.2632564145606011E-14</v>
      </c>
    </row>
    <row r="657" spans="11:12" x14ac:dyDescent="0.4">
      <c r="K657" s="36">
        <v>655</v>
      </c>
      <c r="L657" s="95">
        <v>36.799999999999955</v>
      </c>
    </row>
    <row r="658" spans="11:12" x14ac:dyDescent="0.4">
      <c r="K658" s="36">
        <v>656</v>
      </c>
      <c r="L658" s="95">
        <v>0.89999999999995595</v>
      </c>
    </row>
    <row r="659" spans="11:12" x14ac:dyDescent="0.4">
      <c r="K659" s="36">
        <v>657</v>
      </c>
      <c r="L659" s="95">
        <v>-4.4075854077618715E-14</v>
      </c>
    </row>
    <row r="660" spans="11:12" x14ac:dyDescent="0.4">
      <c r="K660" s="36">
        <v>658</v>
      </c>
      <c r="L660" s="95">
        <v>0.5999999999999559</v>
      </c>
    </row>
    <row r="661" spans="11:12" x14ac:dyDescent="0.4">
      <c r="K661" s="36">
        <v>659</v>
      </c>
      <c r="L661" s="95">
        <v>18.699999999999957</v>
      </c>
    </row>
    <row r="662" spans="11:12" x14ac:dyDescent="0.4">
      <c r="K662" s="36">
        <v>660</v>
      </c>
      <c r="L662" s="95">
        <v>-4.2632564145606011E-14</v>
      </c>
    </row>
    <row r="663" spans="11:12" x14ac:dyDescent="0.4">
      <c r="K663" s="36">
        <v>661</v>
      </c>
      <c r="L663" s="95">
        <v>-18.500000000000043</v>
      </c>
    </row>
    <row r="664" spans="11:12" x14ac:dyDescent="0.4">
      <c r="K664" s="36">
        <v>662</v>
      </c>
      <c r="L664" s="95">
        <v>-63.600000000000044</v>
      </c>
    </row>
    <row r="665" spans="11:12" x14ac:dyDescent="0.4">
      <c r="K665" s="36">
        <v>663</v>
      </c>
      <c r="L665" s="95">
        <v>-4.2632564145606011E-14</v>
      </c>
    </row>
    <row r="666" spans="11:12" x14ac:dyDescent="0.4">
      <c r="K666" s="36">
        <v>664</v>
      </c>
      <c r="L666" s="95">
        <v>35.19999999999996</v>
      </c>
    </row>
    <row r="667" spans="11:12" x14ac:dyDescent="0.4">
      <c r="K667" s="36">
        <v>665</v>
      </c>
      <c r="L667" s="95">
        <v>-11.500000000000043</v>
      </c>
    </row>
    <row r="668" spans="11:12" x14ac:dyDescent="0.4">
      <c r="K668" s="36">
        <v>666</v>
      </c>
      <c r="L668" s="95">
        <v>-4.2632564145606011E-14</v>
      </c>
    </row>
    <row r="669" spans="11:12" x14ac:dyDescent="0.4">
      <c r="K669" s="36">
        <v>667</v>
      </c>
      <c r="L669" s="95">
        <v>28.899999999999956</v>
      </c>
    </row>
    <row r="670" spans="11:12" x14ac:dyDescent="0.4">
      <c r="K670" s="36">
        <v>668</v>
      </c>
      <c r="L670" s="95">
        <v>25.399999999999956</v>
      </c>
    </row>
    <row r="671" spans="11:12" x14ac:dyDescent="0.4">
      <c r="K671" s="36">
        <v>669</v>
      </c>
      <c r="L671" s="95">
        <v>-4.2632564145606011E-14</v>
      </c>
    </row>
    <row r="672" spans="11:12" x14ac:dyDescent="0.4">
      <c r="K672" s="36">
        <v>670</v>
      </c>
      <c r="L672" s="95">
        <v>3.2999999999999572</v>
      </c>
    </row>
    <row r="673" spans="11:12" x14ac:dyDescent="0.4">
      <c r="K673" s="36">
        <v>671</v>
      </c>
      <c r="L673" s="95">
        <v>22.699999999999957</v>
      </c>
    </row>
    <row r="674" spans="11:12" x14ac:dyDescent="0.4">
      <c r="K674" s="36">
        <v>672</v>
      </c>
      <c r="L674" s="95">
        <v>-4.2632564145606011E-14</v>
      </c>
    </row>
    <row r="675" spans="11:12" x14ac:dyDescent="0.4">
      <c r="K675" s="36">
        <v>673</v>
      </c>
      <c r="L675" s="95">
        <v>8.9999999999999574</v>
      </c>
    </row>
    <row r="676" spans="11:12" x14ac:dyDescent="0.4">
      <c r="K676" s="36">
        <v>674</v>
      </c>
      <c r="L676" s="95">
        <v>-43.600000000000044</v>
      </c>
    </row>
    <row r="677" spans="11:12" x14ac:dyDescent="0.4">
      <c r="K677" s="36">
        <v>675</v>
      </c>
      <c r="L677" s="95">
        <v>-4.2632564145606011E-14</v>
      </c>
    </row>
    <row r="678" spans="11:12" x14ac:dyDescent="0.4">
      <c r="K678" s="36">
        <v>676</v>
      </c>
      <c r="L678" s="95">
        <v>27.399999999999956</v>
      </c>
    </row>
    <row r="679" spans="11:12" x14ac:dyDescent="0.4">
      <c r="K679" s="36">
        <v>677</v>
      </c>
      <c r="L679" s="95">
        <v>41.999999999999957</v>
      </c>
    </row>
    <row r="680" spans="11:12" x14ac:dyDescent="0.4">
      <c r="K680" s="36">
        <v>678</v>
      </c>
      <c r="L680" s="95">
        <v>-4.2632564145606011E-14</v>
      </c>
    </row>
    <row r="681" spans="11:12" x14ac:dyDescent="0.4">
      <c r="K681" s="36">
        <v>679</v>
      </c>
      <c r="L681" s="95">
        <v>-22.300000000000043</v>
      </c>
    </row>
    <row r="682" spans="11:12" x14ac:dyDescent="0.4">
      <c r="K682" s="36">
        <v>680</v>
      </c>
      <c r="L682" s="95">
        <v>-17.100000000000044</v>
      </c>
    </row>
    <row r="683" spans="11:12" x14ac:dyDescent="0.4">
      <c r="K683" s="36">
        <v>681</v>
      </c>
      <c r="L683" s="95">
        <v>-4.2632564145606011E-14</v>
      </c>
    </row>
    <row r="684" spans="11:12" x14ac:dyDescent="0.4">
      <c r="K684" s="36">
        <v>682</v>
      </c>
      <c r="L684" s="95">
        <v>-5.0000000000000426</v>
      </c>
    </row>
    <row r="685" spans="11:12" x14ac:dyDescent="0.4">
      <c r="K685" s="36">
        <v>683</v>
      </c>
      <c r="L685" s="95">
        <v>19.999999999999957</v>
      </c>
    </row>
    <row r="686" spans="11:12" x14ac:dyDescent="0.4">
      <c r="K686" s="36">
        <v>684</v>
      </c>
      <c r="L686" s="95">
        <v>-4.2632564145606011E-14</v>
      </c>
    </row>
    <row r="687" spans="11:12" x14ac:dyDescent="0.4">
      <c r="K687" s="36">
        <v>685</v>
      </c>
      <c r="L687" s="95">
        <v>47.499999999999957</v>
      </c>
    </row>
    <row r="688" spans="11:12" x14ac:dyDescent="0.4">
      <c r="K688" s="36">
        <v>686</v>
      </c>
      <c r="L688" s="95">
        <v>45.499999999999957</v>
      </c>
    </row>
    <row r="689" spans="11:12" x14ac:dyDescent="0.4">
      <c r="K689" s="36">
        <v>687</v>
      </c>
      <c r="L689" s="95">
        <v>-4.2632564145606011E-14</v>
      </c>
    </row>
    <row r="690" spans="11:12" x14ac:dyDescent="0.4">
      <c r="K690" s="36">
        <v>688</v>
      </c>
      <c r="L690" s="95">
        <v>4.1999999999999575</v>
      </c>
    </row>
    <row r="691" spans="11:12" x14ac:dyDescent="0.4">
      <c r="K691" s="36">
        <v>689</v>
      </c>
      <c r="L691" s="95">
        <v>26.199999999999957</v>
      </c>
    </row>
    <row r="692" spans="11:12" x14ac:dyDescent="0.4">
      <c r="K692" s="36">
        <v>690</v>
      </c>
      <c r="L692" s="95">
        <v>-4.2632564145606011E-14</v>
      </c>
    </row>
    <row r="693" spans="11:12" x14ac:dyDescent="0.4">
      <c r="K693" s="36">
        <v>691</v>
      </c>
      <c r="L693" s="95">
        <v>46.19999999999996</v>
      </c>
    </row>
    <row r="694" spans="11:12" x14ac:dyDescent="0.4">
      <c r="K694" s="36">
        <v>692</v>
      </c>
      <c r="L694" s="95">
        <v>-5.3000000000000398</v>
      </c>
    </row>
    <row r="695" spans="11:12" x14ac:dyDescent="0.4">
      <c r="K695" s="36">
        <v>693</v>
      </c>
      <c r="L695" s="95">
        <v>-3.9968028886505635E-14</v>
      </c>
    </row>
    <row r="696" spans="11:12" x14ac:dyDescent="0.4">
      <c r="K696" s="36">
        <v>694</v>
      </c>
      <c r="L696" s="95">
        <v>5.5999999999999597</v>
      </c>
    </row>
    <row r="697" spans="11:12" x14ac:dyDescent="0.4">
      <c r="K697" s="36">
        <v>695</v>
      </c>
      <c r="L697" s="95">
        <v>23.19999999999996</v>
      </c>
    </row>
    <row r="698" spans="11:12" x14ac:dyDescent="0.4">
      <c r="K698" s="36">
        <v>696</v>
      </c>
      <c r="L698" s="95">
        <v>-3.907985046680551E-14</v>
      </c>
    </row>
    <row r="699" spans="11:12" x14ac:dyDescent="0.4">
      <c r="K699" s="36">
        <v>697</v>
      </c>
      <c r="L699" s="95">
        <v>3.8999999999999608</v>
      </c>
    </row>
    <row r="700" spans="11:12" x14ac:dyDescent="0.4">
      <c r="K700" s="36">
        <v>698</v>
      </c>
      <c r="L700" s="95">
        <v>-36.30000000000004</v>
      </c>
    </row>
    <row r="701" spans="11:12" x14ac:dyDescent="0.4">
      <c r="K701" s="36">
        <v>699</v>
      </c>
      <c r="L701" s="95">
        <v>-4.2632564145606011E-14</v>
      </c>
    </row>
    <row r="702" spans="11:12" x14ac:dyDescent="0.4">
      <c r="K702" s="36">
        <v>700</v>
      </c>
      <c r="L702" s="95">
        <v>-7.0000000000000426</v>
      </c>
    </row>
    <row r="703" spans="11:12" x14ac:dyDescent="0.4">
      <c r="K703" s="36">
        <v>701</v>
      </c>
      <c r="L703" s="95">
        <v>-35.700000000000045</v>
      </c>
    </row>
    <row r="704" spans="11:12" x14ac:dyDescent="0.4">
      <c r="K704" s="36">
        <v>702</v>
      </c>
      <c r="L704" s="95">
        <v>-4.2632564145606011E-14</v>
      </c>
    </row>
    <row r="705" spans="11:12" x14ac:dyDescent="0.4">
      <c r="K705" s="36">
        <v>703</v>
      </c>
      <c r="L705" s="95">
        <v>-7.1000000000000423</v>
      </c>
    </row>
    <row r="706" spans="11:12" x14ac:dyDescent="0.4">
      <c r="K706" s="36">
        <v>704</v>
      </c>
      <c r="L706" s="95">
        <v>17.599999999999959</v>
      </c>
    </row>
    <row r="707" spans="11:12" x14ac:dyDescent="0.4">
      <c r="K707" s="36">
        <v>705</v>
      </c>
      <c r="L707" s="95">
        <v>-4.2632564145606011E-14</v>
      </c>
    </row>
    <row r="708" spans="11:12" x14ac:dyDescent="0.4">
      <c r="K708" s="36">
        <v>706</v>
      </c>
      <c r="L708" s="95">
        <v>32.999999999999957</v>
      </c>
    </row>
    <row r="709" spans="11:12" x14ac:dyDescent="0.4">
      <c r="K709" s="36">
        <v>707</v>
      </c>
      <c r="L709" s="95">
        <v>33.099999999999959</v>
      </c>
    </row>
    <row r="710" spans="11:12" x14ac:dyDescent="0.4">
      <c r="K710" s="36">
        <v>708</v>
      </c>
      <c r="L710" s="95">
        <v>-4.2632564145606011E-14</v>
      </c>
    </row>
    <row r="711" spans="11:12" x14ac:dyDescent="0.4">
      <c r="K711" s="36">
        <v>709</v>
      </c>
      <c r="L711" s="95">
        <v>-12.100000000000042</v>
      </c>
    </row>
    <row r="712" spans="11:12" x14ac:dyDescent="0.4">
      <c r="K712" s="36">
        <v>710</v>
      </c>
      <c r="L712" s="95">
        <v>-12.800000000000042</v>
      </c>
    </row>
    <row r="713" spans="11:12" x14ac:dyDescent="0.4">
      <c r="K713" s="36">
        <v>711</v>
      </c>
      <c r="L713" s="95">
        <v>-4.0856207306205761E-14</v>
      </c>
    </row>
    <row r="714" spans="11:12" x14ac:dyDescent="0.4">
      <c r="K714" s="36">
        <v>712</v>
      </c>
      <c r="L714" s="95">
        <v>-13.800000000000042</v>
      </c>
    </row>
    <row r="715" spans="11:12" x14ac:dyDescent="0.4">
      <c r="K715" s="36">
        <v>713</v>
      </c>
      <c r="L715" s="95">
        <v>0.49999999999995914</v>
      </c>
    </row>
    <row r="716" spans="11:12" x14ac:dyDescent="0.4">
      <c r="K716" s="36">
        <v>714</v>
      </c>
      <c r="L716" s="95">
        <v>-4.0856207306205761E-14</v>
      </c>
    </row>
    <row r="717" spans="11:12" x14ac:dyDescent="0.4">
      <c r="K717" s="36">
        <v>715</v>
      </c>
      <c r="L717" s="95">
        <v>-2.8000000000000407</v>
      </c>
    </row>
    <row r="718" spans="11:12" x14ac:dyDescent="0.4">
      <c r="K718" s="36">
        <v>716</v>
      </c>
      <c r="L718" s="95">
        <v>-15.700000000000042</v>
      </c>
    </row>
    <row r="719" spans="11:12" x14ac:dyDescent="0.4">
      <c r="K719" s="36">
        <v>717</v>
      </c>
      <c r="L719" s="95">
        <v>-4.2632564145606011E-14</v>
      </c>
    </row>
    <row r="720" spans="11:12" x14ac:dyDescent="0.4">
      <c r="K720" s="36">
        <v>718</v>
      </c>
      <c r="L720" s="95">
        <v>10.199999999999957</v>
      </c>
    </row>
    <row r="721" spans="11:12" x14ac:dyDescent="0.4">
      <c r="K721" s="36">
        <v>719</v>
      </c>
      <c r="L721" s="95">
        <v>-37.700000000000045</v>
      </c>
    </row>
    <row r="722" spans="11:12" x14ac:dyDescent="0.4">
      <c r="K722" s="36">
        <v>720</v>
      </c>
      <c r="L722" s="95">
        <v>-4.2632564145606011E-14</v>
      </c>
    </row>
    <row r="723" spans="11:12" x14ac:dyDescent="0.4">
      <c r="K723" s="36">
        <v>721</v>
      </c>
      <c r="L723" s="95">
        <v>-30.900000000000041</v>
      </c>
    </row>
    <row r="724" spans="11:12" x14ac:dyDescent="0.4">
      <c r="K724" s="36">
        <v>722</v>
      </c>
      <c r="L724" s="95">
        <v>-9.2000000000000419</v>
      </c>
    </row>
    <row r="725" spans="11:12" x14ac:dyDescent="0.4">
      <c r="K725" s="36">
        <v>723</v>
      </c>
      <c r="L725" s="95">
        <v>-4.2632564145606011E-14</v>
      </c>
    </row>
    <row r="726" spans="11:12" x14ac:dyDescent="0.4">
      <c r="K726" s="36">
        <v>724</v>
      </c>
      <c r="L726" s="95">
        <v>-49.500000000000043</v>
      </c>
    </row>
    <row r="727" spans="11:12" x14ac:dyDescent="0.4">
      <c r="K727" s="36">
        <v>725</v>
      </c>
      <c r="L727" s="95">
        <v>-56.900000000000041</v>
      </c>
    </row>
    <row r="728" spans="11:12" x14ac:dyDescent="0.4">
      <c r="K728" s="36">
        <v>726</v>
      </c>
      <c r="L728" s="95">
        <v>-4.2632564145606011E-14</v>
      </c>
    </row>
    <row r="729" spans="11:12" x14ac:dyDescent="0.4">
      <c r="K729" s="36">
        <v>727</v>
      </c>
      <c r="L729" s="95">
        <v>-36.400000000000041</v>
      </c>
    </row>
    <row r="730" spans="11:12" x14ac:dyDescent="0.4">
      <c r="K730" s="36">
        <v>728</v>
      </c>
      <c r="L730" s="95">
        <v>-32.700000000000038</v>
      </c>
    </row>
    <row r="731" spans="11:12" x14ac:dyDescent="0.4">
      <c r="K731" s="36">
        <v>729</v>
      </c>
      <c r="L731" s="95">
        <v>-3.5527136788005009E-14</v>
      </c>
    </row>
    <row r="732" spans="11:12" x14ac:dyDescent="0.4">
      <c r="K732" s="36">
        <v>730</v>
      </c>
      <c r="L732" s="95">
        <v>34.999999999999964</v>
      </c>
    </row>
    <row r="733" spans="11:12" x14ac:dyDescent="0.4">
      <c r="K733" s="36">
        <v>731</v>
      </c>
      <c r="L733" s="95">
        <v>-1.3000000000000327</v>
      </c>
    </row>
    <row r="734" spans="11:12" x14ac:dyDescent="0.4">
      <c r="K734" s="36">
        <v>732</v>
      </c>
      <c r="L734" s="95">
        <v>-3.2640556923979602E-14</v>
      </c>
    </row>
    <row r="735" spans="11:12" x14ac:dyDescent="0.4">
      <c r="K735" s="36">
        <v>733</v>
      </c>
      <c r="L735" s="95">
        <v>-16.600000000000033</v>
      </c>
    </row>
    <row r="736" spans="11:12" x14ac:dyDescent="0.4">
      <c r="K736" s="36">
        <v>734</v>
      </c>
      <c r="L736" s="95">
        <v>-14.600000000000033</v>
      </c>
    </row>
    <row r="737" spans="11:12" x14ac:dyDescent="0.4">
      <c r="K737" s="36">
        <v>735</v>
      </c>
      <c r="L737" s="95">
        <v>-3.3750779948604759E-14</v>
      </c>
    </row>
    <row r="738" spans="11:12" x14ac:dyDescent="0.4">
      <c r="K738" s="36">
        <v>736</v>
      </c>
      <c r="L738" s="95">
        <v>45.899999999999963</v>
      </c>
    </row>
    <row r="739" spans="11:12" x14ac:dyDescent="0.4">
      <c r="K739" s="36">
        <v>737</v>
      </c>
      <c r="L739" s="95">
        <v>10.499999999999964</v>
      </c>
    </row>
    <row r="740" spans="11:12" x14ac:dyDescent="0.4">
      <c r="K740" s="36">
        <v>738</v>
      </c>
      <c r="L740" s="95">
        <v>-3.5527136788005009E-14</v>
      </c>
    </row>
    <row r="741" spans="11:12" x14ac:dyDescent="0.4">
      <c r="K741" s="36">
        <v>739</v>
      </c>
      <c r="L741" s="95">
        <v>45.599999999999966</v>
      </c>
    </row>
    <row r="742" spans="11:12" x14ac:dyDescent="0.4">
      <c r="K742" s="36">
        <v>740</v>
      </c>
      <c r="L742" s="95">
        <v>57.199999999999967</v>
      </c>
    </row>
    <row r="743" spans="11:12" x14ac:dyDescent="0.4">
      <c r="K743" s="36">
        <v>741</v>
      </c>
      <c r="L743" s="95">
        <v>-3.5527136788005009E-14</v>
      </c>
    </row>
    <row r="744" spans="11:12" x14ac:dyDescent="0.4">
      <c r="K744" s="36">
        <v>742</v>
      </c>
      <c r="L744" s="95">
        <v>11.399999999999965</v>
      </c>
    </row>
    <row r="745" spans="11:12" x14ac:dyDescent="0.4">
      <c r="K745" s="36">
        <v>743</v>
      </c>
      <c r="L745" s="95">
        <v>49.499999999999964</v>
      </c>
    </row>
    <row r="746" spans="11:12" x14ac:dyDescent="0.4">
      <c r="K746" s="36">
        <v>744</v>
      </c>
      <c r="L746" s="95">
        <v>-3.5527136788005009E-14</v>
      </c>
    </row>
    <row r="747" spans="11:12" x14ac:dyDescent="0.4">
      <c r="K747" s="36">
        <v>745</v>
      </c>
      <c r="L747" s="95">
        <v>-3.8000000000000353</v>
      </c>
    </row>
    <row r="748" spans="11:12" x14ac:dyDescent="0.4">
      <c r="K748" s="36">
        <v>746</v>
      </c>
      <c r="L748" s="95">
        <v>-28.300000000000036</v>
      </c>
    </row>
    <row r="749" spans="11:12" x14ac:dyDescent="0.4">
      <c r="K749" s="36">
        <v>747</v>
      </c>
      <c r="L749" s="95">
        <v>-3.5527136788005009E-14</v>
      </c>
    </row>
    <row r="750" spans="11:12" x14ac:dyDescent="0.4">
      <c r="K750" s="36">
        <v>748</v>
      </c>
      <c r="L750" s="95">
        <v>42.499999999999964</v>
      </c>
    </row>
    <row r="751" spans="11:12" x14ac:dyDescent="0.4">
      <c r="K751" s="36">
        <v>749</v>
      </c>
      <c r="L751" s="95">
        <v>-3.9000000000000341</v>
      </c>
    </row>
    <row r="752" spans="11:12" x14ac:dyDescent="0.4">
      <c r="K752" s="36">
        <v>750</v>
      </c>
      <c r="L752" s="95">
        <v>-3.4194869158454821E-14</v>
      </c>
    </row>
    <row r="753" spans="11:12" x14ac:dyDescent="0.4">
      <c r="K753" s="36">
        <v>751</v>
      </c>
      <c r="L753" s="95">
        <v>-25.200000000000035</v>
      </c>
    </row>
    <row r="754" spans="11:12" x14ac:dyDescent="0.4">
      <c r="K754" s="36">
        <v>752</v>
      </c>
      <c r="L754" s="95">
        <v>1.7999999999999652</v>
      </c>
    </row>
    <row r="755" spans="11:12" x14ac:dyDescent="0.4">
      <c r="K755" s="36">
        <v>753</v>
      </c>
      <c r="L755" s="95">
        <v>-3.4861002973229915E-14</v>
      </c>
    </row>
    <row r="756" spans="11:12" x14ac:dyDescent="0.4">
      <c r="K756" s="36">
        <v>754</v>
      </c>
      <c r="L756" s="95">
        <v>44.399999999999963</v>
      </c>
    </row>
    <row r="757" spans="11:12" x14ac:dyDescent="0.4">
      <c r="K757" s="36">
        <v>755</v>
      </c>
      <c r="L757" s="95">
        <v>2.9999999999999645</v>
      </c>
    </row>
    <row r="758" spans="11:12" x14ac:dyDescent="0.4">
      <c r="K758" s="36">
        <v>756</v>
      </c>
      <c r="L758" s="95">
        <v>-3.5527136788005009E-14</v>
      </c>
    </row>
    <row r="759" spans="11:12" x14ac:dyDescent="0.4">
      <c r="K759" s="36">
        <v>757</v>
      </c>
      <c r="L759" s="95">
        <v>26.199999999999964</v>
      </c>
    </row>
    <row r="760" spans="11:12" x14ac:dyDescent="0.4">
      <c r="K760" s="36">
        <v>758</v>
      </c>
      <c r="L760" s="95">
        <v>-15.400000000000038</v>
      </c>
    </row>
    <row r="761" spans="11:12" x14ac:dyDescent="0.4">
      <c r="K761" s="36">
        <v>759</v>
      </c>
      <c r="L761" s="95">
        <v>-3.730349362740526E-14</v>
      </c>
    </row>
    <row r="762" spans="11:12" x14ac:dyDescent="0.4">
      <c r="K762" s="36">
        <v>760</v>
      </c>
      <c r="L762" s="95">
        <v>0.89999999999996272</v>
      </c>
    </row>
    <row r="763" spans="11:12" x14ac:dyDescent="0.4">
      <c r="K763" s="36">
        <v>761</v>
      </c>
      <c r="L763" s="95">
        <v>41.799999999999962</v>
      </c>
    </row>
    <row r="764" spans="11:12" x14ac:dyDescent="0.4">
      <c r="K764" s="36">
        <v>762</v>
      </c>
      <c r="L764" s="95">
        <v>-3.5527136788005009E-14</v>
      </c>
    </row>
    <row r="765" spans="11:12" x14ac:dyDescent="0.4">
      <c r="K765" s="36">
        <v>763</v>
      </c>
      <c r="L765" s="95">
        <v>34.499999999999964</v>
      </c>
    </row>
    <row r="766" spans="11:12" x14ac:dyDescent="0.4">
      <c r="K766" s="36">
        <v>764</v>
      </c>
      <c r="L766" s="95">
        <v>29.099999999999966</v>
      </c>
    </row>
    <row r="767" spans="11:12" x14ac:dyDescent="0.4">
      <c r="K767" s="36">
        <v>765</v>
      </c>
      <c r="L767" s="95">
        <v>-3.5527136788005009E-14</v>
      </c>
    </row>
    <row r="768" spans="11:12" x14ac:dyDescent="0.4">
      <c r="K768" s="36">
        <v>766</v>
      </c>
      <c r="L768" s="95">
        <v>2.3999999999999644</v>
      </c>
    </row>
    <row r="769" spans="11:12" x14ac:dyDescent="0.4">
      <c r="K769" s="36">
        <v>767</v>
      </c>
      <c r="L769" s="95">
        <v>16.999999999999964</v>
      </c>
    </row>
    <row r="770" spans="11:12" x14ac:dyDescent="0.4">
      <c r="K770" s="36">
        <v>768</v>
      </c>
      <c r="L770" s="95">
        <v>-3.5527136788005009E-14</v>
      </c>
    </row>
    <row r="771" spans="11:12" x14ac:dyDescent="0.4">
      <c r="K771" s="36">
        <v>769</v>
      </c>
      <c r="L771" s="95">
        <v>-7.2000000000000357</v>
      </c>
    </row>
    <row r="772" spans="11:12" x14ac:dyDescent="0.4">
      <c r="K772" s="36">
        <v>770</v>
      </c>
      <c r="L772" s="95">
        <v>-42.80000000000004</v>
      </c>
    </row>
    <row r="773" spans="11:12" x14ac:dyDescent="0.4">
      <c r="K773" s="36">
        <v>771</v>
      </c>
      <c r="L773" s="95">
        <v>-4.2632564145606011E-14</v>
      </c>
    </row>
    <row r="774" spans="11:12" x14ac:dyDescent="0.4">
      <c r="K774" s="36">
        <v>772</v>
      </c>
      <c r="L774" s="95">
        <v>-26.700000000000042</v>
      </c>
    </row>
    <row r="775" spans="11:12" x14ac:dyDescent="0.4">
      <c r="K775" s="36">
        <v>773</v>
      </c>
      <c r="L775" s="95">
        <v>-34.80000000000004</v>
      </c>
    </row>
    <row r="776" spans="11:12" x14ac:dyDescent="0.4">
      <c r="K776" s="36">
        <v>774</v>
      </c>
      <c r="L776" s="95">
        <v>-4.2632564145606011E-14</v>
      </c>
    </row>
    <row r="777" spans="11:12" x14ac:dyDescent="0.4">
      <c r="K777" s="36">
        <v>775</v>
      </c>
      <c r="L777" s="95">
        <v>-19.000000000000043</v>
      </c>
    </row>
    <row r="778" spans="11:12" x14ac:dyDescent="0.4">
      <c r="K778" s="36">
        <v>776</v>
      </c>
      <c r="L778" s="95">
        <v>-4.2632564145606011E-14</v>
      </c>
    </row>
    <row r="779" spans="11:12" x14ac:dyDescent="0.4">
      <c r="K779" s="36">
        <v>777</v>
      </c>
      <c r="L779" s="95">
        <v>-4.2632564145606011E-14</v>
      </c>
    </row>
    <row r="780" spans="11:12" x14ac:dyDescent="0.4">
      <c r="K780" s="36">
        <v>778</v>
      </c>
      <c r="L780" s="95">
        <v>6.599999999999957</v>
      </c>
    </row>
    <row r="781" spans="11:12" x14ac:dyDescent="0.4">
      <c r="K781" s="36">
        <v>779</v>
      </c>
      <c r="L781" s="95">
        <v>-18.200000000000045</v>
      </c>
    </row>
    <row r="782" spans="11:12" x14ac:dyDescent="0.4">
      <c r="K782" s="36">
        <v>780</v>
      </c>
      <c r="L782" s="95">
        <v>-4.6185277824406512E-14</v>
      </c>
    </row>
    <row r="783" spans="11:12" x14ac:dyDescent="0.4">
      <c r="K783" s="36">
        <v>781</v>
      </c>
      <c r="L783" s="95">
        <v>-36.600000000000051</v>
      </c>
    </row>
    <row r="784" spans="11:12" x14ac:dyDescent="0.4">
      <c r="K784" s="36">
        <v>782</v>
      </c>
      <c r="L784" s="95">
        <v>1.7999999999999474</v>
      </c>
    </row>
    <row r="785" spans="11:12" x14ac:dyDescent="0.4">
      <c r="K785" s="36">
        <v>783</v>
      </c>
      <c r="L785" s="95">
        <v>-5.262457136723242E-14</v>
      </c>
    </row>
    <row r="786" spans="11:12" x14ac:dyDescent="0.4">
      <c r="K786" s="36">
        <v>784</v>
      </c>
      <c r="L786" s="95">
        <v>23.499999999999947</v>
      </c>
    </row>
    <row r="787" spans="11:12" x14ac:dyDescent="0.4">
      <c r="K787" s="36">
        <v>785</v>
      </c>
      <c r="L787" s="95">
        <v>29.899999999999949</v>
      </c>
    </row>
    <row r="788" spans="11:12" x14ac:dyDescent="0.4">
      <c r="K788" s="36">
        <v>786</v>
      </c>
      <c r="L788" s="95">
        <v>-4.9737991503207013E-14</v>
      </c>
    </row>
    <row r="789" spans="11:12" x14ac:dyDescent="0.4">
      <c r="K789" s="36">
        <v>787</v>
      </c>
      <c r="L789" s="95">
        <v>36.199999999999953</v>
      </c>
    </row>
    <row r="790" spans="11:12" x14ac:dyDescent="0.4">
      <c r="K790" s="36">
        <v>788</v>
      </c>
      <c r="L790" s="95">
        <v>9.8999999999999524</v>
      </c>
    </row>
    <row r="791" spans="11:12" x14ac:dyDescent="0.4">
      <c r="K791" s="36">
        <v>789</v>
      </c>
      <c r="L791" s="95">
        <v>-4.7961634663806763E-14</v>
      </c>
    </row>
    <row r="792" spans="11:12" x14ac:dyDescent="0.4">
      <c r="K792" s="36">
        <v>790</v>
      </c>
      <c r="L792" s="95">
        <v>-32.50000000000005</v>
      </c>
    </row>
    <row r="793" spans="11:12" x14ac:dyDescent="0.4">
      <c r="K793" s="36">
        <v>791</v>
      </c>
      <c r="L793" s="95">
        <v>-30.400000000000048</v>
      </c>
    </row>
    <row r="794" spans="11:12" x14ac:dyDescent="0.4">
      <c r="K794" s="36">
        <v>792</v>
      </c>
      <c r="L794" s="95">
        <v>-4.9737991503207013E-14</v>
      </c>
    </row>
    <row r="795" spans="11:12" x14ac:dyDescent="0.4">
      <c r="K795" s="36">
        <v>793</v>
      </c>
      <c r="L795" s="95">
        <v>42.399999999999949</v>
      </c>
    </row>
    <row r="796" spans="11:12" x14ac:dyDescent="0.4">
      <c r="K796" s="36">
        <v>794</v>
      </c>
      <c r="L796" s="95">
        <v>34.099999999999952</v>
      </c>
    </row>
    <row r="797" spans="11:12" x14ac:dyDescent="0.4">
      <c r="K797" s="36">
        <v>795</v>
      </c>
      <c r="L797" s="95">
        <v>-4.9737991503207013E-14</v>
      </c>
    </row>
    <row r="798" spans="11:12" x14ac:dyDescent="0.4">
      <c r="K798" s="36">
        <v>796</v>
      </c>
      <c r="L798" s="95">
        <v>32.899999999999949</v>
      </c>
    </row>
    <row r="799" spans="11:12" x14ac:dyDescent="0.4">
      <c r="K799" s="36">
        <v>797</v>
      </c>
      <c r="L799" s="95">
        <v>37.099999999999952</v>
      </c>
    </row>
    <row r="800" spans="11:12" x14ac:dyDescent="0.4">
      <c r="K800" s="36">
        <v>798</v>
      </c>
      <c r="L800" s="95">
        <v>-4.9737991503207013E-14</v>
      </c>
    </row>
    <row r="801" spans="11:12" x14ac:dyDescent="0.4">
      <c r="K801" s="36">
        <v>799</v>
      </c>
      <c r="L801" s="95">
        <v>-31.900000000000048</v>
      </c>
    </row>
    <row r="802" spans="11:12" x14ac:dyDescent="0.4">
      <c r="K802" s="36">
        <v>800</v>
      </c>
      <c r="L802" s="95">
        <v>-36.700000000000045</v>
      </c>
    </row>
    <row r="803" spans="11:12" x14ac:dyDescent="0.4">
      <c r="K803" s="36">
        <v>801</v>
      </c>
      <c r="L803" s="95">
        <v>-4.2632564145606011E-14</v>
      </c>
    </row>
    <row r="804" spans="11:12" x14ac:dyDescent="0.4">
      <c r="K804" s="36">
        <v>802</v>
      </c>
      <c r="L804" s="95">
        <v>50.099999999999959</v>
      </c>
    </row>
    <row r="805" spans="11:12" x14ac:dyDescent="0.4">
      <c r="K805" s="36">
        <v>803</v>
      </c>
      <c r="L805" s="95">
        <v>39.599999999999959</v>
      </c>
    </row>
    <row r="806" spans="11:12" x14ac:dyDescent="0.4">
      <c r="K806" s="36">
        <v>804</v>
      </c>
      <c r="L806" s="95">
        <v>-4.2632564145606011E-14</v>
      </c>
    </row>
    <row r="807" spans="11:12" x14ac:dyDescent="0.4">
      <c r="K807" s="36">
        <v>805</v>
      </c>
      <c r="L807" s="95">
        <v>6.3999999999999577</v>
      </c>
    </row>
    <row r="808" spans="11:12" x14ac:dyDescent="0.4">
      <c r="K808" s="36">
        <v>806</v>
      </c>
      <c r="L808" s="95">
        <v>-23.500000000000043</v>
      </c>
    </row>
    <row r="809" spans="11:12" x14ac:dyDescent="0.4">
      <c r="K809" s="36">
        <v>807</v>
      </c>
      <c r="L809" s="95">
        <v>-4.2632564145606011E-14</v>
      </c>
    </row>
    <row r="810" spans="11:12" x14ac:dyDescent="0.4">
      <c r="K810" s="36">
        <v>808</v>
      </c>
      <c r="L810" s="95">
        <v>-3.6000000000000427</v>
      </c>
    </row>
    <row r="811" spans="11:12" x14ac:dyDescent="0.4">
      <c r="K811" s="36">
        <v>809</v>
      </c>
      <c r="L811" s="95">
        <v>17.999999999999957</v>
      </c>
    </row>
    <row r="812" spans="11:12" x14ac:dyDescent="0.4">
      <c r="K812" s="36">
        <v>810</v>
      </c>
      <c r="L812" s="95">
        <v>-4.2632564145606011E-14</v>
      </c>
    </row>
    <row r="813" spans="11:12" x14ac:dyDescent="0.4">
      <c r="K813" s="36">
        <v>811</v>
      </c>
      <c r="L813" s="95">
        <v>9.3999999999999577</v>
      </c>
    </row>
    <row r="814" spans="11:12" x14ac:dyDescent="0.4">
      <c r="K814" s="36">
        <v>812</v>
      </c>
      <c r="L814" s="95">
        <v>47.299999999999955</v>
      </c>
    </row>
    <row r="815" spans="11:12" x14ac:dyDescent="0.4">
      <c r="K815" s="36">
        <v>813</v>
      </c>
      <c r="L815" s="95">
        <v>-4.2632564145606011E-14</v>
      </c>
    </row>
    <row r="816" spans="11:12" x14ac:dyDescent="0.4">
      <c r="K816" s="36">
        <v>814</v>
      </c>
      <c r="L816" s="95">
        <v>-13.200000000000042</v>
      </c>
    </row>
    <row r="817" spans="11:12" x14ac:dyDescent="0.4">
      <c r="K817" s="36">
        <v>815</v>
      </c>
      <c r="L817" s="95">
        <v>-13.500000000000043</v>
      </c>
    </row>
    <row r="818" spans="11:12" x14ac:dyDescent="0.4">
      <c r="K818" s="36">
        <v>816</v>
      </c>
      <c r="L818" s="95">
        <v>-4.2632564145606011E-14</v>
      </c>
    </row>
    <row r="819" spans="11:12" x14ac:dyDescent="0.4">
      <c r="K819" s="36">
        <v>817</v>
      </c>
      <c r="L819" s="95">
        <v>-29.000000000000043</v>
      </c>
    </row>
    <row r="820" spans="11:12" x14ac:dyDescent="0.4">
      <c r="K820" s="36">
        <v>818</v>
      </c>
      <c r="L820" s="95">
        <v>49.299999999999955</v>
      </c>
    </row>
    <row r="821" spans="11:12" x14ac:dyDescent="0.4">
      <c r="K821" s="36">
        <v>819</v>
      </c>
      <c r="L821" s="95">
        <v>-4.2632564145606011E-14</v>
      </c>
    </row>
    <row r="822" spans="11:12" x14ac:dyDescent="0.4">
      <c r="K822" s="36">
        <v>820</v>
      </c>
      <c r="L822" s="95">
        <v>15.599999999999957</v>
      </c>
    </row>
    <row r="823" spans="11:12" x14ac:dyDescent="0.4">
      <c r="K823" s="36">
        <v>821</v>
      </c>
      <c r="L823" s="95">
        <v>52.499999999999957</v>
      </c>
    </row>
    <row r="824" spans="11:12" x14ac:dyDescent="0.4">
      <c r="K824" s="36">
        <v>822</v>
      </c>
      <c r="L824" s="95">
        <v>-4.2632564145606011E-14</v>
      </c>
    </row>
    <row r="825" spans="11:12" x14ac:dyDescent="0.4">
      <c r="K825" s="36">
        <v>823</v>
      </c>
      <c r="L825" s="95">
        <v>-1.5000000000000426</v>
      </c>
    </row>
    <row r="826" spans="11:12" x14ac:dyDescent="0.4">
      <c r="K826" s="36">
        <v>824</v>
      </c>
      <c r="L826" s="95">
        <v>20.199999999999957</v>
      </c>
    </row>
    <row r="827" spans="11:12" x14ac:dyDescent="0.4">
      <c r="K827" s="36">
        <v>825</v>
      </c>
      <c r="L827" s="95">
        <v>-4.2632564145606011E-14</v>
      </c>
    </row>
    <row r="828" spans="11:12" x14ac:dyDescent="0.4">
      <c r="K828" s="36">
        <v>826</v>
      </c>
      <c r="L828" s="95">
        <v>-30.000000000000043</v>
      </c>
    </row>
    <row r="829" spans="11:12" x14ac:dyDescent="0.4">
      <c r="K829" s="36">
        <v>827</v>
      </c>
      <c r="L829" s="95">
        <v>0.99999999999995737</v>
      </c>
    </row>
    <row r="830" spans="11:12" x14ac:dyDescent="0.4">
      <c r="K830" s="36">
        <v>828</v>
      </c>
      <c r="L830" s="95">
        <v>-4.2632564145606011E-14</v>
      </c>
    </row>
    <row r="831" spans="11:12" x14ac:dyDescent="0.4">
      <c r="K831" s="36">
        <v>829</v>
      </c>
      <c r="L831" s="95">
        <v>-56.000000000000043</v>
      </c>
    </row>
    <row r="832" spans="11:12" x14ac:dyDescent="0.4">
      <c r="K832" s="36">
        <v>830</v>
      </c>
      <c r="L832" s="95">
        <v>-46.500000000000043</v>
      </c>
    </row>
    <row r="833" spans="11:12" x14ac:dyDescent="0.4">
      <c r="K833" s="36">
        <v>831</v>
      </c>
      <c r="L833" s="95">
        <v>-4.2632564145606011E-14</v>
      </c>
    </row>
    <row r="834" spans="11:12" x14ac:dyDescent="0.4">
      <c r="K834" s="36">
        <v>832</v>
      </c>
      <c r="L834" s="95">
        <v>-22.300000000000043</v>
      </c>
    </row>
    <row r="835" spans="11:12" x14ac:dyDescent="0.4">
      <c r="K835" s="36">
        <v>833</v>
      </c>
      <c r="L835" s="95">
        <v>-19.100000000000044</v>
      </c>
    </row>
    <row r="836" spans="11:12" x14ac:dyDescent="0.4">
      <c r="K836" s="36">
        <v>834</v>
      </c>
      <c r="L836" s="95">
        <v>-4.2632564145606011E-14</v>
      </c>
    </row>
    <row r="837" spans="11:12" x14ac:dyDescent="0.4">
      <c r="K837" s="36">
        <v>835</v>
      </c>
      <c r="L837" s="95">
        <v>-48.600000000000044</v>
      </c>
    </row>
    <row r="838" spans="11:12" x14ac:dyDescent="0.4">
      <c r="K838" s="36">
        <v>836</v>
      </c>
      <c r="L838" s="95">
        <v>-48.800000000000047</v>
      </c>
    </row>
    <row r="839" spans="11:12" x14ac:dyDescent="0.4">
      <c r="K839" s="36">
        <v>837</v>
      </c>
      <c r="L839" s="95">
        <v>-4.9737991503207013E-14</v>
      </c>
    </row>
    <row r="840" spans="11:12" x14ac:dyDescent="0.4">
      <c r="K840" s="36">
        <v>838</v>
      </c>
      <c r="L840" s="95">
        <v>-29.200000000000049</v>
      </c>
    </row>
    <row r="841" spans="11:12" x14ac:dyDescent="0.4">
      <c r="K841" s="36">
        <v>839</v>
      </c>
      <c r="L841" s="95">
        <v>-30.700000000000049</v>
      </c>
    </row>
    <row r="842" spans="11:12" x14ac:dyDescent="0.4">
      <c r="K842" s="36">
        <v>840</v>
      </c>
      <c r="L842" s="95">
        <v>-4.9737991503207013E-14</v>
      </c>
    </row>
    <row r="843" spans="11:12" x14ac:dyDescent="0.4">
      <c r="K843" s="36">
        <v>841</v>
      </c>
      <c r="L843" s="95">
        <v>-20.600000000000051</v>
      </c>
    </row>
    <row r="844" spans="11:12" x14ac:dyDescent="0.4">
      <c r="K844" s="36">
        <v>842</v>
      </c>
      <c r="L844" s="95">
        <v>39.599999999999952</v>
      </c>
    </row>
    <row r="845" spans="11:12" x14ac:dyDescent="0.4">
      <c r="K845" s="36">
        <v>843</v>
      </c>
      <c r="L845" s="95">
        <v>-4.9737991503207013E-14</v>
      </c>
    </row>
    <row r="846" spans="11:12" x14ac:dyDescent="0.4">
      <c r="K846" s="36">
        <v>844</v>
      </c>
      <c r="L846" s="95">
        <v>34.399999999999949</v>
      </c>
    </row>
    <row r="847" spans="11:12" x14ac:dyDescent="0.4">
      <c r="K847" s="36">
        <v>845</v>
      </c>
      <c r="L847" s="95">
        <v>22.899999999999949</v>
      </c>
    </row>
    <row r="848" spans="11:12" x14ac:dyDescent="0.4">
      <c r="K848" s="36">
        <v>846</v>
      </c>
      <c r="L848" s="95">
        <v>-4.9737991503207013E-14</v>
      </c>
    </row>
    <row r="849" spans="11:12" x14ac:dyDescent="0.4">
      <c r="K849" s="36">
        <v>847</v>
      </c>
      <c r="L849" s="95">
        <v>4.1999999999999504</v>
      </c>
    </row>
    <row r="850" spans="11:12" x14ac:dyDescent="0.4">
      <c r="K850" s="36">
        <v>848</v>
      </c>
      <c r="L850" s="95">
        <v>34.399999999999949</v>
      </c>
    </row>
    <row r="851" spans="11:12" x14ac:dyDescent="0.4">
      <c r="K851" s="36">
        <v>849</v>
      </c>
      <c r="L851" s="95">
        <v>-4.9737991503207013E-14</v>
      </c>
    </row>
    <row r="852" spans="11:12" x14ac:dyDescent="0.4">
      <c r="K852" s="36">
        <v>850</v>
      </c>
      <c r="L852" s="95">
        <v>-28.80000000000005</v>
      </c>
    </row>
    <row r="853" spans="11:12" x14ac:dyDescent="0.4">
      <c r="K853" s="36">
        <v>851</v>
      </c>
      <c r="L853" s="95">
        <v>-87.100000000000051</v>
      </c>
    </row>
    <row r="854" spans="11:12" x14ac:dyDescent="0.4">
      <c r="K854" s="36">
        <v>852</v>
      </c>
      <c r="L854" s="95">
        <v>-5.6843418860808015E-14</v>
      </c>
    </row>
    <row r="855" spans="11:12" x14ac:dyDescent="0.4">
      <c r="K855" s="36">
        <v>853</v>
      </c>
      <c r="L855" s="95">
        <v>2.799999999999943</v>
      </c>
    </row>
    <row r="856" spans="11:12" x14ac:dyDescent="0.4">
      <c r="K856" s="36">
        <v>854</v>
      </c>
      <c r="L856" s="95">
        <v>33.29999999999994</v>
      </c>
    </row>
    <row r="857" spans="11:12" x14ac:dyDescent="0.4">
      <c r="K857" s="36">
        <v>855</v>
      </c>
      <c r="L857" s="95">
        <v>-5.6843418860808015E-14</v>
      </c>
    </row>
    <row r="858" spans="11:12" x14ac:dyDescent="0.4">
      <c r="K858" s="36">
        <v>856</v>
      </c>
      <c r="L858" s="95">
        <v>-12.000000000000057</v>
      </c>
    </row>
    <row r="859" spans="11:12" x14ac:dyDescent="0.4">
      <c r="K859" s="36">
        <v>857</v>
      </c>
      <c r="L859" s="95">
        <v>-62.400000000000055</v>
      </c>
    </row>
    <row r="860" spans="11:12" x14ac:dyDescent="0.4">
      <c r="K860" s="36">
        <v>858</v>
      </c>
      <c r="L860" s="95">
        <v>-5.6843418860808015E-14</v>
      </c>
    </row>
    <row r="861" spans="11:12" x14ac:dyDescent="0.4">
      <c r="K861" s="36">
        <v>859</v>
      </c>
      <c r="L861" s="95">
        <v>22.099999999999945</v>
      </c>
    </row>
    <row r="862" spans="11:12" x14ac:dyDescent="0.4">
      <c r="K862" s="36">
        <v>860</v>
      </c>
      <c r="L862" s="95">
        <v>23.399999999999945</v>
      </c>
    </row>
    <row r="863" spans="11:12" x14ac:dyDescent="0.4">
      <c r="K863" s="36">
        <v>861</v>
      </c>
      <c r="L863" s="95">
        <v>-5.3290705182007514E-14</v>
      </c>
    </row>
    <row r="864" spans="11:12" x14ac:dyDescent="0.4">
      <c r="K864" s="36">
        <v>862</v>
      </c>
      <c r="L864" s="95">
        <v>60.599999999999952</v>
      </c>
    </row>
    <row r="865" spans="11:12" x14ac:dyDescent="0.4">
      <c r="K865" s="36">
        <v>863</v>
      </c>
      <c r="L865" s="95">
        <v>46.199999999999953</v>
      </c>
    </row>
    <row r="866" spans="11:12" x14ac:dyDescent="0.4">
      <c r="K866" s="36">
        <v>864</v>
      </c>
      <c r="L866" s="95">
        <v>-4.9737991503207013E-14</v>
      </c>
    </row>
    <row r="867" spans="11:12" x14ac:dyDescent="0.4">
      <c r="K867" s="36">
        <v>865</v>
      </c>
      <c r="L867" s="95">
        <v>-38.50000000000005</v>
      </c>
    </row>
    <row r="868" spans="11:12" x14ac:dyDescent="0.4">
      <c r="K868" s="36">
        <v>866</v>
      </c>
      <c r="L868" s="95">
        <v>-26.30000000000005</v>
      </c>
    </row>
    <row r="869" spans="11:12" x14ac:dyDescent="0.4">
      <c r="K869" s="36">
        <v>867</v>
      </c>
      <c r="L869" s="95">
        <v>-4.9737991503207013E-14</v>
      </c>
    </row>
    <row r="870" spans="11:12" x14ac:dyDescent="0.4">
      <c r="K870" s="36">
        <v>868</v>
      </c>
      <c r="L870" s="95">
        <v>39.799999999999947</v>
      </c>
    </row>
    <row r="871" spans="11:12" x14ac:dyDescent="0.4">
      <c r="K871" s="36">
        <v>869</v>
      </c>
      <c r="L871" s="95">
        <v>-10.700000000000053</v>
      </c>
    </row>
    <row r="872" spans="11:12" x14ac:dyDescent="0.4">
      <c r="K872" s="36">
        <v>870</v>
      </c>
      <c r="L872" s="95">
        <v>-5.3290705182007514E-14</v>
      </c>
    </row>
    <row r="873" spans="11:12" x14ac:dyDescent="0.4">
      <c r="K873" s="36">
        <v>871</v>
      </c>
      <c r="L873" s="95">
        <v>-32.000000000000057</v>
      </c>
    </row>
    <row r="874" spans="11:12" x14ac:dyDescent="0.4">
      <c r="K874" s="36">
        <v>872</v>
      </c>
      <c r="L874" s="95">
        <v>1.8999999999999417</v>
      </c>
    </row>
    <row r="875" spans="11:12" x14ac:dyDescent="0.4">
      <c r="K875" s="36">
        <v>873</v>
      </c>
      <c r="L875" s="95">
        <v>-5.8175686490358203E-14</v>
      </c>
    </row>
    <row r="876" spans="11:12" x14ac:dyDescent="0.4">
      <c r="K876" s="36">
        <v>874</v>
      </c>
      <c r="L876" s="95">
        <v>-42.300000000000054</v>
      </c>
    </row>
    <row r="877" spans="11:12" x14ac:dyDescent="0.4">
      <c r="K877" s="36">
        <v>875</v>
      </c>
      <c r="L877" s="95">
        <v>-60.800000000000054</v>
      </c>
    </row>
    <row r="878" spans="11:12" x14ac:dyDescent="0.4">
      <c r="K878" s="36">
        <v>876</v>
      </c>
      <c r="L878" s="95">
        <v>-5.6843418860808015E-14</v>
      </c>
    </row>
    <row r="879" spans="11:12" x14ac:dyDescent="0.4">
      <c r="K879" s="36">
        <v>877</v>
      </c>
      <c r="L879" s="95">
        <v>32.999999999999943</v>
      </c>
    </row>
    <row r="880" spans="11:12" x14ac:dyDescent="0.4">
      <c r="K880" s="36">
        <v>878</v>
      </c>
      <c r="L880" s="95">
        <v>-2.0000000000000568</v>
      </c>
    </row>
    <row r="881" spans="11:12" x14ac:dyDescent="0.4">
      <c r="K881" s="36">
        <v>879</v>
      </c>
      <c r="L881" s="95">
        <v>-5.6843418860808015E-14</v>
      </c>
    </row>
    <row r="882" spans="11:12" x14ac:dyDescent="0.4">
      <c r="K882" s="36">
        <v>880</v>
      </c>
      <c r="L882" s="95">
        <v>26.799999999999944</v>
      </c>
    </row>
    <row r="883" spans="11:12" x14ac:dyDescent="0.4">
      <c r="K883" s="36">
        <v>881</v>
      </c>
      <c r="L883" s="95">
        <v>32.199999999999946</v>
      </c>
    </row>
    <row r="884" spans="11:12" x14ac:dyDescent="0.4">
      <c r="K884" s="36">
        <v>882</v>
      </c>
      <c r="L884" s="95">
        <v>-5.6843418860808015E-14</v>
      </c>
    </row>
    <row r="885" spans="11:12" x14ac:dyDescent="0.4">
      <c r="K885" s="36">
        <v>883</v>
      </c>
      <c r="L885" s="95">
        <v>45.199999999999946</v>
      </c>
    </row>
    <row r="886" spans="11:12" x14ac:dyDescent="0.4">
      <c r="K886" s="36">
        <v>884</v>
      </c>
      <c r="L886" s="95">
        <v>10.199999999999946</v>
      </c>
    </row>
    <row r="887" spans="11:12" x14ac:dyDescent="0.4">
      <c r="K887" s="36">
        <v>885</v>
      </c>
      <c r="L887" s="95">
        <v>-5.3290705182007514E-14</v>
      </c>
    </row>
    <row r="888" spans="11:12" x14ac:dyDescent="0.4">
      <c r="K888" s="36">
        <v>886</v>
      </c>
      <c r="L888" s="95">
        <v>-12.500000000000053</v>
      </c>
    </row>
    <row r="889" spans="11:12" x14ac:dyDescent="0.4">
      <c r="K889" s="36">
        <v>887</v>
      </c>
      <c r="L889" s="95">
        <v>-12.200000000000053</v>
      </c>
    </row>
    <row r="890" spans="11:12" x14ac:dyDescent="0.4">
      <c r="K890" s="36">
        <v>888</v>
      </c>
      <c r="L890" s="95">
        <v>-5.3290705182007514E-14</v>
      </c>
    </row>
    <row r="891" spans="11:12" x14ac:dyDescent="0.4">
      <c r="K891" s="36">
        <v>889</v>
      </c>
      <c r="L891" s="95">
        <v>-65.500000000000057</v>
      </c>
    </row>
    <row r="892" spans="11:12" x14ac:dyDescent="0.4">
      <c r="K892" s="36">
        <v>890</v>
      </c>
      <c r="L892" s="95">
        <v>-12.000000000000057</v>
      </c>
    </row>
    <row r="893" spans="11:12" x14ac:dyDescent="0.4">
      <c r="K893" s="36">
        <v>891</v>
      </c>
      <c r="L893" s="95">
        <v>-5.6843418860808015E-14</v>
      </c>
    </row>
    <row r="894" spans="11:12" x14ac:dyDescent="0.4">
      <c r="K894" s="36">
        <v>892</v>
      </c>
      <c r="L894" s="95">
        <v>-9.2000000000000561</v>
      </c>
    </row>
    <row r="895" spans="11:12" x14ac:dyDescent="0.4">
      <c r="K895" s="36">
        <v>893</v>
      </c>
      <c r="L895" s="95">
        <v>-39.70000000000006</v>
      </c>
    </row>
    <row r="896" spans="11:12" x14ac:dyDescent="0.4">
      <c r="K896" s="36">
        <v>894</v>
      </c>
      <c r="L896" s="95">
        <v>-5.6843418860808015E-14</v>
      </c>
    </row>
    <row r="897" spans="11:12" x14ac:dyDescent="0.4">
      <c r="K897" s="36">
        <v>895</v>
      </c>
      <c r="L897" s="95">
        <v>-36.300000000000054</v>
      </c>
    </row>
    <row r="898" spans="11:12" x14ac:dyDescent="0.4">
      <c r="K898" s="36">
        <v>896</v>
      </c>
      <c r="L898" s="95">
        <v>-56.300000000000054</v>
      </c>
    </row>
    <row r="899" spans="11:12" x14ac:dyDescent="0.4">
      <c r="K899" s="36">
        <v>897</v>
      </c>
      <c r="L899" s="95">
        <v>-5.6843418860808015E-14</v>
      </c>
    </row>
    <row r="900" spans="11:12" x14ac:dyDescent="0.4">
      <c r="K900" s="36">
        <v>898</v>
      </c>
      <c r="L900" s="95">
        <v>-37.20000000000006</v>
      </c>
    </row>
    <row r="901" spans="11:12" x14ac:dyDescent="0.4">
      <c r="K901" s="36">
        <v>899</v>
      </c>
      <c r="L901" s="95">
        <v>-8.400000000000059</v>
      </c>
    </row>
    <row r="902" spans="11:12" x14ac:dyDescent="0.4">
      <c r="K902" s="36">
        <v>900</v>
      </c>
      <c r="L902" s="95">
        <v>-5.8619775700208265E-14</v>
      </c>
    </row>
    <row r="903" spans="11:12" x14ac:dyDescent="0.4">
      <c r="K903" s="36">
        <v>901</v>
      </c>
      <c r="L903" s="95">
        <v>-27.400000000000055</v>
      </c>
    </row>
    <row r="904" spans="11:12" x14ac:dyDescent="0.4">
      <c r="K904" s="36">
        <v>902</v>
      </c>
      <c r="L904" s="95">
        <v>-35.70000000000006</v>
      </c>
    </row>
    <row r="905" spans="11:12" x14ac:dyDescent="0.4">
      <c r="K905" s="36">
        <v>903</v>
      </c>
      <c r="L905" s="95">
        <v>-5.6843418860808015E-14</v>
      </c>
    </row>
    <row r="906" spans="11:12" x14ac:dyDescent="0.4">
      <c r="K906" s="36">
        <v>904</v>
      </c>
      <c r="L906" s="95">
        <v>-3.4000000000000568</v>
      </c>
    </row>
    <row r="907" spans="11:12" x14ac:dyDescent="0.4">
      <c r="K907" s="36">
        <v>905</v>
      </c>
      <c r="L907" s="95">
        <v>17.599999999999945</v>
      </c>
    </row>
    <row r="908" spans="11:12" x14ac:dyDescent="0.4">
      <c r="K908" s="36">
        <v>906</v>
      </c>
      <c r="L908" s="95">
        <v>-5.6843418860808015E-14</v>
      </c>
    </row>
    <row r="909" spans="11:12" x14ac:dyDescent="0.4">
      <c r="K909" s="36">
        <v>907</v>
      </c>
      <c r="L909" s="95">
        <v>-11.000000000000057</v>
      </c>
    </row>
    <row r="910" spans="11:12" x14ac:dyDescent="0.4">
      <c r="K910" s="36">
        <v>908</v>
      </c>
      <c r="L910" s="95">
        <v>27.199999999999946</v>
      </c>
    </row>
    <row r="911" spans="11:12" x14ac:dyDescent="0.4">
      <c r="K911" s="36">
        <v>909</v>
      </c>
      <c r="L911" s="95">
        <v>-5.3290705182007514E-14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8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81</v>
      </c>
      <c r="C2" s="155"/>
      <c r="E2" s="58" t="s">
        <v>66</v>
      </c>
      <c r="F2" s="55" t="s">
        <v>22</v>
      </c>
      <c r="G2" s="43">
        <v>144</v>
      </c>
      <c r="H2" s="128">
        <f>IF(B$15=0,0,G2/B$15)</f>
        <v>0.70935960591133007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2034.5679012345679</v>
      </c>
      <c r="P2" s="114">
        <v>81</v>
      </c>
      <c r="Q2" s="98">
        <v>164800</v>
      </c>
    </row>
    <row r="3" spans="1:17" x14ac:dyDescent="0.4">
      <c r="A3" s="51" t="s">
        <v>8</v>
      </c>
      <c r="B3" s="156">
        <v>721</v>
      </c>
      <c r="C3" s="157"/>
      <c r="E3" s="59" t="s">
        <v>72</v>
      </c>
      <c r="F3" s="56" t="s">
        <v>27</v>
      </c>
      <c r="G3" s="44">
        <v>115</v>
      </c>
      <c r="H3" s="129">
        <f>IF(B$15=0,0,G3/B$15)</f>
        <v>0.56650246305418717</v>
      </c>
      <c r="I3" s="90">
        <v>3</v>
      </c>
      <c r="K3" s="36">
        <v>1</v>
      </c>
      <c r="L3" s="95">
        <v>-4.5999999999999996</v>
      </c>
      <c r="N3" s="111" t="s">
        <v>131</v>
      </c>
      <c r="O3" s="118">
        <f t="shared" si="0"/>
        <v>-2061.25</v>
      </c>
      <c r="P3" s="115">
        <v>80</v>
      </c>
      <c r="Q3" s="99">
        <v>-164900</v>
      </c>
    </row>
    <row r="4" spans="1:17" x14ac:dyDescent="0.4">
      <c r="A4" s="51" t="s">
        <v>6</v>
      </c>
      <c r="B4" s="158">
        <v>-430.90000000000026</v>
      </c>
      <c r="C4" s="159"/>
      <c r="E4" s="59" t="s">
        <v>166</v>
      </c>
      <c r="F4" s="56" t="s">
        <v>167</v>
      </c>
      <c r="G4" s="44">
        <v>72</v>
      </c>
      <c r="H4" s="129">
        <f>IF(B$15=0,0,G4/B$15)</f>
        <v>0.35467980295566504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-1572.7272727272727</v>
      </c>
      <c r="P4" s="115">
        <v>77</v>
      </c>
      <c r="Q4" s="99">
        <v>-121100</v>
      </c>
    </row>
    <row r="5" spans="1:17" x14ac:dyDescent="0.4">
      <c r="A5" s="51" t="s">
        <v>7</v>
      </c>
      <c r="B5" s="160">
        <f>IF(B$2=0,0,B$4/B$2)</f>
        <v>-5.3197530864197562</v>
      </c>
      <c r="C5" s="161"/>
      <c r="E5" s="59" t="s">
        <v>64</v>
      </c>
      <c r="F5" s="56" t="s">
        <v>20</v>
      </c>
      <c r="G5" s="44">
        <v>56</v>
      </c>
      <c r="H5" s="129">
        <f>IF(B$15=0,0,G5/B$15)</f>
        <v>0.27586206896551724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-919.44444444444446</v>
      </c>
      <c r="P5" s="115">
        <v>72</v>
      </c>
      <c r="Q5" s="99">
        <v>-66200</v>
      </c>
    </row>
    <row r="6" spans="1:17" x14ac:dyDescent="0.4">
      <c r="A6" s="51" t="s">
        <v>1</v>
      </c>
      <c r="B6" s="150">
        <f>IF(B$2=0,0,(B$7*1+B$8*2+B$9*3)/B$2)</f>
        <v>2.1111111111111112</v>
      </c>
      <c r="C6" s="151"/>
      <c r="E6" s="59" t="s">
        <v>68</v>
      </c>
      <c r="F6" s="56" t="s">
        <v>12</v>
      </c>
      <c r="G6" s="44">
        <v>54</v>
      </c>
      <c r="H6" s="129">
        <f>IF(B$15=0,0,G6/B$15)</f>
        <v>0.26600985221674878</v>
      </c>
      <c r="I6" s="90">
        <v>12</v>
      </c>
      <c r="K6" s="36">
        <v>4</v>
      </c>
      <c r="L6" s="95">
        <v>-30.7</v>
      </c>
      <c r="N6" s="111" t="s">
        <v>134</v>
      </c>
      <c r="O6" s="118">
        <f t="shared" si="0"/>
        <v>-11.428571428571429</v>
      </c>
      <c r="P6" s="115">
        <v>70</v>
      </c>
      <c r="Q6" s="99">
        <v>-800</v>
      </c>
    </row>
    <row r="7" spans="1:17" x14ac:dyDescent="0.4">
      <c r="A7" s="51" t="s">
        <v>2</v>
      </c>
      <c r="B7" s="44">
        <v>25</v>
      </c>
      <c r="C7" s="37">
        <f t="shared" ref="C7:C10" si="1">IF(B$2=0,0,B7/B$2)</f>
        <v>0.30864197530864196</v>
      </c>
      <c r="E7" s="59" t="s">
        <v>67</v>
      </c>
      <c r="F7" s="56" t="s">
        <v>23</v>
      </c>
      <c r="G7" s="44">
        <v>36</v>
      </c>
      <c r="H7" s="129">
        <f>IF(B$15=0,0,G7/B$15)</f>
        <v>0.17733990147783252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-1923.3333333333333</v>
      </c>
      <c r="P7" s="116">
        <v>60</v>
      </c>
      <c r="Q7" s="100">
        <v>-115400</v>
      </c>
    </row>
    <row r="8" spans="1:17" x14ac:dyDescent="0.4">
      <c r="A8" s="51" t="s">
        <v>3</v>
      </c>
      <c r="B8" s="44">
        <v>22</v>
      </c>
      <c r="C8" s="37">
        <f t="shared" si="1"/>
        <v>0.27160493827160492</v>
      </c>
      <c r="E8" s="59" t="s">
        <v>69</v>
      </c>
      <c r="F8" s="56" t="s">
        <v>24</v>
      </c>
      <c r="G8" s="44">
        <v>33</v>
      </c>
      <c r="H8" s="129">
        <f>IF(B$15=0,0,G8/B$15)</f>
        <v>0.1625615763546798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0.41975308641975306</v>
      </c>
      <c r="E9" s="59" t="s">
        <v>71</v>
      </c>
      <c r="F9" s="56" t="s">
        <v>26</v>
      </c>
      <c r="G9" s="44">
        <v>24</v>
      </c>
      <c r="H9" s="129">
        <f>IF(B$15=0,0,G9/B$15)</f>
        <v>0.11822660098522167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1"/>
        <v>7.407407407407407E-2</v>
      </c>
      <c r="E10" s="59" t="s">
        <v>70</v>
      </c>
      <c r="F10" s="56" t="s">
        <v>25</v>
      </c>
      <c r="G10" s="44">
        <v>23</v>
      </c>
      <c r="H10" s="129">
        <f>IF(B$15=0,0,G10/B$15)</f>
        <v>0.11330049261083744</v>
      </c>
      <c r="I10" s="90">
        <v>4</v>
      </c>
      <c r="K10" s="36">
        <v>8</v>
      </c>
      <c r="L10" s="95">
        <v>-76.900000000000006</v>
      </c>
      <c r="N10" s="110" t="s">
        <v>157</v>
      </c>
      <c r="O10" s="120">
        <f>IF(P10=0,0,Q10/P10)</f>
        <v>-11.299999999999999</v>
      </c>
      <c r="P10" s="114">
        <v>28</v>
      </c>
      <c r="Q10" s="102">
        <v>-316.39999999999998</v>
      </c>
    </row>
    <row r="11" spans="1:17" x14ac:dyDescent="0.4">
      <c r="A11" s="54" t="s">
        <v>121</v>
      </c>
      <c r="B11" s="47">
        <v>105</v>
      </c>
      <c r="C11" s="42">
        <f>IF(B$3=0,0,B11/B$3)</f>
        <v>0.14563106796116504</v>
      </c>
      <c r="E11" s="59" t="s">
        <v>83</v>
      </c>
      <c r="F11" s="56" t="s">
        <v>38</v>
      </c>
      <c r="G11" s="44">
        <v>18</v>
      </c>
      <c r="H11" s="129">
        <f>IF(B$15=0,0,G11/B$15)</f>
        <v>8.8669950738916259E-2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-5.3439999999999994</v>
      </c>
      <c r="P11" s="115">
        <v>25</v>
      </c>
      <c r="Q11" s="103">
        <v>-133.6</v>
      </c>
    </row>
    <row r="12" spans="1:17" x14ac:dyDescent="0.4">
      <c r="A12" s="51" t="s">
        <v>118</v>
      </c>
      <c r="B12" s="44">
        <v>186</v>
      </c>
      <c r="C12" s="37">
        <f>IF(B$3=0,0,B12/B$3)</f>
        <v>0.2579750346740638</v>
      </c>
      <c r="E12" s="59" t="s">
        <v>89</v>
      </c>
      <c r="F12" s="56" t="s">
        <v>44</v>
      </c>
      <c r="G12" s="44">
        <v>14</v>
      </c>
      <c r="H12" s="129">
        <f>IF(B$15=0,0,G12/B$15)</f>
        <v>6.8965517241379309E-2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0.68214285714285749</v>
      </c>
      <c r="P12" s="116">
        <v>28</v>
      </c>
      <c r="Q12" s="104">
        <v>19.100000000000009</v>
      </c>
    </row>
    <row r="13" spans="1:17" x14ac:dyDescent="0.4">
      <c r="A13" s="50" t="s">
        <v>123</v>
      </c>
      <c r="B13" s="43">
        <f>B19</f>
        <v>57</v>
      </c>
      <c r="C13" s="35">
        <f>IF(B$11=0,0,B13/B$11)</f>
        <v>0.54285714285714282</v>
      </c>
      <c r="E13" s="59" t="s">
        <v>65</v>
      </c>
      <c r="F13" s="56" t="s">
        <v>21</v>
      </c>
      <c r="G13" s="44">
        <v>13</v>
      </c>
      <c r="H13" s="129">
        <f>IF(B$15=0,0,G13/B$15)</f>
        <v>6.4039408866995079E-2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78</v>
      </c>
      <c r="C14" s="35">
        <f>IF(B$12=0,0,B14/B$12)</f>
        <v>0.41935483870967744</v>
      </c>
      <c r="E14" s="59" t="s">
        <v>81</v>
      </c>
      <c r="F14" s="56" t="s">
        <v>36</v>
      </c>
      <c r="G14" s="44">
        <v>9</v>
      </c>
      <c r="H14" s="129">
        <f>IF(B$15=0,0,G14/B$15)</f>
        <v>4.4334975369458129E-2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203</v>
      </c>
      <c r="C15" s="35">
        <f>IF(B$3=0,0,B15/B$3)</f>
        <v>0.28155339805825241</v>
      </c>
      <c r="E15" s="59" t="s">
        <v>86</v>
      </c>
      <c r="F15" s="56" t="s">
        <v>41</v>
      </c>
      <c r="G15" s="44">
        <v>7</v>
      </c>
      <c r="H15" s="129">
        <f>IF(B$15=0,0,G15/B$15)</f>
        <v>3.4482758620689655E-2</v>
      </c>
      <c r="I15" s="90">
        <v>9</v>
      </c>
      <c r="K15" s="36">
        <v>13</v>
      </c>
      <c r="L15" s="95">
        <v>-66.2</v>
      </c>
      <c r="N15" s="110" t="s">
        <v>274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">
      <c r="A16" s="51" t="s">
        <v>13</v>
      </c>
      <c r="B16" s="44">
        <v>112</v>
      </c>
      <c r="C16" s="37">
        <f>IF(B$3=0,0,B16/B$3)</f>
        <v>0.1553398058252427</v>
      </c>
      <c r="E16" s="59" t="s">
        <v>79</v>
      </c>
      <c r="F16" s="56" t="s">
        <v>34</v>
      </c>
      <c r="G16" s="44">
        <v>5</v>
      </c>
      <c r="H16" s="129">
        <f>IF(B$15=0,0,G16/B$15)</f>
        <v>2.4630541871921183E-2</v>
      </c>
      <c r="I16" s="90">
        <v>2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">
      <c r="A17" s="51" t="s">
        <v>12</v>
      </c>
      <c r="B17" s="44">
        <v>87</v>
      </c>
      <c r="C17" s="37">
        <f>IF(B$15=0,0,B17/B$15)</f>
        <v>0.42857142857142855</v>
      </c>
      <c r="E17" s="59" t="s">
        <v>91</v>
      </c>
      <c r="F17" s="56" t="s">
        <v>46</v>
      </c>
      <c r="G17" s="44">
        <v>4</v>
      </c>
      <c r="H17" s="129">
        <f>IF(B$15=0,0,G17/B$15)</f>
        <v>1.9704433497536946E-2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 t="shared" si="2"/>
        <v>4.4185185185185185</v>
      </c>
      <c r="P17" s="115">
        <v>27</v>
      </c>
      <c r="Q17" s="103">
        <v>119.3</v>
      </c>
    </row>
    <row r="18" spans="1:17" x14ac:dyDescent="0.4">
      <c r="A18" s="51" t="s">
        <v>11</v>
      </c>
      <c r="B18" s="44">
        <v>116</v>
      </c>
      <c r="C18" s="37">
        <f>IF(B$15=0,0,B18/B$15)</f>
        <v>0.5714285714285714</v>
      </c>
      <c r="E18" s="59" t="s">
        <v>74</v>
      </c>
      <c r="F18" s="56" t="s">
        <v>29</v>
      </c>
      <c r="G18" s="44">
        <v>2</v>
      </c>
      <c r="H18" s="129">
        <f>IF(B$15=0,0,G18/B$15)</f>
        <v>9.852216748768473E-3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-1.4666666666666697</v>
      </c>
      <c r="P18" s="115">
        <v>18</v>
      </c>
      <c r="Q18" s="103">
        <v>-26.400000000000055</v>
      </c>
    </row>
    <row r="19" spans="1:17" x14ac:dyDescent="0.4">
      <c r="A19" s="51" t="s">
        <v>195</v>
      </c>
      <c r="B19" s="44">
        <v>57</v>
      </c>
      <c r="C19" s="37">
        <f>IF(B$15=0,0,B19/B$15)</f>
        <v>0.28078817733990147</v>
      </c>
      <c r="E19" s="59" t="s">
        <v>75</v>
      </c>
      <c r="F19" s="56" t="s">
        <v>30</v>
      </c>
      <c r="G19" s="44">
        <v>2</v>
      </c>
      <c r="H19" s="129">
        <f>IF(B$15=0,0,G19/B$15)</f>
        <v>9.852216748768473E-3</v>
      </c>
      <c r="I19" s="90">
        <v>5</v>
      </c>
      <c r="K19" s="36">
        <v>17</v>
      </c>
      <c r="L19" s="95">
        <v>-65.2</v>
      </c>
      <c r="N19" s="111" t="s">
        <v>127</v>
      </c>
      <c r="O19" s="121">
        <f t="shared" si="2"/>
        <v>-6.1387096774193557</v>
      </c>
      <c r="P19" s="115">
        <v>31</v>
      </c>
      <c r="Q19" s="103">
        <v>-190.30000000000004</v>
      </c>
    </row>
    <row r="20" spans="1:17" x14ac:dyDescent="0.4">
      <c r="A20" s="51" t="s">
        <v>193</v>
      </c>
      <c r="B20" s="44">
        <v>78</v>
      </c>
      <c r="C20" s="37">
        <f>IF(B$15=0,0,B20/B$15)</f>
        <v>0.38423645320197042</v>
      </c>
      <c r="E20" s="59" t="s">
        <v>78</v>
      </c>
      <c r="F20" s="56" t="s">
        <v>33</v>
      </c>
      <c r="G20" s="44">
        <v>2</v>
      </c>
      <c r="H20" s="129">
        <f>IF(B$15=0,0,G20/B$15)</f>
        <v>9.852216748768473E-3</v>
      </c>
      <c r="I20" s="90">
        <v>9</v>
      </c>
      <c r="K20" s="36">
        <v>18</v>
      </c>
      <c r="L20" s="95">
        <v>-80.2</v>
      </c>
      <c r="N20" s="111" t="s">
        <v>126</v>
      </c>
      <c r="O20" s="121">
        <f t="shared" si="2"/>
        <v>-11.944736842105266</v>
      </c>
      <c r="P20" s="115">
        <v>38</v>
      </c>
      <c r="Q20" s="103">
        <v>-453.90000000000015</v>
      </c>
    </row>
    <row r="21" spans="1:17" x14ac:dyDescent="0.4">
      <c r="A21" s="51" t="s">
        <v>194</v>
      </c>
      <c r="B21" s="44">
        <v>68</v>
      </c>
      <c r="C21" s="37">
        <f>IF(B$15=0,0,B21/B$15)</f>
        <v>0.33497536945812806</v>
      </c>
      <c r="E21" s="59" t="s">
        <v>88</v>
      </c>
      <c r="F21" s="56" t="s">
        <v>43</v>
      </c>
      <c r="G21" s="44">
        <v>2</v>
      </c>
      <c r="H21" s="129">
        <f>IF(B$15=0,0,G21/B$15)</f>
        <v>9.852216748768473E-3</v>
      </c>
      <c r="I21" s="90">
        <v>1</v>
      </c>
      <c r="K21" s="36">
        <v>19</v>
      </c>
      <c r="L21" s="95">
        <v>-115.1</v>
      </c>
      <c r="N21" s="111" t="s">
        <v>197</v>
      </c>
      <c r="O21" s="121">
        <f t="shared" si="2"/>
        <v>-18.291666666666664</v>
      </c>
      <c r="P21" s="115">
        <v>12</v>
      </c>
      <c r="Q21" s="103">
        <v>-219.49999999999997</v>
      </c>
    </row>
    <row r="22" spans="1:17" x14ac:dyDescent="0.4">
      <c r="A22" s="51" t="s">
        <v>5</v>
      </c>
      <c r="B22" s="48">
        <f>IF(B$15=0,0,C22/B$15)</f>
        <v>7173.8916256157636</v>
      </c>
      <c r="C22" s="39">
        <v>1456300</v>
      </c>
      <c r="E22" s="59" t="s">
        <v>93</v>
      </c>
      <c r="F22" s="56" t="s">
        <v>48</v>
      </c>
      <c r="G22" s="44">
        <v>2</v>
      </c>
      <c r="H22" s="129">
        <f>IF(B$15=0,0,G22/B$15)</f>
        <v>9.852216748768473E-3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 t="shared" si="2"/>
        <v>-26.930769230769229</v>
      </c>
      <c r="P22" s="115">
        <v>26</v>
      </c>
      <c r="Q22" s="103">
        <v>-700.19999999999993</v>
      </c>
    </row>
    <row r="23" spans="1:17" x14ac:dyDescent="0.4">
      <c r="A23" s="52" t="s">
        <v>177</v>
      </c>
      <c r="B23" s="136">
        <f>IF($B$15-B$14=0,0,C23/($B$15-B$14))</f>
        <v>7704.8</v>
      </c>
      <c r="C23" s="137">
        <v>963100</v>
      </c>
      <c r="E23" s="59" t="s">
        <v>77</v>
      </c>
      <c r="F23" s="56" t="s">
        <v>32</v>
      </c>
      <c r="G23" s="44">
        <v>1</v>
      </c>
      <c r="H23" s="129">
        <f>IF(B$15=0,0,G23/B$15)</f>
        <v>4.9261083743842365E-3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 t="shared" si="2"/>
        <v>-38</v>
      </c>
      <c r="P23" s="115">
        <v>1</v>
      </c>
      <c r="Q23" s="103">
        <v>-38</v>
      </c>
    </row>
    <row r="24" spans="1:17" x14ac:dyDescent="0.4">
      <c r="A24" s="52" t="s">
        <v>178</v>
      </c>
      <c r="B24" s="136">
        <f>IF(B$14=0,0,C24/B$14)</f>
        <v>6323.0769230769229</v>
      </c>
      <c r="C24" s="137">
        <v>493200</v>
      </c>
      <c r="E24" s="59" t="s">
        <v>84</v>
      </c>
      <c r="F24" s="56" t="s">
        <v>39</v>
      </c>
      <c r="G24" s="44">
        <v>1</v>
      </c>
      <c r="H24" s="129">
        <f>IF(B$15=0,0,G24/B$15)</f>
        <v>4.9261083743842365E-3</v>
      </c>
      <c r="I24" s="90">
        <v>3</v>
      </c>
      <c r="K24" s="36">
        <v>22</v>
      </c>
      <c r="L24" s="95">
        <v>-142.80000000000001</v>
      </c>
    </row>
    <row r="25" spans="1:17" x14ac:dyDescent="0.4">
      <c r="A25" s="52" t="s">
        <v>176</v>
      </c>
      <c r="B25" s="136">
        <f>IF(B$16=0,0,C25/B$16)</f>
        <v>-7780.3571428571431</v>
      </c>
      <c r="C25" s="137">
        <v>-871400</v>
      </c>
      <c r="E25" s="59" t="s">
        <v>87</v>
      </c>
      <c r="F25" s="56" t="s">
        <v>42</v>
      </c>
      <c r="G25" s="44">
        <v>1</v>
      </c>
      <c r="H25" s="129">
        <f>IF(B$15=0,0,G25/B$15)</f>
        <v>4.9261083743842365E-3</v>
      </c>
      <c r="I25" s="90">
        <v>3</v>
      </c>
      <c r="K25" s="36">
        <v>23</v>
      </c>
      <c r="L25" s="95">
        <v>-80.900000000000006</v>
      </c>
    </row>
    <row r="26" spans="1:17" x14ac:dyDescent="0.4">
      <c r="A26" s="51" t="s">
        <v>164</v>
      </c>
      <c r="B26" s="44">
        <v>5</v>
      </c>
      <c r="C26" s="131">
        <v>2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">
      <c r="A27" s="51" t="s">
        <v>165</v>
      </c>
      <c r="B27" s="44">
        <v>32</v>
      </c>
      <c r="C27" s="131">
        <v>2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">
      <c r="A30" s="53" t="s">
        <v>139</v>
      </c>
      <c r="B30" s="61">
        <v>2</v>
      </c>
      <c r="C30" s="40">
        <f>IF(B$3=0,0,B30/B$3)</f>
        <v>2.7739251040221915E-3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">
      <c r="A32" s="86" t="s">
        <v>183</v>
      </c>
      <c r="B32" s="144">
        <v>27</v>
      </c>
      <c r="C32" s="141">
        <f>IF(B$15=0,0,B32/B$15)</f>
        <v>0.13300492610837439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">
      <c r="A33" s="51" t="s">
        <v>179</v>
      </c>
      <c r="B33" s="44">
        <v>40</v>
      </c>
      <c r="C33" s="37">
        <f t="shared" ref="C33:C44" si="3">IF(B$15=0,0,B33/B$15)</f>
        <v>0.19704433497536947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180</v>
      </c>
      <c r="B34" s="145">
        <v>43</v>
      </c>
      <c r="C34" s="37">
        <f>IF(B$15=0,0,B34/B$15)</f>
        <v>0.21182266009852216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181</v>
      </c>
      <c r="B35" s="145">
        <v>34</v>
      </c>
      <c r="C35" s="37">
        <f t="shared" si="3"/>
        <v>0.16748768472906403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182</v>
      </c>
      <c r="B36" s="145">
        <v>22</v>
      </c>
      <c r="C36" s="37">
        <f t="shared" si="3"/>
        <v>0.10837438423645321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184</v>
      </c>
      <c r="B37" s="145">
        <v>17</v>
      </c>
      <c r="C37" s="37">
        <f t="shared" si="3"/>
        <v>8.3743842364532015E-2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185</v>
      </c>
      <c r="B38" s="145">
        <v>11</v>
      </c>
      <c r="C38" s="37">
        <f t="shared" si="3"/>
        <v>5.4187192118226604E-2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186</v>
      </c>
      <c r="B39" s="145">
        <v>6</v>
      </c>
      <c r="C39" s="37">
        <f t="shared" si="3"/>
        <v>2.9556650246305417E-2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187</v>
      </c>
      <c r="B40" s="145">
        <v>1</v>
      </c>
      <c r="C40" s="37">
        <f t="shared" si="3"/>
        <v>4.9261083743842365E-3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3" t="s">
        <v>191</v>
      </c>
      <c r="B44" s="140">
        <v>2</v>
      </c>
      <c r="C44" s="40">
        <f t="shared" si="3"/>
        <v>9.852216748768473E-3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  <row r="59" spans="5:12" x14ac:dyDescent="0.4">
      <c r="K59" s="36">
        <v>57</v>
      </c>
      <c r="L59" s="95">
        <v>-389.2000000000001</v>
      </c>
    </row>
    <row r="60" spans="5:12" x14ac:dyDescent="0.4">
      <c r="K60" s="36">
        <v>58</v>
      </c>
      <c r="L60" s="95">
        <v>-436.00000000000011</v>
      </c>
    </row>
    <row r="61" spans="5:12" x14ac:dyDescent="0.4">
      <c r="K61" s="36">
        <v>59</v>
      </c>
      <c r="L61" s="95">
        <v>-399.2000000000001</v>
      </c>
    </row>
    <row r="62" spans="5:12" x14ac:dyDescent="0.4">
      <c r="K62" s="36">
        <v>60</v>
      </c>
      <c r="L62" s="95">
        <v>-444.30000000000013</v>
      </c>
    </row>
    <row r="63" spans="5:12" x14ac:dyDescent="0.4">
      <c r="K63" s="36">
        <v>61</v>
      </c>
      <c r="L63" s="95">
        <v>-491.00000000000011</v>
      </c>
    </row>
    <row r="64" spans="5:12" x14ac:dyDescent="0.4">
      <c r="K64" s="36">
        <v>62</v>
      </c>
      <c r="L64" s="95">
        <v>-482.00000000000011</v>
      </c>
    </row>
    <row r="65" spans="11:12" x14ac:dyDescent="0.4">
      <c r="K65" s="36">
        <v>63</v>
      </c>
      <c r="L65" s="95">
        <v>-522.20000000000016</v>
      </c>
    </row>
    <row r="66" spans="11:12" x14ac:dyDescent="0.4">
      <c r="K66" s="36">
        <v>64</v>
      </c>
      <c r="L66" s="95">
        <v>-550.9000000000002</v>
      </c>
    </row>
    <row r="67" spans="11:12" x14ac:dyDescent="0.4">
      <c r="K67" s="36">
        <v>65</v>
      </c>
      <c r="L67" s="95">
        <v>-526.20000000000016</v>
      </c>
    </row>
    <row r="68" spans="11:12" x14ac:dyDescent="0.4">
      <c r="K68" s="36">
        <v>66</v>
      </c>
      <c r="L68" s="95">
        <v>-497.90000000000015</v>
      </c>
    </row>
    <row r="69" spans="11:12" x14ac:dyDescent="0.4">
      <c r="K69" s="36">
        <v>67</v>
      </c>
      <c r="L69" s="95">
        <v>-494.00000000000017</v>
      </c>
    </row>
    <row r="70" spans="11:12" x14ac:dyDescent="0.4">
      <c r="K70" s="36">
        <v>68</v>
      </c>
      <c r="L70" s="95">
        <v>-513.00000000000023</v>
      </c>
    </row>
    <row r="71" spans="11:12" x14ac:dyDescent="0.4">
      <c r="K71" s="36">
        <v>69</v>
      </c>
      <c r="L71" s="95">
        <v>-482.60000000000025</v>
      </c>
    </row>
    <row r="72" spans="11:12" x14ac:dyDescent="0.4">
      <c r="K72" s="36">
        <v>70</v>
      </c>
      <c r="L72" s="95">
        <v>-490.90000000000026</v>
      </c>
    </row>
    <row r="73" spans="11:12" x14ac:dyDescent="0.4">
      <c r="K73" s="36">
        <v>71</v>
      </c>
      <c r="L73" s="95">
        <v>-486.70000000000027</v>
      </c>
    </row>
    <row r="74" spans="11:12" x14ac:dyDescent="0.4">
      <c r="K74" s="36">
        <v>72</v>
      </c>
      <c r="L74" s="95">
        <v>-450.00000000000028</v>
      </c>
    </row>
    <row r="75" spans="11:12" x14ac:dyDescent="0.4">
      <c r="K75" s="36">
        <v>73</v>
      </c>
      <c r="L75" s="95">
        <v>-460.50000000000028</v>
      </c>
    </row>
    <row r="76" spans="11:12" x14ac:dyDescent="0.4">
      <c r="K76" s="36">
        <v>74</v>
      </c>
      <c r="L76" s="95">
        <v>-460.70000000000027</v>
      </c>
    </row>
    <row r="77" spans="11:12" x14ac:dyDescent="0.4">
      <c r="K77" s="36">
        <v>75</v>
      </c>
      <c r="L77" s="95">
        <v>-462.20000000000027</v>
      </c>
    </row>
    <row r="78" spans="11:12" x14ac:dyDescent="0.4">
      <c r="K78" s="36">
        <v>76</v>
      </c>
      <c r="L78" s="95">
        <v>-520.50000000000023</v>
      </c>
    </row>
    <row r="79" spans="11:12" x14ac:dyDescent="0.4">
      <c r="K79" s="36">
        <v>77</v>
      </c>
      <c r="L79" s="95">
        <v>-490.00000000000023</v>
      </c>
    </row>
    <row r="80" spans="11:12" x14ac:dyDescent="0.4">
      <c r="K80" s="36">
        <v>78</v>
      </c>
      <c r="L80" s="95">
        <v>-427.60000000000025</v>
      </c>
    </row>
    <row r="81" spans="11:12" x14ac:dyDescent="0.4">
      <c r="K81" s="36">
        <v>79</v>
      </c>
      <c r="L81" s="95">
        <v>-419.20000000000027</v>
      </c>
    </row>
    <row r="82" spans="11:12" x14ac:dyDescent="0.4">
      <c r="K82" s="36">
        <v>80</v>
      </c>
      <c r="L82" s="95">
        <v>-427.50000000000028</v>
      </c>
    </row>
    <row r="83" spans="11:12" x14ac:dyDescent="0.4">
      <c r="K83" s="36">
        <v>81</v>
      </c>
      <c r="L83" s="95">
        <v>-430.90000000000026</v>
      </c>
    </row>
  </sheetData>
  <sortState xmlns:xlrd2="http://schemas.microsoft.com/office/spreadsheetml/2017/richdata2" ref="E2:I8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18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178</v>
      </c>
      <c r="C2" s="155"/>
      <c r="E2" s="58" t="s">
        <v>66</v>
      </c>
      <c r="F2" s="55" t="s">
        <v>22</v>
      </c>
      <c r="G2" s="43">
        <v>337</v>
      </c>
      <c r="H2" s="128">
        <f>IF(B$15=0,0,G2/B$15)</f>
        <v>0.67535070140280562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1176.2711864406779</v>
      </c>
      <c r="P2" s="114">
        <v>177</v>
      </c>
      <c r="Q2" s="98">
        <v>208200</v>
      </c>
    </row>
    <row r="3" spans="1:17" x14ac:dyDescent="0.4">
      <c r="A3" s="51" t="s">
        <v>8</v>
      </c>
      <c r="B3" s="156">
        <v>1460</v>
      </c>
      <c r="C3" s="157"/>
      <c r="E3" s="59" t="s">
        <v>72</v>
      </c>
      <c r="F3" s="56" t="s">
        <v>27</v>
      </c>
      <c r="G3" s="44">
        <v>263</v>
      </c>
      <c r="H3" s="129">
        <f>IF(B$15=0,0,G3/B$15)</f>
        <v>0.52705410821643284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1260.344827586207</v>
      </c>
      <c r="P3" s="115">
        <v>174</v>
      </c>
      <c r="Q3" s="99">
        <v>219300</v>
      </c>
    </row>
    <row r="4" spans="1:17" x14ac:dyDescent="0.4">
      <c r="A4" s="51" t="s">
        <v>6</v>
      </c>
      <c r="B4" s="158">
        <v>1526.1999999999996</v>
      </c>
      <c r="C4" s="159"/>
      <c r="E4" s="59" t="s">
        <v>64</v>
      </c>
      <c r="F4" s="56" t="s">
        <v>20</v>
      </c>
      <c r="G4" s="44">
        <v>215</v>
      </c>
      <c r="H4" s="129">
        <f>IF(B$15=0,0,G4/B$15)</f>
        <v>0.43086172344689377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994.61077844311376</v>
      </c>
      <c r="P4" s="115">
        <v>167</v>
      </c>
      <c r="Q4" s="99">
        <v>166100</v>
      </c>
    </row>
    <row r="5" spans="1:17" x14ac:dyDescent="0.4">
      <c r="A5" s="51" t="s">
        <v>7</v>
      </c>
      <c r="B5" s="160">
        <f>IF(B$2=0,0,B$4/B$2)</f>
        <v>8.5741573033707841</v>
      </c>
      <c r="C5" s="161"/>
      <c r="E5" s="59" t="s">
        <v>166</v>
      </c>
      <c r="F5" s="56" t="s">
        <v>167</v>
      </c>
      <c r="G5" s="44">
        <v>194</v>
      </c>
      <c r="H5" s="129">
        <f>IF(B$15=0,0,G5/B$15)</f>
        <v>0.38877755511022044</v>
      </c>
      <c r="I5" s="90">
        <v>6</v>
      </c>
      <c r="K5" s="36">
        <v>3</v>
      </c>
      <c r="L5" s="95">
        <v>40.400000000000006</v>
      </c>
      <c r="N5" s="111" t="s">
        <v>133</v>
      </c>
      <c r="O5" s="118">
        <f t="shared" si="0"/>
        <v>335.89743589743591</v>
      </c>
      <c r="P5" s="115">
        <v>156</v>
      </c>
      <c r="Q5" s="99">
        <v>52400</v>
      </c>
    </row>
    <row r="6" spans="1:17" x14ac:dyDescent="0.4">
      <c r="A6" s="51" t="s">
        <v>1</v>
      </c>
      <c r="B6" s="150">
        <f>IF(B$2=0,0,(B$7*1+B$8*2+B$9*3)/B$2)</f>
        <v>1.7921348314606742</v>
      </c>
      <c r="C6" s="151"/>
      <c r="E6" s="59" t="s">
        <v>68</v>
      </c>
      <c r="F6" s="56" t="s">
        <v>12</v>
      </c>
      <c r="G6" s="44">
        <v>139</v>
      </c>
      <c r="H6" s="129">
        <f>IF(B$15=0,0,G6/B$15)</f>
        <v>0.27855711422845691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1482.7586206896551</v>
      </c>
      <c r="P6" s="115">
        <v>145</v>
      </c>
      <c r="Q6" s="99">
        <v>215000</v>
      </c>
    </row>
    <row r="7" spans="1:17" x14ac:dyDescent="0.4">
      <c r="A7" s="51" t="s">
        <v>2</v>
      </c>
      <c r="B7" s="44">
        <v>82</v>
      </c>
      <c r="C7" s="37">
        <f t="shared" ref="C7:C10" si="1">IF(B$2=0,0,B7/B$2)</f>
        <v>0.4606741573033708</v>
      </c>
      <c r="E7" s="59" t="s">
        <v>67</v>
      </c>
      <c r="F7" s="56" t="s">
        <v>23</v>
      </c>
      <c r="G7" s="44">
        <v>119</v>
      </c>
      <c r="H7" s="129">
        <f>IF(B$15=0,0,G7/B$15)</f>
        <v>0.23847695390781562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2100.8333333333335</v>
      </c>
      <c r="P7" s="116">
        <v>120</v>
      </c>
      <c r="Q7" s="100">
        <v>252100</v>
      </c>
    </row>
    <row r="8" spans="1:17" x14ac:dyDescent="0.4">
      <c r="A8" s="51" t="s">
        <v>3</v>
      </c>
      <c r="B8" s="44">
        <v>51</v>
      </c>
      <c r="C8" s="37">
        <f t="shared" si="1"/>
        <v>0.28651685393258425</v>
      </c>
      <c r="E8" s="59" t="s">
        <v>89</v>
      </c>
      <c r="F8" s="56" t="s">
        <v>44</v>
      </c>
      <c r="G8" s="44">
        <v>74</v>
      </c>
      <c r="H8" s="129">
        <f>IF(B$15=0,0,G8/B$15)</f>
        <v>0.14829659318637275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45</v>
      </c>
      <c r="C9" s="38">
        <f t="shared" si="1"/>
        <v>0.25280898876404495</v>
      </c>
      <c r="E9" s="59" t="s">
        <v>69</v>
      </c>
      <c r="F9" s="56" t="s">
        <v>24</v>
      </c>
      <c r="G9" s="44">
        <v>62</v>
      </c>
      <c r="H9" s="129">
        <f>IF(B$15=0,0,G9/B$15)</f>
        <v>0.12424849699398798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1"/>
        <v>4.49438202247191E-2</v>
      </c>
      <c r="E10" s="59" t="s">
        <v>65</v>
      </c>
      <c r="F10" s="56" t="s">
        <v>21</v>
      </c>
      <c r="G10" s="44">
        <v>55</v>
      </c>
      <c r="H10" s="129">
        <f>IF(B$15=0,0,G10/B$15)</f>
        <v>0.11022044088176353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12.196226415094337</v>
      </c>
      <c r="P10" s="114">
        <v>53</v>
      </c>
      <c r="Q10" s="102">
        <v>646.39999999999986</v>
      </c>
    </row>
    <row r="11" spans="1:17" x14ac:dyDescent="0.4">
      <c r="A11" s="54" t="s">
        <v>121</v>
      </c>
      <c r="B11" s="47">
        <v>387</v>
      </c>
      <c r="C11" s="42">
        <f>IF(B$3=0,0,B11/B$3)</f>
        <v>0.26506849315068493</v>
      </c>
      <c r="E11" s="59" t="s">
        <v>71</v>
      </c>
      <c r="F11" s="56" t="s">
        <v>26</v>
      </c>
      <c r="G11" s="44">
        <v>37</v>
      </c>
      <c r="H11" s="129">
        <f>IF(B$15=0,0,G11/B$15)</f>
        <v>7.4148296593186377E-2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3.5533333333333332</v>
      </c>
      <c r="P11" s="115">
        <v>60</v>
      </c>
      <c r="Q11" s="103">
        <v>213.2</v>
      </c>
    </row>
    <row r="12" spans="1:17" x14ac:dyDescent="0.4">
      <c r="A12" s="51" t="s">
        <v>118</v>
      </c>
      <c r="B12" s="44">
        <v>346</v>
      </c>
      <c r="C12" s="37">
        <f>IF(B$3=0,0,B12/B$3)</f>
        <v>0.23698630136986301</v>
      </c>
      <c r="E12" s="59" t="s">
        <v>86</v>
      </c>
      <c r="F12" s="56" t="s">
        <v>41</v>
      </c>
      <c r="G12" s="44">
        <v>32</v>
      </c>
      <c r="H12" s="129">
        <f>IF(B$15=0,0,G12/B$15)</f>
        <v>6.4128256513026047E-2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10.255384615384612</v>
      </c>
      <c r="P12" s="116">
        <v>65</v>
      </c>
      <c r="Q12" s="104">
        <v>666.5999999999998</v>
      </c>
    </row>
    <row r="13" spans="1:17" x14ac:dyDescent="0.4">
      <c r="A13" s="50" t="s">
        <v>123</v>
      </c>
      <c r="B13" s="43">
        <f>B19</f>
        <v>227</v>
      </c>
      <c r="C13" s="35">
        <f>IF(B$11=0,0,B13/B$11)</f>
        <v>0.58656330749354002</v>
      </c>
      <c r="E13" s="59" t="s">
        <v>70</v>
      </c>
      <c r="F13" s="56" t="s">
        <v>25</v>
      </c>
      <c r="G13" s="44">
        <v>30</v>
      </c>
      <c r="H13" s="129">
        <f>IF(B$15=0,0,G13/B$15)</f>
        <v>6.0120240480961921E-2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168</v>
      </c>
      <c r="C14" s="35">
        <f>IF(B$12=0,0,B14/B$12)</f>
        <v>0.48554913294797686</v>
      </c>
      <c r="E14" s="59" t="s">
        <v>83</v>
      </c>
      <c r="F14" s="56" t="s">
        <v>38</v>
      </c>
      <c r="G14" s="44">
        <v>24</v>
      </c>
      <c r="H14" s="129">
        <f>IF(B$15=0,0,G14/B$15)</f>
        <v>4.8096192384769539E-2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499</v>
      </c>
      <c r="C15" s="35">
        <f>IF(B$3=0,0,B15/B$3)</f>
        <v>0.34178082191780823</v>
      </c>
      <c r="E15" s="59" t="s">
        <v>78</v>
      </c>
      <c r="F15" s="56" t="s">
        <v>33</v>
      </c>
      <c r="G15" s="44">
        <v>21</v>
      </c>
      <c r="H15" s="129">
        <f>IF(B$15=0,0,G15/B$15)</f>
        <v>4.2084168336673347E-2</v>
      </c>
      <c r="I15" s="90">
        <v>3</v>
      </c>
      <c r="K15" s="36">
        <v>13</v>
      </c>
      <c r="L15" s="95">
        <v>206.39999999999998</v>
      </c>
      <c r="N15" s="110" t="s">
        <v>274</v>
      </c>
      <c r="O15" s="120">
        <f>IF(P15=0,0,Q15/P15)</f>
        <v>49.766666666666659</v>
      </c>
      <c r="P15" s="114">
        <v>3</v>
      </c>
      <c r="Q15" s="102">
        <v>149.29999999999998</v>
      </c>
    </row>
    <row r="16" spans="1:17" x14ac:dyDescent="0.4">
      <c r="A16" s="51" t="s">
        <v>13</v>
      </c>
      <c r="B16" s="44">
        <v>191</v>
      </c>
      <c r="C16" s="37">
        <f>IF(B$3=0,0,B16/B$3)</f>
        <v>0.13082191780821917</v>
      </c>
      <c r="E16" s="59" t="s">
        <v>162</v>
      </c>
      <c r="F16" s="56" t="s">
        <v>163</v>
      </c>
      <c r="G16" s="44">
        <v>14</v>
      </c>
      <c r="H16" s="129">
        <f>IF(B$15=0,0,G16/B$15)</f>
        <v>2.8056112224448898E-2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39.662500000000009</v>
      </c>
      <c r="P16" s="115">
        <v>8</v>
      </c>
      <c r="Q16" s="103">
        <v>317.30000000000007</v>
      </c>
    </row>
    <row r="17" spans="1:17" x14ac:dyDescent="0.4">
      <c r="A17" s="51" t="s">
        <v>12</v>
      </c>
      <c r="B17" s="44">
        <v>213</v>
      </c>
      <c r="C17" s="37">
        <f>IF(B$15=0,0,B17/B$15)</f>
        <v>0.42685370741482964</v>
      </c>
      <c r="E17" s="59" t="s">
        <v>81</v>
      </c>
      <c r="F17" s="56" t="s">
        <v>36</v>
      </c>
      <c r="G17" s="44">
        <v>7</v>
      </c>
      <c r="H17" s="129">
        <f>IF(B$15=0,0,G17/B$15)</f>
        <v>1.4028056112224449E-2</v>
      </c>
      <c r="I17" s="90">
        <v>9</v>
      </c>
      <c r="K17" s="36">
        <v>15</v>
      </c>
      <c r="L17" s="95">
        <v>269.49999999999994</v>
      </c>
      <c r="N17" s="111" t="s">
        <v>197</v>
      </c>
      <c r="O17" s="121">
        <f>IF(P17=0,0,Q17/P17)</f>
        <v>26.642105263157898</v>
      </c>
      <c r="P17" s="115">
        <v>19</v>
      </c>
      <c r="Q17" s="103">
        <v>506.20000000000005</v>
      </c>
    </row>
    <row r="18" spans="1:17" x14ac:dyDescent="0.4">
      <c r="A18" s="51" t="s">
        <v>11</v>
      </c>
      <c r="B18" s="44">
        <v>286</v>
      </c>
      <c r="C18" s="37">
        <f>IF(B$15=0,0,B18/B$15)</f>
        <v>0.57314629258517036</v>
      </c>
      <c r="E18" s="59" t="s">
        <v>91</v>
      </c>
      <c r="F18" s="56" t="s">
        <v>46</v>
      </c>
      <c r="G18" s="44">
        <v>6</v>
      </c>
      <c r="H18" s="129">
        <f>IF(B$15=0,0,G18/B$15)</f>
        <v>1.2024048096192385E-2</v>
      </c>
      <c r="I18" s="90">
        <v>7</v>
      </c>
      <c r="K18" s="36">
        <v>16</v>
      </c>
      <c r="L18" s="95">
        <v>323.69999999999993</v>
      </c>
      <c r="N18" s="111" t="s">
        <v>172</v>
      </c>
      <c r="O18" s="121">
        <f>IF(P18=0,0,Q18/P18)</f>
        <v>15.169354838709678</v>
      </c>
      <c r="P18" s="115">
        <v>62</v>
      </c>
      <c r="Q18" s="103">
        <v>940.5</v>
      </c>
    </row>
    <row r="19" spans="1:17" x14ac:dyDescent="0.4">
      <c r="A19" s="51" t="s">
        <v>195</v>
      </c>
      <c r="B19" s="44">
        <v>227</v>
      </c>
      <c r="C19" s="37">
        <f>IF(B$15=0,0,B19/B$15)</f>
        <v>0.45490981963927857</v>
      </c>
      <c r="E19" s="59" t="s">
        <v>75</v>
      </c>
      <c r="F19" s="56" t="s">
        <v>30</v>
      </c>
      <c r="G19" s="44">
        <v>5</v>
      </c>
      <c r="H19" s="129">
        <f>IF(B$15=0,0,G19/B$15)</f>
        <v>1.002004008016032E-2</v>
      </c>
      <c r="I19" s="90">
        <v>4</v>
      </c>
      <c r="K19" s="36">
        <v>17</v>
      </c>
      <c r="L19" s="95">
        <v>359.09999999999991</v>
      </c>
      <c r="N19" s="111" t="s">
        <v>171</v>
      </c>
      <c r="O19" s="121">
        <f>IF(P19=0,0,Q19/P19)</f>
        <v>12.623880597014924</v>
      </c>
      <c r="P19" s="115">
        <v>67</v>
      </c>
      <c r="Q19" s="103">
        <v>845.8</v>
      </c>
    </row>
    <row r="20" spans="1:17" x14ac:dyDescent="0.4">
      <c r="A20" s="51" t="s">
        <v>193</v>
      </c>
      <c r="B20" s="44">
        <v>168</v>
      </c>
      <c r="C20" s="37">
        <f>IF(B$15=0,0,B20/B$15)</f>
        <v>0.33667334669338678</v>
      </c>
      <c r="E20" s="59" t="s">
        <v>79</v>
      </c>
      <c r="F20" s="56" t="s">
        <v>34</v>
      </c>
      <c r="G20" s="44">
        <v>4</v>
      </c>
      <c r="H20" s="129">
        <f>IF(B$15=0,0,G20/B$15)</f>
        <v>8.0160320641282558E-3</v>
      </c>
      <c r="I20" s="90">
        <v>9</v>
      </c>
      <c r="K20" s="36">
        <v>18</v>
      </c>
      <c r="L20" s="95">
        <v>352.39999999999992</v>
      </c>
      <c r="N20" s="111" t="s">
        <v>161</v>
      </c>
      <c r="O20" s="121">
        <f>IF(P20=0,0,Q20/P20)</f>
        <v>12.43846153846154</v>
      </c>
      <c r="P20" s="115">
        <v>39</v>
      </c>
      <c r="Q20" s="103">
        <v>485.10000000000008</v>
      </c>
    </row>
    <row r="21" spans="1:17" x14ac:dyDescent="0.4">
      <c r="A21" s="51" t="s">
        <v>194</v>
      </c>
      <c r="B21" s="44">
        <v>104</v>
      </c>
      <c r="C21" s="37">
        <f>IF(B$15=0,0,B21/B$15)</f>
        <v>0.20841683366733466</v>
      </c>
      <c r="E21" s="59" t="s">
        <v>85</v>
      </c>
      <c r="F21" s="56" t="s">
        <v>40</v>
      </c>
      <c r="G21" s="44">
        <v>4</v>
      </c>
      <c r="H21" s="129">
        <f>IF(B$15=0,0,G21/B$15)</f>
        <v>8.0160320641282558E-3</v>
      </c>
      <c r="I21" s="90">
        <v>5</v>
      </c>
      <c r="K21" s="36">
        <v>19</v>
      </c>
      <c r="L21" s="95">
        <v>383.19999999999993</v>
      </c>
      <c r="N21" s="111" t="s">
        <v>127</v>
      </c>
      <c r="O21" s="121">
        <f>IF(P21=0,0,Q21/P21)</f>
        <v>11.96095238095238</v>
      </c>
      <c r="P21" s="115">
        <v>105</v>
      </c>
      <c r="Q21" s="103">
        <v>1255.8999999999999</v>
      </c>
    </row>
    <row r="22" spans="1:17" x14ac:dyDescent="0.4">
      <c r="A22" s="51" t="s">
        <v>5</v>
      </c>
      <c r="B22" s="48">
        <f>IF(B$15=0,0,C22/B$15)</f>
        <v>8220.8416833667343</v>
      </c>
      <c r="C22" s="39">
        <v>4102200</v>
      </c>
      <c r="E22" s="59" t="s">
        <v>92</v>
      </c>
      <c r="F22" s="56" t="s">
        <v>47</v>
      </c>
      <c r="G22" s="44">
        <v>4</v>
      </c>
      <c r="H22" s="129">
        <f>IF(B$15=0,0,G22/B$15)</f>
        <v>8.0160320641282558E-3</v>
      </c>
      <c r="I22" s="90">
        <v>2</v>
      </c>
      <c r="K22" s="36">
        <v>20</v>
      </c>
      <c r="L22" s="95">
        <v>365.49999999999994</v>
      </c>
      <c r="N22" s="111" t="s">
        <v>170</v>
      </c>
      <c r="O22" s="121">
        <f>IF(P22=0,0,Q22/P22)</f>
        <v>2.8653846153846154</v>
      </c>
      <c r="P22" s="115">
        <v>52</v>
      </c>
      <c r="Q22" s="103">
        <v>149</v>
      </c>
    </row>
    <row r="23" spans="1:17" x14ac:dyDescent="0.4">
      <c r="A23" s="52" t="s">
        <v>177</v>
      </c>
      <c r="B23" s="136">
        <f>IF($B$15-B$14=0,0,C23/($B$15-B$14))</f>
        <v>8702.4169184290022</v>
      </c>
      <c r="C23" s="137">
        <v>2880500</v>
      </c>
      <c r="E23" s="59" t="s">
        <v>77</v>
      </c>
      <c r="F23" s="56" t="s">
        <v>32</v>
      </c>
      <c r="G23" s="44">
        <v>3</v>
      </c>
      <c r="H23" s="129">
        <f>IF(B$15=0,0,G23/B$15)</f>
        <v>6.0120240480961923E-3</v>
      </c>
      <c r="I23" s="90">
        <v>1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">
      <c r="A24" s="52" t="s">
        <v>178</v>
      </c>
      <c r="B24" s="136">
        <f>IF(B$14=0,0,C24/B$14)</f>
        <v>7272.0238095238092</v>
      </c>
      <c r="C24" s="137">
        <v>1221700</v>
      </c>
      <c r="E24" s="59" t="s">
        <v>84</v>
      </c>
      <c r="F24" s="56" t="s">
        <v>39</v>
      </c>
      <c r="G24" s="44">
        <v>3</v>
      </c>
      <c r="H24" s="129">
        <f>IF(B$15=0,0,G24/B$15)</f>
        <v>6.0120240480961923E-3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176</v>
      </c>
      <c r="B25" s="136">
        <f>IF(B$16=0,0,C25/B$16)</f>
        <v>-7777.486910994764</v>
      </c>
      <c r="C25" s="137">
        <v>-1485500</v>
      </c>
      <c r="E25" s="59" t="s">
        <v>74</v>
      </c>
      <c r="F25" s="56" t="s">
        <v>29</v>
      </c>
      <c r="G25" s="44">
        <v>2</v>
      </c>
      <c r="H25" s="129">
        <f>IF(B$15=0,0,G25/B$15)</f>
        <v>4.0080160320641279E-3</v>
      </c>
      <c r="I25" s="90">
        <v>4</v>
      </c>
      <c r="K25" s="36">
        <v>23</v>
      </c>
      <c r="L25" s="95">
        <v>356.2999999999999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4.0080160320641279E-3</v>
      </c>
      <c r="I26" s="90">
        <v>2</v>
      </c>
      <c r="K26" s="36">
        <v>24</v>
      </c>
      <c r="L26" s="95">
        <v>329.89999999999992</v>
      </c>
    </row>
    <row r="27" spans="1:17" x14ac:dyDescent="0.4">
      <c r="A27" s="51" t="s">
        <v>165</v>
      </c>
      <c r="B27" s="44">
        <v>43</v>
      </c>
      <c r="C27" s="131">
        <v>0</v>
      </c>
      <c r="E27" s="59" t="s">
        <v>95</v>
      </c>
      <c r="F27" s="56" t="s">
        <v>50</v>
      </c>
      <c r="G27" s="44">
        <v>2</v>
      </c>
      <c r="H27" s="129">
        <f>IF(B$15=0,0,G27/B$15)</f>
        <v>4.0080160320641279E-3</v>
      </c>
      <c r="I27" s="90">
        <v>2</v>
      </c>
      <c r="K27" s="36">
        <v>25</v>
      </c>
      <c r="L27" s="95">
        <v>294.99999999999994</v>
      </c>
    </row>
    <row r="28" spans="1:17" x14ac:dyDescent="0.4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2.004008016032064E-3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2.004008016032064E-3</v>
      </c>
      <c r="I29" s="90">
        <v>1</v>
      </c>
      <c r="K29" s="36">
        <v>27</v>
      </c>
      <c r="L29" s="95">
        <v>362.4</v>
      </c>
    </row>
    <row r="30" spans="1:17" x14ac:dyDescent="0.4">
      <c r="A30" s="53" t="s">
        <v>139</v>
      </c>
      <c r="B30" s="61">
        <v>1</v>
      </c>
      <c r="C30" s="40">
        <f>IF(B$3=0,0,B30/B$3)</f>
        <v>6.8493150684931507E-4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86" t="s">
        <v>183</v>
      </c>
      <c r="B32" s="144">
        <v>47</v>
      </c>
      <c r="C32" s="141">
        <f>IF(B$15=0,0,B32/B$15)</f>
        <v>9.4188376753507011E-2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179</v>
      </c>
      <c r="B33" s="44">
        <v>92</v>
      </c>
      <c r="C33" s="37">
        <f t="shared" ref="C33:C44" si="2">IF(B$15=0,0,B33/B$15)</f>
        <v>0.18436873747494989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180</v>
      </c>
      <c r="B34" s="145">
        <v>97</v>
      </c>
      <c r="C34" s="37">
        <f>IF(B$15=0,0,B34/B$15)</f>
        <v>0.19438877755511022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349.39999999999992</v>
      </c>
    </row>
    <row r="35" spans="1:12" x14ac:dyDescent="0.4">
      <c r="A35" s="51" t="s">
        <v>181</v>
      </c>
      <c r="B35" s="145">
        <v>91</v>
      </c>
      <c r="C35" s="37">
        <f t="shared" si="2"/>
        <v>0.18236472945891782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182</v>
      </c>
      <c r="B36" s="145">
        <v>71</v>
      </c>
      <c r="C36" s="37">
        <f t="shared" si="2"/>
        <v>0.14228456913827656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184</v>
      </c>
      <c r="B37" s="145">
        <v>49</v>
      </c>
      <c r="C37" s="37">
        <f t="shared" si="2"/>
        <v>9.8196392785571143E-2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185</v>
      </c>
      <c r="B38" s="145">
        <v>24</v>
      </c>
      <c r="C38" s="37">
        <f t="shared" si="2"/>
        <v>4.8096192384769539E-2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186</v>
      </c>
      <c r="B39" s="145">
        <v>8</v>
      </c>
      <c r="C39" s="37">
        <f t="shared" si="2"/>
        <v>1.6032064128256512E-2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187</v>
      </c>
      <c r="B40" s="145">
        <v>10</v>
      </c>
      <c r="C40" s="37">
        <f t="shared" si="2"/>
        <v>2.004008016032064E-2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188</v>
      </c>
      <c r="B41" s="145">
        <v>2</v>
      </c>
      <c r="C41" s="37">
        <f t="shared" si="2"/>
        <v>4.0080160320641279E-3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190</v>
      </c>
      <c r="B43" s="145">
        <v>1</v>
      </c>
      <c r="C43" s="37">
        <f t="shared" si="2"/>
        <v>2.004008016032064E-3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3" t="s">
        <v>191</v>
      </c>
      <c r="B44" s="140">
        <v>7</v>
      </c>
      <c r="C44" s="40">
        <f t="shared" si="2"/>
        <v>1.4028056112224449E-2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  <row r="125" spans="11:12" x14ac:dyDescent="0.4">
      <c r="K125" s="36">
        <v>123</v>
      </c>
      <c r="L125" s="95">
        <v>1077.4000000000001</v>
      </c>
    </row>
    <row r="126" spans="11:12" x14ac:dyDescent="0.4">
      <c r="K126" s="36">
        <v>124</v>
      </c>
      <c r="L126" s="95">
        <v>1103.7</v>
      </c>
    </row>
    <row r="127" spans="11:12" x14ac:dyDescent="0.4">
      <c r="K127" s="36">
        <v>125</v>
      </c>
      <c r="L127" s="95">
        <v>1125.2</v>
      </c>
    </row>
    <row r="128" spans="11:12" x14ac:dyDescent="0.4">
      <c r="K128" s="36">
        <v>126</v>
      </c>
      <c r="L128" s="95">
        <v>1116.5</v>
      </c>
    </row>
    <row r="129" spans="11:12" x14ac:dyDescent="0.4">
      <c r="K129" s="36">
        <v>127</v>
      </c>
      <c r="L129" s="95">
        <v>1093.9000000000001</v>
      </c>
    </row>
    <row r="130" spans="11:12" x14ac:dyDescent="0.4">
      <c r="K130" s="36">
        <v>128</v>
      </c>
      <c r="L130" s="95">
        <v>1098.6000000000001</v>
      </c>
    </row>
    <row r="131" spans="11:12" x14ac:dyDescent="0.4">
      <c r="K131" s="36">
        <v>129</v>
      </c>
      <c r="L131" s="95">
        <v>1120.8000000000002</v>
      </c>
    </row>
    <row r="132" spans="11:12" x14ac:dyDescent="0.4">
      <c r="K132" s="36">
        <v>130</v>
      </c>
      <c r="L132" s="95">
        <v>1072.3000000000002</v>
      </c>
    </row>
    <row r="133" spans="11:12" x14ac:dyDescent="0.4">
      <c r="K133" s="36">
        <v>131</v>
      </c>
      <c r="L133" s="95">
        <v>1138.5000000000002</v>
      </c>
    </row>
    <row r="134" spans="11:12" x14ac:dyDescent="0.4">
      <c r="K134" s="36">
        <v>132</v>
      </c>
      <c r="L134" s="95">
        <v>1192.7000000000003</v>
      </c>
    </row>
    <row r="135" spans="11:12" x14ac:dyDescent="0.4">
      <c r="K135" s="36">
        <v>133</v>
      </c>
      <c r="L135" s="95">
        <v>1208.4000000000003</v>
      </c>
    </row>
    <row r="136" spans="11:12" x14ac:dyDescent="0.4">
      <c r="K136" s="36">
        <v>134</v>
      </c>
      <c r="L136" s="95">
        <v>1166.7000000000003</v>
      </c>
    </row>
    <row r="137" spans="11:12" x14ac:dyDescent="0.4">
      <c r="K137" s="36">
        <v>135</v>
      </c>
      <c r="L137" s="95">
        <v>1154.1000000000004</v>
      </c>
    </row>
    <row r="138" spans="11:12" x14ac:dyDescent="0.4">
      <c r="K138" s="36">
        <v>136</v>
      </c>
      <c r="L138" s="95">
        <v>1129.8000000000004</v>
      </c>
    </row>
    <row r="139" spans="11:12" x14ac:dyDescent="0.4">
      <c r="K139" s="36">
        <v>137</v>
      </c>
      <c r="L139" s="95">
        <v>1111.1000000000004</v>
      </c>
    </row>
    <row r="140" spans="11:12" x14ac:dyDescent="0.4">
      <c r="K140" s="36">
        <v>138</v>
      </c>
      <c r="L140" s="95">
        <v>1174.7000000000003</v>
      </c>
    </row>
    <row r="141" spans="11:12" x14ac:dyDescent="0.4">
      <c r="K141" s="36">
        <v>139</v>
      </c>
      <c r="L141" s="95">
        <v>1218.3000000000002</v>
      </c>
    </row>
    <row r="142" spans="11:12" x14ac:dyDescent="0.4">
      <c r="K142" s="36">
        <v>140</v>
      </c>
      <c r="L142" s="95">
        <v>1245.7000000000003</v>
      </c>
    </row>
    <row r="143" spans="11:12" x14ac:dyDescent="0.4">
      <c r="K143" s="36">
        <v>141</v>
      </c>
      <c r="L143" s="95">
        <v>1262.8000000000002</v>
      </c>
    </row>
    <row r="144" spans="11:12" x14ac:dyDescent="0.4">
      <c r="K144" s="36">
        <v>142</v>
      </c>
      <c r="L144" s="95">
        <v>1242.8000000000002</v>
      </c>
    </row>
    <row r="145" spans="11:12" x14ac:dyDescent="0.4">
      <c r="K145" s="36">
        <v>143</v>
      </c>
      <c r="L145" s="95">
        <v>1197.3000000000002</v>
      </c>
    </row>
    <row r="146" spans="11:12" x14ac:dyDescent="0.4">
      <c r="K146" s="36">
        <v>144</v>
      </c>
      <c r="L146" s="95">
        <v>1171.1000000000001</v>
      </c>
    </row>
    <row r="147" spans="11:12" x14ac:dyDescent="0.4">
      <c r="K147" s="36">
        <v>145</v>
      </c>
      <c r="L147" s="95">
        <v>1175.0000000000002</v>
      </c>
    </row>
    <row r="148" spans="11:12" x14ac:dyDescent="0.4">
      <c r="K148" s="36">
        <v>146</v>
      </c>
      <c r="L148" s="95">
        <v>1172.2000000000003</v>
      </c>
    </row>
    <row r="149" spans="11:12" x14ac:dyDescent="0.4">
      <c r="K149" s="36">
        <v>147</v>
      </c>
      <c r="L149" s="95">
        <v>1141.3000000000002</v>
      </c>
    </row>
    <row r="150" spans="11:12" x14ac:dyDescent="0.4">
      <c r="K150" s="36">
        <v>148</v>
      </c>
      <c r="L150" s="95">
        <v>1145.0000000000002</v>
      </c>
    </row>
    <row r="151" spans="11:12" x14ac:dyDescent="0.4">
      <c r="K151" s="36">
        <v>149</v>
      </c>
      <c r="L151" s="95">
        <v>1159.6000000000001</v>
      </c>
    </row>
    <row r="152" spans="11:12" x14ac:dyDescent="0.4">
      <c r="K152" s="36">
        <v>150</v>
      </c>
      <c r="L152" s="95">
        <v>1171.0000000000002</v>
      </c>
    </row>
    <row r="153" spans="11:12" x14ac:dyDescent="0.4">
      <c r="K153" s="36">
        <v>151</v>
      </c>
      <c r="L153" s="95">
        <v>1213.5000000000002</v>
      </c>
    </row>
    <row r="154" spans="11:12" x14ac:dyDescent="0.4">
      <c r="K154" s="36">
        <v>152</v>
      </c>
      <c r="L154" s="95">
        <v>1248.0000000000002</v>
      </c>
    </row>
    <row r="155" spans="11:12" x14ac:dyDescent="0.4">
      <c r="K155" s="36">
        <v>153</v>
      </c>
      <c r="L155" s="95">
        <v>1250.4000000000003</v>
      </c>
    </row>
    <row r="156" spans="11:12" x14ac:dyDescent="0.4">
      <c r="K156" s="36">
        <v>154</v>
      </c>
      <c r="L156" s="95">
        <v>1223.7000000000003</v>
      </c>
    </row>
    <row r="157" spans="11:12" x14ac:dyDescent="0.4">
      <c r="K157" s="36">
        <v>155</v>
      </c>
      <c r="L157" s="95">
        <v>1213.8000000000002</v>
      </c>
    </row>
    <row r="158" spans="11:12" x14ac:dyDescent="0.4">
      <c r="K158" s="36">
        <v>156</v>
      </c>
      <c r="L158" s="95">
        <v>1263.9000000000001</v>
      </c>
    </row>
    <row r="159" spans="11:12" x14ac:dyDescent="0.4">
      <c r="K159" s="36">
        <v>157</v>
      </c>
      <c r="L159" s="95">
        <v>1287.4000000000001</v>
      </c>
    </row>
    <row r="160" spans="11:12" x14ac:dyDescent="0.4">
      <c r="K160" s="36">
        <v>158</v>
      </c>
      <c r="L160" s="95">
        <v>1309</v>
      </c>
    </row>
    <row r="161" spans="11:12" x14ac:dyDescent="0.4">
      <c r="K161" s="36">
        <v>159</v>
      </c>
      <c r="L161" s="95">
        <v>1345.9</v>
      </c>
    </row>
    <row r="162" spans="11:12" x14ac:dyDescent="0.4">
      <c r="K162" s="36">
        <v>160</v>
      </c>
      <c r="L162" s="95">
        <v>1344.4</v>
      </c>
    </row>
    <row r="163" spans="11:12" x14ac:dyDescent="0.4">
      <c r="K163" s="36">
        <v>161</v>
      </c>
      <c r="L163" s="95">
        <v>1375.4</v>
      </c>
    </row>
    <row r="164" spans="11:12" x14ac:dyDescent="0.4">
      <c r="K164" s="36">
        <v>162</v>
      </c>
      <c r="L164" s="95">
        <v>1421.9</v>
      </c>
    </row>
    <row r="165" spans="11:12" x14ac:dyDescent="0.4">
      <c r="K165" s="36">
        <v>163</v>
      </c>
      <c r="L165" s="95">
        <v>1425.1000000000001</v>
      </c>
    </row>
    <row r="166" spans="11:12" x14ac:dyDescent="0.4">
      <c r="K166" s="36">
        <v>164</v>
      </c>
      <c r="L166" s="95">
        <v>1402.2</v>
      </c>
    </row>
    <row r="167" spans="11:12" x14ac:dyDescent="0.4">
      <c r="K167" s="36">
        <v>165</v>
      </c>
      <c r="L167" s="95">
        <v>1432.4</v>
      </c>
    </row>
    <row r="168" spans="11:12" x14ac:dyDescent="0.4">
      <c r="K168" s="36">
        <v>166</v>
      </c>
      <c r="L168" s="95">
        <v>1454.5</v>
      </c>
    </row>
    <row r="169" spans="11:12" x14ac:dyDescent="0.4">
      <c r="K169" s="36">
        <v>167</v>
      </c>
      <c r="L169" s="95">
        <v>1408.3</v>
      </c>
    </row>
    <row r="170" spans="11:12" x14ac:dyDescent="0.4">
      <c r="K170" s="36">
        <v>168</v>
      </c>
      <c r="L170" s="95">
        <v>1434.6</v>
      </c>
    </row>
    <row r="171" spans="11:12" x14ac:dyDescent="0.4">
      <c r="K171" s="36">
        <v>169</v>
      </c>
      <c r="L171" s="95">
        <v>1474.3999999999999</v>
      </c>
    </row>
    <row r="172" spans="11:12" x14ac:dyDescent="0.4">
      <c r="K172" s="36">
        <v>170</v>
      </c>
      <c r="L172" s="95">
        <v>1472.4999999999998</v>
      </c>
    </row>
    <row r="173" spans="11:12" x14ac:dyDescent="0.4">
      <c r="K173" s="36">
        <v>171</v>
      </c>
      <c r="L173" s="95">
        <v>1533.2999999999997</v>
      </c>
    </row>
    <row r="174" spans="11:12" x14ac:dyDescent="0.4">
      <c r="K174" s="36">
        <v>172</v>
      </c>
      <c r="L174" s="95">
        <v>1535.2999999999997</v>
      </c>
    </row>
    <row r="175" spans="11:12" x14ac:dyDescent="0.4">
      <c r="K175" s="36">
        <v>173</v>
      </c>
      <c r="L175" s="95">
        <v>1503.0999999999997</v>
      </c>
    </row>
    <row r="176" spans="11:12" x14ac:dyDescent="0.4">
      <c r="K176" s="36">
        <v>174</v>
      </c>
      <c r="L176" s="95">
        <v>1548.2999999999997</v>
      </c>
    </row>
    <row r="177" spans="11:12" x14ac:dyDescent="0.4">
      <c r="K177" s="36">
        <v>175</v>
      </c>
      <c r="L177" s="95">
        <v>1535.7999999999997</v>
      </c>
    </row>
    <row r="178" spans="11:12" x14ac:dyDescent="0.4">
      <c r="K178" s="36">
        <v>176</v>
      </c>
      <c r="L178" s="95">
        <v>1564.5999999999997</v>
      </c>
    </row>
    <row r="179" spans="11:12" x14ac:dyDescent="0.4">
      <c r="K179" s="36">
        <v>177</v>
      </c>
      <c r="L179" s="95">
        <v>1537.1999999999996</v>
      </c>
    </row>
    <row r="180" spans="11:12" x14ac:dyDescent="0.4">
      <c r="K180" s="36">
        <v>178</v>
      </c>
      <c r="L180" s="95">
        <v>1526.1999999999996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6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158</v>
      </c>
      <c r="C2" s="155"/>
      <c r="E2" s="58" t="s">
        <v>66</v>
      </c>
      <c r="F2" s="55" t="s">
        <v>22</v>
      </c>
      <c r="G2" s="43">
        <v>317</v>
      </c>
      <c r="H2" s="128">
        <f>IF(B$15=0,0,G2/B$15)</f>
        <v>0.78078817733990147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-1084.7133757961783</v>
      </c>
      <c r="P2" s="114">
        <v>157</v>
      </c>
      <c r="Q2" s="98">
        <v>-170300</v>
      </c>
    </row>
    <row r="3" spans="1:17" x14ac:dyDescent="0.4">
      <c r="A3" s="51" t="s">
        <v>8</v>
      </c>
      <c r="B3" s="156">
        <v>1317</v>
      </c>
      <c r="C3" s="157"/>
      <c r="E3" s="59" t="s">
        <v>72</v>
      </c>
      <c r="F3" s="56" t="s">
        <v>27</v>
      </c>
      <c r="G3" s="44">
        <v>221</v>
      </c>
      <c r="H3" s="129">
        <f>IF(B$15=0,0,G3/B$15)</f>
        <v>0.54433497536945807</v>
      </c>
      <c r="I3" s="90">
        <v>6</v>
      </c>
      <c r="K3" s="36">
        <v>1</v>
      </c>
      <c r="L3" s="95">
        <v>-45.6</v>
      </c>
      <c r="N3" s="111" t="s">
        <v>131</v>
      </c>
      <c r="O3" s="118">
        <f t="shared" si="0"/>
        <v>1403.2258064516129</v>
      </c>
      <c r="P3" s="115">
        <v>155</v>
      </c>
      <c r="Q3" s="99">
        <v>217500</v>
      </c>
    </row>
    <row r="4" spans="1:17" x14ac:dyDescent="0.4">
      <c r="A4" s="51" t="s">
        <v>6</v>
      </c>
      <c r="B4" s="158">
        <v>47.099999999999817</v>
      </c>
      <c r="C4" s="159"/>
      <c r="E4" s="59" t="s">
        <v>166</v>
      </c>
      <c r="F4" s="56" t="s">
        <v>167</v>
      </c>
      <c r="G4" s="44">
        <v>163</v>
      </c>
      <c r="H4" s="129">
        <f>IF(B$15=0,0,G4/B$15)</f>
        <v>0.40147783251231528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-269.93006993006992</v>
      </c>
      <c r="P4" s="115">
        <v>143</v>
      </c>
      <c r="Q4" s="99">
        <v>-38600</v>
      </c>
    </row>
    <row r="5" spans="1:17" x14ac:dyDescent="0.4">
      <c r="A5" s="51" t="s">
        <v>7</v>
      </c>
      <c r="B5" s="160">
        <f>IF(B$2=0,0,B$4/B$2)</f>
        <v>0.29810126582278362</v>
      </c>
      <c r="C5" s="161"/>
      <c r="E5" s="59" t="s">
        <v>64</v>
      </c>
      <c r="F5" s="56" t="s">
        <v>20</v>
      </c>
      <c r="G5" s="44">
        <v>160</v>
      </c>
      <c r="H5" s="129">
        <f>IF(B$15=0,0,G5/B$15)</f>
        <v>0.39408866995073893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299.26470588235293</v>
      </c>
      <c r="P5" s="115">
        <v>136</v>
      </c>
      <c r="Q5" s="99">
        <v>40700</v>
      </c>
    </row>
    <row r="6" spans="1:17" x14ac:dyDescent="0.4">
      <c r="A6" s="51" t="s">
        <v>1</v>
      </c>
      <c r="B6" s="150">
        <f>IF(B$2=0,0,(B$7*1+B$8*2+B$9*3)/B$2)</f>
        <v>1.9683544303797469</v>
      </c>
      <c r="C6" s="151"/>
      <c r="E6" s="59" t="s">
        <v>68</v>
      </c>
      <c r="F6" s="56" t="s">
        <v>12</v>
      </c>
      <c r="G6" s="44">
        <v>114</v>
      </c>
      <c r="H6" s="129">
        <f>IF(B$15=0,0,G6/B$15)</f>
        <v>0.28078817733990147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-1116.1290322580646</v>
      </c>
      <c r="P6" s="115">
        <v>124</v>
      </c>
      <c r="Q6" s="99">
        <v>-138400</v>
      </c>
    </row>
    <row r="7" spans="1:17" x14ac:dyDescent="0.4">
      <c r="A7" s="51" t="s">
        <v>2</v>
      </c>
      <c r="B7" s="44">
        <v>54</v>
      </c>
      <c r="C7" s="37">
        <f t="shared" ref="C7:C10" si="1">IF(B$2=0,0,B7/B$2)</f>
        <v>0.34177215189873417</v>
      </c>
      <c r="E7" s="59" t="s">
        <v>67</v>
      </c>
      <c r="F7" s="56" t="s">
        <v>23</v>
      </c>
      <c r="G7" s="44">
        <v>88</v>
      </c>
      <c r="H7" s="129">
        <f>IF(B$15=0,0,G7/B$15)</f>
        <v>0.21674876847290642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1200.9615384615386</v>
      </c>
      <c r="P7" s="116">
        <v>104</v>
      </c>
      <c r="Q7" s="100">
        <v>124900</v>
      </c>
    </row>
    <row r="8" spans="1:17" x14ac:dyDescent="0.4">
      <c r="A8" s="51" t="s">
        <v>3</v>
      </c>
      <c r="B8" s="44">
        <v>55</v>
      </c>
      <c r="C8" s="37">
        <f t="shared" si="1"/>
        <v>0.34810126582278483</v>
      </c>
      <c r="E8" s="59" t="s">
        <v>69</v>
      </c>
      <c r="F8" s="56" t="s">
        <v>24</v>
      </c>
      <c r="G8" s="44">
        <v>48</v>
      </c>
      <c r="H8" s="129">
        <f>IF(B$15=0,0,G8/B$15)</f>
        <v>0.11822660098522167</v>
      </c>
      <c r="I8" s="90">
        <v>11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49</v>
      </c>
      <c r="C9" s="38">
        <f t="shared" si="1"/>
        <v>0.310126582278481</v>
      </c>
      <c r="E9" s="59" t="s">
        <v>89</v>
      </c>
      <c r="F9" s="56" t="s">
        <v>44</v>
      </c>
      <c r="G9" s="44">
        <v>44</v>
      </c>
      <c r="H9" s="129">
        <f>IF(B$15=0,0,G9/B$15)</f>
        <v>0.10837438423645321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18</v>
      </c>
      <c r="C10" s="40">
        <f t="shared" si="1"/>
        <v>0.11392405063291139</v>
      </c>
      <c r="E10" s="59" t="s">
        <v>70</v>
      </c>
      <c r="F10" s="56" t="s">
        <v>25</v>
      </c>
      <c r="G10" s="44">
        <v>42</v>
      </c>
      <c r="H10" s="129">
        <f>IF(B$15=0,0,G10/B$15)</f>
        <v>0.10344827586206896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1.7304347826086961</v>
      </c>
      <c r="P10" s="114">
        <v>46</v>
      </c>
      <c r="Q10" s="102">
        <v>79.600000000000023</v>
      </c>
    </row>
    <row r="11" spans="1:17" x14ac:dyDescent="0.4">
      <c r="A11" s="54" t="s">
        <v>121</v>
      </c>
      <c r="B11" s="47">
        <v>312</v>
      </c>
      <c r="C11" s="42">
        <f>IF(B$3=0,0,B11/B$3)</f>
        <v>0.23690205011389523</v>
      </c>
      <c r="E11" s="59" t="s">
        <v>71</v>
      </c>
      <c r="F11" s="56" t="s">
        <v>26</v>
      </c>
      <c r="G11" s="44">
        <v>37</v>
      </c>
      <c r="H11" s="129">
        <f>IF(B$15=0,0,G11/B$15)</f>
        <v>9.1133004926108374E-2</v>
      </c>
      <c r="I11" s="90">
        <v>7</v>
      </c>
      <c r="K11" s="36">
        <v>9</v>
      </c>
      <c r="L11" s="95">
        <v>-83.699999999999989</v>
      </c>
      <c r="N11" s="111" t="s">
        <v>158</v>
      </c>
      <c r="O11" s="121">
        <f>IF(P11=0,0,Q11/P11)</f>
        <v>3.8961538461538479</v>
      </c>
      <c r="P11" s="115">
        <v>52</v>
      </c>
      <c r="Q11" s="103">
        <v>202.60000000000008</v>
      </c>
    </row>
    <row r="12" spans="1:17" x14ac:dyDescent="0.4">
      <c r="A12" s="51" t="s">
        <v>118</v>
      </c>
      <c r="B12" s="44">
        <v>395</v>
      </c>
      <c r="C12" s="37">
        <f>IF(B$3=0,0,B12/B$3)</f>
        <v>0.29992406985573272</v>
      </c>
      <c r="E12" s="59" t="s">
        <v>65</v>
      </c>
      <c r="F12" s="56" t="s">
        <v>21</v>
      </c>
      <c r="G12" s="44">
        <v>33</v>
      </c>
      <c r="H12" s="129">
        <f>IF(B$15=0,0,G12/B$15)</f>
        <v>8.1280788177339899E-2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-3.9183333333333339</v>
      </c>
      <c r="P12" s="116">
        <v>60</v>
      </c>
      <c r="Q12" s="104">
        <v>-235.10000000000002</v>
      </c>
    </row>
    <row r="13" spans="1:17" x14ac:dyDescent="0.4">
      <c r="A13" s="50" t="s">
        <v>123</v>
      </c>
      <c r="B13" s="43">
        <f>B19</f>
        <v>160</v>
      </c>
      <c r="C13" s="35">
        <f>IF(B$11=0,0,B13/B$11)</f>
        <v>0.51282051282051277</v>
      </c>
      <c r="E13" s="59" t="s">
        <v>86</v>
      </c>
      <c r="F13" s="56" t="s">
        <v>41</v>
      </c>
      <c r="G13" s="44">
        <v>24</v>
      </c>
      <c r="H13" s="129">
        <f>IF(B$15=0,0,G13/B$15)</f>
        <v>5.9113300492610835E-2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149</v>
      </c>
      <c r="C14" s="35">
        <f>IF(B$12=0,0,B14/B$12)</f>
        <v>0.37721518987341773</v>
      </c>
      <c r="E14" s="59" t="s">
        <v>83</v>
      </c>
      <c r="F14" s="56" t="s">
        <v>38</v>
      </c>
      <c r="G14" s="44">
        <v>20</v>
      </c>
      <c r="H14" s="129">
        <f>IF(B$15=0,0,G14/B$15)</f>
        <v>4.9261083743842367E-2</v>
      </c>
      <c r="I14" s="90">
        <v>7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406</v>
      </c>
      <c r="C15" s="35">
        <f>IF(B$3=0,0,B15/B$3)</f>
        <v>0.30827638572513288</v>
      </c>
      <c r="E15" s="59" t="s">
        <v>78</v>
      </c>
      <c r="F15" s="56" t="s">
        <v>33</v>
      </c>
      <c r="G15" s="44">
        <v>16</v>
      </c>
      <c r="H15" s="129">
        <f>IF(B$15=0,0,G15/B$15)</f>
        <v>3.9408866995073892E-2</v>
      </c>
      <c r="I15" s="90">
        <v>4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1" t="s">
        <v>13</v>
      </c>
      <c r="B16" s="44">
        <v>239</v>
      </c>
      <c r="C16" s="37">
        <f>IF(B$3=0,0,B16/B$3)</f>
        <v>0.18147304479878512</v>
      </c>
      <c r="E16" s="59" t="s">
        <v>91</v>
      </c>
      <c r="F16" s="56" t="s">
        <v>46</v>
      </c>
      <c r="G16" s="44">
        <v>13</v>
      </c>
      <c r="H16" s="129">
        <f>IF(B$15=0,0,G16/B$15)</f>
        <v>3.2019704433497539E-2</v>
      </c>
      <c r="I16" s="90">
        <v>2</v>
      </c>
      <c r="K16" s="36">
        <v>14</v>
      </c>
      <c r="L16" s="95">
        <v>-138.4</v>
      </c>
      <c r="N16" s="111" t="s">
        <v>172</v>
      </c>
      <c r="O16" s="121">
        <f>IF(P16=0,0,Q16/P16)</f>
        <v>18.434693877551016</v>
      </c>
      <c r="P16" s="115">
        <v>49</v>
      </c>
      <c r="Q16" s="103">
        <v>903.29999999999973</v>
      </c>
    </row>
    <row r="17" spans="1:17" x14ac:dyDescent="0.4">
      <c r="A17" s="51" t="s">
        <v>12</v>
      </c>
      <c r="B17" s="44">
        <v>167</v>
      </c>
      <c r="C17" s="37">
        <f>IF(B$15=0,0,B17/B$15)</f>
        <v>0.41133004926108374</v>
      </c>
      <c r="E17" s="59" t="s">
        <v>81</v>
      </c>
      <c r="F17" s="56" t="s">
        <v>36</v>
      </c>
      <c r="G17" s="44">
        <v>8</v>
      </c>
      <c r="H17" s="129">
        <f>IF(B$15=0,0,G17/B$15)</f>
        <v>1.9704433497536946E-2</v>
      </c>
      <c r="I17" s="90">
        <v>5</v>
      </c>
      <c r="K17" s="36">
        <v>15</v>
      </c>
      <c r="L17" s="95">
        <v>-144.30000000000001</v>
      </c>
      <c r="N17" s="111" t="s">
        <v>197</v>
      </c>
      <c r="O17" s="121">
        <f>IF(P17=0,0,Q17/P17)</f>
        <v>16.62857142857143</v>
      </c>
      <c r="P17" s="115">
        <v>14</v>
      </c>
      <c r="Q17" s="103">
        <v>232.8</v>
      </c>
    </row>
    <row r="18" spans="1:17" x14ac:dyDescent="0.4">
      <c r="A18" s="51" t="s">
        <v>11</v>
      </c>
      <c r="B18" s="44">
        <v>239</v>
      </c>
      <c r="C18" s="37">
        <f>IF(B$15=0,0,B18/B$15)</f>
        <v>0.58866995073891626</v>
      </c>
      <c r="E18" s="59" t="s">
        <v>79</v>
      </c>
      <c r="F18" s="56" t="s">
        <v>34</v>
      </c>
      <c r="G18" s="44">
        <v>7</v>
      </c>
      <c r="H18" s="129">
        <f>IF(B$15=0,0,G18/B$15)</f>
        <v>1.7241379310344827E-2</v>
      </c>
      <c r="I18" s="90">
        <v>6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">
      <c r="A19" s="51" t="s">
        <v>195</v>
      </c>
      <c r="B19" s="44">
        <v>160</v>
      </c>
      <c r="C19" s="37">
        <f>IF(B$15=0,0,B19/B$15)</f>
        <v>0.39408866995073893</v>
      </c>
      <c r="E19" s="59" t="s">
        <v>162</v>
      </c>
      <c r="F19" s="56" t="s">
        <v>163</v>
      </c>
      <c r="G19" s="44">
        <v>5</v>
      </c>
      <c r="H19" s="129">
        <f>IF(B$15=0,0,G19/B$15)</f>
        <v>1.2315270935960592E-2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6.1387096774193539</v>
      </c>
      <c r="P19" s="115">
        <v>31</v>
      </c>
      <c r="Q19" s="103">
        <v>190.29999999999998</v>
      </c>
    </row>
    <row r="20" spans="1:17" x14ac:dyDescent="0.4">
      <c r="A20" s="51" t="s">
        <v>193</v>
      </c>
      <c r="B20" s="44">
        <v>149</v>
      </c>
      <c r="C20" s="37">
        <f>IF(B$15=0,0,B20/B$15)</f>
        <v>0.36699507389162561</v>
      </c>
      <c r="E20" s="59" t="s">
        <v>92</v>
      </c>
      <c r="F20" s="56" t="s">
        <v>47</v>
      </c>
      <c r="G20" s="44">
        <v>3</v>
      </c>
      <c r="H20" s="129">
        <f>IF(B$15=0,0,G20/B$15)</f>
        <v>7.3891625615763543E-3</v>
      </c>
      <c r="I20" s="90">
        <v>4</v>
      </c>
      <c r="K20" s="36">
        <v>18</v>
      </c>
      <c r="L20" s="95">
        <v>-112.90000000000002</v>
      </c>
      <c r="N20" s="111" t="s">
        <v>274</v>
      </c>
      <c r="O20" s="121">
        <f>IF(P20=0,0,Q20/P20)</f>
        <v>0.40000000000000036</v>
      </c>
      <c r="P20" s="115">
        <v>4</v>
      </c>
      <c r="Q20" s="103">
        <v>1.6000000000000014</v>
      </c>
    </row>
    <row r="21" spans="1:17" x14ac:dyDescent="0.4">
      <c r="A21" s="51" t="s">
        <v>194</v>
      </c>
      <c r="B21" s="44">
        <v>97</v>
      </c>
      <c r="C21" s="37">
        <f>IF(B$15=0,0,B21/B$15)</f>
        <v>0.23891625615763548</v>
      </c>
      <c r="E21" s="59" t="s">
        <v>74</v>
      </c>
      <c r="F21" s="56" t="s">
        <v>29</v>
      </c>
      <c r="G21" s="44">
        <v>2</v>
      </c>
      <c r="H21" s="129">
        <f>IF(B$15=0,0,G21/B$15)</f>
        <v>4.9261083743842365E-3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-0.12545454545454426</v>
      </c>
      <c r="P21" s="115">
        <v>55</v>
      </c>
      <c r="Q21" s="103">
        <v>-6.8999999999999346</v>
      </c>
    </row>
    <row r="22" spans="1:17" x14ac:dyDescent="0.4">
      <c r="A22" s="51" t="s">
        <v>5</v>
      </c>
      <c r="B22" s="48">
        <f>IF(B$15=0,0,C22/B$15)</f>
        <v>8142.6108374384239</v>
      </c>
      <c r="C22" s="39">
        <v>3305900</v>
      </c>
      <c r="E22" s="59" t="s">
        <v>75</v>
      </c>
      <c r="F22" s="56" t="s">
        <v>30</v>
      </c>
      <c r="G22" s="44">
        <v>2</v>
      </c>
      <c r="H22" s="129">
        <f>IF(B$15=0,0,G22/B$15)</f>
        <v>4.9261083743842365E-3</v>
      </c>
      <c r="I22" s="90">
        <v>9</v>
      </c>
      <c r="K22" s="36">
        <v>20</v>
      </c>
      <c r="L22" s="95">
        <v>-96.000000000000028</v>
      </c>
      <c r="N22" s="111" t="s">
        <v>170</v>
      </c>
      <c r="O22" s="121">
        <f>IF(P22=0,0,Q22/P22)</f>
        <v>-2.784313725490192</v>
      </c>
      <c r="P22" s="115">
        <v>51</v>
      </c>
      <c r="Q22" s="103">
        <v>-141.9999999999998</v>
      </c>
    </row>
    <row r="23" spans="1:17" x14ac:dyDescent="0.4">
      <c r="A23" s="52" t="s">
        <v>177</v>
      </c>
      <c r="B23" s="136">
        <f>IF($B$15-B$14=0,0,C23/($B$15-B$14))</f>
        <v>8780.9338521400787</v>
      </c>
      <c r="C23" s="137">
        <v>2256700</v>
      </c>
      <c r="E23" s="59" t="s">
        <v>73</v>
      </c>
      <c r="F23" s="56" t="s">
        <v>28</v>
      </c>
      <c r="G23" s="44">
        <v>1</v>
      </c>
      <c r="H23" s="129">
        <f>IF(B$15=0,0,G23/B$15)</f>
        <v>2.4630541871921183E-3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-11.96095238095238</v>
      </c>
      <c r="P23" s="115">
        <v>105</v>
      </c>
      <c r="Q23" s="103">
        <v>-1255.8999999999999</v>
      </c>
    </row>
    <row r="24" spans="1:17" x14ac:dyDescent="0.4">
      <c r="A24" s="52" t="s">
        <v>178</v>
      </c>
      <c r="B24" s="136">
        <f>IF(B$14=0,0,C24/B$14)</f>
        <v>7041.6107382550335</v>
      </c>
      <c r="C24" s="137">
        <v>1049200</v>
      </c>
      <c r="E24" s="59" t="s">
        <v>77</v>
      </c>
      <c r="F24" s="56" t="s">
        <v>32</v>
      </c>
      <c r="G24" s="44">
        <v>1</v>
      </c>
      <c r="H24" s="129">
        <f>IF(B$15=0,0,G24/B$15)</f>
        <v>2.4630541871921183E-3</v>
      </c>
      <c r="I24" s="90">
        <v>5</v>
      </c>
      <c r="K24" s="36">
        <v>22</v>
      </c>
      <c r="L24" s="95">
        <v>-38.400000000000034</v>
      </c>
    </row>
    <row r="25" spans="1:17" x14ac:dyDescent="0.4">
      <c r="A25" s="52" t="s">
        <v>176</v>
      </c>
      <c r="B25" s="136">
        <f>IF(B$16=0,0,C25/B$16)</f>
        <v>-7830.1255230125525</v>
      </c>
      <c r="C25" s="137">
        <v>-1871400</v>
      </c>
      <c r="E25" s="59" t="s">
        <v>84</v>
      </c>
      <c r="F25" s="56" t="s">
        <v>39</v>
      </c>
      <c r="G25" s="44">
        <v>1</v>
      </c>
      <c r="H25" s="129">
        <f>IF(B$15=0,0,G25/B$15)</f>
        <v>2.4630541871921183E-3</v>
      </c>
      <c r="I25" s="90">
        <v>5</v>
      </c>
      <c r="K25" s="36">
        <v>23</v>
      </c>
      <c r="L25" s="95">
        <v>-37.600000000000037</v>
      </c>
    </row>
    <row r="26" spans="1:17" x14ac:dyDescent="0.4">
      <c r="A26" s="51" t="s">
        <v>164</v>
      </c>
      <c r="B26" s="44">
        <v>7</v>
      </c>
      <c r="C26" s="131">
        <v>1</v>
      </c>
      <c r="E26" s="59" t="s">
        <v>90</v>
      </c>
      <c r="F26" s="56" t="s">
        <v>45</v>
      </c>
      <c r="G26" s="44">
        <v>1</v>
      </c>
      <c r="H26" s="129">
        <f>IF(B$15=0,0,G26/B$15)</f>
        <v>2.4630541871921183E-3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51" t="s">
        <v>165</v>
      </c>
      <c r="B27" s="44">
        <v>30</v>
      </c>
      <c r="C27" s="131">
        <v>1</v>
      </c>
      <c r="E27" s="59" t="s">
        <v>95</v>
      </c>
      <c r="F27" s="56" t="s">
        <v>50</v>
      </c>
      <c r="G27" s="44">
        <v>1</v>
      </c>
      <c r="H27" s="129">
        <f>IF(B$15=0,0,G27/B$15)</f>
        <v>2.4630541871921183E-3</v>
      </c>
      <c r="I27" s="90">
        <v>3</v>
      </c>
      <c r="K27" s="36">
        <v>25</v>
      </c>
      <c r="L27" s="95">
        <v>-10.700000000000038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3" t="s">
        <v>139</v>
      </c>
      <c r="B30" s="61">
        <v>5</v>
      </c>
      <c r="C30" s="40">
        <f>IF(B$3=0,0,B30/B$3)</f>
        <v>3.7965072133637054E-3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">
      <c r="A32" s="86" t="s">
        <v>183</v>
      </c>
      <c r="B32" s="144">
        <v>30</v>
      </c>
      <c r="C32" s="141">
        <f>IF(B$15=0,0,B32/B$15)</f>
        <v>7.3891625615763554E-2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63.499999999999957</v>
      </c>
    </row>
    <row r="33" spans="1:12" x14ac:dyDescent="0.4">
      <c r="A33" s="51" t="s">
        <v>179</v>
      </c>
      <c r="B33" s="44">
        <v>72</v>
      </c>
      <c r="C33" s="37">
        <f t="shared" ref="C33:C44" si="2">IF(B$15=0,0,B33/B$15)</f>
        <v>0.17733990147783252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">
      <c r="A34" s="51" t="s">
        <v>180</v>
      </c>
      <c r="B34" s="145">
        <v>86</v>
      </c>
      <c r="C34" s="37">
        <f>IF(B$15=0,0,B34/B$15)</f>
        <v>0.21182266009852216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181</v>
      </c>
      <c r="B35" s="145">
        <v>80</v>
      </c>
      <c r="C35" s="37">
        <f t="shared" si="2"/>
        <v>0.19704433497536947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182</v>
      </c>
      <c r="B36" s="145">
        <v>60</v>
      </c>
      <c r="C36" s="37">
        <f t="shared" si="2"/>
        <v>0.14778325123152711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184</v>
      </c>
      <c r="B37" s="145">
        <v>42</v>
      </c>
      <c r="C37" s="37">
        <f t="shared" si="2"/>
        <v>0.10344827586206896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185</v>
      </c>
      <c r="B38" s="145">
        <v>14</v>
      </c>
      <c r="C38" s="37">
        <f t="shared" si="2"/>
        <v>3.4482758620689655E-2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186</v>
      </c>
      <c r="B39" s="145">
        <v>9</v>
      </c>
      <c r="C39" s="37">
        <f t="shared" si="2"/>
        <v>2.2167487684729065E-2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187</v>
      </c>
      <c r="B40" s="145">
        <v>6</v>
      </c>
      <c r="C40" s="37">
        <f t="shared" si="2"/>
        <v>1.4778325123152709E-2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188</v>
      </c>
      <c r="B41" s="145">
        <v>1</v>
      </c>
      <c r="C41" s="37">
        <f t="shared" si="2"/>
        <v>2.4630541871921183E-3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189</v>
      </c>
      <c r="B42" s="145">
        <v>2</v>
      </c>
      <c r="C42" s="37">
        <f t="shared" si="2"/>
        <v>4.9261083743842365E-3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3" t="s">
        <v>191</v>
      </c>
      <c r="B44" s="140">
        <v>4</v>
      </c>
      <c r="C44" s="40">
        <f t="shared" si="2"/>
        <v>9.852216748768473E-3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  <row r="118" spans="11:12" x14ac:dyDescent="0.4">
      <c r="K118" s="36">
        <v>116</v>
      </c>
      <c r="L118" s="95">
        <v>141.49999999999977</v>
      </c>
    </row>
    <row r="119" spans="11:12" x14ac:dyDescent="0.4">
      <c r="K119" s="36">
        <v>117</v>
      </c>
      <c r="L119" s="95">
        <v>94.499999999999773</v>
      </c>
    </row>
    <row r="120" spans="11:12" x14ac:dyDescent="0.4">
      <c r="K120" s="36">
        <v>118</v>
      </c>
      <c r="L120" s="95">
        <v>93.899999999999778</v>
      </c>
    </row>
    <row r="121" spans="11:12" x14ac:dyDescent="0.4">
      <c r="K121" s="36">
        <v>119</v>
      </c>
      <c r="L121" s="95">
        <v>141.29999999999978</v>
      </c>
    </row>
    <row r="122" spans="11:12" x14ac:dyDescent="0.4">
      <c r="K122" s="36">
        <v>120</v>
      </c>
      <c r="L122" s="95">
        <v>130.5999999999998</v>
      </c>
    </row>
    <row r="123" spans="11:12" x14ac:dyDescent="0.4">
      <c r="K123" s="36">
        <v>121</v>
      </c>
      <c r="L123" s="95">
        <v>125.0999999999998</v>
      </c>
    </row>
    <row r="124" spans="11:12" x14ac:dyDescent="0.4">
      <c r="K124" s="36">
        <v>122</v>
      </c>
      <c r="L124" s="95">
        <v>127.69999999999979</v>
      </c>
    </row>
    <row r="125" spans="11:12" x14ac:dyDescent="0.4">
      <c r="K125" s="36">
        <v>123</v>
      </c>
      <c r="L125" s="95">
        <v>154.4999999999998</v>
      </c>
    </row>
    <row r="126" spans="11:12" x14ac:dyDescent="0.4">
      <c r="K126" s="36">
        <v>124</v>
      </c>
      <c r="L126" s="95">
        <v>172.5999999999998</v>
      </c>
    </row>
    <row r="127" spans="11:12" x14ac:dyDescent="0.4">
      <c r="K127" s="36">
        <v>125</v>
      </c>
      <c r="L127" s="95">
        <v>119.9999999999998</v>
      </c>
    </row>
    <row r="128" spans="11:12" x14ac:dyDescent="0.4">
      <c r="K128" s="36">
        <v>126</v>
      </c>
      <c r="L128" s="95">
        <v>77.999999999999801</v>
      </c>
    </row>
    <row r="129" spans="11:12" x14ac:dyDescent="0.4">
      <c r="K129" s="36">
        <v>127</v>
      </c>
      <c r="L129" s="95">
        <v>83.199999999999804</v>
      </c>
    </row>
    <row r="130" spans="11:12" x14ac:dyDescent="0.4">
      <c r="K130" s="36">
        <v>128</v>
      </c>
      <c r="L130" s="95">
        <v>31.699999999999804</v>
      </c>
    </row>
    <row r="131" spans="11:12" x14ac:dyDescent="0.4">
      <c r="K131" s="36">
        <v>129</v>
      </c>
      <c r="L131" s="95">
        <v>24.699999999999804</v>
      </c>
    </row>
    <row r="132" spans="11:12" x14ac:dyDescent="0.4">
      <c r="K132" s="36">
        <v>130</v>
      </c>
      <c r="L132" s="95">
        <v>11.799999999999804</v>
      </c>
    </row>
    <row r="133" spans="11:12" x14ac:dyDescent="0.4">
      <c r="K133" s="36">
        <v>131</v>
      </c>
      <c r="L133" s="95">
        <v>33.499999999999801</v>
      </c>
    </row>
    <row r="134" spans="11:12" x14ac:dyDescent="0.4">
      <c r="K134" s="36">
        <v>132</v>
      </c>
      <c r="L134" s="95">
        <v>90.399999999999807</v>
      </c>
    </row>
    <row r="135" spans="11:12" x14ac:dyDescent="0.4">
      <c r="K135" s="36">
        <v>133</v>
      </c>
      <c r="L135" s="95">
        <v>91.299999999999812</v>
      </c>
    </row>
    <row r="136" spans="11:12" x14ac:dyDescent="0.4">
      <c r="K136" s="36">
        <v>134</v>
      </c>
      <c r="L136" s="95">
        <v>55.699999999999811</v>
      </c>
    </row>
    <row r="137" spans="11:12" x14ac:dyDescent="0.4">
      <c r="K137" s="36">
        <v>135</v>
      </c>
      <c r="L137" s="95">
        <v>47.59999999999981</v>
      </c>
    </row>
    <row r="138" spans="11:12" x14ac:dyDescent="0.4">
      <c r="K138" s="36">
        <v>136</v>
      </c>
      <c r="L138" s="95">
        <v>22.799999999999809</v>
      </c>
    </row>
    <row r="139" spans="11:12" x14ac:dyDescent="0.4">
      <c r="K139" s="36">
        <v>137</v>
      </c>
      <c r="L139" s="95">
        <v>58.999999999999815</v>
      </c>
    </row>
    <row r="140" spans="11:12" x14ac:dyDescent="0.4">
      <c r="K140" s="36">
        <v>138</v>
      </c>
      <c r="L140" s="95">
        <v>61.099999999999817</v>
      </c>
    </row>
    <row r="141" spans="11:12" x14ac:dyDescent="0.4">
      <c r="K141" s="36">
        <v>139</v>
      </c>
      <c r="L141" s="95">
        <v>32.099999999999817</v>
      </c>
    </row>
    <row r="142" spans="11:12" x14ac:dyDescent="0.4">
      <c r="K142" s="36">
        <v>140</v>
      </c>
      <c r="L142" s="95">
        <v>11.899999999999817</v>
      </c>
    </row>
    <row r="143" spans="11:12" x14ac:dyDescent="0.4">
      <c r="K143" s="36">
        <v>141</v>
      </c>
      <c r="L143" s="95">
        <v>-18.100000000000183</v>
      </c>
    </row>
    <row r="144" spans="11:12" x14ac:dyDescent="0.4">
      <c r="K144" s="36">
        <v>142</v>
      </c>
      <c r="L144" s="95">
        <v>30.699999999999815</v>
      </c>
    </row>
    <row r="145" spans="11:12" x14ac:dyDescent="0.4">
      <c r="K145" s="36">
        <v>143</v>
      </c>
      <c r="L145" s="95">
        <v>61.399999999999814</v>
      </c>
    </row>
    <row r="146" spans="11:12" x14ac:dyDescent="0.4">
      <c r="K146" s="36">
        <v>144</v>
      </c>
      <c r="L146" s="95">
        <v>21.799999999999812</v>
      </c>
    </row>
    <row r="147" spans="11:12" x14ac:dyDescent="0.4">
      <c r="K147" s="36">
        <v>145</v>
      </c>
      <c r="L147" s="95">
        <v>56.199999999999811</v>
      </c>
    </row>
    <row r="148" spans="11:12" x14ac:dyDescent="0.4">
      <c r="K148" s="36">
        <v>146</v>
      </c>
      <c r="L148" s="95">
        <v>21.799999999999812</v>
      </c>
    </row>
    <row r="149" spans="11:12" x14ac:dyDescent="0.4">
      <c r="K149" s="36">
        <v>147</v>
      </c>
      <c r="L149" s="95">
        <v>-1.6000000000001862</v>
      </c>
    </row>
    <row r="150" spans="11:12" x14ac:dyDescent="0.4">
      <c r="K150" s="36">
        <v>148</v>
      </c>
      <c r="L150" s="95">
        <v>58.999999999999815</v>
      </c>
    </row>
    <row r="151" spans="11:12" x14ac:dyDescent="0.4">
      <c r="K151" s="36">
        <v>149</v>
      </c>
      <c r="L151" s="95">
        <v>20.499999999999815</v>
      </c>
    </row>
    <row r="152" spans="11:12" x14ac:dyDescent="0.4">
      <c r="K152" s="36">
        <v>150</v>
      </c>
      <c r="L152" s="95">
        <v>-14.500000000000185</v>
      </c>
    </row>
    <row r="153" spans="11:12" x14ac:dyDescent="0.4">
      <c r="K153" s="36">
        <v>151</v>
      </c>
      <c r="L153" s="95">
        <v>-9.1000000000001844</v>
      </c>
    </row>
    <row r="154" spans="11:12" x14ac:dyDescent="0.4">
      <c r="K154" s="36">
        <v>152</v>
      </c>
      <c r="L154" s="95">
        <v>-44.100000000000186</v>
      </c>
    </row>
    <row r="155" spans="11:12" x14ac:dyDescent="0.4">
      <c r="K155" s="36">
        <v>153</v>
      </c>
      <c r="L155" s="95">
        <v>-43.800000000000189</v>
      </c>
    </row>
    <row r="156" spans="11:12" x14ac:dyDescent="0.4">
      <c r="K156" s="36">
        <v>154</v>
      </c>
      <c r="L156" s="95">
        <v>-31.800000000000189</v>
      </c>
    </row>
    <row r="157" spans="11:12" x14ac:dyDescent="0.4">
      <c r="K157" s="36">
        <v>155</v>
      </c>
      <c r="L157" s="95">
        <v>7.8999999999998138</v>
      </c>
    </row>
    <row r="158" spans="11:12" x14ac:dyDescent="0.4">
      <c r="K158" s="36">
        <v>156</v>
      </c>
      <c r="L158" s="95">
        <v>-12.100000000000186</v>
      </c>
    </row>
    <row r="159" spans="11:12" x14ac:dyDescent="0.4">
      <c r="K159" s="36">
        <v>157</v>
      </c>
      <c r="L159" s="95">
        <v>8.8999999999998138</v>
      </c>
    </row>
    <row r="160" spans="11:12" x14ac:dyDescent="0.4">
      <c r="K160" s="36">
        <v>158</v>
      </c>
      <c r="L160" s="95">
        <v>47.099999999999817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10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98</v>
      </c>
      <c r="C2" s="155"/>
      <c r="E2" s="58" t="s">
        <v>66</v>
      </c>
      <c r="F2" s="55" t="s">
        <v>22</v>
      </c>
      <c r="G2" s="43">
        <v>175</v>
      </c>
      <c r="H2" s="128">
        <f>IF(B$15=0,0,G2/B$15)</f>
        <v>0.77092511013215859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-526.80412371134025</v>
      </c>
      <c r="P2" s="114">
        <v>97</v>
      </c>
      <c r="Q2" s="98">
        <v>-51100</v>
      </c>
    </row>
    <row r="3" spans="1:17" x14ac:dyDescent="0.4">
      <c r="A3" s="51" t="s">
        <v>8</v>
      </c>
      <c r="B3" s="156">
        <v>842</v>
      </c>
      <c r="C3" s="157"/>
      <c r="E3" s="59" t="s">
        <v>64</v>
      </c>
      <c r="F3" s="56" t="s">
        <v>20</v>
      </c>
      <c r="G3" s="44">
        <v>126</v>
      </c>
      <c r="H3" s="129">
        <f>IF(B$15=0,0,G3/B$15)</f>
        <v>0.55506607929515417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-712.37113402061857</v>
      </c>
      <c r="P3" s="115">
        <v>97</v>
      </c>
      <c r="Q3" s="99">
        <v>-69100</v>
      </c>
    </row>
    <row r="4" spans="1:17" x14ac:dyDescent="0.4">
      <c r="A4" s="51" t="s">
        <v>6</v>
      </c>
      <c r="B4" s="158">
        <v>-700.69999999999993</v>
      </c>
      <c r="C4" s="159"/>
      <c r="E4" s="59" t="s">
        <v>72</v>
      </c>
      <c r="F4" s="56" t="s">
        <v>27</v>
      </c>
      <c r="G4" s="44">
        <v>112</v>
      </c>
      <c r="H4" s="129">
        <f>IF(B$15=0,0,G4/B$15)</f>
        <v>0.4933920704845815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480.2197802197802</v>
      </c>
      <c r="P4" s="115">
        <v>91</v>
      </c>
      <c r="Q4" s="99">
        <v>43700</v>
      </c>
    </row>
    <row r="5" spans="1:17" x14ac:dyDescent="0.4">
      <c r="A5" s="51" t="s">
        <v>7</v>
      </c>
      <c r="B5" s="160">
        <f>IF(B$2=0,0,B$4/B$2)</f>
        <v>-7.1499999999999995</v>
      </c>
      <c r="C5" s="161"/>
      <c r="E5" s="59" t="s">
        <v>166</v>
      </c>
      <c r="F5" s="56" t="s">
        <v>167</v>
      </c>
      <c r="G5" s="44">
        <v>96</v>
      </c>
      <c r="H5" s="129">
        <f>IF(B$15=0,0,G5/B$15)</f>
        <v>0.42290748898678415</v>
      </c>
      <c r="I5" s="90">
        <v>3</v>
      </c>
      <c r="K5" s="36">
        <v>3</v>
      </c>
      <c r="L5" s="95">
        <v>-17.599999999999998</v>
      </c>
      <c r="N5" s="111" t="s">
        <v>133</v>
      </c>
      <c r="O5" s="118">
        <f t="shared" si="0"/>
        <v>-673.03370786516859</v>
      </c>
      <c r="P5" s="115">
        <v>89</v>
      </c>
      <c r="Q5" s="99">
        <v>-59900</v>
      </c>
    </row>
    <row r="6" spans="1:17" x14ac:dyDescent="0.4">
      <c r="A6" s="51" t="s">
        <v>1</v>
      </c>
      <c r="B6" s="150">
        <f>IF(B$2=0,0,(B$7*1+B$8*2+B$9*3)/B$2)</f>
        <v>2.1836734693877551</v>
      </c>
      <c r="C6" s="151"/>
      <c r="E6" s="59" t="s">
        <v>68</v>
      </c>
      <c r="F6" s="56" t="s">
        <v>12</v>
      </c>
      <c r="G6" s="44">
        <v>80</v>
      </c>
      <c r="H6" s="129">
        <f>IF(B$15=0,0,G6/B$15)</f>
        <v>0.3524229074889868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-2978.5714285714284</v>
      </c>
      <c r="P6" s="115">
        <v>84</v>
      </c>
      <c r="Q6" s="99">
        <v>-250200</v>
      </c>
    </row>
    <row r="7" spans="1:17" x14ac:dyDescent="0.4">
      <c r="A7" s="51" t="s">
        <v>2</v>
      </c>
      <c r="B7" s="44">
        <v>21</v>
      </c>
      <c r="C7" s="37">
        <f t="shared" ref="C7:C10" si="1">IF(B$2=0,0,B7/B$2)</f>
        <v>0.21428571428571427</v>
      </c>
      <c r="E7" s="59" t="s">
        <v>67</v>
      </c>
      <c r="F7" s="56" t="s">
        <v>23</v>
      </c>
      <c r="G7" s="44">
        <v>70</v>
      </c>
      <c r="H7" s="129">
        <f>IF(B$15=0,0,G7/B$15)</f>
        <v>0.30837004405286345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-1929.7297297297298</v>
      </c>
      <c r="P7" s="116">
        <v>74</v>
      </c>
      <c r="Q7" s="100">
        <v>-142800</v>
      </c>
    </row>
    <row r="8" spans="1:17" x14ac:dyDescent="0.4">
      <c r="A8" s="51" t="s">
        <v>3</v>
      </c>
      <c r="B8" s="44">
        <v>38</v>
      </c>
      <c r="C8" s="37">
        <f t="shared" si="1"/>
        <v>0.38775510204081631</v>
      </c>
      <c r="E8" s="59" t="s">
        <v>69</v>
      </c>
      <c r="F8" s="56" t="s">
        <v>24</v>
      </c>
      <c r="G8" s="44">
        <v>33</v>
      </c>
      <c r="H8" s="129">
        <f>IF(B$15=0,0,G8/B$15)</f>
        <v>0.14537444933920704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39</v>
      </c>
      <c r="C9" s="38">
        <f t="shared" si="1"/>
        <v>0.39795918367346939</v>
      </c>
      <c r="E9" s="59" t="s">
        <v>70</v>
      </c>
      <c r="F9" s="56" t="s">
        <v>25</v>
      </c>
      <c r="G9" s="44">
        <v>28</v>
      </c>
      <c r="H9" s="129">
        <f>IF(B$15=0,0,G9/B$15)</f>
        <v>0.12334801762114538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</v>
      </c>
      <c r="C10" s="40">
        <f t="shared" si="1"/>
        <v>7.1428571428571425E-2</v>
      </c>
      <c r="E10" s="59" t="s">
        <v>65</v>
      </c>
      <c r="F10" s="56" t="s">
        <v>21</v>
      </c>
      <c r="G10" s="44">
        <v>27</v>
      </c>
      <c r="H10" s="129">
        <f>IF(B$15=0,0,G10/B$15)</f>
        <v>0.11894273127753303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-5.9589743589743609</v>
      </c>
      <c r="P10" s="114">
        <v>39</v>
      </c>
      <c r="Q10" s="102">
        <v>-232.40000000000009</v>
      </c>
    </row>
    <row r="11" spans="1:17" x14ac:dyDescent="0.4">
      <c r="A11" s="54" t="s">
        <v>121</v>
      </c>
      <c r="B11" s="47">
        <v>233</v>
      </c>
      <c r="C11" s="42">
        <f>IF(B$3=0,0,B11/B$3)</f>
        <v>0.27672209026128264</v>
      </c>
      <c r="E11" s="59" t="s">
        <v>89</v>
      </c>
      <c r="F11" s="56" t="s">
        <v>44</v>
      </c>
      <c r="G11" s="44">
        <v>25</v>
      </c>
      <c r="H11" s="129">
        <f>IF(B$15=0,0,G11/B$15)</f>
        <v>0.11013215859030837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">
      <c r="A12" s="51" t="s">
        <v>118</v>
      </c>
      <c r="B12" s="44">
        <v>161</v>
      </c>
      <c r="C12" s="37">
        <f>IF(B$3=0,0,B12/B$3)</f>
        <v>0.19121140142517815</v>
      </c>
      <c r="E12" s="59" t="s">
        <v>83</v>
      </c>
      <c r="F12" s="56" t="s">
        <v>38</v>
      </c>
      <c r="G12" s="44">
        <v>13</v>
      </c>
      <c r="H12" s="129">
        <f>IF(B$15=0,0,G12/B$15)</f>
        <v>5.7268722466960353E-2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-9.5933333333333319</v>
      </c>
      <c r="P12" s="116">
        <v>30</v>
      </c>
      <c r="Q12" s="104">
        <v>-287.79999999999995</v>
      </c>
    </row>
    <row r="13" spans="1:17" x14ac:dyDescent="0.4">
      <c r="A13" s="50" t="s">
        <v>123</v>
      </c>
      <c r="B13" s="43">
        <f>B19</f>
        <v>126</v>
      </c>
      <c r="C13" s="35">
        <f>IF(B$11=0,0,B13/B$11)</f>
        <v>0.54077253218884125</v>
      </c>
      <c r="E13" s="59" t="s">
        <v>86</v>
      </c>
      <c r="F13" s="56" t="s">
        <v>41</v>
      </c>
      <c r="G13" s="44">
        <v>10</v>
      </c>
      <c r="H13" s="129">
        <f>IF(B$15=0,0,G13/B$15)</f>
        <v>4.405286343612335E-2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66</v>
      </c>
      <c r="C14" s="35">
        <f>IF(B$12=0,0,B14/B$12)</f>
        <v>0.40993788819875776</v>
      </c>
      <c r="E14" s="59" t="s">
        <v>71</v>
      </c>
      <c r="F14" s="56" t="s">
        <v>26</v>
      </c>
      <c r="G14" s="44">
        <v>9</v>
      </c>
      <c r="H14" s="129">
        <f>IF(B$15=0,0,G14/B$15)</f>
        <v>3.9647577092511016E-2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227</v>
      </c>
      <c r="C15" s="35">
        <f>IF(B$3=0,0,B15/B$3)</f>
        <v>0.26959619952494063</v>
      </c>
      <c r="E15" s="59" t="s">
        <v>78</v>
      </c>
      <c r="F15" s="56" t="s">
        <v>33</v>
      </c>
      <c r="G15" s="44">
        <v>8</v>
      </c>
      <c r="H15" s="129">
        <f>IF(B$15=0,0,G15/B$15)</f>
        <v>3.5242290748898682E-2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>IF(P15=0,0,Q15/P15)</f>
        <v>24.274999999999999</v>
      </c>
      <c r="P15" s="114">
        <v>4</v>
      </c>
      <c r="Q15" s="102">
        <v>97.1</v>
      </c>
    </row>
    <row r="16" spans="1:17" x14ac:dyDescent="0.4">
      <c r="A16" s="51" t="s">
        <v>13</v>
      </c>
      <c r="B16" s="44">
        <v>153</v>
      </c>
      <c r="C16" s="37">
        <f>IF(B$3=0,0,B16/B$3)</f>
        <v>0.18171021377672208</v>
      </c>
      <c r="E16" s="59" t="s">
        <v>79</v>
      </c>
      <c r="F16" s="56" t="s">
        <v>34</v>
      </c>
      <c r="G16" s="44">
        <v>4</v>
      </c>
      <c r="H16" s="129">
        <f>IF(B$15=0,0,G16/B$15)</f>
        <v>1.7621145374449341E-2</v>
      </c>
      <c r="I16" s="90">
        <v>5</v>
      </c>
      <c r="K16" s="36">
        <v>14</v>
      </c>
      <c r="L16" s="95">
        <v>-204.8</v>
      </c>
      <c r="N16" s="111" t="s">
        <v>170</v>
      </c>
      <c r="O16" s="121">
        <f>IF(P16=0,0,Q16/P16)</f>
        <v>7.1727272727272746</v>
      </c>
      <c r="P16" s="115">
        <v>22</v>
      </c>
      <c r="Q16" s="103">
        <v>157.80000000000004</v>
      </c>
    </row>
    <row r="17" spans="1:17" x14ac:dyDescent="0.4">
      <c r="A17" s="51" t="s">
        <v>12</v>
      </c>
      <c r="B17" s="44">
        <v>107</v>
      </c>
      <c r="C17" s="37">
        <f>IF(B$15=0,0,B17/B$15)</f>
        <v>0.47136563876651982</v>
      </c>
      <c r="E17" s="59" t="s">
        <v>81</v>
      </c>
      <c r="F17" s="56" t="s">
        <v>36</v>
      </c>
      <c r="G17" s="44">
        <v>4</v>
      </c>
      <c r="H17" s="129">
        <f>IF(B$15=0,0,G17/B$15)</f>
        <v>1.7621145374449341E-2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>IF(P17=0,0,Q17/P17)</f>
        <v>1.4666666666666697</v>
      </c>
      <c r="P17" s="115">
        <v>18</v>
      </c>
      <c r="Q17" s="103">
        <v>26.400000000000055</v>
      </c>
    </row>
    <row r="18" spans="1:17" x14ac:dyDescent="0.4">
      <c r="A18" s="51" t="s">
        <v>11</v>
      </c>
      <c r="B18" s="44">
        <v>120</v>
      </c>
      <c r="C18" s="37">
        <f>IF(B$15=0,0,B18/B$15)</f>
        <v>0.52863436123348018</v>
      </c>
      <c r="E18" s="59" t="s">
        <v>162</v>
      </c>
      <c r="F18" s="56" t="s">
        <v>163</v>
      </c>
      <c r="G18" s="44">
        <v>4</v>
      </c>
      <c r="H18" s="129">
        <f>IF(B$15=0,0,G18/B$15)</f>
        <v>1.7621145374449341E-2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195</v>
      </c>
      <c r="B19" s="44">
        <v>126</v>
      </c>
      <c r="C19" s="37">
        <f>IF(B$15=0,0,B19/B$15)</f>
        <v>0.55506607929515417</v>
      </c>
      <c r="E19" s="59" t="s">
        <v>75</v>
      </c>
      <c r="F19" s="56" t="s">
        <v>30</v>
      </c>
      <c r="G19" s="44">
        <v>3</v>
      </c>
      <c r="H19" s="129">
        <f>IF(B$15=0,0,G19/B$15)</f>
        <v>1.3215859030837005E-2</v>
      </c>
      <c r="I19" s="90">
        <v>3</v>
      </c>
      <c r="K19" s="36">
        <v>17</v>
      </c>
      <c r="L19" s="95">
        <v>-251.4</v>
      </c>
      <c r="N19" s="111" t="s">
        <v>126</v>
      </c>
      <c r="O19" s="121">
        <f>IF(P19=0,0,Q19/P19)</f>
        <v>-15.16935483870968</v>
      </c>
      <c r="P19" s="115">
        <v>62</v>
      </c>
      <c r="Q19" s="103">
        <v>-940.50000000000011</v>
      </c>
    </row>
    <row r="20" spans="1:17" x14ac:dyDescent="0.4">
      <c r="A20" s="51" t="s">
        <v>193</v>
      </c>
      <c r="B20" s="44">
        <v>66</v>
      </c>
      <c r="C20" s="37">
        <f>IF(B$15=0,0,B20/B$15)</f>
        <v>0.29074889867841408</v>
      </c>
      <c r="E20" s="59" t="s">
        <v>91</v>
      </c>
      <c r="F20" s="56" t="s">
        <v>46</v>
      </c>
      <c r="G20" s="44">
        <v>1</v>
      </c>
      <c r="H20" s="129">
        <f>IF(B$15=0,0,G20/B$15)</f>
        <v>4.4052863436123352E-3</v>
      </c>
      <c r="I20" s="90">
        <v>9</v>
      </c>
      <c r="K20" s="36">
        <v>18</v>
      </c>
      <c r="L20" s="95">
        <v>-240</v>
      </c>
      <c r="N20" s="111" t="s">
        <v>171</v>
      </c>
      <c r="O20" s="121">
        <f>IF(P20=0,0,Q20/P20)</f>
        <v>-15.669230769230769</v>
      </c>
      <c r="P20" s="115">
        <v>26</v>
      </c>
      <c r="Q20" s="103">
        <v>-407.4</v>
      </c>
    </row>
    <row r="21" spans="1:17" x14ac:dyDescent="0.4">
      <c r="A21" s="51" t="s">
        <v>194</v>
      </c>
      <c r="B21" s="44">
        <v>35</v>
      </c>
      <c r="C21" s="37">
        <f>IF(B$15=0,0,B21/B$15)</f>
        <v>0.15418502202643172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-18.434693877551016</v>
      </c>
      <c r="P21" s="115">
        <v>49</v>
      </c>
      <c r="Q21" s="103">
        <v>-903.29999999999973</v>
      </c>
    </row>
    <row r="22" spans="1:17" x14ac:dyDescent="0.4">
      <c r="A22" s="51" t="s">
        <v>5</v>
      </c>
      <c r="B22" s="48">
        <f>IF(B$15=0,0,C22/B$15)</f>
        <v>7816.7400881057265</v>
      </c>
      <c r="C22" s="39">
        <v>1774400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>IF(P22=0,0,Q22/P22)</f>
        <v>-19.25</v>
      </c>
      <c r="P22" s="115">
        <v>4</v>
      </c>
      <c r="Q22" s="103">
        <v>-77</v>
      </c>
    </row>
    <row r="23" spans="1:17" x14ac:dyDescent="0.4">
      <c r="A23" s="52" t="s">
        <v>177</v>
      </c>
      <c r="B23" s="136">
        <f>IF($B$15-B$14=0,0,C23/($B$15-B$14))</f>
        <v>8450.9316770186342</v>
      </c>
      <c r="C23" s="137">
        <v>1360600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>IF(P23=0,0,Q23/P23)</f>
        <v>-56.6</v>
      </c>
      <c r="P23" s="115">
        <v>1</v>
      </c>
      <c r="Q23" s="103">
        <v>-56.6</v>
      </c>
    </row>
    <row r="24" spans="1:17" x14ac:dyDescent="0.4">
      <c r="A24" s="52" t="s">
        <v>178</v>
      </c>
      <c r="B24" s="136">
        <f>IF(B$14=0,0,C24/B$14)</f>
        <v>6269.69696969697</v>
      </c>
      <c r="C24" s="137">
        <v>413800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">
      <c r="A25" s="52" t="s">
        <v>176</v>
      </c>
      <c r="B25" s="136">
        <f>IF(B$16=0,0,C25/B$16)</f>
        <v>-7814.3790849673205</v>
      </c>
      <c r="C25" s="137">
        <v>-1195600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1" t="s">
        <v>165</v>
      </c>
      <c r="B27" s="44">
        <v>21</v>
      </c>
      <c r="C27" s="131">
        <v>4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-163.00000000000003</v>
      </c>
    </row>
    <row r="30" spans="1:17" x14ac:dyDescent="0.4">
      <c r="A30" s="53" t="s">
        <v>139</v>
      </c>
      <c r="B30" s="61">
        <v>3</v>
      </c>
      <c r="C30" s="40">
        <f>IF(B$3=0,0,B30/B$3)</f>
        <v>3.5629453681710215E-3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">
      <c r="A32" s="86" t="s">
        <v>183</v>
      </c>
      <c r="B32" s="144">
        <v>17</v>
      </c>
      <c r="C32" s="141">
        <f>IF(B$15=0,0,B32/B$15)</f>
        <v>7.4889867841409691E-2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">
      <c r="A33" s="51" t="s">
        <v>179</v>
      </c>
      <c r="B33" s="44">
        <v>39</v>
      </c>
      <c r="C33" s="37">
        <f t="shared" ref="C33:C44" si="2">IF(B$15=0,0,B33/B$15)</f>
        <v>0.17180616740088106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180</v>
      </c>
      <c r="B34" s="145">
        <v>52</v>
      </c>
      <c r="C34" s="37">
        <f>IF(B$15=0,0,B34/B$15)</f>
        <v>0.22907488986784141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181</v>
      </c>
      <c r="B35" s="145">
        <v>34</v>
      </c>
      <c r="C35" s="37">
        <f t="shared" si="2"/>
        <v>0.14977973568281938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182</v>
      </c>
      <c r="B36" s="145">
        <v>39</v>
      </c>
      <c r="C36" s="37">
        <f t="shared" si="2"/>
        <v>0.17180616740088106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184</v>
      </c>
      <c r="B37" s="145">
        <v>23</v>
      </c>
      <c r="C37" s="37">
        <f t="shared" si="2"/>
        <v>0.1013215859030837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">
      <c r="A38" s="51" t="s">
        <v>185</v>
      </c>
      <c r="B38" s="145">
        <v>13</v>
      </c>
      <c r="C38" s="37">
        <f t="shared" si="2"/>
        <v>5.7268722466960353E-2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">
      <c r="A39" s="51" t="s">
        <v>186</v>
      </c>
      <c r="B39" s="145">
        <v>6</v>
      </c>
      <c r="C39" s="37">
        <f t="shared" si="2"/>
        <v>2.643171806167401E-2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">
      <c r="A40" s="51" t="s">
        <v>187</v>
      </c>
      <c r="B40" s="145">
        <v>1</v>
      </c>
      <c r="C40" s="37">
        <f t="shared" si="2"/>
        <v>4.4052863436123352E-3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">
      <c r="A42" s="51" t="s">
        <v>189</v>
      </c>
      <c r="B42" s="145">
        <v>1</v>
      </c>
      <c r="C42" s="37">
        <f t="shared" si="2"/>
        <v>4.4052863436123352E-3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">
      <c r="A43" s="51" t="s">
        <v>190</v>
      </c>
      <c r="B43" s="145">
        <v>2</v>
      </c>
      <c r="C43" s="37">
        <f t="shared" si="2"/>
        <v>8.8105726872246704E-3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  <row r="73" spans="11:12" x14ac:dyDescent="0.4">
      <c r="K73" s="36">
        <v>71</v>
      </c>
      <c r="L73" s="95">
        <v>-484.8</v>
      </c>
    </row>
    <row r="74" spans="11:12" x14ac:dyDescent="0.4">
      <c r="K74" s="36">
        <v>72</v>
      </c>
      <c r="L74" s="95">
        <v>-506.40000000000003</v>
      </c>
    </row>
    <row r="75" spans="11:12" x14ac:dyDescent="0.4">
      <c r="K75" s="36">
        <v>73</v>
      </c>
      <c r="L75" s="95">
        <v>-505.3</v>
      </c>
    </row>
    <row r="76" spans="11:12" x14ac:dyDescent="0.4">
      <c r="K76" s="36">
        <v>74</v>
      </c>
      <c r="L76" s="95">
        <v>-490.40000000000003</v>
      </c>
    </row>
    <row r="77" spans="11:12" x14ac:dyDescent="0.4">
      <c r="K77" s="36">
        <v>75</v>
      </c>
      <c r="L77" s="95">
        <v>-489.8</v>
      </c>
    </row>
    <row r="78" spans="11:12" x14ac:dyDescent="0.4">
      <c r="K78" s="36">
        <v>76</v>
      </c>
      <c r="L78" s="95">
        <v>-493.3</v>
      </c>
    </row>
    <row r="79" spans="11:12" x14ac:dyDescent="0.4">
      <c r="K79" s="36">
        <v>77</v>
      </c>
      <c r="L79" s="95">
        <v>-473.90000000000003</v>
      </c>
    </row>
    <row r="80" spans="11:12" x14ac:dyDescent="0.4">
      <c r="K80" s="36">
        <v>78</v>
      </c>
      <c r="L80" s="95">
        <v>-459.3</v>
      </c>
    </row>
    <row r="81" spans="11:12" x14ac:dyDescent="0.4">
      <c r="K81" s="36">
        <v>79</v>
      </c>
      <c r="L81" s="95">
        <v>-481.6</v>
      </c>
    </row>
    <row r="82" spans="11:12" x14ac:dyDescent="0.4">
      <c r="K82" s="36">
        <v>80</v>
      </c>
      <c r="L82" s="95">
        <v>-486.6</v>
      </c>
    </row>
    <row r="83" spans="11:12" x14ac:dyDescent="0.4">
      <c r="K83" s="36">
        <v>81</v>
      </c>
      <c r="L83" s="95">
        <v>-504.20000000000005</v>
      </c>
    </row>
    <row r="84" spans="11:12" x14ac:dyDescent="0.4">
      <c r="K84" s="36">
        <v>82</v>
      </c>
      <c r="L84" s="95">
        <v>-537.30000000000007</v>
      </c>
    </row>
    <row r="85" spans="11:12" x14ac:dyDescent="0.4">
      <c r="K85" s="36">
        <v>83</v>
      </c>
      <c r="L85" s="95">
        <v>-524.50000000000011</v>
      </c>
    </row>
    <row r="86" spans="11:12" x14ac:dyDescent="0.4">
      <c r="K86" s="36">
        <v>84</v>
      </c>
      <c r="L86" s="95">
        <v>-525.00000000000011</v>
      </c>
    </row>
    <row r="87" spans="11:12" x14ac:dyDescent="0.4">
      <c r="K87" s="36">
        <v>85</v>
      </c>
      <c r="L87" s="95">
        <v>-509.30000000000013</v>
      </c>
    </row>
    <row r="88" spans="11:12" x14ac:dyDescent="0.4">
      <c r="K88" s="36">
        <v>86</v>
      </c>
      <c r="L88" s="95">
        <v>-500.10000000000014</v>
      </c>
    </row>
    <row r="89" spans="11:12" x14ac:dyDescent="0.4">
      <c r="K89" s="36">
        <v>87</v>
      </c>
      <c r="L89" s="95">
        <v>-549.60000000000014</v>
      </c>
    </row>
    <row r="90" spans="11:12" x14ac:dyDescent="0.4">
      <c r="K90" s="36">
        <v>88</v>
      </c>
      <c r="L90" s="95">
        <v>-511.50000000000011</v>
      </c>
    </row>
    <row r="91" spans="11:12" x14ac:dyDescent="0.4">
      <c r="K91" s="36">
        <v>89</v>
      </c>
      <c r="L91" s="95">
        <v>-515.30000000000007</v>
      </c>
    </row>
    <row r="92" spans="11:12" x14ac:dyDescent="0.4">
      <c r="K92" s="36">
        <v>90</v>
      </c>
      <c r="L92" s="95">
        <v>-557.1</v>
      </c>
    </row>
    <row r="93" spans="11:12" x14ac:dyDescent="0.4">
      <c r="K93" s="36">
        <v>91</v>
      </c>
      <c r="L93" s="95">
        <v>-583.4</v>
      </c>
    </row>
    <row r="94" spans="11:12" x14ac:dyDescent="0.4">
      <c r="K94" s="36">
        <v>92</v>
      </c>
      <c r="L94" s="95">
        <v>-588.19999999999993</v>
      </c>
    </row>
    <row r="95" spans="11:12" x14ac:dyDescent="0.4">
      <c r="K95" s="36">
        <v>93</v>
      </c>
      <c r="L95" s="95">
        <v>-627.79999999999995</v>
      </c>
    </row>
    <row r="96" spans="11:12" x14ac:dyDescent="0.4">
      <c r="K96" s="36">
        <v>94</v>
      </c>
      <c r="L96" s="95">
        <v>-618.29999999999995</v>
      </c>
    </row>
    <row r="97" spans="11:12" x14ac:dyDescent="0.4">
      <c r="K97" s="36">
        <v>95</v>
      </c>
      <c r="L97" s="95">
        <v>-599.19999999999993</v>
      </c>
    </row>
    <row r="98" spans="11:12" x14ac:dyDescent="0.4">
      <c r="K98" s="36">
        <v>96</v>
      </c>
      <c r="L98" s="95">
        <v>-631.19999999999993</v>
      </c>
    </row>
    <row r="99" spans="11:12" x14ac:dyDescent="0.4">
      <c r="K99" s="36">
        <v>97</v>
      </c>
      <c r="L99" s="95">
        <v>-673.49999999999989</v>
      </c>
    </row>
    <row r="100" spans="11:12" x14ac:dyDescent="0.4">
      <c r="K100" s="36">
        <v>98</v>
      </c>
      <c r="L100" s="95">
        <v>-700.69999999999993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3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130</v>
      </c>
      <c r="C2" s="155"/>
      <c r="E2" s="58" t="s">
        <v>66</v>
      </c>
      <c r="F2" s="55" t="s">
        <v>22</v>
      </c>
      <c r="G2" s="43">
        <v>264</v>
      </c>
      <c r="H2" s="128">
        <f>IF(B$15=0,0,G2/B$15)</f>
        <v>0.90410958904109584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1456.9230769230769</v>
      </c>
      <c r="P2" s="114">
        <v>130</v>
      </c>
      <c r="Q2" s="98">
        <v>189400</v>
      </c>
    </row>
    <row r="3" spans="1:17" x14ac:dyDescent="0.4">
      <c r="A3" s="51" t="s">
        <v>8</v>
      </c>
      <c r="B3" s="156">
        <v>1058</v>
      </c>
      <c r="C3" s="157"/>
      <c r="E3" s="59" t="s">
        <v>72</v>
      </c>
      <c r="F3" s="56" t="s">
        <v>27</v>
      </c>
      <c r="G3" s="44">
        <v>163</v>
      </c>
      <c r="H3" s="129">
        <f>IF(B$15=0,0,G3/B$15)</f>
        <v>0.55821917808219179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-1936.71875</v>
      </c>
      <c r="P3" s="115">
        <v>128</v>
      </c>
      <c r="Q3" s="99">
        <v>-247900</v>
      </c>
    </row>
    <row r="4" spans="1:17" x14ac:dyDescent="0.4">
      <c r="A4" s="51" t="s">
        <v>6</v>
      </c>
      <c r="B4" s="158">
        <v>512.20000000000039</v>
      </c>
      <c r="C4" s="159"/>
      <c r="E4" s="59" t="s">
        <v>64</v>
      </c>
      <c r="F4" s="56" t="s">
        <v>20</v>
      </c>
      <c r="G4" s="44">
        <v>160</v>
      </c>
      <c r="H4" s="129">
        <f>IF(B$15=0,0,G4/B$15)</f>
        <v>0.54794520547945202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-139.65517241379311</v>
      </c>
      <c r="P4" s="115">
        <v>116</v>
      </c>
      <c r="Q4" s="99">
        <v>-16200</v>
      </c>
    </row>
    <row r="5" spans="1:17" x14ac:dyDescent="0.4">
      <c r="A5" s="51" t="s">
        <v>7</v>
      </c>
      <c r="B5" s="160">
        <f>IF(B$2=0,0,B$4/B$2)</f>
        <v>3.9400000000000031</v>
      </c>
      <c r="C5" s="161"/>
      <c r="E5" s="59" t="s">
        <v>67</v>
      </c>
      <c r="F5" s="56" t="s">
        <v>23</v>
      </c>
      <c r="G5" s="44">
        <v>121</v>
      </c>
      <c r="H5" s="129">
        <f>IF(B$15=0,0,G5/B$15)</f>
        <v>0.41438356164383561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2018.1818181818182</v>
      </c>
      <c r="P5" s="115">
        <v>110</v>
      </c>
      <c r="Q5" s="99">
        <v>222000</v>
      </c>
    </row>
    <row r="6" spans="1:17" x14ac:dyDescent="0.4">
      <c r="A6" s="51" t="s">
        <v>1</v>
      </c>
      <c r="B6" s="150">
        <f>IF(B$2=0,0,(B$7*1+B$8*2+B$9*3)/B$2)</f>
        <v>1.9230769230769231</v>
      </c>
      <c r="C6" s="151"/>
      <c r="E6" s="59" t="s">
        <v>68</v>
      </c>
      <c r="F6" s="56" t="s">
        <v>12</v>
      </c>
      <c r="G6" s="44">
        <v>117</v>
      </c>
      <c r="H6" s="129">
        <f>IF(B$15=0,0,G6/B$15)</f>
        <v>0.40068493150684931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1395.9183673469388</v>
      </c>
      <c r="P6" s="115">
        <v>98</v>
      </c>
      <c r="Q6" s="99">
        <v>136800</v>
      </c>
    </row>
    <row r="7" spans="1:17" x14ac:dyDescent="0.4">
      <c r="A7" s="51" t="s">
        <v>2</v>
      </c>
      <c r="B7" s="44">
        <v>52</v>
      </c>
      <c r="C7" s="37">
        <f t="shared" ref="C7:C10" si="1">IF(B$2=0,0,B7/B$2)</f>
        <v>0.4</v>
      </c>
      <c r="E7" s="59" t="s">
        <v>166</v>
      </c>
      <c r="F7" s="56" t="s">
        <v>167</v>
      </c>
      <c r="G7" s="44">
        <v>106</v>
      </c>
      <c r="H7" s="129">
        <f>IF(B$15=0,0,G7/B$15)</f>
        <v>0.36301369863013699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255.26315789473685</v>
      </c>
      <c r="P7" s="116">
        <v>76</v>
      </c>
      <c r="Q7" s="100">
        <v>19400</v>
      </c>
    </row>
    <row r="8" spans="1:17" x14ac:dyDescent="0.4">
      <c r="A8" s="51" t="s">
        <v>3</v>
      </c>
      <c r="B8" s="44">
        <v>36</v>
      </c>
      <c r="C8" s="37">
        <f t="shared" si="1"/>
        <v>0.27692307692307694</v>
      </c>
      <c r="E8" s="59" t="s">
        <v>89</v>
      </c>
      <c r="F8" s="56" t="s">
        <v>44</v>
      </c>
      <c r="G8" s="44">
        <v>73</v>
      </c>
      <c r="H8" s="129">
        <f>IF(B$15=0,0,G8/B$15)</f>
        <v>0.25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42</v>
      </c>
      <c r="C9" s="38">
        <f t="shared" si="1"/>
        <v>0.32307692307692309</v>
      </c>
      <c r="E9" s="59" t="s">
        <v>69</v>
      </c>
      <c r="F9" s="56" t="s">
        <v>24</v>
      </c>
      <c r="G9" s="44">
        <v>64</v>
      </c>
      <c r="H9" s="129">
        <f>IF(B$15=0,0,G9/B$15)</f>
        <v>0.21917808219178081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15</v>
      </c>
      <c r="C10" s="40">
        <f t="shared" si="1"/>
        <v>0.11538461538461539</v>
      </c>
      <c r="E10" s="59" t="s">
        <v>65</v>
      </c>
      <c r="F10" s="56" t="s">
        <v>21</v>
      </c>
      <c r="G10" s="44">
        <v>42</v>
      </c>
      <c r="H10" s="129">
        <f>IF(B$15=0,0,G10/B$15)</f>
        <v>0.14383561643835616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-7.7085714285714291</v>
      </c>
      <c r="P10" s="114">
        <v>35</v>
      </c>
      <c r="Q10" s="102">
        <v>-269.8</v>
      </c>
    </row>
    <row r="11" spans="1:17" x14ac:dyDescent="0.4">
      <c r="A11" s="54" t="s">
        <v>121</v>
      </c>
      <c r="B11" s="47">
        <v>322</v>
      </c>
      <c r="C11" s="42">
        <f>IF(B$3=0,0,B11/B$3)</f>
        <v>0.30434782608695654</v>
      </c>
      <c r="E11" s="59" t="s">
        <v>70</v>
      </c>
      <c r="F11" s="56" t="s">
        <v>25</v>
      </c>
      <c r="G11" s="44">
        <v>33</v>
      </c>
      <c r="H11" s="129">
        <f>IF(B$15=0,0,G11/B$15)</f>
        <v>0.11301369863013698</v>
      </c>
      <c r="I11" s="90">
        <v>5</v>
      </c>
      <c r="K11" s="36">
        <v>9</v>
      </c>
      <c r="L11" s="95">
        <v>-120.99999999999999</v>
      </c>
      <c r="N11" s="111" t="s">
        <v>158</v>
      </c>
      <c r="O11" s="121">
        <f>IF(P11=0,0,Q11/P11)</f>
        <v>6.9439999999999991</v>
      </c>
      <c r="P11" s="115">
        <v>50</v>
      </c>
      <c r="Q11" s="103">
        <v>347.19999999999993</v>
      </c>
    </row>
    <row r="12" spans="1:17" x14ac:dyDescent="0.4">
      <c r="A12" s="51" t="s">
        <v>118</v>
      </c>
      <c r="B12" s="44">
        <v>196</v>
      </c>
      <c r="C12" s="37">
        <f>IF(B$3=0,0,B12/B$3)</f>
        <v>0.18525519848771266</v>
      </c>
      <c r="E12" s="59" t="s">
        <v>162</v>
      </c>
      <c r="F12" s="56" t="s">
        <v>163</v>
      </c>
      <c r="G12" s="44">
        <v>17</v>
      </c>
      <c r="H12" s="129">
        <f>IF(B$15=0,0,G12/B$15)</f>
        <v>5.8219178082191778E-2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9.6622222222222227</v>
      </c>
      <c r="P12" s="116">
        <v>45</v>
      </c>
      <c r="Q12" s="104">
        <v>434.8</v>
      </c>
    </row>
    <row r="13" spans="1:17" x14ac:dyDescent="0.4">
      <c r="A13" s="50" t="s">
        <v>123</v>
      </c>
      <c r="B13" s="43">
        <f>B19</f>
        <v>177</v>
      </c>
      <c r="C13" s="35">
        <f>IF(B$11=0,0,B13/B$11)</f>
        <v>0.5496894409937888</v>
      </c>
      <c r="E13" s="59" t="s">
        <v>71</v>
      </c>
      <c r="F13" s="56" t="s">
        <v>26</v>
      </c>
      <c r="G13" s="44">
        <v>15</v>
      </c>
      <c r="H13" s="129">
        <f>IF(B$15=0,0,G13/B$15)</f>
        <v>5.1369863013698627E-2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75</v>
      </c>
      <c r="C14" s="35">
        <f>IF(B$12=0,0,B14/B$12)</f>
        <v>0.38265306122448978</v>
      </c>
      <c r="E14" s="59" t="s">
        <v>83</v>
      </c>
      <c r="F14" s="56" t="s">
        <v>38</v>
      </c>
      <c r="G14" s="44">
        <v>10</v>
      </c>
      <c r="H14" s="129">
        <f>IF(B$15=0,0,G14/B$15)</f>
        <v>3.4246575342465752E-2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292</v>
      </c>
      <c r="C15" s="35">
        <f>IF(B$3=0,0,B15/B$3)</f>
        <v>0.27599243856332706</v>
      </c>
      <c r="E15" s="59" t="s">
        <v>86</v>
      </c>
      <c r="F15" s="56" t="s">
        <v>41</v>
      </c>
      <c r="G15" s="44">
        <v>10</v>
      </c>
      <c r="H15" s="129">
        <f>IF(B$15=0,0,G15/B$15)</f>
        <v>3.4246575342465752E-2</v>
      </c>
      <c r="I15" s="90">
        <v>10</v>
      </c>
      <c r="K15" s="36">
        <v>13</v>
      </c>
      <c r="L15" s="95">
        <v>-132.39999999999998</v>
      </c>
      <c r="N15" s="110" t="s">
        <v>228</v>
      </c>
      <c r="O15" s="120">
        <f t="shared" ref="O15:O23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13</v>
      </c>
      <c r="B16" s="44">
        <v>180</v>
      </c>
      <c r="C16" s="37">
        <f>IF(B$3=0,0,B16/B$3)</f>
        <v>0.17013232514177692</v>
      </c>
      <c r="E16" s="59" t="s">
        <v>91</v>
      </c>
      <c r="F16" s="56" t="s">
        <v>46</v>
      </c>
      <c r="G16" s="44">
        <v>5</v>
      </c>
      <c r="H16" s="129">
        <f>IF(B$15=0,0,G16/B$15)</f>
        <v>1.7123287671232876E-2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 t="shared" si="2"/>
        <v>26.930769230769229</v>
      </c>
      <c r="P16" s="115">
        <v>26</v>
      </c>
      <c r="Q16" s="103">
        <v>700.19999999999993</v>
      </c>
    </row>
    <row r="17" spans="1:17" x14ac:dyDescent="0.4">
      <c r="A17" s="51" t="s">
        <v>12</v>
      </c>
      <c r="B17" s="44">
        <v>150</v>
      </c>
      <c r="C17" s="37">
        <f>IF(B$15=0,0,B17/B$15)</f>
        <v>0.51369863013698636</v>
      </c>
      <c r="E17" s="59" t="s">
        <v>78</v>
      </c>
      <c r="F17" s="56" t="s">
        <v>33</v>
      </c>
      <c r="G17" s="44">
        <v>4</v>
      </c>
      <c r="H17" s="129">
        <f>IF(B$15=0,0,G17/B$15)</f>
        <v>1.3698630136986301E-2</v>
      </c>
      <c r="I17" s="90">
        <v>8</v>
      </c>
      <c r="K17" s="36">
        <v>15</v>
      </c>
      <c r="L17" s="95">
        <v>-101.79999999999997</v>
      </c>
      <c r="N17" s="111" t="s">
        <v>197</v>
      </c>
      <c r="O17" s="121">
        <f t="shared" si="2"/>
        <v>11.178571428571431</v>
      </c>
      <c r="P17" s="115">
        <v>28</v>
      </c>
      <c r="Q17" s="103">
        <v>313.00000000000006</v>
      </c>
    </row>
    <row r="18" spans="1:17" x14ac:dyDescent="0.4">
      <c r="A18" s="51" t="s">
        <v>11</v>
      </c>
      <c r="B18" s="44">
        <v>142</v>
      </c>
      <c r="C18" s="37">
        <f>IF(B$15=0,0,B18/B$15)</f>
        <v>0.4863013698630137</v>
      </c>
      <c r="E18" s="59" t="s">
        <v>81</v>
      </c>
      <c r="F18" s="56" t="s">
        <v>36</v>
      </c>
      <c r="G18" s="44">
        <v>4</v>
      </c>
      <c r="H18" s="129">
        <f>IF(B$15=0,0,G18/B$15)</f>
        <v>1.3698630136986301E-2</v>
      </c>
      <c r="I18" s="90">
        <v>10</v>
      </c>
      <c r="K18" s="36">
        <v>16</v>
      </c>
      <c r="L18" s="95">
        <v>-63.099999999999966</v>
      </c>
      <c r="N18" s="111" t="s">
        <v>171</v>
      </c>
      <c r="O18" s="121">
        <f t="shared" si="2"/>
        <v>10.093650793650792</v>
      </c>
      <c r="P18" s="115">
        <v>63</v>
      </c>
      <c r="Q18" s="103">
        <v>635.89999999999986</v>
      </c>
    </row>
    <row r="19" spans="1:17" x14ac:dyDescent="0.4">
      <c r="A19" s="51" t="s">
        <v>195</v>
      </c>
      <c r="B19" s="44">
        <v>177</v>
      </c>
      <c r="C19" s="37">
        <f>IF(B$15=0,0,B19/B$15)</f>
        <v>0.60616438356164382</v>
      </c>
      <c r="E19" s="59" t="s">
        <v>92</v>
      </c>
      <c r="F19" s="56" t="s">
        <v>47</v>
      </c>
      <c r="G19" s="44">
        <v>4</v>
      </c>
      <c r="H19" s="129">
        <f>IF(B$15=0,0,G19/B$15)</f>
        <v>1.3698630136986301E-2</v>
      </c>
      <c r="I19" s="90">
        <v>1</v>
      </c>
      <c r="K19" s="36">
        <v>17</v>
      </c>
      <c r="L19" s="95">
        <v>-55.799999999999969</v>
      </c>
      <c r="N19" s="111" t="s">
        <v>274</v>
      </c>
      <c r="O19" s="121">
        <f t="shared" si="2"/>
        <v>5.4749999999999988</v>
      </c>
      <c r="P19" s="115">
        <v>8</v>
      </c>
      <c r="Q19" s="103">
        <v>43.79999999999999</v>
      </c>
    </row>
    <row r="20" spans="1:17" x14ac:dyDescent="0.4">
      <c r="A20" s="51" t="s">
        <v>193</v>
      </c>
      <c r="B20" s="44">
        <v>75</v>
      </c>
      <c r="C20" s="37">
        <f>IF(B$15=0,0,B20/B$15)</f>
        <v>0.25684931506849318</v>
      </c>
      <c r="E20" s="59" t="s">
        <v>79</v>
      </c>
      <c r="F20" s="56" t="s">
        <v>34</v>
      </c>
      <c r="G20" s="44">
        <v>3</v>
      </c>
      <c r="H20" s="129">
        <f>IF(B$15=0,0,G20/B$15)</f>
        <v>1.0273972602739725E-2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 t="shared" si="2"/>
        <v>2.7843137254901946</v>
      </c>
      <c r="P20" s="115">
        <v>51</v>
      </c>
      <c r="Q20" s="103">
        <v>141.99999999999991</v>
      </c>
    </row>
    <row r="21" spans="1:17" x14ac:dyDescent="0.4">
      <c r="A21" s="51" t="s">
        <v>194</v>
      </c>
      <c r="B21" s="44">
        <v>40</v>
      </c>
      <c r="C21" s="37">
        <f>IF(B$15=0,0,B21/B$15)</f>
        <v>0.13698630136986301</v>
      </c>
      <c r="E21" s="59" t="s">
        <v>85</v>
      </c>
      <c r="F21" s="56" t="s">
        <v>40</v>
      </c>
      <c r="G21" s="44">
        <v>3</v>
      </c>
      <c r="H21" s="129">
        <f>IF(B$15=0,0,G21/B$15)</f>
        <v>1.0273972602739725E-2</v>
      </c>
      <c r="I21" s="90">
        <v>3</v>
      </c>
      <c r="K21" s="36">
        <v>19</v>
      </c>
      <c r="L21" s="95">
        <v>-27.799999999999969</v>
      </c>
      <c r="N21" s="111" t="s">
        <v>126</v>
      </c>
      <c r="O21" s="121">
        <f t="shared" si="2"/>
        <v>-2.8653846153846181</v>
      </c>
      <c r="P21" s="115">
        <v>52</v>
      </c>
      <c r="Q21" s="103">
        <v>-149.00000000000014</v>
      </c>
    </row>
    <row r="22" spans="1:17" x14ac:dyDescent="0.4">
      <c r="A22" s="51" t="s">
        <v>5</v>
      </c>
      <c r="B22" s="48">
        <f>IF(B$15=0,0,C22/B$15)</f>
        <v>10798.630136986301</v>
      </c>
      <c r="C22" s="39">
        <v>3153200</v>
      </c>
      <c r="E22" s="59" t="s">
        <v>73</v>
      </c>
      <c r="F22" s="56" t="s">
        <v>28</v>
      </c>
      <c r="G22" s="44">
        <v>2</v>
      </c>
      <c r="H22" s="129">
        <f>IF(B$15=0,0,G22/B$15)</f>
        <v>6.8493150684931503E-3</v>
      </c>
      <c r="I22" s="90">
        <v>2</v>
      </c>
      <c r="K22" s="36">
        <v>20</v>
      </c>
      <c r="L22" s="95">
        <v>-50.39999999999997</v>
      </c>
      <c r="N22" s="111" t="s">
        <v>172</v>
      </c>
      <c r="O22" s="121">
        <f t="shared" si="2"/>
        <v>-7.1727272727272728</v>
      </c>
      <c r="P22" s="115">
        <v>22</v>
      </c>
      <c r="Q22" s="103">
        <v>-157.80000000000001</v>
      </c>
    </row>
    <row r="23" spans="1:17" x14ac:dyDescent="0.4">
      <c r="A23" s="52" t="s">
        <v>177</v>
      </c>
      <c r="B23" s="136">
        <f>IF($B$15-B$14=0,0,C23/($B$15-B$14))</f>
        <v>11387.096774193549</v>
      </c>
      <c r="C23" s="137">
        <v>2471000</v>
      </c>
      <c r="E23" s="59" t="s">
        <v>75</v>
      </c>
      <c r="F23" s="56" t="s">
        <v>30</v>
      </c>
      <c r="G23" s="44">
        <v>2</v>
      </c>
      <c r="H23" s="129">
        <f>IF(B$15=0,0,G23/B$15)</f>
        <v>6.8493150684931503E-3</v>
      </c>
      <c r="I23" s="90">
        <v>7</v>
      </c>
      <c r="K23" s="36">
        <v>21</v>
      </c>
      <c r="L23" s="95">
        <v>-59.89999999999997</v>
      </c>
      <c r="N23" s="111" t="s">
        <v>196</v>
      </c>
      <c r="O23" s="121">
        <f t="shared" si="2"/>
        <v>-14.099999999999998</v>
      </c>
      <c r="P23" s="115">
        <v>8</v>
      </c>
      <c r="Q23" s="103">
        <v>-112.79999999999998</v>
      </c>
    </row>
    <row r="24" spans="1:17" x14ac:dyDescent="0.4">
      <c r="A24" s="52" t="s">
        <v>178</v>
      </c>
      <c r="B24" s="136">
        <f>IF(B$14=0,0,C24/B$14)</f>
        <v>9096</v>
      </c>
      <c r="C24" s="137">
        <v>682200</v>
      </c>
      <c r="E24" s="59" t="s">
        <v>84</v>
      </c>
      <c r="F24" s="56" t="s">
        <v>39</v>
      </c>
      <c r="G24" s="44">
        <v>2</v>
      </c>
      <c r="H24" s="129">
        <f>IF(B$15=0,0,G24/B$15)</f>
        <v>6.8493150684931503E-3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176</v>
      </c>
      <c r="B25" s="136">
        <f>IF(B$16=0,0,C25/B$16)</f>
        <v>-8105.5555555555557</v>
      </c>
      <c r="C25" s="137">
        <v>-1459000</v>
      </c>
      <c r="E25" s="59" t="s">
        <v>90</v>
      </c>
      <c r="F25" s="56" t="s">
        <v>45</v>
      </c>
      <c r="G25" s="44">
        <v>2</v>
      </c>
      <c r="H25" s="129">
        <f>IF(B$15=0,0,G25/B$15)</f>
        <v>6.8493150684931503E-3</v>
      </c>
      <c r="I25" s="90">
        <v>1</v>
      </c>
      <c r="K25" s="36">
        <v>23</v>
      </c>
      <c r="L25" s="95">
        <v>-10.299999999999969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1</v>
      </c>
      <c r="H26" s="129">
        <f>IF(B$15=0,0,G26/B$15)</f>
        <v>3.4246575342465752E-3</v>
      </c>
      <c r="I26" s="90">
        <v>3</v>
      </c>
      <c r="K26" s="36">
        <v>24</v>
      </c>
      <c r="L26" s="95">
        <v>-51.39999999999997</v>
      </c>
    </row>
    <row r="27" spans="1:17" x14ac:dyDescent="0.4">
      <c r="A27" s="51" t="s">
        <v>165</v>
      </c>
      <c r="B27" s="44">
        <v>25</v>
      </c>
      <c r="C27" s="131">
        <v>0</v>
      </c>
      <c r="E27" s="59" t="s">
        <v>93</v>
      </c>
      <c r="F27" s="56" t="s">
        <v>48</v>
      </c>
      <c r="G27" s="44">
        <v>1</v>
      </c>
      <c r="H27" s="129">
        <f>IF(B$15=0,0,G27/B$15)</f>
        <v>3.4246575342465752E-3</v>
      </c>
      <c r="I27" s="90">
        <v>2</v>
      </c>
      <c r="K27" s="36">
        <v>25</v>
      </c>
      <c r="L27" s="95">
        <v>-37.699999999999974</v>
      </c>
    </row>
    <row r="28" spans="1:17" x14ac:dyDescent="0.4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3.4246575342465752E-3</v>
      </c>
      <c r="I28" s="90">
        <v>1</v>
      </c>
      <c r="K28" s="36">
        <v>26</v>
      </c>
      <c r="L28" s="95">
        <v>-84.999999999999972</v>
      </c>
    </row>
    <row r="29" spans="1:17" x14ac:dyDescent="0.4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">
      <c r="A30" s="53" t="s">
        <v>139</v>
      </c>
      <c r="B30" s="61">
        <v>2</v>
      </c>
      <c r="C30" s="40">
        <f>IF(B$3=0,0,B30/B$3)</f>
        <v>1.890359168241966E-3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86" t="s">
        <v>183</v>
      </c>
      <c r="B32" s="144">
        <v>8</v>
      </c>
      <c r="C32" s="141">
        <f>IF(B$15=0,0,B32/B$15)</f>
        <v>2.7397260273972601E-2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">
      <c r="A33" s="51" t="s">
        <v>179</v>
      </c>
      <c r="B33" s="44">
        <v>23</v>
      </c>
      <c r="C33" s="37">
        <f t="shared" ref="C33:C44" si="3">IF(B$15=0,0,B33/B$15)</f>
        <v>7.8767123287671229E-2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73.900000000000034</v>
      </c>
    </row>
    <row r="34" spans="1:12" x14ac:dyDescent="0.4">
      <c r="A34" s="51" t="s">
        <v>180</v>
      </c>
      <c r="B34" s="145">
        <v>39</v>
      </c>
      <c r="C34" s="37">
        <f>IF(B$15=0,0,B34/B$15)</f>
        <v>0.13356164383561644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181</v>
      </c>
      <c r="B35" s="145">
        <v>55</v>
      </c>
      <c r="C35" s="37">
        <f t="shared" si="3"/>
        <v>0.18835616438356165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182</v>
      </c>
      <c r="B36" s="145">
        <v>65</v>
      </c>
      <c r="C36" s="37">
        <f t="shared" si="3"/>
        <v>0.2226027397260274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184</v>
      </c>
      <c r="B37" s="145">
        <v>42</v>
      </c>
      <c r="C37" s="37">
        <f t="shared" si="3"/>
        <v>0.14383561643835616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185</v>
      </c>
      <c r="B38" s="145">
        <v>22</v>
      </c>
      <c r="C38" s="37">
        <f t="shared" si="3"/>
        <v>7.5342465753424653E-2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186</v>
      </c>
      <c r="B39" s="145">
        <v>19</v>
      </c>
      <c r="C39" s="37">
        <f t="shared" si="3"/>
        <v>6.5068493150684928E-2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187</v>
      </c>
      <c r="B40" s="145">
        <v>6</v>
      </c>
      <c r="C40" s="37">
        <f t="shared" si="3"/>
        <v>2.0547945205479451E-2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188</v>
      </c>
      <c r="B41" s="145">
        <v>3</v>
      </c>
      <c r="C41" s="37">
        <f t="shared" si="3"/>
        <v>1.0273972602739725E-2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189</v>
      </c>
      <c r="B42" s="145">
        <v>2</v>
      </c>
      <c r="C42" s="37">
        <f t="shared" si="3"/>
        <v>6.8493150684931503E-3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190</v>
      </c>
      <c r="B43" s="145">
        <v>1</v>
      </c>
      <c r="C43" s="37">
        <f t="shared" si="3"/>
        <v>3.4246575342465752E-3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3" t="s">
        <v>191</v>
      </c>
      <c r="B44" s="140">
        <v>7</v>
      </c>
      <c r="C44" s="40">
        <f t="shared" si="3"/>
        <v>2.3972602739726026E-2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  <row r="79" spans="11:12" x14ac:dyDescent="0.4">
      <c r="K79" s="36">
        <v>77</v>
      </c>
      <c r="L79" s="95">
        <v>368.00000000000011</v>
      </c>
    </row>
    <row r="80" spans="11:12" x14ac:dyDescent="0.4">
      <c r="K80" s="36">
        <v>78</v>
      </c>
      <c r="L80" s="95">
        <v>312.50000000000011</v>
      </c>
    </row>
    <row r="81" spans="11:12" x14ac:dyDescent="0.4">
      <c r="K81" s="36">
        <v>79</v>
      </c>
      <c r="L81" s="95">
        <v>263.80000000000013</v>
      </c>
    </row>
    <row r="82" spans="11:12" x14ac:dyDescent="0.4">
      <c r="K82" s="36">
        <v>80</v>
      </c>
      <c r="L82" s="95">
        <v>245.50000000000011</v>
      </c>
    </row>
    <row r="83" spans="11:12" x14ac:dyDescent="0.4">
      <c r="K83" s="36">
        <v>81</v>
      </c>
      <c r="L83" s="95">
        <v>200.30000000000013</v>
      </c>
    </row>
    <row r="84" spans="11:12" x14ac:dyDescent="0.4">
      <c r="K84" s="36">
        <v>82</v>
      </c>
      <c r="L84" s="95">
        <v>229.10000000000014</v>
      </c>
    </row>
    <row r="85" spans="11:12" x14ac:dyDescent="0.4">
      <c r="K85" s="36">
        <v>83</v>
      </c>
      <c r="L85" s="95">
        <v>230.70000000000013</v>
      </c>
    </row>
    <row r="86" spans="11:12" x14ac:dyDescent="0.4">
      <c r="K86" s="36">
        <v>84</v>
      </c>
      <c r="L86" s="95">
        <v>201.10000000000014</v>
      </c>
    </row>
    <row r="87" spans="11:12" x14ac:dyDescent="0.4">
      <c r="K87" s="36">
        <v>85</v>
      </c>
      <c r="L87" s="95">
        <v>200.20000000000013</v>
      </c>
    </row>
    <row r="88" spans="11:12" x14ac:dyDescent="0.4">
      <c r="K88" s="36">
        <v>86</v>
      </c>
      <c r="L88" s="95">
        <v>211.70000000000013</v>
      </c>
    </row>
    <row r="89" spans="11:12" x14ac:dyDescent="0.4">
      <c r="K89" s="36">
        <v>87</v>
      </c>
      <c r="L89" s="95">
        <v>186.30000000000013</v>
      </c>
    </row>
    <row r="90" spans="11:12" x14ac:dyDescent="0.4">
      <c r="K90" s="36">
        <v>88</v>
      </c>
      <c r="L90" s="95">
        <v>163.60000000000014</v>
      </c>
    </row>
    <row r="91" spans="11:12" x14ac:dyDescent="0.4">
      <c r="K91" s="36">
        <v>89</v>
      </c>
      <c r="L91" s="95">
        <v>188.60000000000014</v>
      </c>
    </row>
    <row r="92" spans="11:12" x14ac:dyDescent="0.4">
      <c r="K92" s="36">
        <v>90</v>
      </c>
      <c r="L92" s="95">
        <v>236.10000000000014</v>
      </c>
    </row>
    <row r="93" spans="11:12" x14ac:dyDescent="0.4">
      <c r="K93" s="36">
        <v>91</v>
      </c>
      <c r="L93" s="95">
        <v>240.30000000000013</v>
      </c>
    </row>
    <row r="94" spans="11:12" x14ac:dyDescent="0.4">
      <c r="K94" s="36">
        <v>92</v>
      </c>
      <c r="L94" s="95">
        <v>286.50000000000011</v>
      </c>
    </row>
    <row r="95" spans="11:12" x14ac:dyDescent="0.4">
      <c r="K95" s="36">
        <v>93</v>
      </c>
      <c r="L95" s="95">
        <v>263.30000000000013</v>
      </c>
    </row>
    <row r="96" spans="11:12" x14ac:dyDescent="0.4">
      <c r="K96" s="36">
        <v>94</v>
      </c>
      <c r="L96" s="95">
        <v>299.60000000000014</v>
      </c>
    </row>
    <row r="97" spans="11:12" x14ac:dyDescent="0.4">
      <c r="K97" s="36">
        <v>95</v>
      </c>
      <c r="L97" s="95">
        <v>335.30000000000013</v>
      </c>
    </row>
    <row r="98" spans="11:12" x14ac:dyDescent="0.4">
      <c r="K98" s="36">
        <v>96</v>
      </c>
      <c r="L98" s="95">
        <v>335.40000000000015</v>
      </c>
    </row>
    <row r="99" spans="11:12" x14ac:dyDescent="0.4">
      <c r="K99" s="36">
        <v>97</v>
      </c>
      <c r="L99" s="95">
        <v>334.70000000000016</v>
      </c>
    </row>
    <row r="100" spans="11:12" x14ac:dyDescent="0.4">
      <c r="K100" s="36">
        <v>98</v>
      </c>
      <c r="L100" s="95">
        <v>349.00000000000017</v>
      </c>
    </row>
    <row r="101" spans="11:12" x14ac:dyDescent="0.4">
      <c r="K101" s="36">
        <v>99</v>
      </c>
      <c r="L101" s="95">
        <v>386.70000000000016</v>
      </c>
    </row>
    <row r="102" spans="11:12" x14ac:dyDescent="0.4">
      <c r="K102" s="36">
        <v>100</v>
      </c>
      <c r="L102" s="95">
        <v>350.30000000000018</v>
      </c>
    </row>
    <row r="103" spans="11:12" x14ac:dyDescent="0.4">
      <c r="K103" s="36">
        <v>101</v>
      </c>
      <c r="L103" s="95">
        <v>344.9000000000002</v>
      </c>
    </row>
    <row r="104" spans="11:12" x14ac:dyDescent="0.4">
      <c r="K104" s="36">
        <v>102</v>
      </c>
      <c r="L104" s="95">
        <v>359.50000000000023</v>
      </c>
    </row>
    <row r="105" spans="11:12" x14ac:dyDescent="0.4">
      <c r="K105" s="36">
        <v>103</v>
      </c>
      <c r="L105" s="95">
        <v>402.30000000000024</v>
      </c>
    </row>
    <row r="106" spans="11:12" x14ac:dyDescent="0.4">
      <c r="K106" s="36">
        <v>104</v>
      </c>
      <c r="L106" s="95">
        <v>408.90000000000026</v>
      </c>
    </row>
    <row r="107" spans="11:12" x14ac:dyDescent="0.4">
      <c r="K107" s="36">
        <v>105</v>
      </c>
      <c r="L107" s="95">
        <v>372.30000000000024</v>
      </c>
    </row>
    <row r="108" spans="11:12" x14ac:dyDescent="0.4">
      <c r="K108" s="36">
        <v>106</v>
      </c>
      <c r="L108" s="95">
        <v>395.80000000000024</v>
      </c>
    </row>
    <row r="109" spans="11:12" x14ac:dyDescent="0.4">
      <c r="K109" s="36">
        <v>107</v>
      </c>
      <c r="L109" s="95">
        <v>438.20000000000022</v>
      </c>
    </row>
    <row r="110" spans="11:12" x14ac:dyDescent="0.4">
      <c r="K110" s="36">
        <v>108</v>
      </c>
      <c r="L110" s="95">
        <v>471.10000000000019</v>
      </c>
    </row>
    <row r="111" spans="11:12" x14ac:dyDescent="0.4">
      <c r="K111" s="36">
        <v>109</v>
      </c>
      <c r="L111" s="95">
        <v>509.00000000000017</v>
      </c>
    </row>
    <row r="112" spans="11:12" x14ac:dyDescent="0.4">
      <c r="K112" s="36">
        <v>110</v>
      </c>
      <c r="L112" s="95">
        <v>522.50000000000023</v>
      </c>
    </row>
    <row r="113" spans="11:12" x14ac:dyDescent="0.4">
      <c r="K113" s="36">
        <v>111</v>
      </c>
      <c r="L113" s="95">
        <v>600.80000000000018</v>
      </c>
    </row>
    <row r="114" spans="11:12" x14ac:dyDescent="0.4">
      <c r="K114" s="36">
        <v>112</v>
      </c>
      <c r="L114" s="95">
        <v>616.4000000000002</v>
      </c>
    </row>
    <row r="115" spans="11:12" x14ac:dyDescent="0.4">
      <c r="K115" s="36">
        <v>113</v>
      </c>
      <c r="L115" s="95">
        <v>638.10000000000025</v>
      </c>
    </row>
    <row r="116" spans="11:12" x14ac:dyDescent="0.4">
      <c r="K116" s="36">
        <v>114</v>
      </c>
      <c r="L116" s="95">
        <v>637.10000000000025</v>
      </c>
    </row>
    <row r="117" spans="11:12" x14ac:dyDescent="0.4">
      <c r="K117" s="36">
        <v>115</v>
      </c>
      <c r="L117" s="95">
        <v>581.10000000000025</v>
      </c>
    </row>
    <row r="118" spans="11:12" x14ac:dyDescent="0.4">
      <c r="K118" s="36">
        <v>116</v>
      </c>
      <c r="L118" s="95">
        <v>558.8000000000003</v>
      </c>
    </row>
    <row r="119" spans="11:12" x14ac:dyDescent="0.4">
      <c r="K119" s="36">
        <v>117</v>
      </c>
      <c r="L119" s="95">
        <v>619.00000000000034</v>
      </c>
    </row>
    <row r="120" spans="11:12" x14ac:dyDescent="0.4">
      <c r="K120" s="36">
        <v>118</v>
      </c>
      <c r="L120" s="95">
        <v>706.10000000000036</v>
      </c>
    </row>
    <row r="121" spans="11:12" x14ac:dyDescent="0.4">
      <c r="K121" s="36">
        <v>119</v>
      </c>
      <c r="L121" s="95">
        <v>672.80000000000041</v>
      </c>
    </row>
    <row r="122" spans="11:12" x14ac:dyDescent="0.4">
      <c r="K122" s="36">
        <v>120</v>
      </c>
      <c r="L122" s="95">
        <v>622.40000000000043</v>
      </c>
    </row>
    <row r="123" spans="11:12" x14ac:dyDescent="0.4">
      <c r="K123" s="36">
        <v>121</v>
      </c>
      <c r="L123" s="95">
        <v>623.70000000000039</v>
      </c>
    </row>
    <row r="124" spans="11:12" x14ac:dyDescent="0.4">
      <c r="K124" s="36">
        <v>122</v>
      </c>
      <c r="L124" s="95">
        <v>609.30000000000041</v>
      </c>
    </row>
    <row r="125" spans="11:12" x14ac:dyDescent="0.4">
      <c r="K125" s="36">
        <v>123</v>
      </c>
      <c r="L125" s="95">
        <v>621.50000000000045</v>
      </c>
    </row>
    <row r="126" spans="11:12" x14ac:dyDescent="0.4">
      <c r="K126" s="36">
        <v>124</v>
      </c>
      <c r="L126" s="95">
        <v>571.00000000000045</v>
      </c>
    </row>
    <row r="127" spans="11:12" x14ac:dyDescent="0.4">
      <c r="K127" s="36">
        <v>125</v>
      </c>
      <c r="L127" s="95">
        <v>505.50000000000045</v>
      </c>
    </row>
    <row r="128" spans="11:12" x14ac:dyDescent="0.4">
      <c r="K128" s="36">
        <v>126</v>
      </c>
      <c r="L128" s="95">
        <v>475.00000000000045</v>
      </c>
    </row>
    <row r="129" spans="11:12" x14ac:dyDescent="0.4">
      <c r="K129" s="36">
        <v>127</v>
      </c>
      <c r="L129" s="95">
        <v>531.30000000000041</v>
      </c>
    </row>
    <row r="130" spans="11:12" x14ac:dyDescent="0.4">
      <c r="K130" s="36">
        <v>128</v>
      </c>
      <c r="L130" s="95">
        <v>494.10000000000042</v>
      </c>
    </row>
    <row r="131" spans="11:12" x14ac:dyDescent="0.4">
      <c r="K131" s="36">
        <v>129</v>
      </c>
      <c r="L131" s="95">
        <v>529.80000000000041</v>
      </c>
    </row>
    <row r="132" spans="11:12" x14ac:dyDescent="0.4">
      <c r="K132" s="36">
        <v>130</v>
      </c>
      <c r="L132" s="95">
        <v>512.20000000000039</v>
      </c>
    </row>
  </sheetData>
  <sortState xmlns:xlrd2="http://schemas.microsoft.com/office/spreadsheetml/2017/richdata2" ref="E2:I13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4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142</v>
      </c>
      <c r="C2" s="155"/>
      <c r="E2" s="58" t="s">
        <v>66</v>
      </c>
      <c r="F2" s="55" t="s">
        <v>22</v>
      </c>
      <c r="G2" s="43">
        <v>234</v>
      </c>
      <c r="H2" s="128">
        <f>IF(B$15=0,0,G2/B$15)</f>
        <v>0.72670807453416153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-380.28169014084506</v>
      </c>
      <c r="P2" s="114">
        <v>142</v>
      </c>
      <c r="Q2" s="98">
        <v>-54000</v>
      </c>
    </row>
    <row r="3" spans="1:17" x14ac:dyDescent="0.4">
      <c r="A3" s="51" t="s">
        <v>8</v>
      </c>
      <c r="B3" s="156">
        <v>1152</v>
      </c>
      <c r="C3" s="157"/>
      <c r="E3" s="59" t="s">
        <v>72</v>
      </c>
      <c r="F3" s="56" t="s">
        <v>27</v>
      </c>
      <c r="G3" s="44">
        <v>181</v>
      </c>
      <c r="H3" s="129">
        <f>IF(B$15=0,0,G3/B$15)</f>
        <v>0.56211180124223603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189.92805755395685</v>
      </c>
      <c r="P3" s="115">
        <v>139</v>
      </c>
      <c r="Q3" s="99">
        <v>26400</v>
      </c>
    </row>
    <row r="4" spans="1:17" x14ac:dyDescent="0.4">
      <c r="A4" s="51" t="s">
        <v>6</v>
      </c>
      <c r="B4" s="158">
        <v>-142.29999999999998</v>
      </c>
      <c r="C4" s="159"/>
      <c r="E4" s="59" t="s">
        <v>64</v>
      </c>
      <c r="F4" s="56" t="s">
        <v>20</v>
      </c>
      <c r="G4" s="44">
        <v>160</v>
      </c>
      <c r="H4" s="129">
        <f>IF(B$15=0,0,G4/B$15)</f>
        <v>0.49689440993788819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150.38167938931298</v>
      </c>
      <c r="P4" s="115">
        <v>131</v>
      </c>
      <c r="Q4" s="99">
        <v>19700</v>
      </c>
    </row>
    <row r="5" spans="1:17" x14ac:dyDescent="0.4">
      <c r="A5" s="51" t="s">
        <v>7</v>
      </c>
      <c r="B5" s="160">
        <f>IF(B$2=0,0,B$4/B$2)</f>
        <v>-1.0021126760563379</v>
      </c>
      <c r="C5" s="161"/>
      <c r="E5" s="59" t="s">
        <v>166</v>
      </c>
      <c r="F5" s="56" t="s">
        <v>167</v>
      </c>
      <c r="G5" s="44">
        <v>136</v>
      </c>
      <c r="H5" s="129">
        <f>IF(B$15=0,0,G5/B$15)</f>
        <v>0.42236024844720499</v>
      </c>
      <c r="I5" s="90">
        <v>4</v>
      </c>
      <c r="K5" s="36">
        <v>3</v>
      </c>
      <c r="L5" s="95">
        <v>25.8</v>
      </c>
      <c r="N5" s="111" t="s">
        <v>133</v>
      </c>
      <c r="O5" s="118">
        <f t="shared" si="0"/>
        <v>170.83333333333334</v>
      </c>
      <c r="P5" s="115">
        <v>120</v>
      </c>
      <c r="Q5" s="99">
        <v>20500</v>
      </c>
    </row>
    <row r="6" spans="1:17" x14ac:dyDescent="0.4">
      <c r="A6" s="51" t="s">
        <v>1</v>
      </c>
      <c r="B6" s="150">
        <f>IF(B$2=0,0,(B$7*1+B$8*2+B$9*3)/B$2)</f>
        <v>2.056338028169014</v>
      </c>
      <c r="C6" s="151"/>
      <c r="E6" s="59" t="s">
        <v>67</v>
      </c>
      <c r="F6" s="56" t="s">
        <v>23</v>
      </c>
      <c r="G6" s="44">
        <v>109</v>
      </c>
      <c r="H6" s="129">
        <f>IF(B$15=0,0,G6/B$15)</f>
        <v>0.33850931677018631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171.55963302752295</v>
      </c>
      <c r="P6" s="115">
        <v>109</v>
      </c>
      <c r="Q6" s="99">
        <v>18700</v>
      </c>
    </row>
    <row r="7" spans="1:17" x14ac:dyDescent="0.4">
      <c r="A7" s="51" t="s">
        <v>2</v>
      </c>
      <c r="B7" s="44">
        <v>35</v>
      </c>
      <c r="C7" s="37">
        <f t="shared" ref="C7:C10" si="1">IF(B$2=0,0,B7/B$2)</f>
        <v>0.24647887323943662</v>
      </c>
      <c r="E7" s="59" t="s">
        <v>68</v>
      </c>
      <c r="F7" s="56" t="s">
        <v>12</v>
      </c>
      <c r="G7" s="44">
        <v>101</v>
      </c>
      <c r="H7" s="129">
        <f>IF(B$15=0,0,G7/B$15)</f>
        <v>0.31366459627329191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-1058.0645161290322</v>
      </c>
      <c r="P7" s="116">
        <v>93</v>
      </c>
      <c r="Q7" s="100">
        <v>-98400</v>
      </c>
    </row>
    <row r="8" spans="1:17" x14ac:dyDescent="0.4">
      <c r="A8" s="51" t="s">
        <v>3</v>
      </c>
      <c r="B8" s="44">
        <v>64</v>
      </c>
      <c r="C8" s="37">
        <f t="shared" si="1"/>
        <v>0.45070422535211269</v>
      </c>
      <c r="E8" s="59" t="s">
        <v>69</v>
      </c>
      <c r="F8" s="56" t="s">
        <v>24</v>
      </c>
      <c r="G8" s="44">
        <v>44</v>
      </c>
      <c r="H8" s="129">
        <f>IF(B$15=0,0,G8/B$15)</f>
        <v>0.13664596273291926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43</v>
      </c>
      <c r="C9" s="38">
        <f t="shared" si="1"/>
        <v>0.30281690140845069</v>
      </c>
      <c r="E9" s="59" t="s">
        <v>89</v>
      </c>
      <c r="F9" s="56" t="s">
        <v>44</v>
      </c>
      <c r="G9" s="44">
        <v>44</v>
      </c>
      <c r="H9" s="129">
        <f>IF(B$15=0,0,G9/B$15)</f>
        <v>0.13664596273291926</v>
      </c>
      <c r="I9" s="90">
        <v>7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1"/>
        <v>7.0422535211267609E-2</v>
      </c>
      <c r="E10" s="59" t="s">
        <v>71</v>
      </c>
      <c r="F10" s="56" t="s">
        <v>26</v>
      </c>
      <c r="G10" s="44">
        <v>31</v>
      </c>
      <c r="H10" s="129">
        <f>IF(B$15=0,0,G10/B$15)</f>
        <v>9.627329192546584E-2</v>
      </c>
      <c r="I10" s="90">
        <v>5</v>
      </c>
      <c r="K10" s="36">
        <v>8</v>
      </c>
      <c r="L10" s="95">
        <v>-46.7</v>
      </c>
      <c r="N10" s="110" t="s">
        <v>157</v>
      </c>
      <c r="O10" s="120">
        <f>IF(P10=0,0,Q10/P10)</f>
        <v>-2.854237288135594</v>
      </c>
      <c r="P10" s="114">
        <v>59</v>
      </c>
      <c r="Q10" s="102">
        <v>-168.40000000000003</v>
      </c>
    </row>
    <row r="11" spans="1:17" x14ac:dyDescent="0.4">
      <c r="A11" s="54" t="s">
        <v>121</v>
      </c>
      <c r="B11" s="47">
        <v>300</v>
      </c>
      <c r="C11" s="42">
        <f>IF(B$3=0,0,B11/B$3)</f>
        <v>0.26041666666666669</v>
      </c>
      <c r="E11" s="59" t="s">
        <v>65</v>
      </c>
      <c r="F11" s="56" t="s">
        <v>21</v>
      </c>
      <c r="G11" s="44">
        <v>26</v>
      </c>
      <c r="H11" s="129">
        <f>IF(B$15=0,0,G11/B$15)</f>
        <v>8.0745341614906832E-2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0.67954545454545512</v>
      </c>
      <c r="P11" s="115">
        <v>44</v>
      </c>
      <c r="Q11" s="103">
        <v>29.900000000000027</v>
      </c>
    </row>
    <row r="12" spans="1:17" x14ac:dyDescent="0.4">
      <c r="A12" s="51" t="s">
        <v>118</v>
      </c>
      <c r="B12" s="44">
        <v>267</v>
      </c>
      <c r="C12" s="37">
        <f>IF(B$3=0,0,B12/B$3)</f>
        <v>0.23177083333333334</v>
      </c>
      <c r="E12" s="59" t="s">
        <v>70</v>
      </c>
      <c r="F12" s="56" t="s">
        <v>25</v>
      </c>
      <c r="G12" s="44">
        <v>23</v>
      </c>
      <c r="H12" s="129">
        <f>IF(B$15=0,0,G12/B$15)</f>
        <v>7.1428571428571425E-2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-9.7435897435897728E-2</v>
      </c>
      <c r="P12" s="116">
        <v>39</v>
      </c>
      <c r="Q12" s="104">
        <v>-3.8000000000000114</v>
      </c>
    </row>
    <row r="13" spans="1:17" x14ac:dyDescent="0.4">
      <c r="A13" s="50" t="s">
        <v>123</v>
      </c>
      <c r="B13" s="43">
        <f>B19</f>
        <v>166</v>
      </c>
      <c r="C13" s="35">
        <f>IF(B$11=0,0,B13/B$11)</f>
        <v>0.55333333333333334</v>
      </c>
      <c r="E13" s="59" t="s">
        <v>86</v>
      </c>
      <c r="F13" s="56" t="s">
        <v>41</v>
      </c>
      <c r="G13" s="44">
        <v>15</v>
      </c>
      <c r="H13" s="129">
        <f>IF(B$15=0,0,G13/B$15)</f>
        <v>4.6583850931677016E-2</v>
      </c>
      <c r="I13" s="90">
        <v>7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113</v>
      </c>
      <c r="C14" s="35">
        <f>IF(B$12=0,0,B14/B$12)</f>
        <v>0.42322097378277151</v>
      </c>
      <c r="E14" s="59" t="s">
        <v>83</v>
      </c>
      <c r="F14" s="56" t="s">
        <v>38</v>
      </c>
      <c r="G14" s="44">
        <v>13</v>
      </c>
      <c r="H14" s="129">
        <f>IF(B$15=0,0,G14/B$15)</f>
        <v>4.0372670807453416E-2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322</v>
      </c>
      <c r="C15" s="35">
        <f>IF(B$3=0,0,B15/B$3)</f>
        <v>0.2795138888888889</v>
      </c>
      <c r="E15" s="59" t="s">
        <v>79</v>
      </c>
      <c r="F15" s="56" t="s">
        <v>34</v>
      </c>
      <c r="G15" s="44">
        <v>7</v>
      </c>
      <c r="H15" s="129">
        <f>IF(B$15=0,0,G15/B$15)</f>
        <v>2.1739130434782608E-2</v>
      </c>
      <c r="I15" s="90">
        <v>4</v>
      </c>
      <c r="K15" s="36">
        <v>13</v>
      </c>
      <c r="L15" s="95">
        <v>-68.399999999999991</v>
      </c>
      <c r="N15" s="110" t="s">
        <v>228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13</v>
      </c>
      <c r="B16" s="44">
        <v>160</v>
      </c>
      <c r="C16" s="37">
        <f>IF(B$3=0,0,B16/B$3)</f>
        <v>0.1388888888888889</v>
      </c>
      <c r="E16" s="59" t="s">
        <v>162</v>
      </c>
      <c r="F16" s="56" t="s">
        <v>163</v>
      </c>
      <c r="G16" s="44">
        <v>6</v>
      </c>
      <c r="H16" s="129">
        <f>IF(B$15=0,0,G16/B$15)</f>
        <v>1.8633540372670808E-2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1" t="s">
        <v>12</v>
      </c>
      <c r="B17" s="44">
        <v>143</v>
      </c>
      <c r="C17" s="37">
        <f>IF(B$15=0,0,B17/B$15)</f>
        <v>0.44409937888198758</v>
      </c>
      <c r="E17" s="59" t="s">
        <v>73</v>
      </c>
      <c r="F17" s="56" t="s">
        <v>28</v>
      </c>
      <c r="G17" s="44">
        <v>5</v>
      </c>
      <c r="H17" s="129">
        <f>IF(B$15=0,0,G17/B$15)</f>
        <v>1.5527950310559006E-2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">
      <c r="A18" s="51" t="s">
        <v>11</v>
      </c>
      <c r="B18" s="44">
        <v>179</v>
      </c>
      <c r="C18" s="37">
        <f>IF(B$15=0,0,B18/B$15)</f>
        <v>0.55590062111801242</v>
      </c>
      <c r="E18" s="59" t="s">
        <v>78</v>
      </c>
      <c r="F18" s="56" t="s">
        <v>33</v>
      </c>
      <c r="G18" s="44">
        <v>5</v>
      </c>
      <c r="H18" s="129">
        <f>IF(B$15=0,0,G18/B$15)</f>
        <v>1.5527950310559006E-2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 t="shared" si="2"/>
        <v>15.66923076923077</v>
      </c>
      <c r="P18" s="115">
        <v>26</v>
      </c>
      <c r="Q18" s="103">
        <v>407.40000000000003</v>
      </c>
    </row>
    <row r="19" spans="1:17" x14ac:dyDescent="0.4">
      <c r="A19" s="51" t="s">
        <v>195</v>
      </c>
      <c r="B19" s="44">
        <v>166</v>
      </c>
      <c r="C19" s="37">
        <f>IF(B$15=0,0,B19/B$15)</f>
        <v>0.51552795031055898</v>
      </c>
      <c r="E19" s="59" t="s">
        <v>81</v>
      </c>
      <c r="F19" s="56" t="s">
        <v>36</v>
      </c>
      <c r="G19" s="44">
        <v>5</v>
      </c>
      <c r="H19" s="129">
        <f>IF(B$15=0,0,G19/B$15)</f>
        <v>1.5527950310559006E-2</v>
      </c>
      <c r="I19" s="90">
        <v>8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193</v>
      </c>
      <c r="B20" s="44">
        <v>113</v>
      </c>
      <c r="C20" s="37">
        <f>IF(B$15=0,0,B20/B$15)</f>
        <v>0.35093167701863354</v>
      </c>
      <c r="E20" s="59" t="s">
        <v>85</v>
      </c>
      <c r="F20" s="56" t="s">
        <v>40</v>
      </c>
      <c r="G20" s="44">
        <v>3</v>
      </c>
      <c r="H20" s="129">
        <f>IF(B$15=0,0,G20/B$15)</f>
        <v>9.316770186335404E-3</v>
      </c>
      <c r="I20" s="90">
        <v>4</v>
      </c>
      <c r="K20" s="36">
        <v>18</v>
      </c>
      <c r="L20" s="95">
        <v>-62.399999999999991</v>
      </c>
      <c r="N20" s="111" t="s">
        <v>280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">
      <c r="A21" s="51" t="s">
        <v>194</v>
      </c>
      <c r="B21" s="44">
        <v>43</v>
      </c>
      <c r="C21" s="37">
        <f>IF(B$15=0,0,B21/B$15)</f>
        <v>0.13354037267080746</v>
      </c>
      <c r="E21" s="59" t="s">
        <v>91</v>
      </c>
      <c r="F21" s="56" t="s">
        <v>46</v>
      </c>
      <c r="G21" s="44">
        <v>3</v>
      </c>
      <c r="H21" s="129">
        <f>IF(B$15=0,0,G21/B$15)</f>
        <v>9.316770186335404E-3</v>
      </c>
      <c r="I21" s="90">
        <v>8</v>
      </c>
      <c r="K21" s="36">
        <v>19</v>
      </c>
      <c r="L21" s="95">
        <v>-56.399999999999991</v>
      </c>
      <c r="N21" s="111" t="s">
        <v>127</v>
      </c>
      <c r="O21" s="121">
        <f t="shared" si="2"/>
        <v>0.12545454545454529</v>
      </c>
      <c r="P21" s="115">
        <v>55</v>
      </c>
      <c r="Q21" s="103">
        <v>6.8999999999999915</v>
      </c>
    </row>
    <row r="22" spans="1:17" x14ac:dyDescent="0.4">
      <c r="A22" s="51" t="s">
        <v>5</v>
      </c>
      <c r="B22" s="48">
        <f>IF(B$15=0,0,C22/B$15)</f>
        <v>8240.9937888198765</v>
      </c>
      <c r="C22" s="39">
        <v>2653600</v>
      </c>
      <c r="E22" s="59" t="s">
        <v>75</v>
      </c>
      <c r="F22" s="56" t="s">
        <v>30</v>
      </c>
      <c r="G22" s="44">
        <v>2</v>
      </c>
      <c r="H22" s="129">
        <f>IF(B$15=0,0,G22/B$15)</f>
        <v>6.2111801242236021E-3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 t="shared" si="2"/>
        <v>-2.876666666666666</v>
      </c>
      <c r="P22" s="115">
        <v>30</v>
      </c>
      <c r="Q22" s="103">
        <v>-86.299999999999983</v>
      </c>
    </row>
    <row r="23" spans="1:17" x14ac:dyDescent="0.4">
      <c r="A23" s="52" t="s">
        <v>177</v>
      </c>
      <c r="B23" s="136">
        <f>IF($B$15-B$14=0,0,C23/($B$15-B$14))</f>
        <v>9184.6889952153106</v>
      </c>
      <c r="C23" s="137">
        <v>1919600</v>
      </c>
      <c r="E23" s="59" t="s">
        <v>74</v>
      </c>
      <c r="F23" s="56" t="s">
        <v>29</v>
      </c>
      <c r="G23" s="44">
        <v>1</v>
      </c>
      <c r="H23" s="129">
        <f>IF(B$15=0,0,G23/B$15)</f>
        <v>3.105590062111801E-3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 t="shared" si="2"/>
        <v>-10.093650793650792</v>
      </c>
      <c r="P23" s="115">
        <v>63</v>
      </c>
      <c r="Q23" s="103">
        <v>-635.89999999999986</v>
      </c>
    </row>
    <row r="24" spans="1:17" x14ac:dyDescent="0.4">
      <c r="A24" s="52" t="s">
        <v>178</v>
      </c>
      <c r="B24" s="136">
        <f>IF(B$14=0,0,C24/B$14)</f>
        <v>6495.575221238938</v>
      </c>
      <c r="C24" s="137">
        <v>734000</v>
      </c>
      <c r="E24" s="59" t="s">
        <v>87</v>
      </c>
      <c r="F24" s="56" t="s">
        <v>42</v>
      </c>
      <c r="G24" s="44">
        <v>1</v>
      </c>
      <c r="H24" s="129">
        <f>IF(B$15=0,0,G24/B$15)</f>
        <v>3.105590062111801E-3</v>
      </c>
      <c r="I24" s="90">
        <v>4</v>
      </c>
      <c r="K24" s="36">
        <v>22</v>
      </c>
      <c r="L24" s="95">
        <v>-66.999999999999986</v>
      </c>
      <c r="N24" s="111" t="s">
        <v>126</v>
      </c>
      <c r="O24" s="121">
        <f t="shared" si="2"/>
        <v>-12.623880597014924</v>
      </c>
      <c r="P24" s="115">
        <v>67</v>
      </c>
      <c r="Q24" s="103">
        <v>-845.8</v>
      </c>
    </row>
    <row r="25" spans="1:17" x14ac:dyDescent="0.4">
      <c r="A25" s="52" t="s">
        <v>176</v>
      </c>
      <c r="B25" s="136">
        <f>IF(B$16=0,0,C25/B$16)</f>
        <v>-7051.875</v>
      </c>
      <c r="C25" s="137">
        <v>-1128300</v>
      </c>
      <c r="E25" s="59" t="s">
        <v>88</v>
      </c>
      <c r="F25" s="56" t="s">
        <v>43</v>
      </c>
      <c r="G25" s="44">
        <v>1</v>
      </c>
      <c r="H25" s="129">
        <f>IF(B$15=0,0,G25/B$15)</f>
        <v>3.105590062111801E-3</v>
      </c>
      <c r="I25" s="90">
        <v>3</v>
      </c>
      <c r="K25" s="36">
        <v>23</v>
      </c>
      <c r="L25" s="95">
        <v>-59.599999999999987</v>
      </c>
      <c r="N25" s="111" t="s">
        <v>274</v>
      </c>
      <c r="O25" s="121">
        <f t="shared" si="2"/>
        <v>-38.25</v>
      </c>
      <c r="P25" s="115">
        <v>2</v>
      </c>
      <c r="Q25" s="103">
        <v>-76.5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92</v>
      </c>
      <c r="F26" s="56" t="s">
        <v>47</v>
      </c>
      <c r="G26" s="44">
        <v>1</v>
      </c>
      <c r="H26" s="129">
        <f>IF(B$15=0,0,G26/B$15)</f>
        <v>3.105590062111801E-3</v>
      </c>
      <c r="I26" s="90">
        <v>6</v>
      </c>
      <c r="K26" s="36">
        <v>24</v>
      </c>
      <c r="L26" s="95">
        <v>-91.399999999999991</v>
      </c>
    </row>
    <row r="27" spans="1:17" x14ac:dyDescent="0.4">
      <c r="A27" s="51" t="s">
        <v>165</v>
      </c>
      <c r="B27" s="44">
        <v>44</v>
      </c>
      <c r="C27" s="131">
        <v>2</v>
      </c>
      <c r="E27" s="59" t="s">
        <v>93</v>
      </c>
      <c r="F27" s="56" t="s">
        <v>48</v>
      </c>
      <c r="G27" s="44">
        <v>1</v>
      </c>
      <c r="H27" s="129">
        <f>IF(B$15=0,0,G27/B$15)</f>
        <v>3.105590062111801E-3</v>
      </c>
      <c r="I27" s="90">
        <v>3</v>
      </c>
      <c r="K27" s="36">
        <v>25</v>
      </c>
      <c r="L27" s="95">
        <v>-41.29999999999999</v>
      </c>
    </row>
    <row r="28" spans="1:17" x14ac:dyDescent="0.4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3.105590062111801E-3</v>
      </c>
      <c r="I28" s="90">
        <v>1</v>
      </c>
      <c r="K28" s="36">
        <v>26</v>
      </c>
      <c r="L28" s="95">
        <v>-54.099999999999994</v>
      </c>
    </row>
    <row r="29" spans="1:17" x14ac:dyDescent="0.4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1.736111111111111E-3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183</v>
      </c>
      <c r="B32" s="144">
        <v>19</v>
      </c>
      <c r="C32" s="141">
        <f>IF(B$15=0,0,B32/B$15)</f>
        <v>5.9006211180124224E-2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">
      <c r="A33" s="51" t="s">
        <v>179</v>
      </c>
      <c r="B33" s="44">
        <v>61</v>
      </c>
      <c r="C33" s="37">
        <f t="shared" ref="C33:C44" si="3">IF(B$15=0,0,B33/B$15)</f>
        <v>0.18944099378881987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">
      <c r="A34" s="51" t="s">
        <v>180</v>
      </c>
      <c r="B34" s="145">
        <v>66</v>
      </c>
      <c r="C34" s="37">
        <f>IF(B$15=0,0,B34/B$15)</f>
        <v>0.20496894409937888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">
      <c r="A35" s="51" t="s">
        <v>181</v>
      </c>
      <c r="B35" s="145">
        <v>59</v>
      </c>
      <c r="C35" s="37">
        <f t="shared" si="3"/>
        <v>0.18322981366459629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182</v>
      </c>
      <c r="B36" s="145">
        <v>47</v>
      </c>
      <c r="C36" s="37">
        <f t="shared" si="3"/>
        <v>0.14596273291925466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184</v>
      </c>
      <c r="B37" s="145">
        <v>37</v>
      </c>
      <c r="C37" s="37">
        <f t="shared" si="3"/>
        <v>0.11490683229813664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185</v>
      </c>
      <c r="B38" s="145">
        <v>15</v>
      </c>
      <c r="C38" s="37">
        <f t="shared" si="3"/>
        <v>4.6583850931677016E-2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186</v>
      </c>
      <c r="B39" s="145">
        <v>7</v>
      </c>
      <c r="C39" s="37">
        <f t="shared" si="3"/>
        <v>2.1739130434782608E-2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187</v>
      </c>
      <c r="B40" s="145">
        <v>3</v>
      </c>
      <c r="C40" s="37">
        <f t="shared" si="3"/>
        <v>9.316770186335404E-3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">
      <c r="A41" s="51" t="s">
        <v>188</v>
      </c>
      <c r="B41" s="145">
        <v>2</v>
      </c>
      <c r="C41" s="37">
        <f t="shared" si="3"/>
        <v>6.2111801242236021E-3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">
      <c r="A42" s="51" t="s">
        <v>189</v>
      </c>
      <c r="B42" s="145">
        <v>1</v>
      </c>
      <c r="C42" s="37">
        <f t="shared" si="3"/>
        <v>3.105590062111801E-3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">
      <c r="A43" s="51" t="s">
        <v>190</v>
      </c>
      <c r="B43" s="145">
        <v>2</v>
      </c>
      <c r="C43" s="37">
        <f t="shared" si="3"/>
        <v>6.2111801242236021E-3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">
      <c r="A44" s="53" t="s">
        <v>191</v>
      </c>
      <c r="B44" s="140">
        <v>3</v>
      </c>
      <c r="C44" s="40">
        <f t="shared" si="3"/>
        <v>9.316770186335404E-3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  <row r="99" spans="11:12" x14ac:dyDescent="0.4">
      <c r="K99" s="36">
        <v>97</v>
      </c>
      <c r="L99" s="95">
        <v>13.999999999999993</v>
      </c>
    </row>
    <row r="100" spans="11:12" x14ac:dyDescent="0.4">
      <c r="K100" s="36">
        <v>98</v>
      </c>
      <c r="L100" s="95">
        <v>21.399999999999991</v>
      </c>
    </row>
    <row r="101" spans="11:12" x14ac:dyDescent="0.4">
      <c r="K101" s="36">
        <v>99</v>
      </c>
      <c r="L101" s="95">
        <v>-5.4000000000000092</v>
      </c>
    </row>
    <row r="102" spans="11:12" x14ac:dyDescent="0.4">
      <c r="K102" s="36">
        <v>100</v>
      </c>
      <c r="L102" s="95">
        <v>-25.600000000000009</v>
      </c>
    </row>
    <row r="103" spans="11:12" x14ac:dyDescent="0.4">
      <c r="K103" s="36">
        <v>101</v>
      </c>
      <c r="L103" s="95">
        <v>32.199999999999989</v>
      </c>
    </row>
    <row r="104" spans="11:12" x14ac:dyDescent="0.4">
      <c r="K104" s="36">
        <v>102</v>
      </c>
      <c r="L104" s="95">
        <v>27.699999999999989</v>
      </c>
    </row>
    <row r="105" spans="11:12" x14ac:dyDescent="0.4">
      <c r="K105" s="36">
        <v>103</v>
      </c>
      <c r="L105" s="95">
        <v>45.79999999999999</v>
      </c>
    </row>
    <row r="106" spans="11:12" x14ac:dyDescent="0.4">
      <c r="K106" s="36">
        <v>104</v>
      </c>
      <c r="L106" s="95">
        <v>122.19999999999999</v>
      </c>
    </row>
    <row r="107" spans="11:12" x14ac:dyDescent="0.4">
      <c r="K107" s="36">
        <v>105</v>
      </c>
      <c r="L107" s="95">
        <v>86.299999999999983</v>
      </c>
    </row>
    <row r="108" spans="11:12" x14ac:dyDescent="0.4">
      <c r="K108" s="36">
        <v>106</v>
      </c>
      <c r="L108" s="95">
        <v>84.299999999999983</v>
      </c>
    </row>
    <row r="109" spans="11:12" x14ac:dyDescent="0.4">
      <c r="K109" s="36">
        <v>107</v>
      </c>
      <c r="L109" s="95">
        <v>106.29999999999998</v>
      </c>
    </row>
    <row r="110" spans="11:12" x14ac:dyDescent="0.4">
      <c r="K110" s="36">
        <v>108</v>
      </c>
      <c r="L110" s="95">
        <v>99.199999999999989</v>
      </c>
    </row>
    <row r="111" spans="11:12" x14ac:dyDescent="0.4">
      <c r="K111" s="36">
        <v>109</v>
      </c>
      <c r="L111" s="95">
        <v>132.19999999999999</v>
      </c>
    </row>
    <row r="112" spans="11:12" x14ac:dyDescent="0.4">
      <c r="K112" s="36">
        <v>110</v>
      </c>
      <c r="L112" s="95">
        <v>120.1</v>
      </c>
    </row>
    <row r="113" spans="11:12" x14ac:dyDescent="0.4">
      <c r="K113" s="36">
        <v>111</v>
      </c>
      <c r="L113" s="95">
        <v>106.3</v>
      </c>
    </row>
    <row r="114" spans="11:12" x14ac:dyDescent="0.4">
      <c r="K114" s="36">
        <v>112</v>
      </c>
      <c r="L114" s="95">
        <v>104.5</v>
      </c>
    </row>
    <row r="115" spans="11:12" x14ac:dyDescent="0.4">
      <c r="K115" s="36">
        <v>113</v>
      </c>
      <c r="L115" s="95">
        <v>101.5</v>
      </c>
    </row>
    <row r="116" spans="11:12" x14ac:dyDescent="0.4">
      <c r="K116" s="36">
        <v>114</v>
      </c>
      <c r="L116" s="95">
        <v>116.9</v>
      </c>
    </row>
    <row r="117" spans="11:12" x14ac:dyDescent="0.4">
      <c r="K117" s="36">
        <v>115</v>
      </c>
      <c r="L117" s="95">
        <v>87.800000000000011</v>
      </c>
    </row>
    <row r="118" spans="11:12" x14ac:dyDescent="0.4">
      <c r="K118" s="36">
        <v>116</v>
      </c>
      <c r="L118" s="95">
        <v>70.800000000000011</v>
      </c>
    </row>
    <row r="119" spans="11:12" x14ac:dyDescent="0.4">
      <c r="K119" s="36">
        <v>117</v>
      </c>
      <c r="L119" s="95">
        <v>63.600000000000009</v>
      </c>
    </row>
    <row r="120" spans="11:12" x14ac:dyDescent="0.4">
      <c r="K120" s="36">
        <v>118</v>
      </c>
      <c r="L120" s="95">
        <v>98.4</v>
      </c>
    </row>
    <row r="121" spans="11:12" x14ac:dyDescent="0.4">
      <c r="K121" s="36">
        <v>119</v>
      </c>
      <c r="L121" s="95">
        <v>96.600000000000009</v>
      </c>
    </row>
    <row r="122" spans="11:12" x14ac:dyDescent="0.4">
      <c r="K122" s="36">
        <v>120</v>
      </c>
      <c r="L122" s="95">
        <v>66.700000000000017</v>
      </c>
    </row>
    <row r="123" spans="11:12" x14ac:dyDescent="0.4">
      <c r="K123" s="36">
        <v>121</v>
      </c>
      <c r="L123" s="95">
        <v>34.200000000000017</v>
      </c>
    </row>
    <row r="124" spans="11:12" x14ac:dyDescent="0.4">
      <c r="K124" s="36">
        <v>122</v>
      </c>
      <c r="L124" s="95">
        <v>0.10000000000001563</v>
      </c>
    </row>
    <row r="125" spans="11:12" x14ac:dyDescent="0.4">
      <c r="K125" s="36">
        <v>123</v>
      </c>
      <c r="L125" s="95">
        <v>-36.999999999999986</v>
      </c>
    </row>
    <row r="126" spans="11:12" x14ac:dyDescent="0.4">
      <c r="K126" s="36">
        <v>124</v>
      </c>
      <c r="L126" s="95">
        <v>-66.899999999999977</v>
      </c>
    </row>
    <row r="127" spans="11:12" x14ac:dyDescent="0.4">
      <c r="K127" s="36">
        <v>125</v>
      </c>
      <c r="L127" s="95">
        <v>-84.899999999999977</v>
      </c>
    </row>
    <row r="128" spans="11:12" x14ac:dyDescent="0.4">
      <c r="K128" s="36">
        <v>126</v>
      </c>
      <c r="L128" s="95">
        <v>-132.19999999999999</v>
      </c>
    </row>
    <row r="129" spans="11:12" x14ac:dyDescent="0.4">
      <c r="K129" s="36">
        <v>127</v>
      </c>
      <c r="L129" s="95">
        <v>-132.5</v>
      </c>
    </row>
    <row r="130" spans="11:12" x14ac:dyDescent="0.4">
      <c r="K130" s="36">
        <v>128</v>
      </c>
      <c r="L130" s="95">
        <v>-181.1</v>
      </c>
    </row>
    <row r="131" spans="11:12" x14ac:dyDescent="0.4">
      <c r="K131" s="36">
        <v>129</v>
      </c>
      <c r="L131" s="95">
        <v>-210.29999999999998</v>
      </c>
    </row>
    <row r="132" spans="11:12" x14ac:dyDescent="0.4">
      <c r="K132" s="36">
        <v>130</v>
      </c>
      <c r="L132" s="95">
        <v>-230.89999999999998</v>
      </c>
    </row>
    <row r="133" spans="11:12" x14ac:dyDescent="0.4">
      <c r="K133" s="36">
        <v>131</v>
      </c>
      <c r="L133" s="95">
        <v>-242.39999999999998</v>
      </c>
    </row>
    <row r="134" spans="11:12" x14ac:dyDescent="0.4">
      <c r="K134" s="36">
        <v>132</v>
      </c>
      <c r="L134" s="95">
        <v>-238.2</v>
      </c>
    </row>
    <row r="135" spans="11:12" x14ac:dyDescent="0.4">
      <c r="K135" s="36">
        <v>133</v>
      </c>
      <c r="L135" s="95">
        <v>-227.5</v>
      </c>
    </row>
    <row r="136" spans="11:12" x14ac:dyDescent="0.4">
      <c r="K136" s="36">
        <v>134</v>
      </c>
      <c r="L136" s="95">
        <v>-193.6</v>
      </c>
    </row>
    <row r="137" spans="11:12" x14ac:dyDescent="0.4">
      <c r="K137" s="36">
        <v>135</v>
      </c>
      <c r="L137" s="95">
        <v>-212.1</v>
      </c>
    </row>
    <row r="138" spans="11:12" x14ac:dyDescent="0.4">
      <c r="K138" s="36">
        <v>136</v>
      </c>
      <c r="L138" s="95">
        <v>-179.1</v>
      </c>
    </row>
    <row r="139" spans="11:12" x14ac:dyDescent="0.4">
      <c r="K139" s="36">
        <v>137</v>
      </c>
      <c r="L139" s="95">
        <v>-152.29999999999998</v>
      </c>
    </row>
    <row r="140" spans="11:12" x14ac:dyDescent="0.4">
      <c r="K140" s="36">
        <v>138</v>
      </c>
      <c r="L140" s="95">
        <v>-162.49999999999997</v>
      </c>
    </row>
    <row r="141" spans="11:12" x14ac:dyDescent="0.4">
      <c r="K141" s="36">
        <v>139</v>
      </c>
      <c r="L141" s="95">
        <v>-150.29999999999998</v>
      </c>
    </row>
    <row r="142" spans="11:12" x14ac:dyDescent="0.4">
      <c r="K142" s="36">
        <v>140</v>
      </c>
      <c r="L142" s="95">
        <v>-96.799999999999983</v>
      </c>
    </row>
    <row r="143" spans="11:12" x14ac:dyDescent="0.4">
      <c r="K143" s="36">
        <v>141</v>
      </c>
      <c r="L143" s="95">
        <v>-105.99999999999999</v>
      </c>
    </row>
    <row r="144" spans="11:12" x14ac:dyDescent="0.4">
      <c r="K144" s="36">
        <v>142</v>
      </c>
      <c r="L144" s="95">
        <v>-142.29999999999998</v>
      </c>
    </row>
  </sheetData>
  <sortState xmlns:xlrd2="http://schemas.microsoft.com/office/spreadsheetml/2017/richdata2" ref="E2:I14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62</v>
      </c>
      <c r="C2" s="155"/>
      <c r="E2" s="58" t="s">
        <v>66</v>
      </c>
      <c r="F2" s="55" t="s">
        <v>22</v>
      </c>
      <c r="G2" s="43">
        <v>93</v>
      </c>
      <c r="H2" s="128">
        <f>IF(B$15=0,0,G2/B$15)</f>
        <v>0.69402985074626866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-2541.9354838709678</v>
      </c>
      <c r="P2" s="114">
        <v>62</v>
      </c>
      <c r="Q2" s="98">
        <v>-157600</v>
      </c>
    </row>
    <row r="3" spans="1:17" x14ac:dyDescent="0.4">
      <c r="A3" s="51" t="s">
        <v>8</v>
      </c>
      <c r="B3" s="156">
        <v>517</v>
      </c>
      <c r="C3" s="157"/>
      <c r="E3" s="59" t="s">
        <v>72</v>
      </c>
      <c r="F3" s="56" t="s">
        <v>27</v>
      </c>
      <c r="G3" s="44">
        <v>87</v>
      </c>
      <c r="H3" s="129">
        <f>IF(B$15=0,0,G3/B$15)</f>
        <v>0.64925373134328357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738.70967741935488</v>
      </c>
      <c r="P3" s="115">
        <v>62</v>
      </c>
      <c r="Q3" s="99">
        <v>45800</v>
      </c>
    </row>
    <row r="4" spans="1:17" x14ac:dyDescent="0.4">
      <c r="A4" s="51" t="s">
        <v>6</v>
      </c>
      <c r="B4" s="158">
        <v>-665.40000000000009</v>
      </c>
      <c r="C4" s="159"/>
      <c r="E4" s="59" t="s">
        <v>64</v>
      </c>
      <c r="F4" s="56" t="s">
        <v>20</v>
      </c>
      <c r="G4" s="44">
        <v>55</v>
      </c>
      <c r="H4" s="129">
        <f>IF(B$15=0,0,G4/B$15)</f>
        <v>0.41044776119402987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-691.52542372881351</v>
      </c>
      <c r="P4" s="115">
        <v>59</v>
      </c>
      <c r="Q4" s="99">
        <v>-40800</v>
      </c>
    </row>
    <row r="5" spans="1:17" x14ac:dyDescent="0.4">
      <c r="A5" s="51" t="s">
        <v>7</v>
      </c>
      <c r="B5" s="160">
        <f>IF(B$2=0,0,B$4/B$2)</f>
        <v>-10.732258064516131</v>
      </c>
      <c r="C5" s="161"/>
      <c r="E5" s="59" t="s">
        <v>166</v>
      </c>
      <c r="F5" s="56" t="s">
        <v>167</v>
      </c>
      <c r="G5" s="44">
        <v>47</v>
      </c>
      <c r="H5" s="129">
        <f>IF(B$15=0,0,G5/B$15)</f>
        <v>0.35074626865671643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-1784.9056603773586</v>
      </c>
      <c r="P5" s="115">
        <v>53</v>
      </c>
      <c r="Q5" s="99">
        <v>-94600</v>
      </c>
    </row>
    <row r="6" spans="1:17" x14ac:dyDescent="0.4">
      <c r="A6" s="51" t="s">
        <v>1</v>
      </c>
      <c r="B6" s="150">
        <f>IF(B$2=0,0,(B$7*1+B$8*2+B$9*3)/B$2)</f>
        <v>2.274193548387097</v>
      </c>
      <c r="C6" s="151"/>
      <c r="E6" s="59" t="s">
        <v>68</v>
      </c>
      <c r="F6" s="56" t="s">
        <v>12</v>
      </c>
      <c r="G6" s="44">
        <v>36</v>
      </c>
      <c r="H6" s="129">
        <f>IF(B$15=0,0,G6/B$15)</f>
        <v>0.26865671641791045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-1862</v>
      </c>
      <c r="P6" s="115">
        <v>50</v>
      </c>
      <c r="Q6" s="99">
        <v>-93100</v>
      </c>
    </row>
    <row r="7" spans="1:17" x14ac:dyDescent="0.4">
      <c r="A7" s="51" t="s">
        <v>2</v>
      </c>
      <c r="B7" s="44">
        <v>10</v>
      </c>
      <c r="C7" s="37">
        <f t="shared" ref="C7:C10" si="1">IF(B$2=0,0,B7/B$2)</f>
        <v>0.16129032258064516</v>
      </c>
      <c r="E7" s="59" t="s">
        <v>67</v>
      </c>
      <c r="F7" s="56" t="s">
        <v>23</v>
      </c>
      <c r="G7" s="44">
        <v>30</v>
      </c>
      <c r="H7" s="129">
        <f>IF(B$15=0,0,G7/B$15)</f>
        <v>0.22388059701492538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-2182.9268292682927</v>
      </c>
      <c r="P7" s="116">
        <v>41</v>
      </c>
      <c r="Q7" s="100">
        <v>-89500</v>
      </c>
    </row>
    <row r="8" spans="1:17" x14ac:dyDescent="0.4">
      <c r="A8" s="51" t="s">
        <v>3</v>
      </c>
      <c r="B8" s="44">
        <v>25</v>
      </c>
      <c r="C8" s="37">
        <f t="shared" si="1"/>
        <v>0.40322580645161288</v>
      </c>
      <c r="E8" s="59" t="s">
        <v>89</v>
      </c>
      <c r="F8" s="56" t="s">
        <v>44</v>
      </c>
      <c r="G8" s="44">
        <v>20</v>
      </c>
      <c r="H8" s="129">
        <f>IF(B$15=0,0,G8/B$15)</f>
        <v>0.14925373134328357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27</v>
      </c>
      <c r="C9" s="38">
        <f t="shared" si="1"/>
        <v>0.43548387096774194</v>
      </c>
      <c r="E9" s="59" t="s">
        <v>65</v>
      </c>
      <c r="F9" s="56" t="s">
        <v>21</v>
      </c>
      <c r="G9" s="44">
        <v>16</v>
      </c>
      <c r="H9" s="129">
        <f>IF(B$15=0,0,G9/B$15)</f>
        <v>0.11940298507462686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1"/>
        <v>0.16129032258064516</v>
      </c>
      <c r="E10" s="59" t="s">
        <v>71</v>
      </c>
      <c r="F10" s="56" t="s">
        <v>26</v>
      </c>
      <c r="G10" s="44">
        <v>13</v>
      </c>
      <c r="H10" s="129">
        <f>IF(B$15=0,0,G10/B$15)</f>
        <v>9.7014925373134331E-2</v>
      </c>
      <c r="I10" s="90">
        <v>4</v>
      </c>
      <c r="K10" s="36">
        <v>8</v>
      </c>
      <c r="L10" s="95">
        <v>-152.6</v>
      </c>
      <c r="N10" s="110" t="s">
        <v>157</v>
      </c>
      <c r="O10" s="120">
        <f>IF(P10=0,0,Q10/P10)</f>
        <v>-18.719230769230769</v>
      </c>
      <c r="P10" s="114">
        <v>26</v>
      </c>
      <c r="Q10" s="102">
        <v>-486.7</v>
      </c>
    </row>
    <row r="11" spans="1:17" x14ac:dyDescent="0.4">
      <c r="A11" s="54" t="s">
        <v>121</v>
      </c>
      <c r="B11" s="47">
        <v>109</v>
      </c>
      <c r="C11" s="42">
        <f>IF(B$3=0,0,B11/B$3)</f>
        <v>0.21083172147001933</v>
      </c>
      <c r="E11" s="59" t="s">
        <v>69</v>
      </c>
      <c r="F11" s="56" t="s">
        <v>24</v>
      </c>
      <c r="G11" s="44">
        <v>12</v>
      </c>
      <c r="H11" s="129">
        <f>IF(B$15=0,0,G11/B$15)</f>
        <v>8.9552238805970144E-2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-2.8555555555555552</v>
      </c>
      <c r="P11" s="115">
        <v>18</v>
      </c>
      <c r="Q11" s="103">
        <v>-51.399999999999991</v>
      </c>
    </row>
    <row r="12" spans="1:17" x14ac:dyDescent="0.4">
      <c r="A12" s="51" t="s">
        <v>118</v>
      </c>
      <c r="B12" s="44">
        <v>118</v>
      </c>
      <c r="C12" s="37">
        <f>IF(B$3=0,0,B12/B$3)</f>
        <v>0.22823984526112184</v>
      </c>
      <c r="E12" s="59" t="s">
        <v>70</v>
      </c>
      <c r="F12" s="56" t="s">
        <v>25</v>
      </c>
      <c r="G12" s="44">
        <v>12</v>
      </c>
      <c r="H12" s="129">
        <f>IF(B$15=0,0,G12/B$15)</f>
        <v>8.9552238805970144E-2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">
      <c r="A13" s="50" t="s">
        <v>123</v>
      </c>
      <c r="B13" s="43">
        <f>B19</f>
        <v>57</v>
      </c>
      <c r="C13" s="35">
        <f>IF(B$11=0,0,B13/B$11)</f>
        <v>0.52293577981651373</v>
      </c>
      <c r="E13" s="59" t="s">
        <v>83</v>
      </c>
      <c r="F13" s="56" t="s">
        <v>38</v>
      </c>
      <c r="G13" s="44">
        <v>8</v>
      </c>
      <c r="H13" s="129">
        <f>IF(B$15=0,0,G13/B$15)</f>
        <v>5.9701492537313432E-2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51</v>
      </c>
      <c r="C14" s="35">
        <f>IF(B$12=0,0,B14/B$12)</f>
        <v>0.43220338983050849</v>
      </c>
      <c r="E14" s="59" t="s">
        <v>86</v>
      </c>
      <c r="F14" s="56" t="s">
        <v>41</v>
      </c>
      <c r="G14" s="44">
        <v>8</v>
      </c>
      <c r="H14" s="129">
        <f>IF(B$15=0,0,G14/B$15)</f>
        <v>5.9701492537313432E-2</v>
      </c>
      <c r="I14" s="90">
        <v>3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134</v>
      </c>
      <c r="C15" s="35">
        <f>IF(B$3=0,0,B15/B$3)</f>
        <v>0.25918762088974856</v>
      </c>
      <c r="E15" s="59" t="s">
        <v>81</v>
      </c>
      <c r="F15" s="56" t="s">
        <v>36</v>
      </c>
      <c r="G15" s="44">
        <v>7</v>
      </c>
      <c r="H15" s="129">
        <f>IF(B$15=0,0,G15/B$15)</f>
        <v>5.2238805970149252E-2</v>
      </c>
      <c r="I15" s="90">
        <v>2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5.5722222222222184</v>
      </c>
      <c r="P15" s="114">
        <v>18</v>
      </c>
      <c r="Q15" s="102">
        <v>100.29999999999993</v>
      </c>
    </row>
    <row r="16" spans="1:17" x14ac:dyDescent="0.4">
      <c r="A16" s="51" t="s">
        <v>13</v>
      </c>
      <c r="B16" s="44">
        <v>92</v>
      </c>
      <c r="C16" s="37">
        <f>IF(B$3=0,0,B16/B$3)</f>
        <v>0.17794970986460348</v>
      </c>
      <c r="E16" s="59" t="s">
        <v>91</v>
      </c>
      <c r="F16" s="56" t="s">
        <v>46</v>
      </c>
      <c r="G16" s="44">
        <v>2</v>
      </c>
      <c r="H16" s="129">
        <f>IF(B$15=0,0,G16/B$15)</f>
        <v>1.4925373134328358E-2</v>
      </c>
      <c r="I16" s="90">
        <v>6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">
      <c r="A17" s="51" t="s">
        <v>12</v>
      </c>
      <c r="B17" s="44">
        <v>61</v>
      </c>
      <c r="C17" s="37">
        <f>IF(B$15=0,0,B17/B$15)</f>
        <v>0.45522388059701491</v>
      </c>
      <c r="E17" s="59" t="s">
        <v>74</v>
      </c>
      <c r="F17" s="56" t="s">
        <v>29</v>
      </c>
      <c r="G17" s="44">
        <v>1</v>
      </c>
      <c r="H17" s="129">
        <f>IF(B$15=0,0,G17/B$15)</f>
        <v>7.462686567164179E-3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 t="shared" si="2"/>
        <v>-11.178571428571429</v>
      </c>
      <c r="P17" s="115">
        <v>28</v>
      </c>
      <c r="Q17" s="103">
        <v>-313</v>
      </c>
    </row>
    <row r="18" spans="1:17" x14ac:dyDescent="0.4">
      <c r="A18" s="51" t="s">
        <v>11</v>
      </c>
      <c r="B18" s="44">
        <v>73</v>
      </c>
      <c r="C18" s="37">
        <f>IF(B$15=0,0,B18/B$15)</f>
        <v>0.54477611940298509</v>
      </c>
      <c r="E18" s="59" t="s">
        <v>78</v>
      </c>
      <c r="F18" s="56" t="s">
        <v>33</v>
      </c>
      <c r="G18" s="44">
        <v>1</v>
      </c>
      <c r="H18" s="129">
        <f>IF(B$15=0,0,G18/B$15)</f>
        <v>7.462686567164179E-3</v>
      </c>
      <c r="I18" s="90">
        <v>10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">
      <c r="A19" s="51" t="s">
        <v>195</v>
      </c>
      <c r="B19" s="44">
        <v>57</v>
      </c>
      <c r="C19" s="37">
        <f>IF(B$15=0,0,B19/B$15)</f>
        <v>0.42537313432835822</v>
      </c>
      <c r="E19" s="59" t="s">
        <v>92</v>
      </c>
      <c r="F19" s="56" t="s">
        <v>47</v>
      </c>
      <c r="G19" s="44">
        <v>1</v>
      </c>
      <c r="H19" s="129">
        <f>IF(B$15=0,0,G19/B$15)</f>
        <v>7.462686567164179E-3</v>
      </c>
      <c r="I19" s="90">
        <v>3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">
      <c r="A20" s="51" t="s">
        <v>193</v>
      </c>
      <c r="B20" s="44">
        <v>51</v>
      </c>
      <c r="C20" s="37">
        <f>IF(B$15=0,0,B20/B$15)</f>
        <v>0.38059701492537312</v>
      </c>
      <c r="E20" s="59" t="s">
        <v>95</v>
      </c>
      <c r="F20" s="56" t="s">
        <v>50</v>
      </c>
      <c r="G20" s="44">
        <v>1</v>
      </c>
      <c r="H20" s="129">
        <f>IF(B$15=0,0,G20/B$15)</f>
        <v>7.462686567164179E-3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 t="shared" si="2"/>
        <v>-16.860714285714284</v>
      </c>
      <c r="P20" s="115">
        <v>28</v>
      </c>
      <c r="Q20" s="103">
        <v>-472.09999999999997</v>
      </c>
    </row>
    <row r="21" spans="1:17" x14ac:dyDescent="0.4">
      <c r="A21" s="51" t="s">
        <v>194</v>
      </c>
      <c r="B21" s="44">
        <v>26</v>
      </c>
      <c r="C21" s="37">
        <f>IF(B$15=0,0,B21/B$15)</f>
        <v>0.19402985074626866</v>
      </c>
      <c r="E21" s="59" t="s">
        <v>162</v>
      </c>
      <c r="F21" s="56" t="s">
        <v>163</v>
      </c>
      <c r="G21" s="44">
        <v>1</v>
      </c>
      <c r="H21" s="129">
        <f>IF(B$15=0,0,G21/B$15)</f>
        <v>7.462686567164179E-3</v>
      </c>
      <c r="I21" s="90">
        <v>8</v>
      </c>
      <c r="K21" s="36">
        <v>19</v>
      </c>
      <c r="L21" s="95">
        <v>-400.60000000000008</v>
      </c>
      <c r="N21" s="111" t="s">
        <v>203</v>
      </c>
      <c r="O21" s="121">
        <f t="shared" si="2"/>
        <v>-17.649999999999999</v>
      </c>
      <c r="P21" s="115">
        <v>2</v>
      </c>
      <c r="Q21" s="103">
        <v>-35.299999999999997</v>
      </c>
    </row>
    <row r="22" spans="1:17" x14ac:dyDescent="0.4">
      <c r="A22" s="51" t="s">
        <v>5</v>
      </c>
      <c r="B22" s="48">
        <f>IF(B$15=0,0,C22/B$15)</f>
        <v>8070.1492537313434</v>
      </c>
      <c r="C22" s="39">
        <v>1081400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 t="shared" si="2"/>
        <v>-24.274999999999999</v>
      </c>
      <c r="P22" s="115">
        <v>4</v>
      </c>
      <c r="Q22" s="103">
        <v>-97.1</v>
      </c>
    </row>
    <row r="23" spans="1:17" x14ac:dyDescent="0.4">
      <c r="A23" s="52" t="s">
        <v>177</v>
      </c>
      <c r="B23" s="136">
        <f>IF($B$15-B$14=0,0,C23/($B$15-B$14))</f>
        <v>8591.5662650602408</v>
      </c>
      <c r="C23" s="137">
        <v>713100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 t="shared" si="2"/>
        <v>-26.642105263157902</v>
      </c>
      <c r="P23" s="115">
        <v>19</v>
      </c>
      <c r="Q23" s="103">
        <v>-506.2000000000001</v>
      </c>
    </row>
    <row r="24" spans="1:17" x14ac:dyDescent="0.4">
      <c r="A24" s="52" t="s">
        <v>178</v>
      </c>
      <c r="B24" s="136">
        <f>IF(B$14=0,0,C24/B$14)</f>
        <v>7221.5686274509808</v>
      </c>
      <c r="C24" s="137">
        <v>368300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">
      <c r="A25" s="52" t="s">
        <v>176</v>
      </c>
      <c r="B25" s="136">
        <f>IF(B$16=0,0,C25/B$16)</f>
        <v>-8323.9130434782601</v>
      </c>
      <c r="C25" s="137">
        <v>-765800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">
      <c r="A27" s="51" t="s">
        <v>165</v>
      </c>
      <c r="B27" s="44">
        <v>21</v>
      </c>
      <c r="C27" s="131">
        <v>5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">
      <c r="A30" s="53" t="s">
        <v>139</v>
      </c>
      <c r="B30" s="61">
        <v>3</v>
      </c>
      <c r="C30" s="40">
        <f>IF(B$3=0,0,B30/B$3)</f>
        <v>5.8027079303675051E-3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-442.60000000000014</v>
      </c>
    </row>
    <row r="32" spans="1:17" x14ac:dyDescent="0.4">
      <c r="A32" s="86" t="s">
        <v>183</v>
      </c>
      <c r="B32" s="144">
        <v>12</v>
      </c>
      <c r="C32" s="141">
        <f>IF(B$15=0,0,B32/B$15)</f>
        <v>8.9552238805970144E-2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179</v>
      </c>
      <c r="B33" s="44">
        <v>26</v>
      </c>
      <c r="C33" s="37">
        <f t="shared" ref="C33:C44" si="3">IF(B$15=0,0,B33/B$15)</f>
        <v>0.19402985074626866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180</v>
      </c>
      <c r="B34" s="145">
        <v>27</v>
      </c>
      <c r="C34" s="37">
        <f>IF(B$15=0,0,B34/B$15)</f>
        <v>0.20149253731343283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">
      <c r="A35" s="51" t="s">
        <v>181</v>
      </c>
      <c r="B35" s="145">
        <v>21</v>
      </c>
      <c r="C35" s="37">
        <f t="shared" si="3"/>
        <v>0.15671641791044777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182</v>
      </c>
      <c r="B36" s="145">
        <v>19</v>
      </c>
      <c r="C36" s="37">
        <f t="shared" si="3"/>
        <v>0.1417910447761194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">
      <c r="A37" s="51" t="s">
        <v>184</v>
      </c>
      <c r="B37" s="145">
        <v>11</v>
      </c>
      <c r="C37" s="37">
        <f t="shared" si="3"/>
        <v>8.2089552238805971E-2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">
      <c r="A38" s="51" t="s">
        <v>185</v>
      </c>
      <c r="B38" s="145">
        <v>10</v>
      </c>
      <c r="C38" s="37">
        <f t="shared" si="3"/>
        <v>7.4626865671641784E-2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186</v>
      </c>
      <c r="B39" s="145">
        <v>5</v>
      </c>
      <c r="C39" s="37">
        <f t="shared" si="3"/>
        <v>3.7313432835820892E-2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">
      <c r="A41" s="51" t="s">
        <v>188</v>
      </c>
      <c r="B41" s="145">
        <v>1</v>
      </c>
      <c r="C41" s="37">
        <f t="shared" si="3"/>
        <v>7.462686567164179E-3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3" t="s">
        <v>191</v>
      </c>
      <c r="B44" s="140">
        <v>2</v>
      </c>
      <c r="C44" s="40">
        <f t="shared" si="3"/>
        <v>1.4925373134328358E-2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">
      <c r="K53" s="36">
        <v>51</v>
      </c>
      <c r="L53" s="95">
        <v>-614.70000000000005</v>
      </c>
    </row>
    <row r="54" spans="5:12" x14ac:dyDescent="0.4">
      <c r="K54" s="36">
        <v>52</v>
      </c>
      <c r="L54" s="95">
        <v>-603.1</v>
      </c>
    </row>
    <row r="55" spans="5:12" x14ac:dyDescent="0.4">
      <c r="K55" s="36">
        <v>53</v>
      </c>
      <c r="L55" s="95">
        <v>-652.6</v>
      </c>
    </row>
    <row r="56" spans="5:12" x14ac:dyDescent="0.4">
      <c r="K56" s="36">
        <v>54</v>
      </c>
      <c r="L56" s="95">
        <v>-626.4</v>
      </c>
    </row>
    <row r="57" spans="5:12" x14ac:dyDescent="0.4">
      <c r="K57" s="36">
        <v>55</v>
      </c>
      <c r="L57" s="95">
        <v>-626.4</v>
      </c>
    </row>
    <row r="58" spans="5:12" x14ac:dyDescent="0.4">
      <c r="K58" s="36">
        <v>56</v>
      </c>
      <c r="L58" s="95">
        <v>-620</v>
      </c>
    </row>
    <row r="59" spans="5:12" x14ac:dyDescent="0.4">
      <c r="K59" s="36">
        <v>57</v>
      </c>
      <c r="L59" s="95">
        <v>-623.6</v>
      </c>
    </row>
    <row r="60" spans="5:12" x14ac:dyDescent="0.4">
      <c r="K60" s="36">
        <v>58</v>
      </c>
      <c r="L60" s="95">
        <v>-614.20000000000005</v>
      </c>
    </row>
    <row r="61" spans="5:12" x14ac:dyDescent="0.4">
      <c r="K61" s="36">
        <v>59</v>
      </c>
      <c r="L61" s="95">
        <v>-627.40000000000009</v>
      </c>
    </row>
    <row r="62" spans="5:12" x14ac:dyDescent="0.4">
      <c r="K62" s="36">
        <v>60</v>
      </c>
      <c r="L62" s="95">
        <v>-656.2</v>
      </c>
    </row>
    <row r="63" spans="5:12" x14ac:dyDescent="0.4">
      <c r="K63" s="36">
        <v>61</v>
      </c>
      <c r="L63" s="95">
        <v>-653.40000000000009</v>
      </c>
    </row>
    <row r="64" spans="5:12" x14ac:dyDescent="0.4">
      <c r="K64" s="36">
        <v>62</v>
      </c>
      <c r="L64" s="95">
        <v>-665.40000000000009</v>
      </c>
    </row>
  </sheetData>
  <sortState xmlns:xlrd2="http://schemas.microsoft.com/office/spreadsheetml/2017/richdata2" ref="E2:I6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6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</row>
    <row r="33" spans="1:9" x14ac:dyDescent="0.4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13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0.54761904761904767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-2923.0769230769229</v>
      </c>
      <c r="P2" s="114">
        <v>13</v>
      </c>
      <c r="Q2" s="98">
        <v>-38000</v>
      </c>
    </row>
    <row r="3" spans="1:17" x14ac:dyDescent="0.4">
      <c r="A3" s="51" t="s">
        <v>8</v>
      </c>
      <c r="B3" s="156">
        <v>118</v>
      </c>
      <c r="C3" s="157"/>
      <c r="E3" s="59" t="s">
        <v>66</v>
      </c>
      <c r="F3" s="56" t="s">
        <v>22</v>
      </c>
      <c r="G3" s="44">
        <v>22</v>
      </c>
      <c r="H3" s="129">
        <f>IF(B$15=0,0,G3/B$15)</f>
        <v>0.52380952380952384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-430.76923076923077</v>
      </c>
      <c r="P3" s="115">
        <v>13</v>
      </c>
      <c r="Q3" s="99">
        <v>-5600</v>
      </c>
    </row>
    <row r="4" spans="1:17" x14ac:dyDescent="0.4">
      <c r="A4" s="51" t="s">
        <v>6</v>
      </c>
      <c r="B4" s="158">
        <v>-47.6</v>
      </c>
      <c r="C4" s="159"/>
      <c r="E4" s="59" t="s">
        <v>72</v>
      </c>
      <c r="F4" s="56" t="s">
        <v>27</v>
      </c>
      <c r="G4" s="44">
        <v>20</v>
      </c>
      <c r="H4" s="129">
        <f>IF(B$15=0,0,G4/B$15)</f>
        <v>0.47619047619047616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-2992.3076923076924</v>
      </c>
      <c r="P4" s="115">
        <v>13</v>
      </c>
      <c r="Q4" s="99">
        <v>-38900</v>
      </c>
    </row>
    <row r="5" spans="1:17" x14ac:dyDescent="0.4">
      <c r="A5" s="51" t="s">
        <v>7</v>
      </c>
      <c r="B5" s="160">
        <f>IF(B$2=0,0,B$4/B$2)</f>
        <v>-3.6615384615384619</v>
      </c>
      <c r="C5" s="161"/>
      <c r="E5" s="59" t="s">
        <v>68</v>
      </c>
      <c r="F5" s="56" t="s">
        <v>12</v>
      </c>
      <c r="G5" s="44">
        <v>16</v>
      </c>
      <c r="H5" s="129">
        <f>IF(B$15=0,0,G5/B$15)</f>
        <v>0.38095238095238093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623.07692307692309</v>
      </c>
      <c r="P5" s="115">
        <v>13</v>
      </c>
      <c r="Q5" s="99">
        <v>8100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0.30952380952380953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-827.27272727272725</v>
      </c>
      <c r="P6" s="115">
        <v>11</v>
      </c>
      <c r="Q6" s="99">
        <v>-9100</v>
      </c>
    </row>
    <row r="7" spans="1:17" x14ac:dyDescent="0.4">
      <c r="A7" s="51" t="s">
        <v>2</v>
      </c>
      <c r="B7" s="44">
        <v>5</v>
      </c>
      <c r="C7" s="37">
        <f t="shared" ref="C7:C10" si="1">IF(B$2=0,0,B7/B$2)</f>
        <v>0.38461538461538464</v>
      </c>
      <c r="E7" s="59" t="s">
        <v>166</v>
      </c>
      <c r="F7" s="56" t="s">
        <v>167</v>
      </c>
      <c r="G7" s="44">
        <v>11</v>
      </c>
      <c r="H7" s="129">
        <f>IF(B$15=0,0,G7/B$15)</f>
        <v>0.26190476190476192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">
      <c r="A8" s="51" t="s">
        <v>3</v>
      </c>
      <c r="B8" s="44">
        <v>3</v>
      </c>
      <c r="C8" s="37">
        <f t="shared" si="1"/>
        <v>0.23076923076923078</v>
      </c>
      <c r="E8" s="59" t="s">
        <v>65</v>
      </c>
      <c r="F8" s="56" t="s">
        <v>21</v>
      </c>
      <c r="G8" s="44">
        <v>7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5</v>
      </c>
      <c r="C9" s="38">
        <f t="shared" si="1"/>
        <v>0.38461538461538464</v>
      </c>
      <c r="E9" s="59" t="s">
        <v>69</v>
      </c>
      <c r="F9" s="56" t="s">
        <v>24</v>
      </c>
      <c r="G9" s="44">
        <v>5</v>
      </c>
      <c r="H9" s="129">
        <f>IF(B$15=0,0,G9/B$15)</f>
        <v>0.11904761904761904</v>
      </c>
      <c r="I9" s="90">
        <v>10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3</v>
      </c>
      <c r="C10" s="40">
        <f t="shared" si="1"/>
        <v>0.23076923076923078</v>
      </c>
      <c r="E10" s="59" t="s">
        <v>70</v>
      </c>
      <c r="F10" s="56" t="s">
        <v>25</v>
      </c>
      <c r="G10" s="44">
        <v>4</v>
      </c>
      <c r="H10" s="129">
        <f>IF(B$15=0,0,G10/B$15)</f>
        <v>9.5238095238095233E-2</v>
      </c>
      <c r="I10" s="90">
        <v>8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">
      <c r="A11" s="54" t="s">
        <v>121</v>
      </c>
      <c r="B11" s="47">
        <v>36</v>
      </c>
      <c r="C11" s="42">
        <f>IF(B$3=0,0,B11/B$3)</f>
        <v>0.30508474576271188</v>
      </c>
      <c r="E11" s="59" t="s">
        <v>89</v>
      </c>
      <c r="F11" s="56" t="s">
        <v>44</v>
      </c>
      <c r="G11" s="44">
        <v>3</v>
      </c>
      <c r="H11" s="129">
        <f>IF(B$15=0,0,G11/B$15)</f>
        <v>7.1428571428571425E-2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">
      <c r="A12" s="51" t="s">
        <v>118</v>
      </c>
      <c r="B12" s="44">
        <v>15</v>
      </c>
      <c r="C12" s="37">
        <f>IF(B$3=0,0,B12/B$3)</f>
        <v>0.1271186440677966</v>
      </c>
      <c r="E12" s="59" t="s">
        <v>83</v>
      </c>
      <c r="F12" s="56" t="s">
        <v>38</v>
      </c>
      <c r="G12" s="44">
        <v>2</v>
      </c>
      <c r="H12" s="129">
        <f>IF(B$15=0,0,G12/B$15)</f>
        <v>4.7619047619047616E-2</v>
      </c>
      <c r="I12" s="90">
        <v>9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">
      <c r="A13" s="50" t="s">
        <v>123</v>
      </c>
      <c r="B13" s="43">
        <f>B19</f>
        <v>22</v>
      </c>
      <c r="C13" s="35">
        <f>IF(B$11=0,0,B13/B$11)</f>
        <v>0.61111111111111116</v>
      </c>
      <c r="E13" s="59" t="s">
        <v>85</v>
      </c>
      <c r="F13" s="56" t="s">
        <v>40</v>
      </c>
      <c r="G13" s="44">
        <v>2</v>
      </c>
      <c r="H13" s="129">
        <f>IF(B$15=0,0,G13/B$15)</f>
        <v>4.7619047619047616E-2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</v>
      </c>
      <c r="C14" s="35">
        <f>IF(B$12=0,0,B14/B$12)</f>
        <v>0.73333333333333328</v>
      </c>
      <c r="E14" s="59" t="s">
        <v>71</v>
      </c>
      <c r="F14" s="56" t="s">
        <v>26</v>
      </c>
      <c r="G14" s="44">
        <v>1</v>
      </c>
      <c r="H14" s="129">
        <f>IF(B$15=0,0,G14/B$15)</f>
        <v>2.3809523809523808E-2</v>
      </c>
      <c r="I14" s="90">
        <v>13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42</v>
      </c>
      <c r="C15" s="35">
        <f>IF(B$3=0,0,B15/B$3)</f>
        <v>0.3559322033898305</v>
      </c>
      <c r="E15" s="59" t="s">
        <v>75</v>
      </c>
      <c r="F15" s="56" t="s">
        <v>30</v>
      </c>
      <c r="G15" s="44">
        <v>1</v>
      </c>
      <c r="H15" s="129">
        <f>IF(B$15=0,0,G15/B$15)</f>
        <v>2.3809523809523808E-2</v>
      </c>
      <c r="I15" s="90">
        <v>1</v>
      </c>
      <c r="K15" s="36">
        <v>13</v>
      </c>
      <c r="L15" s="95">
        <v>-47.6</v>
      </c>
      <c r="N15" s="110" t="s">
        <v>196</v>
      </c>
      <c r="O15" s="120">
        <f t="shared" ref="O15:O22" si="2">IF(P15=0,0,Q15/P15)</f>
        <v>58.099999999999994</v>
      </c>
      <c r="P15" s="114">
        <v>1</v>
      </c>
      <c r="Q15" s="102">
        <v>58.099999999999994</v>
      </c>
    </row>
    <row r="16" spans="1:17" x14ac:dyDescent="0.4">
      <c r="A16" s="51" t="s">
        <v>13</v>
      </c>
      <c r="B16" s="44">
        <v>20</v>
      </c>
      <c r="C16" s="37">
        <f>IF(B$3=0,0,B16/B$3)</f>
        <v>0.16949152542372881</v>
      </c>
      <c r="E16" s="59" t="s">
        <v>79</v>
      </c>
      <c r="F16" s="56" t="s">
        <v>34</v>
      </c>
      <c r="G16" s="44">
        <v>1</v>
      </c>
      <c r="H16" s="129">
        <f>IF(B$15=0,0,G16/B$15)</f>
        <v>2.3809523809523808E-2</v>
      </c>
      <c r="I16" s="90">
        <v>3</v>
      </c>
      <c r="N16" s="111" t="s">
        <v>171</v>
      </c>
      <c r="O16" s="121">
        <f t="shared" si="2"/>
        <v>38.25</v>
      </c>
      <c r="P16" s="115">
        <v>2</v>
      </c>
      <c r="Q16" s="103">
        <v>76.5</v>
      </c>
    </row>
    <row r="17" spans="1:17" x14ac:dyDescent="0.4">
      <c r="A17" s="51" t="s">
        <v>12</v>
      </c>
      <c r="B17" s="44">
        <v>21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2.3809523809523808E-2</v>
      </c>
      <c r="I17" s="90">
        <v>11</v>
      </c>
      <c r="N17" s="111" t="s">
        <v>172</v>
      </c>
      <c r="O17" s="121">
        <f t="shared" si="2"/>
        <v>19.249999999999996</v>
      </c>
      <c r="P17" s="115">
        <v>4</v>
      </c>
      <c r="Q17" s="103">
        <v>76.999999999999986</v>
      </c>
    </row>
    <row r="18" spans="1:17" x14ac:dyDescent="0.4">
      <c r="A18" s="51" t="s">
        <v>11</v>
      </c>
      <c r="B18" s="44">
        <v>21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">
      <c r="A19" s="51" t="s">
        <v>195</v>
      </c>
      <c r="B19" s="44">
        <v>22</v>
      </c>
      <c r="C19" s="37">
        <f>IF(B$15=0,0,B19/B$15)</f>
        <v>0.52380952380952384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 t="shared" si="2"/>
        <v>-0.39999999999999858</v>
      </c>
      <c r="P19" s="115">
        <v>4</v>
      </c>
      <c r="Q19" s="103">
        <v>-1.5999999999999943</v>
      </c>
    </row>
    <row r="20" spans="1:17" x14ac:dyDescent="0.4">
      <c r="A20" s="51" t="s">
        <v>193</v>
      </c>
      <c r="B20" s="44">
        <v>11</v>
      </c>
      <c r="C20" s="37">
        <f>IF(B$15=0,0,B20/B$15)</f>
        <v>0.26190476190476192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 t="shared" si="2"/>
        <v>-5.4749999999999988</v>
      </c>
      <c r="P20" s="115">
        <v>8</v>
      </c>
      <c r="Q20" s="103">
        <v>-43.79999999999999</v>
      </c>
    </row>
    <row r="21" spans="1:17" x14ac:dyDescent="0.4">
      <c r="A21" s="51" t="s">
        <v>194</v>
      </c>
      <c r="B21" s="44">
        <v>9</v>
      </c>
      <c r="C21" s="37">
        <f>IF(B$15=0,0,B21/B$15)</f>
        <v>0.21428571428571427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-49.766666666666659</v>
      </c>
      <c r="P21" s="115">
        <v>3</v>
      </c>
      <c r="Q21" s="103">
        <v>-149.29999999999998</v>
      </c>
    </row>
    <row r="22" spans="1:17" x14ac:dyDescent="0.4">
      <c r="A22" s="51" t="s">
        <v>5</v>
      </c>
      <c r="B22" s="48">
        <f>IF(B$15=0,0,C22/B$15)</f>
        <v>6407.1428571428569</v>
      </c>
      <c r="C22" s="39">
        <v>269100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">
      <c r="A23" s="52" t="s">
        <v>177</v>
      </c>
      <c r="B23" s="136">
        <f>IF($B$15-B$14=0,0,C23/($B$15-B$14))</f>
        <v>6983.8709677419356</v>
      </c>
      <c r="C23" s="137">
        <v>216500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4781.818181818182</v>
      </c>
      <c r="C24" s="137">
        <v>52600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">
      <c r="A25" s="52" t="s">
        <v>176</v>
      </c>
      <c r="B25" s="136">
        <f>IF(B$16=0,0,C25/B$16)</f>
        <v>-8205</v>
      </c>
      <c r="C25" s="137">
        <v>-164100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8.4745762711864406E-3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">
      <c r="A32" s="86" t="s">
        <v>183</v>
      </c>
      <c r="B32" s="144">
        <v>5</v>
      </c>
      <c r="C32" s="141">
        <f>IF(B$15=0,0,B32/B$15)</f>
        <v>0.11904761904761904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12</v>
      </c>
      <c r="C33" s="37">
        <f t="shared" ref="C33:C44" si="3">IF(B$15=0,0,B33/B$15)</f>
        <v>0.2857142857142857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6</v>
      </c>
      <c r="C34" s="37">
        <f>IF(B$15=0,0,B34/B$15)</f>
        <v>0.14285714285714285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9</v>
      </c>
      <c r="C35" s="37">
        <f t="shared" si="3"/>
        <v>0.21428571428571427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6</v>
      </c>
      <c r="C36" s="37">
        <f t="shared" si="3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2.3809523809523808E-2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2</v>
      </c>
      <c r="C38" s="37">
        <f t="shared" si="3"/>
        <v>4.7619047619047616E-2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1</v>
      </c>
      <c r="C39" s="37">
        <f t="shared" si="3"/>
        <v>2.3809523809523808E-2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4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3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10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6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18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8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30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2020-01-16T06:20:48Z</dcterms:modified>
</cp:coreProperties>
</file>