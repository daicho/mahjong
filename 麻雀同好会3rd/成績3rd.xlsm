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B3F2EF4-7C9C-4FC4-BD24-82553920196C}" xr6:coauthVersionLast="44" xr6:coauthVersionMax="44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82" r:id="rId6"/>
    <sheet name="たかの" sheetId="6084" r:id="rId7"/>
    <sheet name="だいち" sheetId="6086" r:id="rId8"/>
    <sheet name="ただ" sheetId="6088" r:id="rId9"/>
    <sheet name="りくと" sheetId="6090" r:id="rId10"/>
    <sheet name="れんたろう" sheetId="6092" r:id="rId11"/>
    <sheet name="まっつん" sheetId="6094" r:id="rId12"/>
    <sheet name="のり" sheetId="6096" r:id="rId13"/>
    <sheet name="ぱぱ" sheetId="6098" r:id="rId14"/>
    <sheet name="ほたに" sheetId="6100" r:id="rId15"/>
    <sheet name="いっしー" sheetId="6102" r:id="rId16"/>
    <sheet name="ともき" sheetId="6104" r:id="rId17"/>
    <sheet name="たか" sheetId="6106" r:id="rId18"/>
    <sheet name="ゆう" sheetId="6108" r:id="rId19"/>
    <sheet name="ゆう2" sheetId="6109" state="hidden" r:id="rId20"/>
    <sheet name="たか2" sheetId="6107" state="hidden" r:id="rId21"/>
    <sheet name="ともき2" sheetId="6105" state="hidden" r:id="rId22"/>
    <sheet name="いっしー2" sheetId="6103" state="hidden" r:id="rId23"/>
    <sheet name="ほたに2" sheetId="6101" state="hidden" r:id="rId24"/>
    <sheet name="ぱぱ2" sheetId="6099" state="hidden" r:id="rId25"/>
    <sheet name="のり2" sheetId="6097" state="hidden" r:id="rId26"/>
    <sheet name="まっつん2" sheetId="6095" state="hidden" r:id="rId27"/>
    <sheet name="れんたろう2" sheetId="6093" state="hidden" r:id="rId28"/>
    <sheet name="りくと2" sheetId="6091" state="hidden" r:id="rId29"/>
    <sheet name="ただ2" sheetId="6089" state="hidden" r:id="rId30"/>
    <sheet name="だいち2" sheetId="6087" state="hidden" r:id="rId31"/>
    <sheet name="たかの2" sheetId="6085" state="hidden" r:id="rId32"/>
    <sheet name="全体2" sheetId="608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106" l="1"/>
  <c r="O25" i="6094" l="1"/>
  <c r="O15" i="6104"/>
  <c r="O16" i="6106" l="1"/>
  <c r="O23" i="6084"/>
  <c r="O20" i="6094" l="1"/>
  <c r="O16" i="6108"/>
  <c r="O18" i="6106"/>
  <c r="O15" i="6084" l="1"/>
  <c r="O22" i="6104"/>
  <c r="O19" i="6106" l="1"/>
  <c r="O15" i="6108"/>
  <c r="O17" i="6108"/>
  <c r="C34" i="6108"/>
  <c r="B29" i="6108"/>
  <c r="C20" i="6108"/>
  <c r="B19" i="6108"/>
  <c r="H50" i="6108" s="1"/>
  <c r="B18" i="6108"/>
  <c r="B28" i="6108" s="1"/>
  <c r="B17" i="6108"/>
  <c r="C17" i="6108" s="1"/>
  <c r="C16" i="6108"/>
  <c r="C15" i="6108"/>
  <c r="C14" i="6108"/>
  <c r="O12" i="6108"/>
  <c r="B12" i="6108"/>
  <c r="O11" i="6108"/>
  <c r="B11" i="6108"/>
  <c r="O10" i="6108"/>
  <c r="B10" i="6108"/>
  <c r="C9" i="6108"/>
  <c r="C8" i="6108"/>
  <c r="O7" i="6108"/>
  <c r="C7" i="6108"/>
  <c r="O6" i="6108"/>
  <c r="B6" i="6108"/>
  <c r="O5" i="6108"/>
  <c r="B5" i="6108"/>
  <c r="O4" i="6108"/>
  <c r="O3" i="6108"/>
  <c r="O2" i="6108"/>
  <c r="O17" i="6096"/>
  <c r="O15" i="6106"/>
  <c r="O17" i="6106"/>
  <c r="C34" i="6106"/>
  <c r="B29" i="6106"/>
  <c r="C20" i="6106"/>
  <c r="B19" i="6106"/>
  <c r="H51" i="6106" s="1"/>
  <c r="B18" i="6106"/>
  <c r="B28" i="6106" s="1"/>
  <c r="B17" i="6106"/>
  <c r="C17" i="6106" s="1"/>
  <c r="C16" i="6106"/>
  <c r="C15" i="6106"/>
  <c r="C14" i="6106"/>
  <c r="O12" i="6106"/>
  <c r="B12" i="6106"/>
  <c r="O11" i="6106"/>
  <c r="B11" i="6106"/>
  <c r="O10" i="6106"/>
  <c r="B10" i="6106"/>
  <c r="C9" i="6106"/>
  <c r="C8" i="6106"/>
  <c r="O7" i="6106"/>
  <c r="C7" i="6106"/>
  <c r="O6" i="6106"/>
  <c r="B6" i="6106"/>
  <c r="O5" i="6106"/>
  <c r="B5" i="6106"/>
  <c r="O4" i="6106"/>
  <c r="O3" i="6106"/>
  <c r="O2" i="6106"/>
  <c r="O15" i="6082"/>
  <c r="B13" i="6108" l="1"/>
  <c r="B13" i="6106"/>
  <c r="H37" i="6108"/>
  <c r="H2" i="6108"/>
  <c r="H41" i="6108"/>
  <c r="H42" i="6108"/>
  <c r="C23" i="6108"/>
  <c r="H10" i="6108"/>
  <c r="H24" i="6108"/>
  <c r="C22" i="6108"/>
  <c r="C46" i="6108"/>
  <c r="H15" i="6108"/>
  <c r="H9" i="6108"/>
  <c r="H14" i="6108"/>
  <c r="H6" i="6108"/>
  <c r="H18" i="6108"/>
  <c r="C42" i="6108"/>
  <c r="H11" i="6108"/>
  <c r="H13" i="6108"/>
  <c r="H21" i="6108"/>
  <c r="C36" i="6108"/>
  <c r="C18" i="6106"/>
  <c r="B27" i="6108"/>
  <c r="C18" i="6108"/>
  <c r="H47" i="6108"/>
  <c r="H19" i="6108"/>
  <c r="H36" i="6108"/>
  <c r="H48" i="6108"/>
  <c r="H26" i="6108"/>
  <c r="H30" i="6108"/>
  <c r="H38" i="6108"/>
  <c r="H43" i="6108"/>
  <c r="C48" i="6108"/>
  <c r="H49" i="6108"/>
  <c r="H16" i="6108"/>
  <c r="H5" i="6108"/>
  <c r="C19" i="6108"/>
  <c r="C24" i="6108"/>
  <c r="H31" i="6108"/>
  <c r="C38" i="6108"/>
  <c r="H44" i="6108"/>
  <c r="H22" i="6108"/>
  <c r="C25" i="6108"/>
  <c r="H33" i="6108"/>
  <c r="H39" i="6108"/>
  <c r="C44" i="6108"/>
  <c r="H51" i="6108"/>
  <c r="H3" i="6108"/>
  <c r="H8" i="6108"/>
  <c r="H17" i="6108"/>
  <c r="H12" i="6108"/>
  <c r="H34" i="6108"/>
  <c r="H40" i="6108"/>
  <c r="H45" i="6108"/>
  <c r="H4" i="6108"/>
  <c r="H7" i="6108"/>
  <c r="H20" i="6108"/>
  <c r="C21" i="6108"/>
  <c r="B26" i="6108"/>
  <c r="C40" i="6108"/>
  <c r="H46" i="6108"/>
  <c r="H52" i="6108"/>
  <c r="H23" i="6108"/>
  <c r="H27" i="6108"/>
  <c r="H29" i="6108"/>
  <c r="H35" i="6108"/>
  <c r="C39" i="6108"/>
  <c r="C43" i="6108"/>
  <c r="C47" i="6108"/>
  <c r="H25" i="6108"/>
  <c r="H28" i="6108"/>
  <c r="H32" i="6108"/>
  <c r="C37" i="6108"/>
  <c r="C41" i="6108"/>
  <c r="C45" i="6108"/>
  <c r="C22" i="6106"/>
  <c r="H4" i="6106"/>
  <c r="H26" i="6106"/>
  <c r="H15" i="6106"/>
  <c r="H14" i="6106"/>
  <c r="H31" i="6106"/>
  <c r="H45" i="6106"/>
  <c r="C46" i="6106"/>
  <c r="H22" i="6106"/>
  <c r="H39" i="6106"/>
  <c r="H18" i="6106"/>
  <c r="H40" i="6106"/>
  <c r="H10" i="6106"/>
  <c r="C24" i="6106"/>
  <c r="H34" i="6106"/>
  <c r="C40" i="6106"/>
  <c r="H47" i="6106"/>
  <c r="H19" i="6106"/>
  <c r="C19" i="6106"/>
  <c r="C25" i="6106"/>
  <c r="H41" i="6106"/>
  <c r="H48" i="6106"/>
  <c r="H11" i="6106"/>
  <c r="C48" i="6106"/>
  <c r="H3" i="6106"/>
  <c r="H9" i="6106"/>
  <c r="H36" i="6106"/>
  <c r="B26" i="6106"/>
  <c r="H43" i="6106"/>
  <c r="H49" i="6106"/>
  <c r="H6" i="6106"/>
  <c r="H16" i="6106"/>
  <c r="H12" i="6106"/>
  <c r="H28" i="6106"/>
  <c r="C42" i="6106"/>
  <c r="C36" i="6106"/>
  <c r="H2" i="6106"/>
  <c r="H8" i="6106"/>
  <c r="C21" i="6106"/>
  <c r="H13" i="6106"/>
  <c r="H37" i="6106"/>
  <c r="H44" i="6106"/>
  <c r="H5" i="6106"/>
  <c r="H7" i="6106"/>
  <c r="H17" i="6106"/>
  <c r="H24" i="6106"/>
  <c r="C38" i="6106"/>
  <c r="C44" i="6106"/>
  <c r="H52" i="6106"/>
  <c r="H21" i="6106"/>
  <c r="H23" i="6106"/>
  <c r="H27" i="6106"/>
  <c r="H30" i="6106"/>
  <c r="H35" i="6106"/>
  <c r="C39" i="6106"/>
  <c r="C43" i="6106"/>
  <c r="C47" i="6106"/>
  <c r="H25" i="6106"/>
  <c r="H29" i="6106"/>
  <c r="H32" i="6106"/>
  <c r="C37" i="6106"/>
  <c r="C41" i="6106"/>
  <c r="C45" i="6106"/>
  <c r="H50" i="6106"/>
  <c r="H20" i="6106"/>
  <c r="C23" i="6106"/>
  <c r="B27" i="6106"/>
  <c r="H33" i="6106"/>
  <c r="H38" i="6106"/>
  <c r="H42" i="6106"/>
  <c r="H46" i="6106"/>
  <c r="O21" i="6104" l="1"/>
  <c r="O15" i="6086"/>
  <c r="O20" i="6088" l="1"/>
  <c r="O16" i="6104"/>
  <c r="O18" i="6104"/>
  <c r="O22" i="6090"/>
  <c r="O16" i="6098" l="1"/>
  <c r="O19" i="6104"/>
  <c r="O23" i="6092" l="1"/>
  <c r="O20" i="6104"/>
  <c r="O17" i="6104"/>
  <c r="C34" i="6104"/>
  <c r="B29" i="6104"/>
  <c r="C20" i="6104"/>
  <c r="B19" i="6104"/>
  <c r="H50" i="6104" s="1"/>
  <c r="B18" i="6104"/>
  <c r="B28" i="6104" s="1"/>
  <c r="B17" i="6104"/>
  <c r="C17" i="6104" s="1"/>
  <c r="C16" i="6104"/>
  <c r="C15" i="6104"/>
  <c r="C14" i="6104"/>
  <c r="O12" i="6104"/>
  <c r="B12" i="6104"/>
  <c r="O11" i="6104"/>
  <c r="B11" i="6104"/>
  <c r="O10" i="6104"/>
  <c r="B10" i="6104"/>
  <c r="C9" i="6104"/>
  <c r="C8" i="6104"/>
  <c r="O7" i="6104"/>
  <c r="C7" i="6104"/>
  <c r="O6" i="6104"/>
  <c r="B6" i="6104"/>
  <c r="O5" i="6104"/>
  <c r="B5" i="6104"/>
  <c r="O4" i="6104"/>
  <c r="O3" i="6104"/>
  <c r="O2" i="6104"/>
  <c r="O15" i="6096"/>
  <c r="O19" i="6082"/>
  <c r="B13" i="6104" l="1"/>
  <c r="C18" i="6104"/>
  <c r="H10" i="6104"/>
  <c r="B27" i="6104"/>
  <c r="H14" i="6104"/>
  <c r="C22" i="6104"/>
  <c r="H36" i="6104"/>
  <c r="H41" i="6104"/>
  <c r="H20" i="6104"/>
  <c r="C46" i="6104"/>
  <c r="H11" i="6104"/>
  <c r="H48" i="6104"/>
  <c r="H47" i="6104"/>
  <c r="C23" i="6104"/>
  <c r="H2" i="6104"/>
  <c r="H21" i="6104"/>
  <c r="H30" i="6104"/>
  <c r="C48" i="6104"/>
  <c r="H18" i="6104"/>
  <c r="H44" i="6104"/>
  <c r="C19" i="6104"/>
  <c r="H31" i="6104"/>
  <c r="H49" i="6104"/>
  <c r="H8" i="6104"/>
  <c r="H19" i="6104"/>
  <c r="C25" i="6104"/>
  <c r="C44" i="6104"/>
  <c r="H51" i="6104"/>
  <c r="C36" i="6104"/>
  <c r="H4" i="6104"/>
  <c r="C42" i="6104"/>
  <c r="H43" i="6104"/>
  <c r="H16" i="6104"/>
  <c r="H22" i="6104"/>
  <c r="H24" i="6104"/>
  <c r="H33" i="6104"/>
  <c r="H39" i="6104"/>
  <c r="H27" i="6104"/>
  <c r="H34" i="6104"/>
  <c r="H40" i="6104"/>
  <c r="H45" i="6104"/>
  <c r="H7" i="6104"/>
  <c r="H42" i="6104"/>
  <c r="H23" i="6104"/>
  <c r="H37" i="6104"/>
  <c r="H9" i="6104"/>
  <c r="H15" i="6104"/>
  <c r="H38" i="6104"/>
  <c r="C24" i="6104"/>
  <c r="C38" i="6104"/>
  <c r="H6" i="6104"/>
  <c r="H3" i="6104"/>
  <c r="H5" i="6104"/>
  <c r="H12" i="6104"/>
  <c r="C21" i="6104"/>
  <c r="B26" i="6104"/>
  <c r="C40" i="6104"/>
  <c r="H46" i="6104"/>
  <c r="H52" i="6104"/>
  <c r="H13" i="6104"/>
  <c r="H25" i="6104"/>
  <c r="H17" i="6104"/>
  <c r="H29" i="6104"/>
  <c r="H35" i="6104"/>
  <c r="C39" i="6104"/>
  <c r="C43" i="6104"/>
  <c r="C47" i="6104"/>
  <c r="H26" i="6104"/>
  <c r="H28" i="6104"/>
  <c r="H32" i="6104"/>
  <c r="C37" i="6104"/>
  <c r="C41" i="6104"/>
  <c r="C45" i="6104"/>
  <c r="O16" i="6094" l="1"/>
  <c r="O17" i="6102"/>
  <c r="O23" i="6086"/>
  <c r="O16" i="6102"/>
  <c r="O15" i="6102"/>
  <c r="C34" i="6102"/>
  <c r="B29" i="6102"/>
  <c r="C20" i="6102"/>
  <c r="B19" i="6102"/>
  <c r="H51" i="6102" s="1"/>
  <c r="B18" i="6102"/>
  <c r="B28" i="6102" s="1"/>
  <c r="B17" i="6102"/>
  <c r="C17" i="6102" s="1"/>
  <c r="C16" i="6102"/>
  <c r="C15" i="6102"/>
  <c r="C14" i="6102"/>
  <c r="B13" i="6102"/>
  <c r="O12" i="6102"/>
  <c r="B12" i="6102"/>
  <c r="O11" i="6102"/>
  <c r="B11" i="6102"/>
  <c r="O10" i="6102"/>
  <c r="B10" i="6102"/>
  <c r="C9" i="6102"/>
  <c r="C8" i="6102"/>
  <c r="O7" i="6102"/>
  <c r="C7" i="6102"/>
  <c r="O6" i="6102"/>
  <c r="B6" i="6102"/>
  <c r="O5" i="6102"/>
  <c r="B5" i="6102"/>
  <c r="O4" i="6102"/>
  <c r="O3" i="6102"/>
  <c r="O2" i="6102"/>
  <c r="H6" i="6102"/>
  <c r="O19" i="6096"/>
  <c r="O26" i="6082"/>
  <c r="H10" i="6102" l="1"/>
  <c r="H39" i="6102"/>
  <c r="C18" i="6102"/>
  <c r="H7" i="6102"/>
  <c r="H23" i="6102"/>
  <c r="H25" i="6102"/>
  <c r="H15" i="6102"/>
  <c r="H20" i="6102"/>
  <c r="C38" i="6102"/>
  <c r="H12" i="6102"/>
  <c r="C42" i="6102"/>
  <c r="H16" i="6102"/>
  <c r="H5" i="6102"/>
  <c r="H3" i="6102"/>
  <c r="H47" i="6102"/>
  <c r="C24" i="6102"/>
  <c r="H2" i="6102"/>
  <c r="H43" i="6102"/>
  <c r="H13" i="6102"/>
  <c r="C46" i="6102"/>
  <c r="H11" i="6102"/>
  <c r="C19" i="6102"/>
  <c r="H22" i="6102"/>
  <c r="H34" i="6102"/>
  <c r="H9" i="6102"/>
  <c r="H52" i="6102"/>
  <c r="H26" i="6102"/>
  <c r="H29" i="6102"/>
  <c r="H35" i="6102"/>
  <c r="C39" i="6102"/>
  <c r="C43" i="6102"/>
  <c r="C47" i="6102"/>
  <c r="H4" i="6102"/>
  <c r="H14" i="6102"/>
  <c r="H17" i="6102"/>
  <c r="C21" i="6102"/>
  <c r="C25" i="6102"/>
  <c r="H36" i="6102"/>
  <c r="H40" i="6102"/>
  <c r="H44" i="6102"/>
  <c r="H48" i="6102"/>
  <c r="H8" i="6102"/>
  <c r="H27" i="6102"/>
  <c r="H30" i="6102"/>
  <c r="C36" i="6102"/>
  <c r="C40" i="6102"/>
  <c r="C44" i="6102"/>
  <c r="C48" i="6102"/>
  <c r="H18" i="6102"/>
  <c r="H21" i="6102"/>
  <c r="C22" i="6102"/>
  <c r="B26" i="6102"/>
  <c r="H31" i="6102"/>
  <c r="H37" i="6102"/>
  <c r="H41" i="6102"/>
  <c r="H45" i="6102"/>
  <c r="H49" i="6102"/>
  <c r="H24" i="6102"/>
  <c r="H28" i="6102"/>
  <c r="H32" i="6102"/>
  <c r="C37" i="6102"/>
  <c r="C41" i="6102"/>
  <c r="C45" i="6102"/>
  <c r="H50" i="6102"/>
  <c r="H19" i="6102"/>
  <c r="C23" i="6102"/>
  <c r="B27" i="6102"/>
  <c r="H33" i="6102"/>
  <c r="H38" i="6102"/>
  <c r="H42" i="6102"/>
  <c r="H46" i="6102"/>
  <c r="O22" i="6084" l="1"/>
  <c r="O16" i="6092"/>
  <c r="O15" i="6092" l="1"/>
  <c r="O19" i="6100"/>
  <c r="O15" i="6090" l="1"/>
  <c r="O22" i="6096"/>
  <c r="O16" i="6100" l="1"/>
  <c r="O23" i="6090"/>
  <c r="O21" i="6084" l="1"/>
  <c r="O17" i="6086"/>
  <c r="O16" i="6096"/>
  <c r="O23" i="6096"/>
  <c r="O17" i="6094" l="1"/>
  <c r="O21" i="6098"/>
  <c r="O18" i="6088" l="1"/>
  <c r="O18" i="6094"/>
  <c r="O18" i="6096"/>
  <c r="O20" i="6096"/>
  <c r="O16" i="6084" l="1"/>
  <c r="O17" i="6098"/>
  <c r="O18" i="6098"/>
  <c r="O18" i="6090"/>
  <c r="O22" i="6088" l="1"/>
  <c r="O20" i="6092"/>
  <c r="O22" i="6092" l="1"/>
  <c r="O22" i="6086"/>
  <c r="O25" i="6096"/>
  <c r="O17" i="6100"/>
  <c r="O15" i="6100"/>
  <c r="O19" i="6098"/>
  <c r="O15" i="6088" l="1"/>
  <c r="O21" i="6088"/>
  <c r="O18" i="6100"/>
  <c r="O20" i="6100"/>
  <c r="C48" i="6100"/>
  <c r="C34" i="6100"/>
  <c r="B29" i="6100"/>
  <c r="C20" i="6100"/>
  <c r="B19" i="6100"/>
  <c r="H51" i="6100" s="1"/>
  <c r="B18" i="6100"/>
  <c r="B28" i="6100" s="1"/>
  <c r="B17" i="6100"/>
  <c r="C17" i="6100" s="1"/>
  <c r="C16" i="6100"/>
  <c r="C15" i="6100"/>
  <c r="C14" i="6100"/>
  <c r="O12" i="6100"/>
  <c r="B12" i="6100"/>
  <c r="O11" i="6100"/>
  <c r="B11" i="6100"/>
  <c r="O10" i="6100"/>
  <c r="B10" i="6100"/>
  <c r="C9" i="6100"/>
  <c r="C8" i="6100"/>
  <c r="O7" i="6100"/>
  <c r="C7" i="6100"/>
  <c r="O6" i="6100"/>
  <c r="B6" i="6100"/>
  <c r="O5" i="6100"/>
  <c r="B5" i="6100"/>
  <c r="O4" i="6100"/>
  <c r="O3" i="6100"/>
  <c r="O2" i="6100"/>
  <c r="O21" i="6094"/>
  <c r="O15" i="6094"/>
  <c r="O16" i="6082"/>
  <c r="B13" i="6100" l="1"/>
  <c r="H31" i="6100"/>
  <c r="H13" i="6100"/>
  <c r="H5" i="6100"/>
  <c r="H18" i="6100"/>
  <c r="C39" i="6100"/>
  <c r="H34" i="6100"/>
  <c r="H2" i="6100"/>
  <c r="H10" i="6100"/>
  <c r="H19" i="6100"/>
  <c r="H16" i="6100"/>
  <c r="C40" i="6100"/>
  <c r="C25" i="6100"/>
  <c r="H3" i="6100"/>
  <c r="H24" i="6100"/>
  <c r="C21" i="6100"/>
  <c r="H14" i="6100"/>
  <c r="H4" i="6100"/>
  <c r="H11" i="6100"/>
  <c r="H15" i="6100"/>
  <c r="H41" i="6100"/>
  <c r="C42" i="6100"/>
  <c r="H30" i="6100"/>
  <c r="H45" i="6100"/>
  <c r="C18" i="6100"/>
  <c r="C46" i="6100"/>
  <c r="H27" i="6100"/>
  <c r="H35" i="6100"/>
  <c r="H47" i="6100"/>
  <c r="H23" i="6100"/>
  <c r="B26" i="6100"/>
  <c r="H9" i="6100"/>
  <c r="H39" i="6100"/>
  <c r="C47" i="6100"/>
  <c r="H20" i="6100"/>
  <c r="H22" i="6100"/>
  <c r="H43" i="6100"/>
  <c r="H49" i="6100"/>
  <c r="C22" i="6100"/>
  <c r="C36" i="6100"/>
  <c r="H7" i="6100"/>
  <c r="H8" i="6100"/>
  <c r="H12" i="6100"/>
  <c r="H17" i="6100"/>
  <c r="H26" i="6100"/>
  <c r="H29" i="6100"/>
  <c r="H37" i="6100"/>
  <c r="C43" i="6100"/>
  <c r="H6" i="6100"/>
  <c r="H21" i="6100"/>
  <c r="C19" i="6100"/>
  <c r="C24" i="6100"/>
  <c r="C38" i="6100"/>
  <c r="C44" i="6100"/>
  <c r="H52" i="6100"/>
  <c r="H36" i="6100"/>
  <c r="H40" i="6100"/>
  <c r="H44" i="6100"/>
  <c r="H48" i="6100"/>
  <c r="H25" i="6100"/>
  <c r="H28" i="6100"/>
  <c r="H32" i="6100"/>
  <c r="C37" i="6100"/>
  <c r="C41" i="6100"/>
  <c r="C45" i="6100"/>
  <c r="H50" i="6100"/>
  <c r="C23" i="6100"/>
  <c r="B27" i="6100"/>
  <c r="H33" i="6100"/>
  <c r="H38" i="6100"/>
  <c r="H42" i="6100"/>
  <c r="H46" i="6100"/>
  <c r="O19" i="6086" l="1"/>
  <c r="O20" i="6090"/>
  <c r="O20" i="6086" l="1"/>
  <c r="O22" i="6094"/>
  <c r="O24" i="6094"/>
  <c r="O17" i="6084"/>
  <c r="O17" i="6088"/>
  <c r="O16" i="6090"/>
  <c r="O21" i="6090"/>
  <c r="O18" i="6084"/>
  <c r="O16" i="6088"/>
  <c r="O16" i="6086"/>
  <c r="O20" i="6098"/>
  <c r="O23" i="6098"/>
  <c r="O17" i="6092" l="1"/>
  <c r="O18" i="6092"/>
  <c r="O15" i="6098"/>
  <c r="O22" i="6098"/>
  <c r="C34" i="6098"/>
  <c r="B29" i="6098"/>
  <c r="B28" i="6098"/>
  <c r="C20" i="6098"/>
  <c r="B19" i="6098"/>
  <c r="H16" i="6098" s="1"/>
  <c r="B18" i="6098"/>
  <c r="C18" i="6098" s="1"/>
  <c r="B17" i="6098"/>
  <c r="C17" i="6098" s="1"/>
  <c r="C16" i="6098"/>
  <c r="C15" i="6098"/>
  <c r="C14" i="6098"/>
  <c r="O12" i="6098"/>
  <c r="B12" i="6098"/>
  <c r="O11" i="6098"/>
  <c r="B11" i="6098"/>
  <c r="O10" i="6098"/>
  <c r="B10" i="6098"/>
  <c r="C9" i="6098"/>
  <c r="C8" i="6098"/>
  <c r="O7" i="6098"/>
  <c r="C7" i="6098"/>
  <c r="O6" i="6098"/>
  <c r="B6" i="6098"/>
  <c r="O5" i="6098"/>
  <c r="B5" i="6098"/>
  <c r="O4" i="6098"/>
  <c r="O3" i="6098"/>
  <c r="O2" i="6098"/>
  <c r="O17" i="6082"/>
  <c r="O21" i="6096"/>
  <c r="O24" i="6096"/>
  <c r="C34" i="6096"/>
  <c r="B29" i="6096"/>
  <c r="C20" i="6096"/>
  <c r="B19" i="6096"/>
  <c r="H23" i="6096" s="1"/>
  <c r="B18" i="6096"/>
  <c r="B28" i="6096" s="1"/>
  <c r="B17" i="6096"/>
  <c r="C17" i="6096" s="1"/>
  <c r="C16" i="6096"/>
  <c r="C15" i="6096"/>
  <c r="C14" i="6096"/>
  <c r="O12" i="6096"/>
  <c r="B12" i="6096"/>
  <c r="O11" i="6096"/>
  <c r="B11" i="6096"/>
  <c r="O10" i="6096"/>
  <c r="B10" i="6096"/>
  <c r="C9" i="6096"/>
  <c r="C8" i="6096"/>
  <c r="O7" i="6096"/>
  <c r="C7" i="6096"/>
  <c r="O6" i="6096"/>
  <c r="B6" i="6096"/>
  <c r="O5" i="6096"/>
  <c r="B5" i="6096"/>
  <c r="O4" i="6096"/>
  <c r="O3" i="6096"/>
  <c r="O2" i="6096"/>
  <c r="O18" i="6082"/>
  <c r="B13" i="6096" l="1"/>
  <c r="C18" i="6096"/>
  <c r="B13" i="6098"/>
  <c r="H18" i="6096"/>
  <c r="H26" i="6096"/>
  <c r="C38" i="6096"/>
  <c r="H17" i="6096"/>
  <c r="H12" i="6096"/>
  <c r="H40" i="6096"/>
  <c r="B26" i="6096"/>
  <c r="C36" i="6096"/>
  <c r="C22" i="6096"/>
  <c r="C42" i="6096"/>
  <c r="H20" i="6096"/>
  <c r="H25" i="6096"/>
  <c r="H9" i="6096"/>
  <c r="H14" i="6096"/>
  <c r="H31" i="6096"/>
  <c r="H27" i="6096"/>
  <c r="H26" i="6098"/>
  <c r="H17" i="6098"/>
  <c r="H4" i="6098"/>
  <c r="H35" i="6098"/>
  <c r="C40" i="6098"/>
  <c r="H9" i="6098"/>
  <c r="H15" i="6098"/>
  <c r="C22" i="6098"/>
  <c r="H2" i="6098"/>
  <c r="C24" i="6098"/>
  <c r="H42" i="6098"/>
  <c r="H11" i="6098"/>
  <c r="H32" i="6098"/>
  <c r="H7" i="6098"/>
  <c r="H19" i="6098"/>
  <c r="B26" i="6098"/>
  <c r="C44" i="6098"/>
  <c r="H46" i="6098"/>
  <c r="H6" i="6098"/>
  <c r="H31" i="6098"/>
  <c r="C46" i="6098"/>
  <c r="C36" i="6098"/>
  <c r="C19" i="6098"/>
  <c r="H38" i="6098"/>
  <c r="H48" i="6098"/>
  <c r="H24" i="6098"/>
  <c r="H10" i="6098"/>
  <c r="H18" i="6098"/>
  <c r="C38" i="6098"/>
  <c r="C48" i="6098"/>
  <c r="H12" i="6098"/>
  <c r="H3" i="6098"/>
  <c r="H22" i="6098"/>
  <c r="H40" i="6098"/>
  <c r="H50" i="6098"/>
  <c r="C42" i="6098"/>
  <c r="H5" i="6098"/>
  <c r="H20" i="6098"/>
  <c r="H44" i="6098"/>
  <c r="H52" i="6098"/>
  <c r="H25" i="6098"/>
  <c r="H27" i="6098"/>
  <c r="H14" i="6098"/>
  <c r="H30" i="6098"/>
  <c r="H36" i="6098"/>
  <c r="C39" i="6098"/>
  <c r="C43" i="6098"/>
  <c r="C47" i="6098"/>
  <c r="H8" i="6098"/>
  <c r="H21" i="6098"/>
  <c r="H23" i="6098"/>
  <c r="C21" i="6098"/>
  <c r="C25" i="6098"/>
  <c r="H37" i="6098"/>
  <c r="H41" i="6098"/>
  <c r="H45" i="6098"/>
  <c r="H49" i="6098"/>
  <c r="H28" i="6098"/>
  <c r="H29" i="6098"/>
  <c r="H33" i="6098"/>
  <c r="C37" i="6098"/>
  <c r="C41" i="6098"/>
  <c r="C45" i="6098"/>
  <c r="H51" i="6098"/>
  <c r="H13" i="6098"/>
  <c r="C23" i="6098"/>
  <c r="B27" i="6098"/>
  <c r="H34" i="6098"/>
  <c r="H39" i="6098"/>
  <c r="H43" i="6098"/>
  <c r="H47" i="6098"/>
  <c r="H7" i="6096"/>
  <c r="H8" i="6096"/>
  <c r="H46" i="6096"/>
  <c r="C44" i="6096"/>
  <c r="H10" i="6096"/>
  <c r="H28" i="6096"/>
  <c r="C46" i="6096"/>
  <c r="H4" i="6096"/>
  <c r="H6" i="6096"/>
  <c r="H24" i="6096"/>
  <c r="C21" i="6096"/>
  <c r="H36" i="6096"/>
  <c r="H48" i="6096"/>
  <c r="H16" i="6096"/>
  <c r="C39" i="6096"/>
  <c r="C47" i="6096"/>
  <c r="H11" i="6096"/>
  <c r="H19" i="6096"/>
  <c r="C24" i="6096"/>
  <c r="C19" i="6096"/>
  <c r="H15" i="6096"/>
  <c r="H21" i="6096"/>
  <c r="C40" i="6096"/>
  <c r="C48" i="6096"/>
  <c r="H2" i="6096"/>
  <c r="H3" i="6096"/>
  <c r="H13" i="6096"/>
  <c r="C25" i="6096"/>
  <c r="H22" i="6096"/>
  <c r="H42" i="6096"/>
  <c r="H52" i="6096"/>
  <c r="H44" i="6096"/>
  <c r="H50" i="6096"/>
  <c r="H30" i="6096"/>
  <c r="H33" i="6096"/>
  <c r="H38" i="6096"/>
  <c r="C43" i="6096"/>
  <c r="H5" i="6096"/>
  <c r="H37" i="6096"/>
  <c r="H41" i="6096"/>
  <c r="H45" i="6096"/>
  <c r="H49" i="6096"/>
  <c r="H29" i="6096"/>
  <c r="H32" i="6096"/>
  <c r="H34" i="6096"/>
  <c r="C37" i="6096"/>
  <c r="C41" i="6096"/>
  <c r="C45" i="6096"/>
  <c r="H51" i="6096"/>
  <c r="C23" i="6096"/>
  <c r="B27" i="6096"/>
  <c r="H35" i="6096"/>
  <c r="H39" i="6096"/>
  <c r="H43" i="6096"/>
  <c r="H47" i="6096"/>
  <c r="O23" i="6094" l="1"/>
  <c r="O19" i="6094"/>
  <c r="C34" i="6094"/>
  <c r="B29" i="6094"/>
  <c r="C20" i="6094"/>
  <c r="B19" i="6094"/>
  <c r="H17" i="6094" s="1"/>
  <c r="B18" i="6094"/>
  <c r="B28" i="6094" s="1"/>
  <c r="B17" i="6094"/>
  <c r="C17" i="6094" s="1"/>
  <c r="C16" i="6094"/>
  <c r="C15" i="6094"/>
  <c r="C14" i="6094"/>
  <c r="O12" i="6094"/>
  <c r="B12" i="6094"/>
  <c r="O11" i="6094"/>
  <c r="B11" i="6094"/>
  <c r="O10" i="6094"/>
  <c r="B10" i="6094"/>
  <c r="C9" i="6094"/>
  <c r="C8" i="6094"/>
  <c r="O7" i="6094"/>
  <c r="C7" i="6094"/>
  <c r="O6" i="6094"/>
  <c r="B6" i="6094"/>
  <c r="O5" i="6094"/>
  <c r="B5" i="6094"/>
  <c r="O4" i="6094"/>
  <c r="O3" i="6094"/>
  <c r="O2" i="6094"/>
  <c r="O21" i="6092"/>
  <c r="O19" i="6092"/>
  <c r="C34" i="6092"/>
  <c r="B29" i="6092"/>
  <c r="C20" i="6092"/>
  <c r="B19" i="6092"/>
  <c r="H13" i="6092" s="1"/>
  <c r="B18" i="6092"/>
  <c r="B28" i="6092" s="1"/>
  <c r="B17" i="6092"/>
  <c r="C17" i="6092" s="1"/>
  <c r="C16" i="6092"/>
  <c r="C15" i="6092"/>
  <c r="C14" i="6092"/>
  <c r="O12" i="6092"/>
  <c r="B12" i="6092"/>
  <c r="O11" i="6092"/>
  <c r="B11" i="6092"/>
  <c r="O10" i="6092"/>
  <c r="B10" i="6092"/>
  <c r="C9" i="6092"/>
  <c r="C8" i="6092"/>
  <c r="O7" i="6092"/>
  <c r="C7" i="6092"/>
  <c r="O6" i="6092"/>
  <c r="B6" i="6092"/>
  <c r="O5" i="6092"/>
  <c r="B5" i="6092"/>
  <c r="O4" i="6092"/>
  <c r="O3" i="6092"/>
  <c r="O2" i="6092"/>
  <c r="O21" i="6082"/>
  <c r="O19" i="6090"/>
  <c r="O17" i="6090"/>
  <c r="C34" i="6090"/>
  <c r="B29" i="6090"/>
  <c r="C20" i="6090"/>
  <c r="B19" i="6090"/>
  <c r="H18" i="6090" s="1"/>
  <c r="B18" i="6090"/>
  <c r="B28" i="6090" s="1"/>
  <c r="B17" i="6090"/>
  <c r="C17" i="6090" s="1"/>
  <c r="C16" i="6090"/>
  <c r="C15" i="6090"/>
  <c r="C14" i="6090"/>
  <c r="O12" i="6090"/>
  <c r="B12" i="6090"/>
  <c r="O11" i="6090"/>
  <c r="B11" i="6090"/>
  <c r="O10" i="6090"/>
  <c r="B10" i="6090"/>
  <c r="C9" i="6090"/>
  <c r="C8" i="6090"/>
  <c r="O7" i="6090"/>
  <c r="C7" i="6090"/>
  <c r="O6" i="6090"/>
  <c r="B6" i="6090"/>
  <c r="O5" i="6090"/>
  <c r="B5" i="6090"/>
  <c r="O4" i="6090"/>
  <c r="O3" i="6090"/>
  <c r="O2" i="6090"/>
  <c r="O22" i="6082"/>
  <c r="O24" i="6082"/>
  <c r="H48" i="6090" l="1"/>
  <c r="B13" i="6090"/>
  <c r="B13" i="6092"/>
  <c r="C18" i="6092"/>
  <c r="B13" i="6094"/>
  <c r="H11" i="6094"/>
  <c r="C18" i="6090"/>
  <c r="H11" i="6090"/>
  <c r="H27" i="6090"/>
  <c r="H36" i="6090"/>
  <c r="H3" i="6090"/>
  <c r="H26" i="6090"/>
  <c r="H37" i="6090"/>
  <c r="H12" i="6090"/>
  <c r="C40" i="6090"/>
  <c r="H10" i="6090"/>
  <c r="C22" i="6090"/>
  <c r="H42" i="6090"/>
  <c r="H24" i="6090"/>
  <c r="H9" i="6090"/>
  <c r="C46" i="6090"/>
  <c r="C18" i="6094"/>
  <c r="B26" i="6094"/>
  <c r="H6" i="6094"/>
  <c r="H29" i="6094"/>
  <c r="H30" i="6094"/>
  <c r="H18" i="6094"/>
  <c r="H7" i="6094"/>
  <c r="H38" i="6094"/>
  <c r="C21" i="6094"/>
  <c r="H37" i="6094"/>
  <c r="H12" i="6094"/>
  <c r="C22" i="6094"/>
  <c r="H28" i="6094"/>
  <c r="H31" i="6094"/>
  <c r="H14" i="6094"/>
  <c r="H4" i="6094"/>
  <c r="H10" i="6094"/>
  <c r="C24" i="6094"/>
  <c r="C40" i="6094"/>
  <c r="H9" i="6094"/>
  <c r="H42" i="6094"/>
  <c r="C19" i="6094"/>
  <c r="H46" i="6094"/>
  <c r="H25" i="6094"/>
  <c r="H15" i="6094"/>
  <c r="C46" i="6094"/>
  <c r="H48" i="6094"/>
  <c r="H21" i="6094"/>
  <c r="H34" i="6094"/>
  <c r="C36" i="6094"/>
  <c r="C42" i="6094"/>
  <c r="C47" i="6094"/>
  <c r="H39" i="6094"/>
  <c r="H44" i="6094"/>
  <c r="C48" i="6094"/>
  <c r="H2" i="6094"/>
  <c r="H3" i="6094"/>
  <c r="H19" i="6094"/>
  <c r="H13" i="6094"/>
  <c r="H20" i="6094"/>
  <c r="C38" i="6094"/>
  <c r="C43" i="6094"/>
  <c r="H50" i="6094"/>
  <c r="H8" i="6094"/>
  <c r="C25" i="6094"/>
  <c r="H23" i="6094"/>
  <c r="H41" i="6094"/>
  <c r="H45" i="6094"/>
  <c r="H5" i="6094"/>
  <c r="H22" i="6094"/>
  <c r="H16" i="6094"/>
  <c r="H32" i="6094"/>
  <c r="H26" i="6094"/>
  <c r="H36" i="6094"/>
  <c r="C39" i="6094"/>
  <c r="C44" i="6094"/>
  <c r="H52" i="6094"/>
  <c r="H49" i="6094"/>
  <c r="H33" i="6094"/>
  <c r="H24" i="6094"/>
  <c r="H27" i="6094"/>
  <c r="C37" i="6094"/>
  <c r="C41" i="6094"/>
  <c r="C45" i="6094"/>
  <c r="H51" i="6094"/>
  <c r="C23" i="6094"/>
  <c r="B27" i="6094"/>
  <c r="H35" i="6094"/>
  <c r="H40" i="6094"/>
  <c r="H43" i="6094"/>
  <c r="H47" i="6094"/>
  <c r="H11" i="6092"/>
  <c r="H12" i="6092"/>
  <c r="H8" i="6092"/>
  <c r="H31" i="6092"/>
  <c r="H40" i="6092"/>
  <c r="C38" i="6092"/>
  <c r="H5" i="6092"/>
  <c r="H4" i="6092"/>
  <c r="H21" i="6092"/>
  <c r="C42" i="6092"/>
  <c r="C24" i="6092"/>
  <c r="H44" i="6092"/>
  <c r="H10" i="6092"/>
  <c r="C46" i="6092"/>
  <c r="H24" i="6092"/>
  <c r="H48" i="6092"/>
  <c r="H3" i="6092"/>
  <c r="H2" i="6092"/>
  <c r="H9" i="6092"/>
  <c r="H29" i="6092"/>
  <c r="H6" i="6092"/>
  <c r="C19" i="6092"/>
  <c r="H17" i="6092"/>
  <c r="H52" i="6092"/>
  <c r="H20" i="6092"/>
  <c r="H34" i="6092"/>
  <c r="H15" i="6092"/>
  <c r="H26" i="6092"/>
  <c r="H37" i="6092"/>
  <c r="C39" i="6092"/>
  <c r="C43" i="6092"/>
  <c r="C47" i="6092"/>
  <c r="H7" i="6092"/>
  <c r="H23" i="6092"/>
  <c r="H32" i="6092"/>
  <c r="C21" i="6092"/>
  <c r="C25" i="6092"/>
  <c r="H30" i="6092"/>
  <c r="H41" i="6092"/>
  <c r="H45" i="6092"/>
  <c r="H49" i="6092"/>
  <c r="H14" i="6092"/>
  <c r="H35" i="6092"/>
  <c r="H16" i="6092"/>
  <c r="C36" i="6092"/>
  <c r="C40" i="6092"/>
  <c r="C44" i="6092"/>
  <c r="C48" i="6092"/>
  <c r="H25" i="6092"/>
  <c r="H33" i="6092"/>
  <c r="C22" i="6092"/>
  <c r="B26" i="6092"/>
  <c r="H18" i="6092"/>
  <c r="H38" i="6092"/>
  <c r="H42" i="6092"/>
  <c r="H46" i="6092"/>
  <c r="H50" i="6092"/>
  <c r="H22" i="6092"/>
  <c r="H27" i="6092"/>
  <c r="H28" i="6092"/>
  <c r="C37" i="6092"/>
  <c r="C41" i="6092"/>
  <c r="C45" i="6092"/>
  <c r="H51" i="6092"/>
  <c r="H19" i="6092"/>
  <c r="C23" i="6092"/>
  <c r="B27" i="6092"/>
  <c r="H36" i="6092"/>
  <c r="H39" i="6092"/>
  <c r="H43" i="6092"/>
  <c r="H47" i="6092"/>
  <c r="C47" i="6090"/>
  <c r="H6" i="6090"/>
  <c r="C42" i="6090"/>
  <c r="C24" i="6090"/>
  <c r="H49" i="6090"/>
  <c r="C38" i="6090"/>
  <c r="H32" i="6090"/>
  <c r="C19" i="6090"/>
  <c r="H38" i="6090"/>
  <c r="H4" i="6090"/>
  <c r="H16" i="6090"/>
  <c r="H13" i="6090"/>
  <c r="C43" i="6090"/>
  <c r="H8" i="6090"/>
  <c r="C25" i="6090"/>
  <c r="H40" i="6090"/>
  <c r="H45" i="6090"/>
  <c r="H50" i="6090"/>
  <c r="C48" i="6090"/>
  <c r="H19" i="6090"/>
  <c r="H22" i="6090"/>
  <c r="H28" i="6090"/>
  <c r="H35" i="6090"/>
  <c r="C39" i="6090"/>
  <c r="C44" i="6090"/>
  <c r="H5" i="6090"/>
  <c r="H14" i="6090"/>
  <c r="H20" i="6090"/>
  <c r="C36" i="6090"/>
  <c r="H15" i="6090"/>
  <c r="H44" i="6090"/>
  <c r="H2" i="6090"/>
  <c r="H21" i="6090"/>
  <c r="H17" i="6090"/>
  <c r="H30" i="6090"/>
  <c r="H7" i="6090"/>
  <c r="H23" i="6090"/>
  <c r="H25" i="6090"/>
  <c r="C21" i="6090"/>
  <c r="B26" i="6090"/>
  <c r="H41" i="6090"/>
  <c r="H46" i="6090"/>
  <c r="H52" i="6090"/>
  <c r="H29" i="6090"/>
  <c r="H31" i="6090"/>
  <c r="H33" i="6090"/>
  <c r="C37" i="6090"/>
  <c r="C41" i="6090"/>
  <c r="C45" i="6090"/>
  <c r="H51" i="6090"/>
  <c r="C23" i="6090"/>
  <c r="B27" i="6090"/>
  <c r="H34" i="6090"/>
  <c r="H39" i="6090"/>
  <c r="H43" i="6090"/>
  <c r="H47" i="6090"/>
  <c r="O23" i="6088" l="1"/>
  <c r="O19" i="6088"/>
  <c r="C34" i="6088"/>
  <c r="B29" i="6088"/>
  <c r="C20" i="6088"/>
  <c r="B19" i="6088"/>
  <c r="H19" i="6088" s="1"/>
  <c r="B18" i="6088"/>
  <c r="B28" i="6088" s="1"/>
  <c r="B17" i="6088"/>
  <c r="C17" i="6088" s="1"/>
  <c r="C16" i="6088"/>
  <c r="C15" i="6088"/>
  <c r="C14" i="6088"/>
  <c r="O12" i="6088"/>
  <c r="B12" i="6088"/>
  <c r="O11" i="6088"/>
  <c r="B11" i="6088"/>
  <c r="O10" i="6088"/>
  <c r="B10" i="6088"/>
  <c r="C9" i="6088"/>
  <c r="C8" i="6088"/>
  <c r="O7" i="6088"/>
  <c r="C7" i="6088"/>
  <c r="O6" i="6088"/>
  <c r="B6" i="6088"/>
  <c r="O5" i="6088"/>
  <c r="B5" i="6088"/>
  <c r="O4" i="6088"/>
  <c r="O3" i="6088"/>
  <c r="O2" i="6088"/>
  <c r="O18" i="6086"/>
  <c r="O21" i="6086"/>
  <c r="C34" i="6086"/>
  <c r="B29" i="6086"/>
  <c r="C20" i="6086"/>
  <c r="B19" i="6086"/>
  <c r="H16" i="6086" s="1"/>
  <c r="B18" i="6086"/>
  <c r="B28" i="6086" s="1"/>
  <c r="B17" i="6086"/>
  <c r="C17" i="6086" s="1"/>
  <c r="C16" i="6086"/>
  <c r="C15" i="6086"/>
  <c r="C14" i="6086"/>
  <c r="O12" i="6086"/>
  <c r="B12" i="6086"/>
  <c r="O11" i="6086"/>
  <c r="B11" i="6086"/>
  <c r="O10" i="6086"/>
  <c r="B10" i="6086"/>
  <c r="C9" i="6086"/>
  <c r="C8" i="6086"/>
  <c r="O7" i="6086"/>
  <c r="C7" i="6086"/>
  <c r="O6" i="6086"/>
  <c r="B6" i="6086"/>
  <c r="O5" i="6086"/>
  <c r="B5" i="6086"/>
  <c r="O4" i="6086"/>
  <c r="O3" i="6086"/>
  <c r="O2" i="6086"/>
  <c r="O20" i="6082"/>
  <c r="O19" i="6084"/>
  <c r="O20" i="6084"/>
  <c r="C34" i="6084"/>
  <c r="B29" i="6084"/>
  <c r="C20" i="6084"/>
  <c r="B19" i="6084"/>
  <c r="H51" i="6084" s="1"/>
  <c r="B18" i="6084"/>
  <c r="B28" i="6084" s="1"/>
  <c r="B17" i="6084"/>
  <c r="C17" i="6084" s="1"/>
  <c r="C16" i="6084"/>
  <c r="C15" i="6084"/>
  <c r="C14" i="6084"/>
  <c r="O12" i="6084"/>
  <c r="B12" i="6084"/>
  <c r="O11" i="6084"/>
  <c r="B11" i="6084"/>
  <c r="O10" i="6084"/>
  <c r="B10" i="6084"/>
  <c r="C9" i="6084"/>
  <c r="C8" i="6084"/>
  <c r="O7" i="6084"/>
  <c r="C7" i="6084"/>
  <c r="O6" i="6084"/>
  <c r="B6" i="6084"/>
  <c r="O5" i="6084"/>
  <c r="B5" i="6084"/>
  <c r="O4" i="6084"/>
  <c r="O3" i="6084"/>
  <c r="O2" i="6084"/>
  <c r="O23" i="6082"/>
  <c r="O25" i="6082"/>
  <c r="C34" i="6082"/>
  <c r="B29" i="6082"/>
  <c r="C20" i="6082"/>
  <c r="B19" i="6082"/>
  <c r="H51" i="6082" s="1"/>
  <c r="B18" i="6082"/>
  <c r="B28" i="6082" s="1"/>
  <c r="B17" i="6082"/>
  <c r="C17" i="6082" s="1"/>
  <c r="C16" i="6082"/>
  <c r="C15" i="6082"/>
  <c r="C14" i="6082"/>
  <c r="O12" i="6082"/>
  <c r="B12" i="6082"/>
  <c r="O11" i="6082"/>
  <c r="B11" i="6082"/>
  <c r="O10" i="6082"/>
  <c r="B10" i="6082"/>
  <c r="C9" i="6082"/>
  <c r="C8" i="6082"/>
  <c r="O7" i="6082"/>
  <c r="C7" i="6082"/>
  <c r="O6" i="6082"/>
  <c r="B6" i="6082"/>
  <c r="O5" i="6082"/>
  <c r="B5" i="6082"/>
  <c r="O4" i="6082"/>
  <c r="O3" i="6082"/>
  <c r="O2" i="6082"/>
  <c r="H28" i="6084" l="1"/>
  <c r="B13" i="6084"/>
  <c r="C18" i="6086"/>
  <c r="C18" i="6084"/>
  <c r="C18" i="6088"/>
  <c r="B13" i="6086"/>
  <c r="B13" i="6088"/>
  <c r="H20" i="6088"/>
  <c r="H28" i="6088"/>
  <c r="H29" i="6088"/>
  <c r="H11" i="6088"/>
  <c r="H42" i="6088"/>
  <c r="H6" i="6088"/>
  <c r="C22" i="6088"/>
  <c r="C44" i="6088"/>
  <c r="H3" i="6088"/>
  <c r="C42" i="6088"/>
  <c r="C24" i="6088"/>
  <c r="H23" i="6088"/>
  <c r="H31" i="6088"/>
  <c r="H12" i="6088"/>
  <c r="H19" i="6084"/>
  <c r="H8" i="6088"/>
  <c r="B26" i="6088"/>
  <c r="C36" i="6088"/>
  <c r="H46" i="6088"/>
  <c r="H9" i="6088"/>
  <c r="C19" i="6088"/>
  <c r="H38" i="6088"/>
  <c r="H16" i="6088"/>
  <c r="C38" i="6088"/>
  <c r="H48" i="6088"/>
  <c r="H2" i="6088"/>
  <c r="H26" i="6088"/>
  <c r="H10" i="6088"/>
  <c r="H40" i="6088"/>
  <c r="C48" i="6088"/>
  <c r="C46" i="6088"/>
  <c r="H5" i="6088"/>
  <c r="H22" i="6088"/>
  <c r="H14" i="6088"/>
  <c r="H17" i="6088"/>
  <c r="C40" i="6088"/>
  <c r="H50" i="6088"/>
  <c r="H4" i="6088"/>
  <c r="H32" i="6088"/>
  <c r="H44" i="6088"/>
  <c r="H52" i="6088"/>
  <c r="H18" i="6088"/>
  <c r="H30" i="6088"/>
  <c r="H13" i="6088"/>
  <c r="H24" i="6088"/>
  <c r="H36" i="6088"/>
  <c r="C39" i="6088"/>
  <c r="C43" i="6088"/>
  <c r="C47" i="6088"/>
  <c r="H7" i="6088"/>
  <c r="H21" i="6088"/>
  <c r="H25" i="6088"/>
  <c r="C21" i="6088"/>
  <c r="C25" i="6088"/>
  <c r="H37" i="6088"/>
  <c r="H41" i="6088"/>
  <c r="H45" i="6088"/>
  <c r="H49" i="6088"/>
  <c r="H27" i="6088"/>
  <c r="H33" i="6088"/>
  <c r="H34" i="6088"/>
  <c r="C37" i="6088"/>
  <c r="C41" i="6088"/>
  <c r="C45" i="6088"/>
  <c r="H51" i="6088"/>
  <c r="H15" i="6088"/>
  <c r="C23" i="6088"/>
  <c r="B27" i="6088"/>
  <c r="H35" i="6088"/>
  <c r="H39" i="6088"/>
  <c r="H43" i="6088"/>
  <c r="H47" i="6088"/>
  <c r="B13" i="6082"/>
  <c r="C18" i="6082"/>
  <c r="H31" i="6086"/>
  <c r="H33" i="6086"/>
  <c r="H8" i="6086"/>
  <c r="H34" i="6086"/>
  <c r="H18" i="6086"/>
  <c r="H23" i="6086"/>
  <c r="H4" i="6086"/>
  <c r="C21" i="6086"/>
  <c r="H19" i="6086"/>
  <c r="H12" i="6086"/>
  <c r="H3" i="6086"/>
  <c r="H20" i="6086"/>
  <c r="H21" i="6086"/>
  <c r="H14" i="6086"/>
  <c r="H13" i="6086"/>
  <c r="H41" i="6086"/>
  <c r="H7" i="6086"/>
  <c r="H2" i="6086"/>
  <c r="H9" i="6086"/>
  <c r="H32" i="6086"/>
  <c r="C25" i="6086"/>
  <c r="C39" i="6086"/>
  <c r="C40" i="6086"/>
  <c r="H30" i="6086"/>
  <c r="C42" i="6086"/>
  <c r="H27" i="6086"/>
  <c r="C46" i="6086"/>
  <c r="H28" i="6086"/>
  <c r="H48" i="6086"/>
  <c r="H10" i="6086"/>
  <c r="H6" i="6086"/>
  <c r="H11" i="6086"/>
  <c r="H22" i="6086"/>
  <c r="H17" i="6086"/>
  <c r="B26" i="6086"/>
  <c r="H37" i="6086"/>
  <c r="C48" i="6086"/>
  <c r="H43" i="6086"/>
  <c r="C47" i="6086"/>
  <c r="C22" i="6086"/>
  <c r="C36" i="6086"/>
  <c r="H45" i="6086"/>
  <c r="H50" i="6086"/>
  <c r="H24" i="6086"/>
  <c r="H29" i="6086"/>
  <c r="H39" i="6086"/>
  <c r="C43" i="6086"/>
  <c r="H5" i="6086"/>
  <c r="H15" i="6086"/>
  <c r="C19" i="6086"/>
  <c r="C24" i="6086"/>
  <c r="C38" i="6086"/>
  <c r="C44" i="6086"/>
  <c r="H52" i="6086"/>
  <c r="H38" i="6086"/>
  <c r="H42" i="6086"/>
  <c r="H46" i="6086"/>
  <c r="H49" i="6086"/>
  <c r="H25" i="6086"/>
  <c r="H26" i="6086"/>
  <c r="H35" i="6086"/>
  <c r="C37" i="6086"/>
  <c r="C41" i="6086"/>
  <c r="C45" i="6086"/>
  <c r="H51" i="6086"/>
  <c r="C23" i="6086"/>
  <c r="B27" i="6086"/>
  <c r="H36" i="6086"/>
  <c r="H40" i="6086"/>
  <c r="H44" i="6086"/>
  <c r="H47" i="6086"/>
  <c r="H3" i="6084"/>
  <c r="H32" i="6084"/>
  <c r="H41" i="6084"/>
  <c r="H34" i="6084"/>
  <c r="H13" i="6084"/>
  <c r="C22" i="6084"/>
  <c r="H2" i="6084"/>
  <c r="C42" i="6084"/>
  <c r="H8" i="6084"/>
  <c r="H30" i="6084"/>
  <c r="C24" i="6084"/>
  <c r="B26" i="6084"/>
  <c r="C44" i="6084"/>
  <c r="C19" i="6084"/>
  <c r="H45" i="6084"/>
  <c r="H23" i="6084"/>
  <c r="H12" i="6084"/>
  <c r="H47" i="6084"/>
  <c r="C36" i="6084"/>
  <c r="H37" i="6084"/>
  <c r="H39" i="6084"/>
  <c r="C48" i="6084"/>
  <c r="C46" i="6084"/>
  <c r="H10" i="6084"/>
  <c r="H14" i="6084"/>
  <c r="C38" i="6084"/>
  <c r="H5" i="6084"/>
  <c r="H18" i="6084"/>
  <c r="H6" i="6084"/>
  <c r="H9" i="6084"/>
  <c r="H11" i="6084"/>
  <c r="H17" i="6084"/>
  <c r="C40" i="6084"/>
  <c r="H49" i="6084"/>
  <c r="H4" i="6084"/>
  <c r="H25" i="6084"/>
  <c r="H43" i="6084"/>
  <c r="H52" i="6084"/>
  <c r="H16" i="6084"/>
  <c r="H29" i="6084"/>
  <c r="H15" i="6084"/>
  <c r="H31" i="6084"/>
  <c r="H35" i="6084"/>
  <c r="C39" i="6084"/>
  <c r="C43" i="6084"/>
  <c r="C47" i="6084"/>
  <c r="H7" i="6084"/>
  <c r="H26" i="6084"/>
  <c r="H27" i="6084"/>
  <c r="C21" i="6084"/>
  <c r="C25" i="6084"/>
  <c r="H36" i="6084"/>
  <c r="H40" i="6084"/>
  <c r="H44" i="6084"/>
  <c r="H48" i="6084"/>
  <c r="H24" i="6084"/>
  <c r="H21" i="6084"/>
  <c r="H22" i="6084"/>
  <c r="C37" i="6084"/>
  <c r="C41" i="6084"/>
  <c r="C45" i="6084"/>
  <c r="H50" i="6084"/>
  <c r="H20" i="6084"/>
  <c r="C23" i="6084"/>
  <c r="B27" i="6084"/>
  <c r="H33" i="6084"/>
  <c r="H38" i="6084"/>
  <c r="H42" i="6084"/>
  <c r="H46" i="6084"/>
  <c r="C36" i="6082"/>
  <c r="H11" i="6082"/>
  <c r="H41" i="6082"/>
  <c r="H13" i="6082"/>
  <c r="H4" i="6082"/>
  <c r="H25" i="6082"/>
  <c r="C44" i="6082"/>
  <c r="H24" i="6082"/>
  <c r="C46" i="6082"/>
  <c r="H7" i="6082"/>
  <c r="H36" i="6082"/>
  <c r="H16" i="6082"/>
  <c r="H6" i="6082"/>
  <c r="C19" i="6082"/>
  <c r="H20" i="6082"/>
  <c r="H14" i="6082"/>
  <c r="H42" i="6082"/>
  <c r="H3" i="6082"/>
  <c r="H43" i="6082"/>
  <c r="H49" i="6082"/>
  <c r="H23" i="6082"/>
  <c r="H45" i="6082"/>
  <c r="H40" i="6082"/>
  <c r="H22" i="6082"/>
  <c r="H38" i="6082"/>
  <c r="H48" i="6082"/>
  <c r="H2" i="6082"/>
  <c r="H21" i="6082"/>
  <c r="C25" i="6082"/>
  <c r="H19" i="6082"/>
  <c r="H28" i="6082"/>
  <c r="H44" i="6082"/>
  <c r="C48" i="6082"/>
  <c r="H29" i="6082"/>
  <c r="C22" i="6082"/>
  <c r="H46" i="6082"/>
  <c r="H18" i="6082"/>
  <c r="H10" i="6082"/>
  <c r="H12" i="6082"/>
  <c r="H15" i="6082"/>
  <c r="C24" i="6082"/>
  <c r="C38" i="6082"/>
  <c r="H30" i="6082"/>
  <c r="H9" i="6082"/>
  <c r="H37" i="6082"/>
  <c r="H32" i="6082"/>
  <c r="C21" i="6082"/>
  <c r="B26" i="6082"/>
  <c r="H33" i="6082"/>
  <c r="C42" i="6082"/>
  <c r="H50" i="6082"/>
  <c r="H17" i="6082"/>
  <c r="B27" i="6082"/>
  <c r="H34" i="6082"/>
  <c r="H35" i="6082"/>
  <c r="H5" i="6082"/>
  <c r="C23" i="6082"/>
  <c r="H8" i="6082"/>
  <c r="H39" i="6082"/>
  <c r="C40" i="6082"/>
  <c r="H47" i="6082"/>
  <c r="H52" i="6082"/>
  <c r="C39" i="6082"/>
  <c r="C43" i="6082"/>
  <c r="C47" i="6082"/>
  <c r="H26" i="6082"/>
  <c r="H27" i="6082"/>
  <c r="H31" i="6082"/>
  <c r="C37" i="6082"/>
  <c r="C41" i="6082"/>
  <c r="C45" i="608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<sst xmlns="http://schemas.openxmlformats.org/spreadsheetml/2006/main" count="4048" uniqueCount="328">
  <si>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</si>
  <si>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</si>
  <si>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</si>
  <si>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</si>
  <si>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</si>
  <si>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</si>
  <si>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</si>
  <si>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</si>
  <si>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</si>
  <si>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</si>
  <si>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</si>
  <si>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</si>
  <si>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</si>
  <si>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</si>
  <si>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</si>
  <si>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</si>
  <si>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</si>
  <si>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</si>
  <si>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</si>
  <si>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</si>
  <si>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</si>
  <si>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</si>
  <si>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</si>
  <si>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</si>
  <si>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</si>
  <si>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</si>
  <si>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</si>
  <si>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</si>
  <si>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</si>
  <si>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</si>
  <si>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</si>
  <si>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</si>
  <si>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</si>
  <si>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</si>
  <si>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</si>
  <si>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</si>
  <si>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</si>
  <si>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</si>
  <si>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</si>
  <si>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</si>
  <si>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</si>
  <si>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</si>
  <si>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</si>
  <si>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</si>
  <si>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</si>
  <si>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</si>
  <si>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</si>
  <si>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</si>
  <si>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</si>
  <si>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</si>
  <si>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</si>
  <si>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</si>
  <si>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</si>
  <si>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</si>
  <si>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</si>
  <si>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</si>
  <si>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</si>
  <si>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</si>
  <si>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</si>
  <si>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</si>
  <si>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</si>
  <si>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</si>
  <si>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</si>
  <si>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</si>
  <si>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</si>
  <si>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</si>
  <si>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</si>
  <si>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</si>
  <si>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</si>
  <si>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</si>
  <si>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</si>
  <si>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</si>
  <si>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</si>
  <si>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</si>
  <si>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</si>
  <si>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</si>
  <si>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</si>
  <si>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</si>
  <si>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</si>
  <si>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</si>
  <si>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</si>
  <si>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</si>
  <si>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</si>
  <si>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</si>
  <si>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</si>
  <si>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</si>
  <si>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</si>
  <si>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</si>
  <si>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</si>
  <si>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</si>
  <si>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</si>
  <si>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</si>
  <si>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</si>
  <si>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</si>
  <si>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</si>
  <si>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</si>
  <si>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</si>
  <si>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</si>
  <si>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</si>
  <si>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</si>
  <si>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</si>
  <si>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</si>
  <si>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</si>
  <si>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</si>
  <si>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</si>
  <si>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</si>
  <si>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</si>
  <si>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</si>
  <si>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</si>
  <si>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</si>
  <si>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</si>
  <si>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</si>
  <si>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</si>
  <si>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</si>
  <si>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</si>
  <si>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</si>
  <si>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</si>
  <si>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</si>
  <si>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</si>
  <si>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</si>
  <si>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</si>
  <si>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</si>
  <si>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</si>
  <si>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</si>
  <si>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</si>
  <si>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</si>
  <si>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</si>
  <si>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</si>
  <si>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</si>
  <si>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</si>
  <si>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</si>
  <si>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</si>
  <si>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</si>
  <si>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</si>
  <si>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</si>
  <si>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</si>
  <si>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</si>
  <si>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</si>
  <si>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</si>
  <si>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</si>
  <si>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</si>
  <si>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</si>
  <si>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</si>
  <si>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</si>
  <si>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</si>
  <si>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</si>
  <si>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</si>
  <si>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</si>
  <si>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</si>
  <si>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</si>
  <si>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</si>
  <si>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</si>
  <si>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</si>
  <si>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</si>
  <si>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</si>
  <si>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</si>
  <si>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</si>
  <si>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</si>
  <si>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</si>
  <si>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</si>
  <si>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</si>
  <si>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</si>
  <si>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</si>
  <si>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</si>
  <si>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</si>
  <si>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</si>
  <si>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</si>
  <si>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</si>
  <si>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</si>
  <si>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</si>
  <si>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</si>
  <si>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</si>
  <si>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</si>
  <si>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</si>
  <si>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</si>
  <si>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</si>
  <si>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</si>
  <si>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</si>
  <si>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</si>
  <si>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</si>
  <si>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</si>
  <si>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</si>
  <si>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</si>
  <si>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</si>
  <si>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</si>
  <si>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</si>
  <si>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</si>
  <si>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</si>
  <si>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</si>
  <si>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</si>
  <si>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</si>
  <si>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</si>
  <si>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</si>
  <si>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</si>
  <si>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</si>
  <si>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</si>
  <si>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</si>
  <si>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</si>
  <si>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</si>
  <si>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</si>
  <si>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</si>
  <si>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</si>
  <si>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</si>
  <si>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</si>
  <si>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</si>
  <si>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</si>
  <si>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</si>
  <si>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</si>
  <si>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</si>
  <si>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</si>
  <si>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</si>
  <si>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</si>
  <si>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</si>
  <si>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</si>
  <si>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</si>
  <si>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</si>
  <si>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</si>
  <si>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</si>
  <si>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</si>
  <si>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</si>
  <si>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</si>
  <si>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</si>
  <si>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</si>
  <si>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</si>
  <si>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</si>
  <si>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</si>
  <si>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</si>
  <si>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</si>
  <si>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</si>
  <si>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</si>
  <si>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</si>
  <si>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</si>
  <si>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</si>
  <si>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</si>
  <si>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</si>
  <si>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</si>
  <si>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</si>
  <si>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</si>
  <si>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</si>
  <si>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</si>
  <si>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</si>
  <si>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</si>
  <si>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</si>
  <si>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</si>
  <si>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</si>
  <si>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</si>
  <si>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</si>
  <si>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</si>
  <si>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</si>
  <si>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</si>
  <si>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</si>
  <si>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</si>
  <si>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</si>
  <si>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</si>
  <si>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</si>
  <si>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</si>
  <si>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</si>
  <si>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</si>
  <si>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</si>
  <si>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</si>
  <si>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</si>
  <si>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</si>
  <si>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</si>
  <si>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</si>
  <si>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</si>
  <si>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</si>
  <si>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</si>
  <si>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</si>
  <si>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</si>
  <si>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</si>
  <si>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</si>
  <si>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</si>
  <si>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</si>
  <si>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</si>
  <si>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</si>
  <si>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</si>
  <si>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</si>
  <si>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</si>
  <si>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</si>
  <si>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</si>
  <si>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</si>
  <si>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</si>
  <si>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</si>
  <si>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</si>
  <si>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</si>
  <si>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</si>
  <si>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</si>
  <si>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</si>
  <si>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</si>
  <si>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</si>
  <si>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</si>
  <si>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</si>
  <si>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</si>
  <si>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</si>
  <si>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</si>
  <si>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</si>
  <si>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</si>
  <si>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</si>
  <si>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</si>
  <si>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</si>
  <si>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</si>
  <si>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</si>
  <si>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</si>
  <si>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</si>
  <si>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</si>
  <si>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</si>
  <si>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</si>
  <si>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</si>
  <si>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</si>
  <si>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</si>
  <si>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</si>
  <si>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</si>
  <si>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</si>
  <si>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</si>
  <si>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</si>
  <si>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</si>
  <si>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</si>
  <si>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</si>
  <si>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</si>
  <si>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</si>
  <si>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</si>
  <si>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</si>
  <si>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</si>
  <si>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</si>
  <si>
    <t>2020-02-23@2.xlsm</t>
  </si>
  <si>
    <t>2020-02-24@2.xlsm</t>
  </si>
  <si>
    <t>2020-02-25@5.xlsm</t>
  </si>
  <si>
    <t>2020-03-11@Jiqoo.xlsm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</si>
</sst>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全体!$K$2:$K$1151</c:f>
              <c:numCache>
                <c:formatCode>General</c:formatCode>
                <c:ptCount val="1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</c:numCache>
            </c:numRef>
          </c:xVal>
          <c:yVal>
            <c:numRef>
              <c:f>全体!$L$2:$L$1151</c:f>
              <c:numCache>
                <c:formatCode>\+0.0;\-0.0;\±0</c:formatCode>
                <c:ptCount val="115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  <c:pt idx="1084">
                  <c:v>-39.000000000000092</c:v>
                </c:pt>
                <c:pt idx="1085">
                  <c:v>3.6999999999999105</c:v>
                </c:pt>
                <c:pt idx="1086">
                  <c:v>-8.9706020389712648E-14</c:v>
                </c:pt>
                <c:pt idx="1087">
                  <c:v>1.1999999999999102</c:v>
                </c:pt>
                <c:pt idx="1088">
                  <c:v>-24.80000000000009</c:v>
                </c:pt>
                <c:pt idx="1089">
                  <c:v>-8.8817841970012523E-14</c:v>
                </c:pt>
                <c:pt idx="1090">
                  <c:v>16.89999999999991</c:v>
                </c:pt>
                <c:pt idx="1091">
                  <c:v>0.39999999999990976</c:v>
                </c:pt>
                <c:pt idx="1092">
                  <c:v>-9.0261131902025227E-14</c:v>
                </c:pt>
                <c:pt idx="1093">
                  <c:v>27.999999999999911</c:v>
                </c:pt>
                <c:pt idx="1094">
                  <c:v>41.799999999999912</c:v>
                </c:pt>
                <c:pt idx="1095">
                  <c:v>-8.5265128291212022E-14</c:v>
                </c:pt>
                <c:pt idx="1096">
                  <c:v>-48.700000000000088</c:v>
                </c:pt>
                <c:pt idx="1097">
                  <c:v>-16.30000000000009</c:v>
                </c:pt>
                <c:pt idx="1098">
                  <c:v>-8.8817841970012523E-14</c:v>
                </c:pt>
                <c:pt idx="1099">
                  <c:v>-19.700000000000088</c:v>
                </c:pt>
                <c:pt idx="1100">
                  <c:v>9.4999999999999112</c:v>
                </c:pt>
                <c:pt idx="1101">
                  <c:v>-8.8817841970012523E-14</c:v>
                </c:pt>
                <c:pt idx="1102">
                  <c:v>-46.400000000000091</c:v>
                </c:pt>
                <c:pt idx="1103">
                  <c:v>-54.200000000000088</c:v>
                </c:pt>
                <c:pt idx="1104">
                  <c:v>-8.5265128291212022E-14</c:v>
                </c:pt>
                <c:pt idx="1105">
                  <c:v>-16.500000000000085</c:v>
                </c:pt>
                <c:pt idx="1106">
                  <c:v>55.799999999999912</c:v>
                </c:pt>
                <c:pt idx="1107">
                  <c:v>-8.5265128291212022E-14</c:v>
                </c:pt>
                <c:pt idx="1108">
                  <c:v>-70.900000000000091</c:v>
                </c:pt>
                <c:pt idx="1109">
                  <c:v>-8.0000000000000924</c:v>
                </c:pt>
                <c:pt idx="1110">
                  <c:v>-9.2370555648813024E-14</c:v>
                </c:pt>
                <c:pt idx="1111">
                  <c:v>32.999999999999908</c:v>
                </c:pt>
                <c:pt idx="1112">
                  <c:v>7.3999999999999062</c:v>
                </c:pt>
                <c:pt idx="1113">
                  <c:v>-9.4146912488213275E-14</c:v>
                </c:pt>
                <c:pt idx="1114">
                  <c:v>-56.200000000000095</c:v>
                </c:pt>
                <c:pt idx="1115">
                  <c:v>-12.400000000000098</c:v>
                </c:pt>
                <c:pt idx="1116">
                  <c:v>-9.7699626167013776E-14</c:v>
                </c:pt>
                <c:pt idx="1117">
                  <c:v>25.599999999999902</c:v>
                </c:pt>
                <c:pt idx="1118">
                  <c:v>33.899999999999906</c:v>
                </c:pt>
                <c:pt idx="1119">
                  <c:v>-9.2370555648813024E-14</c:v>
                </c:pt>
                <c:pt idx="1120">
                  <c:v>-31.300000000000093</c:v>
                </c:pt>
                <c:pt idx="1121">
                  <c:v>-6.4000000000000945</c:v>
                </c:pt>
                <c:pt idx="1122">
                  <c:v>-9.4146912488213275E-14</c:v>
                </c:pt>
                <c:pt idx="1123">
                  <c:v>-30.000000000000092</c:v>
                </c:pt>
                <c:pt idx="1124">
                  <c:v>10.599999999999909</c:v>
                </c:pt>
                <c:pt idx="1125">
                  <c:v>-9.0594198809412774E-14</c:v>
                </c:pt>
                <c:pt idx="1126">
                  <c:v>-9.0000000000000906</c:v>
                </c:pt>
                <c:pt idx="1127">
                  <c:v>30.099999999999909</c:v>
                </c:pt>
                <c:pt idx="1128">
                  <c:v>-9.2370555648813024E-14</c:v>
                </c:pt>
                <c:pt idx="1129">
                  <c:v>-48.500000000000092</c:v>
                </c:pt>
                <c:pt idx="1130">
                  <c:v>-42.500000000000092</c:v>
                </c:pt>
                <c:pt idx="1131">
                  <c:v>-9.2370555648813024E-14</c:v>
                </c:pt>
                <c:pt idx="1132">
                  <c:v>48.19999999999991</c:v>
                </c:pt>
                <c:pt idx="1133">
                  <c:v>-0.30000000000008953</c:v>
                </c:pt>
                <c:pt idx="1134">
                  <c:v>-8.9539486936018875E-14</c:v>
                </c:pt>
                <c:pt idx="1135">
                  <c:v>-2.5000000000000897</c:v>
                </c:pt>
                <c:pt idx="1136">
                  <c:v>-16.900000000000091</c:v>
                </c:pt>
                <c:pt idx="1137">
                  <c:v>-9.2370555648813024E-14</c:v>
                </c:pt>
                <c:pt idx="1138">
                  <c:v>-34.500000000000092</c:v>
                </c:pt>
                <c:pt idx="1139">
                  <c:v>-11.500000000000092</c:v>
                </c:pt>
                <c:pt idx="1140">
                  <c:v>-9.2370555648813024E-14</c:v>
                </c:pt>
                <c:pt idx="1141">
                  <c:v>-25.600000000000094</c:v>
                </c:pt>
                <c:pt idx="1142">
                  <c:v>-27.600000000000094</c:v>
                </c:pt>
                <c:pt idx="1143">
                  <c:v>-9.2370555648813024E-14</c:v>
                </c:pt>
                <c:pt idx="1144">
                  <c:v>-15.400000000000093</c:v>
                </c:pt>
                <c:pt idx="1145">
                  <c:v>-48.400000000000091</c:v>
                </c:pt>
                <c:pt idx="1146">
                  <c:v>-9.2370555648813024E-14</c:v>
                </c:pt>
                <c:pt idx="1147">
                  <c:v>-7.4000000000000927</c:v>
                </c:pt>
                <c:pt idx="1148">
                  <c:v>31.099999999999909</c:v>
                </c:pt>
                <c:pt idx="1149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2-4BC4-9367-24FE049D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-27.99650043744532</c:v>
                </c:pt>
                <c:pt idx="1">
                  <c:v>8.0213903743315509</c:v>
                </c:pt>
                <c:pt idx="2">
                  <c:v>-1.899335232668566</c:v>
                </c:pt>
                <c:pt idx="3">
                  <c:v>0</c:v>
                </c:pt>
                <c:pt idx="4">
                  <c:v>5.5005500550055002</c:v>
                </c:pt>
                <c:pt idx="5">
                  <c:v>25.132275132275133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D-49B7-8534-A6C5E7748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222</c:v>
                </c:pt>
                <c:pt idx="1">
                  <c:v>478</c:v>
                </c:pt>
                <c:pt idx="2">
                  <c:v>549</c:v>
                </c:pt>
                <c:pt idx="3">
                  <c:v>506</c:v>
                </c:pt>
                <c:pt idx="4">
                  <c:v>438</c:v>
                </c:pt>
                <c:pt idx="5">
                  <c:v>287</c:v>
                </c:pt>
                <c:pt idx="6">
                  <c:v>141</c:v>
                </c:pt>
                <c:pt idx="7">
                  <c:v>81</c:v>
                </c:pt>
                <c:pt idx="8">
                  <c:v>37</c:v>
                </c:pt>
                <c:pt idx="9">
                  <c:v>14</c:v>
                </c:pt>
                <c:pt idx="10">
                  <c:v>11</c:v>
                </c:pt>
                <c:pt idx="11">
                  <c:v>6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1-4508-B4F6-563CD9301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  <c:pt idx="94">
                  <c:v>-702.60000000000025</c:v>
                </c:pt>
                <c:pt idx="95">
                  <c:v>-703.00000000000023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BE-98B5-DD32B8F9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1756.8421052631579</c:v>
                </c:pt>
                <c:pt idx="1">
                  <c:v>-1743.010752688172</c:v>
                </c:pt>
                <c:pt idx="2">
                  <c:v>-2713.1868131868132</c:v>
                </c:pt>
                <c:pt idx="3">
                  <c:v>-651.76470588235293</c:v>
                </c:pt>
                <c:pt idx="4">
                  <c:v>-995.18072289156623</c:v>
                </c:pt>
                <c:pt idx="5">
                  <c:v>-2332.3529411764707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9-4110-A701-B51736FAE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49</c:v>
                </c:pt>
                <c:pt idx="2">
                  <c:v>49</c:v>
                </c:pt>
                <c:pt idx="3">
                  <c:v>43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5-46CD-9159-7F47754E1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だいち!$L$2:$L$236</c:f>
              <c:numCache>
                <c:formatCode>\+0.0;\-0.0;\±0</c:formatCode>
                <c:ptCount val="23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  <c:pt idx="221">
                  <c:v>1965.3999999999999</c:v>
                </c:pt>
                <c:pt idx="222">
                  <c:v>1955.8999999999999</c:v>
                </c:pt>
                <c:pt idx="223">
                  <c:v>2010.1</c:v>
                </c:pt>
                <c:pt idx="224">
                  <c:v>2035.6999999999998</c:v>
                </c:pt>
                <c:pt idx="225">
                  <c:v>2042.1</c:v>
                </c:pt>
                <c:pt idx="226">
                  <c:v>2031.5</c:v>
                </c:pt>
                <c:pt idx="227">
                  <c:v>2001.4</c:v>
                </c:pt>
                <c:pt idx="228">
                  <c:v>2007.4</c:v>
                </c:pt>
                <c:pt idx="229">
                  <c:v>1958.9</c:v>
                </c:pt>
                <c:pt idx="230">
                  <c:v>1944.5</c:v>
                </c:pt>
                <c:pt idx="231">
                  <c:v>1967.5</c:v>
                </c:pt>
                <c:pt idx="232">
                  <c:v>1995.1</c:v>
                </c:pt>
                <c:pt idx="233">
                  <c:v>2043.5</c:v>
                </c:pt>
                <c:pt idx="234">
                  <c:v>2082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E-41DD-86F6-7A215E43D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1177.6824034334763</c:v>
                </c:pt>
                <c:pt idx="1">
                  <c:v>1699.1266375545852</c:v>
                </c:pt>
                <c:pt idx="2">
                  <c:v>1239.3665158371041</c:v>
                </c:pt>
                <c:pt idx="3">
                  <c:v>242.02898550724638</c:v>
                </c:pt>
                <c:pt idx="4">
                  <c:v>1480.2083333333333</c:v>
                </c:pt>
                <c:pt idx="5">
                  <c:v>1581.0126582278481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5-437D-89D5-268EB2D9F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59</c:v>
                </c:pt>
                <c:pt idx="1">
                  <c:v>120</c:v>
                </c:pt>
                <c:pt idx="2">
                  <c:v>134</c:v>
                </c:pt>
                <c:pt idx="3">
                  <c:v>117</c:v>
                </c:pt>
                <c:pt idx="4">
                  <c:v>96</c:v>
                </c:pt>
                <c:pt idx="5">
                  <c:v>62</c:v>
                </c:pt>
                <c:pt idx="6">
                  <c:v>30</c:v>
                </c:pt>
                <c:pt idx="7">
                  <c:v>12</c:v>
                </c:pt>
                <c:pt idx="8">
                  <c:v>12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B-4526-9A8B-51BF5C9C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ただ!$L$2:$L$204</c:f>
              <c:numCache>
                <c:formatCode>\+0.0;\-0.0;\±0</c:formatCode>
                <c:ptCount val="20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  <c:pt idx="190">
                  <c:v>-72.200000000000216</c:v>
                </c:pt>
                <c:pt idx="191">
                  <c:v>-39.800000000000217</c:v>
                </c:pt>
                <c:pt idx="192">
                  <c:v>-59.500000000000213</c:v>
                </c:pt>
                <c:pt idx="193">
                  <c:v>-34.600000000000215</c:v>
                </c:pt>
                <c:pt idx="194">
                  <c:v>5.9999999999997868</c:v>
                </c:pt>
                <c:pt idx="195">
                  <c:v>45.099999999999788</c:v>
                </c:pt>
                <c:pt idx="196">
                  <c:v>87.599999999999795</c:v>
                </c:pt>
                <c:pt idx="197">
                  <c:v>87.899999999999793</c:v>
                </c:pt>
                <c:pt idx="198">
                  <c:v>104.79999999999978</c:v>
                </c:pt>
                <c:pt idx="199">
                  <c:v>70.299999999999784</c:v>
                </c:pt>
                <c:pt idx="200">
                  <c:v>44.699999999999783</c:v>
                </c:pt>
                <c:pt idx="201">
                  <c:v>29.299999999999784</c:v>
                </c:pt>
                <c:pt idx="202">
                  <c:v>21.899999999999785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0-43F6-9D46-5407F9019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-701</c:v>
                </c:pt>
                <c:pt idx="1">
                  <c:v>1004.5918367346939</c:v>
                </c:pt>
                <c:pt idx="2">
                  <c:v>-58.469945355191257</c:v>
                </c:pt>
                <c:pt idx="3">
                  <c:v>-63.428571428571431</c:v>
                </c:pt>
                <c:pt idx="4">
                  <c:v>-1186.875</c:v>
                </c:pt>
                <c:pt idx="5">
                  <c:v>1075.7352941176471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D8-411C-837C-87D75BE9E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49</c:v>
                </c:pt>
                <c:pt idx="1">
                  <c:v>100</c:v>
                </c:pt>
                <c:pt idx="2">
                  <c:v>114</c:v>
                </c:pt>
                <c:pt idx="3">
                  <c:v>104</c:v>
                </c:pt>
                <c:pt idx="4">
                  <c:v>77</c:v>
                </c:pt>
                <c:pt idx="5">
                  <c:v>47</c:v>
                </c:pt>
                <c:pt idx="6">
                  <c:v>16</c:v>
                </c:pt>
                <c:pt idx="7">
                  <c:v>10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9-429C-AC72-279DFEA46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  <c:pt idx="112">
                  <c:v>-670.5</c:v>
                </c:pt>
                <c:pt idx="113">
                  <c:v>-700.5</c:v>
                </c:pt>
                <c:pt idx="114">
                  <c:v>-709.5</c:v>
                </c:pt>
                <c:pt idx="115">
                  <c:v>-758</c:v>
                </c:pt>
                <c:pt idx="116">
                  <c:v>-709.8</c:v>
                </c:pt>
                <c:pt idx="117">
                  <c:v>-712.3</c:v>
                </c:pt>
                <c:pt idx="118">
                  <c:v>-700.8</c:v>
                </c:pt>
                <c:pt idx="119">
                  <c:v>-702.8</c:v>
                </c:pt>
                <c:pt idx="120">
                  <c:v>-735.8</c:v>
                </c:pt>
                <c:pt idx="121">
                  <c:v>-766.9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B-404E-8E30-C31414F42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-1004.1666666666666</c:v>
                </c:pt>
                <c:pt idx="1">
                  <c:v>-457.14285714285717</c:v>
                </c:pt>
                <c:pt idx="2">
                  <c:v>172.97297297297297</c:v>
                </c:pt>
                <c:pt idx="3">
                  <c:v>-759.63302752293578</c:v>
                </c:pt>
                <c:pt idx="4">
                  <c:v>-1965.3846153846155</c:v>
                </c:pt>
                <c:pt idx="5">
                  <c:v>-1465.934065934066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50-4C44-85D2-C6A063525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62</c:v>
                </c:pt>
                <c:pt idx="3">
                  <c:v>44</c:v>
                </c:pt>
                <c:pt idx="4">
                  <c:v>46</c:v>
                </c:pt>
                <c:pt idx="5">
                  <c:v>25</c:v>
                </c:pt>
                <c:pt idx="6">
                  <c:v>17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1-4E11-A6B8-46DE31935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れんたろう!$L$2:$L$169</c:f>
              <c:numCache>
                <c:formatCode>\+0.0;\-0.0;\±0</c:formatCode>
                <c:ptCount val="16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  <c:pt idx="163">
                  <c:v>791.60000000000036</c:v>
                </c:pt>
                <c:pt idx="164">
                  <c:v>742.90000000000032</c:v>
                </c:pt>
                <c:pt idx="165">
                  <c:v>772.10000000000036</c:v>
                </c:pt>
                <c:pt idx="166">
                  <c:v>844.40000000000032</c:v>
                </c:pt>
                <c:pt idx="167">
                  <c:v>888.20000000000027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6-4E50-B536-7D3CD8F69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1686.7469879518073</c:v>
                </c:pt>
                <c:pt idx="1">
                  <c:v>-1889.5061728395062</c:v>
                </c:pt>
                <c:pt idx="2">
                  <c:v>147.26027397260273</c:v>
                </c:pt>
                <c:pt idx="3">
                  <c:v>2348.1481481481483</c:v>
                </c:pt>
                <c:pt idx="4">
                  <c:v>1454.0983606557377</c:v>
                </c:pt>
                <c:pt idx="5">
                  <c:v>663.44086021505382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C-493A-915D-A3320DBD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33</c:v>
                </c:pt>
                <c:pt idx="2">
                  <c:v>54</c:v>
                </c:pt>
                <c:pt idx="3">
                  <c:v>70</c:v>
                </c:pt>
                <c:pt idx="4">
                  <c:v>81</c:v>
                </c:pt>
                <c:pt idx="5">
                  <c:v>51</c:v>
                </c:pt>
                <c:pt idx="6">
                  <c:v>27</c:v>
                </c:pt>
                <c:pt idx="7">
                  <c:v>26</c:v>
                </c:pt>
                <c:pt idx="8">
                  <c:v>12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5F-4B9A-A1A0-98649A994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  <c:pt idx="165">
                  <c:v>-103.69999999999999</c:v>
                </c:pt>
                <c:pt idx="166">
                  <c:v>-129.69999999999999</c:v>
                </c:pt>
                <c:pt idx="167">
                  <c:v>-146.19999999999999</c:v>
                </c:pt>
                <c:pt idx="168">
                  <c:v>-118.19999999999999</c:v>
                </c:pt>
                <c:pt idx="169">
                  <c:v>-101.89999999999999</c:v>
                </c:pt>
                <c:pt idx="170">
                  <c:v>-93.899999999999991</c:v>
                </c:pt>
                <c:pt idx="171">
                  <c:v>-81.499999999999986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6-44A9-887A-142044079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-167.83625730994152</c:v>
                </c:pt>
                <c:pt idx="1">
                  <c:v>632.14285714285711</c:v>
                </c:pt>
                <c:pt idx="2">
                  <c:v>264.96815286624206</c:v>
                </c:pt>
                <c:pt idx="3">
                  <c:v>-76.223776223776227</c:v>
                </c:pt>
                <c:pt idx="4">
                  <c:v>158.59375</c:v>
                </c:pt>
                <c:pt idx="5">
                  <c:v>-916.36363636363637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2-4B5C-AD77-0B9365C82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23</c:v>
                </c:pt>
                <c:pt idx="1">
                  <c:v>69</c:v>
                </c:pt>
                <c:pt idx="2">
                  <c:v>72</c:v>
                </c:pt>
                <c:pt idx="3">
                  <c:v>75</c:v>
                </c:pt>
                <c:pt idx="4">
                  <c:v>51</c:v>
                </c:pt>
                <c:pt idx="5">
                  <c:v>44</c:v>
                </c:pt>
                <c:pt idx="6">
                  <c:v>20</c:v>
                </c:pt>
                <c:pt idx="7">
                  <c:v>10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D54-8B43-77733406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  <c:pt idx="76">
                  <c:v>-867.20000000000016</c:v>
                </c:pt>
                <c:pt idx="77">
                  <c:v>-938.10000000000014</c:v>
                </c:pt>
                <c:pt idx="78">
                  <c:v>-905.10000000000014</c:v>
                </c:pt>
                <c:pt idx="79">
                  <c:v>-896.80000000000018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5-42B8-ACDB-E938877E3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-3475.9493670886077</c:v>
                </c:pt>
                <c:pt idx="1">
                  <c:v>619.23076923076928</c:v>
                </c:pt>
                <c:pt idx="2">
                  <c:v>-1241.0958904109589</c:v>
                </c:pt>
                <c:pt idx="3">
                  <c:v>-1640</c:v>
                </c:pt>
                <c:pt idx="4">
                  <c:v>-1473.7704918032787</c:v>
                </c:pt>
                <c:pt idx="5">
                  <c:v>-1736.7346938775511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8-464B-8E38-8A5E7603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32</c:v>
                </c:pt>
                <c:pt idx="3">
                  <c:v>29</c:v>
                </c:pt>
                <c:pt idx="4">
                  <c:v>23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0D-4726-A9B7-97B37C80E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  <c:pt idx="33">
                  <c:v>-138.49999999999997</c:v>
                </c:pt>
                <c:pt idx="34">
                  <c:v>-194.29999999999995</c:v>
                </c:pt>
                <c:pt idx="35">
                  <c:v>-201.69999999999996</c:v>
                </c:pt>
                <c:pt idx="36">
                  <c:v>-257.89999999999998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B-4FA6-8F4D-A7B188B8E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-2180</c:v>
                </c:pt>
                <c:pt idx="1">
                  <c:v>-4002.9411764705883</c:v>
                </c:pt>
                <c:pt idx="2">
                  <c:v>1606.25</c:v>
                </c:pt>
                <c:pt idx="3">
                  <c:v>-2390.625</c:v>
                </c:pt>
                <c:pt idx="4">
                  <c:v>3303.5714285714284</c:v>
                </c:pt>
                <c:pt idx="5">
                  <c:v>70.833333333333329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28-4DB0-A5E0-17E3EF035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12</c:v>
                </c:pt>
                <c:pt idx="2">
                  <c:v>14</c:v>
                </c:pt>
                <c:pt idx="3">
                  <c:v>11</c:v>
                </c:pt>
                <c:pt idx="4">
                  <c:v>15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9-4B0B-AD41-078ADF295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C5-41F7-85DE-EC313BC4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04-4504-9E70-4251C6E4D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B-458C-A99F-20AAC7E88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E-4590-BE65-43AB062D4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D6-4CDA-B272-DC0558681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4-44A7-ABD8-56651C29E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  <c:pt idx="19">
                  <c:v>-102</c:v>
                </c:pt>
                <c:pt idx="20">
                  <c:v>-135.9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A-41CF-A9CA-86CBF8E5C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-3300</c:v>
                </c:pt>
                <c:pt idx="1">
                  <c:v>-975</c:v>
                </c:pt>
                <c:pt idx="2">
                  <c:v>-2530</c:v>
                </c:pt>
                <c:pt idx="3">
                  <c:v>1376.4705882352941</c:v>
                </c:pt>
                <c:pt idx="4">
                  <c:v>-1373.3333333333333</c:v>
                </c:pt>
                <c:pt idx="5">
                  <c:v>2284.6153846153848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3-48F3-9E77-E02F7728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B-4A0A-AF6D-A94B59356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9-433B-B2ED-C7AF3818B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78-4B49-BED9-656E20C19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AC-4E5C-A6CA-CA6E4FCFB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D-4E14-9BCF-9777CC492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84-4E10-87E3-402CC540E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5-48F6-92FC-7E58F6C3D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りくと2!$B$3:$B$124</c:f>
              <c:numCache>
                <c:formatCode>\+0.0;\-0.0;\±0</c:formatCode>
                <c:ptCount val="12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  <c:pt idx="112">
                  <c:v>-670.5</c:v>
                </c:pt>
                <c:pt idx="113">
                  <c:v>-700.5</c:v>
                </c:pt>
                <c:pt idx="114">
                  <c:v>-709.5</c:v>
                </c:pt>
                <c:pt idx="115">
                  <c:v>-758</c:v>
                </c:pt>
                <c:pt idx="116">
                  <c:v>-709.8</c:v>
                </c:pt>
                <c:pt idx="117">
                  <c:v>-712.3</c:v>
                </c:pt>
                <c:pt idx="118">
                  <c:v>-700.8</c:v>
                </c:pt>
                <c:pt idx="119">
                  <c:v>-702.8</c:v>
                </c:pt>
                <c:pt idx="120">
                  <c:v>-735.8</c:v>
                </c:pt>
                <c:pt idx="121">
                  <c:v>-766.9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りくと2!$C$3:$C$124</c:f>
              <c:numCache>
                <c:formatCode>\+0.0;\-0.0;\±0</c:formatCode>
                <c:ptCount val="122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-7.5600000000000005</c:v>
                </c:pt>
                <c:pt idx="36">
                  <c:v>-7.0055555555555564</c:v>
                </c:pt>
                <c:pt idx="37">
                  <c:v>-7.0540540540540544</c:v>
                </c:pt>
                <c:pt idx="38">
                  <c:v>-6.4578947368421051</c:v>
                </c:pt>
                <c:pt idx="39">
                  <c:v>-5.8205128205128203</c:v>
                </c:pt>
                <c:pt idx="40">
                  <c:v>-6.7099999999999991</c:v>
                </c:pt>
                <c:pt idx="41">
                  <c:v>-6.4487804878048776</c:v>
                </c:pt>
                <c:pt idx="42">
                  <c:v>-6.4023809523809518</c:v>
                </c:pt>
                <c:pt idx="43">
                  <c:v>-6.9627906976744178</c:v>
                </c:pt>
                <c:pt idx="44">
                  <c:v>-7.5159090909090907</c:v>
                </c:pt>
                <c:pt idx="45">
                  <c:v>-7.8466666666666658</c:v>
                </c:pt>
                <c:pt idx="46">
                  <c:v>-7.6478260869565204</c:v>
                </c:pt>
                <c:pt idx="47">
                  <c:v>-7.3659574468085092</c:v>
                </c:pt>
                <c:pt idx="48">
                  <c:v>-7.445833333333332</c:v>
                </c:pt>
                <c:pt idx="49">
                  <c:v>-8.2469387755102019</c:v>
                </c:pt>
                <c:pt idx="50">
                  <c:v>-8.0199999999999978</c:v>
                </c:pt>
                <c:pt idx="51">
                  <c:v>-8.1333333333333311</c:v>
                </c:pt>
                <c:pt idx="52">
                  <c:v>-7.7673076923076909</c:v>
                </c:pt>
                <c:pt idx="53">
                  <c:v>-7.2981132075471677</c:v>
                </c:pt>
                <c:pt idx="54">
                  <c:v>-8.1722222222222207</c:v>
                </c:pt>
                <c:pt idx="55">
                  <c:v>-7.2381818181818165</c:v>
                </c:pt>
                <c:pt idx="56">
                  <c:v>-7.0249999999999986</c:v>
                </c:pt>
                <c:pt idx="57">
                  <c:v>-6.6052631578947363</c:v>
                </c:pt>
                <c:pt idx="58">
                  <c:v>-6.4396551724137918</c:v>
                </c:pt>
                <c:pt idx="59">
                  <c:v>-6.7677966101694906</c:v>
                </c:pt>
                <c:pt idx="60">
                  <c:v>-7.4799999999999995</c:v>
                </c:pt>
                <c:pt idx="61">
                  <c:v>-7.4360655737704908</c:v>
                </c:pt>
                <c:pt idx="62">
                  <c:v>-8.0935483870967726</c:v>
                </c:pt>
                <c:pt idx="63">
                  <c:v>-7.2587301587301578</c:v>
                </c:pt>
                <c:pt idx="64">
                  <c:v>-6.5796874999999995</c:v>
                </c:pt>
                <c:pt idx="65">
                  <c:v>-7.1676923076923069</c:v>
                </c:pt>
                <c:pt idx="66">
                  <c:v>-6.6954545454545453</c:v>
                </c:pt>
                <c:pt idx="67">
                  <c:v>-7.1283582089552233</c:v>
                </c:pt>
                <c:pt idx="68">
                  <c:v>-7.019117647058823</c:v>
                </c:pt>
                <c:pt idx="69">
                  <c:v>-7.0565217391304342</c:v>
                </c:pt>
                <c:pt idx="70">
                  <c:v>-6.5428571428571427</c:v>
                </c:pt>
                <c:pt idx="71">
                  <c:v>-6.8281690140845068</c:v>
                </c:pt>
                <c:pt idx="72">
                  <c:v>-7.0333333333333341</c:v>
                </c:pt>
                <c:pt idx="73">
                  <c:v>-6.9219178082191783</c:v>
                </c:pt>
                <c:pt idx="74">
                  <c:v>-6.6270270270270277</c:v>
                </c:pt>
                <c:pt idx="75">
                  <c:v>-6.5306666666666668</c:v>
                </c:pt>
                <c:pt idx="76">
                  <c:v>-6.4907894736842104</c:v>
                </c:pt>
                <c:pt idx="77">
                  <c:v>-6.1545454545454552</c:v>
                </c:pt>
                <c:pt idx="78">
                  <c:v>-5.8884615384615389</c:v>
                </c:pt>
                <c:pt idx="79">
                  <c:v>-6.0962025316455701</c:v>
                </c:pt>
                <c:pt idx="80">
                  <c:v>-6.0825000000000005</c:v>
                </c:pt>
                <c:pt idx="81">
                  <c:v>-6.2246913580246916</c:v>
                </c:pt>
                <c:pt idx="82">
                  <c:v>-6.5524390243902451</c:v>
                </c:pt>
                <c:pt idx="83">
                  <c:v>-6.3192771084337362</c:v>
                </c:pt>
                <c:pt idx="84">
                  <c:v>-6.2500000000000018</c:v>
                </c:pt>
                <c:pt idx="85">
                  <c:v>-5.9917647058823542</c:v>
                </c:pt>
                <c:pt idx="86">
                  <c:v>-5.8151162790697688</c:v>
                </c:pt>
                <c:pt idx="87">
                  <c:v>-6.3172413793103468</c:v>
                </c:pt>
                <c:pt idx="88">
                  <c:v>-5.8125000000000009</c:v>
                </c:pt>
                <c:pt idx="89">
                  <c:v>-5.7898876404494386</c:v>
                </c:pt>
                <c:pt idx="90">
                  <c:v>-6.19</c:v>
                </c:pt>
                <c:pt idx="91">
                  <c:v>-6.4109890109890104</c:v>
                </c:pt>
                <c:pt idx="92">
                  <c:v>-6.3934782608695642</c:v>
                </c:pt>
                <c:pt idx="93">
                  <c:v>-6.7505376344086017</c:v>
                </c:pt>
                <c:pt idx="94">
                  <c:v>-6.5776595744680844</c:v>
                </c:pt>
                <c:pt idx="95">
                  <c:v>-6.3073684210526313</c:v>
                </c:pt>
                <c:pt idx="96">
                  <c:v>-6.5749999999999993</c:v>
                </c:pt>
                <c:pt idx="97">
                  <c:v>-6.9432989690721634</c:v>
                </c:pt>
                <c:pt idx="98">
                  <c:v>-7.1499999999999995</c:v>
                </c:pt>
                <c:pt idx="99">
                  <c:v>-7.1454545454545455</c:v>
                </c:pt>
                <c:pt idx="100">
                  <c:v>-7.5269999999999992</c:v>
                </c:pt>
                <c:pt idx="101">
                  <c:v>-7.5841584158415829</c:v>
                </c:pt>
                <c:pt idx="102">
                  <c:v>-7.4431372549019601</c:v>
                </c:pt>
                <c:pt idx="103">
                  <c:v>-7.1932038834951451</c:v>
                </c:pt>
                <c:pt idx="104">
                  <c:v>-7.3278846153846153</c:v>
                </c:pt>
                <c:pt idx="105">
                  <c:v>-7.137142857142857</c:v>
                </c:pt>
                <c:pt idx="106">
                  <c:v>-6.8632075471698117</c:v>
                </c:pt>
                <c:pt idx="107">
                  <c:v>-6.3999999999999995</c:v>
                </c:pt>
                <c:pt idx="108">
                  <c:v>-6.1111111111111107</c:v>
                </c:pt>
                <c:pt idx="109">
                  <c:v>-6.2064220183486238</c:v>
                </c:pt>
                <c:pt idx="110">
                  <c:v>-5.5781818181818181</c:v>
                </c:pt>
                <c:pt idx="111">
                  <c:v>-5.7585585585585592</c:v>
                </c:pt>
                <c:pt idx="112">
                  <c:v>-5.9866071428571432</c:v>
                </c:pt>
                <c:pt idx="113">
                  <c:v>-6.1991150442477876</c:v>
                </c:pt>
                <c:pt idx="114">
                  <c:v>-6.2236842105263159</c:v>
                </c:pt>
                <c:pt idx="115">
                  <c:v>-6.5913043478260871</c:v>
                </c:pt>
                <c:pt idx="116">
                  <c:v>-6.1189655172413788</c:v>
                </c:pt>
                <c:pt idx="117">
                  <c:v>-6.0880341880341877</c:v>
                </c:pt>
                <c:pt idx="118">
                  <c:v>-5.9389830508474573</c:v>
                </c:pt>
                <c:pt idx="119">
                  <c:v>-5.9058823529411759</c:v>
                </c:pt>
                <c:pt idx="120">
                  <c:v>-6.1316666666666659</c:v>
                </c:pt>
                <c:pt idx="121">
                  <c:v>-6.3380165289256194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39212850201307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りくと2!$D$3:$D$124</c:f>
              <c:numCache>
                <c:formatCode>0.00\ "位"</c:formatCode>
                <c:ptCount val="122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2.2571428571428571</c:v>
                </c:pt>
                <c:pt idx="36">
                  <c:v>2.2222222222222223</c:v>
                </c:pt>
                <c:pt idx="37">
                  <c:v>2.2162162162162162</c:v>
                </c:pt>
                <c:pt idx="38">
                  <c:v>2.2105263157894739</c:v>
                </c:pt>
                <c:pt idx="39">
                  <c:v>2.1794871794871793</c:v>
                </c:pt>
                <c:pt idx="40">
                  <c:v>2.2000000000000002</c:v>
                </c:pt>
                <c:pt idx="41">
                  <c:v>2.1951219512195124</c:v>
                </c:pt>
                <c:pt idx="42">
                  <c:v>2.1904761904761907</c:v>
                </c:pt>
                <c:pt idx="43">
                  <c:v>2.2093023255813953</c:v>
                </c:pt>
                <c:pt idx="44">
                  <c:v>2.2272727272727271</c:v>
                </c:pt>
                <c:pt idx="45">
                  <c:v>2.2444444444444445</c:v>
                </c:pt>
                <c:pt idx="46">
                  <c:v>2.2391304347826089</c:v>
                </c:pt>
                <c:pt idx="47">
                  <c:v>2.2340425531914891</c:v>
                </c:pt>
                <c:pt idx="48">
                  <c:v>2.2291666666666665</c:v>
                </c:pt>
                <c:pt idx="49">
                  <c:v>2.2448979591836733</c:v>
                </c:pt>
                <c:pt idx="50">
                  <c:v>2.2400000000000002</c:v>
                </c:pt>
                <c:pt idx="51">
                  <c:v>2.2352941176470589</c:v>
                </c:pt>
                <c:pt idx="52">
                  <c:v>2.2307692307692308</c:v>
                </c:pt>
                <c:pt idx="53">
                  <c:v>2.2075471698113209</c:v>
                </c:pt>
                <c:pt idx="54">
                  <c:v>2.2222222222222223</c:v>
                </c:pt>
                <c:pt idx="55">
                  <c:v>2.2000000000000002</c:v>
                </c:pt>
                <c:pt idx="56">
                  <c:v>2.1964285714285716</c:v>
                </c:pt>
                <c:pt idx="57">
                  <c:v>2.1754385964912282</c:v>
                </c:pt>
                <c:pt idx="58">
                  <c:v>2.1724137931034484</c:v>
                </c:pt>
                <c:pt idx="59">
                  <c:v>2.1864406779661016</c:v>
                </c:pt>
                <c:pt idx="60">
                  <c:v>2.2000000000000002</c:v>
                </c:pt>
                <c:pt idx="61">
                  <c:v>2.1967213114754101</c:v>
                </c:pt>
                <c:pt idx="62">
                  <c:v>2.2096774193548385</c:v>
                </c:pt>
                <c:pt idx="63">
                  <c:v>2.1904761904761907</c:v>
                </c:pt>
                <c:pt idx="64">
                  <c:v>2.171875</c:v>
                </c:pt>
                <c:pt idx="65">
                  <c:v>2.1846153846153844</c:v>
                </c:pt>
                <c:pt idx="66">
                  <c:v>2.1666666666666665</c:v>
                </c:pt>
                <c:pt idx="67">
                  <c:v>2.1791044776119404</c:v>
                </c:pt>
                <c:pt idx="68">
                  <c:v>2.1764705882352939</c:v>
                </c:pt>
                <c:pt idx="69">
                  <c:v>2.1739130434782608</c:v>
                </c:pt>
                <c:pt idx="70">
                  <c:v>2.157142857142857</c:v>
                </c:pt>
                <c:pt idx="71">
                  <c:v>2.1690140845070425</c:v>
                </c:pt>
                <c:pt idx="72">
                  <c:v>2.1805555555555554</c:v>
                </c:pt>
                <c:pt idx="73">
                  <c:v>2.1780821917808217</c:v>
                </c:pt>
                <c:pt idx="74">
                  <c:v>2.1756756756756759</c:v>
                </c:pt>
                <c:pt idx="75">
                  <c:v>2.1733333333333333</c:v>
                </c:pt>
                <c:pt idx="76">
                  <c:v>2.1710526315789473</c:v>
                </c:pt>
                <c:pt idx="77">
                  <c:v>2.1558441558441559</c:v>
                </c:pt>
                <c:pt idx="78">
                  <c:v>2.1538461538461537</c:v>
                </c:pt>
                <c:pt idx="79">
                  <c:v>2.1645569620253164</c:v>
                </c:pt>
                <c:pt idx="80">
                  <c:v>2.1625000000000001</c:v>
                </c:pt>
                <c:pt idx="81">
                  <c:v>2.1728395061728394</c:v>
                </c:pt>
                <c:pt idx="82">
                  <c:v>2.1829268292682928</c:v>
                </c:pt>
                <c:pt idx="83">
                  <c:v>2.1686746987951806</c:v>
                </c:pt>
                <c:pt idx="84">
                  <c:v>2.1666666666666665</c:v>
                </c:pt>
                <c:pt idx="85">
                  <c:v>2.1529411764705881</c:v>
                </c:pt>
                <c:pt idx="86">
                  <c:v>2.1511627906976742</c:v>
                </c:pt>
                <c:pt idx="87">
                  <c:v>2.1609195402298851</c:v>
                </c:pt>
                <c:pt idx="88">
                  <c:v>2.1477272727272729</c:v>
                </c:pt>
                <c:pt idx="89">
                  <c:v>2.1460674157303372</c:v>
                </c:pt>
                <c:pt idx="90">
                  <c:v>2.1555555555555554</c:v>
                </c:pt>
                <c:pt idx="91">
                  <c:v>2.1648351648351647</c:v>
                </c:pt>
                <c:pt idx="92">
                  <c:v>2.1630434782608696</c:v>
                </c:pt>
                <c:pt idx="93">
                  <c:v>2.172043010752688</c:v>
                </c:pt>
                <c:pt idx="94">
                  <c:v>2.1702127659574466</c:v>
                </c:pt>
                <c:pt idx="95">
                  <c:v>2.1578947368421053</c:v>
                </c:pt>
                <c:pt idx="96">
                  <c:v>2.1666666666666665</c:v>
                </c:pt>
                <c:pt idx="97">
                  <c:v>2.1752577319587627</c:v>
                </c:pt>
                <c:pt idx="98">
                  <c:v>2.1836734693877551</c:v>
                </c:pt>
                <c:pt idx="99">
                  <c:v>2.1818181818181817</c:v>
                </c:pt>
                <c:pt idx="100">
                  <c:v>2.19</c:v>
                </c:pt>
                <c:pt idx="101">
                  <c:v>2.1980198019801982</c:v>
                </c:pt>
                <c:pt idx="102">
                  <c:v>2.1960784313725492</c:v>
                </c:pt>
                <c:pt idx="103">
                  <c:v>2.1844660194174756</c:v>
                </c:pt>
                <c:pt idx="104">
                  <c:v>2.1923076923076925</c:v>
                </c:pt>
                <c:pt idx="105">
                  <c:v>2.1809523809523808</c:v>
                </c:pt>
                <c:pt idx="106">
                  <c:v>2.1698113207547172</c:v>
                </c:pt>
                <c:pt idx="107">
                  <c:v>2.1588785046728973</c:v>
                </c:pt>
                <c:pt idx="108">
                  <c:v>2.1481481481481484</c:v>
                </c:pt>
                <c:pt idx="109">
                  <c:v>2.1467889908256881</c:v>
                </c:pt>
                <c:pt idx="110">
                  <c:v>2.1363636363636362</c:v>
                </c:pt>
                <c:pt idx="111">
                  <c:v>2.144144144144144</c:v>
                </c:pt>
                <c:pt idx="112">
                  <c:v>2.1517857142857144</c:v>
                </c:pt>
                <c:pt idx="113">
                  <c:v>2.1592920353982299</c:v>
                </c:pt>
                <c:pt idx="114">
                  <c:v>2.1578947368421053</c:v>
                </c:pt>
                <c:pt idx="115">
                  <c:v>2.1652173913043478</c:v>
                </c:pt>
                <c:pt idx="116">
                  <c:v>2.1551724137931036</c:v>
                </c:pt>
                <c:pt idx="117">
                  <c:v>2.1538461538461537</c:v>
                </c:pt>
                <c:pt idx="118">
                  <c:v>2.152542372881356</c:v>
                </c:pt>
                <c:pt idx="119">
                  <c:v>2.1512605042016806</c:v>
                </c:pt>
                <c:pt idx="120">
                  <c:v>2.1583333333333332</c:v>
                </c:pt>
                <c:pt idx="121">
                  <c:v>2.165289256198347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りくと2!$E$3:$E$124</c:f>
              <c:numCache>
                <c:formatCode>0.0%</c:formatCode>
                <c:ptCount val="1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0.20689655172413793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0.20634920634920634</c:v>
                </c:pt>
                <c:pt idx="64">
                  <c:v>0.21875</c:v>
                </c:pt>
                <c:pt idx="65">
                  <c:v>0.2153846153846154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0.22857142857142856</c:v>
                </c:pt>
                <c:pt idx="71">
                  <c:v>0.22535211267605634</c:v>
                </c:pt>
                <c:pt idx="72">
                  <c:v>0.22222222222222221</c:v>
                </c:pt>
                <c:pt idx="73">
                  <c:v>0.21917808219178081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0.22077922077922077</c:v>
                </c:pt>
                <c:pt idx="78">
                  <c:v>0.21794871794871795</c:v>
                </c:pt>
                <c:pt idx="79">
                  <c:v>0.21518987341772153</c:v>
                </c:pt>
                <c:pt idx="80">
                  <c:v>0.21249999999999999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0.21686746987951808</c:v>
                </c:pt>
                <c:pt idx="84">
                  <c:v>0.21428571428571427</c:v>
                </c:pt>
                <c:pt idx="85">
                  <c:v>0.22352941176470589</c:v>
                </c:pt>
                <c:pt idx="86">
                  <c:v>0.22093023255813954</c:v>
                </c:pt>
                <c:pt idx="87">
                  <c:v>0.21839080459770116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0.22222222222222221</c:v>
                </c:pt>
                <c:pt idx="91">
                  <c:v>0.21978021978021978</c:v>
                </c:pt>
                <c:pt idx="92">
                  <c:v>0.21739130434782608</c:v>
                </c:pt>
                <c:pt idx="93">
                  <c:v>0.21505376344086022</c:v>
                </c:pt>
                <c:pt idx="94">
                  <c:v>0.21276595744680851</c:v>
                </c:pt>
                <c:pt idx="95">
                  <c:v>0.22105263157894736</c:v>
                </c:pt>
                <c:pt idx="96">
                  <c:v>0.21875</c:v>
                </c:pt>
                <c:pt idx="97">
                  <c:v>0.21649484536082475</c:v>
                </c:pt>
                <c:pt idx="98">
                  <c:v>0.21428571428571427</c:v>
                </c:pt>
                <c:pt idx="99">
                  <c:v>0.21212121212121213</c:v>
                </c:pt>
                <c:pt idx="100">
                  <c:v>0.21</c:v>
                </c:pt>
                <c:pt idx="101">
                  <c:v>0.20792079207920791</c:v>
                </c:pt>
                <c:pt idx="102">
                  <c:v>0.20588235294117646</c:v>
                </c:pt>
                <c:pt idx="103">
                  <c:v>0.21359223300970873</c:v>
                </c:pt>
                <c:pt idx="104">
                  <c:v>0.21153846153846154</c:v>
                </c:pt>
                <c:pt idx="105">
                  <c:v>0.21904761904761905</c:v>
                </c:pt>
                <c:pt idx="106">
                  <c:v>0.22641509433962265</c:v>
                </c:pt>
                <c:pt idx="107">
                  <c:v>0.23364485981308411</c:v>
                </c:pt>
                <c:pt idx="108">
                  <c:v>0.24074074074074073</c:v>
                </c:pt>
                <c:pt idx="109">
                  <c:v>0.23853211009174313</c:v>
                </c:pt>
                <c:pt idx="110">
                  <c:v>0.24545454545454545</c:v>
                </c:pt>
                <c:pt idx="111">
                  <c:v>0.24324324324324326</c:v>
                </c:pt>
                <c:pt idx="112">
                  <c:v>0.24107142857142858</c:v>
                </c:pt>
                <c:pt idx="113">
                  <c:v>0.23893805309734514</c:v>
                </c:pt>
                <c:pt idx="114">
                  <c:v>0.23684210526315788</c:v>
                </c:pt>
                <c:pt idx="115">
                  <c:v>0.23478260869565218</c:v>
                </c:pt>
                <c:pt idx="116">
                  <c:v>0.2413793103448276</c:v>
                </c:pt>
                <c:pt idx="117">
                  <c:v>0.23931623931623933</c:v>
                </c:pt>
                <c:pt idx="118">
                  <c:v>0.23728813559322035</c:v>
                </c:pt>
                <c:pt idx="119">
                  <c:v>0.23529411764705882</c:v>
                </c:pt>
                <c:pt idx="120">
                  <c:v>0.23333333333333334</c:v>
                </c:pt>
                <c:pt idx="121">
                  <c:v>0.23140495867768596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りくと2!$F$3:$F$124</c:f>
              <c:numCache>
                <c:formatCode>0.0%</c:formatCode>
                <c:ptCount val="12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0.42499999999999999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0.43181818181818182</c:v>
                </c:pt>
                <c:pt idx="45">
                  <c:v>0.44444444444444442</c:v>
                </c:pt>
                <c:pt idx="46">
                  <c:v>0.43478260869565216</c:v>
                </c:pt>
                <c:pt idx="47">
                  <c:v>0.42553191489361702</c:v>
                </c:pt>
                <c:pt idx="48">
                  <c:v>0.41666666666666669</c:v>
                </c:pt>
                <c:pt idx="49">
                  <c:v>0.42857142857142855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0.38983050847457629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0.390625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0.40298507462686567</c:v>
                </c:pt>
                <c:pt idx="68">
                  <c:v>0.39705882352941174</c:v>
                </c:pt>
                <c:pt idx="69">
                  <c:v>0.39130434782608697</c:v>
                </c:pt>
                <c:pt idx="70">
                  <c:v>0.38571428571428573</c:v>
                </c:pt>
                <c:pt idx="71">
                  <c:v>0.39436619718309857</c:v>
                </c:pt>
                <c:pt idx="72">
                  <c:v>0.40277777777777779</c:v>
                </c:pt>
                <c:pt idx="73">
                  <c:v>0.39726027397260272</c:v>
                </c:pt>
                <c:pt idx="74">
                  <c:v>0.39189189189189189</c:v>
                </c:pt>
                <c:pt idx="75">
                  <c:v>0.38666666666666666</c:v>
                </c:pt>
                <c:pt idx="76">
                  <c:v>0.38157894736842107</c:v>
                </c:pt>
                <c:pt idx="77">
                  <c:v>0.37662337662337664</c:v>
                </c:pt>
                <c:pt idx="78">
                  <c:v>0.37179487179487181</c:v>
                </c:pt>
                <c:pt idx="79">
                  <c:v>0.379746835443038</c:v>
                </c:pt>
                <c:pt idx="80">
                  <c:v>0.375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0.37931034482758619</c:v>
                </c:pt>
                <c:pt idx="88">
                  <c:v>0.375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0.38461538461538464</c:v>
                </c:pt>
                <c:pt idx="92">
                  <c:v>0.38043478260869568</c:v>
                </c:pt>
                <c:pt idx="93">
                  <c:v>0.38709677419354838</c:v>
                </c:pt>
                <c:pt idx="94">
                  <c:v>0.38297872340425532</c:v>
                </c:pt>
                <c:pt idx="95">
                  <c:v>0.37894736842105264</c:v>
                </c:pt>
                <c:pt idx="96">
                  <c:v>0.38541666666666669</c:v>
                </c:pt>
                <c:pt idx="97">
                  <c:v>0.39175257731958762</c:v>
                </c:pt>
                <c:pt idx="98">
                  <c:v>0.39795918367346939</c:v>
                </c:pt>
                <c:pt idx="99">
                  <c:v>0.39393939393939392</c:v>
                </c:pt>
                <c:pt idx="100">
                  <c:v>0.4</c:v>
                </c:pt>
                <c:pt idx="101">
                  <c:v>0.40594059405940597</c:v>
                </c:pt>
                <c:pt idx="102">
                  <c:v>0.40196078431372551</c:v>
                </c:pt>
                <c:pt idx="103">
                  <c:v>0.39805825242718446</c:v>
                </c:pt>
                <c:pt idx="104">
                  <c:v>0.40384615384615385</c:v>
                </c:pt>
                <c:pt idx="105">
                  <c:v>0.4</c:v>
                </c:pt>
                <c:pt idx="106">
                  <c:v>0.39622641509433965</c:v>
                </c:pt>
                <c:pt idx="107">
                  <c:v>0.3925233644859813</c:v>
                </c:pt>
                <c:pt idx="108">
                  <c:v>0.3888888888888889</c:v>
                </c:pt>
                <c:pt idx="109">
                  <c:v>0.38532110091743121</c:v>
                </c:pt>
                <c:pt idx="110">
                  <c:v>0.38181818181818183</c:v>
                </c:pt>
                <c:pt idx="111">
                  <c:v>0.38738738738738737</c:v>
                </c:pt>
                <c:pt idx="112">
                  <c:v>0.39285714285714285</c:v>
                </c:pt>
                <c:pt idx="113">
                  <c:v>0.39823008849557523</c:v>
                </c:pt>
                <c:pt idx="114">
                  <c:v>0.39473684210526316</c:v>
                </c:pt>
                <c:pt idx="115">
                  <c:v>0.4</c:v>
                </c:pt>
                <c:pt idx="116">
                  <c:v>0.39655172413793105</c:v>
                </c:pt>
                <c:pt idx="117">
                  <c:v>0.39316239316239315</c:v>
                </c:pt>
                <c:pt idx="118">
                  <c:v>0.38983050847457629</c:v>
                </c:pt>
                <c:pt idx="119">
                  <c:v>0.38655462184873951</c:v>
                </c:pt>
                <c:pt idx="120">
                  <c:v>0.39166666666666666</c:v>
                </c:pt>
                <c:pt idx="121">
                  <c:v>0.39669421487603307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りくと2!$G$3:$G$124</c:f>
              <c:numCache>
                <c:formatCode>0.0%</c:formatCode>
                <c:ptCount val="122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0.2814569536423841</c:v>
                </c:pt>
                <c:pt idx="36">
                  <c:v>0.28064516129032258</c:v>
                </c:pt>
                <c:pt idx="37">
                  <c:v>0.27936507936507937</c:v>
                </c:pt>
                <c:pt idx="38">
                  <c:v>0.28048780487804881</c:v>
                </c:pt>
                <c:pt idx="39">
                  <c:v>0.28106508875739644</c:v>
                </c:pt>
                <c:pt idx="40">
                  <c:v>0.2857142857142857</c:v>
                </c:pt>
                <c:pt idx="41">
                  <c:v>0.28491620111731841</c:v>
                </c:pt>
                <c:pt idx="42">
                  <c:v>0.28415300546448086</c:v>
                </c:pt>
                <c:pt idx="43">
                  <c:v>0.28000000000000003</c:v>
                </c:pt>
                <c:pt idx="44">
                  <c:v>0.27676240208877284</c:v>
                </c:pt>
                <c:pt idx="45">
                  <c:v>0.27763496143958871</c:v>
                </c:pt>
                <c:pt idx="46">
                  <c:v>0.27848101265822783</c:v>
                </c:pt>
                <c:pt idx="47">
                  <c:v>0.28179551122194513</c:v>
                </c:pt>
                <c:pt idx="48">
                  <c:v>0.28398058252427183</c:v>
                </c:pt>
                <c:pt idx="49">
                  <c:v>0.28199052132701424</c:v>
                </c:pt>
                <c:pt idx="50">
                  <c:v>0.28037383177570091</c:v>
                </c:pt>
                <c:pt idx="51">
                  <c:v>0.27816091954022987</c:v>
                </c:pt>
                <c:pt idx="52">
                  <c:v>0.27740492170022374</c:v>
                </c:pt>
                <c:pt idx="53">
                  <c:v>0.27912087912087913</c:v>
                </c:pt>
                <c:pt idx="54">
                  <c:v>0.27668845315904139</c:v>
                </c:pt>
                <c:pt idx="55">
                  <c:v>0.2817204301075269</c:v>
                </c:pt>
                <c:pt idx="56">
                  <c:v>0.28059071729957807</c:v>
                </c:pt>
                <c:pt idx="57">
                  <c:v>0.28333333333333333</c:v>
                </c:pt>
                <c:pt idx="58">
                  <c:v>0.2822085889570552</c:v>
                </c:pt>
                <c:pt idx="59">
                  <c:v>0.28225806451612906</c:v>
                </c:pt>
                <c:pt idx="60">
                  <c:v>0.2788844621513944</c:v>
                </c:pt>
                <c:pt idx="61">
                  <c:v>0.27906976744186046</c:v>
                </c:pt>
                <c:pt idx="62">
                  <c:v>0.2774566473988439</c:v>
                </c:pt>
                <c:pt idx="63">
                  <c:v>0.28030303030303028</c:v>
                </c:pt>
                <c:pt idx="64">
                  <c:v>0.28044280442804426</c:v>
                </c:pt>
                <c:pt idx="65">
                  <c:v>0.27767695099818512</c:v>
                </c:pt>
                <c:pt idx="66">
                  <c:v>0.28163992869875221</c:v>
                </c:pt>
                <c:pt idx="67">
                  <c:v>0.28097731239092494</c:v>
                </c:pt>
                <c:pt idx="68">
                  <c:v>0.2817391304347826</c:v>
                </c:pt>
                <c:pt idx="69">
                  <c:v>0.28006872852233677</c:v>
                </c:pt>
                <c:pt idx="70">
                  <c:v>0.2799325463743676</c:v>
                </c:pt>
                <c:pt idx="71">
                  <c:v>0.27860696517412936</c:v>
                </c:pt>
                <c:pt idx="72">
                  <c:v>0.27659574468085107</c:v>
                </c:pt>
                <c:pt idx="73">
                  <c:v>0.27741935483870966</c:v>
                </c:pt>
                <c:pt idx="74">
                  <c:v>0.27892234548335976</c:v>
                </c:pt>
                <c:pt idx="75">
                  <c:v>0.27899686520376177</c:v>
                </c:pt>
                <c:pt idx="76">
                  <c:v>0.2806201550387597</c:v>
                </c:pt>
                <c:pt idx="77">
                  <c:v>0.28134556574923547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0.28046989720998533</c:v>
                </c:pt>
                <c:pt idx="81">
                  <c:v>0.28075253256150506</c:v>
                </c:pt>
                <c:pt idx="82">
                  <c:v>0.27936962750716332</c:v>
                </c:pt>
                <c:pt idx="83">
                  <c:v>0.28125</c:v>
                </c:pt>
                <c:pt idx="84">
                  <c:v>0.2808988764044944</c:v>
                </c:pt>
                <c:pt idx="85">
                  <c:v>0.28294036061026351</c:v>
                </c:pt>
                <c:pt idx="86">
                  <c:v>0.28335625859697389</c:v>
                </c:pt>
                <c:pt idx="87">
                  <c:v>0.28146143437077131</c:v>
                </c:pt>
                <c:pt idx="88">
                  <c:v>0.28170894526034712</c:v>
                </c:pt>
                <c:pt idx="89">
                  <c:v>0.28042328042328041</c:v>
                </c:pt>
                <c:pt idx="90">
                  <c:v>0.27785058977719529</c:v>
                </c:pt>
                <c:pt idx="91">
                  <c:v>0.27590673575129532</c:v>
                </c:pt>
                <c:pt idx="92">
                  <c:v>0.27493606138107418</c:v>
                </c:pt>
                <c:pt idx="93">
                  <c:v>0.27386934673366836</c:v>
                </c:pt>
                <c:pt idx="94">
                  <c:v>0.27340823970037453</c:v>
                </c:pt>
                <c:pt idx="95">
                  <c:v>0.27306273062730629</c:v>
                </c:pt>
                <c:pt idx="96">
                  <c:v>0.27106227106227104</c:v>
                </c:pt>
                <c:pt idx="97">
                  <c:v>0.27085852478839179</c:v>
                </c:pt>
                <c:pt idx="98">
                  <c:v>0.26959619952494063</c:v>
                </c:pt>
                <c:pt idx="99">
                  <c:v>0.26846424384525203</c:v>
                </c:pt>
                <c:pt idx="100">
                  <c:v>0.26535341830822712</c:v>
                </c:pt>
                <c:pt idx="101">
                  <c:v>0.26551724137931032</c:v>
                </c:pt>
                <c:pt idx="102">
                  <c:v>0.26560726447219069</c:v>
                </c:pt>
                <c:pt idx="103">
                  <c:v>0.26674107142857145</c:v>
                </c:pt>
                <c:pt idx="104">
                  <c:v>0.26629834254143647</c:v>
                </c:pt>
                <c:pt idx="105">
                  <c:v>0.26586433260393871</c:v>
                </c:pt>
                <c:pt idx="106">
                  <c:v>0.26760563380281688</c:v>
                </c:pt>
                <c:pt idx="107">
                  <c:v>0.26766595289079231</c:v>
                </c:pt>
                <c:pt idx="108">
                  <c:v>0.26914893617021279</c:v>
                </c:pt>
                <c:pt idx="109">
                  <c:v>0.26878306878306879</c:v>
                </c:pt>
                <c:pt idx="110">
                  <c:v>0.2697576396206533</c:v>
                </c:pt>
                <c:pt idx="111">
                  <c:v>0.26750261233019856</c:v>
                </c:pt>
                <c:pt idx="112">
                  <c:v>0.26687435098650053</c:v>
                </c:pt>
                <c:pt idx="113">
                  <c:v>0.26515930113052416</c:v>
                </c:pt>
                <c:pt idx="114">
                  <c:v>0.26428571428571429</c:v>
                </c:pt>
                <c:pt idx="115">
                  <c:v>0.26347914547304169</c:v>
                </c:pt>
                <c:pt idx="116">
                  <c:v>0.26592517694641049</c:v>
                </c:pt>
                <c:pt idx="117">
                  <c:v>0.26553106212424848</c:v>
                </c:pt>
                <c:pt idx="118">
                  <c:v>0.26640159045725648</c:v>
                </c:pt>
                <c:pt idx="119">
                  <c:v>0.26679841897233203</c:v>
                </c:pt>
                <c:pt idx="120">
                  <c:v>0.26620825147347743</c:v>
                </c:pt>
                <c:pt idx="121">
                  <c:v>0.26510721247563351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8394519401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りくと2!$H$3:$H$124</c:f>
              <c:numCache>
                <c:formatCode>0.0%</c:formatCode>
                <c:ptCount val="122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0.19536423841059603</c:v>
                </c:pt>
                <c:pt idx="36">
                  <c:v>0.20322580645161289</c:v>
                </c:pt>
                <c:pt idx="37">
                  <c:v>0.2</c:v>
                </c:pt>
                <c:pt idx="38">
                  <c:v>0.19817073170731708</c:v>
                </c:pt>
                <c:pt idx="39">
                  <c:v>0.19526627218934911</c:v>
                </c:pt>
                <c:pt idx="40">
                  <c:v>0.19714285714285715</c:v>
                </c:pt>
                <c:pt idx="41">
                  <c:v>0.19553072625698323</c:v>
                </c:pt>
                <c:pt idx="42">
                  <c:v>0.19672131147540983</c:v>
                </c:pt>
                <c:pt idx="43">
                  <c:v>0.19733333333333333</c:v>
                </c:pt>
                <c:pt idx="44">
                  <c:v>0.20104438642297651</c:v>
                </c:pt>
                <c:pt idx="45">
                  <c:v>0.20308483290488433</c:v>
                </c:pt>
                <c:pt idx="46">
                  <c:v>0.20506329113924052</c:v>
                </c:pt>
                <c:pt idx="47">
                  <c:v>0.20448877805486285</c:v>
                </c:pt>
                <c:pt idx="48">
                  <c:v>0.20631067961165048</c:v>
                </c:pt>
                <c:pt idx="49">
                  <c:v>0.20853080568720378</c:v>
                </c:pt>
                <c:pt idx="50">
                  <c:v>0.20794392523364486</c:v>
                </c:pt>
                <c:pt idx="51">
                  <c:v>0.2045977011494253</c:v>
                </c:pt>
                <c:pt idx="52">
                  <c:v>0.20805369127516779</c:v>
                </c:pt>
                <c:pt idx="53">
                  <c:v>0.20659340659340658</c:v>
                </c:pt>
                <c:pt idx="54">
                  <c:v>0.20915032679738563</c:v>
                </c:pt>
                <c:pt idx="55">
                  <c:v>0.20645161290322581</c:v>
                </c:pt>
                <c:pt idx="56">
                  <c:v>0.20886075949367089</c:v>
                </c:pt>
                <c:pt idx="57">
                  <c:v>0.20833333333333334</c:v>
                </c:pt>
                <c:pt idx="58">
                  <c:v>0.20654396728016361</c:v>
                </c:pt>
                <c:pt idx="59">
                  <c:v>0.20766129032258066</c:v>
                </c:pt>
                <c:pt idx="60">
                  <c:v>0.21115537848605578</c:v>
                </c:pt>
                <c:pt idx="61">
                  <c:v>0.21124031007751937</c:v>
                </c:pt>
                <c:pt idx="62">
                  <c:v>0.2119460500963391</c:v>
                </c:pt>
                <c:pt idx="63">
                  <c:v>0.20833333333333334</c:v>
                </c:pt>
                <c:pt idx="64">
                  <c:v>0.20664206642066421</c:v>
                </c:pt>
                <c:pt idx="65">
                  <c:v>0.20689655172413793</c:v>
                </c:pt>
                <c:pt idx="66">
                  <c:v>0.20320855614973263</c:v>
                </c:pt>
                <c:pt idx="67">
                  <c:v>0.20418848167539266</c:v>
                </c:pt>
                <c:pt idx="68">
                  <c:v>0.20347826086956522</c:v>
                </c:pt>
                <c:pt idx="69">
                  <c:v>0.20103092783505155</c:v>
                </c:pt>
                <c:pt idx="70">
                  <c:v>0.20067453625632378</c:v>
                </c:pt>
                <c:pt idx="71">
                  <c:v>0.20232172470978441</c:v>
                </c:pt>
                <c:pt idx="72">
                  <c:v>0.20294599018003273</c:v>
                </c:pt>
                <c:pt idx="73">
                  <c:v>0.20161290322580644</c:v>
                </c:pt>
                <c:pt idx="74">
                  <c:v>0.19968304278922344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0.19571865443425077</c:v>
                </c:pt>
                <c:pt idx="78">
                  <c:v>0.19398496240601504</c:v>
                </c:pt>
                <c:pt idx="79">
                  <c:v>0.19196428571428573</c:v>
                </c:pt>
                <c:pt idx="80">
                  <c:v>0.1894273127753304</c:v>
                </c:pt>
                <c:pt idx="81">
                  <c:v>0.19102749638205499</c:v>
                </c:pt>
                <c:pt idx="82">
                  <c:v>0.19054441260744986</c:v>
                </c:pt>
                <c:pt idx="83">
                  <c:v>0.19034090909090909</c:v>
                </c:pt>
                <c:pt idx="84">
                  <c:v>0.19101123595505617</c:v>
                </c:pt>
                <c:pt idx="85">
                  <c:v>0.19001386962552011</c:v>
                </c:pt>
                <c:pt idx="86">
                  <c:v>0.18844566712517194</c:v>
                </c:pt>
                <c:pt idx="87">
                  <c:v>0.18809201623815969</c:v>
                </c:pt>
                <c:pt idx="88">
                  <c:v>0.1855807743658211</c:v>
                </c:pt>
                <c:pt idx="89">
                  <c:v>0.18518518518518517</c:v>
                </c:pt>
                <c:pt idx="90">
                  <c:v>0.18479685452162517</c:v>
                </c:pt>
                <c:pt idx="91">
                  <c:v>0.18393782383419688</c:v>
                </c:pt>
                <c:pt idx="92">
                  <c:v>0.1815856777493606</c:v>
                </c:pt>
                <c:pt idx="93">
                  <c:v>0.18216080402010051</c:v>
                </c:pt>
                <c:pt idx="94">
                  <c:v>0.18102372034956304</c:v>
                </c:pt>
                <c:pt idx="95">
                  <c:v>0.17958179581795819</c:v>
                </c:pt>
                <c:pt idx="96">
                  <c:v>0.1807081807081807</c:v>
                </c:pt>
                <c:pt idx="97">
                  <c:v>0.18016928657799275</c:v>
                </c:pt>
                <c:pt idx="98">
                  <c:v>0.18171021377672208</c:v>
                </c:pt>
                <c:pt idx="99">
                  <c:v>0.1817116060961313</c:v>
                </c:pt>
                <c:pt idx="100">
                  <c:v>0.18308227114716108</c:v>
                </c:pt>
                <c:pt idx="101">
                  <c:v>0.18275862068965518</c:v>
                </c:pt>
                <c:pt idx="102">
                  <c:v>0.18161180476730987</c:v>
                </c:pt>
                <c:pt idx="103">
                  <c:v>0.1796875</c:v>
                </c:pt>
                <c:pt idx="104">
                  <c:v>0.18342541436464088</c:v>
                </c:pt>
                <c:pt idx="105">
                  <c:v>0.18271334792122537</c:v>
                </c:pt>
                <c:pt idx="106">
                  <c:v>0.18309859154929578</c:v>
                </c:pt>
                <c:pt idx="107">
                  <c:v>0.18094218415417559</c:v>
                </c:pt>
                <c:pt idx="108">
                  <c:v>0.18085106382978725</c:v>
                </c:pt>
                <c:pt idx="109">
                  <c:v>0.17989417989417988</c:v>
                </c:pt>
                <c:pt idx="110">
                  <c:v>0.1791359325605901</c:v>
                </c:pt>
                <c:pt idx="111">
                  <c:v>0.17763845350052246</c:v>
                </c:pt>
                <c:pt idx="112">
                  <c:v>0.1786085150571132</c:v>
                </c:pt>
                <c:pt idx="113">
                  <c:v>0.17882836587872558</c:v>
                </c:pt>
                <c:pt idx="114">
                  <c:v>0.17959183673469387</c:v>
                </c:pt>
                <c:pt idx="115">
                  <c:v>0.18107833163784334</c:v>
                </c:pt>
                <c:pt idx="116">
                  <c:v>0.17997977755308392</c:v>
                </c:pt>
                <c:pt idx="117">
                  <c:v>0.18136272545090179</c:v>
                </c:pt>
                <c:pt idx="118">
                  <c:v>0.17992047713717693</c:v>
                </c:pt>
                <c:pt idx="119">
                  <c:v>0.18181818181818182</c:v>
                </c:pt>
                <c:pt idx="120">
                  <c:v>0.18172888015717092</c:v>
                </c:pt>
                <c:pt idx="121">
                  <c:v>0.18226120857699804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18836941742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りくと2!$I$3:$I$124</c:f>
              <c:numCache>
                <c:formatCode>0</c:formatCode>
                <c:ptCount val="122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7483.5294117647063</c:v>
                </c:pt>
                <c:pt idx="36">
                  <c:v>7537.9310344827591</c:v>
                </c:pt>
                <c:pt idx="37">
                  <c:v>7539.772727272727</c:v>
                </c:pt>
                <c:pt idx="38">
                  <c:v>7594.565217391304</c:v>
                </c:pt>
                <c:pt idx="39">
                  <c:v>7648.4210526315792</c:v>
                </c:pt>
                <c:pt idx="40">
                  <c:v>7463</c:v>
                </c:pt>
                <c:pt idx="41">
                  <c:v>7524.5098039215691</c:v>
                </c:pt>
                <c:pt idx="42">
                  <c:v>7549.0384615384619</c:v>
                </c:pt>
                <c:pt idx="43">
                  <c:v>7648.5714285714284</c:v>
                </c:pt>
                <c:pt idx="44">
                  <c:v>7689.6226415094343</c:v>
                </c:pt>
                <c:pt idx="45">
                  <c:v>7639.8148148148148</c:v>
                </c:pt>
                <c:pt idx="46">
                  <c:v>7719.090909090909</c:v>
                </c:pt>
                <c:pt idx="47">
                  <c:v>7690.2654867256633</c:v>
                </c:pt>
                <c:pt idx="48">
                  <c:v>7707.6923076923076</c:v>
                </c:pt>
                <c:pt idx="49">
                  <c:v>7687.3949579831933</c:v>
                </c:pt>
                <c:pt idx="50">
                  <c:v>7723.333333333333</c:v>
                </c:pt>
                <c:pt idx="51">
                  <c:v>7680.9917355371899</c:v>
                </c:pt>
                <c:pt idx="52">
                  <c:v>7850</c:v>
                </c:pt>
                <c:pt idx="53">
                  <c:v>7898.4251968503941</c:v>
                </c:pt>
                <c:pt idx="54">
                  <c:v>7898.4251968503941</c:v>
                </c:pt>
                <c:pt idx="55">
                  <c:v>7971.7557251908393</c:v>
                </c:pt>
                <c:pt idx="56">
                  <c:v>8032.3308270676689</c:v>
                </c:pt>
                <c:pt idx="57">
                  <c:v>8029.411764705882</c:v>
                </c:pt>
                <c:pt idx="58">
                  <c:v>8039.130434782609</c:v>
                </c:pt>
                <c:pt idx="59">
                  <c:v>7988.5714285714284</c:v>
                </c:pt>
                <c:pt idx="60">
                  <c:v>7988.5714285714284</c:v>
                </c:pt>
                <c:pt idx="61">
                  <c:v>8055.5555555555557</c:v>
                </c:pt>
                <c:pt idx="62">
                  <c:v>8055.5555555555557</c:v>
                </c:pt>
                <c:pt idx="63">
                  <c:v>8081.0810810810808</c:v>
                </c:pt>
                <c:pt idx="64">
                  <c:v>8158.5526315789475</c:v>
                </c:pt>
                <c:pt idx="65">
                  <c:v>8139.2156862745096</c:v>
                </c:pt>
                <c:pt idx="66">
                  <c:v>8005.0632911392404</c:v>
                </c:pt>
                <c:pt idx="67">
                  <c:v>8029.1925465838513</c:v>
                </c:pt>
                <c:pt idx="68">
                  <c:v>7987.6543209876545</c:v>
                </c:pt>
                <c:pt idx="69">
                  <c:v>7962.5766871165642</c:v>
                </c:pt>
                <c:pt idx="70">
                  <c:v>8094.5783132530123</c:v>
                </c:pt>
                <c:pt idx="71">
                  <c:v>8067.8571428571431</c:v>
                </c:pt>
                <c:pt idx="72">
                  <c:v>8067.455621301775</c:v>
                </c:pt>
                <c:pt idx="73">
                  <c:v>8034.3023255813951</c:v>
                </c:pt>
                <c:pt idx="74">
                  <c:v>8047.727272727273</c:v>
                </c:pt>
                <c:pt idx="75">
                  <c:v>8001.6853932584272</c:v>
                </c:pt>
                <c:pt idx="76">
                  <c:v>7906.0773480662983</c:v>
                </c:pt>
                <c:pt idx="77">
                  <c:v>7863.04347826087</c:v>
                </c:pt>
                <c:pt idx="78">
                  <c:v>7845.454545454545</c:v>
                </c:pt>
                <c:pt idx="79">
                  <c:v>7810.0529100529102</c:v>
                </c:pt>
                <c:pt idx="80">
                  <c:v>7791.0994764397901</c:v>
                </c:pt>
                <c:pt idx="81">
                  <c:v>7787.1134020618556</c:v>
                </c:pt>
                <c:pt idx="82">
                  <c:v>7767.1794871794873</c:v>
                </c:pt>
                <c:pt idx="83">
                  <c:v>7712.6262626262624</c:v>
                </c:pt>
                <c:pt idx="84">
                  <c:v>7715.5</c:v>
                </c:pt>
                <c:pt idx="85">
                  <c:v>7675</c:v>
                </c:pt>
                <c:pt idx="86">
                  <c:v>7678.155339805825</c:v>
                </c:pt>
                <c:pt idx="87">
                  <c:v>7688.4615384615381</c:v>
                </c:pt>
                <c:pt idx="88">
                  <c:v>7709.9526066350709</c:v>
                </c:pt>
                <c:pt idx="89">
                  <c:v>7730.1886792452833</c:v>
                </c:pt>
                <c:pt idx="90">
                  <c:v>7730.1886792452833</c:v>
                </c:pt>
                <c:pt idx="91">
                  <c:v>7712.6760563380285</c:v>
                </c:pt>
                <c:pt idx="92">
                  <c:v>7733.9534883720926</c:v>
                </c:pt>
                <c:pt idx="93">
                  <c:v>7760.5504587155965</c:v>
                </c:pt>
                <c:pt idx="94">
                  <c:v>7834.7031963470317</c:v>
                </c:pt>
                <c:pt idx="95">
                  <c:v>7830.6306306306305</c:v>
                </c:pt>
                <c:pt idx="96">
                  <c:v>7830.6306306306305</c:v>
                </c:pt>
                <c:pt idx="97">
                  <c:v>7832.1428571428569</c:v>
                </c:pt>
                <c:pt idx="98">
                  <c:v>7816.7400881057265</c:v>
                </c:pt>
                <c:pt idx="99">
                  <c:v>7835.8078602620089</c:v>
                </c:pt>
                <c:pt idx="100">
                  <c:v>7835.8078602620089</c:v>
                </c:pt>
                <c:pt idx="101">
                  <c:v>7819.4805194805194</c:v>
                </c:pt>
                <c:pt idx="102">
                  <c:v>7844.0170940170938</c:v>
                </c:pt>
                <c:pt idx="103">
                  <c:v>7822.5941422594142</c:v>
                </c:pt>
                <c:pt idx="104">
                  <c:v>7848.1327800829877</c:v>
                </c:pt>
                <c:pt idx="105">
                  <c:v>7864.6090534979421</c:v>
                </c:pt>
                <c:pt idx="106">
                  <c:v>7870.0404858299598</c:v>
                </c:pt>
                <c:pt idx="107">
                  <c:v>7903.6</c:v>
                </c:pt>
                <c:pt idx="108">
                  <c:v>7896.837944664032</c:v>
                </c:pt>
                <c:pt idx="109">
                  <c:v>7897.2440944881891</c:v>
                </c:pt>
                <c:pt idx="110">
                  <c:v>8038.28125</c:v>
                </c:pt>
                <c:pt idx="111">
                  <c:v>8038.28125</c:v>
                </c:pt>
                <c:pt idx="112">
                  <c:v>8022.1789883268484</c:v>
                </c:pt>
                <c:pt idx="113">
                  <c:v>8021.3178294573645</c:v>
                </c:pt>
                <c:pt idx="114">
                  <c:v>8005.405405405405</c:v>
                </c:pt>
                <c:pt idx="115">
                  <c:v>8005.405405405405</c:v>
                </c:pt>
                <c:pt idx="116">
                  <c:v>8047.9087452471485</c:v>
                </c:pt>
                <c:pt idx="117">
                  <c:v>8062.6415094339627</c:v>
                </c:pt>
                <c:pt idx="118">
                  <c:v>8025.373134328358</c:v>
                </c:pt>
                <c:pt idx="119">
                  <c:v>8005.1851851851852</c:v>
                </c:pt>
                <c:pt idx="120">
                  <c:v>7983.0258302583024</c:v>
                </c:pt>
                <c:pt idx="121">
                  <c:v>7968.0147058823532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04.66856735566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りくと2!$J$3:$J$124</c:f>
              <c:numCache>
                <c:formatCode>0</c:formatCode>
                <c:ptCount val="122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-7257.6271186440681</c:v>
                </c:pt>
                <c:pt idx="36">
                  <c:v>-7063.4920634920636</c:v>
                </c:pt>
                <c:pt idx="37">
                  <c:v>-7063.4920634920636</c:v>
                </c:pt>
                <c:pt idx="38">
                  <c:v>-7004.6153846153848</c:v>
                </c:pt>
                <c:pt idx="39">
                  <c:v>-7019.69696969697</c:v>
                </c:pt>
                <c:pt idx="40">
                  <c:v>-7313.04347826087</c:v>
                </c:pt>
                <c:pt idx="41">
                  <c:v>-7322.8571428571431</c:v>
                </c:pt>
                <c:pt idx="42">
                  <c:v>-7341.666666666667</c:v>
                </c:pt>
                <c:pt idx="43">
                  <c:v>-7340.5405405405409</c:v>
                </c:pt>
                <c:pt idx="44">
                  <c:v>-7389.6103896103896</c:v>
                </c:pt>
                <c:pt idx="45">
                  <c:v>-7435.4430379746836</c:v>
                </c:pt>
                <c:pt idx="46">
                  <c:v>-7379.0123456790125</c:v>
                </c:pt>
                <c:pt idx="47">
                  <c:v>-7435.3658536585363</c:v>
                </c:pt>
                <c:pt idx="48">
                  <c:v>-7502.3529411764703</c:v>
                </c:pt>
                <c:pt idx="49">
                  <c:v>-7563.636363636364</c:v>
                </c:pt>
                <c:pt idx="50">
                  <c:v>-7507.8651685393261</c:v>
                </c:pt>
                <c:pt idx="51">
                  <c:v>-7507.8651685393261</c:v>
                </c:pt>
                <c:pt idx="52">
                  <c:v>-7535.4838709677415</c:v>
                </c:pt>
                <c:pt idx="53">
                  <c:v>-7540.4255319148933</c:v>
                </c:pt>
                <c:pt idx="54">
                  <c:v>-7651.041666666667</c:v>
                </c:pt>
                <c:pt idx="55">
                  <c:v>-7651.041666666667</c:v>
                </c:pt>
                <c:pt idx="56">
                  <c:v>-7584.848484848485</c:v>
                </c:pt>
                <c:pt idx="57">
                  <c:v>-7629</c:v>
                </c:pt>
                <c:pt idx="58">
                  <c:v>-7592.0792079207922</c:v>
                </c:pt>
                <c:pt idx="59">
                  <c:v>-7638.8349514563106</c:v>
                </c:pt>
                <c:pt idx="60">
                  <c:v>-7686.7924528301883</c:v>
                </c:pt>
                <c:pt idx="61">
                  <c:v>-7655.0458715596333</c:v>
                </c:pt>
                <c:pt idx="62">
                  <c:v>-7611.818181818182</c:v>
                </c:pt>
                <c:pt idx="63">
                  <c:v>-7611.818181818182</c:v>
                </c:pt>
                <c:pt idx="64">
                  <c:v>-7617.8571428571431</c:v>
                </c:pt>
                <c:pt idx="65">
                  <c:v>-7657.0175438596489</c:v>
                </c:pt>
                <c:pt idx="66">
                  <c:v>-7657.0175438596489</c:v>
                </c:pt>
                <c:pt idx="67">
                  <c:v>-7662.3931623931621</c:v>
                </c:pt>
                <c:pt idx="68">
                  <c:v>-7662.3931623931621</c:v>
                </c:pt>
                <c:pt idx="69">
                  <c:v>-7662.3931623931621</c:v>
                </c:pt>
                <c:pt idx="70">
                  <c:v>-7667.226890756303</c:v>
                </c:pt>
                <c:pt idx="71">
                  <c:v>-7622.1311475409839</c:v>
                </c:pt>
                <c:pt idx="72">
                  <c:v>-7592.7419354838712</c:v>
                </c:pt>
                <c:pt idx="73">
                  <c:v>-7544</c:v>
                </c:pt>
                <c:pt idx="74">
                  <c:v>-7576.1904761904761</c:v>
                </c:pt>
                <c:pt idx="75">
                  <c:v>-7576.1904761904761</c:v>
                </c:pt>
                <c:pt idx="76">
                  <c:v>-7577.1653543307084</c:v>
                </c:pt>
                <c:pt idx="77">
                  <c:v>-7548.4375</c:v>
                </c:pt>
                <c:pt idx="78">
                  <c:v>-7549.6124031007748</c:v>
                </c:pt>
                <c:pt idx="79">
                  <c:v>-7549.6124031007748</c:v>
                </c:pt>
                <c:pt idx="80">
                  <c:v>-7549.6124031007748</c:v>
                </c:pt>
                <c:pt idx="81">
                  <c:v>-7499.242424242424</c:v>
                </c:pt>
                <c:pt idx="82">
                  <c:v>-7503.0075187969924</c:v>
                </c:pt>
                <c:pt idx="83">
                  <c:v>-7485.8208955223881</c:v>
                </c:pt>
                <c:pt idx="84">
                  <c:v>-7478.6764705882351</c:v>
                </c:pt>
                <c:pt idx="85">
                  <c:v>-7452.554744525547</c:v>
                </c:pt>
                <c:pt idx="86">
                  <c:v>-7452.554744525547</c:v>
                </c:pt>
                <c:pt idx="87">
                  <c:v>-7452.517985611511</c:v>
                </c:pt>
                <c:pt idx="88">
                  <c:v>-7452.517985611511</c:v>
                </c:pt>
                <c:pt idx="89">
                  <c:v>-7477.1428571428569</c:v>
                </c:pt>
                <c:pt idx="90">
                  <c:v>-7551.7730496453896</c:v>
                </c:pt>
                <c:pt idx="91">
                  <c:v>-7539.4366197183099</c:v>
                </c:pt>
                <c:pt idx="92">
                  <c:v>-7539.4366197183099</c:v>
                </c:pt>
                <c:pt idx="93">
                  <c:v>-7630.3448275862065</c:v>
                </c:pt>
                <c:pt idx="94">
                  <c:v>-7630.3448275862065</c:v>
                </c:pt>
                <c:pt idx="95">
                  <c:v>-7591.7808219178078</c:v>
                </c:pt>
                <c:pt idx="96">
                  <c:v>-7583.7837837837842</c:v>
                </c:pt>
                <c:pt idx="97">
                  <c:v>-7855.0335570469797</c:v>
                </c:pt>
                <c:pt idx="98">
                  <c:v>-7814.3790849673205</c:v>
                </c:pt>
                <c:pt idx="99">
                  <c:v>-7840.6451612903229</c:v>
                </c:pt>
                <c:pt idx="100">
                  <c:v>-7813.9240506329115</c:v>
                </c:pt>
                <c:pt idx="101">
                  <c:v>-7813.2075471698117</c:v>
                </c:pt>
                <c:pt idx="102">
                  <c:v>-7839.375</c:v>
                </c:pt>
                <c:pt idx="103">
                  <c:v>-7849.6894409937886</c:v>
                </c:pt>
                <c:pt idx="104">
                  <c:v>-7790.9638554216872</c:v>
                </c:pt>
                <c:pt idx="105">
                  <c:v>-7753.2934131736529</c:v>
                </c:pt>
                <c:pt idx="106">
                  <c:v>-7752.6627218934909</c:v>
                </c:pt>
                <c:pt idx="107">
                  <c:v>-7752.6627218934909</c:v>
                </c:pt>
                <c:pt idx="108">
                  <c:v>-7737.6470588235297</c:v>
                </c:pt>
                <c:pt idx="109">
                  <c:v>-7737.6470588235297</c:v>
                </c:pt>
                <c:pt idx="110">
                  <c:v>-7737.6470588235297</c:v>
                </c:pt>
                <c:pt idx="111">
                  <c:v>-7737.6470588235297</c:v>
                </c:pt>
                <c:pt idx="112">
                  <c:v>-7722.6744186046508</c:v>
                </c:pt>
                <c:pt idx="113">
                  <c:v>-7694.8275862068967</c:v>
                </c:pt>
                <c:pt idx="114">
                  <c:v>-7675</c:v>
                </c:pt>
                <c:pt idx="115">
                  <c:v>-7779.7752808988762</c:v>
                </c:pt>
                <c:pt idx="116">
                  <c:v>-7779.7752808988762</c:v>
                </c:pt>
                <c:pt idx="117">
                  <c:v>-7772.3756906077351</c:v>
                </c:pt>
                <c:pt idx="118">
                  <c:v>-7772.3756906077351</c:v>
                </c:pt>
                <c:pt idx="119">
                  <c:v>-7714.130434782609</c:v>
                </c:pt>
                <c:pt idx="120">
                  <c:v>-7737.2972972972975</c:v>
                </c:pt>
                <c:pt idx="121">
                  <c:v>-7761.4973262032081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1.4323258869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りくと2!$K$3:$K$124</c:f>
              <c:numCache>
                <c:formatCode>0.0%</c:formatCode>
                <c:ptCount val="1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9.6774193548387094E-2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7.8651685393258425E-2</c:v>
                </c:pt>
                <c:pt idx="90">
                  <c:v>7.7777777777777779E-2</c:v>
                </c:pt>
                <c:pt idx="91">
                  <c:v>7.6923076923076927E-2</c:v>
                </c:pt>
                <c:pt idx="92">
                  <c:v>7.6086956521739135E-2</c:v>
                </c:pt>
                <c:pt idx="93">
                  <c:v>7.5268817204301078E-2</c:v>
                </c:pt>
                <c:pt idx="94">
                  <c:v>7.4468085106382975E-2</c:v>
                </c:pt>
                <c:pt idx="95">
                  <c:v>7.3684210526315783E-2</c:v>
                </c:pt>
                <c:pt idx="96">
                  <c:v>7.2916666666666671E-2</c:v>
                </c:pt>
                <c:pt idx="97">
                  <c:v>7.2164948453608241E-2</c:v>
                </c:pt>
                <c:pt idx="98">
                  <c:v>7.1428571428571425E-2</c:v>
                </c:pt>
                <c:pt idx="99">
                  <c:v>7.0707070707070704E-2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7.8260869565217397E-2</c:v>
                </c:pt>
                <c:pt idx="116">
                  <c:v>7.7586206896551727E-2</c:v>
                </c:pt>
                <c:pt idx="117">
                  <c:v>7.6923076923076927E-2</c:v>
                </c:pt>
                <c:pt idx="118">
                  <c:v>7.6271186440677971E-2</c:v>
                </c:pt>
                <c:pt idx="119">
                  <c:v>7.5630252100840331E-2</c:v>
                </c:pt>
                <c:pt idx="120">
                  <c:v>7.4999999999999997E-2</c:v>
                </c:pt>
                <c:pt idx="121">
                  <c:v>7.43801652892562E-2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087032201914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りくと2!$L$3:$L$124</c:f>
              <c:numCache>
                <c:formatCode>0.0%</c:formatCode>
                <c:ptCount val="122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0.27814569536423839</c:v>
                </c:pt>
                <c:pt idx="36">
                  <c:v>0.28387096774193549</c:v>
                </c:pt>
                <c:pt idx="37">
                  <c:v>0.28253968253968254</c:v>
                </c:pt>
                <c:pt idx="38">
                  <c:v>0.28963414634146339</c:v>
                </c:pt>
                <c:pt idx="39">
                  <c:v>0.29289940828402367</c:v>
                </c:pt>
                <c:pt idx="40">
                  <c:v>0.29142857142857143</c:v>
                </c:pt>
                <c:pt idx="41">
                  <c:v>0.29329608938547486</c:v>
                </c:pt>
                <c:pt idx="42">
                  <c:v>0.29234972677595628</c:v>
                </c:pt>
                <c:pt idx="43">
                  <c:v>0.28799999999999998</c:v>
                </c:pt>
                <c:pt idx="44">
                  <c:v>0.28720626631853785</c:v>
                </c:pt>
                <c:pt idx="45">
                  <c:v>0.2879177377892031</c:v>
                </c:pt>
                <c:pt idx="46">
                  <c:v>0.28607594936708863</c:v>
                </c:pt>
                <c:pt idx="47">
                  <c:v>0.28678304239401498</c:v>
                </c:pt>
                <c:pt idx="48">
                  <c:v>0.29126213592233008</c:v>
                </c:pt>
                <c:pt idx="49">
                  <c:v>0.28672985781990523</c:v>
                </c:pt>
                <c:pt idx="50">
                  <c:v>0.28504672897196259</c:v>
                </c:pt>
                <c:pt idx="51">
                  <c:v>0.28275862068965518</c:v>
                </c:pt>
                <c:pt idx="52">
                  <c:v>0.28411633109619688</c:v>
                </c:pt>
                <c:pt idx="53">
                  <c:v>0.28351648351648351</c:v>
                </c:pt>
                <c:pt idx="54">
                  <c:v>0.28104575163398693</c:v>
                </c:pt>
                <c:pt idx="55">
                  <c:v>0.28387096774193549</c:v>
                </c:pt>
                <c:pt idx="56">
                  <c:v>0.2848101265822785</c:v>
                </c:pt>
                <c:pt idx="57">
                  <c:v>0.28541666666666665</c:v>
                </c:pt>
                <c:pt idx="58">
                  <c:v>0.28834355828220859</c:v>
                </c:pt>
                <c:pt idx="59">
                  <c:v>0.28629032258064518</c:v>
                </c:pt>
                <c:pt idx="60">
                  <c:v>0.28286852589641437</c:v>
                </c:pt>
                <c:pt idx="61">
                  <c:v>0.28488372093023256</c:v>
                </c:pt>
                <c:pt idx="62">
                  <c:v>0.28516377649325625</c:v>
                </c:pt>
                <c:pt idx="63">
                  <c:v>0.29166666666666669</c:v>
                </c:pt>
                <c:pt idx="64">
                  <c:v>0.28782287822878228</c:v>
                </c:pt>
                <c:pt idx="65">
                  <c:v>0.2867513611615245</c:v>
                </c:pt>
                <c:pt idx="66">
                  <c:v>0.28520499108734404</c:v>
                </c:pt>
                <c:pt idx="67">
                  <c:v>0.2879581151832461</c:v>
                </c:pt>
                <c:pt idx="68">
                  <c:v>0.28869565217391302</c:v>
                </c:pt>
                <c:pt idx="69">
                  <c:v>0.28694158075601373</c:v>
                </c:pt>
                <c:pt idx="70">
                  <c:v>0.28499156829679595</c:v>
                </c:pt>
                <c:pt idx="71">
                  <c:v>0.28524046434494194</c:v>
                </c:pt>
                <c:pt idx="72">
                  <c:v>0.28477905073649756</c:v>
                </c:pt>
                <c:pt idx="73">
                  <c:v>0.2870967741935484</c:v>
                </c:pt>
                <c:pt idx="74">
                  <c:v>0.28526148969889065</c:v>
                </c:pt>
                <c:pt idx="75">
                  <c:v>0.28369905956112851</c:v>
                </c:pt>
                <c:pt idx="76">
                  <c:v>0.28372093023255812</c:v>
                </c:pt>
                <c:pt idx="77">
                  <c:v>0.28287461773700306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0.28193832599118945</c:v>
                </c:pt>
                <c:pt idx="81">
                  <c:v>0.28075253256150506</c:v>
                </c:pt>
                <c:pt idx="82">
                  <c:v>0.2822349570200573</c:v>
                </c:pt>
                <c:pt idx="83">
                  <c:v>0.27982954545454547</c:v>
                </c:pt>
                <c:pt idx="84">
                  <c:v>0.2794943820224719</c:v>
                </c:pt>
                <c:pt idx="85">
                  <c:v>0.28016643550624132</c:v>
                </c:pt>
                <c:pt idx="86">
                  <c:v>0.28060522696011003</c:v>
                </c:pt>
                <c:pt idx="87">
                  <c:v>0.28281461434370769</c:v>
                </c:pt>
                <c:pt idx="88">
                  <c:v>0.28304405874499333</c:v>
                </c:pt>
                <c:pt idx="89">
                  <c:v>0.28174603174603174</c:v>
                </c:pt>
                <c:pt idx="90">
                  <c:v>0.28047182175622543</c:v>
                </c:pt>
                <c:pt idx="91">
                  <c:v>0.27849740932642486</c:v>
                </c:pt>
                <c:pt idx="92">
                  <c:v>0.27877237851662406</c:v>
                </c:pt>
                <c:pt idx="93">
                  <c:v>0.27763819095477388</c:v>
                </c:pt>
                <c:pt idx="94">
                  <c:v>0.27840199750312111</c:v>
                </c:pt>
                <c:pt idx="95">
                  <c:v>0.2767527675276753</c:v>
                </c:pt>
                <c:pt idx="96">
                  <c:v>0.27594627594627597</c:v>
                </c:pt>
                <c:pt idx="97">
                  <c:v>0.279322853688029</c:v>
                </c:pt>
                <c:pt idx="98">
                  <c:v>0.27672209026128264</c:v>
                </c:pt>
                <c:pt idx="99">
                  <c:v>0.27549824150058616</c:v>
                </c:pt>
                <c:pt idx="100">
                  <c:v>0.27346465816917731</c:v>
                </c:pt>
                <c:pt idx="101">
                  <c:v>0.27471264367816089</c:v>
                </c:pt>
                <c:pt idx="102">
                  <c:v>0.27582292849035189</c:v>
                </c:pt>
                <c:pt idx="103">
                  <c:v>0.2767857142857143</c:v>
                </c:pt>
                <c:pt idx="104">
                  <c:v>0.27624309392265195</c:v>
                </c:pt>
                <c:pt idx="105">
                  <c:v>0.27461706783369805</c:v>
                </c:pt>
                <c:pt idx="106">
                  <c:v>0.27410617551462624</c:v>
                </c:pt>
                <c:pt idx="107">
                  <c:v>0.27301927194860814</c:v>
                </c:pt>
                <c:pt idx="108">
                  <c:v>0.27340425531914891</c:v>
                </c:pt>
                <c:pt idx="109">
                  <c:v>0.27195767195767195</c:v>
                </c:pt>
                <c:pt idx="110">
                  <c:v>0.27186512118018968</c:v>
                </c:pt>
                <c:pt idx="111">
                  <c:v>0.2716823406478579</c:v>
                </c:pt>
                <c:pt idx="112">
                  <c:v>0.26998961578400832</c:v>
                </c:pt>
                <c:pt idx="113">
                  <c:v>0.27029804727646456</c:v>
                </c:pt>
                <c:pt idx="114">
                  <c:v>0.26836734693877551</c:v>
                </c:pt>
                <c:pt idx="115">
                  <c:v>0.26754832146490337</c:v>
                </c:pt>
                <c:pt idx="116">
                  <c:v>0.26794742163801821</c:v>
                </c:pt>
                <c:pt idx="117">
                  <c:v>0.26953907815631262</c:v>
                </c:pt>
                <c:pt idx="118">
                  <c:v>0.26838966202783299</c:v>
                </c:pt>
                <c:pt idx="119">
                  <c:v>0.26877470355731226</c:v>
                </c:pt>
                <c:pt idx="120">
                  <c:v>0.26817288801571709</c:v>
                </c:pt>
                <c:pt idx="121">
                  <c:v>0.26705653021442494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24171111808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りくと2!$M$3:$M$124</c:f>
              <c:numCache>
                <c:formatCode>0.0%</c:formatCode>
                <c:ptCount val="122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0.17218543046357615</c:v>
                </c:pt>
                <c:pt idx="36">
                  <c:v>0.17419354838709677</c:v>
                </c:pt>
                <c:pt idx="37">
                  <c:v>0.17142857142857143</c:v>
                </c:pt>
                <c:pt idx="38">
                  <c:v>0.1676829268292683</c:v>
                </c:pt>
                <c:pt idx="39">
                  <c:v>0.16568047337278108</c:v>
                </c:pt>
                <c:pt idx="40">
                  <c:v>0.16857142857142857</c:v>
                </c:pt>
                <c:pt idx="41">
                  <c:v>0.16480446927374301</c:v>
                </c:pt>
                <c:pt idx="42">
                  <c:v>0.16939890710382513</c:v>
                </c:pt>
                <c:pt idx="43">
                  <c:v>0.17599999999999999</c:v>
                </c:pt>
                <c:pt idx="44">
                  <c:v>0.18015665796344649</c:v>
                </c:pt>
                <c:pt idx="45">
                  <c:v>0.18508997429305912</c:v>
                </c:pt>
                <c:pt idx="46">
                  <c:v>0.18734177215189873</c:v>
                </c:pt>
                <c:pt idx="47">
                  <c:v>0.18703241895261846</c:v>
                </c:pt>
                <c:pt idx="48">
                  <c:v>0.18446601941747573</c:v>
                </c:pt>
                <c:pt idx="49">
                  <c:v>0.1872037914691943</c:v>
                </c:pt>
                <c:pt idx="50">
                  <c:v>0.18457943925233644</c:v>
                </c:pt>
                <c:pt idx="51">
                  <c:v>0.18390804597701149</c:v>
                </c:pt>
                <c:pt idx="52">
                  <c:v>0.18568232662192394</c:v>
                </c:pt>
                <c:pt idx="53">
                  <c:v>0.18461538461538463</c:v>
                </c:pt>
                <c:pt idx="54">
                  <c:v>0.18300653594771241</c:v>
                </c:pt>
                <c:pt idx="55">
                  <c:v>0.18494623655913978</c:v>
                </c:pt>
                <c:pt idx="56">
                  <c:v>0.18354430379746836</c:v>
                </c:pt>
                <c:pt idx="57">
                  <c:v>0.18333333333333332</c:v>
                </c:pt>
                <c:pt idx="58">
                  <c:v>0.18404907975460122</c:v>
                </c:pt>
                <c:pt idx="59">
                  <c:v>0.1875</c:v>
                </c:pt>
                <c:pt idx="60">
                  <c:v>0.18725099601593626</c:v>
                </c:pt>
                <c:pt idx="61">
                  <c:v>0.18992248062015504</c:v>
                </c:pt>
                <c:pt idx="62">
                  <c:v>0.18882466281310212</c:v>
                </c:pt>
                <c:pt idx="63">
                  <c:v>0.1875</c:v>
                </c:pt>
                <c:pt idx="64">
                  <c:v>0.18819188191881919</c:v>
                </c:pt>
                <c:pt idx="65">
                  <c:v>0.19237749546279492</c:v>
                </c:pt>
                <c:pt idx="66">
                  <c:v>0.19073083778966132</c:v>
                </c:pt>
                <c:pt idx="67">
                  <c:v>0.19022687609075042</c:v>
                </c:pt>
                <c:pt idx="68">
                  <c:v>0.19130434782608696</c:v>
                </c:pt>
                <c:pt idx="69">
                  <c:v>0.19243986254295534</c:v>
                </c:pt>
                <c:pt idx="70">
                  <c:v>0.19224283305227655</c:v>
                </c:pt>
                <c:pt idx="71">
                  <c:v>0.19237147595356552</c:v>
                </c:pt>
                <c:pt idx="72">
                  <c:v>0.19148936170212766</c:v>
                </c:pt>
                <c:pt idx="73">
                  <c:v>0.19354838709677419</c:v>
                </c:pt>
                <c:pt idx="74">
                  <c:v>0.19492868462757529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0.19724770642201836</c:v>
                </c:pt>
                <c:pt idx="78">
                  <c:v>0.2</c:v>
                </c:pt>
                <c:pt idx="79">
                  <c:v>0.20238095238095238</c:v>
                </c:pt>
                <c:pt idx="80">
                  <c:v>0.20264317180616739</c:v>
                </c:pt>
                <c:pt idx="81">
                  <c:v>0.2040520984081042</c:v>
                </c:pt>
                <c:pt idx="82">
                  <c:v>0.2020057306590258</c:v>
                </c:pt>
                <c:pt idx="83">
                  <c:v>0.20170454545454544</c:v>
                </c:pt>
                <c:pt idx="84">
                  <c:v>0.199438202247191</c:v>
                </c:pt>
                <c:pt idx="85">
                  <c:v>0.20110957004160887</c:v>
                </c:pt>
                <c:pt idx="86">
                  <c:v>0.20082530949105915</c:v>
                </c:pt>
                <c:pt idx="87">
                  <c:v>0.20162381596752368</c:v>
                </c:pt>
                <c:pt idx="88">
                  <c:v>0.19893190921228304</c:v>
                </c:pt>
                <c:pt idx="89">
                  <c:v>0.20105820105820105</c:v>
                </c:pt>
                <c:pt idx="90">
                  <c:v>0.20183486238532111</c:v>
                </c:pt>
                <c:pt idx="91">
                  <c:v>0.20207253886010362</c:v>
                </c:pt>
                <c:pt idx="92">
                  <c:v>0.19948849104859334</c:v>
                </c:pt>
                <c:pt idx="93">
                  <c:v>0.19974874371859297</c:v>
                </c:pt>
                <c:pt idx="94">
                  <c:v>0.19850187265917604</c:v>
                </c:pt>
                <c:pt idx="95">
                  <c:v>0.19557195571955718</c:v>
                </c:pt>
                <c:pt idx="96">
                  <c:v>0.19536019536019536</c:v>
                </c:pt>
                <c:pt idx="97">
                  <c:v>0.19347037484885127</c:v>
                </c:pt>
                <c:pt idx="98">
                  <c:v>0.19121140142517815</c:v>
                </c:pt>
                <c:pt idx="99">
                  <c:v>0.1910902696365768</c:v>
                </c:pt>
                <c:pt idx="100">
                  <c:v>0.19119351100811124</c:v>
                </c:pt>
                <c:pt idx="101">
                  <c:v>0.19195402298850575</c:v>
                </c:pt>
                <c:pt idx="102">
                  <c:v>0.19069239500567536</c:v>
                </c:pt>
                <c:pt idx="103">
                  <c:v>0.19419642857142858</c:v>
                </c:pt>
                <c:pt idx="104">
                  <c:v>0.19337016574585636</c:v>
                </c:pt>
                <c:pt idx="105">
                  <c:v>0.19474835886214442</c:v>
                </c:pt>
                <c:pt idx="106">
                  <c:v>0.19718309859154928</c:v>
                </c:pt>
                <c:pt idx="107">
                  <c:v>0.19807280513918629</c:v>
                </c:pt>
                <c:pt idx="108">
                  <c:v>0.19787234042553192</c:v>
                </c:pt>
                <c:pt idx="109">
                  <c:v>0.19682539682539682</c:v>
                </c:pt>
                <c:pt idx="110">
                  <c:v>0.19599578503688092</c:v>
                </c:pt>
                <c:pt idx="111">
                  <c:v>0.19540229885057472</c:v>
                </c:pt>
                <c:pt idx="112">
                  <c:v>0.19626168224299065</c:v>
                </c:pt>
                <c:pt idx="113">
                  <c:v>0.19424460431654678</c:v>
                </c:pt>
                <c:pt idx="114">
                  <c:v>0.19387755102040816</c:v>
                </c:pt>
                <c:pt idx="115">
                  <c:v>0.19328585961342828</c:v>
                </c:pt>
                <c:pt idx="116">
                  <c:v>0.19514661274014156</c:v>
                </c:pt>
                <c:pt idx="117">
                  <c:v>0.19438877755511022</c:v>
                </c:pt>
                <c:pt idx="118">
                  <c:v>0.19681908548707752</c:v>
                </c:pt>
                <c:pt idx="119">
                  <c:v>0.1966403162055336</c:v>
                </c:pt>
                <c:pt idx="120">
                  <c:v>0.19842829076620824</c:v>
                </c:pt>
                <c:pt idx="121">
                  <c:v>0.19980506822612085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29787679113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りくと2!$N$3:$N$124</c:f>
              <c:numCache>
                <c:formatCode>0.0%</c:formatCode>
                <c:ptCount val="122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0.59523809523809523</c:v>
                </c:pt>
                <c:pt idx="36">
                  <c:v>0.59090909090909094</c:v>
                </c:pt>
                <c:pt idx="37">
                  <c:v>0.5955056179775281</c:v>
                </c:pt>
                <c:pt idx="38">
                  <c:v>0.58947368421052626</c:v>
                </c:pt>
                <c:pt idx="39">
                  <c:v>0.58585858585858586</c:v>
                </c:pt>
                <c:pt idx="40">
                  <c:v>0.59803921568627449</c:v>
                </c:pt>
                <c:pt idx="41">
                  <c:v>0.6</c:v>
                </c:pt>
                <c:pt idx="42">
                  <c:v>0.60747663551401865</c:v>
                </c:pt>
                <c:pt idx="43">
                  <c:v>0.60185185185185186</c:v>
                </c:pt>
                <c:pt idx="44">
                  <c:v>0.59090909090909094</c:v>
                </c:pt>
                <c:pt idx="45">
                  <c:v>0.5892857142857143</c:v>
                </c:pt>
                <c:pt idx="46">
                  <c:v>0.59292035398230092</c:v>
                </c:pt>
                <c:pt idx="47">
                  <c:v>0.6</c:v>
                </c:pt>
                <c:pt idx="48">
                  <c:v>0.6</c:v>
                </c:pt>
                <c:pt idx="49">
                  <c:v>0.60330578512396693</c:v>
                </c:pt>
                <c:pt idx="50">
                  <c:v>0.60655737704918034</c:v>
                </c:pt>
                <c:pt idx="51">
                  <c:v>0.60162601626016265</c:v>
                </c:pt>
                <c:pt idx="52">
                  <c:v>0.59055118110236215</c:v>
                </c:pt>
                <c:pt idx="53">
                  <c:v>0.5968992248062015</c:v>
                </c:pt>
                <c:pt idx="54">
                  <c:v>0.5968992248062015</c:v>
                </c:pt>
                <c:pt idx="55">
                  <c:v>0.60606060606060608</c:v>
                </c:pt>
                <c:pt idx="56">
                  <c:v>0.6074074074074074</c:v>
                </c:pt>
                <c:pt idx="57">
                  <c:v>0.61313868613138689</c:v>
                </c:pt>
                <c:pt idx="58">
                  <c:v>0.6028368794326241</c:v>
                </c:pt>
                <c:pt idx="59">
                  <c:v>0.59859154929577463</c:v>
                </c:pt>
                <c:pt idx="60">
                  <c:v>0.59859154929577463</c:v>
                </c:pt>
                <c:pt idx="61">
                  <c:v>0.59183673469387754</c:v>
                </c:pt>
                <c:pt idx="62">
                  <c:v>0.58783783783783783</c:v>
                </c:pt>
                <c:pt idx="63">
                  <c:v>0.58441558441558439</c:v>
                </c:pt>
                <c:pt idx="64">
                  <c:v>0.58333333333333337</c:v>
                </c:pt>
                <c:pt idx="65">
                  <c:v>0.58227848101265822</c:v>
                </c:pt>
                <c:pt idx="66">
                  <c:v>0.58750000000000002</c:v>
                </c:pt>
                <c:pt idx="67">
                  <c:v>0.5757575757575758</c:v>
                </c:pt>
                <c:pt idx="68">
                  <c:v>0.57228915662650603</c:v>
                </c:pt>
                <c:pt idx="69">
                  <c:v>0.56886227544910184</c:v>
                </c:pt>
                <c:pt idx="70">
                  <c:v>0.57396449704142016</c:v>
                </c:pt>
                <c:pt idx="71">
                  <c:v>0.57558139534883723</c:v>
                </c:pt>
                <c:pt idx="72">
                  <c:v>0.57471264367816088</c:v>
                </c:pt>
                <c:pt idx="73">
                  <c:v>0.5730337078651685</c:v>
                </c:pt>
                <c:pt idx="74">
                  <c:v>0.57222222222222219</c:v>
                </c:pt>
                <c:pt idx="75">
                  <c:v>0.56906077348066297</c:v>
                </c:pt>
                <c:pt idx="76">
                  <c:v>0.56830601092896171</c:v>
                </c:pt>
                <c:pt idx="77">
                  <c:v>0.572972972972973</c:v>
                </c:pt>
                <c:pt idx="78">
                  <c:v>0.57219251336898391</c:v>
                </c:pt>
                <c:pt idx="79">
                  <c:v>0.5714285714285714</c:v>
                </c:pt>
                <c:pt idx="80">
                  <c:v>0.56770833333333337</c:v>
                </c:pt>
                <c:pt idx="81">
                  <c:v>0.57216494845360821</c:v>
                </c:pt>
                <c:pt idx="82">
                  <c:v>0.56852791878172593</c:v>
                </c:pt>
                <c:pt idx="83">
                  <c:v>0.56852791878172593</c:v>
                </c:pt>
                <c:pt idx="84">
                  <c:v>0.56783919597989951</c:v>
                </c:pt>
                <c:pt idx="85">
                  <c:v>0.56930693069306926</c:v>
                </c:pt>
                <c:pt idx="86">
                  <c:v>0.56372549019607843</c:v>
                </c:pt>
                <c:pt idx="87">
                  <c:v>0.55502392344497609</c:v>
                </c:pt>
                <c:pt idx="88">
                  <c:v>0.55660377358490565</c:v>
                </c:pt>
                <c:pt idx="89">
                  <c:v>0.5539906103286385</c:v>
                </c:pt>
                <c:pt idx="90">
                  <c:v>0.55140186915887845</c:v>
                </c:pt>
                <c:pt idx="91">
                  <c:v>0.5488372093023256</c:v>
                </c:pt>
                <c:pt idx="92">
                  <c:v>0.54587155963302747</c:v>
                </c:pt>
                <c:pt idx="93">
                  <c:v>0.54298642533936647</c:v>
                </c:pt>
                <c:pt idx="94">
                  <c:v>0.54260089686098656</c:v>
                </c:pt>
                <c:pt idx="95">
                  <c:v>0.54222222222222227</c:v>
                </c:pt>
                <c:pt idx="96">
                  <c:v>0.53982300884955747</c:v>
                </c:pt>
                <c:pt idx="97">
                  <c:v>0.53679653679653683</c:v>
                </c:pt>
                <c:pt idx="98">
                  <c:v>0.54077253218884125</c:v>
                </c:pt>
                <c:pt idx="99">
                  <c:v>0.54042553191489362</c:v>
                </c:pt>
                <c:pt idx="100">
                  <c:v>0.53813559322033899</c:v>
                </c:pt>
                <c:pt idx="101">
                  <c:v>0.53974895397489542</c:v>
                </c:pt>
                <c:pt idx="102">
                  <c:v>0.53909465020576131</c:v>
                </c:pt>
                <c:pt idx="103">
                  <c:v>0.54032258064516125</c:v>
                </c:pt>
                <c:pt idx="104">
                  <c:v>0.54</c:v>
                </c:pt>
                <c:pt idx="105">
                  <c:v>0.54183266932270913</c:v>
                </c:pt>
                <c:pt idx="106">
                  <c:v>0.54545454545454541</c:v>
                </c:pt>
                <c:pt idx="107">
                  <c:v>0.5490196078431373</c:v>
                </c:pt>
                <c:pt idx="108">
                  <c:v>0.55252918287937747</c:v>
                </c:pt>
                <c:pt idx="109">
                  <c:v>0.55252918287937747</c:v>
                </c:pt>
                <c:pt idx="110">
                  <c:v>0.55038759689922478</c:v>
                </c:pt>
                <c:pt idx="111">
                  <c:v>0.5461538461538461</c:v>
                </c:pt>
                <c:pt idx="112">
                  <c:v>0.5461538461538461</c:v>
                </c:pt>
                <c:pt idx="113">
                  <c:v>0.54372623574144485</c:v>
                </c:pt>
                <c:pt idx="114">
                  <c:v>0.54372623574144485</c:v>
                </c:pt>
                <c:pt idx="115">
                  <c:v>0.54372623574144485</c:v>
                </c:pt>
                <c:pt idx="116">
                  <c:v>0.54716981132075471</c:v>
                </c:pt>
                <c:pt idx="117">
                  <c:v>0.54646840148698883</c:v>
                </c:pt>
                <c:pt idx="118">
                  <c:v>0.54814814814814816</c:v>
                </c:pt>
                <c:pt idx="119">
                  <c:v>0.54779411764705888</c:v>
                </c:pt>
                <c:pt idx="120">
                  <c:v>0.54578754578754574</c:v>
                </c:pt>
                <c:pt idx="121">
                  <c:v>0.54379562043795615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762903902643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りくと2!$O$3:$O$124</c:f>
              <c:numCache>
                <c:formatCode>0.0%</c:formatCode>
                <c:ptCount val="122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0.40740740740740738</c:v>
                </c:pt>
                <c:pt idx="37">
                  <c:v>0.40740740740740738</c:v>
                </c:pt>
                <c:pt idx="38">
                  <c:v>0.4</c:v>
                </c:pt>
                <c:pt idx="39">
                  <c:v>0.4107142857142857</c:v>
                </c:pt>
                <c:pt idx="40">
                  <c:v>0.42372881355932202</c:v>
                </c:pt>
                <c:pt idx="41">
                  <c:v>0.42372881355932202</c:v>
                </c:pt>
                <c:pt idx="42">
                  <c:v>0.40322580645161288</c:v>
                </c:pt>
                <c:pt idx="43">
                  <c:v>0.39393939393939392</c:v>
                </c:pt>
                <c:pt idx="44">
                  <c:v>0.39130434782608697</c:v>
                </c:pt>
                <c:pt idx="45">
                  <c:v>0.3888888888888889</c:v>
                </c:pt>
                <c:pt idx="46">
                  <c:v>0.39189189189189189</c:v>
                </c:pt>
                <c:pt idx="47">
                  <c:v>0.4</c:v>
                </c:pt>
                <c:pt idx="48">
                  <c:v>0.39473684210526316</c:v>
                </c:pt>
                <c:pt idx="49">
                  <c:v>0.39240506329113922</c:v>
                </c:pt>
                <c:pt idx="50">
                  <c:v>0.39240506329113922</c:v>
                </c:pt>
                <c:pt idx="51">
                  <c:v>0.38750000000000001</c:v>
                </c:pt>
                <c:pt idx="52">
                  <c:v>0.38554216867469882</c:v>
                </c:pt>
                <c:pt idx="53">
                  <c:v>0.39285714285714285</c:v>
                </c:pt>
                <c:pt idx="54">
                  <c:v>0.39285714285714285</c:v>
                </c:pt>
                <c:pt idx="55">
                  <c:v>0.39534883720930231</c:v>
                </c:pt>
                <c:pt idx="56">
                  <c:v>0.39080459770114945</c:v>
                </c:pt>
                <c:pt idx="57">
                  <c:v>0.38636363636363635</c:v>
                </c:pt>
                <c:pt idx="58">
                  <c:v>0.3888888888888889</c:v>
                </c:pt>
                <c:pt idx="59">
                  <c:v>0.38709677419354838</c:v>
                </c:pt>
                <c:pt idx="60">
                  <c:v>0.38297872340425532</c:v>
                </c:pt>
                <c:pt idx="61">
                  <c:v>0.38775510204081631</c:v>
                </c:pt>
                <c:pt idx="62">
                  <c:v>0.38775510204081631</c:v>
                </c:pt>
                <c:pt idx="63">
                  <c:v>0.38383838383838381</c:v>
                </c:pt>
                <c:pt idx="64">
                  <c:v>0.40196078431372551</c:v>
                </c:pt>
                <c:pt idx="65">
                  <c:v>0.3867924528301887</c:v>
                </c:pt>
                <c:pt idx="66">
                  <c:v>0.3925233644859813</c:v>
                </c:pt>
                <c:pt idx="67">
                  <c:v>0.40366972477064222</c:v>
                </c:pt>
                <c:pt idx="68">
                  <c:v>0.40909090909090912</c:v>
                </c:pt>
                <c:pt idx="69">
                  <c:v>0.4107142857142857</c:v>
                </c:pt>
                <c:pt idx="70">
                  <c:v>0.41228070175438597</c:v>
                </c:pt>
                <c:pt idx="71">
                  <c:v>0.40517241379310343</c:v>
                </c:pt>
                <c:pt idx="72">
                  <c:v>0.40170940170940173</c:v>
                </c:pt>
                <c:pt idx="73">
                  <c:v>0.4</c:v>
                </c:pt>
                <c:pt idx="74">
                  <c:v>0.4065040650406504</c:v>
                </c:pt>
                <c:pt idx="75">
                  <c:v>0.41269841269841268</c:v>
                </c:pt>
                <c:pt idx="76">
                  <c:v>0.41732283464566927</c:v>
                </c:pt>
                <c:pt idx="77">
                  <c:v>0.41860465116279072</c:v>
                </c:pt>
                <c:pt idx="78">
                  <c:v>0.41353383458646614</c:v>
                </c:pt>
                <c:pt idx="79">
                  <c:v>0.41176470588235292</c:v>
                </c:pt>
                <c:pt idx="80">
                  <c:v>0.40579710144927539</c:v>
                </c:pt>
                <c:pt idx="81">
                  <c:v>0.40425531914893614</c:v>
                </c:pt>
                <c:pt idx="82">
                  <c:v>0.40425531914893614</c:v>
                </c:pt>
                <c:pt idx="83">
                  <c:v>0.40845070422535212</c:v>
                </c:pt>
                <c:pt idx="84">
                  <c:v>0.40845070422535212</c:v>
                </c:pt>
                <c:pt idx="85">
                  <c:v>0.41379310344827586</c:v>
                </c:pt>
                <c:pt idx="86">
                  <c:v>0.4178082191780822</c:v>
                </c:pt>
                <c:pt idx="87">
                  <c:v>0.41610738255033558</c:v>
                </c:pt>
                <c:pt idx="88">
                  <c:v>0.41610738255033558</c:v>
                </c:pt>
                <c:pt idx="89">
                  <c:v>0.41447368421052633</c:v>
                </c:pt>
                <c:pt idx="90">
                  <c:v>0.40909090909090912</c:v>
                </c:pt>
                <c:pt idx="91">
                  <c:v>0.41025641025641024</c:v>
                </c:pt>
                <c:pt idx="92">
                  <c:v>0.41025641025641024</c:v>
                </c:pt>
                <c:pt idx="93">
                  <c:v>0.41509433962264153</c:v>
                </c:pt>
                <c:pt idx="94">
                  <c:v>0.41509433962264153</c:v>
                </c:pt>
                <c:pt idx="95">
                  <c:v>0.41509433962264153</c:v>
                </c:pt>
                <c:pt idx="96">
                  <c:v>0.41249999999999998</c:v>
                </c:pt>
                <c:pt idx="97">
                  <c:v>0.41249999999999998</c:v>
                </c:pt>
                <c:pt idx="98">
                  <c:v>0.40993788819875776</c:v>
                </c:pt>
                <c:pt idx="99">
                  <c:v>0.41104294478527609</c:v>
                </c:pt>
                <c:pt idx="100">
                  <c:v>0.40606060606060607</c:v>
                </c:pt>
                <c:pt idx="101">
                  <c:v>0.40119760479041916</c:v>
                </c:pt>
                <c:pt idx="102">
                  <c:v>0.39880952380952384</c:v>
                </c:pt>
                <c:pt idx="103">
                  <c:v>0.39655172413793105</c:v>
                </c:pt>
                <c:pt idx="104">
                  <c:v>0.39428571428571429</c:v>
                </c:pt>
                <c:pt idx="105">
                  <c:v>0.39325842696629215</c:v>
                </c:pt>
                <c:pt idx="106">
                  <c:v>0.39560439560439559</c:v>
                </c:pt>
                <c:pt idx="107">
                  <c:v>0.39459459459459462</c:v>
                </c:pt>
                <c:pt idx="108">
                  <c:v>0.39784946236559138</c:v>
                </c:pt>
                <c:pt idx="109">
                  <c:v>0.39784946236559138</c:v>
                </c:pt>
                <c:pt idx="110">
                  <c:v>0.39784946236559138</c:v>
                </c:pt>
                <c:pt idx="111">
                  <c:v>0.39572192513368987</c:v>
                </c:pt>
                <c:pt idx="112">
                  <c:v>0.3968253968253968</c:v>
                </c:pt>
                <c:pt idx="113">
                  <c:v>0.3968253968253968</c:v>
                </c:pt>
                <c:pt idx="114">
                  <c:v>0.4</c:v>
                </c:pt>
                <c:pt idx="115">
                  <c:v>0.4</c:v>
                </c:pt>
                <c:pt idx="116">
                  <c:v>0.40414507772020725</c:v>
                </c:pt>
                <c:pt idx="117">
                  <c:v>0.40206185567010311</c:v>
                </c:pt>
                <c:pt idx="118">
                  <c:v>0.40404040404040403</c:v>
                </c:pt>
                <c:pt idx="119">
                  <c:v>0.40703517587939697</c:v>
                </c:pt>
                <c:pt idx="120">
                  <c:v>0.40594059405940597</c:v>
                </c:pt>
                <c:pt idx="121">
                  <c:v>0.40487804878048783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63079693831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りくと2!$P$3:$P$124</c:f>
              <c:numCache>
                <c:formatCode>0.0%</c:formatCode>
                <c:ptCount val="122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0.4</c:v>
                </c:pt>
                <c:pt idx="36">
                  <c:v>0.41379310344827586</c:v>
                </c:pt>
                <c:pt idx="37">
                  <c:v>0.40909090909090912</c:v>
                </c:pt>
                <c:pt idx="38">
                  <c:v>0.41304347826086957</c:v>
                </c:pt>
                <c:pt idx="39">
                  <c:v>0.42105263157894735</c:v>
                </c:pt>
                <c:pt idx="40">
                  <c:v>0.42</c:v>
                </c:pt>
                <c:pt idx="41">
                  <c:v>0.42156862745098039</c:v>
                </c:pt>
                <c:pt idx="42">
                  <c:v>0.43269230769230771</c:v>
                </c:pt>
                <c:pt idx="43">
                  <c:v>0.43809523809523809</c:v>
                </c:pt>
                <c:pt idx="44">
                  <c:v>0.43396226415094341</c:v>
                </c:pt>
                <c:pt idx="45">
                  <c:v>0.42592592592592593</c:v>
                </c:pt>
                <c:pt idx="46">
                  <c:v>0.42727272727272725</c:v>
                </c:pt>
                <c:pt idx="47">
                  <c:v>0.4247787610619469</c:v>
                </c:pt>
                <c:pt idx="48">
                  <c:v>0.4358974358974359</c:v>
                </c:pt>
                <c:pt idx="49">
                  <c:v>0.43697478991596639</c:v>
                </c:pt>
                <c:pt idx="50">
                  <c:v>0.44166666666666665</c:v>
                </c:pt>
                <c:pt idx="51">
                  <c:v>0.43801652892561982</c:v>
                </c:pt>
                <c:pt idx="52">
                  <c:v>0.44354838709677419</c:v>
                </c:pt>
                <c:pt idx="53">
                  <c:v>0.44881889763779526</c:v>
                </c:pt>
                <c:pt idx="54">
                  <c:v>0.44881889763779526</c:v>
                </c:pt>
                <c:pt idx="55">
                  <c:v>0.45038167938931295</c:v>
                </c:pt>
                <c:pt idx="56">
                  <c:v>0.45864661654135336</c:v>
                </c:pt>
                <c:pt idx="57">
                  <c:v>0.47058823529411764</c:v>
                </c:pt>
                <c:pt idx="58">
                  <c:v>0.46376811594202899</c:v>
                </c:pt>
                <c:pt idx="59">
                  <c:v>0.45714285714285713</c:v>
                </c:pt>
                <c:pt idx="60">
                  <c:v>0.45714285714285713</c:v>
                </c:pt>
                <c:pt idx="61">
                  <c:v>0.4513888888888889</c:v>
                </c:pt>
                <c:pt idx="62">
                  <c:v>0.4513888888888889</c:v>
                </c:pt>
                <c:pt idx="63">
                  <c:v>0.45270270270270269</c:v>
                </c:pt>
                <c:pt idx="64">
                  <c:v>0.46052631578947367</c:v>
                </c:pt>
                <c:pt idx="65">
                  <c:v>0.45751633986928103</c:v>
                </c:pt>
                <c:pt idx="66">
                  <c:v>0.46202531645569622</c:v>
                </c:pt>
                <c:pt idx="67">
                  <c:v>0.45962732919254656</c:v>
                </c:pt>
                <c:pt idx="68">
                  <c:v>0.4567901234567901</c:v>
                </c:pt>
                <c:pt idx="69">
                  <c:v>0.45398773006134968</c:v>
                </c:pt>
                <c:pt idx="70">
                  <c:v>0.45783132530120479</c:v>
                </c:pt>
                <c:pt idx="71">
                  <c:v>0.4642857142857143</c:v>
                </c:pt>
                <c:pt idx="72">
                  <c:v>0.46153846153846156</c:v>
                </c:pt>
                <c:pt idx="73">
                  <c:v>0.46511627906976744</c:v>
                </c:pt>
                <c:pt idx="74">
                  <c:v>0.46590909090909088</c:v>
                </c:pt>
                <c:pt idx="75">
                  <c:v>0.46629213483146065</c:v>
                </c:pt>
                <c:pt idx="76">
                  <c:v>0.46408839779005523</c:v>
                </c:pt>
                <c:pt idx="77">
                  <c:v>0.45652173913043476</c:v>
                </c:pt>
                <c:pt idx="78">
                  <c:v>0.45989304812834225</c:v>
                </c:pt>
                <c:pt idx="79">
                  <c:v>0.455026455026455</c:v>
                </c:pt>
                <c:pt idx="80">
                  <c:v>0.45549738219895286</c:v>
                </c:pt>
                <c:pt idx="81">
                  <c:v>0.45360824742268041</c:v>
                </c:pt>
                <c:pt idx="82">
                  <c:v>0.45128205128205129</c:v>
                </c:pt>
                <c:pt idx="83">
                  <c:v>0.4494949494949495</c:v>
                </c:pt>
                <c:pt idx="84">
                  <c:v>0.45</c:v>
                </c:pt>
                <c:pt idx="85">
                  <c:v>0.45588235294117646</c:v>
                </c:pt>
                <c:pt idx="86">
                  <c:v>0.4563106796116505</c:v>
                </c:pt>
                <c:pt idx="87">
                  <c:v>0.45673076923076922</c:v>
                </c:pt>
                <c:pt idx="88">
                  <c:v>0.46445497630331756</c:v>
                </c:pt>
                <c:pt idx="89">
                  <c:v>0.46226415094339623</c:v>
                </c:pt>
                <c:pt idx="90">
                  <c:v>0.46226415094339623</c:v>
                </c:pt>
                <c:pt idx="91">
                  <c:v>0.46478873239436619</c:v>
                </c:pt>
                <c:pt idx="92">
                  <c:v>0.46511627906976744</c:v>
                </c:pt>
                <c:pt idx="93">
                  <c:v>0.46330275229357798</c:v>
                </c:pt>
                <c:pt idx="94">
                  <c:v>0.46118721461187212</c:v>
                </c:pt>
                <c:pt idx="95">
                  <c:v>0.46846846846846846</c:v>
                </c:pt>
                <c:pt idx="96">
                  <c:v>0.46846846846846846</c:v>
                </c:pt>
                <c:pt idx="97">
                  <c:v>0.4732142857142857</c:v>
                </c:pt>
                <c:pt idx="98">
                  <c:v>0.47136563876651982</c:v>
                </c:pt>
                <c:pt idx="99">
                  <c:v>0.46724890829694321</c:v>
                </c:pt>
                <c:pt idx="100">
                  <c:v>0.46724890829694321</c:v>
                </c:pt>
                <c:pt idx="101">
                  <c:v>0.46753246753246752</c:v>
                </c:pt>
                <c:pt idx="102">
                  <c:v>0.47435897435897434</c:v>
                </c:pt>
                <c:pt idx="103">
                  <c:v>0.47698744769874479</c:v>
                </c:pt>
                <c:pt idx="104">
                  <c:v>0.47302904564315351</c:v>
                </c:pt>
                <c:pt idx="105">
                  <c:v>0.47325102880658437</c:v>
                </c:pt>
                <c:pt idx="106">
                  <c:v>0.47773279352226722</c:v>
                </c:pt>
                <c:pt idx="107">
                  <c:v>0.48</c:v>
                </c:pt>
                <c:pt idx="108">
                  <c:v>0.48221343873517786</c:v>
                </c:pt>
                <c:pt idx="109">
                  <c:v>0.48031496062992124</c:v>
                </c:pt>
                <c:pt idx="110">
                  <c:v>0.4765625</c:v>
                </c:pt>
                <c:pt idx="111">
                  <c:v>0.4765625</c:v>
                </c:pt>
                <c:pt idx="112">
                  <c:v>0.47470817120622566</c:v>
                </c:pt>
                <c:pt idx="113">
                  <c:v>0.47674418604651164</c:v>
                </c:pt>
                <c:pt idx="114">
                  <c:v>0.4749034749034749</c:v>
                </c:pt>
                <c:pt idx="115">
                  <c:v>0.4749034749034749</c:v>
                </c:pt>
                <c:pt idx="116">
                  <c:v>0.47528517110266161</c:v>
                </c:pt>
                <c:pt idx="117">
                  <c:v>0.47547169811320755</c:v>
                </c:pt>
                <c:pt idx="118">
                  <c:v>0.47014925373134331</c:v>
                </c:pt>
                <c:pt idx="119">
                  <c:v>0.47037037037037038</c:v>
                </c:pt>
                <c:pt idx="120">
                  <c:v>0.46863468634686345</c:v>
                </c:pt>
                <c:pt idx="121">
                  <c:v>0.46691176470588236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532430506058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20"/>
  <sheetViews>
    <sheetView workbookViewId="0"/>
  </sheetViews>
  <sheetFormatPr defaultColWidth="9" defaultRowHeight="18.75" x14ac:dyDescent="0.4"/>
  <cols>
    <col min="1" max="1" width="19.25" style="2" customWidth="1"/>
    <col min="2" max="2" width="19.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">
      <c r="A3" s="2" t="s">
        <v>207</v>
      </c>
      <c r="B3" s="3">
        <v>43737.532500000001</v>
      </c>
      <c r="C3" s="2" t="s">
        <v>128</v>
      </c>
    </row>
    <row r="4" spans="1:12" x14ac:dyDescent="0.4">
      <c r="A4" s="2" t="s">
        <v>208</v>
      </c>
      <c r="B4" s="3">
        <v>43737.532500000001</v>
      </c>
      <c r="C4" s="2" t="s">
        <v>128</v>
      </c>
    </row>
    <row r="5" spans="1:12" x14ac:dyDescent="0.4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">
      <c r="A8" s="2" t="s">
        <v>212</v>
      </c>
      <c r="B8" s="3">
        <v>43740.96733796296</v>
      </c>
      <c r="C8" s="2" t="s">
        <v>128</v>
      </c>
    </row>
    <row r="9" spans="1:12" x14ac:dyDescent="0.4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">
      <c r="A11" s="2" t="s">
        <v>215</v>
      </c>
      <c r="B11" s="3">
        <v>43741.028969907406</v>
      </c>
      <c r="C11" s="2" t="s">
        <v>128</v>
      </c>
    </row>
    <row r="12" spans="1:12" x14ac:dyDescent="0.4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">
      <c r="A18" s="2" t="s">
        <v>222</v>
      </c>
      <c r="B18" s="3">
        <v>43745.374525462961</v>
      </c>
      <c r="C18" s="2" t="s">
        <v>128</v>
      </c>
    </row>
    <row r="19" spans="1:12" x14ac:dyDescent="0.4">
      <c r="A19" s="2" t="s">
        <v>223</v>
      </c>
      <c r="B19" s="3">
        <v>43750.963090277779</v>
      </c>
      <c r="C19" s="2" t="s">
        <v>128</v>
      </c>
    </row>
    <row r="20" spans="1:12" x14ac:dyDescent="0.4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">
      <c r="A21" s="2" t="s">
        <v>225</v>
      </c>
      <c r="B21" s="3">
        <v>43750.963090277779</v>
      </c>
      <c r="C21" s="2" t="s">
        <v>128</v>
      </c>
    </row>
    <row r="22" spans="1:12" x14ac:dyDescent="0.4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">
      <c r="A23" s="2" t="s">
        <v>227</v>
      </c>
      <c r="B23" s="3">
        <v>43800.062326388892</v>
      </c>
      <c r="C23" s="2" t="s">
        <v>128</v>
      </c>
    </row>
    <row r="24" spans="1:12" x14ac:dyDescent="0.4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">
      <c r="A41" s="2" t="s">
        <v>245</v>
      </c>
      <c r="B41" s="3">
        <v>43766.037835648145</v>
      </c>
      <c r="C41" s="2" t="s">
        <v>128</v>
      </c>
    </row>
    <row r="42" spans="1:9" x14ac:dyDescent="0.4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">
      <c r="A47" s="2" t="s">
        <v>251</v>
      </c>
      <c r="B47" s="3">
        <v>43770.815983796296</v>
      </c>
      <c r="C47" s="2" t="s">
        <v>128</v>
      </c>
    </row>
    <row r="48" spans="1:9" x14ac:dyDescent="0.4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">
      <c r="A50" s="2" t="s">
        <v>254</v>
      </c>
      <c r="B50" s="3">
        <v>43773.722453703704</v>
      </c>
      <c r="C50" s="2" t="s">
        <v>128</v>
      </c>
    </row>
    <row r="51" spans="1:9" x14ac:dyDescent="0.4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">
      <c r="A53" s="2" t="s">
        <v>257</v>
      </c>
      <c r="B53" s="3">
        <v>43781.637499999997</v>
      </c>
      <c r="C53" s="2" t="s">
        <v>128</v>
      </c>
    </row>
    <row r="54" spans="1:9" x14ac:dyDescent="0.4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">
      <c r="A56" s="2" t="s">
        <v>260</v>
      </c>
      <c r="B56" s="3">
        <v>43783.744745370372</v>
      </c>
      <c r="C56" s="2" t="s">
        <v>128</v>
      </c>
    </row>
    <row r="57" spans="1:9" x14ac:dyDescent="0.4">
      <c r="A57" s="2" t="s">
        <v>261</v>
      </c>
      <c r="B57" s="3">
        <v>43784.974247685182</v>
      </c>
      <c r="C57" s="2" t="s">
        <v>128</v>
      </c>
    </row>
    <row r="58" spans="1:9" x14ac:dyDescent="0.4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">
      <c r="A60" s="2" t="s">
        <v>264</v>
      </c>
      <c r="B60" s="3">
        <v>43787.745706018519</v>
      </c>
      <c r="C60" s="2" t="s">
        <v>128</v>
      </c>
    </row>
    <row r="61" spans="1:9" x14ac:dyDescent="0.4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">
      <c r="A62" s="2" t="s">
        <v>266</v>
      </c>
      <c r="B62" s="3">
        <v>43789.730671296296</v>
      </c>
      <c r="C62" s="2" t="s">
        <v>128</v>
      </c>
    </row>
    <row r="63" spans="1:9" x14ac:dyDescent="0.4">
      <c r="A63" s="2" t="s">
        <v>267</v>
      </c>
      <c r="B63" s="3">
        <v>43790.974027777775</v>
      </c>
      <c r="C63" s="2" t="s">
        <v>128</v>
      </c>
    </row>
    <row r="64" spans="1:9" x14ac:dyDescent="0.4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">
      <c r="A66" s="2" t="s">
        <v>270</v>
      </c>
      <c r="B66" s="3">
        <v>43795.03466435185</v>
      </c>
      <c r="C66" s="2" t="s">
        <v>128</v>
      </c>
    </row>
    <row r="67" spans="1:12" x14ac:dyDescent="0.4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">
      <c r="A73" s="2" t="s">
        <v>278</v>
      </c>
      <c r="B73" s="3">
        <v>43805.880937499998</v>
      </c>
      <c r="C73" s="2" t="s">
        <v>128</v>
      </c>
    </row>
    <row r="74" spans="1:12" x14ac:dyDescent="0.4">
      <c r="A74" s="2" t="s">
        <v>279</v>
      </c>
      <c r="B74" s="3">
        <v>43806.068379629629</v>
      </c>
      <c r="C74" s="2" t="s">
        <v>128</v>
      </c>
    </row>
    <row r="75" spans="1:12" x14ac:dyDescent="0.4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">
      <c r="A76" s="2" t="s">
        <v>283</v>
      </c>
      <c r="B76" s="3">
        <v>43809.906898148147</v>
      </c>
      <c r="C76" s="2" t="s">
        <v>128</v>
      </c>
    </row>
    <row r="77" spans="1:12" x14ac:dyDescent="0.4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">
      <c r="A80" s="2" t="s">
        <v>287</v>
      </c>
      <c r="B80" s="3">
        <v>43812.000752314816</v>
      </c>
      <c r="C80" s="2" t="s">
        <v>128</v>
      </c>
    </row>
    <row r="81" spans="1:9" x14ac:dyDescent="0.4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">
      <c r="A82" s="2" t="s">
        <v>289</v>
      </c>
      <c r="B82" s="3">
        <v>43814.578449074077</v>
      </c>
      <c r="C82" s="2" t="s">
        <v>128</v>
      </c>
    </row>
    <row r="83" spans="1:9" x14ac:dyDescent="0.4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">
      <c r="A88" s="2" t="s">
        <v>295</v>
      </c>
      <c r="B88" s="3">
        <v>43838.76290509259</v>
      </c>
      <c r="C88" s="2" t="s">
        <v>128</v>
      </c>
    </row>
    <row r="89" spans="1:9" x14ac:dyDescent="0.4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">
      <c r="A90" s="2" t="s">
        <v>297</v>
      </c>
      <c r="B90" s="3">
        <v>43840.436331018522</v>
      </c>
      <c r="C90" s="2" t="s">
        <v>128</v>
      </c>
    </row>
    <row r="91" spans="1:9" x14ac:dyDescent="0.4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">
      <c r="A95" s="2" t="s">
        <v>302</v>
      </c>
      <c r="B95" s="3">
        <v>43846.004641203705</v>
      </c>
      <c r="C95" s="2" t="s">
        <v>128</v>
      </c>
    </row>
    <row r="96" spans="1:9" x14ac:dyDescent="0.4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">
      <c r="A108" s="2" t="s">
        <v>315</v>
      </c>
      <c r="B108" s="3">
        <v>43865.925081018519</v>
      </c>
      <c r="C108" s="2" t="s">
        <v>128</v>
      </c>
    </row>
    <row r="109" spans="1:7" x14ac:dyDescent="0.4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">
      <c r="A110" s="2" t="s">
        <v>317</v>
      </c>
      <c r="B110" s="3">
        <v>43866.98027777778</v>
      </c>
      <c r="C110" s="2" t="s">
        <v>128</v>
      </c>
    </row>
    <row r="111" spans="1:7" x14ac:dyDescent="0.4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12" x14ac:dyDescent="0.4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12" x14ac:dyDescent="0.4">
      <c r="A114" s="2" t="s">
        <v>321</v>
      </c>
      <c r="B114" s="3">
        <v>43876.606481481482</v>
      </c>
      <c r="C114" s="2" t="s">
        <v>128</v>
      </c>
      <c r="D114" s="2" t="s">
        <v>129</v>
      </c>
    </row>
    <row r="115" spans="1:12" x14ac:dyDescent="0.4">
      <c r="A115" s="2" t="s">
        <v>322</v>
      </c>
      <c r="B115" s="3">
        <v>43879.024421296293</v>
      </c>
      <c r="C115" s="2" t="s">
        <v>128</v>
      </c>
      <c r="D115" s="2" t="s">
        <v>129</v>
      </c>
      <c r="E115" s="2" t="s">
        <v>170</v>
      </c>
      <c r="F115" s="2" t="s">
        <v>171</v>
      </c>
    </row>
    <row r="116" spans="1:12" x14ac:dyDescent="0.4">
      <c r="A116" s="2" t="s">
        <v>323</v>
      </c>
      <c r="B116" s="3">
        <v>43880.042349537034</v>
      </c>
      <c r="C116" s="2" t="s">
        <v>128</v>
      </c>
      <c r="D116" s="2" t="s">
        <v>129</v>
      </c>
    </row>
    <row r="117" spans="1:12" x14ac:dyDescent="0.4">
      <c r="A117" s="2" t="s">
        <v>324</v>
      </c>
      <c r="B117" s="3">
        <v>43885.087800925925</v>
      </c>
      <c r="C117" s="2" t="s">
        <v>128</v>
      </c>
      <c r="D117" s="2" t="s">
        <v>129</v>
      </c>
      <c r="E117" s="2" t="s">
        <v>170</v>
      </c>
      <c r="F117" s="2" t="s">
        <v>171</v>
      </c>
      <c r="G117" s="2" t="s">
        <v>172</v>
      </c>
    </row>
    <row r="118" spans="1:12" x14ac:dyDescent="0.4">
      <c r="A118" s="2" t="s">
        <v>325</v>
      </c>
      <c r="B118" s="3">
        <v>43885.469583333332</v>
      </c>
      <c r="C118" s="2" t="s">
        <v>128</v>
      </c>
    </row>
    <row r="119" spans="1:12" x14ac:dyDescent="0.4">
      <c r="A119" s="2" t="s">
        <v>326</v>
      </c>
      <c r="B119" s="3">
        <v>43887.124571759261</v>
      </c>
      <c r="C119" s="2" t="s">
        <v>128</v>
      </c>
      <c r="D119" s="2" t="s">
        <v>129</v>
      </c>
      <c r="E119" s="2" t="s">
        <v>170</v>
      </c>
      <c r="F119" s="2" t="s">
        <v>171</v>
      </c>
      <c r="G119" s="2" t="s">
        <v>172</v>
      </c>
      <c r="H119" s="2" t="s">
        <v>196</v>
      </c>
    </row>
    <row r="120" spans="1:12" x14ac:dyDescent="0.4">
      <c r="A120" s="2" t="s">
        <v>327</v>
      </c>
      <c r="B120" s="3">
        <v>43901.619039351855</v>
      </c>
      <c r="C120" s="2" t="s">
        <v>128</v>
      </c>
      <c r="D120" s="2" t="s">
        <v>129</v>
      </c>
      <c r="E120" s="2" t="s">
        <v>170</v>
      </c>
      <c r="F120" s="2" t="s">
        <v>171</v>
      </c>
      <c r="G120" s="2" t="s">
        <v>172</v>
      </c>
      <c r="H120" s="2" t="s">
        <v>196</v>
      </c>
      <c r="I120" s="2" t="s">
        <v>197</v>
      </c>
      <c r="J120" s="2" t="s">
        <v>198</v>
      </c>
      <c r="K120" s="2" t="s">
        <v>199</v>
      </c>
      <c r="L120" s="2" t="s">
        <v>200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1149</v>
      </c>
    </row>
    <row r="2" spans="1:2" x14ac:dyDescent="0.4">
      <c r="A2" t="s">
        <v>158</v>
      </c>
      <c r="B2">
        <v>95</v>
      </c>
    </row>
    <row r="3" spans="1:2" x14ac:dyDescent="0.4">
      <c r="A3" t="s">
        <v>126</v>
      </c>
      <c r="B3">
        <v>234</v>
      </c>
    </row>
    <row r="4" spans="1:2" x14ac:dyDescent="0.4">
      <c r="A4" t="s">
        <v>127</v>
      </c>
      <c r="B4">
        <v>202</v>
      </c>
    </row>
    <row r="5" spans="1:2" x14ac:dyDescent="0.4">
      <c r="A5" t="s">
        <v>169</v>
      </c>
      <c r="B5">
        <v>121</v>
      </c>
    </row>
    <row r="6" spans="1:2" x14ac:dyDescent="0.4">
      <c r="A6" t="s">
        <v>167</v>
      </c>
      <c r="B6">
        <v>167</v>
      </c>
    </row>
    <row r="7" spans="1:2" x14ac:dyDescent="0.4">
      <c r="A7" t="s">
        <v>168</v>
      </c>
      <c r="B7">
        <v>171</v>
      </c>
    </row>
    <row r="8" spans="1:2" x14ac:dyDescent="0.4">
      <c r="A8" t="s">
        <v>195</v>
      </c>
      <c r="B8">
        <v>79</v>
      </c>
    </row>
    <row r="9" spans="1:2" x14ac:dyDescent="0.4">
      <c r="A9" t="s">
        <v>194</v>
      </c>
      <c r="B9">
        <v>36</v>
      </c>
    </row>
    <row r="10" spans="1:2" x14ac:dyDescent="0.4">
      <c r="A10" t="s">
        <v>201</v>
      </c>
      <c r="B10">
        <v>7</v>
      </c>
    </row>
    <row r="11" spans="1:2" x14ac:dyDescent="0.4">
      <c r="A11" t="s">
        <v>202</v>
      </c>
      <c r="B11">
        <v>2</v>
      </c>
    </row>
    <row r="12" spans="1:2" x14ac:dyDescent="0.4">
      <c r="A12" t="s">
        <v>275</v>
      </c>
      <c r="B12">
        <v>20</v>
      </c>
    </row>
    <row r="13" spans="1:2" x14ac:dyDescent="0.4">
      <c r="A13" t="s">
        <v>282</v>
      </c>
      <c r="B13">
        <v>10</v>
      </c>
    </row>
    <row r="14" spans="1:2" x14ac:dyDescent="0.4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/>
      <c r="C1" s="130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206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138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189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75" style="51" customWidth="1"/>
    <col min="3" max="3" width="10.75" style="122" customWidth="1"/>
    <col min="4" max="4" width="10.75" style="49" customWidth="1"/>
    <col min="5" max="5" width="10.75" style="50" customWidth="1"/>
    <col min="6" max="6" width="10.75" style="51" customWidth="1"/>
    <col min="7" max="7" width="10.75" style="63" customWidth="1"/>
    <col min="8" max="8" width="10.75" style="51" customWidth="1"/>
    <col min="9" max="9" width="10.75" style="63" customWidth="1"/>
    <col min="10" max="10" width="10.75" style="51" customWidth="1"/>
    <col min="11" max="11" width="10.75" style="52" customWidth="1"/>
    <col min="12" max="12" width="10.75" style="51" customWidth="1"/>
    <col min="13" max="13" width="10.75" style="53" customWidth="1"/>
    <col min="14" max="14" width="10.75" style="51" customWidth="1"/>
    <col min="15" max="15" width="10.75" style="53" customWidth="1"/>
    <col min="16" max="16" width="10.75" style="51" customWidth="1"/>
    <col min="17" max="17" width="10.75" style="54" customWidth="1"/>
    <col min="18" max="18" width="10.75" style="51" customWidth="1"/>
    <col min="19" max="19" width="10.75" style="54" customWidth="1"/>
    <col min="20" max="20" width="10.75" style="51" customWidth="1"/>
    <col min="21" max="21" width="10.75" style="55" customWidth="1"/>
    <col min="22" max="22" width="10.75" style="51" customWidth="1"/>
    <col min="23" max="23" width="10.75" style="55" customWidth="1"/>
    <col min="24" max="24" width="10.75" style="51" customWidth="1"/>
    <col min="25" max="25" width="10.75" style="53" customWidth="1"/>
    <col min="26" max="26" width="10.75" style="51" customWidth="1"/>
    <col min="27" max="27" width="10.75" style="54" customWidth="1"/>
    <col min="28" max="28" width="10.75" style="51" customWidth="1"/>
    <col min="29" max="29" width="10.75" style="54" customWidth="1"/>
    <col min="30" max="30" width="10.75" style="51" customWidth="1"/>
    <col min="31" max="31" width="10.75" style="54" customWidth="1"/>
    <col min="32" max="32" width="10.75" style="51" customWidth="1"/>
    <col min="33" max="33" width="10.75" style="54" customWidth="1"/>
    <col min="34" max="34" width="10.75" style="51" customWidth="1"/>
    <col min="35" max="35" width="10.75" style="54" customWidth="1"/>
    <col min="36" max="36" width="10.75" style="51" customWidth="1"/>
    <col min="37" max="37" width="10.75" style="58" customWidth="1"/>
    <col min="38" max="16384" width="9" style="39"/>
  </cols>
  <sheetData>
    <row r="1" spans="1:37" x14ac:dyDescent="0.4">
      <c r="A1" s="38"/>
      <c r="B1" s="139" t="s">
        <v>9</v>
      </c>
      <c r="C1" s="140"/>
      <c r="D1" s="143" t="s">
        <v>6</v>
      </c>
      <c r="E1" s="144"/>
      <c r="F1" s="143" t="s">
        <v>7</v>
      </c>
      <c r="G1" s="144"/>
      <c r="H1" s="139" t="s">
        <v>206</v>
      </c>
      <c r="I1" s="140"/>
      <c r="J1" s="143" t="s">
        <v>15</v>
      </c>
      <c r="K1" s="144"/>
      <c r="L1" s="143" t="s">
        <v>14</v>
      </c>
      <c r="M1" s="144"/>
      <c r="N1" s="143" t="s">
        <v>152</v>
      </c>
      <c r="O1" s="144"/>
      <c r="P1" s="143" t="s">
        <v>145</v>
      </c>
      <c r="Q1" s="144"/>
      <c r="R1" s="143" t="s">
        <v>146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147</v>
      </c>
      <c r="AG1" s="144"/>
      <c r="AH1" s="143" t="s">
        <v>140</v>
      </c>
      <c r="AI1" s="144"/>
      <c r="AJ1" s="143" t="s">
        <v>189</v>
      </c>
      <c r="AK1" s="144"/>
    </row>
    <row r="2" spans="1:37" x14ac:dyDescent="0.4">
      <c r="A2" s="38" t="s">
        <v>151</v>
      </c>
      <c r="B2" s="141">
        <v>0.58201044611666963</v>
      </c>
      <c r="C2" s="142"/>
      <c r="D2" s="145"/>
      <c r="E2" s="146"/>
      <c r="F2" s="145"/>
      <c r="G2" s="146"/>
      <c r="H2" s="141">
        <v>0.63440303856758273</v>
      </c>
      <c r="I2" s="142"/>
      <c r="J2" s="141">
        <v>0.93352268840659569</v>
      </c>
      <c r="K2" s="142"/>
      <c r="L2" s="141">
        <v>0.74639054049889864</v>
      </c>
      <c r="M2" s="142"/>
      <c r="N2" s="141">
        <v>0.69044961256502846</v>
      </c>
      <c r="O2" s="142"/>
      <c r="P2" s="141">
        <v>0.6095439019339417</v>
      </c>
      <c r="Q2" s="142"/>
      <c r="R2" s="141">
        <v>0.39514893893455988</v>
      </c>
      <c r="S2" s="142"/>
      <c r="T2" s="141">
        <v>0.36776750672806552</v>
      </c>
      <c r="U2" s="142"/>
      <c r="V2" s="141">
        <v>0.13232925631114997</v>
      </c>
      <c r="W2" s="142"/>
      <c r="X2" s="141">
        <v>0.36591222647794314</v>
      </c>
      <c r="Y2" s="142"/>
      <c r="Z2" s="141">
        <v>0.25556491403394249</v>
      </c>
      <c r="AA2" s="142"/>
      <c r="AB2" s="141">
        <v>6.8407190957083946E-2</v>
      </c>
      <c r="AC2" s="142"/>
      <c r="AD2" s="141">
        <v>0.42804826914654542</v>
      </c>
      <c r="AE2" s="142"/>
      <c r="AF2" s="141">
        <v>0.17499006338486708</v>
      </c>
      <c r="AG2" s="142"/>
      <c r="AH2" s="141">
        <v>-0.17245335969263828</v>
      </c>
      <c r="AI2" s="142"/>
      <c r="AJ2" s="141">
        <v>0.81826455778109375</v>
      </c>
      <c r="AK2" s="142"/>
    </row>
    <row r="3" spans="1:37" x14ac:dyDescent="0.4">
      <c r="A3" s="40">
        <v>1</v>
      </c>
      <c r="B3" s="43" t="s">
        <v>141</v>
      </c>
      <c r="C3" s="121">
        <v>383</v>
      </c>
      <c r="D3" s="41" t="s">
        <v>126</v>
      </c>
      <c r="E3" s="42">
        <v>2082</v>
      </c>
      <c r="F3" s="43" t="s">
        <v>202</v>
      </c>
      <c r="G3" s="62">
        <v>13.1</v>
      </c>
      <c r="H3" s="43" t="s">
        <v>202</v>
      </c>
      <c r="I3" s="62">
        <v>8.7333333333333325</v>
      </c>
      <c r="J3" s="43" t="s">
        <v>202</v>
      </c>
      <c r="K3" s="44">
        <v>1.5</v>
      </c>
      <c r="L3" s="43" t="s">
        <v>282</v>
      </c>
      <c r="M3" s="45">
        <v>0.5</v>
      </c>
      <c r="N3" s="43" t="s">
        <v>202</v>
      </c>
      <c r="O3" s="45">
        <v>0</v>
      </c>
      <c r="P3" s="43" t="s">
        <v>202</v>
      </c>
      <c r="Q3" s="46">
        <v>0.46666666666666667</v>
      </c>
      <c r="R3" s="43" t="s">
        <v>202</v>
      </c>
      <c r="S3" s="46">
        <v>6.6666666666666666E-2</v>
      </c>
      <c r="T3" s="43" t="s">
        <v>167</v>
      </c>
      <c r="U3" s="47">
        <v>10994.764397905759</v>
      </c>
      <c r="V3" s="43" t="s">
        <v>168</v>
      </c>
      <c r="W3" s="47">
        <v>-7230.5263157894733</v>
      </c>
      <c r="X3" s="43" t="s">
        <v>202</v>
      </c>
      <c r="Y3" s="45">
        <v>0</v>
      </c>
      <c r="Z3" s="43" t="s">
        <v>282</v>
      </c>
      <c r="AA3" s="46">
        <v>0.38461538461538464</v>
      </c>
      <c r="AB3" s="43" t="s">
        <v>201</v>
      </c>
      <c r="AC3" s="46">
        <v>0.35483870967741937</v>
      </c>
      <c r="AD3" s="43" t="s">
        <v>282</v>
      </c>
      <c r="AE3" s="46">
        <v>0.6333333333333333</v>
      </c>
      <c r="AF3" s="43" t="s">
        <v>202</v>
      </c>
      <c r="AG3" s="46">
        <v>1</v>
      </c>
      <c r="AH3" s="43" t="s">
        <v>194</v>
      </c>
      <c r="AI3" s="46">
        <v>0.59756097560975607</v>
      </c>
      <c r="AJ3" s="43" t="s">
        <v>126</v>
      </c>
      <c r="AK3" s="57">
        <v>149100</v>
      </c>
    </row>
    <row r="4" spans="1:37" x14ac:dyDescent="0.4">
      <c r="A4" s="48">
        <v>2</v>
      </c>
      <c r="B4" s="51" t="s">
        <v>126</v>
      </c>
      <c r="C4" s="122">
        <v>234</v>
      </c>
      <c r="D4" s="49" t="s">
        <v>167</v>
      </c>
      <c r="E4" s="50">
        <v>888.20000000000027</v>
      </c>
      <c r="F4" s="51" t="s">
        <v>126</v>
      </c>
      <c r="G4" s="63">
        <v>8.8974358974358978</v>
      </c>
      <c r="H4" s="51" t="s">
        <v>167</v>
      </c>
      <c r="I4" s="63">
        <v>1.6369971368366834</v>
      </c>
      <c r="J4" s="51" t="s">
        <v>126</v>
      </c>
      <c r="K4" s="52">
        <v>1.7777777777777777</v>
      </c>
      <c r="L4" s="51" t="s">
        <v>202</v>
      </c>
      <c r="M4" s="53">
        <v>0.5</v>
      </c>
      <c r="N4" s="51" t="s">
        <v>126</v>
      </c>
      <c r="O4" s="53">
        <v>0.24358974358974358</v>
      </c>
      <c r="P4" s="51" t="s">
        <v>126</v>
      </c>
      <c r="Q4" s="54">
        <v>0.33900928792569657</v>
      </c>
      <c r="R4" s="51" t="s">
        <v>126</v>
      </c>
      <c r="S4" s="54">
        <v>0.12745098039215685</v>
      </c>
      <c r="T4" s="51" t="s">
        <v>282</v>
      </c>
      <c r="U4" s="55">
        <v>9534.6153846153848</v>
      </c>
      <c r="V4" s="51" t="s">
        <v>126</v>
      </c>
      <c r="W4" s="55">
        <v>-7478.5425101214578</v>
      </c>
      <c r="X4" s="51" t="s">
        <v>126</v>
      </c>
      <c r="Y4" s="53">
        <v>5.128205128205128E-2</v>
      </c>
      <c r="Z4" s="51" t="s">
        <v>281</v>
      </c>
      <c r="AA4" s="54">
        <v>0.375</v>
      </c>
      <c r="AB4" s="51" t="s">
        <v>202</v>
      </c>
      <c r="AC4" s="54">
        <v>0.33333333333333331</v>
      </c>
      <c r="AD4" s="51" t="s">
        <v>126</v>
      </c>
      <c r="AE4" s="54">
        <v>0.58267716535433067</v>
      </c>
      <c r="AF4" s="51" t="s">
        <v>275</v>
      </c>
      <c r="AG4" s="54">
        <v>0.65</v>
      </c>
      <c r="AH4" s="51" t="s">
        <v>275</v>
      </c>
      <c r="AI4" s="54">
        <v>0.53703703703703709</v>
      </c>
      <c r="AJ4" s="51" t="s">
        <v>141</v>
      </c>
      <c r="AK4" s="58">
        <v>149100</v>
      </c>
    </row>
    <row r="5" spans="1:37" x14ac:dyDescent="0.4">
      <c r="A5" s="48">
        <v>3</v>
      </c>
      <c r="B5" s="51" t="s">
        <v>127</v>
      </c>
      <c r="C5" s="122">
        <v>202</v>
      </c>
      <c r="D5" s="49" t="s">
        <v>202</v>
      </c>
      <c r="E5" s="50">
        <v>26.2</v>
      </c>
      <c r="F5" s="51" t="s">
        <v>167</v>
      </c>
      <c r="G5" s="63">
        <v>5.3185628742514988</v>
      </c>
      <c r="H5" s="51" t="s">
        <v>126</v>
      </c>
      <c r="I5" s="63">
        <v>1.4170482195775378</v>
      </c>
      <c r="J5" s="51" t="s">
        <v>167</v>
      </c>
      <c r="K5" s="52">
        <v>1.9101796407185629</v>
      </c>
      <c r="L5" s="51" t="s">
        <v>126</v>
      </c>
      <c r="M5" s="53">
        <v>0.46581196581196582</v>
      </c>
      <c r="N5" s="51" t="s">
        <v>168</v>
      </c>
      <c r="O5" s="53">
        <v>0.30409356725146197</v>
      </c>
      <c r="P5" s="51" t="s">
        <v>282</v>
      </c>
      <c r="Q5" s="54">
        <v>0.33333333333333331</v>
      </c>
      <c r="R5" s="51" t="s">
        <v>168</v>
      </c>
      <c r="S5" s="54">
        <v>0.13698630136986301</v>
      </c>
      <c r="T5" s="51" t="s">
        <v>281</v>
      </c>
      <c r="U5" s="55">
        <v>8512.5</v>
      </c>
      <c r="V5" s="51" t="s">
        <v>194</v>
      </c>
      <c r="W5" s="55">
        <v>-7577.5862068965516</v>
      </c>
      <c r="X5" s="51" t="s">
        <v>169</v>
      </c>
      <c r="Y5" s="53">
        <v>7.43801652892562E-2</v>
      </c>
      <c r="Z5" s="51" t="s">
        <v>275</v>
      </c>
      <c r="AA5" s="54">
        <v>0.3493975903614458</v>
      </c>
      <c r="AB5" s="51" t="s">
        <v>127</v>
      </c>
      <c r="AC5" s="54">
        <v>0.29634073185362925</v>
      </c>
      <c r="AD5" s="51" t="s">
        <v>168</v>
      </c>
      <c r="AE5" s="54">
        <v>0.54913294797687862</v>
      </c>
      <c r="AF5" s="51" t="s">
        <v>126</v>
      </c>
      <c r="AG5" s="54">
        <v>0.47435897435897434</v>
      </c>
      <c r="AH5" s="51" t="s">
        <v>167</v>
      </c>
      <c r="AI5" s="54">
        <v>0.51047120418848169</v>
      </c>
      <c r="AJ5" s="51" t="s">
        <v>167</v>
      </c>
      <c r="AK5" s="58">
        <v>122100</v>
      </c>
    </row>
    <row r="6" spans="1:37" x14ac:dyDescent="0.4">
      <c r="A6" s="48">
        <v>4</v>
      </c>
      <c r="B6" s="51" t="s">
        <v>168</v>
      </c>
      <c r="C6" s="122">
        <v>171</v>
      </c>
      <c r="D6" s="49" t="s">
        <v>127</v>
      </c>
      <c r="E6" s="50">
        <v>21.899999999999785</v>
      </c>
      <c r="F6" s="51" t="s">
        <v>282</v>
      </c>
      <c r="G6" s="63">
        <v>0.92999999999999972</v>
      </c>
      <c r="H6" s="51" t="s">
        <v>168</v>
      </c>
      <c r="I6" s="63">
        <v>1.3809222999222992</v>
      </c>
      <c r="J6" s="51" t="s">
        <v>127</v>
      </c>
      <c r="K6" s="52">
        <v>1.9702970297029703</v>
      </c>
      <c r="L6" s="51" t="s">
        <v>201</v>
      </c>
      <c r="M6" s="53">
        <v>0.42857142857142855</v>
      </c>
      <c r="N6" s="51" t="s">
        <v>127</v>
      </c>
      <c r="O6" s="53">
        <v>0.31188118811881188</v>
      </c>
      <c r="P6" s="51" t="s">
        <v>275</v>
      </c>
      <c r="Q6" s="54">
        <v>0.3253012048192771</v>
      </c>
      <c r="R6" s="51" t="s">
        <v>141</v>
      </c>
      <c r="S6" s="54">
        <v>0.15918836941742495</v>
      </c>
      <c r="T6" s="51" t="s">
        <v>168</v>
      </c>
      <c r="U6" s="55">
        <v>8472.0316622691298</v>
      </c>
      <c r="V6" s="51" t="s">
        <v>158</v>
      </c>
      <c r="W6" s="55">
        <v>-7711.0294117647063</v>
      </c>
      <c r="X6" s="51" t="s">
        <v>168</v>
      </c>
      <c r="Y6" s="53">
        <v>8.1871345029239762E-2</v>
      </c>
      <c r="Z6" s="51" t="s">
        <v>167</v>
      </c>
      <c r="AA6" s="54">
        <v>0.29948491537895511</v>
      </c>
      <c r="AB6" s="51" t="s">
        <v>158</v>
      </c>
      <c r="AC6" s="54">
        <v>0.2617924528301887</v>
      </c>
      <c r="AD6" s="51" t="s">
        <v>167</v>
      </c>
      <c r="AE6" s="54">
        <v>0.54791154791154795</v>
      </c>
      <c r="AF6" s="51" t="s">
        <v>168</v>
      </c>
      <c r="AG6" s="54">
        <v>0.4217252396166134</v>
      </c>
      <c r="AH6" s="51" t="s">
        <v>195</v>
      </c>
      <c r="AI6" s="54">
        <v>0.47169811320754718</v>
      </c>
      <c r="AJ6" s="51" t="s">
        <v>168</v>
      </c>
      <c r="AK6" s="58">
        <v>101400</v>
      </c>
    </row>
    <row r="7" spans="1:37" x14ac:dyDescent="0.4">
      <c r="A7" s="48">
        <v>5</v>
      </c>
      <c r="B7" s="51" t="s">
        <v>167</v>
      </c>
      <c r="C7" s="122">
        <v>167</v>
      </c>
      <c r="D7" s="49" t="s">
        <v>282</v>
      </c>
      <c r="E7" s="50">
        <v>9.2999999999999972</v>
      </c>
      <c r="F7" s="51" t="s">
        <v>127</v>
      </c>
      <c r="G7" s="63">
        <v>0.10841584158415736</v>
      </c>
      <c r="H7" s="51" t="s">
        <v>282</v>
      </c>
      <c r="I7" s="63">
        <v>0.61999999999999977</v>
      </c>
      <c r="J7" s="51" t="s">
        <v>282</v>
      </c>
      <c r="K7" s="52">
        <v>2</v>
      </c>
      <c r="L7" s="51" t="s">
        <v>167</v>
      </c>
      <c r="M7" s="53">
        <v>0.40718562874251496</v>
      </c>
      <c r="N7" s="51" t="s">
        <v>167</v>
      </c>
      <c r="O7" s="53">
        <v>0.31736526946107785</v>
      </c>
      <c r="P7" s="51" t="s">
        <v>127</v>
      </c>
      <c r="Q7" s="54">
        <v>0.31913617276544692</v>
      </c>
      <c r="R7" s="51" t="s">
        <v>158</v>
      </c>
      <c r="S7" s="54">
        <v>0.16037735849056603</v>
      </c>
      <c r="T7" s="51" t="s">
        <v>195</v>
      </c>
      <c r="U7" s="55">
        <v>8428.9308176100621</v>
      </c>
      <c r="V7" s="51" t="s">
        <v>169</v>
      </c>
      <c r="W7" s="55">
        <v>-7761.4973262032081</v>
      </c>
      <c r="X7" s="51" t="s">
        <v>127</v>
      </c>
      <c r="Y7" s="53">
        <v>9.405940594059406E-2</v>
      </c>
      <c r="Z7" s="51" t="s">
        <v>194</v>
      </c>
      <c r="AA7" s="54">
        <v>0.28963414634146339</v>
      </c>
      <c r="AB7" s="51" t="s">
        <v>126</v>
      </c>
      <c r="AC7" s="54">
        <v>0.24148606811145512</v>
      </c>
      <c r="AD7" s="51" t="s">
        <v>141</v>
      </c>
      <c r="AE7" s="54">
        <v>0.54762903902643723</v>
      </c>
      <c r="AF7" s="51" t="s">
        <v>141</v>
      </c>
      <c r="AG7" s="54">
        <v>0.41963079693831606</v>
      </c>
      <c r="AH7" s="51" t="s">
        <v>169</v>
      </c>
      <c r="AI7" s="54">
        <v>0.46691176470588236</v>
      </c>
      <c r="AJ7" s="51" t="s">
        <v>194</v>
      </c>
      <c r="AK7" s="58">
        <v>95200</v>
      </c>
    </row>
    <row r="8" spans="1:37" x14ac:dyDescent="0.4">
      <c r="A8" s="48">
        <v>6</v>
      </c>
      <c r="B8" s="51" t="s">
        <v>169</v>
      </c>
      <c r="C8" s="122">
        <v>121</v>
      </c>
      <c r="D8" s="49" t="s">
        <v>141</v>
      </c>
      <c r="E8" s="50">
        <v>-9.2370555648813024E-14</v>
      </c>
      <c r="F8" s="51" t="s">
        <v>141</v>
      </c>
      <c r="G8" s="63">
        <v>-8.0392128502013079E-17</v>
      </c>
      <c r="H8" s="51" t="s">
        <v>141</v>
      </c>
      <c r="I8" s="63">
        <v>0</v>
      </c>
      <c r="J8" s="51" t="s">
        <v>141</v>
      </c>
      <c r="K8" s="52">
        <v>2</v>
      </c>
      <c r="L8" s="51" t="s">
        <v>127</v>
      </c>
      <c r="M8" s="53">
        <v>0.34158415841584161</v>
      </c>
      <c r="N8" s="51" t="s">
        <v>141</v>
      </c>
      <c r="O8" s="53">
        <v>0.33333333333333331</v>
      </c>
      <c r="P8" s="51" t="s">
        <v>141</v>
      </c>
      <c r="Q8" s="54">
        <v>0.29348394519401738</v>
      </c>
      <c r="R8" s="51" t="s">
        <v>275</v>
      </c>
      <c r="S8" s="54">
        <v>0.16867469879518071</v>
      </c>
      <c r="T8" s="51" t="s">
        <v>141</v>
      </c>
      <c r="U8" s="55">
        <v>8404.6685673556658</v>
      </c>
      <c r="V8" s="51" t="s">
        <v>141</v>
      </c>
      <c r="W8" s="55">
        <v>-7861.4323258869908</v>
      </c>
      <c r="X8" s="51" t="s">
        <v>158</v>
      </c>
      <c r="Y8" s="53">
        <v>9.4736842105263161E-2</v>
      </c>
      <c r="Z8" s="51" t="s">
        <v>169</v>
      </c>
      <c r="AA8" s="54">
        <v>0.26705653021442494</v>
      </c>
      <c r="AB8" s="51" t="s">
        <v>141</v>
      </c>
      <c r="AC8" s="54">
        <v>0.23229787679113065</v>
      </c>
      <c r="AD8" s="51" t="s">
        <v>169</v>
      </c>
      <c r="AE8" s="54">
        <v>0.54379562043795615</v>
      </c>
      <c r="AF8" s="51" t="s">
        <v>127</v>
      </c>
      <c r="AG8" s="54">
        <v>0.40688259109311742</v>
      </c>
      <c r="AH8" s="51" t="s">
        <v>282</v>
      </c>
      <c r="AI8" s="54">
        <v>0.46153846153846156</v>
      </c>
      <c r="AJ8" s="51" t="s">
        <v>127</v>
      </c>
      <c r="AK8" s="58">
        <v>91800</v>
      </c>
    </row>
    <row r="9" spans="1:37" x14ac:dyDescent="0.4">
      <c r="A9" s="48">
        <v>7</v>
      </c>
      <c r="B9" s="51" t="s">
        <v>158</v>
      </c>
      <c r="C9" s="122">
        <v>95</v>
      </c>
      <c r="D9" s="49" t="s">
        <v>281</v>
      </c>
      <c r="E9" s="50">
        <v>-80.800000000000011</v>
      </c>
      <c r="F9" s="51" t="s">
        <v>168</v>
      </c>
      <c r="G9" s="63">
        <v>-0.47660818713450281</v>
      </c>
      <c r="H9" s="51" t="s">
        <v>127</v>
      </c>
      <c r="I9" s="63">
        <v>-0.93762824936737132</v>
      </c>
      <c r="J9" s="51" t="s">
        <v>168</v>
      </c>
      <c r="K9" s="52">
        <v>2.0467836257309941</v>
      </c>
      <c r="L9" s="51" t="s">
        <v>194</v>
      </c>
      <c r="M9" s="53">
        <v>0.33333333333333331</v>
      </c>
      <c r="N9" s="51" t="s">
        <v>169</v>
      </c>
      <c r="O9" s="53">
        <v>0.39669421487603307</v>
      </c>
      <c r="P9" s="51" t="s">
        <v>167</v>
      </c>
      <c r="Q9" s="54">
        <v>0.28108903605592345</v>
      </c>
      <c r="R9" s="51" t="s">
        <v>167</v>
      </c>
      <c r="S9" s="54">
        <v>0.1714495952906549</v>
      </c>
      <c r="T9" s="51" t="s">
        <v>126</v>
      </c>
      <c r="U9" s="55">
        <v>8257.8386605783871</v>
      </c>
      <c r="V9" s="51" t="s">
        <v>127</v>
      </c>
      <c r="W9" s="55">
        <v>-7965.3846153846152</v>
      </c>
      <c r="X9" s="51" t="s">
        <v>141</v>
      </c>
      <c r="Y9" s="53">
        <v>0.10008703220191471</v>
      </c>
      <c r="Z9" s="51" t="s">
        <v>202</v>
      </c>
      <c r="AA9" s="54">
        <v>0.26666666666666666</v>
      </c>
      <c r="AB9" s="51" t="s">
        <v>195</v>
      </c>
      <c r="AC9" s="54">
        <v>0.22874806800618239</v>
      </c>
      <c r="AD9" s="51" t="s">
        <v>194</v>
      </c>
      <c r="AE9" s="54">
        <v>0.5368421052631579</v>
      </c>
      <c r="AF9" s="51" t="s">
        <v>195</v>
      </c>
      <c r="AG9" s="54">
        <v>0.40540540540540543</v>
      </c>
      <c r="AH9" s="51" t="s">
        <v>168</v>
      </c>
      <c r="AI9" s="54">
        <v>0.45646437994722955</v>
      </c>
      <c r="AJ9" s="51" t="s">
        <v>169</v>
      </c>
      <c r="AK9" s="58">
        <v>87900</v>
      </c>
    </row>
    <row r="10" spans="1:37" x14ac:dyDescent="0.4">
      <c r="A10" s="48">
        <v>8</v>
      </c>
      <c r="B10" s="51" t="s">
        <v>195</v>
      </c>
      <c r="C10" s="122">
        <v>79</v>
      </c>
      <c r="D10" s="49" t="s">
        <v>168</v>
      </c>
      <c r="E10" s="50">
        <v>-81.499999999999986</v>
      </c>
      <c r="F10" s="51" t="s">
        <v>169</v>
      </c>
      <c r="G10" s="63">
        <v>-6.3380165289256194</v>
      </c>
      <c r="H10" s="51" t="s">
        <v>195</v>
      </c>
      <c r="I10" s="63">
        <v>-1.2560011883541335</v>
      </c>
      <c r="J10" s="51" t="s">
        <v>194</v>
      </c>
      <c r="K10" s="52">
        <v>2.0833333333333335</v>
      </c>
      <c r="L10" s="51" t="s">
        <v>141</v>
      </c>
      <c r="M10" s="53">
        <v>0.33333333333333331</v>
      </c>
      <c r="N10" s="51" t="s">
        <v>281</v>
      </c>
      <c r="O10" s="53">
        <v>0.4</v>
      </c>
      <c r="P10" s="51" t="s">
        <v>158</v>
      </c>
      <c r="Q10" s="54">
        <v>0.27476415094339623</v>
      </c>
      <c r="R10" s="51" t="s">
        <v>127</v>
      </c>
      <c r="S10" s="54">
        <v>0.17156568686262746</v>
      </c>
      <c r="T10" s="51" t="s">
        <v>194</v>
      </c>
      <c r="U10" s="55">
        <v>8052.4390243902435</v>
      </c>
      <c r="V10" s="51" t="s">
        <v>281</v>
      </c>
      <c r="W10" s="55">
        <v>-7987.5</v>
      </c>
      <c r="X10" s="51" t="s">
        <v>167</v>
      </c>
      <c r="Y10" s="53">
        <v>0.11976047904191617</v>
      </c>
      <c r="Z10" s="51" t="s">
        <v>126</v>
      </c>
      <c r="AA10" s="54">
        <v>0.26212590299277605</v>
      </c>
      <c r="AB10" s="51" t="s">
        <v>168</v>
      </c>
      <c r="AC10" s="54">
        <v>0.22566690699351116</v>
      </c>
      <c r="AD10" s="51" t="s">
        <v>275</v>
      </c>
      <c r="AE10" s="54">
        <v>0.53448275862068961</v>
      </c>
      <c r="AF10" s="51" t="s">
        <v>169</v>
      </c>
      <c r="AG10" s="54">
        <v>0.40487804878048783</v>
      </c>
      <c r="AH10" s="51" t="s">
        <v>141</v>
      </c>
      <c r="AI10" s="54">
        <v>0.45153243050605846</v>
      </c>
      <c r="AJ10" s="51" t="s">
        <v>158</v>
      </c>
      <c r="AK10" s="58">
        <v>87400</v>
      </c>
    </row>
    <row r="11" spans="1:37" x14ac:dyDescent="0.4">
      <c r="A11" s="48">
        <v>9</v>
      </c>
      <c r="B11" s="51" t="s">
        <v>194</v>
      </c>
      <c r="C11" s="122">
        <v>36</v>
      </c>
      <c r="D11" s="49" t="s">
        <v>201</v>
      </c>
      <c r="E11" s="50">
        <v>-104.80000000000001</v>
      </c>
      <c r="F11" s="51" t="s">
        <v>275</v>
      </c>
      <c r="G11" s="63">
        <v>-6.7949999999999999</v>
      </c>
      <c r="H11" s="51" t="s">
        <v>275</v>
      </c>
      <c r="I11" s="63">
        <v>-1.3540740740740727</v>
      </c>
      <c r="J11" s="51" t="s">
        <v>201</v>
      </c>
      <c r="K11" s="52">
        <v>2.1428571428571428</v>
      </c>
      <c r="L11" s="51" t="s">
        <v>275</v>
      </c>
      <c r="M11" s="53">
        <v>0.3</v>
      </c>
      <c r="N11" s="51" t="s">
        <v>194</v>
      </c>
      <c r="O11" s="53">
        <v>0.41666666666666669</v>
      </c>
      <c r="P11" s="51" t="s">
        <v>168</v>
      </c>
      <c r="Q11" s="54">
        <v>0.27325162220620042</v>
      </c>
      <c r="R11" s="51" t="s">
        <v>194</v>
      </c>
      <c r="S11" s="54">
        <v>0.17682926829268292</v>
      </c>
      <c r="T11" s="51" t="s">
        <v>169</v>
      </c>
      <c r="U11" s="55">
        <v>7968.0147058823532</v>
      </c>
      <c r="V11" s="51" t="s">
        <v>202</v>
      </c>
      <c r="W11" s="55">
        <v>-8000</v>
      </c>
      <c r="X11" s="51" t="s">
        <v>195</v>
      </c>
      <c r="Y11" s="53">
        <v>0.17721518987341772</v>
      </c>
      <c r="Z11" s="51" t="s">
        <v>168</v>
      </c>
      <c r="AA11" s="54">
        <v>0.24945926459985579</v>
      </c>
      <c r="AB11" s="51" t="s">
        <v>169</v>
      </c>
      <c r="AC11" s="54">
        <v>0.19980506822612085</v>
      </c>
      <c r="AD11" s="51" t="s">
        <v>201</v>
      </c>
      <c r="AE11" s="54">
        <v>0.53333333333333333</v>
      </c>
      <c r="AF11" s="51" t="s">
        <v>158</v>
      </c>
      <c r="AG11" s="54">
        <v>0.3963963963963964</v>
      </c>
      <c r="AH11" s="51" t="s">
        <v>158</v>
      </c>
      <c r="AI11" s="54">
        <v>0.42918454935622319</v>
      </c>
      <c r="AJ11" s="51" t="s">
        <v>195</v>
      </c>
      <c r="AK11" s="58">
        <v>85100</v>
      </c>
    </row>
    <row r="12" spans="1:37" x14ac:dyDescent="0.4">
      <c r="A12" s="48">
        <v>10</v>
      </c>
      <c r="B12" s="51" t="s">
        <v>275</v>
      </c>
      <c r="C12" s="122">
        <v>20</v>
      </c>
      <c r="D12" s="49" t="s">
        <v>275</v>
      </c>
      <c r="E12" s="50">
        <v>-135.9</v>
      </c>
      <c r="F12" s="51" t="s">
        <v>194</v>
      </c>
      <c r="G12" s="63">
        <v>-7.1638888888888879</v>
      </c>
      <c r="H12" s="51" t="s">
        <v>169</v>
      </c>
      <c r="I12" s="63">
        <v>-1.4571031746031704</v>
      </c>
      <c r="J12" s="51" t="s">
        <v>275</v>
      </c>
      <c r="K12" s="52">
        <v>2.15</v>
      </c>
      <c r="L12" s="51" t="s">
        <v>158</v>
      </c>
      <c r="M12" s="53">
        <v>0.26315789473684209</v>
      </c>
      <c r="N12" s="51" t="s">
        <v>195</v>
      </c>
      <c r="O12" s="53">
        <v>0.43037974683544306</v>
      </c>
      <c r="P12" s="51" t="s">
        <v>169</v>
      </c>
      <c r="Q12" s="54">
        <v>0.26510721247563351</v>
      </c>
      <c r="R12" s="51" t="s">
        <v>195</v>
      </c>
      <c r="S12" s="54">
        <v>0.18083462132921174</v>
      </c>
      <c r="T12" s="51" t="s">
        <v>127</v>
      </c>
      <c r="U12" s="55">
        <v>7728.5714285714284</v>
      </c>
      <c r="V12" s="51" t="s">
        <v>167</v>
      </c>
      <c r="W12" s="55">
        <v>-8243.3476394849786</v>
      </c>
      <c r="X12" s="51" t="s">
        <v>194</v>
      </c>
      <c r="Y12" s="53">
        <v>0.19444444444444445</v>
      </c>
      <c r="Z12" s="51" t="s">
        <v>141</v>
      </c>
      <c r="AA12" s="54">
        <v>0.24924171111808388</v>
      </c>
      <c r="AB12" s="51" t="s">
        <v>167</v>
      </c>
      <c r="AC12" s="54">
        <v>0.188373804267844</v>
      </c>
      <c r="AD12" s="51" t="s">
        <v>158</v>
      </c>
      <c r="AE12" s="54">
        <v>0.532258064516129</v>
      </c>
      <c r="AF12" s="51" t="s">
        <v>167</v>
      </c>
      <c r="AG12" s="54">
        <v>0.390625</v>
      </c>
      <c r="AH12" s="51" t="s">
        <v>126</v>
      </c>
      <c r="AI12" s="54">
        <v>0.42161339421613392</v>
      </c>
      <c r="AJ12" s="51" t="s">
        <v>282</v>
      </c>
      <c r="AK12" s="58">
        <v>70900</v>
      </c>
    </row>
    <row r="13" spans="1:37" x14ac:dyDescent="0.4">
      <c r="A13" s="48">
        <v>11</v>
      </c>
      <c r="B13" s="51" t="s">
        <v>282</v>
      </c>
      <c r="C13" s="122">
        <v>10</v>
      </c>
      <c r="D13" s="49" t="s">
        <v>194</v>
      </c>
      <c r="E13" s="50">
        <v>-257.89999999999998</v>
      </c>
      <c r="F13" s="51" t="s">
        <v>158</v>
      </c>
      <c r="G13" s="63">
        <v>-7.4000000000000021</v>
      </c>
      <c r="H13" s="51" t="s">
        <v>158</v>
      </c>
      <c r="I13" s="63">
        <v>-1.898745164003363</v>
      </c>
      <c r="J13" s="51" t="s">
        <v>169</v>
      </c>
      <c r="K13" s="52">
        <v>2.165289256198347</v>
      </c>
      <c r="L13" s="51" t="s">
        <v>168</v>
      </c>
      <c r="M13" s="53">
        <v>0.25730994152046782</v>
      </c>
      <c r="N13" s="51" t="s">
        <v>158</v>
      </c>
      <c r="O13" s="53">
        <v>0.43157894736842106</v>
      </c>
      <c r="P13" s="51" t="s">
        <v>194</v>
      </c>
      <c r="Q13" s="54">
        <v>0.25</v>
      </c>
      <c r="R13" s="51" t="s">
        <v>169</v>
      </c>
      <c r="S13" s="54">
        <v>0.18226120857699804</v>
      </c>
      <c r="T13" s="51" t="s">
        <v>201</v>
      </c>
      <c r="U13" s="55">
        <v>7473.333333333333</v>
      </c>
      <c r="V13" s="51" t="s">
        <v>275</v>
      </c>
      <c r="W13" s="55">
        <v>-8507.1428571428569</v>
      </c>
      <c r="X13" s="51" t="s">
        <v>275</v>
      </c>
      <c r="Y13" s="53">
        <v>0.2</v>
      </c>
      <c r="Z13" s="51" t="s">
        <v>201</v>
      </c>
      <c r="AA13" s="54">
        <v>0.24193548387096775</v>
      </c>
      <c r="AB13" s="51" t="s">
        <v>282</v>
      </c>
      <c r="AC13" s="54">
        <v>0.16666666666666666</v>
      </c>
      <c r="AD13" s="51" t="s">
        <v>127</v>
      </c>
      <c r="AE13" s="54">
        <v>0.521505376344086</v>
      </c>
      <c r="AF13" s="51" t="s">
        <v>282</v>
      </c>
      <c r="AG13" s="54">
        <v>0.38461538461538464</v>
      </c>
      <c r="AH13" s="51" t="s">
        <v>127</v>
      </c>
      <c r="AI13" s="54">
        <v>0.41541353383458646</v>
      </c>
      <c r="AJ13" s="51" t="s">
        <v>275</v>
      </c>
      <c r="AK13" s="58">
        <v>65900</v>
      </c>
    </row>
    <row r="14" spans="1:37" x14ac:dyDescent="0.4">
      <c r="A14" s="48">
        <v>12</v>
      </c>
      <c r="B14" s="51" t="s">
        <v>201</v>
      </c>
      <c r="C14" s="122">
        <v>7</v>
      </c>
      <c r="D14" s="49" t="s">
        <v>158</v>
      </c>
      <c r="E14" s="50">
        <v>-703.00000000000023</v>
      </c>
      <c r="F14" s="51" t="s">
        <v>195</v>
      </c>
      <c r="G14" s="63">
        <v>-11.351898734177217</v>
      </c>
      <c r="H14" s="51" t="s">
        <v>194</v>
      </c>
      <c r="I14" s="63">
        <v>-3.963333333333336</v>
      </c>
      <c r="J14" s="51" t="s">
        <v>158</v>
      </c>
      <c r="K14" s="52">
        <v>2.168421052631579</v>
      </c>
      <c r="L14" s="51" t="s">
        <v>169</v>
      </c>
      <c r="M14" s="53">
        <v>0.23140495867768596</v>
      </c>
      <c r="N14" s="51" t="s">
        <v>275</v>
      </c>
      <c r="O14" s="53">
        <v>0.45</v>
      </c>
      <c r="P14" s="51" t="s">
        <v>195</v>
      </c>
      <c r="Q14" s="54">
        <v>0.24574961360123648</v>
      </c>
      <c r="R14" s="51" t="s">
        <v>201</v>
      </c>
      <c r="S14" s="54">
        <v>0.19354838709677419</v>
      </c>
      <c r="T14" s="51" t="s">
        <v>202</v>
      </c>
      <c r="U14" s="55">
        <v>7385.7142857142853</v>
      </c>
      <c r="V14" s="51" t="s">
        <v>195</v>
      </c>
      <c r="W14" s="55">
        <v>-8517.0940170940175</v>
      </c>
      <c r="X14" s="51" t="s">
        <v>282</v>
      </c>
      <c r="Y14" s="53">
        <v>0.2</v>
      </c>
      <c r="Z14" s="51" t="s">
        <v>127</v>
      </c>
      <c r="AA14" s="54">
        <v>0.22315536892621476</v>
      </c>
      <c r="AB14" s="51" t="s">
        <v>281</v>
      </c>
      <c r="AC14" s="54">
        <v>0.15</v>
      </c>
      <c r="AD14" s="51" t="s">
        <v>195</v>
      </c>
      <c r="AE14" s="54">
        <v>0.51851851851851849</v>
      </c>
      <c r="AF14" s="51" t="s">
        <v>281</v>
      </c>
      <c r="AG14" s="54">
        <v>0.33333333333333331</v>
      </c>
      <c r="AH14" s="51" t="s">
        <v>201</v>
      </c>
      <c r="AI14" s="54">
        <v>0.33333333333333331</v>
      </c>
      <c r="AJ14" s="51" t="s">
        <v>201</v>
      </c>
      <c r="AK14" s="58">
        <v>59500</v>
      </c>
    </row>
    <row r="15" spans="1:37" x14ac:dyDescent="0.4">
      <c r="A15" s="48">
        <v>13</v>
      </c>
      <c r="B15" s="51" t="s">
        <v>281</v>
      </c>
      <c r="C15" s="122">
        <v>5</v>
      </c>
      <c r="D15" s="49" t="s">
        <v>169</v>
      </c>
      <c r="E15" s="50">
        <v>-766.9</v>
      </c>
      <c r="F15" s="51" t="s">
        <v>201</v>
      </c>
      <c r="G15" s="63">
        <v>-14.971428571428573</v>
      </c>
      <c r="H15" s="51" t="s">
        <v>201</v>
      </c>
      <c r="I15" s="63">
        <v>-6.4861111111111098</v>
      </c>
      <c r="J15" s="51" t="s">
        <v>281</v>
      </c>
      <c r="K15" s="52">
        <v>2.2000000000000002</v>
      </c>
      <c r="L15" s="51" t="s">
        <v>281</v>
      </c>
      <c r="M15" s="53">
        <v>0.2</v>
      </c>
      <c r="N15" s="51" t="s">
        <v>282</v>
      </c>
      <c r="O15" s="53">
        <v>0.5</v>
      </c>
      <c r="P15" s="51" t="s">
        <v>201</v>
      </c>
      <c r="Q15" s="54">
        <v>0.24193548387096775</v>
      </c>
      <c r="R15" s="51" t="s">
        <v>281</v>
      </c>
      <c r="S15" s="54">
        <v>0.2</v>
      </c>
      <c r="T15" s="51" t="s">
        <v>158</v>
      </c>
      <c r="U15" s="55">
        <v>6991.4163090128759</v>
      </c>
      <c r="V15" s="51" t="s">
        <v>201</v>
      </c>
      <c r="W15" s="55">
        <v>-9075</v>
      </c>
      <c r="X15" s="51" t="s">
        <v>281</v>
      </c>
      <c r="Y15" s="53">
        <v>0.2</v>
      </c>
      <c r="Z15" s="51" t="s">
        <v>195</v>
      </c>
      <c r="AA15" s="54">
        <v>0.20865533230293662</v>
      </c>
      <c r="AB15" s="51" t="s">
        <v>194</v>
      </c>
      <c r="AC15" s="54">
        <v>0.14939024390243902</v>
      </c>
      <c r="AD15" s="51" t="s">
        <v>202</v>
      </c>
      <c r="AE15" s="54">
        <v>0.5</v>
      </c>
      <c r="AF15" s="51" t="s">
        <v>194</v>
      </c>
      <c r="AG15" s="54">
        <v>0.30612244897959184</v>
      </c>
      <c r="AH15" s="51" t="s">
        <v>202</v>
      </c>
      <c r="AI15" s="54">
        <v>0.2857142857142857</v>
      </c>
      <c r="AJ15" s="51" t="s">
        <v>202</v>
      </c>
      <c r="AK15" s="58">
        <v>52800</v>
      </c>
    </row>
    <row r="16" spans="1:37" x14ac:dyDescent="0.4">
      <c r="A16" s="48">
        <v>14</v>
      </c>
      <c r="B16" s="51" t="s">
        <v>202</v>
      </c>
      <c r="C16" s="122">
        <v>2</v>
      </c>
      <c r="D16" s="49" t="s">
        <v>195</v>
      </c>
      <c r="E16" s="50">
        <v>-896.80000000000018</v>
      </c>
      <c r="F16" s="51" t="s">
        <v>281</v>
      </c>
      <c r="G16" s="63">
        <v>-16.160000000000004</v>
      </c>
      <c r="H16" s="51" t="s">
        <v>281</v>
      </c>
      <c r="I16" s="63">
        <v>-8.9666666666666668</v>
      </c>
      <c r="J16" s="51" t="s">
        <v>195</v>
      </c>
      <c r="K16" s="52">
        <v>2.278481012658228</v>
      </c>
      <c r="L16" s="51" t="s">
        <v>195</v>
      </c>
      <c r="M16" s="53">
        <v>0.15189873417721519</v>
      </c>
      <c r="N16" s="51" t="s">
        <v>201</v>
      </c>
      <c r="O16" s="53">
        <v>0.5714285714285714</v>
      </c>
      <c r="P16" s="51" t="s">
        <v>281</v>
      </c>
      <c r="Q16" s="54">
        <v>0.2</v>
      </c>
      <c r="R16" s="51" t="s">
        <v>282</v>
      </c>
      <c r="S16" s="54">
        <v>0.24358974358974358</v>
      </c>
      <c r="T16" s="51" t="s">
        <v>275</v>
      </c>
      <c r="U16" s="55">
        <v>6648.1481481481478</v>
      </c>
      <c r="V16" s="51" t="s">
        <v>282</v>
      </c>
      <c r="W16" s="55">
        <v>-10010.526315789473</v>
      </c>
      <c r="X16" s="51" t="s">
        <v>201</v>
      </c>
      <c r="Y16" s="53">
        <v>0.5714285714285714</v>
      </c>
      <c r="Z16" s="51" t="s">
        <v>158</v>
      </c>
      <c r="AA16" s="54">
        <v>0.14622641509433962</v>
      </c>
      <c r="AB16" s="51" t="s">
        <v>275</v>
      </c>
      <c r="AC16" s="54">
        <v>0.12048192771084337</v>
      </c>
      <c r="AD16" s="51" t="s">
        <v>281</v>
      </c>
      <c r="AE16" s="54">
        <v>0.4</v>
      </c>
      <c r="AF16" s="51" t="s">
        <v>201</v>
      </c>
      <c r="AG16" s="54">
        <v>0.27272727272727271</v>
      </c>
      <c r="AH16" s="51" t="s">
        <v>281</v>
      </c>
      <c r="AI16" s="54">
        <v>0.25</v>
      </c>
      <c r="AJ16" s="51" t="s">
        <v>281</v>
      </c>
      <c r="AK16" s="58">
        <v>52000</v>
      </c>
    </row>
  </sheetData>
  <sortState xmlns:xlrd2="http://schemas.microsoft.com/office/spreadsheetml/2017/richdata2" ref="AJ3:AK48">
    <sortCondition descending="1" ref="AK1"/>
  </sortState>
  <mergeCells count="36">
    <mergeCell ref="P1:Q1"/>
    <mergeCell ref="N1:O1"/>
    <mergeCell ref="H1:I1"/>
    <mergeCell ref="X1:Y1"/>
    <mergeCell ref="AH1:AI1"/>
    <mergeCell ref="D2:E2"/>
    <mergeCell ref="F2:G2"/>
    <mergeCell ref="J2:K2"/>
    <mergeCell ref="L2:M2"/>
    <mergeCell ref="P2:Q2"/>
    <mergeCell ref="N2:O2"/>
    <mergeCell ref="H2:I2"/>
    <mergeCell ref="Z1:AA1"/>
    <mergeCell ref="AB1:AC1"/>
    <mergeCell ref="AD1:AE1"/>
    <mergeCell ref="AF1:AG1"/>
    <mergeCell ref="D1:E1"/>
    <mergeCell ref="F1:G1"/>
    <mergeCell ref="J1:K1"/>
    <mergeCell ref="L1:M1"/>
    <mergeCell ref="B1:C1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E386E-D2C3-413E-B9FC-136BA5FA4653}">
  <sheetPr codeName="Sheet4"/>
  <dimension ref="A1:Q1151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141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1149</v>
      </c>
      <c r="C2" s="132"/>
      <c r="E2" s="28" t="s">
        <v>66</v>
      </c>
      <c r="F2" s="25" t="s">
        <v>22</v>
      </c>
      <c r="G2" s="13">
        <v>2101</v>
      </c>
      <c r="H2" s="91">
        <f t="shared" ref="H2:H33" si="0">IF(B$19=0,0,G2/B$19)</f>
        <v>0.7487526728439059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1">IF(P2=0,0,Q2/P2)</f>
        <v>-27.99650043744532</v>
      </c>
      <c r="P2" s="80">
        <v>1143</v>
      </c>
      <c r="Q2" s="67">
        <v>-32000</v>
      </c>
    </row>
    <row r="3" spans="1:17" x14ac:dyDescent="0.4">
      <c r="A3" s="21" t="s">
        <v>8</v>
      </c>
      <c r="B3" s="133">
        <v>9561</v>
      </c>
      <c r="C3" s="134"/>
      <c r="E3" s="29" t="s">
        <v>72</v>
      </c>
      <c r="F3" s="26" t="s">
        <v>27</v>
      </c>
      <c r="G3" s="14">
        <v>1526</v>
      </c>
      <c r="H3" s="92">
        <f t="shared" si="0"/>
        <v>0.54383464005702065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1"/>
        <v>8.0213903743315509</v>
      </c>
      <c r="P3" s="81">
        <v>1122</v>
      </c>
      <c r="Q3" s="68">
        <v>9000</v>
      </c>
    </row>
    <row r="4" spans="1:17" x14ac:dyDescent="0.4">
      <c r="A4" s="21" t="s">
        <v>6</v>
      </c>
      <c r="B4" s="135">
        <v>-9.2370555648813024E-14</v>
      </c>
      <c r="C4" s="136"/>
      <c r="E4" s="29" t="s">
        <v>64</v>
      </c>
      <c r="F4" s="26" t="s">
        <v>20</v>
      </c>
      <c r="G4" s="14">
        <v>1262</v>
      </c>
      <c r="H4" s="92">
        <f t="shared" si="0"/>
        <v>0.44975053456878117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1"/>
        <v>-1.899335232668566</v>
      </c>
      <c r="P4" s="81">
        <v>1053</v>
      </c>
      <c r="Q4" s="68">
        <v>-2000</v>
      </c>
    </row>
    <row r="5" spans="1:17" x14ac:dyDescent="0.4">
      <c r="A5" s="21" t="s">
        <v>7</v>
      </c>
      <c r="B5" s="123">
        <f>IF(B$2=0,0,B$4/B$2)</f>
        <v>-8.0392128502013079E-17</v>
      </c>
      <c r="C5" s="124"/>
      <c r="E5" s="29" t="s">
        <v>163</v>
      </c>
      <c r="F5" s="26" t="s">
        <v>164</v>
      </c>
      <c r="G5" s="14">
        <v>1111</v>
      </c>
      <c r="H5" s="92">
        <f t="shared" si="0"/>
        <v>0.39593727726300781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1"/>
        <v>0</v>
      </c>
      <c r="P5" s="81">
        <v>987</v>
      </c>
      <c r="Q5" s="68">
        <v>0</v>
      </c>
    </row>
    <row r="6" spans="1:17" x14ac:dyDescent="0.4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877</v>
      </c>
      <c r="H6" s="92">
        <f t="shared" si="0"/>
        <v>0.3125445473984319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1"/>
        <v>5.5005500550055002</v>
      </c>
      <c r="P6" s="81">
        <v>909</v>
      </c>
      <c r="Q6" s="68">
        <v>5000</v>
      </c>
    </row>
    <row r="7" spans="1:17" x14ac:dyDescent="0.4">
      <c r="A7" s="21" t="s">
        <v>2</v>
      </c>
      <c r="B7" s="14">
        <v>383</v>
      </c>
      <c r="C7" s="8">
        <f t="shared" ref="C7:C14" si="2">IF(B$2=0,0,B7/B$2)</f>
        <v>0.33333333333333331</v>
      </c>
      <c r="E7" s="29" t="s">
        <v>67</v>
      </c>
      <c r="F7" s="26" t="s">
        <v>23</v>
      </c>
      <c r="G7" s="14">
        <v>753</v>
      </c>
      <c r="H7" s="92">
        <f t="shared" si="0"/>
        <v>0.2683535281539558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1"/>
        <v>25.132275132275133</v>
      </c>
      <c r="P7" s="82">
        <v>756</v>
      </c>
      <c r="Q7" s="69">
        <v>19000</v>
      </c>
    </row>
    <row r="8" spans="1:17" x14ac:dyDescent="0.4">
      <c r="A8" s="21" t="s">
        <v>3</v>
      </c>
      <c r="B8" s="14">
        <v>383</v>
      </c>
      <c r="C8" s="8">
        <f t="shared" si="2"/>
        <v>0.33333333333333331</v>
      </c>
      <c r="E8" s="29" t="s">
        <v>89</v>
      </c>
      <c r="F8" s="26" t="s">
        <v>44</v>
      </c>
      <c r="G8" s="14">
        <v>397</v>
      </c>
      <c r="H8" s="92">
        <f t="shared" si="0"/>
        <v>0.14148253741981467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">
      <c r="A9" s="22" t="s">
        <v>4</v>
      </c>
      <c r="B9" s="15">
        <v>383</v>
      </c>
      <c r="C9" s="9">
        <f t="shared" si="2"/>
        <v>0.33333333333333331</v>
      </c>
      <c r="E9" s="29" t="s">
        <v>69</v>
      </c>
      <c r="F9" s="26" t="s">
        <v>24</v>
      </c>
      <c r="G9" s="14">
        <v>395</v>
      </c>
      <c r="H9" s="92">
        <f t="shared" si="0"/>
        <v>0.14076977904490379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35.312271540469979</v>
      </c>
      <c r="C10" s="114">
        <v>13524.600000000002</v>
      </c>
      <c r="E10" s="29" t="s">
        <v>65</v>
      </c>
      <c r="F10" s="26" t="s">
        <v>21</v>
      </c>
      <c r="G10" s="14">
        <v>282</v>
      </c>
      <c r="H10" s="92">
        <f t="shared" si="0"/>
        <v>0.10049893086243764</v>
      </c>
      <c r="I10" s="60">
        <v>10</v>
      </c>
      <c r="K10" s="7">
        <v>8</v>
      </c>
      <c r="L10" s="65">
        <v>-46.9</v>
      </c>
      <c r="N10" s="77" t="s">
        <v>154</v>
      </c>
      <c r="O10" s="86">
        <f>IF(P10=0,0,Q10/P10)</f>
        <v>-4.9540469973890344</v>
      </c>
      <c r="P10" s="80">
        <v>383</v>
      </c>
      <c r="Q10" s="71">
        <v>-1897.4</v>
      </c>
    </row>
    <row r="11" spans="1:17" x14ac:dyDescent="0.4">
      <c r="A11" s="22" t="s">
        <v>204</v>
      </c>
      <c r="B11" s="113">
        <f>IF(B8=0,0,C11/B8)</f>
        <v>-5.3263707571801822E-2</v>
      </c>
      <c r="C11" s="114">
        <v>-20.400000000000098</v>
      </c>
      <c r="E11" s="29" t="s">
        <v>70</v>
      </c>
      <c r="F11" s="26" t="s">
        <v>25</v>
      </c>
      <c r="G11" s="14">
        <v>265</v>
      </c>
      <c r="H11" s="92">
        <f t="shared" si="0"/>
        <v>9.4440484675694936E-2</v>
      </c>
      <c r="I11" s="60">
        <v>9</v>
      </c>
      <c r="K11" s="7">
        <v>9</v>
      </c>
      <c r="L11" s="65">
        <v>0</v>
      </c>
      <c r="N11" s="78" t="s">
        <v>155</v>
      </c>
      <c r="O11" s="87">
        <f>IF(P11=0,0,Q11/P11)</f>
        <v>2.6866840731070489</v>
      </c>
      <c r="P11" s="81">
        <v>383</v>
      </c>
      <c r="Q11" s="72">
        <v>1028.9999999999998</v>
      </c>
    </row>
    <row r="12" spans="1:17" x14ac:dyDescent="0.4">
      <c r="A12" s="22" t="s">
        <v>205</v>
      </c>
      <c r="B12" s="113">
        <f>IF(B9=0,0,C12/B9)</f>
        <v>-35.259007832898213</v>
      </c>
      <c r="C12" s="114">
        <v>-13504.200000000015</v>
      </c>
      <c r="E12" s="29" t="s">
        <v>71</v>
      </c>
      <c r="F12" s="26" t="s">
        <v>26</v>
      </c>
      <c r="G12" s="14">
        <v>226</v>
      </c>
      <c r="H12" s="92">
        <f t="shared" si="0"/>
        <v>8.0541696364932289E-2</v>
      </c>
      <c r="I12" s="60">
        <v>8</v>
      </c>
      <c r="K12" s="7">
        <v>10</v>
      </c>
      <c r="L12" s="65">
        <v>-12</v>
      </c>
      <c r="N12" s="79" t="s">
        <v>156</v>
      </c>
      <c r="O12" s="88">
        <f>IF(P12=0,0,Q12/P12)</f>
        <v>2.2673629242819828</v>
      </c>
      <c r="P12" s="82">
        <v>383</v>
      </c>
      <c r="Q12" s="73">
        <v>868.39999999999941</v>
      </c>
    </row>
    <row r="13" spans="1:17" x14ac:dyDescent="0.4">
      <c r="A13" s="22" t="s">
        <v>206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139</v>
      </c>
      <c r="H13" s="92">
        <f t="shared" si="0"/>
        <v>4.9536707056307909E-2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115</v>
      </c>
      <c r="C14" s="11">
        <f t="shared" si="2"/>
        <v>0.10008703220191471</v>
      </c>
      <c r="E14" s="29" t="s">
        <v>86</v>
      </c>
      <c r="F14" s="26" t="s">
        <v>41</v>
      </c>
      <c r="G14" s="14">
        <v>133</v>
      </c>
      <c r="H14" s="92">
        <f t="shared" si="0"/>
        <v>4.7398431931575197E-2</v>
      </c>
      <c r="I14" s="60">
        <v>8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2383</v>
      </c>
      <c r="C15" s="12">
        <f>IF(B$3=0,0,B15/B$3)</f>
        <v>0.24924171111808388</v>
      </c>
      <c r="E15" s="29" t="s">
        <v>78</v>
      </c>
      <c r="F15" s="26" t="s">
        <v>33</v>
      </c>
      <c r="G15" s="14">
        <v>76</v>
      </c>
      <c r="H15" s="92">
        <f t="shared" si="0"/>
        <v>2.7084818246614399E-2</v>
      </c>
      <c r="I15" s="60">
        <v>6</v>
      </c>
      <c r="K15" s="7">
        <v>13</v>
      </c>
      <c r="L15" s="65">
        <v>-1.7</v>
      </c>
      <c r="N15" s="77" t="s">
        <v>281</v>
      </c>
      <c r="O15" s="86">
        <f t="shared" ref="O15:O26" si="3">IF(P15=0,0,Q15/P15)</f>
        <v>24.240000000000006</v>
      </c>
      <c r="P15" s="80">
        <v>10</v>
      </c>
      <c r="Q15" s="71">
        <v>242.40000000000006</v>
      </c>
    </row>
    <row r="16" spans="1:17" x14ac:dyDescent="0.4">
      <c r="A16" s="21" t="s">
        <v>118</v>
      </c>
      <c r="B16" s="14">
        <v>2221</v>
      </c>
      <c r="C16" s="8">
        <f>IF(B$3=0,0,B16/B$3)</f>
        <v>0.23229787679113065</v>
      </c>
      <c r="E16" s="29" t="s">
        <v>81</v>
      </c>
      <c r="F16" s="26" t="s">
        <v>36</v>
      </c>
      <c r="G16" s="14">
        <v>65</v>
      </c>
      <c r="H16" s="92">
        <f t="shared" si="0"/>
        <v>2.3164647184604419E-2</v>
      </c>
      <c r="I16" s="60">
        <v>5</v>
      </c>
      <c r="K16" s="7">
        <v>14</v>
      </c>
      <c r="L16" s="65">
        <v>24.3</v>
      </c>
      <c r="N16" s="78" t="s">
        <v>201</v>
      </c>
      <c r="O16" s="87">
        <f t="shared" si="3"/>
        <v>22.457142857142856</v>
      </c>
      <c r="P16" s="81">
        <v>14</v>
      </c>
      <c r="Q16" s="72">
        <v>314.39999999999998</v>
      </c>
    </row>
    <row r="17" spans="1:17" x14ac:dyDescent="0.4">
      <c r="A17" s="20" t="s">
        <v>123</v>
      </c>
      <c r="B17" s="13">
        <f>B23</f>
        <v>1305</v>
      </c>
      <c r="C17" s="6">
        <f>IF(B$15=0,0,B17/B$15)</f>
        <v>0.54762903902643723</v>
      </c>
      <c r="E17" s="29" t="s">
        <v>159</v>
      </c>
      <c r="F17" s="26" t="s">
        <v>160</v>
      </c>
      <c r="G17" s="14">
        <v>56</v>
      </c>
      <c r="H17" s="92">
        <f t="shared" si="0"/>
        <v>1.9957234497505347E-2</v>
      </c>
      <c r="I17" s="60">
        <v>4</v>
      </c>
      <c r="K17" s="7">
        <v>15</v>
      </c>
      <c r="L17" s="65">
        <v>0</v>
      </c>
      <c r="N17" s="78" t="s">
        <v>195</v>
      </c>
      <c r="O17" s="87">
        <f t="shared" si="3"/>
        <v>17.0278481012658</v>
      </c>
      <c r="P17" s="81">
        <v>158</v>
      </c>
      <c r="Q17" s="72">
        <v>2690.3999999999965</v>
      </c>
    </row>
    <row r="18" spans="1:17" x14ac:dyDescent="0.4">
      <c r="A18" s="20" t="s">
        <v>124</v>
      </c>
      <c r="B18" s="13">
        <f>B24</f>
        <v>932</v>
      </c>
      <c r="C18" s="6">
        <f>IF(B$16=0,0,B18/B$16)</f>
        <v>0.41963079693831606</v>
      </c>
      <c r="E18" s="29" t="s">
        <v>91</v>
      </c>
      <c r="F18" s="26" t="s">
        <v>46</v>
      </c>
      <c r="G18" s="14">
        <v>45</v>
      </c>
      <c r="H18" s="92">
        <f t="shared" si="0"/>
        <v>1.6037063435495366E-2</v>
      </c>
      <c r="I18" s="60">
        <v>6</v>
      </c>
      <c r="K18" s="7">
        <v>16</v>
      </c>
      <c r="L18" s="65">
        <v>-28.2</v>
      </c>
      <c r="N18" s="78" t="s">
        <v>194</v>
      </c>
      <c r="O18" s="87">
        <f t="shared" si="3"/>
        <v>10.745833333333335</v>
      </c>
      <c r="P18" s="81">
        <v>72</v>
      </c>
      <c r="Q18" s="72">
        <v>773.70000000000016</v>
      </c>
    </row>
    <row r="19" spans="1:17" x14ac:dyDescent="0.4">
      <c r="A19" s="20" t="s">
        <v>10</v>
      </c>
      <c r="B19" s="13">
        <f>B22+B21</f>
        <v>2806</v>
      </c>
      <c r="C19" s="6">
        <f>IF(B$3=0,0,B19/B$3)</f>
        <v>0.29348394519401738</v>
      </c>
      <c r="E19" s="29" t="s">
        <v>79</v>
      </c>
      <c r="F19" s="26" t="s">
        <v>34</v>
      </c>
      <c r="G19" s="14">
        <v>37</v>
      </c>
      <c r="H19" s="92">
        <f t="shared" si="0"/>
        <v>1.3186029935851747E-2</v>
      </c>
      <c r="I19" s="60">
        <v>7</v>
      </c>
      <c r="K19" s="7">
        <v>17</v>
      </c>
      <c r="L19" s="65">
        <v>-20.5</v>
      </c>
      <c r="N19" s="78" t="s">
        <v>275</v>
      </c>
      <c r="O19" s="87">
        <f t="shared" si="3"/>
        <v>10.192499999999997</v>
      </c>
      <c r="P19" s="81">
        <v>40</v>
      </c>
      <c r="Q19" s="72">
        <v>407.69999999999987</v>
      </c>
    </row>
    <row r="20" spans="1:17" x14ac:dyDescent="0.4">
      <c r="A20" s="21" t="s">
        <v>13</v>
      </c>
      <c r="B20" s="14">
        <v>1522</v>
      </c>
      <c r="C20" s="8">
        <f>IF(B$3=0,0,B20/B$3)</f>
        <v>0.15918836941742495</v>
      </c>
      <c r="E20" s="29" t="s">
        <v>92</v>
      </c>
      <c r="F20" s="26" t="s">
        <v>47</v>
      </c>
      <c r="G20" s="14">
        <v>21</v>
      </c>
      <c r="H20" s="92">
        <f t="shared" si="0"/>
        <v>7.483962936564505E-3</v>
      </c>
      <c r="I20" s="60">
        <v>5</v>
      </c>
      <c r="K20" s="7">
        <v>18</v>
      </c>
      <c r="L20" s="65">
        <v>0</v>
      </c>
      <c r="N20" s="78" t="s">
        <v>158</v>
      </c>
      <c r="O20" s="87">
        <f t="shared" si="3"/>
        <v>9.9099999999999948</v>
      </c>
      <c r="P20" s="81">
        <v>210</v>
      </c>
      <c r="Q20" s="72">
        <v>2081.099999999999</v>
      </c>
    </row>
    <row r="21" spans="1:17" x14ac:dyDescent="0.4">
      <c r="A21" s="21" t="s">
        <v>12</v>
      </c>
      <c r="B21" s="14">
        <v>1267</v>
      </c>
      <c r="C21" s="8">
        <f>IF(B$19=0,0,B21/B$19)</f>
        <v>0.45153243050605846</v>
      </c>
      <c r="E21" s="29" t="s">
        <v>75</v>
      </c>
      <c r="F21" s="26" t="s">
        <v>30</v>
      </c>
      <c r="G21" s="14">
        <v>20</v>
      </c>
      <c r="H21" s="92">
        <f t="shared" si="0"/>
        <v>7.1275837491090524E-3</v>
      </c>
      <c r="I21" s="60">
        <v>7</v>
      </c>
      <c r="K21" s="7">
        <v>19</v>
      </c>
      <c r="L21" s="65">
        <v>-22.4</v>
      </c>
      <c r="N21" s="78" t="s">
        <v>169</v>
      </c>
      <c r="O21" s="87">
        <f t="shared" si="3"/>
        <v>9.5070247933884264</v>
      </c>
      <c r="P21" s="81">
        <v>242</v>
      </c>
      <c r="Q21" s="72">
        <v>2300.6999999999994</v>
      </c>
    </row>
    <row r="22" spans="1:17" x14ac:dyDescent="0.4">
      <c r="A22" s="21" t="s">
        <v>11</v>
      </c>
      <c r="B22" s="14">
        <v>1539</v>
      </c>
      <c r="C22" s="8">
        <f>IF(B$19=0,0,B22/B$19)</f>
        <v>0.5484675694939416</v>
      </c>
      <c r="E22" s="29" t="s">
        <v>85</v>
      </c>
      <c r="F22" s="26" t="s">
        <v>40</v>
      </c>
      <c r="G22" s="14">
        <v>16</v>
      </c>
      <c r="H22" s="92">
        <f t="shared" si="0"/>
        <v>5.7020669992872419E-3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 t="shared" si="3"/>
        <v>0.71491228070175428</v>
      </c>
      <c r="P22" s="81">
        <v>342</v>
      </c>
      <c r="Q22" s="72">
        <v>244.49999999999997</v>
      </c>
    </row>
    <row r="23" spans="1:17" x14ac:dyDescent="0.4">
      <c r="A23" s="21" t="s">
        <v>192</v>
      </c>
      <c r="B23" s="14">
        <v>1305</v>
      </c>
      <c r="C23" s="8">
        <f>IF(B$19=0,0,B23/B$19)</f>
        <v>0.46507483962936563</v>
      </c>
      <c r="E23" s="29" t="s">
        <v>73</v>
      </c>
      <c r="F23" s="26" t="s">
        <v>28</v>
      </c>
      <c r="G23" s="14">
        <v>10</v>
      </c>
      <c r="H23" s="92">
        <f t="shared" si="0"/>
        <v>3.5637918745545262E-3</v>
      </c>
      <c r="I23" s="60">
        <v>5</v>
      </c>
      <c r="K23" s="7">
        <v>21</v>
      </c>
      <c r="L23" s="65">
        <v>7.1054273576010019E-15</v>
      </c>
      <c r="N23" s="78" t="s">
        <v>127</v>
      </c>
      <c r="O23" s="87">
        <f t="shared" si="3"/>
        <v>-0.16262376237624038</v>
      </c>
      <c r="P23" s="81">
        <v>404</v>
      </c>
      <c r="Q23" s="72">
        <v>-65.700000000001111</v>
      </c>
    </row>
    <row r="24" spans="1:17" x14ac:dyDescent="0.4">
      <c r="A24" s="21" t="s">
        <v>190</v>
      </c>
      <c r="B24" s="14">
        <v>932</v>
      </c>
      <c r="C24" s="8">
        <f>IF(B$19=0,0,B24/B$19)</f>
        <v>0.33214540270848181</v>
      </c>
      <c r="E24" s="29" t="s">
        <v>74</v>
      </c>
      <c r="F24" s="26" t="s">
        <v>29</v>
      </c>
      <c r="G24" s="14">
        <v>10</v>
      </c>
      <c r="H24" s="92">
        <f t="shared" si="0"/>
        <v>3.5637918745545262E-3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 t="shared" si="3"/>
        <v>-7.9778443113772441</v>
      </c>
      <c r="P24" s="81">
        <v>334</v>
      </c>
      <c r="Q24" s="72">
        <v>-2664.5999999999995</v>
      </c>
    </row>
    <row r="25" spans="1:17" x14ac:dyDescent="0.4">
      <c r="A25" s="21" t="s">
        <v>191</v>
      </c>
      <c r="B25" s="14">
        <v>569</v>
      </c>
      <c r="C25" s="8">
        <f>IF(B$19=0,0,B25/B$19)</f>
        <v>0.20277975766215253</v>
      </c>
      <c r="E25" s="29" t="s">
        <v>77</v>
      </c>
      <c r="F25" s="26" t="s">
        <v>32</v>
      </c>
      <c r="G25" s="14">
        <v>8</v>
      </c>
      <c r="H25" s="92">
        <f t="shared" si="0"/>
        <v>2.851033499643621E-3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 t="shared" si="3"/>
        <v>-13.346153846153843</v>
      </c>
      <c r="P25" s="81">
        <v>468</v>
      </c>
      <c r="Q25" s="72">
        <v>-6245.9999999999982</v>
      </c>
    </row>
    <row r="26" spans="1:17" x14ac:dyDescent="0.4">
      <c r="A26" s="21" t="s">
        <v>5</v>
      </c>
      <c r="B26" s="18">
        <f>IF(B$19=0,0,C26/B$19)</f>
        <v>8404.6685673556658</v>
      </c>
      <c r="C26" s="10">
        <v>23583500</v>
      </c>
      <c r="E26" s="29" t="s">
        <v>84</v>
      </c>
      <c r="F26" s="26" t="s">
        <v>39</v>
      </c>
      <c r="G26" s="14">
        <v>8</v>
      </c>
      <c r="H26" s="92">
        <f t="shared" si="0"/>
        <v>2.851033499643621E-3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 t="shared" si="3"/>
        <v>-19.650000000000006</v>
      </c>
      <c r="P26" s="81">
        <v>4</v>
      </c>
      <c r="Q26" s="72">
        <v>-78.600000000000023</v>
      </c>
    </row>
    <row r="27" spans="1:17" x14ac:dyDescent="0.4">
      <c r="A27" s="22" t="s">
        <v>174</v>
      </c>
      <c r="B27" s="99">
        <f>IF($B$19-B$18=0,0,C27/($B$19-B$18))</f>
        <v>9096.6382070437576</v>
      </c>
      <c r="C27" s="100">
        <v>17047100</v>
      </c>
      <c r="E27" s="29" t="s">
        <v>88</v>
      </c>
      <c r="F27" s="26" t="s">
        <v>43</v>
      </c>
      <c r="G27" s="14">
        <v>7</v>
      </c>
      <c r="H27" s="92">
        <f t="shared" si="0"/>
        <v>2.4946543121881683E-3</v>
      </c>
      <c r="I27" s="60">
        <v>5</v>
      </c>
      <c r="K27" s="7">
        <v>25</v>
      </c>
      <c r="L27" s="65">
        <v>15.000000000000007</v>
      </c>
    </row>
    <row r="28" spans="1:17" x14ac:dyDescent="0.4">
      <c r="A28" s="22" t="s">
        <v>175</v>
      </c>
      <c r="B28" s="99">
        <f>IF(B$18=0,0,C28/B$18)</f>
        <v>7013.3047210300429</v>
      </c>
      <c r="C28" s="100">
        <v>6536400</v>
      </c>
      <c r="E28" s="29" t="s">
        <v>87</v>
      </c>
      <c r="F28" s="26" t="s">
        <v>42</v>
      </c>
      <c r="G28" s="14">
        <v>5</v>
      </c>
      <c r="H28" s="92">
        <f t="shared" si="0"/>
        <v>1.7818959372772631E-3</v>
      </c>
      <c r="I28" s="60">
        <v>5</v>
      </c>
      <c r="K28" s="7">
        <v>26</v>
      </c>
      <c r="L28" s="65">
        <v>0.60000000000000675</v>
      </c>
    </row>
    <row r="29" spans="1:17" x14ac:dyDescent="0.4">
      <c r="A29" s="22" t="s">
        <v>173</v>
      </c>
      <c r="B29" s="99">
        <f>IF(B$20=0,0,C29/B$20)</f>
        <v>-7861.4323258869908</v>
      </c>
      <c r="C29" s="100">
        <v>-11965100</v>
      </c>
      <c r="E29" s="29" t="s">
        <v>90</v>
      </c>
      <c r="F29" s="26" t="s">
        <v>45</v>
      </c>
      <c r="G29" s="14">
        <v>5</v>
      </c>
      <c r="H29" s="92">
        <f t="shared" si="0"/>
        <v>1.7818959372772631E-3</v>
      </c>
      <c r="I29" s="60">
        <v>3</v>
      </c>
      <c r="K29" s="7">
        <v>27</v>
      </c>
      <c r="L29" s="65">
        <v>6.7723604502134549E-15</v>
      </c>
    </row>
    <row r="30" spans="1:17" x14ac:dyDescent="0.4">
      <c r="A30" s="21" t="s">
        <v>161</v>
      </c>
      <c r="B30" s="14">
        <v>7</v>
      </c>
      <c r="C30" s="94">
        <v>0</v>
      </c>
      <c r="E30" s="29" t="s">
        <v>95</v>
      </c>
      <c r="F30" s="26" t="s">
        <v>50</v>
      </c>
      <c r="G30" s="14">
        <v>5</v>
      </c>
      <c r="H30" s="92">
        <f t="shared" si="0"/>
        <v>1.7818959372772631E-3</v>
      </c>
      <c r="I30" s="60">
        <v>5</v>
      </c>
      <c r="K30" s="7">
        <v>28</v>
      </c>
      <c r="L30" s="65">
        <v>-30.199999999999992</v>
      </c>
    </row>
    <row r="31" spans="1:17" x14ac:dyDescent="0.4">
      <c r="A31" s="21" t="s">
        <v>162</v>
      </c>
      <c r="B31" s="14">
        <v>33</v>
      </c>
      <c r="C31" s="94">
        <v>1</v>
      </c>
      <c r="E31" s="29" t="s">
        <v>93</v>
      </c>
      <c r="F31" s="26" t="s">
        <v>48</v>
      </c>
      <c r="G31" s="14">
        <v>4</v>
      </c>
      <c r="H31" s="92">
        <f t="shared" si="0"/>
        <v>1.4255167498218105E-3</v>
      </c>
      <c r="I31" s="60">
        <v>4</v>
      </c>
      <c r="K31" s="7">
        <v>29</v>
      </c>
      <c r="L31" s="65">
        <v>-2.3999999999999915</v>
      </c>
    </row>
    <row r="32" spans="1:17" x14ac:dyDescent="0.4">
      <c r="A32" s="56" t="s">
        <v>138</v>
      </c>
      <c r="B32" s="125">
        <v>8</v>
      </c>
      <c r="C32" s="126"/>
      <c r="E32" s="29" t="s">
        <v>76</v>
      </c>
      <c r="F32" s="26" t="s">
        <v>31</v>
      </c>
      <c r="G32" s="14">
        <v>1</v>
      </c>
      <c r="H32" s="92">
        <f t="shared" si="0"/>
        <v>3.5637918745545262E-4</v>
      </c>
      <c r="I32" s="60">
        <v>2</v>
      </c>
      <c r="K32" s="7">
        <v>30</v>
      </c>
      <c r="L32" s="65">
        <v>8.4376949871511897E-15</v>
      </c>
    </row>
    <row r="33" spans="1:12" x14ac:dyDescent="0.4">
      <c r="A33" s="24" t="s">
        <v>189</v>
      </c>
      <c r="B33" s="127">
        <v>149100</v>
      </c>
      <c r="C33" s="128"/>
      <c r="E33" s="29" t="s">
        <v>97</v>
      </c>
      <c r="F33" s="26" t="s">
        <v>52</v>
      </c>
      <c r="G33" s="14">
        <v>1</v>
      </c>
      <c r="H33" s="92">
        <f t="shared" si="0"/>
        <v>3.5637918745545262E-4</v>
      </c>
      <c r="I33" s="60">
        <v>2</v>
      </c>
      <c r="K33" s="7">
        <v>31</v>
      </c>
      <c r="L33" s="65">
        <v>12.500000000000009</v>
      </c>
    </row>
    <row r="34" spans="1:12" x14ac:dyDescent="0.4">
      <c r="A34" s="23" t="s">
        <v>139</v>
      </c>
      <c r="B34" s="31">
        <v>28</v>
      </c>
      <c r="C34" s="11">
        <f>IF(B$3=0,0,B34/B$3)</f>
        <v>2.9285639577450056E-3</v>
      </c>
      <c r="E34" s="29" t="s">
        <v>101</v>
      </c>
      <c r="F34" s="26" t="s">
        <v>56</v>
      </c>
      <c r="G34" s="14">
        <v>1</v>
      </c>
      <c r="H34" s="92">
        <f t="shared" ref="H34:H65" si="4">IF(B$19=0,0,G34/B$19)</f>
        <v>3.5637918745545262E-4</v>
      </c>
      <c r="I34" s="60">
        <v>2</v>
      </c>
      <c r="K34" s="7">
        <v>32</v>
      </c>
      <c r="L34" s="65">
        <v>47.300000000000004</v>
      </c>
    </row>
    <row r="35" spans="1:12" x14ac:dyDescent="0.4">
      <c r="E35" s="29" t="s">
        <v>106</v>
      </c>
      <c r="F35" s="26" t="s">
        <v>113</v>
      </c>
      <c r="G35" s="14">
        <v>1</v>
      </c>
      <c r="H35" s="92">
        <f t="shared" si="4"/>
        <v>3.5637918745545262E-4</v>
      </c>
      <c r="I35" s="60">
        <v>2</v>
      </c>
      <c r="K35" s="7">
        <v>33</v>
      </c>
      <c r="L35" s="65">
        <v>7.1054273576010019E-15</v>
      </c>
    </row>
    <row r="36" spans="1:12" x14ac:dyDescent="0.4">
      <c r="A36" s="56" t="s">
        <v>180</v>
      </c>
      <c r="B36" s="119">
        <v>222</v>
      </c>
      <c r="C36" s="102">
        <f t="shared" ref="C36:C48" si="5">IF(B$19=0,0,B36/B$19)</f>
        <v>7.9116179615110471E-2</v>
      </c>
      <c r="E36" s="29" t="s">
        <v>80</v>
      </c>
      <c r="F36" s="26" t="s">
        <v>35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-5.8999999999999932</v>
      </c>
    </row>
    <row r="37" spans="1:12" x14ac:dyDescent="0.4">
      <c r="A37" s="21" t="s">
        <v>176</v>
      </c>
      <c r="B37" s="14">
        <v>478</v>
      </c>
      <c r="C37" s="8">
        <f t="shared" si="5"/>
        <v>0.17034925160370634</v>
      </c>
      <c r="E37" s="29" t="s">
        <v>82</v>
      </c>
      <c r="F37" s="26" t="s">
        <v>37</v>
      </c>
      <c r="G37" s="14">
        <v>0</v>
      </c>
      <c r="H37" s="92">
        <f t="shared" si="4"/>
        <v>0</v>
      </c>
      <c r="I37" s="60">
        <v>1</v>
      </c>
      <c r="K37" s="7">
        <v>35</v>
      </c>
      <c r="L37" s="65">
        <v>26.900000000000006</v>
      </c>
    </row>
    <row r="38" spans="1:12" x14ac:dyDescent="0.4">
      <c r="A38" s="21" t="s">
        <v>177</v>
      </c>
      <c r="B38" s="120">
        <v>549</v>
      </c>
      <c r="C38" s="8">
        <f t="shared" si="5"/>
        <v>0.19565217391304349</v>
      </c>
      <c r="E38" s="29" t="s">
        <v>94</v>
      </c>
      <c r="F38" s="26" t="s">
        <v>49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7.1054273576010019E-15</v>
      </c>
    </row>
    <row r="39" spans="1:12" x14ac:dyDescent="0.4">
      <c r="A39" s="21" t="s">
        <v>178</v>
      </c>
      <c r="B39" s="120">
        <v>506</v>
      </c>
      <c r="C39" s="8">
        <f t="shared" si="5"/>
        <v>0.18032786885245902</v>
      </c>
      <c r="E39" s="29" t="s">
        <v>96</v>
      </c>
      <c r="F39" s="26" t="s">
        <v>51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17.400000000000006</v>
      </c>
    </row>
    <row r="40" spans="1:12" x14ac:dyDescent="0.4">
      <c r="A40" s="21" t="s">
        <v>179</v>
      </c>
      <c r="B40" s="120">
        <v>438</v>
      </c>
      <c r="C40" s="8">
        <f t="shared" si="5"/>
        <v>0.15609408410548825</v>
      </c>
      <c r="E40" s="29" t="s">
        <v>98</v>
      </c>
      <c r="F40" s="26" t="s">
        <v>53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-5.2999999999999936</v>
      </c>
    </row>
    <row r="41" spans="1:12" x14ac:dyDescent="0.4">
      <c r="A41" s="21" t="s">
        <v>181</v>
      </c>
      <c r="B41" s="120">
        <v>287</v>
      </c>
      <c r="C41" s="8">
        <f t="shared" si="5"/>
        <v>0.1022808267997149</v>
      </c>
      <c r="E41" s="29" t="s">
        <v>99</v>
      </c>
      <c r="F41" s="26" t="s">
        <v>54</v>
      </c>
      <c r="G41" s="14">
        <v>0</v>
      </c>
      <c r="H41" s="92">
        <f t="shared" si="4"/>
        <v>0</v>
      </c>
      <c r="I41" s="60">
        <v>1</v>
      </c>
      <c r="K41" s="7">
        <v>39</v>
      </c>
      <c r="L41" s="65">
        <v>6.2172489379008766E-15</v>
      </c>
    </row>
    <row r="42" spans="1:12" x14ac:dyDescent="0.4">
      <c r="A42" s="21" t="s">
        <v>182</v>
      </c>
      <c r="B42" s="120">
        <v>141</v>
      </c>
      <c r="C42" s="8">
        <f t="shared" si="5"/>
        <v>5.0249465431218818E-2</v>
      </c>
      <c r="E42" s="29" t="s">
        <v>100</v>
      </c>
      <c r="F42" s="26" t="s">
        <v>55</v>
      </c>
      <c r="G42" s="14">
        <v>0</v>
      </c>
      <c r="H42" s="92">
        <f t="shared" si="4"/>
        <v>0</v>
      </c>
      <c r="I42" s="60">
        <v>1</v>
      </c>
      <c r="K42" s="7">
        <v>40</v>
      </c>
      <c r="L42" s="65">
        <v>10.300000000000008</v>
      </c>
    </row>
    <row r="43" spans="1:12" x14ac:dyDescent="0.4">
      <c r="A43" s="21" t="s">
        <v>183</v>
      </c>
      <c r="B43" s="120">
        <v>81</v>
      </c>
      <c r="C43" s="8">
        <f t="shared" si="5"/>
        <v>2.886671418389166E-2</v>
      </c>
      <c r="E43" s="29" t="s">
        <v>102</v>
      </c>
      <c r="F43" s="26" t="s">
        <v>57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-26.999999999999989</v>
      </c>
    </row>
    <row r="44" spans="1:12" x14ac:dyDescent="0.4">
      <c r="A44" s="21" t="s">
        <v>184</v>
      </c>
      <c r="B44" s="120">
        <v>37</v>
      </c>
      <c r="C44" s="8">
        <f t="shared" si="5"/>
        <v>1.3186029935851747E-2</v>
      </c>
      <c r="E44" s="29" t="s">
        <v>103</v>
      </c>
      <c r="F44" s="26" t="s">
        <v>58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1.0658141036401503E-14</v>
      </c>
    </row>
    <row r="45" spans="1:12" x14ac:dyDescent="0.4">
      <c r="A45" s="21" t="s">
        <v>185</v>
      </c>
      <c r="B45" s="120">
        <v>14</v>
      </c>
      <c r="C45" s="8">
        <f t="shared" si="5"/>
        <v>4.9893086243763367E-3</v>
      </c>
      <c r="E45" s="29" t="s">
        <v>104</v>
      </c>
      <c r="F45" s="26" t="s">
        <v>59</v>
      </c>
      <c r="G45" s="14">
        <v>0</v>
      </c>
      <c r="H45" s="92">
        <f t="shared" si="4"/>
        <v>0</v>
      </c>
      <c r="I45" s="60">
        <v>1</v>
      </c>
      <c r="K45" s="7">
        <v>43</v>
      </c>
      <c r="L45" s="65">
        <v>-20.899999999999988</v>
      </c>
    </row>
    <row r="46" spans="1:12" x14ac:dyDescent="0.4">
      <c r="A46" s="21" t="s">
        <v>186</v>
      </c>
      <c r="B46" s="120">
        <v>11</v>
      </c>
      <c r="C46" s="8">
        <f t="shared" si="5"/>
        <v>3.9201710620099788E-3</v>
      </c>
      <c r="E46" s="29" t="s">
        <v>105</v>
      </c>
      <c r="F46" s="26" t="s">
        <v>112</v>
      </c>
      <c r="G46" s="14">
        <v>0</v>
      </c>
      <c r="H46" s="92">
        <f t="shared" si="4"/>
        <v>0</v>
      </c>
      <c r="I46" s="60">
        <v>1</v>
      </c>
      <c r="K46" s="7">
        <v>44</v>
      </c>
      <c r="L46" s="65">
        <v>0.30000000000001137</v>
      </c>
    </row>
    <row r="47" spans="1:12" x14ac:dyDescent="0.4">
      <c r="A47" s="21" t="s">
        <v>187</v>
      </c>
      <c r="B47" s="120">
        <v>6</v>
      </c>
      <c r="C47" s="8">
        <f t="shared" si="5"/>
        <v>2.1382751247327157E-3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1.1379786002407855E-14</v>
      </c>
    </row>
    <row r="48" spans="1:12" x14ac:dyDescent="0.4">
      <c r="A48" s="23" t="s">
        <v>188</v>
      </c>
      <c r="B48" s="101">
        <v>36</v>
      </c>
      <c r="C48" s="11">
        <f t="shared" si="5"/>
        <v>1.2829650748396294E-2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2.2000000000000117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-21.499999999999986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1.4210854715202004E-14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  <c r="K51" s="7">
        <v>49</v>
      </c>
      <c r="L51" s="65">
        <v>-51.599999999999987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-33.699999999999989</v>
      </c>
    </row>
    <row r="53" spans="5:12" x14ac:dyDescent="0.4">
      <c r="K53" s="7">
        <v>51</v>
      </c>
      <c r="L53" s="65">
        <v>1.4210854715202004E-14</v>
      </c>
    </row>
    <row r="54" spans="5:12" x14ac:dyDescent="0.4">
      <c r="K54" s="7">
        <v>52</v>
      </c>
      <c r="L54" s="65">
        <v>-5.8999999999999861</v>
      </c>
    </row>
    <row r="55" spans="5:12" x14ac:dyDescent="0.4">
      <c r="K55" s="7">
        <v>53</v>
      </c>
      <c r="L55" s="65">
        <v>-29.399999999999984</v>
      </c>
    </row>
    <row r="56" spans="5:12" x14ac:dyDescent="0.4">
      <c r="K56" s="7">
        <v>54</v>
      </c>
      <c r="L56" s="65">
        <v>1.4210854715202004E-14</v>
      </c>
    </row>
    <row r="57" spans="5:12" x14ac:dyDescent="0.4">
      <c r="K57" s="7">
        <v>55</v>
      </c>
      <c r="L57" s="65">
        <v>-42.999999999999986</v>
      </c>
    </row>
    <row r="58" spans="5:12" x14ac:dyDescent="0.4">
      <c r="K58" s="7">
        <v>56</v>
      </c>
      <c r="L58" s="65">
        <v>-54.199999999999989</v>
      </c>
    </row>
    <row r="59" spans="5:12" x14ac:dyDescent="0.4">
      <c r="K59" s="7">
        <v>57</v>
      </c>
      <c r="L59" s="65">
        <v>1.4210854715202004E-14</v>
      </c>
    </row>
    <row r="60" spans="5:12" x14ac:dyDescent="0.4">
      <c r="K60" s="7">
        <v>58</v>
      </c>
      <c r="L60" s="65">
        <v>7.6000000000000139</v>
      </c>
    </row>
    <row r="61" spans="5:12" x14ac:dyDescent="0.4">
      <c r="K61" s="7">
        <v>59</v>
      </c>
      <c r="L61" s="65">
        <v>-35.399999999999984</v>
      </c>
    </row>
    <row r="62" spans="5:12" x14ac:dyDescent="0.4">
      <c r="K62" s="7">
        <v>60</v>
      </c>
      <c r="L62" s="65">
        <v>1.4210854715202004E-14</v>
      </c>
    </row>
    <row r="63" spans="5:12" x14ac:dyDescent="0.4">
      <c r="K63" s="7">
        <v>61</v>
      </c>
      <c r="L63" s="65">
        <v>66.800000000000011</v>
      </c>
    </row>
    <row r="64" spans="5:12" x14ac:dyDescent="0.4">
      <c r="K64" s="7">
        <v>62</v>
      </c>
      <c r="L64" s="65">
        <v>6.7000000000000099</v>
      </c>
    </row>
    <row r="65" spans="11:12" x14ac:dyDescent="0.4">
      <c r="K65" s="7">
        <v>63</v>
      </c>
      <c r="L65" s="65">
        <v>9.7699626167013776E-15</v>
      </c>
    </row>
    <row r="66" spans="11:12" x14ac:dyDescent="0.4">
      <c r="K66" s="7">
        <v>64</v>
      </c>
      <c r="L66" s="65">
        <v>-49.499999999999993</v>
      </c>
    </row>
    <row r="67" spans="11:12" x14ac:dyDescent="0.4">
      <c r="K67" s="7">
        <v>65</v>
      </c>
      <c r="L67" s="65">
        <v>-30.799999999999994</v>
      </c>
    </row>
    <row r="68" spans="11:12" x14ac:dyDescent="0.4">
      <c r="K68" s="7">
        <v>66</v>
      </c>
      <c r="L68" s="65">
        <v>7.1054273576010019E-15</v>
      </c>
    </row>
    <row r="69" spans="11:12" x14ac:dyDescent="0.4">
      <c r="K69" s="7">
        <v>67</v>
      </c>
      <c r="L69" s="65">
        <v>66.400000000000006</v>
      </c>
    </row>
    <row r="70" spans="11:12" x14ac:dyDescent="0.4">
      <c r="K70" s="7">
        <v>68</v>
      </c>
      <c r="L70" s="65">
        <v>17.700000000000003</v>
      </c>
    </row>
    <row r="71" spans="11:12" x14ac:dyDescent="0.4">
      <c r="K71" s="7">
        <v>69</v>
      </c>
      <c r="L71" s="65">
        <v>3.5527136788005009E-15</v>
      </c>
    </row>
    <row r="72" spans="11:12" x14ac:dyDescent="0.4">
      <c r="K72" s="7">
        <v>70</v>
      </c>
      <c r="L72" s="65">
        <v>17.700000000000003</v>
      </c>
    </row>
    <row r="73" spans="11:12" x14ac:dyDescent="0.4">
      <c r="K73" s="7">
        <v>71</v>
      </c>
      <c r="L73" s="65">
        <v>-28.799999999999997</v>
      </c>
    </row>
    <row r="74" spans="11:12" x14ac:dyDescent="0.4">
      <c r="K74" s="7">
        <v>72</v>
      </c>
      <c r="L74" s="65">
        <v>3.5527136788005009E-15</v>
      </c>
    </row>
    <row r="75" spans="11:12" x14ac:dyDescent="0.4">
      <c r="K75" s="7">
        <v>73</v>
      </c>
      <c r="L75" s="65">
        <v>7.5000000000000036</v>
      </c>
    </row>
    <row r="76" spans="11:12" x14ac:dyDescent="0.4">
      <c r="K76" s="7">
        <v>74</v>
      </c>
      <c r="L76" s="65">
        <v>28.600000000000005</v>
      </c>
    </row>
    <row r="77" spans="11:12" x14ac:dyDescent="0.4">
      <c r="K77" s="7">
        <v>75</v>
      </c>
      <c r="L77" s="65">
        <v>3.5527136788005009E-15</v>
      </c>
    </row>
    <row r="78" spans="11:12" x14ac:dyDescent="0.4">
      <c r="K78" s="7">
        <v>76</v>
      </c>
      <c r="L78" s="65">
        <v>39.5</v>
      </c>
    </row>
    <row r="79" spans="11:12" x14ac:dyDescent="0.4">
      <c r="K79" s="7">
        <v>77</v>
      </c>
      <c r="L79" s="65">
        <v>-7</v>
      </c>
    </row>
    <row r="80" spans="11:12" x14ac:dyDescent="0.4">
      <c r="K80" s="7">
        <v>78</v>
      </c>
      <c r="L80" s="65">
        <v>0</v>
      </c>
    </row>
    <row r="81" spans="11:12" x14ac:dyDescent="0.4">
      <c r="K81" s="7">
        <v>79</v>
      </c>
      <c r="L81" s="65">
        <v>-45.1</v>
      </c>
    </row>
    <row r="82" spans="11:12" x14ac:dyDescent="0.4">
      <c r="K82" s="7">
        <v>80</v>
      </c>
      <c r="L82" s="65">
        <v>-39.200000000000003</v>
      </c>
    </row>
    <row r="83" spans="11:12" x14ac:dyDescent="0.4">
      <c r="K83" s="7">
        <v>81</v>
      </c>
      <c r="L83" s="65">
        <v>0</v>
      </c>
    </row>
    <row r="84" spans="11:12" x14ac:dyDescent="0.4">
      <c r="K84" s="7">
        <v>82</v>
      </c>
      <c r="L84" s="65">
        <v>17.7</v>
      </c>
    </row>
    <row r="85" spans="11:12" x14ac:dyDescent="0.4">
      <c r="K85" s="7">
        <v>83</v>
      </c>
      <c r="L85" s="65">
        <v>-28.8</v>
      </c>
    </row>
    <row r="86" spans="11:12" x14ac:dyDescent="0.4">
      <c r="K86" s="7">
        <v>84</v>
      </c>
      <c r="L86" s="65">
        <v>0</v>
      </c>
    </row>
    <row r="87" spans="11:12" x14ac:dyDescent="0.4">
      <c r="K87" s="7">
        <v>85</v>
      </c>
      <c r="L87" s="65">
        <v>42.9</v>
      </c>
    </row>
    <row r="88" spans="11:12" x14ac:dyDescent="0.4">
      <c r="K88" s="7">
        <v>86</v>
      </c>
      <c r="L88" s="65">
        <v>-0.80000000000000426</v>
      </c>
    </row>
    <row r="89" spans="11:12" x14ac:dyDescent="0.4">
      <c r="K89" s="7">
        <v>87</v>
      </c>
      <c r="L89" s="65">
        <v>-4.2188474935755949E-15</v>
      </c>
    </row>
    <row r="90" spans="11:12" x14ac:dyDescent="0.4">
      <c r="K90" s="7">
        <v>88</v>
      </c>
      <c r="L90" s="65">
        <v>-58.000000000000007</v>
      </c>
    </row>
    <row r="91" spans="11:12" x14ac:dyDescent="0.4">
      <c r="K91" s="7">
        <v>89</v>
      </c>
      <c r="L91" s="65">
        <v>-7.1054273576010019E-15</v>
      </c>
    </row>
    <row r="92" spans="11:12" x14ac:dyDescent="0.4">
      <c r="K92" s="7">
        <v>90</v>
      </c>
      <c r="L92" s="65">
        <v>-7.1054273576010019E-15</v>
      </c>
    </row>
    <row r="93" spans="11:12" x14ac:dyDescent="0.4">
      <c r="K93" s="7">
        <v>91</v>
      </c>
      <c r="L93" s="65">
        <v>-26.400000000000006</v>
      </c>
    </row>
    <row r="94" spans="11:12" x14ac:dyDescent="0.4">
      <c r="K94" s="7">
        <v>92</v>
      </c>
      <c r="L94" s="65">
        <v>-26.900000000000006</v>
      </c>
    </row>
    <row r="95" spans="11:12" x14ac:dyDescent="0.4">
      <c r="K95" s="7">
        <v>93</v>
      </c>
      <c r="L95" s="65">
        <v>-7.1054273576010019E-15</v>
      </c>
    </row>
    <row r="96" spans="11:12" x14ac:dyDescent="0.4">
      <c r="K96" s="7">
        <v>94</v>
      </c>
      <c r="L96" s="65">
        <v>-34.900000000000006</v>
      </c>
    </row>
    <row r="97" spans="11:12" x14ac:dyDescent="0.4">
      <c r="K97" s="7">
        <v>95</v>
      </c>
      <c r="L97" s="65">
        <v>-8.100000000000005</v>
      </c>
    </row>
    <row r="98" spans="11:12" x14ac:dyDescent="0.4">
      <c r="K98" s="7">
        <v>96</v>
      </c>
      <c r="L98" s="65">
        <v>-5.3290705182007514E-15</v>
      </c>
    </row>
    <row r="99" spans="11:12" x14ac:dyDescent="0.4">
      <c r="K99" s="7">
        <v>97</v>
      </c>
      <c r="L99" s="65">
        <v>34.29999999999999</v>
      </c>
    </row>
    <row r="100" spans="11:12" x14ac:dyDescent="0.4">
      <c r="K100" s="7">
        <v>98</v>
      </c>
      <c r="L100" s="65">
        <v>31.499999999999989</v>
      </c>
    </row>
    <row r="101" spans="11:12" x14ac:dyDescent="0.4">
      <c r="K101" s="7">
        <v>99</v>
      </c>
      <c r="L101" s="65">
        <v>-1.0658141036401503E-14</v>
      </c>
    </row>
    <row r="102" spans="11:12" x14ac:dyDescent="0.4">
      <c r="K102" s="7">
        <v>100</v>
      </c>
      <c r="L102" s="65">
        <v>34.499999999999986</v>
      </c>
    </row>
    <row r="103" spans="11:12" x14ac:dyDescent="0.4">
      <c r="K103" s="7">
        <v>101</v>
      </c>
      <c r="L103" s="65">
        <v>46.899999999999984</v>
      </c>
    </row>
    <row r="104" spans="11:12" x14ac:dyDescent="0.4">
      <c r="K104" s="7">
        <v>102</v>
      </c>
      <c r="L104" s="65">
        <v>-1.4210854715202004E-14</v>
      </c>
    </row>
    <row r="105" spans="11:12" x14ac:dyDescent="0.4">
      <c r="K105" s="7">
        <v>103</v>
      </c>
      <c r="L105" s="65">
        <v>-49.400000000000013</v>
      </c>
    </row>
    <row r="106" spans="11:12" x14ac:dyDescent="0.4">
      <c r="K106" s="7">
        <v>104</v>
      </c>
      <c r="L106" s="65">
        <v>-18.000000000000014</v>
      </c>
    </row>
    <row r="107" spans="11:12" x14ac:dyDescent="0.4">
      <c r="K107" s="7">
        <v>105</v>
      </c>
      <c r="L107" s="65">
        <v>-1.4210854715202004E-14</v>
      </c>
    </row>
    <row r="108" spans="11:12" x14ac:dyDescent="0.4">
      <c r="K108" s="7">
        <v>106</v>
      </c>
      <c r="L108" s="65">
        <v>-10.800000000000015</v>
      </c>
    </row>
    <row r="109" spans="11:12" x14ac:dyDescent="0.4">
      <c r="K109" s="7">
        <v>107</v>
      </c>
      <c r="L109" s="65">
        <v>-56.90000000000002</v>
      </c>
    </row>
    <row r="110" spans="11:12" x14ac:dyDescent="0.4">
      <c r="K110" s="7">
        <v>108</v>
      </c>
      <c r="L110" s="65">
        <v>-2.1316282072803006E-14</v>
      </c>
    </row>
    <row r="111" spans="11:12" x14ac:dyDescent="0.4">
      <c r="K111" s="7">
        <v>109</v>
      </c>
      <c r="L111" s="65">
        <v>7.6999999999999789</v>
      </c>
    </row>
    <row r="112" spans="11:12" x14ac:dyDescent="0.4">
      <c r="K112" s="7">
        <v>110</v>
      </c>
      <c r="L112" s="65">
        <v>-22.700000000000021</v>
      </c>
    </row>
    <row r="113" spans="11:12" x14ac:dyDescent="0.4">
      <c r="K113" s="7">
        <v>111</v>
      </c>
      <c r="L113" s="65">
        <v>-2.1316282072803006E-14</v>
      </c>
    </row>
    <row r="114" spans="11:12" x14ac:dyDescent="0.4">
      <c r="K114" s="7">
        <v>112</v>
      </c>
      <c r="L114" s="65">
        <v>2.4999999999999787</v>
      </c>
    </row>
    <row r="115" spans="11:12" x14ac:dyDescent="0.4">
      <c r="K115" s="7">
        <v>113</v>
      </c>
      <c r="L115" s="65">
        <v>23.999999999999979</v>
      </c>
    </row>
    <row r="116" spans="11:12" x14ac:dyDescent="0.4">
      <c r="K116" s="7">
        <v>114</v>
      </c>
      <c r="L116" s="65">
        <v>-2.1316282072803006E-14</v>
      </c>
    </row>
    <row r="117" spans="11:12" x14ac:dyDescent="0.4">
      <c r="K117" s="7">
        <v>115</v>
      </c>
      <c r="L117" s="65">
        <v>33.09999999999998</v>
      </c>
    </row>
    <row r="118" spans="11:12" x14ac:dyDescent="0.4">
      <c r="K118" s="7">
        <v>116</v>
      </c>
      <c r="L118" s="65">
        <v>6.6999999999999815</v>
      </c>
    </row>
    <row r="119" spans="11:12" x14ac:dyDescent="0.4">
      <c r="K119" s="7">
        <v>117</v>
      </c>
      <c r="L119" s="65">
        <v>-1.865174681370263E-14</v>
      </c>
    </row>
    <row r="120" spans="11:12" x14ac:dyDescent="0.4">
      <c r="K120" s="7">
        <v>118</v>
      </c>
      <c r="L120" s="65">
        <v>-44.200000000000024</v>
      </c>
    </row>
    <row r="121" spans="11:12" x14ac:dyDescent="0.4">
      <c r="K121" s="7">
        <v>119</v>
      </c>
      <c r="L121" s="65">
        <v>-30.800000000000026</v>
      </c>
    </row>
    <row r="122" spans="11:12" x14ac:dyDescent="0.4">
      <c r="K122" s="7">
        <v>120</v>
      </c>
      <c r="L122" s="65">
        <v>-2.4868995751603507E-14</v>
      </c>
    </row>
    <row r="123" spans="11:12" x14ac:dyDescent="0.4">
      <c r="K123" s="7">
        <v>121</v>
      </c>
      <c r="L123" s="65">
        <v>-55.800000000000026</v>
      </c>
    </row>
    <row r="124" spans="11:12" x14ac:dyDescent="0.4">
      <c r="K124" s="7">
        <v>122</v>
      </c>
      <c r="L124" s="65">
        <v>-50.500000000000028</v>
      </c>
    </row>
    <row r="125" spans="11:12" x14ac:dyDescent="0.4">
      <c r="K125" s="7">
        <v>123</v>
      </c>
      <c r="L125" s="65">
        <v>-2.8421709430404007E-14</v>
      </c>
    </row>
    <row r="126" spans="11:12" x14ac:dyDescent="0.4">
      <c r="K126" s="7">
        <v>124</v>
      </c>
      <c r="L126" s="65">
        <v>31.699999999999971</v>
      </c>
    </row>
    <row r="127" spans="11:12" x14ac:dyDescent="0.4">
      <c r="K127" s="7">
        <v>125</v>
      </c>
      <c r="L127" s="65">
        <v>-8.6000000000000263</v>
      </c>
    </row>
    <row r="128" spans="11:12" x14ac:dyDescent="0.4">
      <c r="K128" s="7">
        <v>126</v>
      </c>
      <c r="L128" s="65">
        <v>-2.6645352591003757E-14</v>
      </c>
    </row>
    <row r="129" spans="11:12" x14ac:dyDescent="0.4">
      <c r="K129" s="7">
        <v>127</v>
      </c>
      <c r="L129" s="65">
        <v>-3.4000000000000266</v>
      </c>
    </row>
    <row r="130" spans="11:12" x14ac:dyDescent="0.4">
      <c r="K130" s="7">
        <v>128</v>
      </c>
      <c r="L130" s="65">
        <v>-24.700000000000028</v>
      </c>
    </row>
    <row r="131" spans="11:12" x14ac:dyDescent="0.4">
      <c r="K131" s="7">
        <v>129</v>
      </c>
      <c r="L131" s="65">
        <v>-2.8421709430404007E-14</v>
      </c>
    </row>
    <row r="132" spans="11:12" x14ac:dyDescent="0.4">
      <c r="K132" s="7">
        <v>130</v>
      </c>
      <c r="L132" s="65">
        <v>-16.700000000000028</v>
      </c>
    </row>
    <row r="133" spans="11:12" x14ac:dyDescent="0.4">
      <c r="K133" s="7">
        <v>131</v>
      </c>
      <c r="L133" s="65">
        <v>-15.100000000000028</v>
      </c>
    </row>
    <row r="134" spans="11:12" x14ac:dyDescent="0.4">
      <c r="K134" s="7">
        <v>132</v>
      </c>
      <c r="L134" s="65">
        <v>-2.8421709430404007E-14</v>
      </c>
    </row>
    <row r="135" spans="11:12" x14ac:dyDescent="0.4">
      <c r="K135" s="7">
        <v>133</v>
      </c>
      <c r="L135" s="65">
        <v>-2.8000000000000282</v>
      </c>
    </row>
    <row r="136" spans="11:12" x14ac:dyDescent="0.4">
      <c r="K136" s="7">
        <v>134</v>
      </c>
      <c r="L136" s="65">
        <v>14.099999999999969</v>
      </c>
    </row>
    <row r="137" spans="11:12" x14ac:dyDescent="0.4">
      <c r="K137" s="7">
        <v>135</v>
      </c>
      <c r="L137" s="65">
        <v>-3.0198066269804258E-14</v>
      </c>
    </row>
    <row r="138" spans="11:12" x14ac:dyDescent="0.4">
      <c r="K138" s="7">
        <v>136</v>
      </c>
      <c r="L138" s="65">
        <v>-43.800000000000026</v>
      </c>
    </row>
    <row r="139" spans="11:12" x14ac:dyDescent="0.4">
      <c r="K139" s="7">
        <v>137</v>
      </c>
      <c r="L139" s="65">
        <v>6.1999999999999744</v>
      </c>
    </row>
    <row r="140" spans="11:12" x14ac:dyDescent="0.4">
      <c r="K140" s="7">
        <v>138</v>
      </c>
      <c r="L140" s="65">
        <v>-2.5757174171303632E-14</v>
      </c>
    </row>
    <row r="141" spans="11:12" x14ac:dyDescent="0.4">
      <c r="K141" s="7">
        <v>139</v>
      </c>
      <c r="L141" s="65">
        <v>-35.300000000000026</v>
      </c>
    </row>
    <row r="142" spans="11:12" x14ac:dyDescent="0.4">
      <c r="K142" s="7">
        <v>140</v>
      </c>
      <c r="L142" s="65">
        <v>7.2999999999999758</v>
      </c>
    </row>
    <row r="143" spans="11:12" x14ac:dyDescent="0.4">
      <c r="K143" s="7">
        <v>141</v>
      </c>
      <c r="L143" s="65">
        <v>-2.3980817331903381E-14</v>
      </c>
    </row>
    <row r="144" spans="11:12" x14ac:dyDescent="0.4">
      <c r="K144" s="7">
        <v>142</v>
      </c>
      <c r="L144" s="65">
        <v>60.09999999999998</v>
      </c>
    </row>
    <row r="145" spans="11:12" x14ac:dyDescent="0.4">
      <c r="K145" s="7">
        <v>143</v>
      </c>
      <c r="L145" s="65">
        <v>50.399999999999977</v>
      </c>
    </row>
    <row r="146" spans="11:12" x14ac:dyDescent="0.4">
      <c r="K146" s="7">
        <v>144</v>
      </c>
      <c r="L146" s="65">
        <v>-2.1316282072803006E-14</v>
      </c>
    </row>
    <row r="147" spans="11:12" x14ac:dyDescent="0.4">
      <c r="K147" s="7">
        <v>145</v>
      </c>
      <c r="L147" s="65">
        <v>-53.100000000000023</v>
      </c>
    </row>
    <row r="148" spans="11:12" x14ac:dyDescent="0.4">
      <c r="K148" s="7">
        <v>146</v>
      </c>
      <c r="L148" s="65">
        <v>-53.200000000000024</v>
      </c>
    </row>
    <row r="149" spans="11:12" x14ac:dyDescent="0.4">
      <c r="K149" s="7">
        <v>147</v>
      </c>
      <c r="L149" s="65">
        <v>-2.1316282072803006E-14</v>
      </c>
    </row>
    <row r="150" spans="11:12" x14ac:dyDescent="0.4">
      <c r="K150" s="7">
        <v>148</v>
      </c>
      <c r="L150" s="65">
        <v>-21.90000000000002</v>
      </c>
    </row>
    <row r="151" spans="11:12" x14ac:dyDescent="0.4">
      <c r="K151" s="7">
        <v>149</v>
      </c>
      <c r="L151" s="65">
        <v>7.9999999999999787</v>
      </c>
    </row>
    <row r="152" spans="11:12" x14ac:dyDescent="0.4">
      <c r="K152" s="7">
        <v>150</v>
      </c>
      <c r="L152" s="65">
        <v>-2.1316282072803006E-14</v>
      </c>
    </row>
    <row r="153" spans="11:12" x14ac:dyDescent="0.4">
      <c r="K153" s="7">
        <v>151</v>
      </c>
      <c r="L153" s="65">
        <v>45.899999999999977</v>
      </c>
    </row>
    <row r="154" spans="11:12" x14ac:dyDescent="0.4">
      <c r="K154" s="7">
        <v>152</v>
      </c>
      <c r="L154" s="65">
        <v>45.699999999999974</v>
      </c>
    </row>
    <row r="155" spans="11:12" x14ac:dyDescent="0.4">
      <c r="K155" s="7">
        <v>153</v>
      </c>
      <c r="L155" s="65">
        <v>-2.8421709430404007E-14</v>
      </c>
    </row>
    <row r="156" spans="11:12" x14ac:dyDescent="0.4">
      <c r="K156" s="7">
        <v>154</v>
      </c>
      <c r="L156" s="65">
        <v>-27.10000000000003</v>
      </c>
    </row>
    <row r="157" spans="11:12" x14ac:dyDescent="0.4">
      <c r="K157" s="7">
        <v>155</v>
      </c>
      <c r="L157" s="65">
        <v>-5.8000000000000291</v>
      </c>
    </row>
    <row r="158" spans="11:12" x14ac:dyDescent="0.4">
      <c r="K158" s="7">
        <v>156</v>
      </c>
      <c r="L158" s="65">
        <v>-2.9309887850104133E-14</v>
      </c>
    </row>
    <row r="159" spans="11:12" x14ac:dyDescent="0.4">
      <c r="K159" s="7">
        <v>157</v>
      </c>
      <c r="L159" s="65">
        <v>11.39999999999997</v>
      </c>
    </row>
    <row r="160" spans="11:12" x14ac:dyDescent="0.4">
      <c r="K160" s="7">
        <v>158</v>
      </c>
      <c r="L160" s="65">
        <v>-25.300000000000033</v>
      </c>
    </row>
    <row r="161" spans="11:12" x14ac:dyDescent="0.4">
      <c r="K161" s="7">
        <v>159</v>
      </c>
      <c r="L161" s="65">
        <v>-3.1974423109204508E-14</v>
      </c>
    </row>
    <row r="162" spans="11:12" x14ac:dyDescent="0.4">
      <c r="K162" s="7">
        <v>160</v>
      </c>
      <c r="L162" s="65">
        <v>21.999999999999968</v>
      </c>
    </row>
    <row r="163" spans="11:12" x14ac:dyDescent="0.4">
      <c r="K163" s="7">
        <v>161</v>
      </c>
      <c r="L163" s="65">
        <v>16.599999999999966</v>
      </c>
    </row>
    <row r="164" spans="11:12" x14ac:dyDescent="0.4">
      <c r="K164" s="7">
        <v>162</v>
      </c>
      <c r="L164" s="65">
        <v>-3.5527136788005009E-14</v>
      </c>
    </row>
    <row r="165" spans="11:12" x14ac:dyDescent="0.4">
      <c r="K165" s="7">
        <v>163</v>
      </c>
      <c r="L165" s="65">
        <v>40.399999999999963</v>
      </c>
    </row>
    <row r="166" spans="11:12" x14ac:dyDescent="0.4">
      <c r="K166" s="7">
        <v>164</v>
      </c>
      <c r="L166" s="65">
        <v>45.799999999999962</v>
      </c>
    </row>
    <row r="167" spans="11:12" x14ac:dyDescent="0.4">
      <c r="K167" s="7">
        <v>165</v>
      </c>
      <c r="L167" s="65">
        <v>-3.5527136788005009E-14</v>
      </c>
    </row>
    <row r="168" spans="11:12" x14ac:dyDescent="0.4">
      <c r="K168" s="7">
        <v>166</v>
      </c>
      <c r="L168" s="65">
        <v>-32.600000000000037</v>
      </c>
    </row>
    <row r="169" spans="11:12" x14ac:dyDescent="0.4">
      <c r="K169" s="7">
        <v>167</v>
      </c>
      <c r="L169" s="65">
        <v>-47.900000000000034</v>
      </c>
    </row>
    <row r="170" spans="11:12" x14ac:dyDescent="0.4">
      <c r="K170" s="7">
        <v>168</v>
      </c>
      <c r="L170" s="65">
        <v>-3.5527136788005009E-14</v>
      </c>
    </row>
    <row r="171" spans="11:12" x14ac:dyDescent="0.4">
      <c r="K171" s="7">
        <v>169</v>
      </c>
      <c r="L171" s="65">
        <v>1.9999999999999645</v>
      </c>
    </row>
    <row r="172" spans="11:12" x14ac:dyDescent="0.4">
      <c r="K172" s="7">
        <v>170</v>
      </c>
      <c r="L172" s="65">
        <v>14.999999999999964</v>
      </c>
    </row>
    <row r="173" spans="11:12" x14ac:dyDescent="0.4">
      <c r="K173" s="7">
        <v>171</v>
      </c>
      <c r="L173" s="65">
        <v>-3.5527136788005009E-14</v>
      </c>
    </row>
    <row r="174" spans="11:12" x14ac:dyDescent="0.4">
      <c r="K174" s="7">
        <v>172</v>
      </c>
      <c r="L174" s="65">
        <v>-0.50000000000003553</v>
      </c>
    </row>
    <row r="175" spans="11:12" x14ac:dyDescent="0.4">
      <c r="K175" s="7">
        <v>173</v>
      </c>
      <c r="L175" s="65">
        <v>34.899999999999963</v>
      </c>
    </row>
    <row r="176" spans="11:12" x14ac:dyDescent="0.4">
      <c r="K176" s="7">
        <v>174</v>
      </c>
      <c r="L176" s="65">
        <v>-3.5527136788005009E-14</v>
      </c>
    </row>
    <row r="177" spans="11:12" x14ac:dyDescent="0.4">
      <c r="K177" s="7">
        <v>175</v>
      </c>
      <c r="L177" s="65">
        <v>4.8999999999999648</v>
      </c>
    </row>
    <row r="178" spans="11:12" x14ac:dyDescent="0.4">
      <c r="K178" s="7">
        <v>176</v>
      </c>
      <c r="L178" s="65">
        <v>49.19999999999996</v>
      </c>
    </row>
    <row r="179" spans="11:12" x14ac:dyDescent="0.4">
      <c r="K179" s="7">
        <v>177</v>
      </c>
      <c r="L179" s="65">
        <v>-4.2632564145606011E-14</v>
      </c>
    </row>
    <row r="180" spans="11:12" x14ac:dyDescent="0.4">
      <c r="K180" s="7">
        <v>178</v>
      </c>
      <c r="L180" s="65">
        <v>-31.300000000000043</v>
      </c>
    </row>
    <row r="181" spans="11:12" x14ac:dyDescent="0.4">
      <c r="K181" s="7">
        <v>179</v>
      </c>
      <c r="L181" s="65">
        <v>-25.300000000000043</v>
      </c>
    </row>
    <row r="182" spans="11:12" x14ac:dyDescent="0.4">
      <c r="K182" s="7">
        <v>180</v>
      </c>
      <c r="L182" s="65">
        <v>-4.2632564145606011E-14</v>
      </c>
    </row>
    <row r="183" spans="11:12" x14ac:dyDescent="0.4">
      <c r="K183" s="7">
        <v>181</v>
      </c>
      <c r="L183" s="65">
        <v>-23.900000000000041</v>
      </c>
    </row>
    <row r="184" spans="11:12" x14ac:dyDescent="0.4">
      <c r="K184" s="7">
        <v>182</v>
      </c>
      <c r="L184" s="65">
        <v>-22.000000000000043</v>
      </c>
    </row>
    <row r="185" spans="11:12" x14ac:dyDescent="0.4">
      <c r="K185" s="7">
        <v>183</v>
      </c>
      <c r="L185" s="65">
        <v>-4.2632564145606011E-14</v>
      </c>
    </row>
    <row r="186" spans="11:12" x14ac:dyDescent="0.4">
      <c r="K186" s="7">
        <v>184</v>
      </c>
      <c r="L186" s="65">
        <v>-1.9000000000000425</v>
      </c>
    </row>
    <row r="187" spans="11:12" x14ac:dyDescent="0.4">
      <c r="K187" s="7">
        <v>185</v>
      </c>
      <c r="L187" s="65">
        <v>36.799999999999962</v>
      </c>
    </row>
    <row r="188" spans="11:12" x14ac:dyDescent="0.4">
      <c r="K188" s="7">
        <v>186</v>
      </c>
      <c r="L188" s="65">
        <v>-3.5527136788005009E-14</v>
      </c>
    </row>
    <row r="189" spans="11:12" x14ac:dyDescent="0.4">
      <c r="K189" s="7">
        <v>187</v>
      </c>
      <c r="L189" s="65">
        <v>-40.700000000000038</v>
      </c>
    </row>
    <row r="190" spans="11:12" x14ac:dyDescent="0.4">
      <c r="K190" s="7">
        <v>188</v>
      </c>
      <c r="L190" s="65">
        <v>-33.400000000000041</v>
      </c>
    </row>
    <row r="191" spans="11:12" x14ac:dyDescent="0.4">
      <c r="K191" s="7">
        <v>189</v>
      </c>
      <c r="L191" s="65">
        <v>-4.2632564145606011E-14</v>
      </c>
    </row>
    <row r="192" spans="11:12" x14ac:dyDescent="0.4">
      <c r="K192" s="7">
        <v>190</v>
      </c>
      <c r="L192" s="65">
        <v>-30.500000000000043</v>
      </c>
    </row>
    <row r="193" spans="11:12" x14ac:dyDescent="0.4">
      <c r="K193" s="7">
        <v>191</v>
      </c>
      <c r="L193" s="65">
        <v>0.29999999999995808</v>
      </c>
    </row>
    <row r="194" spans="11:12" x14ac:dyDescent="0.4">
      <c r="K194" s="7">
        <v>192</v>
      </c>
      <c r="L194" s="65">
        <v>-4.1910919179599659E-14</v>
      </c>
    </row>
    <row r="195" spans="11:12" x14ac:dyDescent="0.4">
      <c r="K195" s="7">
        <v>193</v>
      </c>
      <c r="L195" s="65">
        <v>52.099999999999959</v>
      </c>
    </row>
    <row r="196" spans="11:12" x14ac:dyDescent="0.4">
      <c r="K196" s="7">
        <v>194</v>
      </c>
      <c r="L196" s="65">
        <v>49.299999999999962</v>
      </c>
    </row>
    <row r="197" spans="11:12" x14ac:dyDescent="0.4">
      <c r="K197" s="7">
        <v>195</v>
      </c>
      <c r="L197" s="65">
        <v>-3.5527136788005009E-14</v>
      </c>
    </row>
    <row r="198" spans="11:12" x14ac:dyDescent="0.4">
      <c r="K198" s="7">
        <v>196</v>
      </c>
      <c r="L198" s="65">
        <v>-5.6000000000000352</v>
      </c>
    </row>
    <row r="199" spans="11:12" x14ac:dyDescent="0.4">
      <c r="K199" s="7">
        <v>197</v>
      </c>
      <c r="L199" s="65">
        <v>-28.200000000000038</v>
      </c>
    </row>
    <row r="200" spans="11:12" x14ac:dyDescent="0.4">
      <c r="K200" s="7">
        <v>198</v>
      </c>
      <c r="L200" s="65">
        <v>-3.907985046680551E-14</v>
      </c>
    </row>
    <row r="201" spans="11:12" x14ac:dyDescent="0.4">
      <c r="K201" s="7">
        <v>199</v>
      </c>
      <c r="L201" s="65">
        <v>-22.000000000000039</v>
      </c>
    </row>
    <row r="202" spans="11:12" x14ac:dyDescent="0.4">
      <c r="K202" s="7">
        <v>200</v>
      </c>
      <c r="L202" s="65">
        <v>-20.900000000000038</v>
      </c>
    </row>
    <row r="203" spans="11:12" x14ac:dyDescent="0.4">
      <c r="K203" s="7">
        <v>201</v>
      </c>
      <c r="L203" s="65">
        <v>-3.907985046680551E-14</v>
      </c>
    </row>
    <row r="204" spans="11:12" x14ac:dyDescent="0.4">
      <c r="K204" s="7">
        <v>202</v>
      </c>
      <c r="L204" s="65">
        <v>-1.0000000000000391</v>
      </c>
    </row>
    <row r="205" spans="11:12" x14ac:dyDescent="0.4">
      <c r="K205" s="7">
        <v>203</v>
      </c>
      <c r="L205" s="65">
        <v>18.399999999999959</v>
      </c>
    </row>
    <row r="206" spans="11:12" x14ac:dyDescent="0.4">
      <c r="K206" s="7">
        <v>204</v>
      </c>
      <c r="L206" s="65">
        <v>-3.907985046680551E-14</v>
      </c>
    </row>
    <row r="207" spans="11:12" x14ac:dyDescent="0.4">
      <c r="K207" s="7">
        <v>205</v>
      </c>
      <c r="L207" s="65">
        <v>-47.200000000000045</v>
      </c>
    </row>
    <row r="208" spans="11:12" x14ac:dyDescent="0.4">
      <c r="K208" s="7">
        <v>206</v>
      </c>
      <c r="L208" s="65">
        <v>-56.700000000000045</v>
      </c>
    </row>
    <row r="209" spans="11:12" x14ac:dyDescent="0.4">
      <c r="K209" s="7">
        <v>207</v>
      </c>
      <c r="L209" s="65">
        <v>-4.2632564145606011E-14</v>
      </c>
    </row>
    <row r="210" spans="11:12" x14ac:dyDescent="0.4">
      <c r="K210" s="7">
        <v>208</v>
      </c>
      <c r="L210" s="65">
        <v>-45.500000000000043</v>
      </c>
    </row>
    <row r="211" spans="11:12" x14ac:dyDescent="0.4">
      <c r="K211" s="7">
        <v>209</v>
      </c>
      <c r="L211" s="65">
        <v>-7.4000000000000412</v>
      </c>
    </row>
    <row r="212" spans="11:12" x14ac:dyDescent="0.4">
      <c r="K212" s="7">
        <v>210</v>
      </c>
      <c r="L212" s="65">
        <v>-4.0856207306205761E-14</v>
      </c>
    </row>
    <row r="213" spans="11:12" x14ac:dyDescent="0.4">
      <c r="K213" s="7">
        <v>211</v>
      </c>
      <c r="L213" s="65">
        <v>-31.80000000000004</v>
      </c>
    </row>
    <row r="214" spans="11:12" x14ac:dyDescent="0.4">
      <c r="K214" s="7">
        <v>212</v>
      </c>
      <c r="L214" s="65">
        <v>-26.30000000000004</v>
      </c>
    </row>
    <row r="215" spans="11:12" x14ac:dyDescent="0.4">
      <c r="K215" s="7">
        <v>213</v>
      </c>
      <c r="L215" s="65">
        <v>-3.907985046680551E-14</v>
      </c>
    </row>
    <row r="216" spans="11:12" x14ac:dyDescent="0.4">
      <c r="K216" s="7">
        <v>214</v>
      </c>
      <c r="L216" s="65">
        <v>22.999999999999961</v>
      </c>
    </row>
    <row r="217" spans="11:12" x14ac:dyDescent="0.4">
      <c r="K217" s="7">
        <v>215</v>
      </c>
      <c r="L217" s="65">
        <v>22.599999999999962</v>
      </c>
    </row>
    <row r="218" spans="11:12" x14ac:dyDescent="0.4">
      <c r="K218" s="7">
        <v>216</v>
      </c>
      <c r="L218" s="65">
        <v>-3.907985046680551E-14</v>
      </c>
    </row>
    <row r="219" spans="11:12" x14ac:dyDescent="0.4">
      <c r="K219" s="7">
        <v>217</v>
      </c>
      <c r="L219" s="65">
        <v>-18.700000000000038</v>
      </c>
    </row>
    <row r="220" spans="11:12" x14ac:dyDescent="0.4">
      <c r="K220" s="7">
        <v>218</v>
      </c>
      <c r="L220" s="65">
        <v>31.399999999999963</v>
      </c>
    </row>
    <row r="221" spans="11:12" x14ac:dyDescent="0.4">
      <c r="K221" s="7">
        <v>219</v>
      </c>
      <c r="L221" s="65">
        <v>-3.5527136788005009E-14</v>
      </c>
    </row>
    <row r="222" spans="11:12" x14ac:dyDescent="0.4">
      <c r="K222" s="7">
        <v>220</v>
      </c>
      <c r="L222" s="65">
        <v>11.499999999999964</v>
      </c>
    </row>
    <row r="223" spans="11:12" x14ac:dyDescent="0.4">
      <c r="K223" s="7">
        <v>221</v>
      </c>
      <c r="L223" s="65">
        <v>-1.3000000000000362</v>
      </c>
    </row>
    <row r="224" spans="11:12" x14ac:dyDescent="0.4">
      <c r="K224" s="7">
        <v>222</v>
      </c>
      <c r="L224" s="65">
        <v>-3.6193270602780103E-14</v>
      </c>
    </row>
    <row r="225" spans="11:12" x14ac:dyDescent="0.4">
      <c r="K225" s="7">
        <v>223</v>
      </c>
      <c r="L225" s="65">
        <v>-41.100000000000037</v>
      </c>
    </row>
    <row r="226" spans="11:12" x14ac:dyDescent="0.4">
      <c r="K226" s="7">
        <v>224</v>
      </c>
      <c r="L226" s="65">
        <v>-1.0000000000000355</v>
      </c>
    </row>
    <row r="227" spans="11:12" x14ac:dyDescent="0.4">
      <c r="K227" s="7">
        <v>225</v>
      </c>
      <c r="L227" s="65">
        <v>-3.5527136788005009E-14</v>
      </c>
    </row>
    <row r="228" spans="11:12" x14ac:dyDescent="0.4">
      <c r="K228" s="7">
        <v>226</v>
      </c>
      <c r="L228" s="65">
        <v>61.899999999999963</v>
      </c>
    </row>
    <row r="229" spans="11:12" x14ac:dyDescent="0.4">
      <c r="K229" s="7">
        <v>227</v>
      </c>
      <c r="L229" s="65">
        <v>16.099999999999966</v>
      </c>
    </row>
    <row r="230" spans="11:12" x14ac:dyDescent="0.4">
      <c r="K230" s="7">
        <v>228</v>
      </c>
      <c r="L230" s="65">
        <v>-3.5527136788005009E-14</v>
      </c>
    </row>
    <row r="231" spans="11:12" x14ac:dyDescent="0.4">
      <c r="K231" s="7">
        <v>229</v>
      </c>
      <c r="L231" s="65">
        <v>-30.700000000000035</v>
      </c>
    </row>
    <row r="232" spans="11:12" x14ac:dyDescent="0.4">
      <c r="K232" s="7">
        <v>230</v>
      </c>
      <c r="L232" s="65">
        <v>-8.9000000000000341</v>
      </c>
    </row>
    <row r="233" spans="11:12" x14ac:dyDescent="0.4">
      <c r="K233" s="7">
        <v>231</v>
      </c>
      <c r="L233" s="65">
        <v>-3.3750779948604759E-14</v>
      </c>
    </row>
    <row r="234" spans="11:12" x14ac:dyDescent="0.4">
      <c r="K234" s="7">
        <v>232</v>
      </c>
      <c r="L234" s="65">
        <v>4.5999999999999659</v>
      </c>
    </row>
    <row r="235" spans="11:12" x14ac:dyDescent="0.4">
      <c r="K235" s="7">
        <v>233</v>
      </c>
      <c r="L235" s="65">
        <v>-43.800000000000033</v>
      </c>
    </row>
    <row r="236" spans="11:12" x14ac:dyDescent="0.4">
      <c r="K236" s="7">
        <v>234</v>
      </c>
      <c r="L236" s="65">
        <v>-3.5527136788005009E-14</v>
      </c>
    </row>
    <row r="237" spans="11:12" x14ac:dyDescent="0.4">
      <c r="K237" s="7">
        <v>235</v>
      </c>
      <c r="L237" s="65">
        <v>2.7999999999999643</v>
      </c>
    </row>
    <row r="238" spans="11:12" x14ac:dyDescent="0.4">
      <c r="K238" s="7">
        <v>236</v>
      </c>
      <c r="L238" s="65">
        <v>-12.900000000000034</v>
      </c>
    </row>
    <row r="239" spans="11:12" x14ac:dyDescent="0.4">
      <c r="K239" s="7">
        <v>237</v>
      </c>
      <c r="L239" s="65">
        <v>-3.3750779948604759E-14</v>
      </c>
    </row>
    <row r="240" spans="11:12" x14ac:dyDescent="0.4">
      <c r="K240" s="7">
        <v>238</v>
      </c>
      <c r="L240" s="65">
        <v>46.899999999999963</v>
      </c>
    </row>
    <row r="241" spans="11:12" x14ac:dyDescent="0.4">
      <c r="K241" s="7">
        <v>239</v>
      </c>
      <c r="L241" s="65">
        <v>49.299999999999962</v>
      </c>
    </row>
    <row r="242" spans="11:12" x14ac:dyDescent="0.4">
      <c r="K242" s="7">
        <v>240</v>
      </c>
      <c r="L242" s="65">
        <v>-3.5527136788005009E-14</v>
      </c>
    </row>
    <row r="243" spans="11:12" x14ac:dyDescent="0.4">
      <c r="K243" s="7">
        <v>241</v>
      </c>
      <c r="L243" s="65">
        <v>10.499999999999964</v>
      </c>
    </row>
    <row r="244" spans="11:12" x14ac:dyDescent="0.4">
      <c r="K244" s="7">
        <v>242</v>
      </c>
      <c r="L244" s="65">
        <v>36.999999999999964</v>
      </c>
    </row>
    <row r="245" spans="11:12" x14ac:dyDescent="0.4">
      <c r="K245" s="7">
        <v>243</v>
      </c>
      <c r="L245" s="65">
        <v>-3.5527136788005009E-14</v>
      </c>
    </row>
    <row r="246" spans="11:12" x14ac:dyDescent="0.4">
      <c r="K246" s="7">
        <v>244</v>
      </c>
      <c r="L246" s="65">
        <v>34.099999999999966</v>
      </c>
    </row>
    <row r="247" spans="11:12" x14ac:dyDescent="0.4">
      <c r="K247" s="7">
        <v>245</v>
      </c>
      <c r="L247" s="65">
        <v>47.799999999999969</v>
      </c>
    </row>
    <row r="248" spans="11:12" x14ac:dyDescent="0.4">
      <c r="K248" s="7">
        <v>246</v>
      </c>
      <c r="L248" s="65">
        <v>-2.8421709430404007E-14</v>
      </c>
    </row>
    <row r="249" spans="11:12" x14ac:dyDescent="0.4">
      <c r="K249" s="7">
        <v>247</v>
      </c>
      <c r="L249" s="65">
        <v>-47.300000000000026</v>
      </c>
    </row>
    <row r="250" spans="11:12" x14ac:dyDescent="0.4">
      <c r="K250" s="7">
        <v>248</v>
      </c>
      <c r="L250" s="65">
        <v>-42.700000000000024</v>
      </c>
    </row>
    <row r="251" spans="11:12" x14ac:dyDescent="0.4">
      <c r="K251" s="7">
        <v>249</v>
      </c>
      <c r="L251" s="65">
        <v>-2.1316282072803006E-14</v>
      </c>
    </row>
    <row r="252" spans="11:12" x14ac:dyDescent="0.4">
      <c r="K252" s="7">
        <v>250</v>
      </c>
      <c r="L252" s="65">
        <v>-32.300000000000018</v>
      </c>
    </row>
    <row r="253" spans="11:12" x14ac:dyDescent="0.4">
      <c r="K253" s="7">
        <v>251</v>
      </c>
      <c r="L253" s="65">
        <v>-5.2000000000000171</v>
      </c>
    </row>
    <row r="254" spans="11:12" x14ac:dyDescent="0.4">
      <c r="K254" s="7">
        <v>252</v>
      </c>
      <c r="L254" s="65">
        <v>-1.6875389974302379E-14</v>
      </c>
    </row>
    <row r="255" spans="11:12" x14ac:dyDescent="0.4">
      <c r="K255" s="7">
        <v>253</v>
      </c>
      <c r="L255" s="65">
        <v>-2.9000000000000168</v>
      </c>
    </row>
    <row r="256" spans="11:12" x14ac:dyDescent="0.4">
      <c r="K256" s="7">
        <v>254</v>
      </c>
      <c r="L256" s="65">
        <v>15.099999999999984</v>
      </c>
    </row>
    <row r="257" spans="11:12" x14ac:dyDescent="0.4">
      <c r="K257" s="7">
        <v>255</v>
      </c>
      <c r="L257" s="65">
        <v>-1.5987211554602254E-14</v>
      </c>
    </row>
    <row r="258" spans="11:12" x14ac:dyDescent="0.4">
      <c r="K258" s="7">
        <v>256</v>
      </c>
      <c r="L258" s="65">
        <v>-45.100000000000016</v>
      </c>
    </row>
    <row r="259" spans="11:12" x14ac:dyDescent="0.4">
      <c r="K259" s="7">
        <v>257</v>
      </c>
      <c r="L259" s="65">
        <v>8.3999999999999844</v>
      </c>
    </row>
    <row r="260" spans="11:12" x14ac:dyDescent="0.4">
      <c r="K260" s="7">
        <v>258</v>
      </c>
      <c r="L260" s="65">
        <v>-1.5987211554602254E-14</v>
      </c>
    </row>
    <row r="261" spans="11:12" x14ac:dyDescent="0.4">
      <c r="K261" s="7">
        <v>259</v>
      </c>
      <c r="L261" s="65">
        <v>-27.500000000000014</v>
      </c>
    </row>
    <row r="262" spans="11:12" x14ac:dyDescent="0.4">
      <c r="K262" s="7">
        <v>260</v>
      </c>
      <c r="L262" s="65">
        <v>-7.0000000000000142</v>
      </c>
    </row>
    <row r="263" spans="11:12" x14ac:dyDescent="0.4">
      <c r="K263" s="7">
        <v>261</v>
      </c>
      <c r="L263" s="65">
        <v>-1.4210854715202004E-14</v>
      </c>
    </row>
    <row r="264" spans="11:12" x14ac:dyDescent="0.4">
      <c r="K264" s="7">
        <v>262</v>
      </c>
      <c r="L264" s="65">
        <v>6.0999999999999854</v>
      </c>
    </row>
    <row r="265" spans="11:12" x14ac:dyDescent="0.4">
      <c r="K265" s="7">
        <v>263</v>
      </c>
      <c r="L265" s="65">
        <v>-26.100000000000016</v>
      </c>
    </row>
    <row r="266" spans="11:12" x14ac:dyDescent="0.4">
      <c r="K266" s="7">
        <v>264</v>
      </c>
      <c r="L266" s="65">
        <v>-1.4210854715202004E-14</v>
      </c>
    </row>
    <row r="267" spans="11:12" x14ac:dyDescent="0.4">
      <c r="K267" s="7">
        <v>265</v>
      </c>
      <c r="L267" s="65">
        <v>14.099999999999985</v>
      </c>
    </row>
    <row r="268" spans="11:12" x14ac:dyDescent="0.4">
      <c r="K268" s="7">
        <v>266</v>
      </c>
      <c r="L268" s="65">
        <v>16.499999999999986</v>
      </c>
    </row>
    <row r="269" spans="11:12" x14ac:dyDescent="0.4">
      <c r="K269" s="7">
        <v>267</v>
      </c>
      <c r="L269" s="65">
        <v>-1.4210854715202004E-14</v>
      </c>
    </row>
    <row r="270" spans="11:12" x14ac:dyDescent="0.4">
      <c r="K270" s="7">
        <v>268</v>
      </c>
      <c r="L270" s="65">
        <v>4.4999999999999858</v>
      </c>
    </row>
    <row r="271" spans="11:12" x14ac:dyDescent="0.4">
      <c r="K271" s="7">
        <v>269</v>
      </c>
      <c r="L271" s="65">
        <v>-21.100000000000016</v>
      </c>
    </row>
    <row r="272" spans="11:12" x14ac:dyDescent="0.4">
      <c r="K272" s="7">
        <v>270</v>
      </c>
      <c r="L272" s="65">
        <v>-1.4210854715202004E-14</v>
      </c>
    </row>
    <row r="273" spans="11:12" x14ac:dyDescent="0.4">
      <c r="K273" s="7">
        <v>271</v>
      </c>
      <c r="L273" s="65">
        <v>-2.1000000000000143</v>
      </c>
    </row>
    <row r="274" spans="11:12" x14ac:dyDescent="0.4">
      <c r="K274" s="7">
        <v>272</v>
      </c>
      <c r="L274" s="65">
        <v>-28.100000000000016</v>
      </c>
    </row>
    <row r="275" spans="11:12" x14ac:dyDescent="0.4">
      <c r="K275" s="7">
        <v>273</v>
      </c>
      <c r="L275" s="65">
        <v>-1.4210854715202004E-14</v>
      </c>
    </row>
    <row r="276" spans="11:12" x14ac:dyDescent="0.4">
      <c r="K276" s="7">
        <v>274</v>
      </c>
      <c r="L276" s="65">
        <v>0.79999999999998583</v>
      </c>
    </row>
    <row r="277" spans="11:12" x14ac:dyDescent="0.4">
      <c r="K277" s="7">
        <v>275</v>
      </c>
      <c r="L277" s="65">
        <v>-26.200000000000014</v>
      </c>
    </row>
    <row r="278" spans="11:12" x14ac:dyDescent="0.4">
      <c r="K278" s="7">
        <v>276</v>
      </c>
      <c r="L278" s="65">
        <v>-1.4210854715202004E-14</v>
      </c>
    </row>
    <row r="279" spans="11:12" x14ac:dyDescent="0.4">
      <c r="K279" s="7">
        <v>277</v>
      </c>
      <c r="L279" s="65">
        <v>-5.5000000000000142</v>
      </c>
    </row>
    <row r="280" spans="11:12" x14ac:dyDescent="0.4">
      <c r="K280" s="7">
        <v>278</v>
      </c>
      <c r="L280" s="65">
        <v>-22.300000000000015</v>
      </c>
    </row>
    <row r="281" spans="11:12" x14ac:dyDescent="0.4">
      <c r="K281" s="7">
        <v>279</v>
      </c>
      <c r="L281" s="65">
        <v>-1.4210854715202004E-14</v>
      </c>
    </row>
    <row r="282" spans="11:12" x14ac:dyDescent="0.4">
      <c r="K282" s="7">
        <v>280</v>
      </c>
      <c r="L282" s="65">
        <v>47.399999999999984</v>
      </c>
    </row>
    <row r="283" spans="11:12" x14ac:dyDescent="0.4">
      <c r="K283" s="7">
        <v>281</v>
      </c>
      <c r="L283" s="65">
        <v>51.499999999999986</v>
      </c>
    </row>
    <row r="284" spans="11:12" x14ac:dyDescent="0.4">
      <c r="K284" s="7">
        <v>282</v>
      </c>
      <c r="L284" s="65">
        <v>-1.4210854715202004E-14</v>
      </c>
    </row>
    <row r="285" spans="11:12" x14ac:dyDescent="0.4">
      <c r="K285" s="7">
        <v>283</v>
      </c>
      <c r="L285" s="65">
        <v>6.7999999999999856</v>
      </c>
    </row>
    <row r="286" spans="11:12" x14ac:dyDescent="0.4">
      <c r="K286" s="7">
        <v>284</v>
      </c>
      <c r="L286" s="65">
        <v>-24.500000000000014</v>
      </c>
    </row>
    <row r="287" spans="11:12" x14ac:dyDescent="0.4">
      <c r="K287" s="7">
        <v>285</v>
      </c>
      <c r="L287" s="65">
        <v>-1.4210854715202004E-14</v>
      </c>
    </row>
    <row r="288" spans="11:12" x14ac:dyDescent="0.4">
      <c r="K288" s="7">
        <v>286</v>
      </c>
      <c r="L288" s="65">
        <v>6.7999999999999856</v>
      </c>
    </row>
    <row r="289" spans="11:12" x14ac:dyDescent="0.4">
      <c r="K289" s="7">
        <v>287</v>
      </c>
      <c r="L289" s="65">
        <v>31.599999999999987</v>
      </c>
    </row>
    <row r="290" spans="11:12" x14ac:dyDescent="0.4">
      <c r="K290" s="7">
        <v>288</v>
      </c>
      <c r="L290" s="65">
        <v>-1.4210854715202004E-14</v>
      </c>
    </row>
    <row r="291" spans="11:12" x14ac:dyDescent="0.4">
      <c r="K291" s="7">
        <v>289</v>
      </c>
      <c r="L291" s="65">
        <v>-16.100000000000016</v>
      </c>
    </row>
    <row r="292" spans="11:12" x14ac:dyDescent="0.4">
      <c r="K292" s="7">
        <v>290</v>
      </c>
      <c r="L292" s="65">
        <v>26.899999999999984</v>
      </c>
    </row>
    <row r="293" spans="11:12" x14ac:dyDescent="0.4">
      <c r="K293" s="7">
        <v>291</v>
      </c>
      <c r="L293" s="65">
        <v>-1.4210854715202004E-14</v>
      </c>
    </row>
    <row r="294" spans="11:12" x14ac:dyDescent="0.4">
      <c r="K294" s="7">
        <v>292</v>
      </c>
      <c r="L294" s="65">
        <v>6.5999999999999854</v>
      </c>
    </row>
    <row r="295" spans="11:12" x14ac:dyDescent="0.4">
      <c r="K295" s="7">
        <v>293</v>
      </c>
      <c r="L295" s="65">
        <v>28.799999999999983</v>
      </c>
    </row>
    <row r="296" spans="11:12" x14ac:dyDescent="0.4">
      <c r="K296" s="7">
        <v>294</v>
      </c>
      <c r="L296" s="65">
        <v>-1.7763568394002505E-14</v>
      </c>
    </row>
    <row r="297" spans="11:12" x14ac:dyDescent="0.4">
      <c r="K297" s="7">
        <v>295</v>
      </c>
      <c r="L297" s="65">
        <v>4.3999999999999826</v>
      </c>
    </row>
    <row r="298" spans="11:12" x14ac:dyDescent="0.4">
      <c r="K298" s="7">
        <v>296</v>
      </c>
      <c r="L298" s="65">
        <v>20.299999999999983</v>
      </c>
    </row>
    <row r="299" spans="11:12" x14ac:dyDescent="0.4">
      <c r="K299" s="7">
        <v>297</v>
      </c>
      <c r="L299" s="65">
        <v>-1.7763568394002505E-14</v>
      </c>
    </row>
    <row r="300" spans="11:12" x14ac:dyDescent="0.4">
      <c r="K300" s="7">
        <v>298</v>
      </c>
      <c r="L300" s="65">
        <v>18.299999999999983</v>
      </c>
    </row>
    <row r="301" spans="11:12" x14ac:dyDescent="0.4">
      <c r="K301" s="7">
        <v>299</v>
      </c>
      <c r="L301" s="65">
        <v>16.699999999999982</v>
      </c>
    </row>
    <row r="302" spans="11:12" x14ac:dyDescent="0.4">
      <c r="K302" s="7">
        <v>300</v>
      </c>
      <c r="L302" s="65">
        <v>-1.7763568394002505E-14</v>
      </c>
    </row>
    <row r="303" spans="11:12" x14ac:dyDescent="0.4">
      <c r="K303" s="7">
        <v>301</v>
      </c>
      <c r="L303" s="65">
        <v>19.199999999999982</v>
      </c>
    </row>
    <row r="304" spans="11:12" x14ac:dyDescent="0.4">
      <c r="K304" s="7">
        <v>302</v>
      </c>
      <c r="L304" s="65">
        <v>27.799999999999983</v>
      </c>
    </row>
    <row r="305" spans="11:12" x14ac:dyDescent="0.4">
      <c r="K305" s="7">
        <v>303</v>
      </c>
      <c r="L305" s="65">
        <v>-1.7763568394002505E-14</v>
      </c>
    </row>
    <row r="306" spans="11:12" x14ac:dyDescent="0.4">
      <c r="K306" s="7">
        <v>304</v>
      </c>
      <c r="L306" s="65">
        <v>12.399999999999983</v>
      </c>
    </row>
    <row r="307" spans="11:12" x14ac:dyDescent="0.4">
      <c r="K307" s="7">
        <v>305</v>
      </c>
      <c r="L307" s="65">
        <v>12.999999999999982</v>
      </c>
    </row>
    <row r="308" spans="11:12" x14ac:dyDescent="0.4">
      <c r="K308" s="7">
        <v>306</v>
      </c>
      <c r="L308" s="65">
        <v>-1.7763568394002505E-14</v>
      </c>
    </row>
    <row r="309" spans="11:12" x14ac:dyDescent="0.4">
      <c r="K309" s="7">
        <v>307</v>
      </c>
      <c r="L309" s="65">
        <v>61.499999999999986</v>
      </c>
    </row>
    <row r="310" spans="11:12" x14ac:dyDescent="0.4">
      <c r="K310" s="7">
        <v>308</v>
      </c>
      <c r="L310" s="65">
        <v>8.7999999999999829</v>
      </c>
    </row>
    <row r="311" spans="11:12" x14ac:dyDescent="0.4">
      <c r="K311" s="7">
        <v>309</v>
      </c>
      <c r="L311" s="65">
        <v>-1.7763568394002505E-14</v>
      </c>
    </row>
    <row r="312" spans="11:12" x14ac:dyDescent="0.4">
      <c r="K312" s="7">
        <v>310</v>
      </c>
      <c r="L312" s="65">
        <v>-2.0000000000000178</v>
      </c>
    </row>
    <row r="313" spans="11:12" x14ac:dyDescent="0.4">
      <c r="K313" s="7">
        <v>311</v>
      </c>
      <c r="L313" s="65">
        <v>35.199999999999989</v>
      </c>
    </row>
    <row r="314" spans="11:12" x14ac:dyDescent="0.4">
      <c r="K314" s="7">
        <v>312</v>
      </c>
      <c r="L314" s="65">
        <v>-1.4210854715202004E-14</v>
      </c>
    </row>
    <row r="315" spans="11:12" x14ac:dyDescent="0.4">
      <c r="K315" s="7">
        <v>313</v>
      </c>
      <c r="L315" s="65">
        <v>30.499999999999986</v>
      </c>
    </row>
    <row r="316" spans="11:12" x14ac:dyDescent="0.4">
      <c r="K316" s="7">
        <v>314</v>
      </c>
      <c r="L316" s="65">
        <v>34.899999999999984</v>
      </c>
    </row>
    <row r="317" spans="11:12" x14ac:dyDescent="0.4">
      <c r="K317" s="7">
        <v>315</v>
      </c>
      <c r="L317" s="65">
        <v>-1.4210854715202004E-14</v>
      </c>
    </row>
    <row r="318" spans="11:12" x14ac:dyDescent="0.4">
      <c r="K318" s="7">
        <v>316</v>
      </c>
      <c r="L318" s="65">
        <v>12.199999999999985</v>
      </c>
    </row>
    <row r="319" spans="11:12" x14ac:dyDescent="0.4">
      <c r="K319" s="7">
        <v>317</v>
      </c>
      <c r="L319" s="65">
        <v>-40.600000000000009</v>
      </c>
    </row>
    <row r="320" spans="11:12" x14ac:dyDescent="0.4">
      <c r="K320" s="7">
        <v>318</v>
      </c>
      <c r="L320" s="65">
        <v>-7.1054273576010019E-15</v>
      </c>
    </row>
    <row r="321" spans="11:12" x14ac:dyDescent="0.4">
      <c r="K321" s="7">
        <v>319</v>
      </c>
      <c r="L321" s="65">
        <v>32.399999999999991</v>
      </c>
    </row>
    <row r="322" spans="11:12" x14ac:dyDescent="0.4">
      <c r="K322" s="7">
        <v>320</v>
      </c>
      <c r="L322" s="65">
        <v>47.999999999999993</v>
      </c>
    </row>
    <row r="323" spans="11:12" x14ac:dyDescent="0.4">
      <c r="K323" s="7">
        <v>321</v>
      </c>
      <c r="L323" s="65">
        <v>-7.1054273576010019E-15</v>
      </c>
    </row>
    <row r="324" spans="11:12" x14ac:dyDescent="0.4">
      <c r="K324" s="7">
        <v>322</v>
      </c>
      <c r="L324" s="65">
        <v>55.099999999999994</v>
      </c>
    </row>
    <row r="325" spans="11:12" x14ac:dyDescent="0.4">
      <c r="K325" s="7">
        <v>323</v>
      </c>
      <c r="L325" s="65">
        <v>35.099999999999994</v>
      </c>
    </row>
    <row r="326" spans="11:12" x14ac:dyDescent="0.4">
      <c r="K326" s="7">
        <v>324</v>
      </c>
      <c r="L326" s="65">
        <v>-7.1054273576010019E-15</v>
      </c>
    </row>
    <row r="327" spans="11:12" x14ac:dyDescent="0.4">
      <c r="K327" s="7">
        <v>325</v>
      </c>
      <c r="L327" s="65">
        <v>40.899999999999991</v>
      </c>
    </row>
    <row r="328" spans="11:12" x14ac:dyDescent="0.4">
      <c r="K328" s="7">
        <v>326</v>
      </c>
      <c r="L328" s="65">
        <v>31.699999999999992</v>
      </c>
    </row>
    <row r="329" spans="11:12" x14ac:dyDescent="0.4">
      <c r="K329" s="7">
        <v>327</v>
      </c>
      <c r="L329" s="65">
        <v>-7.1054273576010019E-15</v>
      </c>
    </row>
    <row r="330" spans="11:12" x14ac:dyDescent="0.4">
      <c r="K330" s="7">
        <v>328</v>
      </c>
      <c r="L330" s="65">
        <v>-1.400000000000007</v>
      </c>
    </row>
    <row r="331" spans="11:12" x14ac:dyDescent="0.4">
      <c r="K331" s="7">
        <v>329</v>
      </c>
      <c r="L331" s="65">
        <v>-18.400000000000006</v>
      </c>
    </row>
    <row r="332" spans="11:12" x14ac:dyDescent="0.4">
      <c r="K332" s="7">
        <v>330</v>
      </c>
      <c r="L332" s="65">
        <v>-7.1054273576010019E-15</v>
      </c>
    </row>
    <row r="333" spans="11:12" x14ac:dyDescent="0.4">
      <c r="K333" s="7">
        <v>331</v>
      </c>
      <c r="L333" s="65">
        <v>-8.7000000000000064</v>
      </c>
    </row>
    <row r="334" spans="11:12" x14ac:dyDescent="0.4">
      <c r="K334" s="7">
        <v>332</v>
      </c>
      <c r="L334" s="65">
        <v>-35.500000000000007</v>
      </c>
    </row>
    <row r="335" spans="11:12" x14ac:dyDescent="0.4">
      <c r="K335" s="7">
        <v>333</v>
      </c>
      <c r="L335" s="65">
        <v>-7.1054273576010019E-15</v>
      </c>
    </row>
    <row r="336" spans="11:12" x14ac:dyDescent="0.4">
      <c r="K336" s="7">
        <v>334</v>
      </c>
      <c r="L336" s="65">
        <v>28.799999999999994</v>
      </c>
    </row>
    <row r="337" spans="11:12" x14ac:dyDescent="0.4">
      <c r="K337" s="7">
        <v>335</v>
      </c>
      <c r="L337" s="65">
        <v>41.399999999999991</v>
      </c>
    </row>
    <row r="338" spans="11:12" x14ac:dyDescent="0.4">
      <c r="K338" s="7">
        <v>336</v>
      </c>
      <c r="L338" s="65">
        <v>-7.1054273576010019E-15</v>
      </c>
    </row>
    <row r="339" spans="11:12" x14ac:dyDescent="0.4">
      <c r="K339" s="7">
        <v>337</v>
      </c>
      <c r="L339" s="65">
        <v>12.599999999999993</v>
      </c>
    </row>
    <row r="340" spans="11:12" x14ac:dyDescent="0.4">
      <c r="K340" s="7">
        <v>338</v>
      </c>
      <c r="L340" s="65">
        <v>-28.700000000000003</v>
      </c>
    </row>
    <row r="341" spans="11:12" x14ac:dyDescent="0.4">
      <c r="K341" s="7">
        <v>339</v>
      </c>
      <c r="L341" s="65">
        <v>-3.5527136788005009E-15</v>
      </c>
    </row>
    <row r="342" spans="11:12" x14ac:dyDescent="0.4">
      <c r="K342" s="7">
        <v>340</v>
      </c>
      <c r="L342" s="65">
        <v>14.899999999999997</v>
      </c>
    </row>
    <row r="343" spans="11:12" x14ac:dyDescent="0.4">
      <c r="K343" s="7">
        <v>341</v>
      </c>
      <c r="L343" s="65">
        <v>42.699999999999996</v>
      </c>
    </row>
    <row r="344" spans="11:12" x14ac:dyDescent="0.4">
      <c r="K344" s="7">
        <v>342</v>
      </c>
      <c r="L344" s="65">
        <v>-7.1054273576010019E-15</v>
      </c>
    </row>
    <row r="345" spans="11:12" x14ac:dyDescent="0.4">
      <c r="K345" s="7">
        <v>343</v>
      </c>
      <c r="L345" s="65">
        <v>-24.000000000000007</v>
      </c>
    </row>
    <row r="346" spans="11:12" x14ac:dyDescent="0.4">
      <c r="K346" s="7">
        <v>344</v>
      </c>
      <c r="L346" s="65">
        <v>-25.600000000000009</v>
      </c>
    </row>
    <row r="347" spans="11:12" x14ac:dyDescent="0.4">
      <c r="K347" s="7">
        <v>345</v>
      </c>
      <c r="L347" s="65">
        <v>-7.1054273576010019E-15</v>
      </c>
    </row>
    <row r="348" spans="11:12" x14ac:dyDescent="0.4">
      <c r="K348" s="7">
        <v>346</v>
      </c>
      <c r="L348" s="65">
        <v>3.9999999999999929</v>
      </c>
    </row>
    <row r="349" spans="11:12" x14ac:dyDescent="0.4">
      <c r="K349" s="7">
        <v>347</v>
      </c>
      <c r="L349" s="65">
        <v>-24.100000000000009</v>
      </c>
    </row>
    <row r="350" spans="11:12" x14ac:dyDescent="0.4">
      <c r="K350" s="7">
        <v>348</v>
      </c>
      <c r="L350" s="65">
        <v>-7.1054273576010019E-15</v>
      </c>
    </row>
    <row r="351" spans="11:12" x14ac:dyDescent="0.4">
      <c r="K351" s="7">
        <v>349</v>
      </c>
      <c r="L351" s="65">
        <v>-4.5000000000000071</v>
      </c>
    </row>
    <row r="352" spans="11:12" x14ac:dyDescent="0.4">
      <c r="K352" s="7">
        <v>350</v>
      </c>
      <c r="L352" s="65">
        <v>-34.500000000000007</v>
      </c>
    </row>
    <row r="353" spans="11:12" x14ac:dyDescent="0.4">
      <c r="K353" s="7">
        <v>351</v>
      </c>
      <c r="L353" s="65">
        <v>-7.1054273576010019E-15</v>
      </c>
    </row>
    <row r="354" spans="11:12" x14ac:dyDescent="0.4">
      <c r="K354" s="7">
        <v>352</v>
      </c>
      <c r="L354" s="65">
        <v>-30.500000000000007</v>
      </c>
    </row>
    <row r="355" spans="11:12" x14ac:dyDescent="0.4">
      <c r="K355" s="7">
        <v>353</v>
      </c>
      <c r="L355" s="65">
        <v>-33.800000000000004</v>
      </c>
    </row>
    <row r="356" spans="11:12" x14ac:dyDescent="0.4">
      <c r="K356" s="7">
        <v>354</v>
      </c>
      <c r="L356" s="65">
        <v>-7.1054273576010019E-15</v>
      </c>
    </row>
    <row r="357" spans="11:12" x14ac:dyDescent="0.4">
      <c r="K357" s="7">
        <v>355</v>
      </c>
      <c r="L357" s="65">
        <v>-31.300000000000008</v>
      </c>
    </row>
    <row r="358" spans="11:12" x14ac:dyDescent="0.4">
      <c r="K358" s="7">
        <v>356</v>
      </c>
      <c r="L358" s="65">
        <v>-6.5000000000000071</v>
      </c>
    </row>
    <row r="359" spans="11:12" x14ac:dyDescent="0.4">
      <c r="K359" s="7">
        <v>357</v>
      </c>
      <c r="L359" s="65">
        <v>-7.1054273576010019E-15</v>
      </c>
    </row>
    <row r="360" spans="11:12" x14ac:dyDescent="0.4">
      <c r="K360" s="7">
        <v>358</v>
      </c>
      <c r="L360" s="65">
        <v>-22.400000000000006</v>
      </c>
    </row>
    <row r="361" spans="11:12" x14ac:dyDescent="0.4">
      <c r="K361" s="7">
        <v>359</v>
      </c>
      <c r="L361" s="65">
        <v>3.0999999999999943</v>
      </c>
    </row>
    <row r="362" spans="11:12" x14ac:dyDescent="0.4">
      <c r="K362" s="7">
        <v>360</v>
      </c>
      <c r="L362" s="65">
        <v>-5.773159728050814E-15</v>
      </c>
    </row>
    <row r="363" spans="11:12" x14ac:dyDescent="0.4">
      <c r="K363" s="7">
        <v>361</v>
      </c>
      <c r="L363" s="65">
        <v>1.2999999999999943</v>
      </c>
    </row>
    <row r="364" spans="11:12" x14ac:dyDescent="0.4">
      <c r="K364" s="7">
        <v>362</v>
      </c>
      <c r="L364" s="65">
        <v>26.099999999999994</v>
      </c>
    </row>
    <row r="365" spans="11:12" x14ac:dyDescent="0.4">
      <c r="K365" s="7">
        <v>363</v>
      </c>
      <c r="L365" s="65">
        <v>-7.1054273576010019E-15</v>
      </c>
    </row>
    <row r="366" spans="11:12" x14ac:dyDescent="0.4">
      <c r="K366" s="7">
        <v>364</v>
      </c>
      <c r="L366" s="65">
        <v>5.5999999999999925</v>
      </c>
    </row>
    <row r="367" spans="11:12" x14ac:dyDescent="0.4">
      <c r="K367" s="7">
        <v>365</v>
      </c>
      <c r="L367" s="65">
        <v>-19.400000000000006</v>
      </c>
    </row>
    <row r="368" spans="11:12" x14ac:dyDescent="0.4">
      <c r="K368" s="7">
        <v>366</v>
      </c>
      <c r="L368" s="65">
        <v>-7.1054273576010019E-15</v>
      </c>
    </row>
    <row r="369" spans="11:12" x14ac:dyDescent="0.4">
      <c r="K369" s="7">
        <v>367</v>
      </c>
      <c r="L369" s="65">
        <v>14.799999999999994</v>
      </c>
    </row>
    <row r="370" spans="11:12" x14ac:dyDescent="0.4">
      <c r="K370" s="7">
        <v>368</v>
      </c>
      <c r="L370" s="65">
        <v>14.199999999999994</v>
      </c>
    </row>
    <row r="371" spans="11:12" x14ac:dyDescent="0.4">
      <c r="K371" s="7">
        <v>369</v>
      </c>
      <c r="L371" s="65">
        <v>-5.3290705182007514E-15</v>
      </c>
    </row>
    <row r="372" spans="11:12" x14ac:dyDescent="0.4">
      <c r="K372" s="7">
        <v>370</v>
      </c>
      <c r="L372" s="65">
        <v>-42.300000000000004</v>
      </c>
    </row>
    <row r="373" spans="11:12" x14ac:dyDescent="0.4">
      <c r="K373" s="7">
        <v>371</v>
      </c>
      <c r="L373" s="65">
        <v>-49.1</v>
      </c>
    </row>
    <row r="374" spans="11:12" x14ac:dyDescent="0.4">
      <c r="K374" s="7">
        <v>372</v>
      </c>
      <c r="L374" s="65">
        <v>0</v>
      </c>
    </row>
    <row r="375" spans="11:12" x14ac:dyDescent="0.4">
      <c r="K375" s="7">
        <v>373</v>
      </c>
      <c r="L375" s="65">
        <v>11.4</v>
      </c>
    </row>
    <row r="376" spans="11:12" x14ac:dyDescent="0.4">
      <c r="K376" s="7">
        <v>374</v>
      </c>
      <c r="L376" s="65">
        <v>53.4</v>
      </c>
    </row>
    <row r="377" spans="11:12" x14ac:dyDescent="0.4">
      <c r="K377" s="7">
        <v>375</v>
      </c>
      <c r="L377" s="65">
        <v>0</v>
      </c>
    </row>
    <row r="378" spans="11:12" x14ac:dyDescent="0.4">
      <c r="K378" s="7">
        <v>376</v>
      </c>
      <c r="L378" s="65">
        <v>22.2</v>
      </c>
    </row>
    <row r="379" spans="11:12" x14ac:dyDescent="0.4">
      <c r="K379" s="7">
        <v>377</v>
      </c>
      <c r="L379" s="65">
        <v>-9.4000000000000021</v>
      </c>
    </row>
    <row r="380" spans="11:12" x14ac:dyDescent="0.4">
      <c r="K380" s="7">
        <v>378</v>
      </c>
      <c r="L380" s="65">
        <v>-1.7763568394002505E-15</v>
      </c>
    </row>
    <row r="381" spans="11:12" x14ac:dyDescent="0.4">
      <c r="K381" s="7">
        <v>379</v>
      </c>
      <c r="L381" s="65">
        <v>9.0999999999999979</v>
      </c>
    </row>
    <row r="382" spans="11:12" x14ac:dyDescent="0.4">
      <c r="K382" s="7">
        <v>380</v>
      </c>
      <c r="L382" s="65">
        <v>-20.400000000000002</v>
      </c>
    </row>
    <row r="383" spans="11:12" x14ac:dyDescent="0.4">
      <c r="K383" s="7">
        <v>381</v>
      </c>
      <c r="L383" s="65">
        <v>-3.5527136788005009E-15</v>
      </c>
    </row>
    <row r="384" spans="11:12" x14ac:dyDescent="0.4">
      <c r="K384" s="7">
        <v>382</v>
      </c>
      <c r="L384" s="65">
        <v>-36.100000000000009</v>
      </c>
    </row>
    <row r="385" spans="11:12" x14ac:dyDescent="0.4">
      <c r="K385" s="7">
        <v>383</v>
      </c>
      <c r="L385" s="65">
        <v>-7.3000000000000078</v>
      </c>
    </row>
    <row r="386" spans="11:12" x14ac:dyDescent="0.4">
      <c r="K386" s="7">
        <v>384</v>
      </c>
      <c r="L386" s="65">
        <v>-7.9936057773011271E-15</v>
      </c>
    </row>
    <row r="387" spans="11:12" x14ac:dyDescent="0.4">
      <c r="K387" s="7">
        <v>385</v>
      </c>
      <c r="L387" s="65">
        <v>-3.000000000000008</v>
      </c>
    </row>
    <row r="388" spans="11:12" x14ac:dyDescent="0.4">
      <c r="K388" s="7">
        <v>386</v>
      </c>
      <c r="L388" s="65">
        <v>-31.500000000000007</v>
      </c>
    </row>
    <row r="389" spans="11:12" x14ac:dyDescent="0.4">
      <c r="K389" s="7">
        <v>387</v>
      </c>
      <c r="L389" s="65">
        <v>-7.1054273576010019E-15</v>
      </c>
    </row>
    <row r="390" spans="11:12" x14ac:dyDescent="0.4">
      <c r="K390" s="7">
        <v>388</v>
      </c>
      <c r="L390" s="65">
        <v>32.499999999999993</v>
      </c>
    </row>
    <row r="391" spans="11:12" x14ac:dyDescent="0.4">
      <c r="K391" s="7">
        <v>389</v>
      </c>
      <c r="L391" s="65">
        <v>21.299999999999994</v>
      </c>
    </row>
    <row r="392" spans="11:12" x14ac:dyDescent="0.4">
      <c r="K392" s="7">
        <v>390</v>
      </c>
      <c r="L392" s="65">
        <v>-7.1054273576010019E-15</v>
      </c>
    </row>
    <row r="393" spans="11:12" x14ac:dyDescent="0.4">
      <c r="K393" s="7">
        <v>391</v>
      </c>
      <c r="L393" s="65">
        <v>-22.400000000000006</v>
      </c>
    </row>
    <row r="394" spans="11:12" x14ac:dyDescent="0.4">
      <c r="K394" s="7">
        <v>392</v>
      </c>
      <c r="L394" s="65">
        <v>-69.100000000000009</v>
      </c>
    </row>
    <row r="395" spans="11:12" x14ac:dyDescent="0.4">
      <c r="K395" s="7">
        <v>393</v>
      </c>
      <c r="L395" s="65">
        <v>-1.4210854715202004E-14</v>
      </c>
    </row>
    <row r="396" spans="11:12" x14ac:dyDescent="0.4">
      <c r="K396" s="7">
        <v>394</v>
      </c>
      <c r="L396" s="65">
        <v>15.199999999999985</v>
      </c>
    </row>
    <row r="397" spans="11:12" x14ac:dyDescent="0.4">
      <c r="K397" s="7">
        <v>395</v>
      </c>
      <c r="L397" s="65">
        <v>18.299999999999986</v>
      </c>
    </row>
    <row r="398" spans="11:12" x14ac:dyDescent="0.4">
      <c r="K398" s="7">
        <v>396</v>
      </c>
      <c r="L398" s="65">
        <v>-1.4210854715202004E-14</v>
      </c>
    </row>
    <row r="399" spans="11:12" x14ac:dyDescent="0.4">
      <c r="K399" s="7">
        <v>397</v>
      </c>
      <c r="L399" s="65">
        <v>1.5999999999999859</v>
      </c>
    </row>
    <row r="400" spans="11:12" x14ac:dyDescent="0.4">
      <c r="K400" s="7">
        <v>398</v>
      </c>
      <c r="L400" s="65">
        <v>-48.900000000000013</v>
      </c>
    </row>
    <row r="401" spans="11:12" x14ac:dyDescent="0.4">
      <c r="K401" s="7">
        <v>399</v>
      </c>
      <c r="L401" s="65">
        <v>-1.4210854715202004E-14</v>
      </c>
    </row>
    <row r="402" spans="11:12" x14ac:dyDescent="0.4">
      <c r="K402" s="7">
        <v>400</v>
      </c>
      <c r="L402" s="65">
        <v>26.799999999999986</v>
      </c>
    </row>
    <row r="403" spans="11:12" x14ac:dyDescent="0.4">
      <c r="K403" s="7">
        <v>401</v>
      </c>
      <c r="L403" s="65">
        <v>40.099999999999987</v>
      </c>
    </row>
    <row r="404" spans="11:12" x14ac:dyDescent="0.4">
      <c r="K404" s="7">
        <v>402</v>
      </c>
      <c r="L404" s="65">
        <v>-1.4210854715202004E-14</v>
      </c>
    </row>
    <row r="405" spans="11:12" x14ac:dyDescent="0.4">
      <c r="K405" s="7">
        <v>403</v>
      </c>
      <c r="L405" s="65">
        <v>-21.300000000000015</v>
      </c>
    </row>
    <row r="406" spans="11:12" x14ac:dyDescent="0.4">
      <c r="K406" s="7">
        <v>404</v>
      </c>
      <c r="L406" s="65">
        <v>-4.7000000000000135</v>
      </c>
    </row>
    <row r="407" spans="11:12" x14ac:dyDescent="0.4">
      <c r="K407" s="7">
        <v>405</v>
      </c>
      <c r="L407" s="65">
        <v>-1.3322676295501878E-14</v>
      </c>
    </row>
    <row r="408" spans="11:12" x14ac:dyDescent="0.4">
      <c r="K408" s="7">
        <v>406</v>
      </c>
      <c r="L408" s="65">
        <v>-29.900000000000013</v>
      </c>
    </row>
    <row r="409" spans="11:12" x14ac:dyDescent="0.4">
      <c r="K409" s="7">
        <v>407</v>
      </c>
      <c r="L409" s="65">
        <v>-5.1000000000000121</v>
      </c>
    </row>
    <row r="410" spans="11:12" x14ac:dyDescent="0.4">
      <c r="K410" s="7">
        <v>408</v>
      </c>
      <c r="L410" s="65">
        <v>-1.2434497875801753E-14</v>
      </c>
    </row>
    <row r="411" spans="11:12" x14ac:dyDescent="0.4">
      <c r="K411" s="7">
        <v>409</v>
      </c>
      <c r="L411" s="65">
        <v>-13.800000000000013</v>
      </c>
    </row>
    <row r="412" spans="11:12" x14ac:dyDescent="0.4">
      <c r="K412" s="7">
        <v>410</v>
      </c>
      <c r="L412" s="65">
        <v>-39.300000000000011</v>
      </c>
    </row>
    <row r="413" spans="11:12" x14ac:dyDescent="0.4">
      <c r="K413" s="7">
        <v>411</v>
      </c>
      <c r="L413" s="65">
        <v>-1.4210854715202004E-14</v>
      </c>
    </row>
    <row r="414" spans="11:12" x14ac:dyDescent="0.4">
      <c r="K414" s="7">
        <v>412</v>
      </c>
      <c r="L414" s="65">
        <v>10.899999999999986</v>
      </c>
    </row>
    <row r="415" spans="11:12" x14ac:dyDescent="0.4">
      <c r="K415" s="7">
        <v>413</v>
      </c>
      <c r="L415" s="65">
        <v>55.899999999999984</v>
      </c>
    </row>
    <row r="416" spans="11:12" x14ac:dyDescent="0.4">
      <c r="K416" s="7">
        <v>414</v>
      </c>
      <c r="L416" s="65">
        <v>-1.4210854715202004E-14</v>
      </c>
    </row>
    <row r="417" spans="11:12" x14ac:dyDescent="0.4">
      <c r="K417" s="7">
        <v>415</v>
      </c>
      <c r="L417" s="65">
        <v>5.9999999999999858</v>
      </c>
    </row>
    <row r="418" spans="11:12" x14ac:dyDescent="0.4">
      <c r="K418" s="7">
        <v>416</v>
      </c>
      <c r="L418" s="65">
        <v>-23.600000000000016</v>
      </c>
    </row>
    <row r="419" spans="11:12" x14ac:dyDescent="0.4">
      <c r="K419" s="7">
        <v>417</v>
      </c>
      <c r="L419" s="65">
        <v>-1.4210854715202004E-14</v>
      </c>
    </row>
    <row r="420" spans="11:12" x14ac:dyDescent="0.4">
      <c r="K420" s="7">
        <v>418</v>
      </c>
      <c r="L420" s="65">
        <v>-15.300000000000015</v>
      </c>
    </row>
    <row r="421" spans="11:12" x14ac:dyDescent="0.4">
      <c r="K421" s="7">
        <v>419</v>
      </c>
      <c r="L421" s="65">
        <v>1.7999999999999865</v>
      </c>
    </row>
    <row r="422" spans="11:12" x14ac:dyDescent="0.4">
      <c r="K422" s="7">
        <v>420</v>
      </c>
      <c r="L422" s="65">
        <v>-1.354472090042691E-14</v>
      </c>
    </row>
    <row r="423" spans="11:12" x14ac:dyDescent="0.4">
      <c r="K423" s="7">
        <v>421</v>
      </c>
      <c r="L423" s="65">
        <v>34.599999999999987</v>
      </c>
    </row>
    <row r="424" spans="11:12" x14ac:dyDescent="0.4">
      <c r="K424" s="7">
        <v>422</v>
      </c>
      <c r="L424" s="65">
        <v>-19.900000000000013</v>
      </c>
    </row>
    <row r="425" spans="11:12" x14ac:dyDescent="0.4">
      <c r="K425" s="7">
        <v>423</v>
      </c>
      <c r="L425" s="65">
        <v>-1.4210854715202004E-14</v>
      </c>
    </row>
    <row r="426" spans="11:12" x14ac:dyDescent="0.4">
      <c r="K426" s="7">
        <v>424</v>
      </c>
      <c r="L426" s="65">
        <v>-6.5000000000000142</v>
      </c>
    </row>
    <row r="427" spans="11:12" x14ac:dyDescent="0.4">
      <c r="K427" s="7">
        <v>425</v>
      </c>
      <c r="L427" s="65">
        <v>36.699999999999989</v>
      </c>
    </row>
    <row r="428" spans="11:12" x14ac:dyDescent="0.4">
      <c r="K428" s="7">
        <v>426</v>
      </c>
      <c r="L428" s="65">
        <v>-1.4210854715202004E-14</v>
      </c>
    </row>
    <row r="429" spans="11:12" x14ac:dyDescent="0.4">
      <c r="K429" s="7">
        <v>427</v>
      </c>
      <c r="L429" s="65">
        <v>-25.300000000000015</v>
      </c>
    </row>
    <row r="430" spans="11:12" x14ac:dyDescent="0.4">
      <c r="K430" s="7">
        <v>428</v>
      </c>
      <c r="L430" s="65">
        <v>-20.600000000000016</v>
      </c>
    </row>
    <row r="431" spans="11:12" x14ac:dyDescent="0.4">
      <c r="K431" s="7">
        <v>429</v>
      </c>
      <c r="L431" s="65">
        <v>-1.4210854715202004E-14</v>
      </c>
    </row>
    <row r="432" spans="11:12" x14ac:dyDescent="0.4">
      <c r="K432" s="7">
        <v>430</v>
      </c>
      <c r="L432" s="65">
        <v>-20.900000000000013</v>
      </c>
    </row>
    <row r="433" spans="11:12" x14ac:dyDescent="0.4">
      <c r="K433" s="7">
        <v>431</v>
      </c>
      <c r="L433" s="65">
        <v>-4.0000000000000142</v>
      </c>
    </row>
    <row r="434" spans="11:12" x14ac:dyDescent="0.4">
      <c r="K434" s="7">
        <v>432</v>
      </c>
      <c r="L434" s="65">
        <v>-1.4210854715202004E-14</v>
      </c>
    </row>
    <row r="435" spans="11:12" x14ac:dyDescent="0.4">
      <c r="K435" s="7">
        <v>433</v>
      </c>
      <c r="L435" s="65">
        <v>16.499999999999986</v>
      </c>
    </row>
    <row r="436" spans="11:12" x14ac:dyDescent="0.4">
      <c r="K436" s="7">
        <v>434</v>
      </c>
      <c r="L436" s="65">
        <v>0.59999999999998543</v>
      </c>
    </row>
    <row r="437" spans="11:12" x14ac:dyDescent="0.4">
      <c r="K437" s="7">
        <v>435</v>
      </c>
      <c r="L437" s="65">
        <v>-1.4543921622589551E-14</v>
      </c>
    </row>
    <row r="438" spans="11:12" x14ac:dyDescent="0.4">
      <c r="K438" s="7">
        <v>436</v>
      </c>
      <c r="L438" s="65">
        <v>3.4999999999999853</v>
      </c>
    </row>
    <row r="439" spans="11:12" x14ac:dyDescent="0.4">
      <c r="K439" s="7">
        <v>437</v>
      </c>
      <c r="L439" s="65">
        <v>38.999999999999986</v>
      </c>
    </row>
    <row r="440" spans="11:12" x14ac:dyDescent="0.4">
      <c r="K440" s="7">
        <v>438</v>
      </c>
      <c r="L440" s="65">
        <v>-1.4210854715202004E-14</v>
      </c>
    </row>
    <row r="441" spans="11:12" x14ac:dyDescent="0.4">
      <c r="K441" s="7">
        <v>439</v>
      </c>
      <c r="L441" s="65">
        <v>-33.000000000000014</v>
      </c>
    </row>
    <row r="442" spans="11:12" x14ac:dyDescent="0.4">
      <c r="K442" s="7">
        <v>440</v>
      </c>
      <c r="L442" s="65">
        <v>45.59999999999998</v>
      </c>
    </row>
    <row r="443" spans="11:12" x14ac:dyDescent="0.4">
      <c r="K443" s="7">
        <v>441</v>
      </c>
      <c r="L443" s="65">
        <v>-2.1316282072803006E-14</v>
      </c>
    </row>
    <row r="444" spans="11:12" x14ac:dyDescent="0.4">
      <c r="K444" s="7">
        <v>442</v>
      </c>
      <c r="L444" s="65">
        <v>-24.100000000000023</v>
      </c>
    </row>
    <row r="445" spans="11:12" x14ac:dyDescent="0.4">
      <c r="K445" s="7">
        <v>443</v>
      </c>
      <c r="L445" s="65">
        <v>-23.800000000000022</v>
      </c>
    </row>
    <row r="446" spans="11:12" x14ac:dyDescent="0.4">
      <c r="K446" s="7">
        <v>444</v>
      </c>
      <c r="L446" s="65">
        <v>-2.1316282072803006E-14</v>
      </c>
    </row>
    <row r="447" spans="11:12" x14ac:dyDescent="0.4">
      <c r="K447" s="7">
        <v>445</v>
      </c>
      <c r="L447" s="65">
        <v>10.299999999999979</v>
      </c>
    </row>
    <row r="448" spans="11:12" x14ac:dyDescent="0.4">
      <c r="K448" s="7">
        <v>446</v>
      </c>
      <c r="L448" s="65">
        <v>45.399999999999977</v>
      </c>
    </row>
    <row r="449" spans="11:12" x14ac:dyDescent="0.4">
      <c r="K449" s="7">
        <v>447</v>
      </c>
      <c r="L449" s="65">
        <v>-2.1316282072803006E-14</v>
      </c>
    </row>
    <row r="450" spans="11:12" x14ac:dyDescent="0.4">
      <c r="K450" s="7">
        <v>448</v>
      </c>
      <c r="L450" s="65">
        <v>26.699999999999978</v>
      </c>
    </row>
    <row r="451" spans="11:12" x14ac:dyDescent="0.4">
      <c r="K451" s="7">
        <v>449</v>
      </c>
      <c r="L451" s="65">
        <v>22.299999999999976</v>
      </c>
    </row>
    <row r="452" spans="11:12" x14ac:dyDescent="0.4">
      <c r="K452" s="7">
        <v>450</v>
      </c>
      <c r="L452" s="65">
        <v>-2.4868995751603507E-14</v>
      </c>
    </row>
    <row r="453" spans="11:12" x14ac:dyDescent="0.4">
      <c r="K453" s="7">
        <v>451</v>
      </c>
      <c r="L453" s="65">
        <v>-28.900000000000023</v>
      </c>
    </row>
    <row r="454" spans="11:12" x14ac:dyDescent="0.4">
      <c r="K454" s="7">
        <v>452</v>
      </c>
      <c r="L454" s="65">
        <v>-43.100000000000023</v>
      </c>
    </row>
    <row r="455" spans="11:12" x14ac:dyDescent="0.4">
      <c r="K455" s="7">
        <v>453</v>
      </c>
      <c r="L455" s="65">
        <v>-2.1316282072803006E-14</v>
      </c>
    </row>
    <row r="456" spans="11:12" x14ac:dyDescent="0.4">
      <c r="K456" s="7">
        <v>454</v>
      </c>
      <c r="L456" s="65">
        <v>21.499999999999979</v>
      </c>
    </row>
    <row r="457" spans="11:12" x14ac:dyDescent="0.4">
      <c r="K457" s="7">
        <v>455</v>
      </c>
      <c r="L457" s="65">
        <v>23.999999999999979</v>
      </c>
    </row>
    <row r="458" spans="11:12" x14ac:dyDescent="0.4">
      <c r="K458" s="7">
        <v>456</v>
      </c>
      <c r="L458" s="65">
        <v>-2.1316282072803006E-14</v>
      </c>
    </row>
    <row r="459" spans="11:12" x14ac:dyDescent="0.4">
      <c r="K459" s="7">
        <v>457</v>
      </c>
      <c r="L459" s="65">
        <v>-25.100000000000023</v>
      </c>
    </row>
    <row r="460" spans="11:12" x14ac:dyDescent="0.4">
      <c r="K460" s="7">
        <v>458</v>
      </c>
      <c r="L460" s="65">
        <v>4.9999999999999787</v>
      </c>
    </row>
    <row r="461" spans="11:12" x14ac:dyDescent="0.4">
      <c r="K461" s="7">
        <v>459</v>
      </c>
      <c r="L461" s="65">
        <v>-2.1316282072803006E-14</v>
      </c>
    </row>
    <row r="462" spans="11:12" x14ac:dyDescent="0.4">
      <c r="K462" s="7">
        <v>460</v>
      </c>
      <c r="L462" s="65">
        <v>2.9999999999999787</v>
      </c>
    </row>
    <row r="463" spans="11:12" x14ac:dyDescent="0.4">
      <c r="K463" s="7">
        <v>461</v>
      </c>
      <c r="L463" s="65">
        <v>37.09999999999998</v>
      </c>
    </row>
    <row r="464" spans="11:12" x14ac:dyDescent="0.4">
      <c r="K464" s="7">
        <v>462</v>
      </c>
      <c r="L464" s="65">
        <v>-2.1316282072803006E-14</v>
      </c>
    </row>
    <row r="465" spans="11:12" x14ac:dyDescent="0.4">
      <c r="K465" s="7">
        <v>463</v>
      </c>
      <c r="L465" s="65">
        <v>-1.9000000000000212</v>
      </c>
    </row>
    <row r="466" spans="11:12" x14ac:dyDescent="0.4">
      <c r="K466" s="7">
        <v>464</v>
      </c>
      <c r="L466" s="65">
        <v>-27.700000000000021</v>
      </c>
    </row>
    <row r="467" spans="11:12" x14ac:dyDescent="0.4">
      <c r="K467" s="7">
        <v>465</v>
      </c>
      <c r="L467" s="65">
        <v>-2.1316282072803006E-14</v>
      </c>
    </row>
    <row r="468" spans="11:12" x14ac:dyDescent="0.4">
      <c r="K468" s="7">
        <v>466</v>
      </c>
      <c r="L468" s="65">
        <v>35.899999999999977</v>
      </c>
    </row>
    <row r="469" spans="11:12" x14ac:dyDescent="0.4">
      <c r="K469" s="7">
        <v>467</v>
      </c>
      <c r="L469" s="65">
        <v>45.199999999999974</v>
      </c>
    </row>
    <row r="470" spans="11:12" x14ac:dyDescent="0.4">
      <c r="K470" s="7">
        <v>468</v>
      </c>
      <c r="L470" s="65">
        <v>-2.8421709430404007E-14</v>
      </c>
    </row>
    <row r="471" spans="11:12" x14ac:dyDescent="0.4">
      <c r="K471" s="7">
        <v>469</v>
      </c>
      <c r="L471" s="65">
        <v>37.39999999999997</v>
      </c>
    </row>
    <row r="472" spans="11:12" x14ac:dyDescent="0.4">
      <c r="K472" s="7">
        <v>470</v>
      </c>
      <c r="L472" s="65">
        <v>59.099999999999966</v>
      </c>
    </row>
    <row r="473" spans="11:12" x14ac:dyDescent="0.4">
      <c r="K473" s="7">
        <v>471</v>
      </c>
      <c r="L473" s="65">
        <v>-3.5527136788005009E-14</v>
      </c>
    </row>
    <row r="474" spans="11:12" x14ac:dyDescent="0.4">
      <c r="K474" s="7">
        <v>472</v>
      </c>
      <c r="L474" s="65">
        <v>-3.5000000000000355</v>
      </c>
    </row>
    <row r="475" spans="11:12" x14ac:dyDescent="0.4">
      <c r="K475" s="7">
        <v>473</v>
      </c>
      <c r="L475" s="65">
        <v>15.999999999999964</v>
      </c>
    </row>
    <row r="476" spans="11:12" x14ac:dyDescent="0.4">
      <c r="K476" s="7">
        <v>474</v>
      </c>
      <c r="L476" s="65">
        <v>-3.5527136788005009E-14</v>
      </c>
    </row>
    <row r="477" spans="11:12" x14ac:dyDescent="0.4">
      <c r="K477" s="7">
        <v>475</v>
      </c>
      <c r="L477" s="65">
        <v>28.099999999999966</v>
      </c>
    </row>
    <row r="478" spans="11:12" x14ac:dyDescent="0.4">
      <c r="K478" s="7">
        <v>476</v>
      </c>
      <c r="L478" s="65">
        <v>41.699999999999967</v>
      </c>
    </row>
    <row r="479" spans="11:12" x14ac:dyDescent="0.4">
      <c r="K479" s="7">
        <v>477</v>
      </c>
      <c r="L479" s="65">
        <v>-3.5527136788005009E-14</v>
      </c>
    </row>
    <row r="480" spans="11:12" x14ac:dyDescent="0.4">
      <c r="K480" s="7">
        <v>478</v>
      </c>
      <c r="L480" s="65">
        <v>51.899999999999963</v>
      </c>
    </row>
    <row r="481" spans="11:12" x14ac:dyDescent="0.4">
      <c r="K481" s="7">
        <v>479</v>
      </c>
      <c r="L481" s="65">
        <v>2.3999999999999631</v>
      </c>
    </row>
    <row r="482" spans="11:12" x14ac:dyDescent="0.4">
      <c r="K482" s="7">
        <v>480</v>
      </c>
      <c r="L482" s="65">
        <v>-3.6859404417555197E-14</v>
      </c>
    </row>
    <row r="483" spans="11:12" x14ac:dyDescent="0.4">
      <c r="K483" s="7">
        <v>481</v>
      </c>
      <c r="L483" s="65">
        <v>-17.100000000000037</v>
      </c>
    </row>
    <row r="484" spans="11:12" x14ac:dyDescent="0.4">
      <c r="K484" s="7">
        <v>482</v>
      </c>
      <c r="L484" s="65">
        <v>-21.900000000000038</v>
      </c>
    </row>
    <row r="485" spans="11:12" x14ac:dyDescent="0.4">
      <c r="K485" s="7">
        <v>483</v>
      </c>
      <c r="L485" s="65">
        <v>-3.907985046680551E-14</v>
      </c>
    </row>
    <row r="486" spans="11:12" x14ac:dyDescent="0.4">
      <c r="K486" s="7">
        <v>484</v>
      </c>
      <c r="L486" s="65">
        <v>-46.100000000000037</v>
      </c>
    </row>
    <row r="487" spans="11:12" x14ac:dyDescent="0.4">
      <c r="K487" s="7">
        <v>485</v>
      </c>
      <c r="L487" s="65">
        <v>-41.900000000000034</v>
      </c>
    </row>
    <row r="488" spans="11:12" x14ac:dyDescent="0.4">
      <c r="K488" s="7">
        <v>486</v>
      </c>
      <c r="L488" s="65">
        <v>-3.5527136788005009E-14</v>
      </c>
    </row>
    <row r="489" spans="11:12" x14ac:dyDescent="0.4">
      <c r="K489" s="7">
        <v>487</v>
      </c>
      <c r="L489" s="65">
        <v>-30.300000000000036</v>
      </c>
    </row>
    <row r="490" spans="11:12" x14ac:dyDescent="0.4">
      <c r="K490" s="7">
        <v>488</v>
      </c>
      <c r="L490" s="65">
        <v>16.499999999999961</v>
      </c>
    </row>
    <row r="491" spans="11:12" x14ac:dyDescent="0.4">
      <c r="K491" s="7">
        <v>489</v>
      </c>
      <c r="L491" s="65">
        <v>-3.907985046680551E-14</v>
      </c>
    </row>
    <row r="492" spans="11:12" x14ac:dyDescent="0.4">
      <c r="K492" s="7">
        <v>490</v>
      </c>
      <c r="L492" s="65">
        <v>-36.600000000000037</v>
      </c>
    </row>
    <row r="493" spans="11:12" x14ac:dyDescent="0.4">
      <c r="K493" s="7">
        <v>491</v>
      </c>
      <c r="L493" s="65">
        <v>-49.000000000000036</v>
      </c>
    </row>
    <row r="494" spans="11:12" x14ac:dyDescent="0.4">
      <c r="K494" s="7">
        <v>492</v>
      </c>
      <c r="L494" s="65">
        <v>-3.5527136788005009E-14</v>
      </c>
    </row>
    <row r="495" spans="11:12" x14ac:dyDescent="0.4">
      <c r="K495" s="7">
        <v>493</v>
      </c>
      <c r="L495" s="65">
        <v>-48.600000000000037</v>
      </c>
    </row>
    <row r="496" spans="11:12" x14ac:dyDescent="0.4">
      <c r="K496" s="7">
        <v>494</v>
      </c>
      <c r="L496" s="65">
        <v>-44.400000000000034</v>
      </c>
    </row>
    <row r="497" spans="11:12" x14ac:dyDescent="0.4">
      <c r="K497" s="7">
        <v>495</v>
      </c>
      <c r="L497" s="65">
        <v>-3.5527136788005009E-14</v>
      </c>
    </row>
    <row r="498" spans="11:12" x14ac:dyDescent="0.4">
      <c r="K498" s="7">
        <v>496</v>
      </c>
      <c r="L498" s="65">
        <v>-9.6000000000000352</v>
      </c>
    </row>
    <row r="499" spans="11:12" x14ac:dyDescent="0.4">
      <c r="K499" s="7">
        <v>497</v>
      </c>
      <c r="L499" s="65">
        <v>40.19999999999996</v>
      </c>
    </row>
    <row r="500" spans="11:12" x14ac:dyDescent="0.4">
      <c r="K500" s="7">
        <v>498</v>
      </c>
      <c r="L500" s="65">
        <v>-4.2632564145606011E-14</v>
      </c>
    </row>
    <row r="501" spans="11:12" x14ac:dyDescent="0.4">
      <c r="K501" s="7">
        <v>499</v>
      </c>
      <c r="L501" s="65">
        <v>-48.80000000000004</v>
      </c>
    </row>
    <row r="502" spans="11:12" x14ac:dyDescent="0.4">
      <c r="K502" s="7">
        <v>500</v>
      </c>
      <c r="L502" s="65">
        <v>-50.000000000000043</v>
      </c>
    </row>
    <row r="503" spans="11:12" x14ac:dyDescent="0.4">
      <c r="K503" s="7">
        <v>501</v>
      </c>
      <c r="L503" s="65">
        <v>-4.2632564145606011E-14</v>
      </c>
    </row>
    <row r="504" spans="11:12" x14ac:dyDescent="0.4">
      <c r="K504" s="7">
        <v>502</v>
      </c>
      <c r="L504" s="65">
        <v>-11.400000000000043</v>
      </c>
    </row>
    <row r="505" spans="11:12" x14ac:dyDescent="0.4">
      <c r="K505" s="7">
        <v>503</v>
      </c>
      <c r="L505" s="65">
        <v>33.69999999999996</v>
      </c>
    </row>
    <row r="506" spans="11:12" x14ac:dyDescent="0.4">
      <c r="K506" s="7">
        <v>504</v>
      </c>
      <c r="L506" s="65">
        <v>-4.2632564145606011E-14</v>
      </c>
    </row>
    <row r="507" spans="11:12" x14ac:dyDescent="0.4">
      <c r="K507" s="7">
        <v>505</v>
      </c>
      <c r="L507" s="65">
        <v>124.09999999999995</v>
      </c>
    </row>
    <row r="508" spans="11:12" x14ac:dyDescent="0.4">
      <c r="K508" s="7">
        <v>506</v>
      </c>
      <c r="L508" s="65">
        <v>132.89999999999995</v>
      </c>
    </row>
    <row r="509" spans="11:12" x14ac:dyDescent="0.4">
      <c r="K509" s="7">
        <v>507</v>
      </c>
      <c r="L509" s="65">
        <v>-5.6843418860808015E-14</v>
      </c>
    </row>
    <row r="510" spans="11:12" x14ac:dyDescent="0.4">
      <c r="K510" s="7">
        <v>508</v>
      </c>
      <c r="L510" s="65">
        <v>22.399999999999942</v>
      </c>
    </row>
    <row r="511" spans="11:12" x14ac:dyDescent="0.4">
      <c r="K511" s="7">
        <v>509</v>
      </c>
      <c r="L511" s="65">
        <v>29.399999999999942</v>
      </c>
    </row>
    <row r="512" spans="11:12" x14ac:dyDescent="0.4">
      <c r="K512" s="7">
        <v>510</v>
      </c>
      <c r="L512" s="65">
        <v>-5.6843418860808015E-14</v>
      </c>
    </row>
    <row r="513" spans="11:12" x14ac:dyDescent="0.4">
      <c r="K513" s="7">
        <v>511</v>
      </c>
      <c r="L513" s="65">
        <v>13.599999999999943</v>
      </c>
    </row>
    <row r="514" spans="11:12" x14ac:dyDescent="0.4">
      <c r="K514" s="7">
        <v>512</v>
      </c>
      <c r="L514" s="65">
        <v>-0.50000000000005684</v>
      </c>
    </row>
    <row r="515" spans="11:12" x14ac:dyDescent="0.4">
      <c r="K515" s="7">
        <v>513</v>
      </c>
      <c r="L515" s="65">
        <v>-5.6843418860808015E-14</v>
      </c>
    </row>
    <row r="516" spans="11:12" x14ac:dyDescent="0.4">
      <c r="K516" s="7">
        <v>514</v>
      </c>
      <c r="L516" s="65">
        <v>-48.20000000000006</v>
      </c>
    </row>
    <row r="517" spans="11:12" x14ac:dyDescent="0.4">
      <c r="K517" s="7">
        <v>515</v>
      </c>
      <c r="L517" s="65">
        <v>-70.600000000000051</v>
      </c>
    </row>
    <row r="518" spans="11:12" x14ac:dyDescent="0.4">
      <c r="K518" s="7">
        <v>516</v>
      </c>
      <c r="L518" s="65">
        <v>-5.6843418860808015E-14</v>
      </c>
    </row>
    <row r="519" spans="11:12" x14ac:dyDescent="0.4">
      <c r="K519" s="7">
        <v>517</v>
      </c>
      <c r="L519" s="65">
        <v>44.499999999999943</v>
      </c>
    </row>
    <row r="520" spans="11:12" x14ac:dyDescent="0.4">
      <c r="K520" s="7">
        <v>518</v>
      </c>
      <c r="L520" s="65">
        <v>30.999999999999943</v>
      </c>
    </row>
    <row r="521" spans="11:12" x14ac:dyDescent="0.4">
      <c r="K521" s="7">
        <v>519</v>
      </c>
      <c r="L521" s="65">
        <v>-5.6843418860808015E-14</v>
      </c>
    </row>
    <row r="522" spans="11:12" x14ac:dyDescent="0.4">
      <c r="K522" s="7">
        <v>520</v>
      </c>
      <c r="L522" s="65">
        <v>16.999999999999943</v>
      </c>
    </row>
    <row r="523" spans="11:12" x14ac:dyDescent="0.4">
      <c r="K523" s="7">
        <v>521</v>
      </c>
      <c r="L523" s="65">
        <v>-6.6000000000000583</v>
      </c>
    </row>
    <row r="524" spans="11:12" x14ac:dyDescent="0.4">
      <c r="K524" s="7">
        <v>522</v>
      </c>
      <c r="L524" s="65">
        <v>-5.8619775700208265E-14</v>
      </c>
    </row>
    <row r="525" spans="11:12" x14ac:dyDescent="0.4">
      <c r="K525" s="7">
        <v>523</v>
      </c>
      <c r="L525" s="65">
        <v>3.1999999999999416</v>
      </c>
    </row>
    <row r="526" spans="11:12" x14ac:dyDescent="0.4">
      <c r="K526" s="7">
        <v>524</v>
      </c>
      <c r="L526" s="65">
        <v>-26.400000000000059</v>
      </c>
    </row>
    <row r="527" spans="11:12" x14ac:dyDescent="0.4">
      <c r="K527" s="7">
        <v>525</v>
      </c>
      <c r="L527" s="65">
        <v>-6.0396132539608516E-14</v>
      </c>
    </row>
    <row r="528" spans="11:12" x14ac:dyDescent="0.4">
      <c r="K528" s="7">
        <v>526</v>
      </c>
      <c r="L528" s="65">
        <v>-52.300000000000054</v>
      </c>
    </row>
    <row r="529" spans="11:12" x14ac:dyDescent="0.4">
      <c r="K529" s="7">
        <v>527</v>
      </c>
      <c r="L529" s="65">
        <v>-11.500000000000057</v>
      </c>
    </row>
    <row r="530" spans="11:12" x14ac:dyDescent="0.4">
      <c r="K530" s="7">
        <v>528</v>
      </c>
      <c r="L530" s="65">
        <v>-5.6843418860808015E-14</v>
      </c>
    </row>
    <row r="531" spans="11:12" x14ac:dyDescent="0.4">
      <c r="K531" s="7">
        <v>529</v>
      </c>
      <c r="L531" s="65">
        <v>-22.800000000000058</v>
      </c>
    </row>
    <row r="532" spans="11:12" x14ac:dyDescent="0.4">
      <c r="K532" s="7">
        <v>530</v>
      </c>
      <c r="L532" s="65">
        <v>-70.600000000000051</v>
      </c>
    </row>
    <row r="533" spans="11:12" x14ac:dyDescent="0.4">
      <c r="K533" s="7">
        <v>531</v>
      </c>
      <c r="L533" s="65">
        <v>-5.6843418860808015E-14</v>
      </c>
    </row>
    <row r="534" spans="11:12" x14ac:dyDescent="0.4">
      <c r="K534" s="7">
        <v>532</v>
      </c>
      <c r="L534" s="65">
        <v>5.799999999999943</v>
      </c>
    </row>
    <row r="535" spans="11:12" x14ac:dyDescent="0.4">
      <c r="K535" s="7">
        <v>533</v>
      </c>
      <c r="L535" s="65">
        <v>-16.300000000000058</v>
      </c>
    </row>
    <row r="536" spans="11:12" x14ac:dyDescent="0.4">
      <c r="K536" s="7">
        <v>534</v>
      </c>
      <c r="L536" s="65">
        <v>-5.6843418860808015E-14</v>
      </c>
    </row>
    <row r="537" spans="11:12" x14ac:dyDescent="0.4">
      <c r="K537" s="7">
        <v>535</v>
      </c>
      <c r="L537" s="65">
        <v>-41.100000000000058</v>
      </c>
    </row>
    <row r="538" spans="11:12" x14ac:dyDescent="0.4">
      <c r="K538" s="7">
        <v>536</v>
      </c>
      <c r="L538" s="65">
        <v>5.7999999999999403</v>
      </c>
    </row>
    <row r="539" spans="11:12" x14ac:dyDescent="0.4">
      <c r="K539" s="7">
        <v>537</v>
      </c>
      <c r="L539" s="65">
        <v>-5.9507954119908391E-14</v>
      </c>
    </row>
    <row r="540" spans="11:12" x14ac:dyDescent="0.4">
      <c r="K540" s="7">
        <v>538</v>
      </c>
      <c r="L540" s="65">
        <v>-56.400000000000055</v>
      </c>
    </row>
    <row r="541" spans="11:12" x14ac:dyDescent="0.4">
      <c r="K541" s="7">
        <v>539</v>
      </c>
      <c r="L541" s="65">
        <v>-7.4000000000000554</v>
      </c>
    </row>
    <row r="542" spans="11:12" x14ac:dyDescent="0.4">
      <c r="K542" s="7">
        <v>540</v>
      </c>
      <c r="L542" s="65">
        <v>-5.5067062021407764E-14</v>
      </c>
    </row>
    <row r="543" spans="11:12" x14ac:dyDescent="0.4">
      <c r="K543" s="7">
        <v>541</v>
      </c>
      <c r="L543" s="65">
        <v>36.199999999999946</v>
      </c>
    </row>
    <row r="544" spans="11:12" x14ac:dyDescent="0.4">
      <c r="K544" s="7">
        <v>542</v>
      </c>
      <c r="L544" s="65">
        <v>43.299999999999947</v>
      </c>
    </row>
    <row r="545" spans="11:12" x14ac:dyDescent="0.4">
      <c r="K545" s="7">
        <v>543</v>
      </c>
      <c r="L545" s="65">
        <v>-4.9737991503207013E-14</v>
      </c>
    </row>
    <row r="546" spans="11:12" x14ac:dyDescent="0.4">
      <c r="K546" s="7">
        <v>544</v>
      </c>
      <c r="L546" s="65">
        <v>-26.400000000000048</v>
      </c>
    </row>
    <row r="547" spans="11:12" x14ac:dyDescent="0.4">
      <c r="K547" s="7">
        <v>545</v>
      </c>
      <c r="L547" s="65">
        <v>-25.00000000000005</v>
      </c>
    </row>
    <row r="548" spans="11:12" x14ac:dyDescent="0.4">
      <c r="K548" s="7">
        <v>546</v>
      </c>
      <c r="L548" s="65">
        <v>-4.9737991503207013E-14</v>
      </c>
    </row>
    <row r="549" spans="11:12" x14ac:dyDescent="0.4">
      <c r="K549" s="7">
        <v>547</v>
      </c>
      <c r="L549" s="65">
        <v>-13.100000000000049</v>
      </c>
    </row>
    <row r="550" spans="11:12" x14ac:dyDescent="0.4">
      <c r="K550" s="7">
        <v>548</v>
      </c>
      <c r="L550" s="65">
        <v>36.099999999999952</v>
      </c>
    </row>
    <row r="551" spans="11:12" x14ac:dyDescent="0.4">
      <c r="K551" s="7">
        <v>549</v>
      </c>
      <c r="L551" s="65">
        <v>-4.9737991503207013E-14</v>
      </c>
    </row>
    <row r="552" spans="11:12" x14ac:dyDescent="0.4">
      <c r="K552" s="7">
        <v>550</v>
      </c>
      <c r="L552" s="65">
        <v>-3.9000000000000496</v>
      </c>
    </row>
    <row r="553" spans="11:12" x14ac:dyDescent="0.4">
      <c r="K553" s="7">
        <v>551</v>
      </c>
      <c r="L553" s="65">
        <v>-19.200000000000049</v>
      </c>
    </row>
    <row r="554" spans="11:12" x14ac:dyDescent="0.4">
      <c r="K554" s="7">
        <v>552</v>
      </c>
      <c r="L554" s="65">
        <v>-4.9737991503207013E-14</v>
      </c>
    </row>
    <row r="555" spans="11:12" x14ac:dyDescent="0.4">
      <c r="K555" s="7">
        <v>553</v>
      </c>
      <c r="L555" s="65">
        <v>-49.00000000000005</v>
      </c>
    </row>
    <row r="556" spans="11:12" x14ac:dyDescent="0.4">
      <c r="K556" s="7">
        <v>554</v>
      </c>
      <c r="L556" s="65">
        <v>12.99999999999995</v>
      </c>
    </row>
    <row r="557" spans="11:12" x14ac:dyDescent="0.4">
      <c r="K557" s="7">
        <v>555</v>
      </c>
      <c r="L557" s="65">
        <v>-4.9737991503207013E-14</v>
      </c>
    </row>
    <row r="558" spans="11:12" x14ac:dyDescent="0.4">
      <c r="K558" s="7">
        <v>556</v>
      </c>
      <c r="L558" s="65">
        <v>-19.50000000000005</v>
      </c>
    </row>
    <row r="559" spans="11:12" x14ac:dyDescent="0.4">
      <c r="K559" s="7">
        <v>557</v>
      </c>
      <c r="L559" s="65">
        <v>-16.80000000000005</v>
      </c>
    </row>
    <row r="560" spans="11:12" x14ac:dyDescent="0.4">
      <c r="K560" s="7">
        <v>558</v>
      </c>
      <c r="L560" s="65">
        <v>-4.9737991503207013E-14</v>
      </c>
    </row>
    <row r="561" spans="11:12" x14ac:dyDescent="0.4">
      <c r="K561" s="7">
        <v>559</v>
      </c>
      <c r="L561" s="65">
        <v>37.799999999999947</v>
      </c>
    </row>
    <row r="562" spans="11:12" x14ac:dyDescent="0.4">
      <c r="K562" s="7">
        <v>560</v>
      </c>
      <c r="L562" s="65">
        <v>-7.7000000000000526</v>
      </c>
    </row>
    <row r="563" spans="11:12" x14ac:dyDescent="0.4">
      <c r="K563" s="7">
        <v>561</v>
      </c>
      <c r="L563" s="65">
        <v>-5.2402526762307389E-14</v>
      </c>
    </row>
    <row r="564" spans="11:12" x14ac:dyDescent="0.4">
      <c r="K564" s="7">
        <v>562</v>
      </c>
      <c r="L564" s="65">
        <v>-18.400000000000052</v>
      </c>
    </row>
    <row r="565" spans="11:12" x14ac:dyDescent="0.4">
      <c r="K565" s="7">
        <v>563</v>
      </c>
      <c r="L565" s="65">
        <v>-59.200000000000045</v>
      </c>
    </row>
    <row r="566" spans="11:12" x14ac:dyDescent="0.4">
      <c r="K566" s="7">
        <v>564</v>
      </c>
      <c r="L566" s="65">
        <v>-4.2632564145606011E-14</v>
      </c>
    </row>
    <row r="567" spans="11:12" x14ac:dyDescent="0.4">
      <c r="K567" s="7">
        <v>565</v>
      </c>
      <c r="L567" s="65">
        <v>1.0999999999999575</v>
      </c>
    </row>
    <row r="568" spans="11:12" x14ac:dyDescent="0.4">
      <c r="K568" s="7">
        <v>566</v>
      </c>
      <c r="L568" s="65">
        <v>44.799999999999962</v>
      </c>
    </row>
    <row r="569" spans="11:12" x14ac:dyDescent="0.4">
      <c r="K569" s="7">
        <v>567</v>
      </c>
      <c r="L569" s="65">
        <v>-3.5527136788005009E-14</v>
      </c>
    </row>
    <row r="570" spans="11:12" x14ac:dyDescent="0.4">
      <c r="K570" s="7">
        <v>568</v>
      </c>
      <c r="L570" s="65">
        <v>1.0999999999999646</v>
      </c>
    </row>
    <row r="571" spans="11:12" x14ac:dyDescent="0.4">
      <c r="K571" s="7">
        <v>569</v>
      </c>
      <c r="L571" s="65">
        <v>25.099999999999966</v>
      </c>
    </row>
    <row r="572" spans="11:12" x14ac:dyDescent="0.4">
      <c r="K572" s="7">
        <v>570</v>
      </c>
      <c r="L572" s="65">
        <v>-3.5527136788005009E-14</v>
      </c>
    </row>
    <row r="573" spans="11:12" x14ac:dyDescent="0.4">
      <c r="K573" s="7">
        <v>571</v>
      </c>
      <c r="L573" s="65">
        <v>-0.10000000000003553</v>
      </c>
    </row>
    <row r="574" spans="11:12" x14ac:dyDescent="0.4">
      <c r="K574" s="7">
        <v>572</v>
      </c>
      <c r="L574" s="65">
        <v>-35.80000000000004</v>
      </c>
    </row>
    <row r="575" spans="11:12" x14ac:dyDescent="0.4">
      <c r="K575" s="7">
        <v>573</v>
      </c>
      <c r="L575" s="65">
        <v>-4.2632564145606011E-14</v>
      </c>
    </row>
    <row r="576" spans="11:12" x14ac:dyDescent="0.4">
      <c r="K576" s="7">
        <v>574</v>
      </c>
      <c r="L576" s="65">
        <v>-22.500000000000043</v>
      </c>
    </row>
    <row r="577" spans="11:12" x14ac:dyDescent="0.4">
      <c r="K577" s="7">
        <v>575</v>
      </c>
      <c r="L577" s="65">
        <v>-30.400000000000041</v>
      </c>
    </row>
    <row r="578" spans="11:12" x14ac:dyDescent="0.4">
      <c r="K578" s="7">
        <v>576</v>
      </c>
      <c r="L578" s="65">
        <v>-4.2632564145606011E-14</v>
      </c>
    </row>
    <row r="579" spans="11:12" x14ac:dyDescent="0.4">
      <c r="K579" s="7">
        <v>577</v>
      </c>
      <c r="L579" s="65">
        <v>-87.400000000000048</v>
      </c>
    </row>
    <row r="580" spans="11:12" x14ac:dyDescent="0.4">
      <c r="K580" s="7">
        <v>578</v>
      </c>
      <c r="L580" s="65">
        <v>9.699999999999946</v>
      </c>
    </row>
    <row r="581" spans="11:12" x14ac:dyDescent="0.4">
      <c r="K581" s="7">
        <v>579</v>
      </c>
      <c r="L581" s="65">
        <v>-5.3290705182007514E-14</v>
      </c>
    </row>
    <row r="582" spans="11:12" x14ac:dyDescent="0.4">
      <c r="K582" s="7">
        <v>580</v>
      </c>
      <c r="L582" s="65">
        <v>25.899999999999945</v>
      </c>
    </row>
    <row r="583" spans="11:12" x14ac:dyDescent="0.4">
      <c r="K583" s="7">
        <v>581</v>
      </c>
      <c r="L583" s="65">
        <v>2.7999999999999439</v>
      </c>
    </row>
    <row r="584" spans="11:12" x14ac:dyDescent="0.4">
      <c r="K584" s="7">
        <v>582</v>
      </c>
      <c r="L584" s="65">
        <v>-5.595524044110789E-14</v>
      </c>
    </row>
    <row r="585" spans="11:12" x14ac:dyDescent="0.4">
      <c r="K585" s="7">
        <v>583</v>
      </c>
      <c r="L585" s="65">
        <v>-12.900000000000055</v>
      </c>
    </row>
    <row r="586" spans="11:12" x14ac:dyDescent="0.4">
      <c r="K586" s="7">
        <v>584</v>
      </c>
      <c r="L586" s="65">
        <v>32.299999999999947</v>
      </c>
    </row>
    <row r="587" spans="11:12" x14ac:dyDescent="0.4">
      <c r="K587" s="7">
        <v>585</v>
      </c>
      <c r="L587" s="65">
        <v>-4.9737991503207013E-14</v>
      </c>
    </row>
    <row r="588" spans="11:12" x14ac:dyDescent="0.4">
      <c r="K588" s="7">
        <v>586</v>
      </c>
      <c r="L588" s="65">
        <v>35.99999999999995</v>
      </c>
    </row>
    <row r="589" spans="11:12" x14ac:dyDescent="0.4">
      <c r="K589" s="7">
        <v>587</v>
      </c>
      <c r="L589" s="65">
        <v>-12.800000000000047</v>
      </c>
    </row>
    <row r="590" spans="11:12" x14ac:dyDescent="0.4">
      <c r="K590" s="7">
        <v>588</v>
      </c>
      <c r="L590" s="65">
        <v>-4.6185277824406512E-14</v>
      </c>
    </row>
    <row r="591" spans="11:12" x14ac:dyDescent="0.4">
      <c r="K591" s="7">
        <v>589</v>
      </c>
      <c r="L591" s="65">
        <v>20.399999999999952</v>
      </c>
    </row>
    <row r="592" spans="11:12" x14ac:dyDescent="0.4">
      <c r="K592" s="7">
        <v>590</v>
      </c>
      <c r="L592" s="65">
        <v>-30.700000000000049</v>
      </c>
    </row>
    <row r="593" spans="11:12" x14ac:dyDescent="0.4">
      <c r="K593" s="7">
        <v>591</v>
      </c>
      <c r="L593" s="65">
        <v>-4.9737991503207013E-14</v>
      </c>
    </row>
    <row r="594" spans="11:12" x14ac:dyDescent="0.4">
      <c r="K594" s="7">
        <v>592</v>
      </c>
      <c r="L594" s="65">
        <v>-60.300000000000047</v>
      </c>
    </row>
    <row r="595" spans="11:12" x14ac:dyDescent="0.4">
      <c r="K595" s="7">
        <v>593</v>
      </c>
      <c r="L595" s="65">
        <v>-0.3000000000000469</v>
      </c>
    </row>
    <row r="596" spans="11:12" x14ac:dyDescent="0.4">
      <c r="K596" s="7">
        <v>594</v>
      </c>
      <c r="L596" s="65">
        <v>-4.6906922790412864E-14</v>
      </c>
    </row>
    <row r="597" spans="11:12" x14ac:dyDescent="0.4">
      <c r="K597" s="7">
        <v>595</v>
      </c>
      <c r="L597" s="65">
        <v>-45.600000000000051</v>
      </c>
    </row>
    <row r="598" spans="11:12" x14ac:dyDescent="0.4">
      <c r="K598" s="7">
        <v>596</v>
      </c>
      <c r="L598" s="65">
        <v>9.5999999999999517</v>
      </c>
    </row>
    <row r="599" spans="11:12" x14ac:dyDescent="0.4">
      <c r="K599" s="7">
        <v>597</v>
      </c>
      <c r="L599" s="65">
        <v>-4.7961634663806763E-14</v>
      </c>
    </row>
    <row r="600" spans="11:12" x14ac:dyDescent="0.4">
      <c r="K600" s="7">
        <v>598</v>
      </c>
      <c r="L600" s="65">
        <v>28.899999999999949</v>
      </c>
    </row>
    <row r="601" spans="11:12" x14ac:dyDescent="0.4">
      <c r="K601" s="7">
        <v>599</v>
      </c>
      <c r="L601" s="65">
        <v>27.899999999999949</v>
      </c>
    </row>
    <row r="602" spans="11:12" x14ac:dyDescent="0.4">
      <c r="K602" s="7">
        <v>600</v>
      </c>
      <c r="L602" s="65">
        <v>-4.9737991503207013E-14</v>
      </c>
    </row>
    <row r="603" spans="11:12" x14ac:dyDescent="0.4">
      <c r="K603" s="7">
        <v>601</v>
      </c>
      <c r="L603" s="65">
        <v>-31.50000000000005</v>
      </c>
    </row>
    <row r="604" spans="11:12" x14ac:dyDescent="0.4">
      <c r="K604" s="7">
        <v>602</v>
      </c>
      <c r="L604" s="65">
        <v>-38.400000000000048</v>
      </c>
    </row>
    <row r="605" spans="11:12" x14ac:dyDescent="0.4">
      <c r="K605" s="7">
        <v>603</v>
      </c>
      <c r="L605" s="65">
        <v>-4.9737991503207013E-14</v>
      </c>
    </row>
    <row r="606" spans="11:12" x14ac:dyDescent="0.4">
      <c r="K606" s="7">
        <v>604</v>
      </c>
      <c r="L606" s="65">
        <v>33.49999999999995</v>
      </c>
    </row>
    <row r="607" spans="11:12" x14ac:dyDescent="0.4">
      <c r="K607" s="7">
        <v>605</v>
      </c>
      <c r="L607" s="65">
        <v>0.6999999999999531</v>
      </c>
    </row>
    <row r="608" spans="11:12" x14ac:dyDescent="0.4">
      <c r="K608" s="7">
        <v>606</v>
      </c>
      <c r="L608" s="65">
        <v>-4.6851411639181606E-14</v>
      </c>
    </row>
    <row r="609" spans="11:12" x14ac:dyDescent="0.4">
      <c r="K609" s="7">
        <v>607</v>
      </c>
      <c r="L609" s="65">
        <v>11.999999999999954</v>
      </c>
    </row>
    <row r="610" spans="11:12" x14ac:dyDescent="0.4">
      <c r="K610" s="7">
        <v>608</v>
      </c>
      <c r="L610" s="65">
        <v>38.299999999999955</v>
      </c>
    </row>
    <row r="611" spans="11:12" x14ac:dyDescent="0.4">
      <c r="K611" s="7">
        <v>609</v>
      </c>
      <c r="L611" s="65">
        <v>-4.2632564145606011E-14</v>
      </c>
    </row>
    <row r="612" spans="11:12" x14ac:dyDescent="0.4">
      <c r="K612" s="7">
        <v>610</v>
      </c>
      <c r="L612" s="65">
        <v>7.3999999999999577</v>
      </c>
    </row>
    <row r="613" spans="11:12" x14ac:dyDescent="0.4">
      <c r="K613" s="7">
        <v>611</v>
      </c>
      <c r="L613" s="65">
        <v>26.799999999999955</v>
      </c>
    </row>
    <row r="614" spans="11:12" x14ac:dyDescent="0.4">
      <c r="K614" s="7">
        <v>612</v>
      </c>
      <c r="L614" s="65">
        <v>-4.6185277824406512E-14</v>
      </c>
    </row>
    <row r="615" spans="11:12" x14ac:dyDescent="0.4">
      <c r="K615" s="7">
        <v>613</v>
      </c>
      <c r="L615" s="65">
        <v>-26.800000000000047</v>
      </c>
    </row>
    <row r="616" spans="11:12" x14ac:dyDescent="0.4">
      <c r="K616" s="7">
        <v>614</v>
      </c>
      <c r="L616" s="65">
        <v>-5.3000000000000469</v>
      </c>
    </row>
    <row r="617" spans="11:12" x14ac:dyDescent="0.4">
      <c r="K617" s="7">
        <v>615</v>
      </c>
      <c r="L617" s="65">
        <v>-4.7073456244106637E-14</v>
      </c>
    </row>
    <row r="618" spans="11:12" x14ac:dyDescent="0.4">
      <c r="K618" s="7">
        <v>616</v>
      </c>
      <c r="L618" s="65">
        <v>-20.200000000000045</v>
      </c>
    </row>
    <row r="619" spans="11:12" x14ac:dyDescent="0.4">
      <c r="K619" s="7">
        <v>617</v>
      </c>
      <c r="L619" s="65">
        <v>-28.900000000000045</v>
      </c>
    </row>
    <row r="620" spans="11:12" x14ac:dyDescent="0.4">
      <c r="K620" s="7">
        <v>618</v>
      </c>
      <c r="L620" s="65">
        <v>-4.6185277824406512E-14</v>
      </c>
    </row>
    <row r="621" spans="11:12" x14ac:dyDescent="0.4">
      <c r="K621" s="7">
        <v>619</v>
      </c>
      <c r="L621" s="65">
        <v>-22.600000000000048</v>
      </c>
    </row>
    <row r="622" spans="11:12" x14ac:dyDescent="0.4">
      <c r="K622" s="7">
        <v>620</v>
      </c>
      <c r="L622" s="65">
        <v>-20.000000000000046</v>
      </c>
    </row>
    <row r="623" spans="11:12" x14ac:dyDescent="0.4">
      <c r="K623" s="7">
        <v>621</v>
      </c>
      <c r="L623" s="65">
        <v>-4.6185277824406512E-14</v>
      </c>
    </row>
    <row r="624" spans="11:12" x14ac:dyDescent="0.4">
      <c r="K624" s="7">
        <v>622</v>
      </c>
      <c r="L624" s="65">
        <v>42.299999999999955</v>
      </c>
    </row>
    <row r="625" spans="11:12" x14ac:dyDescent="0.4">
      <c r="K625" s="7">
        <v>623</v>
      </c>
      <c r="L625" s="65">
        <v>46.999999999999957</v>
      </c>
    </row>
    <row r="626" spans="11:12" x14ac:dyDescent="0.4">
      <c r="K626" s="7">
        <v>624</v>
      </c>
      <c r="L626" s="65">
        <v>-4.2632564145606011E-14</v>
      </c>
    </row>
    <row r="627" spans="11:12" x14ac:dyDescent="0.4">
      <c r="K627" s="7">
        <v>625</v>
      </c>
      <c r="L627" s="65">
        <v>-21.600000000000044</v>
      </c>
    </row>
    <row r="628" spans="11:12" x14ac:dyDescent="0.4">
      <c r="K628" s="7">
        <v>626</v>
      </c>
      <c r="L628" s="65">
        <v>0.59999999999995524</v>
      </c>
    </row>
    <row r="629" spans="11:12" x14ac:dyDescent="0.4">
      <c r="K629" s="7">
        <v>627</v>
      </c>
      <c r="L629" s="65">
        <v>-4.4741987892393809E-14</v>
      </c>
    </row>
    <row r="630" spans="11:12" x14ac:dyDescent="0.4">
      <c r="K630" s="7">
        <v>628</v>
      </c>
      <c r="L630" s="65">
        <v>1.0999999999999552</v>
      </c>
    </row>
    <row r="631" spans="11:12" x14ac:dyDescent="0.4">
      <c r="K631" s="7">
        <v>629</v>
      </c>
      <c r="L631" s="65">
        <v>-47.400000000000048</v>
      </c>
    </row>
    <row r="632" spans="11:12" x14ac:dyDescent="0.4">
      <c r="K632" s="7">
        <v>630</v>
      </c>
      <c r="L632" s="65">
        <v>-4.9737991503207013E-14</v>
      </c>
    </row>
    <row r="633" spans="11:12" x14ac:dyDescent="0.4">
      <c r="K633" s="7">
        <v>631</v>
      </c>
      <c r="L633" s="65">
        <v>-55.50000000000005</v>
      </c>
    </row>
    <row r="634" spans="11:12" x14ac:dyDescent="0.4">
      <c r="K634" s="7">
        <v>632</v>
      </c>
      <c r="L634" s="65">
        <v>-66.200000000000045</v>
      </c>
    </row>
    <row r="635" spans="11:12" x14ac:dyDescent="0.4">
      <c r="K635" s="7">
        <v>633</v>
      </c>
      <c r="L635" s="65">
        <v>-4.2632564145606011E-14</v>
      </c>
    </row>
    <row r="636" spans="11:12" x14ac:dyDescent="0.4">
      <c r="K636" s="7">
        <v>634</v>
      </c>
      <c r="L636" s="65">
        <v>54.19999999999996</v>
      </c>
    </row>
    <row r="637" spans="11:12" x14ac:dyDescent="0.4">
      <c r="K637" s="7">
        <v>635</v>
      </c>
      <c r="L637" s="65">
        <v>48.69999999999996</v>
      </c>
    </row>
    <row r="638" spans="11:12" x14ac:dyDescent="0.4">
      <c r="K638" s="7">
        <v>636</v>
      </c>
      <c r="L638" s="65">
        <v>-4.2632564145606011E-14</v>
      </c>
    </row>
    <row r="639" spans="11:12" x14ac:dyDescent="0.4">
      <c r="K639" s="7">
        <v>637</v>
      </c>
      <c r="L639" s="65">
        <v>15.699999999999957</v>
      </c>
    </row>
    <row r="640" spans="11:12" x14ac:dyDescent="0.4">
      <c r="K640" s="7">
        <v>638</v>
      </c>
      <c r="L640" s="65">
        <v>18.299999999999958</v>
      </c>
    </row>
    <row r="641" spans="11:12" x14ac:dyDescent="0.4">
      <c r="K641" s="7">
        <v>639</v>
      </c>
      <c r="L641" s="65">
        <v>-4.2632564145606011E-14</v>
      </c>
    </row>
    <row r="642" spans="11:12" x14ac:dyDescent="0.4">
      <c r="K642" s="7">
        <v>640</v>
      </c>
      <c r="L642" s="65">
        <v>26.799999999999958</v>
      </c>
    </row>
    <row r="643" spans="11:12" x14ac:dyDescent="0.4">
      <c r="K643" s="7">
        <v>641</v>
      </c>
      <c r="L643" s="65">
        <v>-14.900000000000045</v>
      </c>
    </row>
    <row r="644" spans="11:12" x14ac:dyDescent="0.4">
      <c r="K644" s="7">
        <v>642</v>
      </c>
      <c r="L644" s="65">
        <v>-4.4408920985006262E-14</v>
      </c>
    </row>
    <row r="645" spans="11:12" x14ac:dyDescent="0.4">
      <c r="K645" s="7">
        <v>643</v>
      </c>
      <c r="L645" s="65">
        <v>57.799999999999955</v>
      </c>
    </row>
    <row r="646" spans="11:12" x14ac:dyDescent="0.4">
      <c r="K646" s="7">
        <v>644</v>
      </c>
      <c r="L646" s="65">
        <v>45.199999999999953</v>
      </c>
    </row>
    <row r="647" spans="11:12" x14ac:dyDescent="0.4">
      <c r="K647" s="7">
        <v>645</v>
      </c>
      <c r="L647" s="65">
        <v>-4.9737991503207013E-14</v>
      </c>
    </row>
    <row r="648" spans="11:12" x14ac:dyDescent="0.4">
      <c r="K648" s="7">
        <v>646</v>
      </c>
      <c r="L648" s="65">
        <v>-4.5000000000000497</v>
      </c>
    </row>
    <row r="649" spans="11:12" x14ac:dyDescent="0.4">
      <c r="K649" s="7">
        <v>647</v>
      </c>
      <c r="L649" s="65">
        <v>-28.80000000000005</v>
      </c>
    </row>
    <row r="650" spans="11:12" x14ac:dyDescent="0.4">
      <c r="K650" s="7">
        <v>648</v>
      </c>
      <c r="L650" s="65">
        <v>-4.9737991503207013E-14</v>
      </c>
    </row>
    <row r="651" spans="11:12" x14ac:dyDescent="0.4">
      <c r="K651" s="7">
        <v>649</v>
      </c>
      <c r="L651" s="65">
        <v>-19.700000000000049</v>
      </c>
    </row>
    <row r="652" spans="11:12" x14ac:dyDescent="0.4">
      <c r="K652" s="7">
        <v>650</v>
      </c>
      <c r="L652" s="65">
        <v>-1.6000000000000476</v>
      </c>
    </row>
    <row r="653" spans="11:12" x14ac:dyDescent="0.4">
      <c r="K653" s="7">
        <v>651</v>
      </c>
      <c r="L653" s="65">
        <v>-4.75175454539567E-14</v>
      </c>
    </row>
    <row r="654" spans="11:12" x14ac:dyDescent="0.4">
      <c r="K654" s="7">
        <v>652</v>
      </c>
      <c r="L654" s="65">
        <v>-46.800000000000047</v>
      </c>
    </row>
    <row r="655" spans="11:12" x14ac:dyDescent="0.4">
      <c r="K655" s="7">
        <v>653</v>
      </c>
      <c r="L655" s="65">
        <v>29.599999999999959</v>
      </c>
    </row>
    <row r="656" spans="11:12" x14ac:dyDescent="0.4">
      <c r="K656" s="7">
        <v>654</v>
      </c>
      <c r="L656" s="65">
        <v>-4.2632564145606011E-14</v>
      </c>
    </row>
    <row r="657" spans="11:12" x14ac:dyDescent="0.4">
      <c r="K657" s="7">
        <v>655</v>
      </c>
      <c r="L657" s="65">
        <v>36.799999999999955</v>
      </c>
    </row>
    <row r="658" spans="11:12" x14ac:dyDescent="0.4">
      <c r="K658" s="7">
        <v>656</v>
      </c>
      <c r="L658" s="65">
        <v>0.89999999999995595</v>
      </c>
    </row>
    <row r="659" spans="11:12" x14ac:dyDescent="0.4">
      <c r="K659" s="7">
        <v>657</v>
      </c>
      <c r="L659" s="65">
        <v>-4.4075854077618715E-14</v>
      </c>
    </row>
    <row r="660" spans="11:12" x14ac:dyDescent="0.4">
      <c r="K660" s="7">
        <v>658</v>
      </c>
      <c r="L660" s="65">
        <v>0.5999999999999559</v>
      </c>
    </row>
    <row r="661" spans="11:12" x14ac:dyDescent="0.4">
      <c r="K661" s="7">
        <v>659</v>
      </c>
      <c r="L661" s="65">
        <v>18.699999999999957</v>
      </c>
    </row>
    <row r="662" spans="11:12" x14ac:dyDescent="0.4">
      <c r="K662" s="7">
        <v>660</v>
      </c>
      <c r="L662" s="65">
        <v>-4.2632564145606011E-14</v>
      </c>
    </row>
    <row r="663" spans="11:12" x14ac:dyDescent="0.4">
      <c r="K663" s="7">
        <v>661</v>
      </c>
      <c r="L663" s="65">
        <v>-18.500000000000043</v>
      </c>
    </row>
    <row r="664" spans="11:12" x14ac:dyDescent="0.4">
      <c r="K664" s="7">
        <v>662</v>
      </c>
      <c r="L664" s="65">
        <v>-63.600000000000044</v>
      </c>
    </row>
    <row r="665" spans="11:12" x14ac:dyDescent="0.4">
      <c r="K665" s="7">
        <v>663</v>
      </c>
      <c r="L665" s="65">
        <v>-4.2632564145606011E-14</v>
      </c>
    </row>
    <row r="666" spans="11:12" x14ac:dyDescent="0.4">
      <c r="K666" s="7">
        <v>664</v>
      </c>
      <c r="L666" s="65">
        <v>35.19999999999996</v>
      </c>
    </row>
    <row r="667" spans="11:12" x14ac:dyDescent="0.4">
      <c r="K667" s="7">
        <v>665</v>
      </c>
      <c r="L667" s="65">
        <v>-11.500000000000043</v>
      </c>
    </row>
    <row r="668" spans="11:12" x14ac:dyDescent="0.4">
      <c r="K668" s="7">
        <v>666</v>
      </c>
      <c r="L668" s="65">
        <v>-4.2632564145606011E-14</v>
      </c>
    </row>
    <row r="669" spans="11:12" x14ac:dyDescent="0.4">
      <c r="K669" s="7">
        <v>667</v>
      </c>
      <c r="L669" s="65">
        <v>28.899999999999956</v>
      </c>
    </row>
    <row r="670" spans="11:12" x14ac:dyDescent="0.4">
      <c r="K670" s="7">
        <v>668</v>
      </c>
      <c r="L670" s="65">
        <v>25.399999999999956</v>
      </c>
    </row>
    <row r="671" spans="11:12" x14ac:dyDescent="0.4">
      <c r="K671" s="7">
        <v>669</v>
      </c>
      <c r="L671" s="65">
        <v>-4.2632564145606011E-14</v>
      </c>
    </row>
    <row r="672" spans="11:12" x14ac:dyDescent="0.4">
      <c r="K672" s="7">
        <v>670</v>
      </c>
      <c r="L672" s="65">
        <v>3.2999999999999572</v>
      </c>
    </row>
    <row r="673" spans="11:12" x14ac:dyDescent="0.4">
      <c r="K673" s="7">
        <v>671</v>
      </c>
      <c r="L673" s="65">
        <v>22.699999999999957</v>
      </c>
    </row>
    <row r="674" spans="11:12" x14ac:dyDescent="0.4">
      <c r="K674" s="7">
        <v>672</v>
      </c>
      <c r="L674" s="65">
        <v>-4.2632564145606011E-14</v>
      </c>
    </row>
    <row r="675" spans="11:12" x14ac:dyDescent="0.4">
      <c r="K675" s="7">
        <v>673</v>
      </c>
      <c r="L675" s="65">
        <v>8.9999999999999574</v>
      </c>
    </row>
    <row r="676" spans="11:12" x14ac:dyDescent="0.4">
      <c r="K676" s="7">
        <v>674</v>
      </c>
      <c r="L676" s="65">
        <v>-43.600000000000044</v>
      </c>
    </row>
    <row r="677" spans="11:12" x14ac:dyDescent="0.4">
      <c r="K677" s="7">
        <v>675</v>
      </c>
      <c r="L677" s="65">
        <v>-4.2632564145606011E-14</v>
      </c>
    </row>
    <row r="678" spans="11:12" x14ac:dyDescent="0.4">
      <c r="K678" s="7">
        <v>676</v>
      </c>
      <c r="L678" s="65">
        <v>27.399999999999956</v>
      </c>
    </row>
    <row r="679" spans="11:12" x14ac:dyDescent="0.4">
      <c r="K679" s="7">
        <v>677</v>
      </c>
      <c r="L679" s="65">
        <v>41.999999999999957</v>
      </c>
    </row>
    <row r="680" spans="11:12" x14ac:dyDescent="0.4">
      <c r="K680" s="7">
        <v>678</v>
      </c>
      <c r="L680" s="65">
        <v>-4.2632564145606011E-14</v>
      </c>
    </row>
    <row r="681" spans="11:12" x14ac:dyDescent="0.4">
      <c r="K681" s="7">
        <v>679</v>
      </c>
      <c r="L681" s="65">
        <v>-22.300000000000043</v>
      </c>
    </row>
    <row r="682" spans="11:12" x14ac:dyDescent="0.4">
      <c r="K682" s="7">
        <v>680</v>
      </c>
      <c r="L682" s="65">
        <v>-17.100000000000044</v>
      </c>
    </row>
    <row r="683" spans="11:12" x14ac:dyDescent="0.4">
      <c r="K683" s="7">
        <v>681</v>
      </c>
      <c r="L683" s="65">
        <v>-4.2632564145606011E-14</v>
      </c>
    </row>
    <row r="684" spans="11:12" x14ac:dyDescent="0.4">
      <c r="K684" s="7">
        <v>682</v>
      </c>
      <c r="L684" s="65">
        <v>-5.0000000000000426</v>
      </c>
    </row>
    <row r="685" spans="11:12" x14ac:dyDescent="0.4">
      <c r="K685" s="7">
        <v>683</v>
      </c>
      <c r="L685" s="65">
        <v>19.999999999999957</v>
      </c>
    </row>
    <row r="686" spans="11:12" x14ac:dyDescent="0.4">
      <c r="K686" s="7">
        <v>684</v>
      </c>
      <c r="L686" s="65">
        <v>-4.2632564145606011E-14</v>
      </c>
    </row>
    <row r="687" spans="11:12" x14ac:dyDescent="0.4">
      <c r="K687" s="7">
        <v>685</v>
      </c>
      <c r="L687" s="65">
        <v>47.499999999999957</v>
      </c>
    </row>
    <row r="688" spans="11:12" x14ac:dyDescent="0.4">
      <c r="K688" s="7">
        <v>686</v>
      </c>
      <c r="L688" s="65">
        <v>45.499999999999957</v>
      </c>
    </row>
    <row r="689" spans="11:12" x14ac:dyDescent="0.4">
      <c r="K689" s="7">
        <v>687</v>
      </c>
      <c r="L689" s="65">
        <v>-4.2632564145606011E-14</v>
      </c>
    </row>
    <row r="690" spans="11:12" x14ac:dyDescent="0.4">
      <c r="K690" s="7">
        <v>688</v>
      </c>
      <c r="L690" s="65">
        <v>4.1999999999999575</v>
      </c>
    </row>
    <row r="691" spans="11:12" x14ac:dyDescent="0.4">
      <c r="K691" s="7">
        <v>689</v>
      </c>
      <c r="L691" s="65">
        <v>26.199999999999957</v>
      </c>
    </row>
    <row r="692" spans="11:12" x14ac:dyDescent="0.4">
      <c r="K692" s="7">
        <v>690</v>
      </c>
      <c r="L692" s="65">
        <v>-4.2632564145606011E-14</v>
      </c>
    </row>
    <row r="693" spans="11:12" x14ac:dyDescent="0.4">
      <c r="K693" s="7">
        <v>691</v>
      </c>
      <c r="L693" s="65">
        <v>46.19999999999996</v>
      </c>
    </row>
    <row r="694" spans="11:12" x14ac:dyDescent="0.4">
      <c r="K694" s="7">
        <v>692</v>
      </c>
      <c r="L694" s="65">
        <v>-5.3000000000000398</v>
      </c>
    </row>
    <row r="695" spans="11:12" x14ac:dyDescent="0.4">
      <c r="K695" s="7">
        <v>693</v>
      </c>
      <c r="L695" s="65">
        <v>-3.9968028886505635E-14</v>
      </c>
    </row>
    <row r="696" spans="11:12" x14ac:dyDescent="0.4">
      <c r="K696" s="7">
        <v>694</v>
      </c>
      <c r="L696" s="65">
        <v>5.5999999999999597</v>
      </c>
    </row>
    <row r="697" spans="11:12" x14ac:dyDescent="0.4">
      <c r="K697" s="7">
        <v>695</v>
      </c>
      <c r="L697" s="65">
        <v>23.19999999999996</v>
      </c>
    </row>
    <row r="698" spans="11:12" x14ac:dyDescent="0.4">
      <c r="K698" s="7">
        <v>696</v>
      </c>
      <c r="L698" s="65">
        <v>-3.907985046680551E-14</v>
      </c>
    </row>
    <row r="699" spans="11:12" x14ac:dyDescent="0.4">
      <c r="K699" s="7">
        <v>697</v>
      </c>
      <c r="L699" s="65">
        <v>3.8999999999999608</v>
      </c>
    </row>
    <row r="700" spans="11:12" x14ac:dyDescent="0.4">
      <c r="K700" s="7">
        <v>698</v>
      </c>
      <c r="L700" s="65">
        <v>-36.30000000000004</v>
      </c>
    </row>
    <row r="701" spans="11:12" x14ac:dyDescent="0.4">
      <c r="K701" s="7">
        <v>699</v>
      </c>
      <c r="L701" s="65">
        <v>-4.2632564145606011E-14</v>
      </c>
    </row>
    <row r="702" spans="11:12" x14ac:dyDescent="0.4">
      <c r="K702" s="7">
        <v>700</v>
      </c>
      <c r="L702" s="65">
        <v>-7.0000000000000426</v>
      </c>
    </row>
    <row r="703" spans="11:12" x14ac:dyDescent="0.4">
      <c r="K703" s="7">
        <v>701</v>
      </c>
      <c r="L703" s="65">
        <v>-35.700000000000045</v>
      </c>
    </row>
    <row r="704" spans="11:12" x14ac:dyDescent="0.4">
      <c r="K704" s="7">
        <v>702</v>
      </c>
      <c r="L704" s="65">
        <v>-4.2632564145606011E-14</v>
      </c>
    </row>
    <row r="705" spans="11:12" x14ac:dyDescent="0.4">
      <c r="K705" s="7">
        <v>703</v>
      </c>
      <c r="L705" s="65">
        <v>-7.1000000000000423</v>
      </c>
    </row>
    <row r="706" spans="11:12" x14ac:dyDescent="0.4">
      <c r="K706" s="7">
        <v>704</v>
      </c>
      <c r="L706" s="65">
        <v>17.599999999999959</v>
      </c>
    </row>
    <row r="707" spans="11:12" x14ac:dyDescent="0.4">
      <c r="K707" s="7">
        <v>705</v>
      </c>
      <c r="L707" s="65">
        <v>-4.2632564145606011E-14</v>
      </c>
    </row>
    <row r="708" spans="11:12" x14ac:dyDescent="0.4">
      <c r="K708" s="7">
        <v>706</v>
      </c>
      <c r="L708" s="65">
        <v>32.999999999999957</v>
      </c>
    </row>
    <row r="709" spans="11:12" x14ac:dyDescent="0.4">
      <c r="K709" s="7">
        <v>707</v>
      </c>
      <c r="L709" s="65">
        <v>33.099999999999959</v>
      </c>
    </row>
    <row r="710" spans="11:12" x14ac:dyDescent="0.4">
      <c r="K710" s="7">
        <v>708</v>
      </c>
      <c r="L710" s="65">
        <v>-4.2632564145606011E-14</v>
      </c>
    </row>
    <row r="711" spans="11:12" x14ac:dyDescent="0.4">
      <c r="K711" s="7">
        <v>709</v>
      </c>
      <c r="L711" s="65">
        <v>-12.100000000000042</v>
      </c>
    </row>
    <row r="712" spans="11:12" x14ac:dyDescent="0.4">
      <c r="K712" s="7">
        <v>710</v>
      </c>
      <c r="L712" s="65">
        <v>-12.800000000000042</v>
      </c>
    </row>
    <row r="713" spans="11:12" x14ac:dyDescent="0.4">
      <c r="K713" s="7">
        <v>711</v>
      </c>
      <c r="L713" s="65">
        <v>-4.0856207306205761E-14</v>
      </c>
    </row>
    <row r="714" spans="11:12" x14ac:dyDescent="0.4">
      <c r="K714" s="7">
        <v>712</v>
      </c>
      <c r="L714" s="65">
        <v>-13.800000000000042</v>
      </c>
    </row>
    <row r="715" spans="11:12" x14ac:dyDescent="0.4">
      <c r="K715" s="7">
        <v>713</v>
      </c>
      <c r="L715" s="65">
        <v>0.49999999999995914</v>
      </c>
    </row>
    <row r="716" spans="11:12" x14ac:dyDescent="0.4">
      <c r="K716" s="7">
        <v>714</v>
      </c>
      <c r="L716" s="65">
        <v>-4.0856207306205761E-14</v>
      </c>
    </row>
    <row r="717" spans="11:12" x14ac:dyDescent="0.4">
      <c r="K717" s="7">
        <v>715</v>
      </c>
      <c r="L717" s="65">
        <v>-2.8000000000000407</v>
      </c>
    </row>
    <row r="718" spans="11:12" x14ac:dyDescent="0.4">
      <c r="K718" s="7">
        <v>716</v>
      </c>
      <c r="L718" s="65">
        <v>-15.700000000000042</v>
      </c>
    </row>
    <row r="719" spans="11:12" x14ac:dyDescent="0.4">
      <c r="K719" s="7">
        <v>717</v>
      </c>
      <c r="L719" s="65">
        <v>-4.2632564145606011E-14</v>
      </c>
    </row>
    <row r="720" spans="11:12" x14ac:dyDescent="0.4">
      <c r="K720" s="7">
        <v>718</v>
      </c>
      <c r="L720" s="65">
        <v>10.199999999999957</v>
      </c>
    </row>
    <row r="721" spans="11:12" x14ac:dyDescent="0.4">
      <c r="K721" s="7">
        <v>719</v>
      </c>
      <c r="L721" s="65">
        <v>-37.700000000000045</v>
      </c>
    </row>
    <row r="722" spans="11:12" x14ac:dyDescent="0.4">
      <c r="K722" s="7">
        <v>720</v>
      </c>
      <c r="L722" s="65">
        <v>-4.2632564145606011E-14</v>
      </c>
    </row>
    <row r="723" spans="11:12" x14ac:dyDescent="0.4">
      <c r="K723" s="7">
        <v>721</v>
      </c>
      <c r="L723" s="65">
        <v>-30.900000000000041</v>
      </c>
    </row>
    <row r="724" spans="11:12" x14ac:dyDescent="0.4">
      <c r="K724" s="7">
        <v>722</v>
      </c>
      <c r="L724" s="65">
        <v>-9.2000000000000419</v>
      </c>
    </row>
    <row r="725" spans="11:12" x14ac:dyDescent="0.4">
      <c r="K725" s="7">
        <v>723</v>
      </c>
      <c r="L725" s="65">
        <v>-4.2632564145606011E-14</v>
      </c>
    </row>
    <row r="726" spans="11:12" x14ac:dyDescent="0.4">
      <c r="K726" s="7">
        <v>724</v>
      </c>
      <c r="L726" s="65">
        <v>-49.500000000000043</v>
      </c>
    </row>
    <row r="727" spans="11:12" x14ac:dyDescent="0.4">
      <c r="K727" s="7">
        <v>725</v>
      </c>
      <c r="L727" s="65">
        <v>-56.900000000000041</v>
      </c>
    </row>
    <row r="728" spans="11:12" x14ac:dyDescent="0.4">
      <c r="K728" s="7">
        <v>726</v>
      </c>
      <c r="L728" s="65">
        <v>-4.2632564145606011E-14</v>
      </c>
    </row>
    <row r="729" spans="11:12" x14ac:dyDescent="0.4">
      <c r="K729" s="7">
        <v>727</v>
      </c>
      <c r="L729" s="65">
        <v>-36.400000000000041</v>
      </c>
    </row>
    <row r="730" spans="11:12" x14ac:dyDescent="0.4">
      <c r="K730" s="7">
        <v>728</v>
      </c>
      <c r="L730" s="65">
        <v>-32.700000000000038</v>
      </c>
    </row>
    <row r="731" spans="11:12" x14ac:dyDescent="0.4">
      <c r="K731" s="7">
        <v>729</v>
      </c>
      <c r="L731" s="65">
        <v>-3.5527136788005009E-14</v>
      </c>
    </row>
    <row r="732" spans="11:12" x14ac:dyDescent="0.4">
      <c r="K732" s="7">
        <v>730</v>
      </c>
      <c r="L732" s="65">
        <v>34.999999999999964</v>
      </c>
    </row>
    <row r="733" spans="11:12" x14ac:dyDescent="0.4">
      <c r="K733" s="7">
        <v>731</v>
      </c>
      <c r="L733" s="65">
        <v>-1.3000000000000327</v>
      </c>
    </row>
    <row r="734" spans="11:12" x14ac:dyDescent="0.4">
      <c r="K734" s="7">
        <v>732</v>
      </c>
      <c r="L734" s="65">
        <v>-3.2640556923979602E-14</v>
      </c>
    </row>
    <row r="735" spans="11:12" x14ac:dyDescent="0.4">
      <c r="K735" s="7">
        <v>733</v>
      </c>
      <c r="L735" s="65">
        <v>-16.600000000000033</v>
      </c>
    </row>
    <row r="736" spans="11:12" x14ac:dyDescent="0.4">
      <c r="K736" s="7">
        <v>734</v>
      </c>
      <c r="L736" s="65">
        <v>-14.600000000000033</v>
      </c>
    </row>
    <row r="737" spans="11:12" x14ac:dyDescent="0.4">
      <c r="K737" s="7">
        <v>735</v>
      </c>
      <c r="L737" s="65">
        <v>-3.3750779948604759E-14</v>
      </c>
    </row>
    <row r="738" spans="11:12" x14ac:dyDescent="0.4">
      <c r="K738" s="7">
        <v>736</v>
      </c>
      <c r="L738" s="65">
        <v>45.899999999999963</v>
      </c>
    </row>
    <row r="739" spans="11:12" x14ac:dyDescent="0.4">
      <c r="K739" s="7">
        <v>737</v>
      </c>
      <c r="L739" s="65">
        <v>10.499999999999964</v>
      </c>
    </row>
    <row r="740" spans="11:12" x14ac:dyDescent="0.4">
      <c r="K740" s="7">
        <v>738</v>
      </c>
      <c r="L740" s="65">
        <v>-3.5527136788005009E-14</v>
      </c>
    </row>
    <row r="741" spans="11:12" x14ac:dyDescent="0.4">
      <c r="K741" s="7">
        <v>739</v>
      </c>
      <c r="L741" s="65">
        <v>45.599999999999966</v>
      </c>
    </row>
    <row r="742" spans="11:12" x14ac:dyDescent="0.4">
      <c r="K742" s="7">
        <v>740</v>
      </c>
      <c r="L742" s="65">
        <v>57.199999999999967</v>
      </c>
    </row>
    <row r="743" spans="11:12" x14ac:dyDescent="0.4">
      <c r="K743" s="7">
        <v>741</v>
      </c>
      <c r="L743" s="65">
        <v>-3.5527136788005009E-14</v>
      </c>
    </row>
    <row r="744" spans="11:12" x14ac:dyDescent="0.4">
      <c r="K744" s="7">
        <v>742</v>
      </c>
      <c r="L744" s="65">
        <v>11.399999999999965</v>
      </c>
    </row>
    <row r="745" spans="11:12" x14ac:dyDescent="0.4">
      <c r="K745" s="7">
        <v>743</v>
      </c>
      <c r="L745" s="65">
        <v>49.499999999999964</v>
      </c>
    </row>
    <row r="746" spans="11:12" x14ac:dyDescent="0.4">
      <c r="K746" s="7">
        <v>744</v>
      </c>
      <c r="L746" s="65">
        <v>-3.5527136788005009E-14</v>
      </c>
    </row>
    <row r="747" spans="11:12" x14ac:dyDescent="0.4">
      <c r="K747" s="7">
        <v>745</v>
      </c>
      <c r="L747" s="65">
        <v>-3.8000000000000353</v>
      </c>
    </row>
    <row r="748" spans="11:12" x14ac:dyDescent="0.4">
      <c r="K748" s="7">
        <v>746</v>
      </c>
      <c r="L748" s="65">
        <v>-28.300000000000036</v>
      </c>
    </row>
    <row r="749" spans="11:12" x14ac:dyDescent="0.4">
      <c r="K749" s="7">
        <v>747</v>
      </c>
      <c r="L749" s="65">
        <v>-3.5527136788005009E-14</v>
      </c>
    </row>
    <row r="750" spans="11:12" x14ac:dyDescent="0.4">
      <c r="K750" s="7">
        <v>748</v>
      </c>
      <c r="L750" s="65">
        <v>42.499999999999964</v>
      </c>
    </row>
    <row r="751" spans="11:12" x14ac:dyDescent="0.4">
      <c r="K751" s="7">
        <v>749</v>
      </c>
      <c r="L751" s="65">
        <v>-3.9000000000000341</v>
      </c>
    </row>
    <row r="752" spans="11:12" x14ac:dyDescent="0.4">
      <c r="K752" s="7">
        <v>750</v>
      </c>
      <c r="L752" s="65">
        <v>-3.4194869158454821E-14</v>
      </c>
    </row>
    <row r="753" spans="11:12" x14ac:dyDescent="0.4">
      <c r="K753" s="7">
        <v>751</v>
      </c>
      <c r="L753" s="65">
        <v>-25.200000000000035</v>
      </c>
    </row>
    <row r="754" spans="11:12" x14ac:dyDescent="0.4">
      <c r="K754" s="7">
        <v>752</v>
      </c>
      <c r="L754" s="65">
        <v>1.7999999999999652</v>
      </c>
    </row>
    <row r="755" spans="11:12" x14ac:dyDescent="0.4">
      <c r="K755" s="7">
        <v>753</v>
      </c>
      <c r="L755" s="65">
        <v>-3.4861002973229915E-14</v>
      </c>
    </row>
    <row r="756" spans="11:12" x14ac:dyDescent="0.4">
      <c r="K756" s="7">
        <v>754</v>
      </c>
      <c r="L756" s="65">
        <v>44.399999999999963</v>
      </c>
    </row>
    <row r="757" spans="11:12" x14ac:dyDescent="0.4">
      <c r="K757" s="7">
        <v>755</v>
      </c>
      <c r="L757" s="65">
        <v>2.9999999999999645</v>
      </c>
    </row>
    <row r="758" spans="11:12" x14ac:dyDescent="0.4">
      <c r="K758" s="7">
        <v>756</v>
      </c>
      <c r="L758" s="65">
        <v>-3.5527136788005009E-14</v>
      </c>
    </row>
    <row r="759" spans="11:12" x14ac:dyDescent="0.4">
      <c r="K759" s="7">
        <v>757</v>
      </c>
      <c r="L759" s="65">
        <v>26.199999999999964</v>
      </c>
    </row>
    <row r="760" spans="11:12" x14ac:dyDescent="0.4">
      <c r="K760" s="7">
        <v>758</v>
      </c>
      <c r="L760" s="65">
        <v>-15.400000000000038</v>
      </c>
    </row>
    <row r="761" spans="11:12" x14ac:dyDescent="0.4">
      <c r="K761" s="7">
        <v>759</v>
      </c>
      <c r="L761" s="65">
        <v>-3.730349362740526E-14</v>
      </c>
    </row>
    <row r="762" spans="11:12" x14ac:dyDescent="0.4">
      <c r="K762" s="7">
        <v>760</v>
      </c>
      <c r="L762" s="65">
        <v>0.89999999999996272</v>
      </c>
    </row>
    <row r="763" spans="11:12" x14ac:dyDescent="0.4">
      <c r="K763" s="7">
        <v>761</v>
      </c>
      <c r="L763" s="65">
        <v>41.799999999999962</v>
      </c>
    </row>
    <row r="764" spans="11:12" x14ac:dyDescent="0.4">
      <c r="K764" s="7">
        <v>762</v>
      </c>
      <c r="L764" s="65">
        <v>-3.5527136788005009E-14</v>
      </c>
    </row>
    <row r="765" spans="11:12" x14ac:dyDescent="0.4">
      <c r="K765" s="7">
        <v>763</v>
      </c>
      <c r="L765" s="65">
        <v>34.499999999999964</v>
      </c>
    </row>
    <row r="766" spans="11:12" x14ac:dyDescent="0.4">
      <c r="K766" s="7">
        <v>764</v>
      </c>
      <c r="L766" s="65">
        <v>29.099999999999966</v>
      </c>
    </row>
    <row r="767" spans="11:12" x14ac:dyDescent="0.4">
      <c r="K767" s="7">
        <v>765</v>
      </c>
      <c r="L767" s="65">
        <v>-3.5527136788005009E-14</v>
      </c>
    </row>
    <row r="768" spans="11:12" x14ac:dyDescent="0.4">
      <c r="K768" s="7">
        <v>766</v>
      </c>
      <c r="L768" s="65">
        <v>2.3999999999999644</v>
      </c>
    </row>
    <row r="769" spans="11:12" x14ac:dyDescent="0.4">
      <c r="K769" s="7">
        <v>767</v>
      </c>
      <c r="L769" s="65">
        <v>16.999999999999964</v>
      </c>
    </row>
    <row r="770" spans="11:12" x14ac:dyDescent="0.4">
      <c r="K770" s="7">
        <v>768</v>
      </c>
      <c r="L770" s="65">
        <v>-3.5527136788005009E-14</v>
      </c>
    </row>
    <row r="771" spans="11:12" x14ac:dyDescent="0.4">
      <c r="K771" s="7">
        <v>769</v>
      </c>
      <c r="L771" s="65">
        <v>-7.2000000000000357</v>
      </c>
    </row>
    <row r="772" spans="11:12" x14ac:dyDescent="0.4">
      <c r="K772" s="7">
        <v>770</v>
      </c>
      <c r="L772" s="65">
        <v>-42.80000000000004</v>
      </c>
    </row>
    <row r="773" spans="11:12" x14ac:dyDescent="0.4">
      <c r="K773" s="7">
        <v>771</v>
      </c>
      <c r="L773" s="65">
        <v>-4.2632564145606011E-14</v>
      </c>
    </row>
    <row r="774" spans="11:12" x14ac:dyDescent="0.4">
      <c r="K774" s="7">
        <v>772</v>
      </c>
      <c r="L774" s="65">
        <v>-26.700000000000042</v>
      </c>
    </row>
    <row r="775" spans="11:12" x14ac:dyDescent="0.4">
      <c r="K775" s="7">
        <v>773</v>
      </c>
      <c r="L775" s="65">
        <v>-34.80000000000004</v>
      </c>
    </row>
    <row r="776" spans="11:12" x14ac:dyDescent="0.4">
      <c r="K776" s="7">
        <v>774</v>
      </c>
      <c r="L776" s="65">
        <v>-4.2632564145606011E-14</v>
      </c>
    </row>
    <row r="777" spans="11:12" x14ac:dyDescent="0.4">
      <c r="K777" s="7">
        <v>775</v>
      </c>
      <c r="L777" s="65">
        <v>-19.000000000000043</v>
      </c>
    </row>
    <row r="778" spans="11:12" x14ac:dyDescent="0.4">
      <c r="K778" s="7">
        <v>776</v>
      </c>
      <c r="L778" s="65">
        <v>-4.2632564145606011E-14</v>
      </c>
    </row>
    <row r="779" spans="11:12" x14ac:dyDescent="0.4">
      <c r="K779" s="7">
        <v>777</v>
      </c>
      <c r="L779" s="65">
        <v>-4.2632564145606011E-14</v>
      </c>
    </row>
    <row r="780" spans="11:12" x14ac:dyDescent="0.4">
      <c r="K780" s="7">
        <v>778</v>
      </c>
      <c r="L780" s="65">
        <v>6.599999999999957</v>
      </c>
    </row>
    <row r="781" spans="11:12" x14ac:dyDescent="0.4">
      <c r="K781" s="7">
        <v>779</v>
      </c>
      <c r="L781" s="65">
        <v>-18.200000000000045</v>
      </c>
    </row>
    <row r="782" spans="11:12" x14ac:dyDescent="0.4">
      <c r="K782" s="7">
        <v>780</v>
      </c>
      <c r="L782" s="65">
        <v>-4.6185277824406512E-14</v>
      </c>
    </row>
    <row r="783" spans="11:12" x14ac:dyDescent="0.4">
      <c r="K783" s="7">
        <v>781</v>
      </c>
      <c r="L783" s="65">
        <v>-36.600000000000051</v>
      </c>
    </row>
    <row r="784" spans="11:12" x14ac:dyDescent="0.4">
      <c r="K784" s="7">
        <v>782</v>
      </c>
      <c r="L784" s="65">
        <v>1.7999999999999474</v>
      </c>
    </row>
    <row r="785" spans="11:12" x14ac:dyDescent="0.4">
      <c r="K785" s="7">
        <v>783</v>
      </c>
      <c r="L785" s="65">
        <v>-5.262457136723242E-14</v>
      </c>
    </row>
    <row r="786" spans="11:12" x14ac:dyDescent="0.4">
      <c r="K786" s="7">
        <v>784</v>
      </c>
      <c r="L786" s="65">
        <v>23.499999999999947</v>
      </c>
    </row>
    <row r="787" spans="11:12" x14ac:dyDescent="0.4">
      <c r="K787" s="7">
        <v>785</v>
      </c>
      <c r="L787" s="65">
        <v>29.899999999999949</v>
      </c>
    </row>
    <row r="788" spans="11:12" x14ac:dyDescent="0.4">
      <c r="K788" s="7">
        <v>786</v>
      </c>
      <c r="L788" s="65">
        <v>-4.9737991503207013E-14</v>
      </c>
    </row>
    <row r="789" spans="11:12" x14ac:dyDescent="0.4">
      <c r="K789" s="7">
        <v>787</v>
      </c>
      <c r="L789" s="65">
        <v>36.199999999999953</v>
      </c>
    </row>
    <row r="790" spans="11:12" x14ac:dyDescent="0.4">
      <c r="K790" s="7">
        <v>788</v>
      </c>
      <c r="L790" s="65">
        <v>9.8999999999999524</v>
      </c>
    </row>
    <row r="791" spans="11:12" x14ac:dyDescent="0.4">
      <c r="K791" s="7">
        <v>789</v>
      </c>
      <c r="L791" s="65">
        <v>-4.7961634663806763E-14</v>
      </c>
    </row>
    <row r="792" spans="11:12" x14ac:dyDescent="0.4">
      <c r="K792" s="7">
        <v>790</v>
      </c>
      <c r="L792" s="65">
        <v>-32.50000000000005</v>
      </c>
    </row>
    <row r="793" spans="11:12" x14ac:dyDescent="0.4">
      <c r="K793" s="7">
        <v>791</v>
      </c>
      <c r="L793" s="65">
        <v>-30.400000000000048</v>
      </c>
    </row>
    <row r="794" spans="11:12" x14ac:dyDescent="0.4">
      <c r="K794" s="7">
        <v>792</v>
      </c>
      <c r="L794" s="65">
        <v>-4.9737991503207013E-14</v>
      </c>
    </row>
    <row r="795" spans="11:12" x14ac:dyDescent="0.4">
      <c r="K795" s="7">
        <v>793</v>
      </c>
      <c r="L795" s="65">
        <v>42.399999999999949</v>
      </c>
    </row>
    <row r="796" spans="11:12" x14ac:dyDescent="0.4">
      <c r="K796" s="7">
        <v>794</v>
      </c>
      <c r="L796" s="65">
        <v>34.099999999999952</v>
      </c>
    </row>
    <row r="797" spans="11:12" x14ac:dyDescent="0.4">
      <c r="K797" s="7">
        <v>795</v>
      </c>
      <c r="L797" s="65">
        <v>-4.9737991503207013E-14</v>
      </c>
    </row>
    <row r="798" spans="11:12" x14ac:dyDescent="0.4">
      <c r="K798" s="7">
        <v>796</v>
      </c>
      <c r="L798" s="65">
        <v>32.899999999999949</v>
      </c>
    </row>
    <row r="799" spans="11:12" x14ac:dyDescent="0.4">
      <c r="K799" s="7">
        <v>797</v>
      </c>
      <c r="L799" s="65">
        <v>37.099999999999952</v>
      </c>
    </row>
    <row r="800" spans="11:12" x14ac:dyDescent="0.4">
      <c r="K800" s="7">
        <v>798</v>
      </c>
      <c r="L800" s="65">
        <v>-4.9737991503207013E-14</v>
      </c>
    </row>
    <row r="801" spans="11:12" x14ac:dyDescent="0.4">
      <c r="K801" s="7">
        <v>799</v>
      </c>
      <c r="L801" s="65">
        <v>-31.900000000000048</v>
      </c>
    </row>
    <row r="802" spans="11:12" x14ac:dyDescent="0.4">
      <c r="K802" s="7">
        <v>800</v>
      </c>
      <c r="L802" s="65">
        <v>-36.700000000000045</v>
      </c>
    </row>
    <row r="803" spans="11:12" x14ac:dyDescent="0.4">
      <c r="K803" s="7">
        <v>801</v>
      </c>
      <c r="L803" s="65">
        <v>-4.2632564145606011E-14</v>
      </c>
    </row>
    <row r="804" spans="11:12" x14ac:dyDescent="0.4">
      <c r="K804" s="7">
        <v>802</v>
      </c>
      <c r="L804" s="65">
        <v>50.099999999999959</v>
      </c>
    </row>
    <row r="805" spans="11:12" x14ac:dyDescent="0.4">
      <c r="K805" s="7">
        <v>803</v>
      </c>
      <c r="L805" s="65">
        <v>39.599999999999959</v>
      </c>
    </row>
    <row r="806" spans="11:12" x14ac:dyDescent="0.4">
      <c r="K806" s="7">
        <v>804</v>
      </c>
      <c r="L806" s="65">
        <v>-4.2632564145606011E-14</v>
      </c>
    </row>
    <row r="807" spans="11:12" x14ac:dyDescent="0.4">
      <c r="K807" s="7">
        <v>805</v>
      </c>
      <c r="L807" s="65">
        <v>6.3999999999999577</v>
      </c>
    </row>
    <row r="808" spans="11:12" x14ac:dyDescent="0.4">
      <c r="K808" s="7">
        <v>806</v>
      </c>
      <c r="L808" s="65">
        <v>-23.500000000000043</v>
      </c>
    </row>
    <row r="809" spans="11:12" x14ac:dyDescent="0.4">
      <c r="K809" s="7">
        <v>807</v>
      </c>
      <c r="L809" s="65">
        <v>-4.2632564145606011E-14</v>
      </c>
    </row>
    <row r="810" spans="11:12" x14ac:dyDescent="0.4">
      <c r="K810" s="7">
        <v>808</v>
      </c>
      <c r="L810" s="65">
        <v>-3.6000000000000427</v>
      </c>
    </row>
    <row r="811" spans="11:12" x14ac:dyDescent="0.4">
      <c r="K811" s="7">
        <v>809</v>
      </c>
      <c r="L811" s="65">
        <v>17.999999999999957</v>
      </c>
    </row>
    <row r="812" spans="11:12" x14ac:dyDescent="0.4">
      <c r="K812" s="7">
        <v>810</v>
      </c>
      <c r="L812" s="65">
        <v>-4.2632564145606011E-14</v>
      </c>
    </row>
    <row r="813" spans="11:12" x14ac:dyDescent="0.4">
      <c r="K813" s="7">
        <v>811</v>
      </c>
      <c r="L813" s="65">
        <v>9.3999999999999577</v>
      </c>
    </row>
    <row r="814" spans="11:12" x14ac:dyDescent="0.4">
      <c r="K814" s="7">
        <v>812</v>
      </c>
      <c r="L814" s="65">
        <v>47.299999999999955</v>
      </c>
    </row>
    <row r="815" spans="11:12" x14ac:dyDescent="0.4">
      <c r="K815" s="7">
        <v>813</v>
      </c>
      <c r="L815" s="65">
        <v>-4.2632564145606011E-14</v>
      </c>
    </row>
    <row r="816" spans="11:12" x14ac:dyDescent="0.4">
      <c r="K816" s="7">
        <v>814</v>
      </c>
      <c r="L816" s="65">
        <v>-13.200000000000042</v>
      </c>
    </row>
    <row r="817" spans="11:12" x14ac:dyDescent="0.4">
      <c r="K817" s="7">
        <v>815</v>
      </c>
      <c r="L817" s="65">
        <v>-13.500000000000043</v>
      </c>
    </row>
    <row r="818" spans="11:12" x14ac:dyDescent="0.4">
      <c r="K818" s="7">
        <v>816</v>
      </c>
      <c r="L818" s="65">
        <v>-4.2632564145606011E-14</v>
      </c>
    </row>
    <row r="819" spans="11:12" x14ac:dyDescent="0.4">
      <c r="K819" s="7">
        <v>817</v>
      </c>
      <c r="L819" s="65">
        <v>-29.000000000000043</v>
      </c>
    </row>
    <row r="820" spans="11:12" x14ac:dyDescent="0.4">
      <c r="K820" s="7">
        <v>818</v>
      </c>
      <c r="L820" s="65">
        <v>49.299999999999955</v>
      </c>
    </row>
    <row r="821" spans="11:12" x14ac:dyDescent="0.4">
      <c r="K821" s="7">
        <v>819</v>
      </c>
      <c r="L821" s="65">
        <v>-4.2632564145606011E-14</v>
      </c>
    </row>
    <row r="822" spans="11:12" x14ac:dyDescent="0.4">
      <c r="K822" s="7">
        <v>820</v>
      </c>
      <c r="L822" s="65">
        <v>15.599999999999957</v>
      </c>
    </row>
    <row r="823" spans="11:12" x14ac:dyDescent="0.4">
      <c r="K823" s="7">
        <v>821</v>
      </c>
      <c r="L823" s="65">
        <v>52.499999999999957</v>
      </c>
    </row>
    <row r="824" spans="11:12" x14ac:dyDescent="0.4">
      <c r="K824" s="7">
        <v>822</v>
      </c>
      <c r="L824" s="65">
        <v>-4.2632564145606011E-14</v>
      </c>
    </row>
    <row r="825" spans="11:12" x14ac:dyDescent="0.4">
      <c r="K825" s="7">
        <v>823</v>
      </c>
      <c r="L825" s="65">
        <v>-1.5000000000000426</v>
      </c>
    </row>
    <row r="826" spans="11:12" x14ac:dyDescent="0.4">
      <c r="K826" s="7">
        <v>824</v>
      </c>
      <c r="L826" s="65">
        <v>20.199999999999957</v>
      </c>
    </row>
    <row r="827" spans="11:12" x14ac:dyDescent="0.4">
      <c r="K827" s="7">
        <v>825</v>
      </c>
      <c r="L827" s="65">
        <v>-4.2632564145606011E-14</v>
      </c>
    </row>
    <row r="828" spans="11:12" x14ac:dyDescent="0.4">
      <c r="K828" s="7">
        <v>826</v>
      </c>
      <c r="L828" s="65">
        <v>-30.000000000000043</v>
      </c>
    </row>
    <row r="829" spans="11:12" x14ac:dyDescent="0.4">
      <c r="K829" s="7">
        <v>827</v>
      </c>
      <c r="L829" s="65">
        <v>0.99999999999995737</v>
      </c>
    </row>
    <row r="830" spans="11:12" x14ac:dyDescent="0.4">
      <c r="K830" s="7">
        <v>828</v>
      </c>
      <c r="L830" s="65">
        <v>-4.2632564145606011E-14</v>
      </c>
    </row>
    <row r="831" spans="11:12" x14ac:dyDescent="0.4">
      <c r="K831" s="7">
        <v>829</v>
      </c>
      <c r="L831" s="65">
        <v>-56.000000000000043</v>
      </c>
    </row>
    <row r="832" spans="11:12" x14ac:dyDescent="0.4">
      <c r="K832" s="7">
        <v>830</v>
      </c>
      <c r="L832" s="65">
        <v>-46.500000000000043</v>
      </c>
    </row>
    <row r="833" spans="11:12" x14ac:dyDescent="0.4">
      <c r="K833" s="7">
        <v>831</v>
      </c>
      <c r="L833" s="65">
        <v>-4.2632564145606011E-14</v>
      </c>
    </row>
    <row r="834" spans="11:12" x14ac:dyDescent="0.4">
      <c r="K834" s="7">
        <v>832</v>
      </c>
      <c r="L834" s="65">
        <v>-22.300000000000043</v>
      </c>
    </row>
    <row r="835" spans="11:12" x14ac:dyDescent="0.4">
      <c r="K835" s="7">
        <v>833</v>
      </c>
      <c r="L835" s="65">
        <v>-19.100000000000044</v>
      </c>
    </row>
    <row r="836" spans="11:12" x14ac:dyDescent="0.4">
      <c r="K836" s="7">
        <v>834</v>
      </c>
      <c r="L836" s="65">
        <v>-4.2632564145606011E-14</v>
      </c>
    </row>
    <row r="837" spans="11:12" x14ac:dyDescent="0.4">
      <c r="K837" s="7">
        <v>835</v>
      </c>
      <c r="L837" s="65">
        <v>-48.600000000000044</v>
      </c>
    </row>
    <row r="838" spans="11:12" x14ac:dyDescent="0.4">
      <c r="K838" s="7">
        <v>836</v>
      </c>
      <c r="L838" s="65">
        <v>-48.800000000000047</v>
      </c>
    </row>
    <row r="839" spans="11:12" x14ac:dyDescent="0.4">
      <c r="K839" s="7">
        <v>837</v>
      </c>
      <c r="L839" s="65">
        <v>-4.9737991503207013E-14</v>
      </c>
    </row>
    <row r="840" spans="11:12" x14ac:dyDescent="0.4">
      <c r="K840" s="7">
        <v>838</v>
      </c>
      <c r="L840" s="65">
        <v>-29.200000000000049</v>
      </c>
    </row>
    <row r="841" spans="11:12" x14ac:dyDescent="0.4">
      <c r="K841" s="7">
        <v>839</v>
      </c>
      <c r="L841" s="65">
        <v>-30.700000000000049</v>
      </c>
    </row>
    <row r="842" spans="11:12" x14ac:dyDescent="0.4">
      <c r="K842" s="7">
        <v>840</v>
      </c>
      <c r="L842" s="65">
        <v>-4.9737991503207013E-14</v>
      </c>
    </row>
    <row r="843" spans="11:12" x14ac:dyDescent="0.4">
      <c r="K843" s="7">
        <v>841</v>
      </c>
      <c r="L843" s="65">
        <v>-20.600000000000051</v>
      </c>
    </row>
    <row r="844" spans="11:12" x14ac:dyDescent="0.4">
      <c r="K844" s="7">
        <v>842</v>
      </c>
      <c r="L844" s="65">
        <v>39.599999999999952</v>
      </c>
    </row>
    <row r="845" spans="11:12" x14ac:dyDescent="0.4">
      <c r="K845" s="7">
        <v>843</v>
      </c>
      <c r="L845" s="65">
        <v>-4.9737991503207013E-14</v>
      </c>
    </row>
    <row r="846" spans="11:12" x14ac:dyDescent="0.4">
      <c r="K846" s="7">
        <v>844</v>
      </c>
      <c r="L846" s="65">
        <v>34.399999999999949</v>
      </c>
    </row>
    <row r="847" spans="11:12" x14ac:dyDescent="0.4">
      <c r="K847" s="7">
        <v>845</v>
      </c>
      <c r="L847" s="65">
        <v>22.899999999999949</v>
      </c>
    </row>
    <row r="848" spans="11:12" x14ac:dyDescent="0.4">
      <c r="K848" s="7">
        <v>846</v>
      </c>
      <c r="L848" s="65">
        <v>-4.9737991503207013E-14</v>
      </c>
    </row>
    <row r="849" spans="11:12" x14ac:dyDescent="0.4">
      <c r="K849" s="7">
        <v>847</v>
      </c>
      <c r="L849" s="65">
        <v>4.1999999999999504</v>
      </c>
    </row>
    <row r="850" spans="11:12" x14ac:dyDescent="0.4">
      <c r="K850" s="7">
        <v>848</v>
      </c>
      <c r="L850" s="65">
        <v>34.399999999999949</v>
      </c>
    </row>
    <row r="851" spans="11:12" x14ac:dyDescent="0.4">
      <c r="K851" s="7">
        <v>849</v>
      </c>
      <c r="L851" s="65">
        <v>-4.9737991503207013E-14</v>
      </c>
    </row>
    <row r="852" spans="11:12" x14ac:dyDescent="0.4">
      <c r="K852" s="7">
        <v>850</v>
      </c>
      <c r="L852" s="65">
        <v>-28.80000000000005</v>
      </c>
    </row>
    <row r="853" spans="11:12" x14ac:dyDescent="0.4">
      <c r="K853" s="7">
        <v>851</v>
      </c>
      <c r="L853" s="65">
        <v>-87.100000000000051</v>
      </c>
    </row>
    <row r="854" spans="11:12" x14ac:dyDescent="0.4">
      <c r="K854" s="7">
        <v>852</v>
      </c>
      <c r="L854" s="65">
        <v>-5.6843418860808015E-14</v>
      </c>
    </row>
    <row r="855" spans="11:12" x14ac:dyDescent="0.4">
      <c r="K855" s="7">
        <v>853</v>
      </c>
      <c r="L855" s="65">
        <v>2.799999999999943</v>
      </c>
    </row>
    <row r="856" spans="11:12" x14ac:dyDescent="0.4">
      <c r="K856" s="7">
        <v>854</v>
      </c>
      <c r="L856" s="65">
        <v>33.29999999999994</v>
      </c>
    </row>
    <row r="857" spans="11:12" x14ac:dyDescent="0.4">
      <c r="K857" s="7">
        <v>855</v>
      </c>
      <c r="L857" s="65">
        <v>-5.6843418860808015E-14</v>
      </c>
    </row>
    <row r="858" spans="11:12" x14ac:dyDescent="0.4">
      <c r="K858" s="7">
        <v>856</v>
      </c>
      <c r="L858" s="65">
        <v>-12.000000000000057</v>
      </c>
    </row>
    <row r="859" spans="11:12" x14ac:dyDescent="0.4">
      <c r="K859" s="7">
        <v>857</v>
      </c>
      <c r="L859" s="65">
        <v>-62.400000000000055</v>
      </c>
    </row>
    <row r="860" spans="11:12" x14ac:dyDescent="0.4">
      <c r="K860" s="7">
        <v>858</v>
      </c>
      <c r="L860" s="65">
        <v>-5.6843418860808015E-14</v>
      </c>
    </row>
    <row r="861" spans="11:12" x14ac:dyDescent="0.4">
      <c r="K861" s="7">
        <v>859</v>
      </c>
      <c r="L861" s="65">
        <v>22.099999999999945</v>
      </c>
    </row>
    <row r="862" spans="11:12" x14ac:dyDescent="0.4">
      <c r="K862" s="7">
        <v>860</v>
      </c>
      <c r="L862" s="65">
        <v>23.399999999999945</v>
      </c>
    </row>
    <row r="863" spans="11:12" x14ac:dyDescent="0.4">
      <c r="K863" s="7">
        <v>861</v>
      </c>
      <c r="L863" s="65">
        <v>-5.3290705182007514E-14</v>
      </c>
    </row>
    <row r="864" spans="11:12" x14ac:dyDescent="0.4">
      <c r="K864" s="7">
        <v>862</v>
      </c>
      <c r="L864" s="65">
        <v>60.599999999999952</v>
      </c>
    </row>
    <row r="865" spans="11:12" x14ac:dyDescent="0.4">
      <c r="K865" s="7">
        <v>863</v>
      </c>
      <c r="L865" s="65">
        <v>46.199999999999953</v>
      </c>
    </row>
    <row r="866" spans="11:12" x14ac:dyDescent="0.4">
      <c r="K866" s="7">
        <v>864</v>
      </c>
      <c r="L866" s="65">
        <v>-4.9737991503207013E-14</v>
      </c>
    </row>
    <row r="867" spans="11:12" x14ac:dyDescent="0.4">
      <c r="K867" s="7">
        <v>865</v>
      </c>
      <c r="L867" s="65">
        <v>-38.50000000000005</v>
      </c>
    </row>
    <row r="868" spans="11:12" x14ac:dyDescent="0.4">
      <c r="K868" s="7">
        <v>866</v>
      </c>
      <c r="L868" s="65">
        <v>-26.30000000000005</v>
      </c>
    </row>
    <row r="869" spans="11:12" x14ac:dyDescent="0.4">
      <c r="K869" s="7">
        <v>867</v>
      </c>
      <c r="L869" s="65">
        <v>-4.9737991503207013E-14</v>
      </c>
    </row>
    <row r="870" spans="11:12" x14ac:dyDescent="0.4">
      <c r="K870" s="7">
        <v>868</v>
      </c>
      <c r="L870" s="65">
        <v>39.799999999999947</v>
      </c>
    </row>
    <row r="871" spans="11:12" x14ac:dyDescent="0.4">
      <c r="K871" s="7">
        <v>869</v>
      </c>
      <c r="L871" s="65">
        <v>-10.700000000000053</v>
      </c>
    </row>
    <row r="872" spans="11:12" x14ac:dyDescent="0.4">
      <c r="K872" s="7">
        <v>870</v>
      </c>
      <c r="L872" s="65">
        <v>-5.3290705182007514E-14</v>
      </c>
    </row>
    <row r="873" spans="11:12" x14ac:dyDescent="0.4">
      <c r="K873" s="7">
        <v>871</v>
      </c>
      <c r="L873" s="65">
        <v>-32.000000000000057</v>
      </c>
    </row>
    <row r="874" spans="11:12" x14ac:dyDescent="0.4">
      <c r="K874" s="7">
        <v>872</v>
      </c>
      <c r="L874" s="65">
        <v>1.8999999999999417</v>
      </c>
    </row>
    <row r="875" spans="11:12" x14ac:dyDescent="0.4">
      <c r="K875" s="7">
        <v>873</v>
      </c>
      <c r="L875" s="65">
        <v>-5.8175686490358203E-14</v>
      </c>
    </row>
    <row r="876" spans="11:12" x14ac:dyDescent="0.4">
      <c r="K876" s="7">
        <v>874</v>
      </c>
      <c r="L876" s="65">
        <v>-42.300000000000054</v>
      </c>
    </row>
    <row r="877" spans="11:12" x14ac:dyDescent="0.4">
      <c r="K877" s="7">
        <v>875</v>
      </c>
      <c r="L877" s="65">
        <v>-60.800000000000054</v>
      </c>
    </row>
    <row r="878" spans="11:12" x14ac:dyDescent="0.4">
      <c r="K878" s="7">
        <v>876</v>
      </c>
      <c r="L878" s="65">
        <v>-5.6843418860808015E-14</v>
      </c>
    </row>
    <row r="879" spans="11:12" x14ac:dyDescent="0.4">
      <c r="K879" s="7">
        <v>877</v>
      </c>
      <c r="L879" s="65">
        <v>32.999999999999943</v>
      </c>
    </row>
    <row r="880" spans="11:12" x14ac:dyDescent="0.4">
      <c r="K880" s="7">
        <v>878</v>
      </c>
      <c r="L880" s="65">
        <v>-2.0000000000000568</v>
      </c>
    </row>
    <row r="881" spans="11:12" x14ac:dyDescent="0.4">
      <c r="K881" s="7">
        <v>879</v>
      </c>
      <c r="L881" s="65">
        <v>-5.6843418860808015E-14</v>
      </c>
    </row>
    <row r="882" spans="11:12" x14ac:dyDescent="0.4">
      <c r="K882" s="7">
        <v>880</v>
      </c>
      <c r="L882" s="65">
        <v>26.799999999999944</v>
      </c>
    </row>
    <row r="883" spans="11:12" x14ac:dyDescent="0.4">
      <c r="K883" s="7">
        <v>881</v>
      </c>
      <c r="L883" s="65">
        <v>32.199999999999946</v>
      </c>
    </row>
    <row r="884" spans="11:12" x14ac:dyDescent="0.4">
      <c r="K884" s="7">
        <v>882</v>
      </c>
      <c r="L884" s="65">
        <v>-5.6843418860808015E-14</v>
      </c>
    </row>
    <row r="885" spans="11:12" x14ac:dyDescent="0.4">
      <c r="K885" s="7">
        <v>883</v>
      </c>
      <c r="L885" s="65">
        <v>45.199999999999946</v>
      </c>
    </row>
    <row r="886" spans="11:12" x14ac:dyDescent="0.4">
      <c r="K886" s="7">
        <v>884</v>
      </c>
      <c r="L886" s="65">
        <v>10.199999999999946</v>
      </c>
    </row>
    <row r="887" spans="11:12" x14ac:dyDescent="0.4">
      <c r="K887" s="7">
        <v>885</v>
      </c>
      <c r="L887" s="65">
        <v>-5.3290705182007514E-14</v>
      </c>
    </row>
    <row r="888" spans="11:12" x14ac:dyDescent="0.4">
      <c r="K888" s="7">
        <v>886</v>
      </c>
      <c r="L888" s="65">
        <v>-12.500000000000053</v>
      </c>
    </row>
    <row r="889" spans="11:12" x14ac:dyDescent="0.4">
      <c r="K889" s="7">
        <v>887</v>
      </c>
      <c r="L889" s="65">
        <v>-12.200000000000053</v>
      </c>
    </row>
    <row r="890" spans="11:12" x14ac:dyDescent="0.4">
      <c r="K890" s="7">
        <v>888</v>
      </c>
      <c r="L890" s="65">
        <v>-5.3290705182007514E-14</v>
      </c>
    </row>
    <row r="891" spans="11:12" x14ac:dyDescent="0.4">
      <c r="K891" s="7">
        <v>889</v>
      </c>
      <c r="L891" s="65">
        <v>-65.500000000000057</v>
      </c>
    </row>
    <row r="892" spans="11:12" x14ac:dyDescent="0.4">
      <c r="K892" s="7">
        <v>890</v>
      </c>
      <c r="L892" s="65">
        <v>-12.000000000000057</v>
      </c>
    </row>
    <row r="893" spans="11:12" x14ac:dyDescent="0.4">
      <c r="K893" s="7">
        <v>891</v>
      </c>
      <c r="L893" s="65">
        <v>-5.6843418860808015E-14</v>
      </c>
    </row>
    <row r="894" spans="11:12" x14ac:dyDescent="0.4">
      <c r="K894" s="7">
        <v>892</v>
      </c>
      <c r="L894" s="65">
        <v>-9.2000000000000561</v>
      </c>
    </row>
    <row r="895" spans="11:12" x14ac:dyDescent="0.4">
      <c r="K895" s="7">
        <v>893</v>
      </c>
      <c r="L895" s="65">
        <v>-39.70000000000006</v>
      </c>
    </row>
    <row r="896" spans="11:12" x14ac:dyDescent="0.4">
      <c r="K896" s="7">
        <v>894</v>
      </c>
      <c r="L896" s="65">
        <v>-5.6843418860808015E-14</v>
      </c>
    </row>
    <row r="897" spans="11:12" x14ac:dyDescent="0.4">
      <c r="K897" s="7">
        <v>895</v>
      </c>
      <c r="L897" s="65">
        <v>-36.300000000000054</v>
      </c>
    </row>
    <row r="898" spans="11:12" x14ac:dyDescent="0.4">
      <c r="K898" s="7">
        <v>896</v>
      </c>
      <c r="L898" s="65">
        <v>-56.300000000000054</v>
      </c>
    </row>
    <row r="899" spans="11:12" x14ac:dyDescent="0.4">
      <c r="K899" s="7">
        <v>897</v>
      </c>
      <c r="L899" s="65">
        <v>-5.6843418860808015E-14</v>
      </c>
    </row>
    <row r="900" spans="11:12" x14ac:dyDescent="0.4">
      <c r="K900" s="7">
        <v>898</v>
      </c>
      <c r="L900" s="65">
        <v>-37.20000000000006</v>
      </c>
    </row>
    <row r="901" spans="11:12" x14ac:dyDescent="0.4">
      <c r="K901" s="7">
        <v>899</v>
      </c>
      <c r="L901" s="65">
        <v>-8.400000000000059</v>
      </c>
    </row>
    <row r="902" spans="11:12" x14ac:dyDescent="0.4">
      <c r="K902" s="7">
        <v>900</v>
      </c>
      <c r="L902" s="65">
        <v>-5.8619775700208265E-14</v>
      </c>
    </row>
    <row r="903" spans="11:12" x14ac:dyDescent="0.4">
      <c r="K903" s="7">
        <v>901</v>
      </c>
      <c r="L903" s="65">
        <v>-27.400000000000055</v>
      </c>
    </row>
    <row r="904" spans="11:12" x14ac:dyDescent="0.4">
      <c r="K904" s="7">
        <v>902</v>
      </c>
      <c r="L904" s="65">
        <v>-35.70000000000006</v>
      </c>
    </row>
    <row r="905" spans="11:12" x14ac:dyDescent="0.4">
      <c r="K905" s="7">
        <v>903</v>
      </c>
      <c r="L905" s="65">
        <v>-5.6843418860808015E-14</v>
      </c>
    </row>
    <row r="906" spans="11:12" x14ac:dyDescent="0.4">
      <c r="K906" s="7">
        <v>904</v>
      </c>
      <c r="L906" s="65">
        <v>-3.4000000000000568</v>
      </c>
    </row>
    <row r="907" spans="11:12" x14ac:dyDescent="0.4">
      <c r="K907" s="7">
        <v>905</v>
      </c>
      <c r="L907" s="65">
        <v>17.599999999999945</v>
      </c>
    </row>
    <row r="908" spans="11:12" x14ac:dyDescent="0.4">
      <c r="K908" s="7">
        <v>906</v>
      </c>
      <c r="L908" s="65">
        <v>-5.6843418860808015E-14</v>
      </c>
    </row>
    <row r="909" spans="11:12" x14ac:dyDescent="0.4">
      <c r="K909" s="7">
        <v>907</v>
      </c>
      <c r="L909" s="65">
        <v>-11.000000000000057</v>
      </c>
    </row>
    <row r="910" spans="11:12" x14ac:dyDescent="0.4">
      <c r="K910" s="7">
        <v>908</v>
      </c>
      <c r="L910" s="65">
        <v>27.199999999999946</v>
      </c>
    </row>
    <row r="911" spans="11:12" x14ac:dyDescent="0.4">
      <c r="K911" s="7">
        <v>909</v>
      </c>
      <c r="L911" s="65">
        <v>-5.3290705182007514E-14</v>
      </c>
    </row>
    <row r="912" spans="11:12" x14ac:dyDescent="0.4">
      <c r="K912" s="7">
        <v>910</v>
      </c>
      <c r="L912" s="65">
        <v>-28.700000000000053</v>
      </c>
    </row>
    <row r="913" spans="11:12" x14ac:dyDescent="0.4">
      <c r="K913" s="7">
        <v>911</v>
      </c>
      <c r="L913" s="65">
        <v>-27.900000000000052</v>
      </c>
    </row>
    <row r="914" spans="11:12" x14ac:dyDescent="0.4">
      <c r="K914" s="7">
        <v>912</v>
      </c>
      <c r="L914" s="65">
        <v>-5.3290705182007514E-14</v>
      </c>
    </row>
    <row r="915" spans="11:12" x14ac:dyDescent="0.4">
      <c r="K915" s="7">
        <v>913</v>
      </c>
      <c r="L915" s="65">
        <v>-44.000000000000057</v>
      </c>
    </row>
    <row r="916" spans="11:12" x14ac:dyDescent="0.4">
      <c r="K916" s="7">
        <v>914</v>
      </c>
      <c r="L916" s="65">
        <v>0.79999999999994031</v>
      </c>
    </row>
    <row r="917" spans="11:12" x14ac:dyDescent="0.4">
      <c r="K917" s="7">
        <v>915</v>
      </c>
      <c r="L917" s="65">
        <v>-5.9729998724833422E-14</v>
      </c>
    </row>
    <row r="918" spans="11:12" x14ac:dyDescent="0.4">
      <c r="K918" s="7">
        <v>916</v>
      </c>
      <c r="L918" s="65">
        <v>-18.900000000000059</v>
      </c>
    </row>
    <row r="919" spans="11:12" x14ac:dyDescent="0.4">
      <c r="K919" s="7">
        <v>917</v>
      </c>
      <c r="L919" s="65">
        <v>-56.400000000000063</v>
      </c>
    </row>
    <row r="920" spans="11:12" x14ac:dyDescent="0.4">
      <c r="K920" s="7">
        <v>918</v>
      </c>
      <c r="L920" s="65">
        <v>-6.3948846218409017E-14</v>
      </c>
    </row>
    <row r="921" spans="11:12" x14ac:dyDescent="0.4">
      <c r="K921" s="7">
        <v>919</v>
      </c>
      <c r="L921" s="65">
        <v>12.199999999999935</v>
      </c>
    </row>
    <row r="922" spans="11:12" x14ac:dyDescent="0.4">
      <c r="K922" s="7">
        <v>920</v>
      </c>
      <c r="L922" s="65">
        <v>34.499999999999936</v>
      </c>
    </row>
    <row r="923" spans="11:12" x14ac:dyDescent="0.4">
      <c r="K923" s="7">
        <v>921</v>
      </c>
      <c r="L923" s="65">
        <v>-6.3948846218409017E-14</v>
      </c>
    </row>
    <row r="924" spans="11:12" x14ac:dyDescent="0.4">
      <c r="K924" s="7">
        <v>922</v>
      </c>
      <c r="L924" s="65">
        <v>-47.000000000000064</v>
      </c>
    </row>
    <row r="925" spans="11:12" x14ac:dyDescent="0.4">
      <c r="K925" s="7">
        <v>923</v>
      </c>
      <c r="L925" s="65">
        <v>-47.300000000000061</v>
      </c>
    </row>
    <row r="926" spans="11:12" x14ac:dyDescent="0.4">
      <c r="K926" s="7">
        <v>924</v>
      </c>
      <c r="L926" s="65">
        <v>-6.3948846218409017E-14</v>
      </c>
    </row>
    <row r="927" spans="11:12" x14ac:dyDescent="0.4">
      <c r="K927" s="7">
        <v>925</v>
      </c>
      <c r="L927" s="65">
        <v>-34.500000000000064</v>
      </c>
    </row>
    <row r="928" spans="11:12" x14ac:dyDescent="0.4">
      <c r="K928" s="7">
        <v>926</v>
      </c>
      <c r="L928" s="65">
        <v>-47.500000000000064</v>
      </c>
    </row>
    <row r="929" spans="11:12" x14ac:dyDescent="0.4">
      <c r="K929" s="7">
        <v>927</v>
      </c>
      <c r="L929" s="65">
        <v>-6.3948846218409017E-14</v>
      </c>
    </row>
    <row r="930" spans="11:12" x14ac:dyDescent="0.4">
      <c r="K930" s="7">
        <v>928</v>
      </c>
      <c r="L930" s="65">
        <v>-22.000000000000064</v>
      </c>
    </row>
    <row r="931" spans="11:12" x14ac:dyDescent="0.4">
      <c r="K931" s="7">
        <v>929</v>
      </c>
      <c r="L931" s="65">
        <v>-60.700000000000067</v>
      </c>
    </row>
    <row r="932" spans="11:12" x14ac:dyDescent="0.4">
      <c r="K932" s="7">
        <v>930</v>
      </c>
      <c r="L932" s="65">
        <v>-6.3948846218409017E-14</v>
      </c>
    </row>
    <row r="933" spans="11:12" x14ac:dyDescent="0.4">
      <c r="K933" s="7">
        <v>931</v>
      </c>
      <c r="L933" s="65">
        <v>31.199999999999935</v>
      </c>
    </row>
    <row r="934" spans="11:12" x14ac:dyDescent="0.4">
      <c r="K934" s="7">
        <v>932</v>
      </c>
      <c r="L934" s="65">
        <v>6.6999999999999353</v>
      </c>
    </row>
    <row r="935" spans="11:12" x14ac:dyDescent="0.4">
      <c r="K935" s="7">
        <v>933</v>
      </c>
      <c r="L935" s="65">
        <v>-6.4837024638109142E-14</v>
      </c>
    </row>
    <row r="936" spans="11:12" x14ac:dyDescent="0.4">
      <c r="K936" s="7">
        <v>934</v>
      </c>
      <c r="L936" s="65">
        <v>-45.300000000000061</v>
      </c>
    </row>
    <row r="937" spans="11:12" x14ac:dyDescent="0.4">
      <c r="K937" s="7">
        <v>935</v>
      </c>
      <c r="L937" s="65">
        <v>-4.5000000000000639</v>
      </c>
    </row>
    <row r="938" spans="11:12" x14ac:dyDescent="0.4">
      <c r="K938" s="7">
        <v>936</v>
      </c>
      <c r="L938" s="65">
        <v>-6.3948846218409017E-14</v>
      </c>
    </row>
    <row r="939" spans="11:12" x14ac:dyDescent="0.4">
      <c r="K939" s="7">
        <v>937</v>
      </c>
      <c r="L939" s="65">
        <v>-31.700000000000063</v>
      </c>
    </row>
    <row r="940" spans="11:12" x14ac:dyDescent="0.4">
      <c r="K940" s="7">
        <v>938</v>
      </c>
      <c r="L940" s="65">
        <v>-25.200000000000063</v>
      </c>
    </row>
    <row r="941" spans="11:12" x14ac:dyDescent="0.4">
      <c r="K941" s="7">
        <v>939</v>
      </c>
      <c r="L941" s="65">
        <v>-6.3948846218409017E-14</v>
      </c>
    </row>
    <row r="942" spans="11:12" x14ac:dyDescent="0.4">
      <c r="K942" s="7">
        <v>940</v>
      </c>
      <c r="L942" s="65">
        <v>-61.300000000000061</v>
      </c>
    </row>
    <row r="943" spans="11:12" x14ac:dyDescent="0.4">
      <c r="K943" s="7">
        <v>941</v>
      </c>
      <c r="L943" s="65">
        <v>-20.100000000000058</v>
      </c>
    </row>
    <row r="944" spans="11:12" x14ac:dyDescent="0.4">
      <c r="K944" s="7">
        <v>942</v>
      </c>
      <c r="L944" s="65">
        <v>-5.6843418860808015E-14</v>
      </c>
    </row>
    <row r="945" spans="11:12" x14ac:dyDescent="0.4">
      <c r="K945" s="7">
        <v>943</v>
      </c>
      <c r="L945" s="65">
        <v>-25.700000000000056</v>
      </c>
    </row>
    <row r="946" spans="11:12" x14ac:dyDescent="0.4">
      <c r="K946" s="7">
        <v>944</v>
      </c>
      <c r="L946" s="65">
        <v>7.6999999999999424</v>
      </c>
    </row>
    <row r="947" spans="11:12" x14ac:dyDescent="0.4">
      <c r="K947" s="7">
        <v>945</v>
      </c>
      <c r="L947" s="65">
        <v>-5.773159728050814E-14</v>
      </c>
    </row>
    <row r="948" spans="11:12" x14ac:dyDescent="0.4">
      <c r="K948" s="7">
        <v>946</v>
      </c>
      <c r="L948" s="65">
        <v>-31.800000000000058</v>
      </c>
    </row>
    <row r="949" spans="11:12" x14ac:dyDescent="0.4">
      <c r="K949" s="7">
        <v>947</v>
      </c>
      <c r="L949" s="65">
        <v>-24.20000000000006</v>
      </c>
    </row>
    <row r="950" spans="11:12" x14ac:dyDescent="0.4">
      <c r="K950" s="7">
        <v>948</v>
      </c>
      <c r="L950" s="65">
        <v>-6.0396132539608516E-14</v>
      </c>
    </row>
    <row r="951" spans="11:12" x14ac:dyDescent="0.4">
      <c r="K951" s="7">
        <v>949</v>
      </c>
      <c r="L951" s="65">
        <v>-0.60000000000006037</v>
      </c>
    </row>
    <row r="952" spans="11:12" x14ac:dyDescent="0.4">
      <c r="K952" s="7">
        <v>950</v>
      </c>
      <c r="L952" s="65">
        <v>-25.200000000000063</v>
      </c>
    </row>
    <row r="953" spans="11:12" x14ac:dyDescent="0.4">
      <c r="K953" s="7">
        <v>951</v>
      </c>
      <c r="L953" s="65">
        <v>-6.3948846218409017E-14</v>
      </c>
    </row>
    <row r="954" spans="11:12" x14ac:dyDescent="0.4">
      <c r="K954" s="7">
        <v>952</v>
      </c>
      <c r="L954" s="65">
        <v>31.699999999999935</v>
      </c>
    </row>
    <row r="955" spans="11:12" x14ac:dyDescent="0.4">
      <c r="K955" s="7">
        <v>953</v>
      </c>
      <c r="L955" s="65">
        <v>23.799999999999933</v>
      </c>
    </row>
    <row r="956" spans="11:12" x14ac:dyDescent="0.4">
      <c r="K956" s="7">
        <v>954</v>
      </c>
      <c r="L956" s="65">
        <v>-6.7501559897209518E-14</v>
      </c>
    </row>
    <row r="957" spans="11:12" x14ac:dyDescent="0.4">
      <c r="K957" s="7">
        <v>955</v>
      </c>
      <c r="L957" s="65">
        <v>-7.8000000000000673</v>
      </c>
    </row>
    <row r="958" spans="11:12" x14ac:dyDescent="0.4">
      <c r="K958" s="7">
        <v>956</v>
      </c>
      <c r="L958" s="65">
        <v>-32.200000000000067</v>
      </c>
    </row>
    <row r="959" spans="11:12" x14ac:dyDescent="0.4">
      <c r="K959" s="7">
        <v>957</v>
      </c>
      <c r="L959" s="65">
        <v>-6.3948846218409017E-14</v>
      </c>
    </row>
    <row r="960" spans="11:12" x14ac:dyDescent="0.4">
      <c r="K960" s="7">
        <v>958</v>
      </c>
      <c r="L960" s="65">
        <v>-2.9000000000000639</v>
      </c>
    </row>
    <row r="961" spans="11:12" x14ac:dyDescent="0.4">
      <c r="K961" s="7">
        <v>959</v>
      </c>
      <c r="L961" s="65">
        <v>33.099999999999937</v>
      </c>
    </row>
    <row r="962" spans="11:12" x14ac:dyDescent="0.4">
      <c r="K962" s="7">
        <v>960</v>
      </c>
      <c r="L962" s="65">
        <v>-6.3948846218409017E-14</v>
      </c>
    </row>
    <row r="963" spans="11:12" x14ac:dyDescent="0.4">
      <c r="K963" s="7">
        <v>961</v>
      </c>
      <c r="L963" s="65">
        <v>31.999999999999936</v>
      </c>
    </row>
    <row r="964" spans="11:12" x14ac:dyDescent="0.4">
      <c r="K964" s="7">
        <v>962</v>
      </c>
      <c r="L964" s="65">
        <v>37.999999999999936</v>
      </c>
    </row>
    <row r="965" spans="11:12" x14ac:dyDescent="0.4">
      <c r="K965" s="7">
        <v>963</v>
      </c>
      <c r="L965" s="65">
        <v>-6.3948846218409017E-14</v>
      </c>
    </row>
    <row r="966" spans="11:12" x14ac:dyDescent="0.4">
      <c r="K966" s="7">
        <v>964</v>
      </c>
      <c r="L966" s="65">
        <v>-53.000000000000064</v>
      </c>
    </row>
    <row r="967" spans="11:12" x14ac:dyDescent="0.4">
      <c r="K967" s="7">
        <v>965</v>
      </c>
      <c r="L967" s="65">
        <v>-11.500000000000064</v>
      </c>
    </row>
    <row r="968" spans="11:12" x14ac:dyDescent="0.4">
      <c r="K968" s="7">
        <v>966</v>
      </c>
      <c r="L968" s="65">
        <v>-6.3948846218409017E-14</v>
      </c>
    </row>
    <row r="969" spans="11:12" x14ac:dyDescent="0.4">
      <c r="K969" s="7">
        <v>967</v>
      </c>
      <c r="L969" s="65">
        <v>-53.200000000000067</v>
      </c>
    </row>
    <row r="970" spans="11:12" x14ac:dyDescent="0.4">
      <c r="K970" s="7">
        <v>968</v>
      </c>
      <c r="L970" s="65">
        <v>-16.600000000000065</v>
      </c>
    </row>
    <row r="971" spans="11:12" x14ac:dyDescent="0.4">
      <c r="K971" s="7">
        <v>969</v>
      </c>
      <c r="L971" s="65">
        <v>-6.3948846218409017E-14</v>
      </c>
    </row>
    <row r="972" spans="11:12" x14ac:dyDescent="0.4">
      <c r="K972" s="7">
        <v>970</v>
      </c>
      <c r="L972" s="65">
        <v>-23.200000000000063</v>
      </c>
    </row>
    <row r="973" spans="11:12" x14ac:dyDescent="0.4">
      <c r="K973" s="7">
        <v>971</v>
      </c>
      <c r="L973" s="65">
        <v>-31.900000000000063</v>
      </c>
    </row>
    <row r="974" spans="11:12" x14ac:dyDescent="0.4">
      <c r="K974" s="7">
        <v>972</v>
      </c>
      <c r="L974" s="65">
        <v>-6.3948846218409017E-14</v>
      </c>
    </row>
    <row r="975" spans="11:12" x14ac:dyDescent="0.4">
      <c r="K975" s="7">
        <v>973</v>
      </c>
      <c r="L975" s="65">
        <v>-47.400000000000063</v>
      </c>
    </row>
    <row r="976" spans="11:12" x14ac:dyDescent="0.4">
      <c r="K976" s="7">
        <v>974</v>
      </c>
      <c r="L976" s="65">
        <v>-41.500000000000064</v>
      </c>
    </row>
    <row r="977" spans="11:12" x14ac:dyDescent="0.4">
      <c r="K977" s="7">
        <v>975</v>
      </c>
      <c r="L977" s="65">
        <v>-6.3948846218409017E-14</v>
      </c>
    </row>
    <row r="978" spans="11:12" x14ac:dyDescent="0.4">
      <c r="K978" s="7">
        <v>976</v>
      </c>
      <c r="L978" s="65">
        <v>-10.900000000000064</v>
      </c>
    </row>
    <row r="979" spans="11:12" x14ac:dyDescent="0.4">
      <c r="K979" s="7">
        <v>977</v>
      </c>
      <c r="L979" s="65">
        <v>-49.600000000000065</v>
      </c>
    </row>
    <row r="980" spans="11:12" x14ac:dyDescent="0.4">
      <c r="K980" s="7">
        <v>978</v>
      </c>
      <c r="L980" s="65">
        <v>-6.3948846218409017E-14</v>
      </c>
    </row>
    <row r="981" spans="11:12" x14ac:dyDescent="0.4">
      <c r="K981" s="7">
        <v>979</v>
      </c>
      <c r="L981" s="65">
        <v>9.1999999999999353</v>
      </c>
    </row>
    <row r="982" spans="11:12" x14ac:dyDescent="0.4">
      <c r="K982" s="7">
        <v>980</v>
      </c>
      <c r="L982" s="65">
        <v>45.499999999999929</v>
      </c>
    </row>
    <row r="983" spans="11:12" x14ac:dyDescent="0.4">
      <c r="K983" s="7">
        <v>981</v>
      </c>
      <c r="L983" s="65">
        <v>-7.1054273576010019E-14</v>
      </c>
    </row>
    <row r="984" spans="11:12" x14ac:dyDescent="0.4">
      <c r="K984" s="7">
        <v>982</v>
      </c>
      <c r="L984" s="65">
        <v>30.29999999999993</v>
      </c>
    </row>
    <row r="985" spans="11:12" x14ac:dyDescent="0.4">
      <c r="K985" s="7">
        <v>983</v>
      </c>
      <c r="L985" s="65">
        <v>46.499999999999929</v>
      </c>
    </row>
    <row r="986" spans="11:12" x14ac:dyDescent="0.4">
      <c r="K986" s="7">
        <v>984</v>
      </c>
      <c r="L986" s="65">
        <v>-7.1054273576010019E-14</v>
      </c>
    </row>
    <row r="987" spans="11:12" x14ac:dyDescent="0.4">
      <c r="K987" s="7">
        <v>985</v>
      </c>
      <c r="L987" s="65">
        <v>30.399999999999928</v>
      </c>
    </row>
    <row r="988" spans="11:12" x14ac:dyDescent="0.4">
      <c r="K988" s="7">
        <v>986</v>
      </c>
      <c r="L988" s="65">
        <v>45.499999999999929</v>
      </c>
    </row>
    <row r="989" spans="11:12" x14ac:dyDescent="0.4">
      <c r="K989" s="7">
        <v>987</v>
      </c>
      <c r="L989" s="65">
        <v>-7.1054273576010019E-14</v>
      </c>
    </row>
    <row r="990" spans="11:12" x14ac:dyDescent="0.4">
      <c r="K990" s="7">
        <v>988</v>
      </c>
      <c r="L990" s="65">
        <v>34.59999999999993</v>
      </c>
    </row>
    <row r="991" spans="11:12" x14ac:dyDescent="0.4">
      <c r="K991" s="7">
        <v>989</v>
      </c>
      <c r="L991" s="65">
        <v>-11.500000000000071</v>
      </c>
    </row>
    <row r="992" spans="11:12" x14ac:dyDescent="0.4">
      <c r="K992" s="7">
        <v>990</v>
      </c>
      <c r="L992" s="65">
        <v>-7.1054273576010019E-14</v>
      </c>
    </row>
    <row r="993" spans="11:12" x14ac:dyDescent="0.4">
      <c r="K993" s="7">
        <v>991</v>
      </c>
      <c r="L993" s="65">
        <v>1.299999999999929</v>
      </c>
    </row>
    <row r="994" spans="11:12" x14ac:dyDescent="0.4">
      <c r="K994" s="7">
        <v>992</v>
      </c>
      <c r="L994" s="65">
        <v>-15.800000000000072</v>
      </c>
    </row>
    <row r="995" spans="11:12" x14ac:dyDescent="0.4">
      <c r="K995" s="7">
        <v>993</v>
      </c>
      <c r="L995" s="65">
        <v>-7.1054273576010019E-14</v>
      </c>
    </row>
    <row r="996" spans="11:12" x14ac:dyDescent="0.4">
      <c r="K996" s="7">
        <v>994</v>
      </c>
      <c r="L996" s="65">
        <v>74.099999999999923</v>
      </c>
    </row>
    <row r="997" spans="11:12" x14ac:dyDescent="0.4">
      <c r="K997" s="7">
        <v>995</v>
      </c>
      <c r="L997" s="65">
        <v>27.499999999999922</v>
      </c>
    </row>
    <row r="998" spans="11:12" x14ac:dyDescent="0.4">
      <c r="K998" s="7">
        <v>996</v>
      </c>
      <c r="L998" s="65">
        <v>-7.815970093361102E-14</v>
      </c>
    </row>
    <row r="999" spans="11:12" x14ac:dyDescent="0.4">
      <c r="K999" s="7">
        <v>997</v>
      </c>
      <c r="L999" s="65">
        <v>62.599999999999923</v>
      </c>
    </row>
    <row r="1000" spans="11:12" x14ac:dyDescent="0.4">
      <c r="K1000" s="7">
        <v>998</v>
      </c>
      <c r="L1000" s="65">
        <v>9.4999999999999218</v>
      </c>
    </row>
    <row r="1001" spans="11:12" x14ac:dyDescent="0.4">
      <c r="K1001" s="7">
        <v>999</v>
      </c>
      <c r="L1001" s="65">
        <v>-7.815970093361102E-14</v>
      </c>
    </row>
    <row r="1002" spans="11:12" x14ac:dyDescent="0.4">
      <c r="K1002" s="7">
        <v>1000</v>
      </c>
      <c r="L1002" s="65">
        <v>-52.000000000000078</v>
      </c>
    </row>
    <row r="1003" spans="11:12" x14ac:dyDescent="0.4">
      <c r="K1003" s="7">
        <v>1001</v>
      </c>
      <c r="L1003" s="65">
        <v>-55.500000000000078</v>
      </c>
    </row>
    <row r="1004" spans="11:12" x14ac:dyDescent="0.4">
      <c r="K1004" s="7">
        <v>1002</v>
      </c>
      <c r="L1004" s="65">
        <v>-7.815970093361102E-14</v>
      </c>
    </row>
    <row r="1005" spans="11:12" x14ac:dyDescent="0.4">
      <c r="K1005" s="7">
        <v>1003</v>
      </c>
      <c r="L1005" s="65">
        <v>-45.200000000000081</v>
      </c>
    </row>
    <row r="1006" spans="11:12" x14ac:dyDescent="0.4">
      <c r="K1006" s="7">
        <v>1004</v>
      </c>
      <c r="L1006" s="65">
        <v>-28.200000000000081</v>
      </c>
    </row>
    <row r="1007" spans="11:12" x14ac:dyDescent="0.4">
      <c r="K1007" s="7">
        <v>1005</v>
      </c>
      <c r="L1007" s="65">
        <v>-8.1712414612411521E-14</v>
      </c>
    </row>
    <row r="1008" spans="11:12" x14ac:dyDescent="0.4">
      <c r="K1008" s="7">
        <v>1006</v>
      </c>
      <c r="L1008" s="65">
        <v>24.09999999999992</v>
      </c>
    </row>
    <row r="1009" spans="11:12" x14ac:dyDescent="0.4">
      <c r="K1009" s="7">
        <v>1007</v>
      </c>
      <c r="L1009" s="65">
        <v>24.89999999999992</v>
      </c>
    </row>
    <row r="1010" spans="11:12" x14ac:dyDescent="0.4">
      <c r="K1010" s="7">
        <v>1008</v>
      </c>
      <c r="L1010" s="65">
        <v>-7.815970093361102E-14</v>
      </c>
    </row>
    <row r="1011" spans="11:12" x14ac:dyDescent="0.4">
      <c r="K1011" s="7">
        <v>1009</v>
      </c>
      <c r="L1011" s="65">
        <v>22.39999999999992</v>
      </c>
    </row>
    <row r="1012" spans="11:12" x14ac:dyDescent="0.4">
      <c r="K1012" s="7">
        <v>1010</v>
      </c>
      <c r="L1012" s="65">
        <v>17.39999999999992</v>
      </c>
    </row>
    <row r="1013" spans="11:12" x14ac:dyDescent="0.4">
      <c r="K1013" s="7">
        <v>1011</v>
      </c>
      <c r="L1013" s="65">
        <v>-7.815970093361102E-14</v>
      </c>
    </row>
    <row r="1014" spans="11:12" x14ac:dyDescent="0.4">
      <c r="K1014" s="7">
        <v>1012</v>
      </c>
      <c r="L1014" s="65">
        <v>-36.000000000000078</v>
      </c>
    </row>
    <row r="1015" spans="11:12" x14ac:dyDescent="0.4">
      <c r="K1015" s="7">
        <v>1013</v>
      </c>
      <c r="L1015" s="65">
        <v>4.6999999999999247</v>
      </c>
    </row>
    <row r="1016" spans="11:12" x14ac:dyDescent="0.4">
      <c r="K1016" s="7">
        <v>1014</v>
      </c>
      <c r="L1016" s="65">
        <v>-7.5495165674510645E-14</v>
      </c>
    </row>
    <row r="1017" spans="11:12" x14ac:dyDescent="0.4">
      <c r="K1017" s="7">
        <v>1015</v>
      </c>
      <c r="L1017" s="65">
        <v>-13.300000000000075</v>
      </c>
    </row>
    <row r="1018" spans="11:12" x14ac:dyDescent="0.4">
      <c r="K1018" s="7">
        <v>1016</v>
      </c>
      <c r="L1018" s="65">
        <v>-14.000000000000075</v>
      </c>
    </row>
    <row r="1019" spans="11:12" x14ac:dyDescent="0.4">
      <c r="K1019" s="7">
        <v>1017</v>
      </c>
      <c r="L1019" s="65">
        <v>-7.460698725481052E-14</v>
      </c>
    </row>
    <row r="1020" spans="11:12" x14ac:dyDescent="0.4">
      <c r="K1020" s="7">
        <v>1018</v>
      </c>
      <c r="L1020" s="65">
        <v>6.7999999999999252</v>
      </c>
    </row>
    <row r="1021" spans="11:12" x14ac:dyDescent="0.4">
      <c r="K1021" s="7">
        <v>1019</v>
      </c>
      <c r="L1021" s="65">
        <v>35.799999999999926</v>
      </c>
    </row>
    <row r="1022" spans="11:12" x14ac:dyDescent="0.4">
      <c r="K1022" s="7">
        <v>1020</v>
      </c>
      <c r="L1022" s="65">
        <v>-7.1054273576010019E-14</v>
      </c>
    </row>
    <row r="1023" spans="11:12" x14ac:dyDescent="0.4">
      <c r="K1023" s="7">
        <v>1021</v>
      </c>
      <c r="L1023" s="65">
        <v>-47.600000000000072</v>
      </c>
    </row>
    <row r="1024" spans="11:12" x14ac:dyDescent="0.4">
      <c r="K1024" s="7">
        <v>1022</v>
      </c>
      <c r="L1024" s="65">
        <v>19.299999999999933</v>
      </c>
    </row>
    <row r="1025" spans="11:12" x14ac:dyDescent="0.4">
      <c r="K1025" s="7">
        <v>1023</v>
      </c>
      <c r="L1025" s="65">
        <v>-6.7501559897209518E-14</v>
      </c>
    </row>
    <row r="1026" spans="11:12" x14ac:dyDescent="0.4">
      <c r="K1026" s="7">
        <v>1024</v>
      </c>
      <c r="L1026" s="65">
        <v>16.699999999999932</v>
      </c>
    </row>
    <row r="1027" spans="11:12" x14ac:dyDescent="0.4">
      <c r="K1027" s="7">
        <v>1025</v>
      </c>
      <c r="L1027" s="65">
        <v>46.699999999999932</v>
      </c>
    </row>
    <row r="1028" spans="11:12" x14ac:dyDescent="0.4">
      <c r="K1028" s="7">
        <v>1026</v>
      </c>
      <c r="L1028" s="65">
        <v>-7.1054273576010019E-14</v>
      </c>
    </row>
    <row r="1029" spans="11:12" x14ac:dyDescent="0.4">
      <c r="K1029" s="7">
        <v>1027</v>
      </c>
      <c r="L1029" s="65">
        <v>-62.200000000000074</v>
      </c>
    </row>
    <row r="1030" spans="11:12" x14ac:dyDescent="0.4">
      <c r="K1030" s="7">
        <v>1028</v>
      </c>
      <c r="L1030" s="65">
        <v>-3.2000000000000739</v>
      </c>
    </row>
    <row r="1031" spans="11:12" x14ac:dyDescent="0.4">
      <c r="K1031" s="7">
        <v>1029</v>
      </c>
      <c r="L1031" s="65">
        <v>-7.3718808835110394E-14</v>
      </c>
    </row>
    <row r="1032" spans="11:12" x14ac:dyDescent="0.4">
      <c r="K1032" s="7">
        <v>1030</v>
      </c>
      <c r="L1032" s="65">
        <v>16.499999999999925</v>
      </c>
    </row>
    <row r="1033" spans="11:12" x14ac:dyDescent="0.4">
      <c r="K1033" s="7">
        <v>1031</v>
      </c>
      <c r="L1033" s="65">
        <v>16.199999999999925</v>
      </c>
    </row>
    <row r="1034" spans="11:12" x14ac:dyDescent="0.4">
      <c r="K1034" s="7">
        <v>1032</v>
      </c>
      <c r="L1034" s="65">
        <v>-7.460698725481052E-14</v>
      </c>
    </row>
    <row r="1035" spans="11:12" x14ac:dyDescent="0.4">
      <c r="K1035" s="7">
        <v>1033</v>
      </c>
      <c r="L1035" s="65">
        <v>-54.700000000000074</v>
      </c>
    </row>
    <row r="1036" spans="11:12" x14ac:dyDescent="0.4">
      <c r="K1036" s="7">
        <v>1034</v>
      </c>
      <c r="L1036" s="65">
        <v>-14.800000000000075</v>
      </c>
    </row>
    <row r="1037" spans="11:12" x14ac:dyDescent="0.4">
      <c r="K1037" s="7">
        <v>1035</v>
      </c>
      <c r="L1037" s="65">
        <v>-7.460698725481052E-14</v>
      </c>
    </row>
    <row r="1038" spans="11:12" x14ac:dyDescent="0.4">
      <c r="K1038" s="7">
        <v>1036</v>
      </c>
      <c r="L1038" s="65">
        <v>20.899999999999924</v>
      </c>
    </row>
    <row r="1039" spans="11:12" x14ac:dyDescent="0.4">
      <c r="K1039" s="7">
        <v>1037</v>
      </c>
      <c r="L1039" s="65">
        <v>2.1999999999999247</v>
      </c>
    </row>
    <row r="1040" spans="11:12" x14ac:dyDescent="0.4">
      <c r="K1040" s="7">
        <v>1038</v>
      </c>
      <c r="L1040" s="65">
        <v>-7.5495165674510645E-14</v>
      </c>
    </row>
    <row r="1041" spans="11:12" x14ac:dyDescent="0.4">
      <c r="K1041" s="7">
        <v>1039</v>
      </c>
      <c r="L1041" s="65">
        <v>60.89999999999992</v>
      </c>
    </row>
    <row r="1042" spans="11:12" x14ac:dyDescent="0.4">
      <c r="K1042" s="7">
        <v>1040</v>
      </c>
      <c r="L1042" s="65">
        <v>51.099999999999923</v>
      </c>
    </row>
    <row r="1043" spans="11:12" x14ac:dyDescent="0.4">
      <c r="K1043" s="7">
        <v>1041</v>
      </c>
      <c r="L1043" s="65">
        <v>-7.815970093361102E-14</v>
      </c>
    </row>
    <row r="1044" spans="11:12" x14ac:dyDescent="0.4">
      <c r="K1044" s="7">
        <v>1042</v>
      </c>
      <c r="L1044" s="65">
        <v>-3.9000000000000781</v>
      </c>
    </row>
    <row r="1045" spans="11:12" x14ac:dyDescent="0.4">
      <c r="K1045" s="7">
        <v>1043</v>
      </c>
      <c r="L1045" s="65">
        <v>14.399999999999922</v>
      </c>
    </row>
    <row r="1046" spans="11:12" x14ac:dyDescent="0.4">
      <c r="K1046" s="7">
        <v>1044</v>
      </c>
      <c r="L1046" s="65">
        <v>-7.815970093361102E-14</v>
      </c>
    </row>
    <row r="1047" spans="11:12" x14ac:dyDescent="0.4">
      <c r="K1047" s="7">
        <v>1045</v>
      </c>
      <c r="L1047" s="65">
        <v>-21.200000000000077</v>
      </c>
    </row>
    <row r="1048" spans="11:12" x14ac:dyDescent="0.4">
      <c r="K1048" s="7">
        <v>1046</v>
      </c>
      <c r="L1048" s="65">
        <v>4.0999999999999233</v>
      </c>
    </row>
    <row r="1049" spans="11:12" x14ac:dyDescent="0.4">
      <c r="K1049" s="7">
        <v>1047</v>
      </c>
      <c r="L1049" s="65">
        <v>-7.638334409421077E-14</v>
      </c>
    </row>
    <row r="1050" spans="11:12" x14ac:dyDescent="0.4">
      <c r="K1050" s="7">
        <v>1048</v>
      </c>
      <c r="L1050" s="65">
        <v>-42.000000000000078</v>
      </c>
    </row>
    <row r="1051" spans="11:12" x14ac:dyDescent="0.4">
      <c r="K1051" s="7">
        <v>1049</v>
      </c>
      <c r="L1051" s="65">
        <v>-48.900000000000077</v>
      </c>
    </row>
    <row r="1052" spans="11:12" x14ac:dyDescent="0.4">
      <c r="K1052" s="7">
        <v>1050</v>
      </c>
      <c r="L1052" s="65">
        <v>-7.815970093361102E-14</v>
      </c>
    </row>
    <row r="1053" spans="11:12" x14ac:dyDescent="0.4">
      <c r="K1053" s="7">
        <v>1051</v>
      </c>
      <c r="L1053" s="65">
        <v>21.699999999999921</v>
      </c>
    </row>
    <row r="1054" spans="11:12" x14ac:dyDescent="0.4">
      <c r="K1054" s="7">
        <v>1052</v>
      </c>
      <c r="L1054" s="65">
        <v>26.89999999999992</v>
      </c>
    </row>
    <row r="1055" spans="11:12" x14ac:dyDescent="0.4">
      <c r="K1055" s="7">
        <v>1053</v>
      </c>
      <c r="L1055" s="65">
        <v>-7.815970093361102E-14</v>
      </c>
    </row>
    <row r="1056" spans="11:12" x14ac:dyDescent="0.4">
      <c r="K1056" s="7">
        <v>1054</v>
      </c>
      <c r="L1056" s="65">
        <v>44.499999999999922</v>
      </c>
    </row>
    <row r="1057" spans="11:12" x14ac:dyDescent="0.4">
      <c r="K1057" s="7">
        <v>1055</v>
      </c>
      <c r="L1057" s="65">
        <v>54.599999999999923</v>
      </c>
    </row>
    <row r="1058" spans="11:12" x14ac:dyDescent="0.4">
      <c r="K1058" s="7">
        <v>1056</v>
      </c>
      <c r="L1058" s="65">
        <v>-7.815970093361102E-14</v>
      </c>
    </row>
    <row r="1059" spans="11:12" x14ac:dyDescent="0.4">
      <c r="K1059" s="7">
        <v>1057</v>
      </c>
      <c r="L1059" s="65">
        <v>-60.200000000000081</v>
      </c>
    </row>
    <row r="1060" spans="11:12" x14ac:dyDescent="0.4">
      <c r="K1060" s="7">
        <v>1058</v>
      </c>
      <c r="L1060" s="65">
        <v>4.8999999999999133</v>
      </c>
    </row>
    <row r="1061" spans="11:12" x14ac:dyDescent="0.4">
      <c r="K1061" s="7">
        <v>1059</v>
      </c>
      <c r="L1061" s="65">
        <v>-8.7041485130612273E-14</v>
      </c>
    </row>
    <row r="1062" spans="11:12" x14ac:dyDescent="0.4">
      <c r="K1062" s="7">
        <v>1060</v>
      </c>
      <c r="L1062" s="65">
        <v>37.499999999999915</v>
      </c>
    </row>
    <row r="1063" spans="11:12" x14ac:dyDescent="0.4">
      <c r="K1063" s="7">
        <v>1061</v>
      </c>
      <c r="L1063" s="65">
        <v>-8.7000000000000881</v>
      </c>
    </row>
    <row r="1064" spans="11:12" x14ac:dyDescent="0.4">
      <c r="K1064" s="7">
        <v>1062</v>
      </c>
      <c r="L1064" s="65">
        <v>-8.8817841970012523E-14</v>
      </c>
    </row>
    <row r="1065" spans="11:12" x14ac:dyDescent="0.4">
      <c r="K1065" s="7">
        <v>1063</v>
      </c>
      <c r="L1065" s="65">
        <v>-21.80000000000009</v>
      </c>
    </row>
    <row r="1066" spans="11:12" x14ac:dyDescent="0.4">
      <c r="K1066" s="7">
        <v>1064</v>
      </c>
      <c r="L1066" s="65">
        <v>-32.30000000000009</v>
      </c>
    </row>
    <row r="1067" spans="11:12" x14ac:dyDescent="0.4">
      <c r="K1067" s="7">
        <v>1065</v>
      </c>
      <c r="L1067" s="65">
        <v>-9.2370555648813024E-14</v>
      </c>
    </row>
    <row r="1068" spans="11:12" x14ac:dyDescent="0.4">
      <c r="K1068" s="7">
        <v>1066</v>
      </c>
      <c r="L1068" s="65">
        <v>12.699999999999907</v>
      </c>
    </row>
    <row r="1069" spans="11:12" x14ac:dyDescent="0.4">
      <c r="K1069" s="7">
        <v>1067</v>
      </c>
      <c r="L1069" s="65">
        <v>13.099999999999907</v>
      </c>
    </row>
    <row r="1070" spans="11:12" x14ac:dyDescent="0.4">
      <c r="K1070" s="7">
        <v>1068</v>
      </c>
      <c r="L1070" s="65">
        <v>-9.2370555648813024E-14</v>
      </c>
    </row>
    <row r="1071" spans="11:12" x14ac:dyDescent="0.4">
      <c r="K1071" s="7">
        <v>1069</v>
      </c>
      <c r="L1071" s="65">
        <v>-17.100000000000094</v>
      </c>
    </row>
    <row r="1072" spans="11:12" x14ac:dyDescent="0.4">
      <c r="K1072" s="7">
        <v>1070</v>
      </c>
      <c r="L1072" s="65">
        <v>4.7999999999999048</v>
      </c>
    </row>
    <row r="1073" spans="11:12" x14ac:dyDescent="0.4">
      <c r="K1073" s="7">
        <v>1071</v>
      </c>
      <c r="L1073" s="65">
        <v>-9.50350909079134E-14</v>
      </c>
    </row>
    <row r="1074" spans="11:12" x14ac:dyDescent="0.4">
      <c r="K1074" s="7">
        <v>1072</v>
      </c>
      <c r="L1074" s="65">
        <v>-49.400000000000091</v>
      </c>
    </row>
    <row r="1075" spans="11:12" x14ac:dyDescent="0.4">
      <c r="K1075" s="7">
        <v>1073</v>
      </c>
      <c r="L1075" s="65">
        <v>6.9999999999999076</v>
      </c>
    </row>
    <row r="1076" spans="11:12" x14ac:dyDescent="0.4">
      <c r="K1076" s="7">
        <v>1074</v>
      </c>
      <c r="L1076" s="65">
        <v>-9.2370555648813024E-14</v>
      </c>
    </row>
    <row r="1077" spans="11:12" x14ac:dyDescent="0.4">
      <c r="K1077" s="7">
        <v>1075</v>
      </c>
      <c r="L1077" s="65">
        <v>-6.8000000000000922</v>
      </c>
    </row>
    <row r="1078" spans="11:12" x14ac:dyDescent="0.4">
      <c r="K1078" s="7">
        <v>1076</v>
      </c>
      <c r="L1078" s="65">
        <v>-40.400000000000091</v>
      </c>
    </row>
    <row r="1079" spans="11:12" x14ac:dyDescent="0.4">
      <c r="K1079" s="7">
        <v>1077</v>
      </c>
      <c r="L1079" s="65">
        <v>-9.2370555648813024E-14</v>
      </c>
    </row>
    <row r="1080" spans="11:12" x14ac:dyDescent="0.4">
      <c r="K1080" s="7">
        <v>1078</v>
      </c>
      <c r="L1080" s="65">
        <v>-8.3000000000000931</v>
      </c>
    </row>
    <row r="1081" spans="11:12" x14ac:dyDescent="0.4">
      <c r="K1081" s="7">
        <v>1079</v>
      </c>
      <c r="L1081" s="65">
        <v>18.599999999999905</v>
      </c>
    </row>
    <row r="1082" spans="11:12" x14ac:dyDescent="0.4">
      <c r="K1082" s="7">
        <v>1080</v>
      </c>
      <c r="L1082" s="65">
        <v>-9.5923269327613525E-14</v>
      </c>
    </row>
    <row r="1083" spans="11:12" x14ac:dyDescent="0.4">
      <c r="K1083" s="7">
        <v>1081</v>
      </c>
      <c r="L1083" s="65">
        <v>31.399999999999903</v>
      </c>
    </row>
    <row r="1084" spans="11:12" x14ac:dyDescent="0.4">
      <c r="K1084" s="7">
        <v>1082</v>
      </c>
      <c r="L1084" s="65">
        <v>43.399999999999906</v>
      </c>
    </row>
    <row r="1085" spans="11:12" x14ac:dyDescent="0.4">
      <c r="K1085" s="7">
        <v>1083</v>
      </c>
      <c r="L1085" s="65">
        <v>-9.2370555648813024E-14</v>
      </c>
    </row>
    <row r="1086" spans="11:12" x14ac:dyDescent="0.4">
      <c r="K1086" s="7">
        <v>1084</v>
      </c>
      <c r="L1086" s="65">
        <v>-39.000000000000092</v>
      </c>
    </row>
    <row r="1087" spans="11:12" x14ac:dyDescent="0.4">
      <c r="K1087" s="7">
        <v>1085</v>
      </c>
      <c r="L1087" s="65">
        <v>3.6999999999999105</v>
      </c>
    </row>
    <row r="1088" spans="11:12" x14ac:dyDescent="0.4">
      <c r="K1088" s="7">
        <v>1086</v>
      </c>
      <c r="L1088" s="65">
        <v>-8.9706020389712648E-14</v>
      </c>
    </row>
    <row r="1089" spans="11:12" x14ac:dyDescent="0.4">
      <c r="K1089" s="7">
        <v>1087</v>
      </c>
      <c r="L1089" s="65">
        <v>1.1999999999999102</v>
      </c>
    </row>
    <row r="1090" spans="11:12" x14ac:dyDescent="0.4">
      <c r="K1090" s="7">
        <v>1088</v>
      </c>
      <c r="L1090" s="65">
        <v>-24.80000000000009</v>
      </c>
    </row>
    <row r="1091" spans="11:12" x14ac:dyDescent="0.4">
      <c r="K1091" s="7">
        <v>1089</v>
      </c>
      <c r="L1091" s="65">
        <v>-8.8817841970012523E-14</v>
      </c>
    </row>
    <row r="1092" spans="11:12" x14ac:dyDescent="0.4">
      <c r="K1092" s="7">
        <v>1090</v>
      </c>
      <c r="L1092" s="65">
        <v>16.89999999999991</v>
      </c>
    </row>
    <row r="1093" spans="11:12" x14ac:dyDescent="0.4">
      <c r="K1093" s="7">
        <v>1091</v>
      </c>
      <c r="L1093" s="65">
        <v>0.39999999999990976</v>
      </c>
    </row>
    <row r="1094" spans="11:12" x14ac:dyDescent="0.4">
      <c r="K1094" s="7">
        <v>1092</v>
      </c>
      <c r="L1094" s="65">
        <v>-9.0261131902025227E-14</v>
      </c>
    </row>
    <row r="1095" spans="11:12" x14ac:dyDescent="0.4">
      <c r="K1095" s="7">
        <v>1093</v>
      </c>
      <c r="L1095" s="65">
        <v>27.999999999999911</v>
      </c>
    </row>
    <row r="1096" spans="11:12" x14ac:dyDescent="0.4">
      <c r="K1096" s="7">
        <v>1094</v>
      </c>
      <c r="L1096" s="65">
        <v>41.799999999999912</v>
      </c>
    </row>
    <row r="1097" spans="11:12" x14ac:dyDescent="0.4">
      <c r="K1097" s="7">
        <v>1095</v>
      </c>
      <c r="L1097" s="65">
        <v>-8.5265128291212022E-14</v>
      </c>
    </row>
    <row r="1098" spans="11:12" x14ac:dyDescent="0.4">
      <c r="K1098" s="7">
        <v>1096</v>
      </c>
      <c r="L1098" s="65">
        <v>-48.700000000000088</v>
      </c>
    </row>
    <row r="1099" spans="11:12" x14ac:dyDescent="0.4">
      <c r="K1099" s="7">
        <v>1097</v>
      </c>
      <c r="L1099" s="65">
        <v>-16.30000000000009</v>
      </c>
    </row>
    <row r="1100" spans="11:12" x14ac:dyDescent="0.4">
      <c r="K1100" s="7">
        <v>1098</v>
      </c>
      <c r="L1100" s="65">
        <v>-8.8817841970012523E-14</v>
      </c>
    </row>
    <row r="1101" spans="11:12" x14ac:dyDescent="0.4">
      <c r="K1101" s="7">
        <v>1099</v>
      </c>
      <c r="L1101" s="65">
        <v>-19.700000000000088</v>
      </c>
    </row>
    <row r="1102" spans="11:12" x14ac:dyDescent="0.4">
      <c r="K1102" s="7">
        <v>1100</v>
      </c>
      <c r="L1102" s="65">
        <v>9.4999999999999112</v>
      </c>
    </row>
    <row r="1103" spans="11:12" x14ac:dyDescent="0.4">
      <c r="K1103" s="7">
        <v>1101</v>
      </c>
      <c r="L1103" s="65">
        <v>-8.8817841970012523E-14</v>
      </c>
    </row>
    <row r="1104" spans="11:12" x14ac:dyDescent="0.4">
      <c r="K1104" s="7">
        <v>1102</v>
      </c>
      <c r="L1104" s="65">
        <v>-46.400000000000091</v>
      </c>
    </row>
    <row r="1105" spans="11:12" x14ac:dyDescent="0.4">
      <c r="K1105" s="7">
        <v>1103</v>
      </c>
      <c r="L1105" s="65">
        <v>-54.200000000000088</v>
      </c>
    </row>
    <row r="1106" spans="11:12" x14ac:dyDescent="0.4">
      <c r="K1106" s="7">
        <v>1104</v>
      </c>
      <c r="L1106" s="65">
        <v>-8.5265128291212022E-14</v>
      </c>
    </row>
    <row r="1107" spans="11:12" x14ac:dyDescent="0.4">
      <c r="K1107" s="7">
        <v>1105</v>
      </c>
      <c r="L1107" s="65">
        <v>-16.500000000000085</v>
      </c>
    </row>
    <row r="1108" spans="11:12" x14ac:dyDescent="0.4">
      <c r="K1108" s="7">
        <v>1106</v>
      </c>
      <c r="L1108" s="65">
        <v>55.799999999999912</v>
      </c>
    </row>
    <row r="1109" spans="11:12" x14ac:dyDescent="0.4">
      <c r="K1109" s="7">
        <v>1107</v>
      </c>
      <c r="L1109" s="65">
        <v>-8.5265128291212022E-14</v>
      </c>
    </row>
    <row r="1110" spans="11:12" x14ac:dyDescent="0.4">
      <c r="K1110" s="7">
        <v>1108</v>
      </c>
      <c r="L1110" s="65">
        <v>-70.900000000000091</v>
      </c>
    </row>
    <row r="1111" spans="11:12" x14ac:dyDescent="0.4">
      <c r="K1111" s="7">
        <v>1109</v>
      </c>
      <c r="L1111" s="65">
        <v>-8.0000000000000924</v>
      </c>
    </row>
    <row r="1112" spans="11:12" x14ac:dyDescent="0.4">
      <c r="K1112" s="7">
        <v>1110</v>
      </c>
      <c r="L1112" s="65">
        <v>-9.2370555648813024E-14</v>
      </c>
    </row>
    <row r="1113" spans="11:12" x14ac:dyDescent="0.4">
      <c r="K1113" s="7">
        <v>1111</v>
      </c>
      <c r="L1113" s="65">
        <v>32.999999999999908</v>
      </c>
    </row>
    <row r="1114" spans="11:12" x14ac:dyDescent="0.4">
      <c r="K1114" s="7">
        <v>1112</v>
      </c>
      <c r="L1114" s="65">
        <v>7.3999999999999062</v>
      </c>
    </row>
    <row r="1115" spans="11:12" x14ac:dyDescent="0.4">
      <c r="K1115" s="7">
        <v>1113</v>
      </c>
      <c r="L1115" s="65">
        <v>-9.4146912488213275E-14</v>
      </c>
    </row>
    <row r="1116" spans="11:12" x14ac:dyDescent="0.4">
      <c r="K1116" s="7">
        <v>1114</v>
      </c>
      <c r="L1116" s="65">
        <v>-56.200000000000095</v>
      </c>
    </row>
    <row r="1117" spans="11:12" x14ac:dyDescent="0.4">
      <c r="K1117" s="7">
        <v>1115</v>
      </c>
      <c r="L1117" s="65">
        <v>-12.400000000000098</v>
      </c>
    </row>
    <row r="1118" spans="11:12" x14ac:dyDescent="0.4">
      <c r="K1118" s="7">
        <v>1116</v>
      </c>
      <c r="L1118" s="65">
        <v>-9.7699626167013776E-14</v>
      </c>
    </row>
    <row r="1119" spans="11:12" x14ac:dyDescent="0.4">
      <c r="K1119" s="7">
        <v>1117</v>
      </c>
      <c r="L1119" s="65">
        <v>25.599999999999902</v>
      </c>
    </row>
    <row r="1120" spans="11:12" x14ac:dyDescent="0.4">
      <c r="K1120" s="7">
        <v>1118</v>
      </c>
      <c r="L1120" s="65">
        <v>33.899999999999906</v>
      </c>
    </row>
    <row r="1121" spans="11:12" x14ac:dyDescent="0.4">
      <c r="K1121" s="7">
        <v>1119</v>
      </c>
      <c r="L1121" s="65">
        <v>-9.2370555648813024E-14</v>
      </c>
    </row>
    <row r="1122" spans="11:12" x14ac:dyDescent="0.4">
      <c r="K1122" s="7">
        <v>1120</v>
      </c>
      <c r="L1122" s="65">
        <v>-31.300000000000093</v>
      </c>
    </row>
    <row r="1123" spans="11:12" x14ac:dyDescent="0.4">
      <c r="K1123" s="7">
        <v>1121</v>
      </c>
      <c r="L1123" s="65">
        <v>-6.4000000000000945</v>
      </c>
    </row>
    <row r="1124" spans="11:12" x14ac:dyDescent="0.4">
      <c r="K1124" s="7">
        <v>1122</v>
      </c>
      <c r="L1124" s="65">
        <v>-9.4146912488213275E-14</v>
      </c>
    </row>
    <row r="1125" spans="11:12" x14ac:dyDescent="0.4">
      <c r="K1125" s="7">
        <v>1123</v>
      </c>
      <c r="L1125" s="65">
        <v>-30.000000000000092</v>
      </c>
    </row>
    <row r="1126" spans="11:12" x14ac:dyDescent="0.4">
      <c r="K1126" s="7">
        <v>1124</v>
      </c>
      <c r="L1126" s="65">
        <v>10.599999999999909</v>
      </c>
    </row>
    <row r="1127" spans="11:12" x14ac:dyDescent="0.4">
      <c r="K1127" s="7">
        <v>1125</v>
      </c>
      <c r="L1127" s="65">
        <v>-9.0594198809412774E-14</v>
      </c>
    </row>
    <row r="1128" spans="11:12" x14ac:dyDescent="0.4">
      <c r="K1128" s="7">
        <v>1126</v>
      </c>
      <c r="L1128" s="65">
        <v>-9.0000000000000906</v>
      </c>
    </row>
    <row r="1129" spans="11:12" x14ac:dyDescent="0.4">
      <c r="K1129" s="7">
        <v>1127</v>
      </c>
      <c r="L1129" s="65">
        <v>30.099999999999909</v>
      </c>
    </row>
    <row r="1130" spans="11:12" x14ac:dyDescent="0.4">
      <c r="K1130" s="7">
        <v>1128</v>
      </c>
      <c r="L1130" s="65">
        <v>-9.2370555648813024E-14</v>
      </c>
    </row>
    <row r="1131" spans="11:12" x14ac:dyDescent="0.4">
      <c r="K1131" s="7">
        <v>1129</v>
      </c>
      <c r="L1131" s="65">
        <v>-48.500000000000092</v>
      </c>
    </row>
    <row r="1132" spans="11:12" x14ac:dyDescent="0.4">
      <c r="K1132" s="7">
        <v>1130</v>
      </c>
      <c r="L1132" s="65">
        <v>-42.500000000000092</v>
      </c>
    </row>
    <row r="1133" spans="11:12" x14ac:dyDescent="0.4">
      <c r="K1133" s="7">
        <v>1131</v>
      </c>
      <c r="L1133" s="65">
        <v>-9.2370555648813024E-14</v>
      </c>
    </row>
    <row r="1134" spans="11:12" x14ac:dyDescent="0.4">
      <c r="K1134" s="7">
        <v>1132</v>
      </c>
      <c r="L1134" s="65">
        <v>48.19999999999991</v>
      </c>
    </row>
    <row r="1135" spans="11:12" x14ac:dyDescent="0.4">
      <c r="K1135" s="7">
        <v>1133</v>
      </c>
      <c r="L1135" s="65">
        <v>-0.30000000000008953</v>
      </c>
    </row>
    <row r="1136" spans="11:12" x14ac:dyDescent="0.4">
      <c r="K1136" s="7">
        <v>1134</v>
      </c>
      <c r="L1136" s="65">
        <v>-8.9539486936018875E-14</v>
      </c>
    </row>
    <row r="1137" spans="11:12" x14ac:dyDescent="0.4">
      <c r="K1137" s="7">
        <v>1135</v>
      </c>
      <c r="L1137" s="65">
        <v>-2.5000000000000897</v>
      </c>
    </row>
    <row r="1138" spans="11:12" x14ac:dyDescent="0.4">
      <c r="K1138" s="7">
        <v>1136</v>
      </c>
      <c r="L1138" s="65">
        <v>-16.900000000000091</v>
      </c>
    </row>
    <row r="1139" spans="11:12" x14ac:dyDescent="0.4">
      <c r="K1139" s="7">
        <v>1137</v>
      </c>
      <c r="L1139" s="65">
        <v>-9.2370555648813024E-14</v>
      </c>
    </row>
    <row r="1140" spans="11:12" x14ac:dyDescent="0.4">
      <c r="K1140" s="7">
        <v>1138</v>
      </c>
      <c r="L1140" s="65">
        <v>-34.500000000000092</v>
      </c>
    </row>
    <row r="1141" spans="11:12" x14ac:dyDescent="0.4">
      <c r="K1141" s="7">
        <v>1139</v>
      </c>
      <c r="L1141" s="65">
        <v>-11.500000000000092</v>
      </c>
    </row>
    <row r="1142" spans="11:12" x14ac:dyDescent="0.4">
      <c r="K1142" s="7">
        <v>1140</v>
      </c>
      <c r="L1142" s="65">
        <v>-9.2370555648813024E-14</v>
      </c>
    </row>
    <row r="1143" spans="11:12" x14ac:dyDescent="0.4">
      <c r="K1143" s="7">
        <v>1141</v>
      </c>
      <c r="L1143" s="65">
        <v>-25.600000000000094</v>
      </c>
    </row>
    <row r="1144" spans="11:12" x14ac:dyDescent="0.4">
      <c r="K1144" s="7">
        <v>1142</v>
      </c>
      <c r="L1144" s="65">
        <v>-27.600000000000094</v>
      </c>
    </row>
    <row r="1145" spans="11:12" x14ac:dyDescent="0.4">
      <c r="K1145" s="7">
        <v>1143</v>
      </c>
      <c r="L1145" s="65">
        <v>-9.2370555648813024E-14</v>
      </c>
    </row>
    <row r="1146" spans="11:12" x14ac:dyDescent="0.4">
      <c r="K1146" s="7">
        <v>1144</v>
      </c>
      <c r="L1146" s="65">
        <v>-15.400000000000093</v>
      </c>
    </row>
    <row r="1147" spans="11:12" x14ac:dyDescent="0.4">
      <c r="K1147" s="7">
        <v>1145</v>
      </c>
      <c r="L1147" s="65">
        <v>-48.400000000000091</v>
      </c>
    </row>
    <row r="1148" spans="11:12" x14ac:dyDescent="0.4">
      <c r="K1148" s="7">
        <v>1146</v>
      </c>
      <c r="L1148" s="65">
        <v>-9.2370555648813024E-14</v>
      </c>
    </row>
    <row r="1149" spans="11:12" x14ac:dyDescent="0.4">
      <c r="K1149" s="7">
        <v>1147</v>
      </c>
      <c r="L1149" s="65">
        <v>-7.4000000000000927</v>
      </c>
    </row>
    <row r="1150" spans="11:12" x14ac:dyDescent="0.4">
      <c r="K1150" s="7">
        <v>1148</v>
      </c>
      <c r="L1150" s="65">
        <v>31.099999999999909</v>
      </c>
    </row>
    <row r="1151" spans="11:12" x14ac:dyDescent="0.4">
      <c r="K1151" s="7">
        <v>1149</v>
      </c>
      <c r="L1151" s="65">
        <v>-9.2370555648813024E-14</v>
      </c>
    </row>
  </sheetData>
  <sortState xmlns:xlrd2="http://schemas.microsoft.com/office/spreadsheetml/2017/richdata2" ref="E2:I115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31B7-0EEF-4D75-A282-9296B6673B10}">
  <sheetPr codeName="Sheet7"/>
  <dimension ref="A1:Q97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158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95</v>
      </c>
      <c r="C2" s="132"/>
      <c r="E2" s="28" t="s">
        <v>66</v>
      </c>
      <c r="F2" s="25" t="s">
        <v>22</v>
      </c>
      <c r="G2" s="13">
        <v>156</v>
      </c>
      <c r="H2" s="91">
        <f t="shared" ref="H2:H33" si="0">IF(B$19=0,0,G2/B$19)</f>
        <v>0.66952789699570814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1">IF(P2=0,0,Q2/P2)</f>
        <v>1756.8421052631579</v>
      </c>
      <c r="P2" s="80">
        <v>95</v>
      </c>
      <c r="Q2" s="67">
        <v>166900</v>
      </c>
    </row>
    <row r="3" spans="1:17" x14ac:dyDescent="0.4">
      <c r="A3" s="21" t="s">
        <v>8</v>
      </c>
      <c r="B3" s="133">
        <v>848</v>
      </c>
      <c r="C3" s="134"/>
      <c r="E3" s="29" t="s">
        <v>72</v>
      </c>
      <c r="F3" s="26" t="s">
        <v>27</v>
      </c>
      <c r="G3" s="14">
        <v>126</v>
      </c>
      <c r="H3" s="92">
        <f t="shared" si="0"/>
        <v>0.54077253218884125</v>
      </c>
      <c r="I3" s="60">
        <v>8</v>
      </c>
      <c r="K3" s="7">
        <v>1</v>
      </c>
      <c r="L3" s="65">
        <v>-4.5999999999999996</v>
      </c>
      <c r="N3" s="78" t="s">
        <v>131</v>
      </c>
      <c r="O3" s="84">
        <f t="shared" si="1"/>
        <v>-1743.010752688172</v>
      </c>
      <c r="P3" s="81">
        <v>93</v>
      </c>
      <c r="Q3" s="68">
        <v>-162100</v>
      </c>
    </row>
    <row r="4" spans="1:17" x14ac:dyDescent="0.4">
      <c r="A4" s="21" t="s">
        <v>6</v>
      </c>
      <c r="B4" s="135">
        <v>-703.00000000000023</v>
      </c>
      <c r="C4" s="136"/>
      <c r="E4" s="29" t="s">
        <v>163</v>
      </c>
      <c r="F4" s="26" t="s">
        <v>164</v>
      </c>
      <c r="G4" s="14">
        <v>84</v>
      </c>
      <c r="H4" s="92">
        <f t="shared" si="0"/>
        <v>0.36051502145922748</v>
      </c>
      <c r="I4" s="60">
        <v>10</v>
      </c>
      <c r="K4" s="7">
        <v>2</v>
      </c>
      <c r="L4" s="65">
        <v>19.899999999999999</v>
      </c>
      <c r="N4" s="78" t="s">
        <v>132</v>
      </c>
      <c r="O4" s="84">
        <f t="shared" si="1"/>
        <v>-2713.1868131868132</v>
      </c>
      <c r="P4" s="81">
        <v>91</v>
      </c>
      <c r="Q4" s="68">
        <v>-246900</v>
      </c>
    </row>
    <row r="5" spans="1:17" x14ac:dyDescent="0.4">
      <c r="A5" s="21" t="s">
        <v>7</v>
      </c>
      <c r="B5" s="123">
        <f>IF(B$2=0,0,B$4/B$2)</f>
        <v>-7.4000000000000021</v>
      </c>
      <c r="C5" s="124"/>
      <c r="E5" s="29" t="s">
        <v>64</v>
      </c>
      <c r="F5" s="26" t="s">
        <v>20</v>
      </c>
      <c r="G5" s="14">
        <v>65</v>
      </c>
      <c r="H5" s="92">
        <f t="shared" si="0"/>
        <v>0.27896995708154504</v>
      </c>
      <c r="I5" s="60">
        <v>14</v>
      </c>
      <c r="K5" s="7">
        <v>3</v>
      </c>
      <c r="L5" s="65">
        <v>-8.3000000000000007</v>
      </c>
      <c r="N5" s="78" t="s">
        <v>133</v>
      </c>
      <c r="O5" s="84">
        <f t="shared" si="1"/>
        <v>-651.76470588235293</v>
      </c>
      <c r="P5" s="81">
        <v>85</v>
      </c>
      <c r="Q5" s="68">
        <v>-55400</v>
      </c>
    </row>
    <row r="6" spans="1:17" x14ac:dyDescent="0.4">
      <c r="A6" s="21" t="s">
        <v>1</v>
      </c>
      <c r="B6" s="137">
        <f>IF(B$2=0,0,(B$7*1+B$8*2+B$9*3)/B$2)</f>
        <v>2.168421052631579</v>
      </c>
      <c r="C6" s="138"/>
      <c r="E6" s="29" t="s">
        <v>68</v>
      </c>
      <c r="F6" s="26" t="s">
        <v>12</v>
      </c>
      <c r="G6" s="14">
        <v>65</v>
      </c>
      <c r="H6" s="92">
        <f t="shared" si="0"/>
        <v>0.27896995708154504</v>
      </c>
      <c r="I6" s="60">
        <v>11</v>
      </c>
      <c r="K6" s="7">
        <v>4</v>
      </c>
      <c r="L6" s="65">
        <v>-30.7</v>
      </c>
      <c r="N6" s="78" t="s">
        <v>134</v>
      </c>
      <c r="O6" s="84">
        <f t="shared" si="1"/>
        <v>-995.18072289156623</v>
      </c>
      <c r="P6" s="81">
        <v>83</v>
      </c>
      <c r="Q6" s="68">
        <v>-82600</v>
      </c>
    </row>
    <row r="7" spans="1:17" x14ac:dyDescent="0.4">
      <c r="A7" s="21" t="s">
        <v>2</v>
      </c>
      <c r="B7" s="14">
        <v>25</v>
      </c>
      <c r="C7" s="8">
        <f t="shared" ref="C7:C14" si="2">IF(B$2=0,0,B7/B$2)</f>
        <v>0.26315789473684209</v>
      </c>
      <c r="E7" s="29" t="s">
        <v>67</v>
      </c>
      <c r="F7" s="26" t="s">
        <v>23</v>
      </c>
      <c r="G7" s="14">
        <v>44</v>
      </c>
      <c r="H7" s="92">
        <f t="shared" si="0"/>
        <v>0.18884120171673821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1"/>
        <v>-2332.3529411764707</v>
      </c>
      <c r="P7" s="82">
        <v>68</v>
      </c>
      <c r="Q7" s="69">
        <v>-158600</v>
      </c>
    </row>
    <row r="8" spans="1:17" x14ac:dyDescent="0.4">
      <c r="A8" s="21" t="s">
        <v>3</v>
      </c>
      <c r="B8" s="14">
        <v>29</v>
      </c>
      <c r="C8" s="8">
        <f t="shared" si="2"/>
        <v>0.30526315789473685</v>
      </c>
      <c r="E8" s="29" t="s">
        <v>69</v>
      </c>
      <c r="F8" s="26" t="s">
        <v>24</v>
      </c>
      <c r="G8" s="14">
        <v>39</v>
      </c>
      <c r="H8" s="92">
        <f t="shared" si="0"/>
        <v>0.16738197424892703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">
      <c r="A9" s="22" t="s">
        <v>4</v>
      </c>
      <c r="B9" s="15">
        <v>41</v>
      </c>
      <c r="C9" s="9">
        <f t="shared" si="2"/>
        <v>0.43157894736842106</v>
      </c>
      <c r="E9" s="29" t="s">
        <v>71</v>
      </c>
      <c r="F9" s="26" t="s">
        <v>26</v>
      </c>
      <c r="G9" s="14">
        <v>32</v>
      </c>
      <c r="H9" s="92">
        <f t="shared" si="0"/>
        <v>0.13733905579399142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 t="shared" si="0"/>
        <v>0.12017167381974249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-12.582857142857142</v>
      </c>
      <c r="P10" s="80">
        <v>35</v>
      </c>
      <c r="Q10" s="71">
        <v>-440.4</v>
      </c>
    </row>
    <row r="11" spans="1:17" x14ac:dyDescent="0.4">
      <c r="A11" s="22" t="s">
        <v>204</v>
      </c>
      <c r="B11" s="113">
        <f>IF(B8=0,0,C11/B8)</f>
        <v>-0.32413793103448313</v>
      </c>
      <c r="C11" s="114">
        <v>-9.400000000000011</v>
      </c>
      <c r="E11" s="29" t="s">
        <v>83</v>
      </c>
      <c r="F11" s="26" t="s">
        <v>38</v>
      </c>
      <c r="G11" s="14">
        <v>20</v>
      </c>
      <c r="H11" s="92">
        <f t="shared" si="0"/>
        <v>8.5836909871244635E-2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 t="shared" si="0"/>
        <v>6.4377682403433473E-2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-2.328125</v>
      </c>
      <c r="P12" s="82">
        <v>32</v>
      </c>
      <c r="Q12" s="73">
        <v>-74.5</v>
      </c>
    </row>
    <row r="13" spans="1:17" x14ac:dyDescent="0.4">
      <c r="A13" s="22" t="s">
        <v>206</v>
      </c>
      <c r="B13" s="123">
        <f>AVERAGE(B10:B12)</f>
        <v>-1.898745164003363</v>
      </c>
      <c r="C13" s="124"/>
      <c r="E13" s="29" t="s">
        <v>65</v>
      </c>
      <c r="F13" s="26" t="s">
        <v>21</v>
      </c>
      <c r="G13" s="14">
        <v>13</v>
      </c>
      <c r="H13" s="92">
        <f t="shared" si="0"/>
        <v>5.5793991416309016E-2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9</v>
      </c>
      <c r="C14" s="11">
        <f t="shared" si="2"/>
        <v>9.4736842105263161E-2</v>
      </c>
      <c r="E14" s="29" t="s">
        <v>81</v>
      </c>
      <c r="F14" s="26" t="s">
        <v>36</v>
      </c>
      <c r="G14" s="14">
        <v>10</v>
      </c>
      <c r="H14" s="92">
        <f t="shared" si="0"/>
        <v>4.2918454935622317E-2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124</v>
      </c>
      <c r="C15" s="12">
        <f>IF(B$3=0,0,B15/B$3)</f>
        <v>0.14622641509433962</v>
      </c>
      <c r="E15" s="29" t="s">
        <v>86</v>
      </c>
      <c r="F15" s="26" t="s">
        <v>41</v>
      </c>
      <c r="G15" s="14">
        <v>7</v>
      </c>
      <c r="H15" s="92">
        <f t="shared" si="0"/>
        <v>3.0042918454935622E-2</v>
      </c>
      <c r="I15" s="60">
        <v>10</v>
      </c>
      <c r="K15" s="7">
        <v>13</v>
      </c>
      <c r="L15" s="65">
        <v>-66.2</v>
      </c>
      <c r="N15" s="77" t="s">
        <v>275</v>
      </c>
      <c r="O15" s="86">
        <f t="shared" ref="O15:O23" si="3">IF(P15=0,0,Q15/P15)</f>
        <v>57.233333333333341</v>
      </c>
      <c r="P15" s="80">
        <v>3</v>
      </c>
      <c r="Q15" s="71">
        <v>171.70000000000002</v>
      </c>
    </row>
    <row r="16" spans="1:17" x14ac:dyDescent="0.4">
      <c r="A16" s="21" t="s">
        <v>118</v>
      </c>
      <c r="B16" s="14">
        <v>222</v>
      </c>
      <c r="C16" s="8">
        <f>IF(B$3=0,0,B16/B$3)</f>
        <v>0.2617924528301887</v>
      </c>
      <c r="E16" s="29" t="s">
        <v>79</v>
      </c>
      <c r="F16" s="26" t="s">
        <v>34</v>
      </c>
      <c r="G16" s="14">
        <v>5</v>
      </c>
      <c r="H16" s="92">
        <f t="shared" si="0"/>
        <v>2.1459227467811159E-2</v>
      </c>
      <c r="I16" s="60">
        <v>3</v>
      </c>
      <c r="K16" s="7">
        <v>14</v>
      </c>
      <c r="L16" s="65">
        <v>-51.1</v>
      </c>
      <c r="N16" s="78" t="s">
        <v>194</v>
      </c>
      <c r="O16" s="87">
        <f t="shared" si="3"/>
        <v>7.4333333333333345</v>
      </c>
      <c r="P16" s="81">
        <v>6</v>
      </c>
      <c r="Q16" s="72">
        <v>44.600000000000009</v>
      </c>
    </row>
    <row r="17" spans="1:17" x14ac:dyDescent="0.4">
      <c r="A17" s="20" t="s">
        <v>123</v>
      </c>
      <c r="B17" s="13">
        <f>B23</f>
        <v>66</v>
      </c>
      <c r="C17" s="6">
        <f>IF(B$15=0,0,B17/B$15)</f>
        <v>0.532258064516129</v>
      </c>
      <c r="E17" s="29" t="s">
        <v>91</v>
      </c>
      <c r="F17" s="26" t="s">
        <v>46</v>
      </c>
      <c r="G17" s="14">
        <v>4</v>
      </c>
      <c r="H17" s="92">
        <f t="shared" si="0"/>
        <v>1.7167381974248927E-2</v>
      </c>
      <c r="I17" s="60">
        <v>5</v>
      </c>
      <c r="K17" s="7">
        <v>15</v>
      </c>
      <c r="L17" s="65">
        <v>-65.2</v>
      </c>
      <c r="N17" s="78" t="s">
        <v>168</v>
      </c>
      <c r="O17" s="87">
        <f t="shared" si="3"/>
        <v>-0.15937499999999982</v>
      </c>
      <c r="P17" s="81">
        <v>32</v>
      </c>
      <c r="Q17" s="72">
        <v>-5.0999999999999943</v>
      </c>
    </row>
    <row r="18" spans="1:17" x14ac:dyDescent="0.4">
      <c r="A18" s="20" t="s">
        <v>124</v>
      </c>
      <c r="B18" s="13">
        <f>B24</f>
        <v>88</v>
      </c>
      <c r="C18" s="6">
        <f>IF(B$16=0,0,B18/B$16)</f>
        <v>0.3963963963963964</v>
      </c>
      <c r="E18" s="29" t="s">
        <v>74</v>
      </c>
      <c r="F18" s="26" t="s">
        <v>29</v>
      </c>
      <c r="G18" s="14">
        <v>2</v>
      </c>
      <c r="H18" s="92">
        <f t="shared" si="0"/>
        <v>8.5836909871244635E-3</v>
      </c>
      <c r="I18" s="60">
        <v>1</v>
      </c>
      <c r="K18" s="7">
        <v>16</v>
      </c>
      <c r="L18" s="65">
        <v>-70.600000000000009</v>
      </c>
      <c r="N18" s="78" t="s">
        <v>169</v>
      </c>
      <c r="O18" s="87">
        <f t="shared" si="3"/>
        <v>-2.623809523809526</v>
      </c>
      <c r="P18" s="81">
        <v>21</v>
      </c>
      <c r="Q18" s="72">
        <v>-55.100000000000051</v>
      </c>
    </row>
    <row r="19" spans="1:17" x14ac:dyDescent="0.4">
      <c r="A19" s="20" t="s">
        <v>10</v>
      </c>
      <c r="B19" s="13">
        <f>B22+B21</f>
        <v>233</v>
      </c>
      <c r="C19" s="6">
        <f>IF(B$3=0,0,B19/B$3)</f>
        <v>0.27476415094339623</v>
      </c>
      <c r="E19" s="29" t="s">
        <v>75</v>
      </c>
      <c r="F19" s="26" t="s">
        <v>30</v>
      </c>
      <c r="G19" s="14">
        <v>2</v>
      </c>
      <c r="H19" s="92">
        <f t="shared" si="0"/>
        <v>8.5836909871244635E-3</v>
      </c>
      <c r="I19" s="60">
        <v>4</v>
      </c>
      <c r="K19" s="7">
        <v>17</v>
      </c>
      <c r="L19" s="65">
        <v>-65.2</v>
      </c>
      <c r="N19" s="78" t="s">
        <v>127</v>
      </c>
      <c r="O19" s="87">
        <f t="shared" si="3"/>
        <v>-13.955263157894736</v>
      </c>
      <c r="P19" s="81">
        <v>38</v>
      </c>
      <c r="Q19" s="72">
        <v>-530.29999999999995</v>
      </c>
    </row>
    <row r="20" spans="1:17" x14ac:dyDescent="0.4">
      <c r="A20" s="21" t="s">
        <v>13</v>
      </c>
      <c r="B20" s="14">
        <v>136</v>
      </c>
      <c r="C20" s="8">
        <f>IF(B$3=0,0,B20/B$3)</f>
        <v>0.16037735849056603</v>
      </c>
      <c r="E20" s="29" t="s">
        <v>78</v>
      </c>
      <c r="F20" s="26" t="s">
        <v>33</v>
      </c>
      <c r="G20" s="14">
        <v>2</v>
      </c>
      <c r="H20" s="92">
        <f t="shared" si="0"/>
        <v>8.5836909871244635E-3</v>
      </c>
      <c r="I20" s="60">
        <v>10</v>
      </c>
      <c r="K20" s="7">
        <v>18</v>
      </c>
      <c r="L20" s="65">
        <v>-80.2</v>
      </c>
      <c r="N20" s="78" t="s">
        <v>126</v>
      </c>
      <c r="O20" s="87">
        <f t="shared" si="3"/>
        <v>-15.074418604651166</v>
      </c>
      <c r="P20" s="81">
        <v>43</v>
      </c>
      <c r="Q20" s="72">
        <v>-648.20000000000016</v>
      </c>
    </row>
    <row r="21" spans="1:17" x14ac:dyDescent="0.4">
      <c r="A21" s="21" t="s">
        <v>12</v>
      </c>
      <c r="B21" s="14">
        <v>100</v>
      </c>
      <c r="C21" s="8">
        <f>IF(B$19=0,0,B21/B$19)</f>
        <v>0.42918454935622319</v>
      </c>
      <c r="E21" s="29" t="s">
        <v>88</v>
      </c>
      <c r="F21" s="26" t="s">
        <v>43</v>
      </c>
      <c r="G21" s="14">
        <v>2</v>
      </c>
      <c r="H21" s="92">
        <f t="shared" si="0"/>
        <v>8.5836909871244635E-3</v>
      </c>
      <c r="I21" s="60">
        <v>1</v>
      </c>
      <c r="K21" s="7">
        <v>19</v>
      </c>
      <c r="L21" s="65">
        <v>-115.1</v>
      </c>
      <c r="N21" s="78" t="s">
        <v>195</v>
      </c>
      <c r="O21" s="87">
        <f t="shared" si="3"/>
        <v>-18.406666666666663</v>
      </c>
      <c r="P21" s="81">
        <v>15</v>
      </c>
      <c r="Q21" s="72">
        <v>-276.09999999999997</v>
      </c>
    </row>
    <row r="22" spans="1:17" x14ac:dyDescent="0.4">
      <c r="A22" s="21" t="s">
        <v>11</v>
      </c>
      <c r="B22" s="14">
        <v>133</v>
      </c>
      <c r="C22" s="8">
        <f>IF(B$19=0,0,B22/B$19)</f>
        <v>0.57081545064377681</v>
      </c>
      <c r="E22" s="29" t="s">
        <v>93</v>
      </c>
      <c r="F22" s="26" t="s">
        <v>48</v>
      </c>
      <c r="G22" s="14">
        <v>2</v>
      </c>
      <c r="H22" s="92">
        <f t="shared" si="0"/>
        <v>8.5836909871244635E-3</v>
      </c>
      <c r="I22" s="60">
        <v>1</v>
      </c>
      <c r="K22" s="7">
        <v>20</v>
      </c>
      <c r="L22" s="65">
        <v>-88.8</v>
      </c>
      <c r="N22" s="78" t="s">
        <v>167</v>
      </c>
      <c r="O22" s="87">
        <f t="shared" si="3"/>
        <v>-24.919354838709676</v>
      </c>
      <c r="P22" s="81">
        <v>31</v>
      </c>
      <c r="Q22" s="72">
        <v>-772.5</v>
      </c>
    </row>
    <row r="23" spans="1:17" x14ac:dyDescent="0.4">
      <c r="A23" s="21" t="s">
        <v>192</v>
      </c>
      <c r="B23" s="14">
        <v>66</v>
      </c>
      <c r="C23" s="8">
        <f>IF(B$19=0,0,B23/B$19)</f>
        <v>0.2832618025751073</v>
      </c>
      <c r="E23" s="29" t="s">
        <v>77</v>
      </c>
      <c r="F23" s="26" t="s">
        <v>32</v>
      </c>
      <c r="G23" s="14">
        <v>1</v>
      </c>
      <c r="H23" s="92">
        <f t="shared" si="0"/>
        <v>4.2918454935622317E-3</v>
      </c>
      <c r="I23" s="60">
        <v>3</v>
      </c>
      <c r="K23" s="7">
        <v>21</v>
      </c>
      <c r="L23" s="65">
        <v>-111.4</v>
      </c>
      <c r="N23" s="78" t="s">
        <v>282</v>
      </c>
      <c r="O23" s="87">
        <f t="shared" si="3"/>
        <v>-38</v>
      </c>
      <c r="P23" s="81">
        <v>1</v>
      </c>
      <c r="Q23" s="72">
        <v>-38</v>
      </c>
    </row>
    <row r="24" spans="1:17" x14ac:dyDescent="0.4">
      <c r="A24" s="21" t="s">
        <v>190</v>
      </c>
      <c r="B24" s="14">
        <v>88</v>
      </c>
      <c r="C24" s="8">
        <f>IF(B$19=0,0,B24/B$19)</f>
        <v>0.37768240343347642</v>
      </c>
      <c r="E24" s="29" t="s">
        <v>84</v>
      </c>
      <c r="F24" s="26" t="s">
        <v>39</v>
      </c>
      <c r="G24" s="14">
        <v>1</v>
      </c>
      <c r="H24" s="92">
        <f t="shared" si="0"/>
        <v>4.2918454935622317E-3</v>
      </c>
      <c r="I24" s="60">
        <v>3</v>
      </c>
      <c r="K24" s="7">
        <v>22</v>
      </c>
      <c r="L24" s="65">
        <v>-142.80000000000001</v>
      </c>
    </row>
    <row r="25" spans="1:17" x14ac:dyDescent="0.4">
      <c r="A25" s="21" t="s">
        <v>191</v>
      </c>
      <c r="B25" s="14">
        <v>79</v>
      </c>
      <c r="C25" s="8">
        <f>IF(B$19=0,0,B25/B$19)</f>
        <v>0.33905579399141633</v>
      </c>
      <c r="E25" s="29" t="s">
        <v>87</v>
      </c>
      <c r="F25" s="26" t="s">
        <v>42</v>
      </c>
      <c r="G25" s="14">
        <v>1</v>
      </c>
      <c r="H25" s="92">
        <f t="shared" si="0"/>
        <v>4.2918454935622317E-3</v>
      </c>
      <c r="I25" s="60">
        <v>3</v>
      </c>
      <c r="K25" s="7">
        <v>23</v>
      </c>
      <c r="L25" s="65">
        <v>-80.900000000000006</v>
      </c>
    </row>
    <row r="26" spans="1:17" x14ac:dyDescent="0.4">
      <c r="A26" s="21" t="s">
        <v>5</v>
      </c>
      <c r="B26" s="18">
        <f>IF(B$19=0,0,C26/B$19)</f>
        <v>6991.4163090128759</v>
      </c>
      <c r="C26" s="10">
        <v>1629000</v>
      </c>
      <c r="E26" s="29" t="s">
        <v>73</v>
      </c>
      <c r="F26" s="26" t="s">
        <v>28</v>
      </c>
      <c r="G26" s="14">
        <v>0</v>
      </c>
      <c r="H26" s="92">
        <f t="shared" si="0"/>
        <v>0</v>
      </c>
      <c r="I26" s="60">
        <v>6</v>
      </c>
      <c r="K26" s="7">
        <v>24</v>
      </c>
      <c r="L26" s="65">
        <v>-111.60000000000001</v>
      </c>
    </row>
    <row r="27" spans="1:17" x14ac:dyDescent="0.4">
      <c r="A27" s="22" t="s">
        <v>174</v>
      </c>
      <c r="B27" s="99">
        <f>IF($B$19-B$18=0,0,C27/($B$19-B$18))</f>
        <v>7473.1034482758623</v>
      </c>
      <c r="C27" s="100">
        <v>1083600</v>
      </c>
      <c r="E27" s="29" t="s">
        <v>76</v>
      </c>
      <c r="F27" s="26" t="s">
        <v>31</v>
      </c>
      <c r="G27" s="14">
        <v>0</v>
      </c>
      <c r="H27" s="92">
        <f t="shared" si="0"/>
        <v>0</v>
      </c>
      <c r="I27" s="60">
        <v>3</v>
      </c>
      <c r="K27" s="7">
        <v>25</v>
      </c>
      <c r="L27" s="65">
        <v>-97.500000000000014</v>
      </c>
    </row>
    <row r="28" spans="1:17" x14ac:dyDescent="0.4">
      <c r="A28" s="22" t="s">
        <v>175</v>
      </c>
      <c r="B28" s="99">
        <f>IF(B$18=0,0,C28/B$18)</f>
        <v>6197.727272727273</v>
      </c>
      <c r="C28" s="100">
        <v>545400</v>
      </c>
      <c r="E28" s="29" t="s">
        <v>80</v>
      </c>
      <c r="F28" s="26" t="s">
        <v>35</v>
      </c>
      <c r="G28" s="14">
        <v>0</v>
      </c>
      <c r="H28" s="92">
        <f t="shared" si="0"/>
        <v>0</v>
      </c>
      <c r="I28" s="60">
        <v>1</v>
      </c>
      <c r="K28" s="7">
        <v>26</v>
      </c>
      <c r="L28" s="65">
        <v>-123.10000000000002</v>
      </c>
    </row>
    <row r="29" spans="1:17" x14ac:dyDescent="0.4">
      <c r="A29" s="22" t="s">
        <v>173</v>
      </c>
      <c r="B29" s="99">
        <f>IF(B$20=0,0,C29/B$20)</f>
        <v>-7711.0294117647063</v>
      </c>
      <c r="C29" s="100">
        <v>-1048700</v>
      </c>
      <c r="E29" s="29" t="s">
        <v>82</v>
      </c>
      <c r="F29" s="26" t="s">
        <v>37</v>
      </c>
      <c r="G29" s="14">
        <v>0</v>
      </c>
      <c r="H29" s="92">
        <f t="shared" si="0"/>
        <v>0</v>
      </c>
      <c r="I29" s="60">
        <v>1</v>
      </c>
      <c r="K29" s="7">
        <v>27</v>
      </c>
      <c r="L29" s="65">
        <v>-125.20000000000002</v>
      </c>
    </row>
    <row r="30" spans="1:17" x14ac:dyDescent="0.4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 t="shared" si="0"/>
        <v>0</v>
      </c>
      <c r="I30" s="60">
        <v>8</v>
      </c>
      <c r="K30" s="7">
        <v>28</v>
      </c>
      <c r="L30" s="65">
        <v>-124.40000000000002</v>
      </c>
    </row>
    <row r="31" spans="1:17" x14ac:dyDescent="0.4">
      <c r="A31" s="21" t="s">
        <v>162</v>
      </c>
      <c r="B31" s="14">
        <v>32</v>
      </c>
      <c r="C31" s="94">
        <v>5</v>
      </c>
      <c r="E31" s="29" t="s">
        <v>90</v>
      </c>
      <c r="F31" s="26" t="s">
        <v>45</v>
      </c>
      <c r="G31" s="14">
        <v>0</v>
      </c>
      <c r="H31" s="92">
        <f t="shared" si="0"/>
        <v>0</v>
      </c>
      <c r="I31" s="60">
        <v>5</v>
      </c>
      <c r="K31" s="7">
        <v>29</v>
      </c>
      <c r="L31" s="65">
        <v>-156.00000000000003</v>
      </c>
    </row>
    <row r="32" spans="1:17" x14ac:dyDescent="0.4">
      <c r="A32" s="56" t="s">
        <v>138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 t="shared" si="0"/>
        <v>0</v>
      </c>
      <c r="I32" s="60">
        <v>8</v>
      </c>
      <c r="K32" s="7">
        <v>30</v>
      </c>
      <c r="L32" s="65">
        <v>-182.90000000000003</v>
      </c>
    </row>
    <row r="33" spans="1:12" x14ac:dyDescent="0.4">
      <c r="A33" s="24" t="s">
        <v>189</v>
      </c>
      <c r="B33" s="127">
        <v>87400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  <c r="K33" s="7">
        <v>31</v>
      </c>
      <c r="L33" s="65">
        <v>-203.20000000000005</v>
      </c>
    </row>
    <row r="34" spans="1:12" x14ac:dyDescent="0.4">
      <c r="A34" s="23" t="s">
        <v>139</v>
      </c>
      <c r="B34" s="31">
        <v>3</v>
      </c>
      <c r="C34" s="11">
        <f>IF(B$3=0,0,B34/B$3)</f>
        <v>3.5377358490566039E-3</v>
      </c>
      <c r="E34" s="29" t="s">
        <v>95</v>
      </c>
      <c r="F34" s="26" t="s">
        <v>50</v>
      </c>
      <c r="G34" s="14">
        <v>0</v>
      </c>
      <c r="H34" s="92">
        <f t="shared" ref="H34:H65" si="4"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 t="shared" si="4"/>
        <v>0</v>
      </c>
      <c r="I35" s="60">
        <v>1</v>
      </c>
      <c r="K35" s="7">
        <v>33</v>
      </c>
      <c r="L35" s="65">
        <v>-183.10000000000002</v>
      </c>
    </row>
    <row r="36" spans="1:12" x14ac:dyDescent="0.4">
      <c r="A36" s="56" t="s">
        <v>180</v>
      </c>
      <c r="B36" s="119">
        <v>30</v>
      </c>
      <c r="C36" s="102">
        <f t="shared" ref="C36:C48" si="5">IF(B$19=0,0,B36/B$19)</f>
        <v>0.12875536480686695</v>
      </c>
      <c r="E36" s="29" t="s">
        <v>97</v>
      </c>
      <c r="F36" s="26" t="s">
        <v>52</v>
      </c>
      <c r="G36" s="14">
        <v>0</v>
      </c>
      <c r="H36" s="92">
        <f t="shared" si="4"/>
        <v>0</v>
      </c>
      <c r="I36" s="60">
        <v>3</v>
      </c>
      <c r="K36" s="7">
        <v>34</v>
      </c>
      <c r="L36" s="65">
        <v>-168.3</v>
      </c>
    </row>
    <row r="37" spans="1:12" x14ac:dyDescent="0.4">
      <c r="A37" s="21" t="s">
        <v>176</v>
      </c>
      <c r="B37" s="14">
        <v>49</v>
      </c>
      <c r="C37" s="8">
        <f t="shared" si="5"/>
        <v>0.21030042918454936</v>
      </c>
      <c r="E37" s="29" t="s">
        <v>98</v>
      </c>
      <c r="F37" s="26" t="s">
        <v>53</v>
      </c>
      <c r="G37" s="14">
        <v>0</v>
      </c>
      <c r="H37" s="92">
        <f t="shared" si="4"/>
        <v>0</v>
      </c>
      <c r="I37" s="60">
        <v>1</v>
      </c>
      <c r="K37" s="7">
        <v>35</v>
      </c>
      <c r="L37" s="65">
        <v>-210.60000000000002</v>
      </c>
    </row>
    <row r="38" spans="1:12" x14ac:dyDescent="0.4">
      <c r="A38" s="21" t="s">
        <v>177</v>
      </c>
      <c r="B38" s="120">
        <v>49</v>
      </c>
      <c r="C38" s="8">
        <f t="shared" si="5"/>
        <v>0.21030042918454936</v>
      </c>
      <c r="E38" s="29" t="s">
        <v>99</v>
      </c>
      <c r="F38" s="26" t="s">
        <v>54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-199.20000000000002</v>
      </c>
    </row>
    <row r="39" spans="1:12" x14ac:dyDescent="0.4">
      <c r="A39" s="21" t="s">
        <v>178</v>
      </c>
      <c r="B39" s="120">
        <v>43</v>
      </c>
      <c r="C39" s="8">
        <f t="shared" si="5"/>
        <v>0.18454935622317598</v>
      </c>
      <c r="E39" s="29" t="s">
        <v>100</v>
      </c>
      <c r="F39" s="26" t="s">
        <v>55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-177.00000000000003</v>
      </c>
    </row>
    <row r="40" spans="1:12" x14ac:dyDescent="0.4">
      <c r="A40" s="21" t="s">
        <v>179</v>
      </c>
      <c r="B40" s="120">
        <v>24</v>
      </c>
      <c r="C40" s="8">
        <f t="shared" si="5"/>
        <v>0.10300429184549356</v>
      </c>
      <c r="E40" s="29" t="s">
        <v>101</v>
      </c>
      <c r="F40" s="26" t="s">
        <v>56</v>
      </c>
      <c r="G40" s="14">
        <v>0</v>
      </c>
      <c r="H40" s="92">
        <f t="shared" si="4"/>
        <v>0</v>
      </c>
      <c r="I40" s="60">
        <v>3</v>
      </c>
      <c r="K40" s="7">
        <v>38</v>
      </c>
      <c r="L40" s="65">
        <v>-213.10000000000002</v>
      </c>
    </row>
    <row r="41" spans="1:12" x14ac:dyDescent="0.4">
      <c r="A41" s="21" t="s">
        <v>181</v>
      </c>
      <c r="B41" s="120">
        <v>18</v>
      </c>
      <c r="C41" s="8">
        <f t="shared" si="5"/>
        <v>7.7253218884120178E-2</v>
      </c>
      <c r="E41" s="29" t="s">
        <v>102</v>
      </c>
      <c r="F41" s="26" t="s">
        <v>57</v>
      </c>
      <c r="G41" s="14">
        <v>0</v>
      </c>
      <c r="H41" s="92">
        <f t="shared" si="4"/>
        <v>0</v>
      </c>
      <c r="I41" s="60">
        <v>1</v>
      </c>
      <c r="K41" s="7">
        <v>39</v>
      </c>
      <c r="L41" s="65">
        <v>-238.60000000000002</v>
      </c>
    </row>
    <row r="42" spans="1:12" x14ac:dyDescent="0.4">
      <c r="A42" s="21" t="s">
        <v>182</v>
      </c>
      <c r="B42" s="120">
        <v>11</v>
      </c>
      <c r="C42" s="8">
        <f t="shared" si="5"/>
        <v>4.7210300429184553E-2</v>
      </c>
      <c r="E42" s="29" t="s">
        <v>103</v>
      </c>
      <c r="F42" s="26" t="s">
        <v>58</v>
      </c>
      <c r="G42" s="14">
        <v>0</v>
      </c>
      <c r="H42" s="92">
        <f t="shared" si="4"/>
        <v>0</v>
      </c>
      <c r="I42" s="60">
        <v>1</v>
      </c>
      <c r="K42" s="7">
        <v>40</v>
      </c>
      <c r="L42" s="65">
        <v>-193.60000000000002</v>
      </c>
    </row>
    <row r="43" spans="1:12" x14ac:dyDescent="0.4">
      <c r="A43" s="21" t="s">
        <v>183</v>
      </c>
      <c r="B43" s="120">
        <v>6</v>
      </c>
      <c r="C43" s="8">
        <f t="shared" si="5"/>
        <v>2.575107296137339E-2</v>
      </c>
      <c r="E43" s="29" t="s">
        <v>104</v>
      </c>
      <c r="F43" s="26" t="s">
        <v>59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-170.00000000000003</v>
      </c>
    </row>
    <row r="44" spans="1:12" x14ac:dyDescent="0.4">
      <c r="A44" s="21" t="s">
        <v>184</v>
      </c>
      <c r="B44" s="120">
        <v>1</v>
      </c>
      <c r="C44" s="8">
        <f t="shared" si="5"/>
        <v>4.2918454935622317E-3</v>
      </c>
      <c r="E44" s="29" t="s">
        <v>105</v>
      </c>
      <c r="F44" s="26" t="s">
        <v>112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-143.30000000000004</v>
      </c>
    </row>
    <row r="45" spans="1:12" x14ac:dyDescent="0.4">
      <c r="A45" s="21" t="s">
        <v>185</v>
      </c>
      <c r="B45" s="120">
        <v>0</v>
      </c>
      <c r="C45" s="8">
        <f t="shared" si="5"/>
        <v>0</v>
      </c>
      <c r="E45" s="29" t="s">
        <v>106</v>
      </c>
      <c r="F45" s="26" t="s">
        <v>113</v>
      </c>
      <c r="G45" s="14">
        <v>0</v>
      </c>
      <c r="H45" s="92">
        <f t="shared" si="4"/>
        <v>0</v>
      </c>
      <c r="I45" s="60">
        <v>3</v>
      </c>
      <c r="K45" s="7">
        <v>43</v>
      </c>
      <c r="L45" s="65">
        <v>-172.20000000000005</v>
      </c>
    </row>
    <row r="46" spans="1:12" x14ac:dyDescent="0.4">
      <c r="A46" s="21" t="s">
        <v>186</v>
      </c>
      <c r="B46" s="120">
        <v>0</v>
      </c>
      <c r="C46" s="8">
        <f t="shared" si="5"/>
        <v>0</v>
      </c>
      <c r="E46" s="29" t="s">
        <v>107</v>
      </c>
      <c r="F46" s="26" t="s">
        <v>114</v>
      </c>
      <c r="G46" s="14">
        <v>0</v>
      </c>
      <c r="H46" s="92">
        <f t="shared" si="4"/>
        <v>0</v>
      </c>
      <c r="I46" s="60">
        <v>1</v>
      </c>
      <c r="K46" s="7">
        <v>44</v>
      </c>
      <c r="L46" s="65">
        <v>-144.10000000000005</v>
      </c>
    </row>
    <row r="47" spans="1:12" x14ac:dyDescent="0.4">
      <c r="A47" s="21" t="s">
        <v>187</v>
      </c>
      <c r="B47" s="120">
        <v>0</v>
      </c>
      <c r="C47" s="8">
        <f t="shared" si="5"/>
        <v>0</v>
      </c>
      <c r="E47" s="29" t="s">
        <v>108</v>
      </c>
      <c r="F47" s="26" t="s">
        <v>60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-97.300000000000054</v>
      </c>
    </row>
    <row r="48" spans="1:12" x14ac:dyDescent="0.4">
      <c r="A48" s="23" t="s">
        <v>188</v>
      </c>
      <c r="B48" s="101">
        <v>2</v>
      </c>
      <c r="C48" s="11">
        <f t="shared" si="5"/>
        <v>8.5836909871244635E-3</v>
      </c>
      <c r="E48" s="29" t="s">
        <v>109</v>
      </c>
      <c r="F48" s="26" t="s">
        <v>61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-145.90000000000006</v>
      </c>
    </row>
    <row r="49" spans="5:12" x14ac:dyDescent="0.4">
      <c r="E49" s="29" t="s">
        <v>110</v>
      </c>
      <c r="F49" s="26" t="s">
        <v>62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-187.00000000000006</v>
      </c>
    </row>
    <row r="50" spans="5:12" x14ac:dyDescent="0.4">
      <c r="E50" s="29" t="s">
        <v>111</v>
      </c>
      <c r="F50" s="26" t="s">
        <v>63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-230.30000000000007</v>
      </c>
    </row>
    <row r="51" spans="5:12" x14ac:dyDescent="0.4">
      <c r="E51" s="95" t="s">
        <v>159</v>
      </c>
      <c r="F51" s="96" t="s">
        <v>160</v>
      </c>
      <c r="G51" s="15">
        <v>0</v>
      </c>
      <c r="H51" s="97">
        <f t="shared" si="4"/>
        <v>0</v>
      </c>
      <c r="I51" s="98">
        <v>9</v>
      </c>
      <c r="K51" s="7">
        <v>49</v>
      </c>
      <c r="L51" s="65">
        <v>-256.70000000000005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-292.80000000000007</v>
      </c>
    </row>
    <row r="53" spans="5:12" x14ac:dyDescent="0.4">
      <c r="K53" s="7">
        <v>51</v>
      </c>
      <c r="L53" s="65">
        <v>-273.60000000000008</v>
      </c>
    </row>
    <row r="54" spans="5:12" x14ac:dyDescent="0.4">
      <c r="K54" s="7">
        <v>52</v>
      </c>
      <c r="L54" s="65">
        <v>-296.10000000000008</v>
      </c>
    </row>
    <row r="55" spans="5:12" x14ac:dyDescent="0.4">
      <c r="K55" s="7">
        <v>53</v>
      </c>
      <c r="L55" s="65">
        <v>-383.50000000000011</v>
      </c>
    </row>
    <row r="56" spans="5:12" x14ac:dyDescent="0.4">
      <c r="K56" s="7">
        <v>54</v>
      </c>
      <c r="L56" s="65">
        <v>-415.00000000000011</v>
      </c>
    </row>
    <row r="57" spans="5:12" x14ac:dyDescent="0.4">
      <c r="K57" s="7">
        <v>55</v>
      </c>
      <c r="L57" s="65">
        <v>-381.50000000000011</v>
      </c>
    </row>
    <row r="58" spans="5:12" x14ac:dyDescent="0.4">
      <c r="K58" s="7">
        <v>56</v>
      </c>
      <c r="L58" s="65">
        <v>-369.50000000000011</v>
      </c>
    </row>
    <row r="59" spans="5:12" x14ac:dyDescent="0.4">
      <c r="K59" s="7">
        <v>57</v>
      </c>
      <c r="L59" s="65">
        <v>-389.2000000000001</v>
      </c>
    </row>
    <row r="60" spans="5:12" x14ac:dyDescent="0.4">
      <c r="K60" s="7">
        <v>58</v>
      </c>
      <c r="L60" s="65">
        <v>-436.00000000000011</v>
      </c>
    </row>
    <row r="61" spans="5:12" x14ac:dyDescent="0.4">
      <c r="K61" s="7">
        <v>59</v>
      </c>
      <c r="L61" s="65">
        <v>-399.2000000000001</v>
      </c>
    </row>
    <row r="62" spans="5:12" x14ac:dyDescent="0.4">
      <c r="K62" s="7">
        <v>60</v>
      </c>
      <c r="L62" s="65">
        <v>-444.30000000000013</v>
      </c>
    </row>
    <row r="63" spans="5:12" x14ac:dyDescent="0.4">
      <c r="K63" s="7">
        <v>61</v>
      </c>
      <c r="L63" s="65">
        <v>-491.00000000000011</v>
      </c>
    </row>
    <row r="64" spans="5:12" x14ac:dyDescent="0.4">
      <c r="K64" s="7">
        <v>62</v>
      </c>
      <c r="L64" s="65">
        <v>-482.00000000000011</v>
      </c>
    </row>
    <row r="65" spans="11:12" x14ac:dyDescent="0.4">
      <c r="K65" s="7">
        <v>63</v>
      </c>
      <c r="L65" s="65">
        <v>-522.20000000000016</v>
      </c>
    </row>
    <row r="66" spans="11:12" x14ac:dyDescent="0.4">
      <c r="K66" s="7">
        <v>64</v>
      </c>
      <c r="L66" s="65">
        <v>-550.9000000000002</v>
      </c>
    </row>
    <row r="67" spans="11:12" x14ac:dyDescent="0.4">
      <c r="K67" s="7">
        <v>65</v>
      </c>
      <c r="L67" s="65">
        <v>-526.20000000000016</v>
      </c>
    </row>
    <row r="68" spans="11:12" x14ac:dyDescent="0.4">
      <c r="K68" s="7">
        <v>66</v>
      </c>
      <c r="L68" s="65">
        <v>-497.90000000000015</v>
      </c>
    </row>
    <row r="69" spans="11:12" x14ac:dyDescent="0.4">
      <c r="K69" s="7">
        <v>67</v>
      </c>
      <c r="L69" s="65">
        <v>-494.00000000000017</v>
      </c>
    </row>
    <row r="70" spans="11:12" x14ac:dyDescent="0.4">
      <c r="K70" s="7">
        <v>68</v>
      </c>
      <c r="L70" s="65">
        <v>-513.00000000000023</v>
      </c>
    </row>
    <row r="71" spans="11:12" x14ac:dyDescent="0.4">
      <c r="K71" s="7">
        <v>69</v>
      </c>
      <c r="L71" s="65">
        <v>-482.60000000000025</v>
      </c>
    </row>
    <row r="72" spans="11:12" x14ac:dyDescent="0.4">
      <c r="K72" s="7">
        <v>70</v>
      </c>
      <c r="L72" s="65">
        <v>-490.90000000000026</v>
      </c>
    </row>
    <row r="73" spans="11:12" x14ac:dyDescent="0.4">
      <c r="K73" s="7">
        <v>71</v>
      </c>
      <c r="L73" s="65">
        <v>-486.70000000000027</v>
      </c>
    </row>
    <row r="74" spans="11:12" x14ac:dyDescent="0.4">
      <c r="K74" s="7">
        <v>72</v>
      </c>
      <c r="L74" s="65">
        <v>-450.00000000000028</v>
      </c>
    </row>
    <row r="75" spans="11:12" x14ac:dyDescent="0.4">
      <c r="K75" s="7">
        <v>73</v>
      </c>
      <c r="L75" s="65">
        <v>-460.50000000000028</v>
      </c>
    </row>
    <row r="76" spans="11:12" x14ac:dyDescent="0.4">
      <c r="K76" s="7">
        <v>74</v>
      </c>
      <c r="L76" s="65">
        <v>-460.70000000000027</v>
      </c>
    </row>
    <row r="77" spans="11:12" x14ac:dyDescent="0.4">
      <c r="K77" s="7">
        <v>75</v>
      </c>
      <c r="L77" s="65">
        <v>-462.20000000000027</v>
      </c>
    </row>
    <row r="78" spans="11:12" x14ac:dyDescent="0.4">
      <c r="K78" s="7">
        <v>76</v>
      </c>
      <c r="L78" s="65">
        <v>-520.50000000000023</v>
      </c>
    </row>
    <row r="79" spans="11:12" x14ac:dyDescent="0.4">
      <c r="K79" s="7">
        <v>77</v>
      </c>
      <c r="L79" s="65">
        <v>-490.00000000000023</v>
      </c>
    </row>
    <row r="80" spans="11:12" x14ac:dyDescent="0.4">
      <c r="K80" s="7">
        <v>78</v>
      </c>
      <c r="L80" s="65">
        <v>-427.60000000000025</v>
      </c>
    </row>
    <row r="81" spans="11:12" x14ac:dyDescent="0.4">
      <c r="K81" s="7">
        <v>79</v>
      </c>
      <c r="L81" s="65">
        <v>-419.20000000000027</v>
      </c>
    </row>
    <row r="82" spans="11:12" x14ac:dyDescent="0.4">
      <c r="K82" s="7">
        <v>80</v>
      </c>
      <c r="L82" s="65">
        <v>-427.50000000000028</v>
      </c>
    </row>
    <row r="83" spans="11:12" x14ac:dyDescent="0.4">
      <c r="K83" s="7">
        <v>81</v>
      </c>
      <c r="L83" s="65">
        <v>-430.90000000000026</v>
      </c>
    </row>
    <row r="84" spans="11:12" x14ac:dyDescent="0.4">
      <c r="K84" s="7">
        <v>82</v>
      </c>
      <c r="L84" s="65">
        <v>-468.40000000000026</v>
      </c>
    </row>
    <row r="85" spans="11:12" x14ac:dyDescent="0.4">
      <c r="K85" s="7">
        <v>83</v>
      </c>
      <c r="L85" s="65">
        <v>-502.90000000000026</v>
      </c>
    </row>
    <row r="86" spans="11:12" x14ac:dyDescent="0.4">
      <c r="K86" s="7">
        <v>84</v>
      </c>
      <c r="L86" s="65">
        <v>-564.20000000000027</v>
      </c>
    </row>
    <row r="87" spans="11:12" x14ac:dyDescent="0.4">
      <c r="K87" s="7">
        <v>85</v>
      </c>
      <c r="L87" s="65">
        <v>-589.90000000000032</v>
      </c>
    </row>
    <row r="88" spans="11:12" x14ac:dyDescent="0.4">
      <c r="K88" s="7">
        <v>86</v>
      </c>
      <c r="L88" s="65">
        <v>-582.3000000000003</v>
      </c>
    </row>
    <row r="89" spans="11:12" x14ac:dyDescent="0.4">
      <c r="K89" s="7">
        <v>87</v>
      </c>
      <c r="L89" s="65">
        <v>-606.90000000000032</v>
      </c>
    </row>
    <row r="90" spans="11:12" x14ac:dyDescent="0.4">
      <c r="K90" s="7">
        <v>88</v>
      </c>
      <c r="L90" s="65">
        <v>-597.70000000000027</v>
      </c>
    </row>
    <row r="91" spans="11:12" x14ac:dyDescent="0.4">
      <c r="K91" s="7">
        <v>89</v>
      </c>
      <c r="L91" s="65">
        <v>-581.00000000000023</v>
      </c>
    </row>
    <row r="92" spans="11:12" x14ac:dyDescent="0.4">
      <c r="K92" s="7">
        <v>90</v>
      </c>
      <c r="L92" s="65">
        <v>-584.9000000000002</v>
      </c>
    </row>
    <row r="93" spans="11:12" x14ac:dyDescent="0.4">
      <c r="K93" s="7">
        <v>91</v>
      </c>
      <c r="L93" s="65">
        <v>-589.00000000000023</v>
      </c>
    </row>
    <row r="94" spans="11:12" x14ac:dyDescent="0.4">
      <c r="K94" s="7">
        <v>92</v>
      </c>
      <c r="L94" s="65">
        <v>-643.60000000000025</v>
      </c>
    </row>
    <row r="95" spans="11:12" x14ac:dyDescent="0.4">
      <c r="K95" s="7">
        <v>93</v>
      </c>
      <c r="L95" s="65">
        <v>-703.8000000000003</v>
      </c>
    </row>
    <row r="96" spans="11:12" x14ac:dyDescent="0.4">
      <c r="K96" s="7">
        <v>94</v>
      </c>
      <c r="L96" s="65">
        <v>-702.60000000000025</v>
      </c>
    </row>
    <row r="97" spans="11:12" x14ac:dyDescent="0.4">
      <c r="K97" s="7">
        <v>95</v>
      </c>
      <c r="L97" s="65">
        <v>-703.00000000000023</v>
      </c>
    </row>
  </sheetData>
  <sortState xmlns:xlrd2="http://schemas.microsoft.com/office/spreadsheetml/2017/richdata2" ref="E2:I9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4AEEA-6BA8-4F21-9AD8-F1F951CDA52D}">
  <sheetPr codeName="Sheet9"/>
  <dimension ref="A1:Q236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126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234</v>
      </c>
      <c r="C2" s="132"/>
      <c r="E2" s="28" t="s">
        <v>66</v>
      </c>
      <c r="F2" s="25" t="s">
        <v>22</v>
      </c>
      <c r="G2" s="13">
        <v>464</v>
      </c>
      <c r="H2" s="91">
        <f t="shared" ref="H2:H33" si="0">IF(B$19=0,0,G2/B$19)</f>
        <v>0.70624048706240483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1">IF(P2=0,0,Q2/P2)</f>
        <v>1177.6824034334763</v>
      </c>
      <c r="P2" s="80">
        <v>233</v>
      </c>
      <c r="Q2" s="67">
        <v>274400</v>
      </c>
    </row>
    <row r="3" spans="1:17" x14ac:dyDescent="0.4">
      <c r="A3" s="21" t="s">
        <v>8</v>
      </c>
      <c r="B3" s="133">
        <v>1938</v>
      </c>
      <c r="C3" s="134"/>
      <c r="E3" s="29" t="s">
        <v>72</v>
      </c>
      <c r="F3" s="26" t="s">
        <v>27</v>
      </c>
      <c r="G3" s="14">
        <v>359</v>
      </c>
      <c r="H3" s="92">
        <f t="shared" si="0"/>
        <v>0.54642313546423138</v>
      </c>
      <c r="I3" s="60">
        <v>6</v>
      </c>
      <c r="K3" s="7">
        <v>1</v>
      </c>
      <c r="L3" s="65">
        <v>50.2</v>
      </c>
      <c r="N3" s="78" t="s">
        <v>131</v>
      </c>
      <c r="O3" s="84">
        <f t="shared" si="1"/>
        <v>1699.1266375545852</v>
      </c>
      <c r="P3" s="81">
        <v>229</v>
      </c>
      <c r="Q3" s="68">
        <v>389100</v>
      </c>
    </row>
    <row r="4" spans="1:17" x14ac:dyDescent="0.4">
      <c r="A4" s="21" t="s">
        <v>6</v>
      </c>
      <c r="B4" s="135">
        <v>2082</v>
      </c>
      <c r="C4" s="136"/>
      <c r="E4" s="29" t="s">
        <v>64</v>
      </c>
      <c r="F4" s="26" t="s">
        <v>20</v>
      </c>
      <c r="G4" s="14">
        <v>281</v>
      </c>
      <c r="H4" s="92">
        <f t="shared" si="0"/>
        <v>0.42770167427701672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1"/>
        <v>1239.3665158371041</v>
      </c>
      <c r="P4" s="81">
        <v>221</v>
      </c>
      <c r="Q4" s="68">
        <v>273900</v>
      </c>
    </row>
    <row r="5" spans="1:17" x14ac:dyDescent="0.4">
      <c r="A5" s="21" t="s">
        <v>7</v>
      </c>
      <c r="B5" s="123">
        <f>IF(B$2=0,0,B$4/B$2)</f>
        <v>8.8974358974358978</v>
      </c>
      <c r="C5" s="124"/>
      <c r="E5" s="29" t="s">
        <v>163</v>
      </c>
      <c r="F5" s="26" t="s">
        <v>164</v>
      </c>
      <c r="G5" s="14">
        <v>252</v>
      </c>
      <c r="H5" s="92">
        <f t="shared" si="0"/>
        <v>0.38356164383561642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1"/>
        <v>242.02898550724638</v>
      </c>
      <c r="P5" s="81">
        <v>207</v>
      </c>
      <c r="Q5" s="68">
        <v>50100</v>
      </c>
    </row>
    <row r="6" spans="1:17" x14ac:dyDescent="0.4">
      <c r="A6" s="21" t="s">
        <v>1</v>
      </c>
      <c r="B6" s="137">
        <f>IF(B$2=0,0,(B$7*1+B$8*2+B$9*3)/B$2)</f>
        <v>1.7777777777777777</v>
      </c>
      <c r="C6" s="138"/>
      <c r="E6" s="29" t="s">
        <v>68</v>
      </c>
      <c r="F6" s="26" t="s">
        <v>12</v>
      </c>
      <c r="G6" s="14">
        <v>185</v>
      </c>
      <c r="H6" s="92">
        <f t="shared" si="0"/>
        <v>0.28158295281582951</v>
      </c>
      <c r="I6" s="60">
        <v>10</v>
      </c>
      <c r="K6" s="7">
        <v>4</v>
      </c>
      <c r="L6" s="65">
        <v>101.60000000000001</v>
      </c>
      <c r="N6" s="78" t="s">
        <v>134</v>
      </c>
      <c r="O6" s="84">
        <f t="shared" si="1"/>
        <v>1480.2083333333333</v>
      </c>
      <c r="P6" s="81">
        <v>192</v>
      </c>
      <c r="Q6" s="68">
        <v>284200</v>
      </c>
    </row>
    <row r="7" spans="1:17" x14ac:dyDescent="0.4">
      <c r="A7" s="21" t="s">
        <v>2</v>
      </c>
      <c r="B7" s="14">
        <v>109</v>
      </c>
      <c r="C7" s="8">
        <f t="shared" ref="C7:C14" si="2">IF(B$2=0,0,B7/B$2)</f>
        <v>0.46581196581196582</v>
      </c>
      <c r="E7" s="29" t="s">
        <v>67</v>
      </c>
      <c r="F7" s="26" t="s">
        <v>23</v>
      </c>
      <c r="G7" s="14">
        <v>154</v>
      </c>
      <c r="H7" s="92">
        <f t="shared" si="0"/>
        <v>0.23439878234398781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1"/>
        <v>1581.0126582278481</v>
      </c>
      <c r="P7" s="82">
        <v>158</v>
      </c>
      <c r="Q7" s="69">
        <v>249800</v>
      </c>
    </row>
    <row r="8" spans="1:17" x14ac:dyDescent="0.4">
      <c r="A8" s="21" t="s">
        <v>3</v>
      </c>
      <c r="B8" s="14">
        <v>68</v>
      </c>
      <c r="C8" s="8">
        <f t="shared" si="2"/>
        <v>0.29059829059829062</v>
      </c>
      <c r="E8" s="29" t="s">
        <v>89</v>
      </c>
      <c r="F8" s="26" t="s">
        <v>44</v>
      </c>
      <c r="G8" s="14">
        <v>98</v>
      </c>
      <c r="H8" s="92">
        <f t="shared" si="0"/>
        <v>0.14916286149162861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">
      <c r="A9" s="22" t="s">
        <v>4</v>
      </c>
      <c r="B9" s="15">
        <v>57</v>
      </c>
      <c r="C9" s="9">
        <f t="shared" si="2"/>
        <v>0.24358974358974358</v>
      </c>
      <c r="E9" s="29" t="s">
        <v>69</v>
      </c>
      <c r="F9" s="26" t="s">
        <v>24</v>
      </c>
      <c r="G9" s="14">
        <v>80</v>
      </c>
      <c r="H9" s="92">
        <f t="shared" si="0"/>
        <v>0.12176560121765601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35.182568807339436</v>
      </c>
      <c r="C10" s="114">
        <v>3834.8999999999987</v>
      </c>
      <c r="E10" s="29" t="s">
        <v>65</v>
      </c>
      <c r="F10" s="26" t="s">
        <v>21</v>
      </c>
      <c r="G10" s="14">
        <v>72</v>
      </c>
      <c r="H10" s="92">
        <f t="shared" si="0"/>
        <v>0.1095890410958904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10.46764705882353</v>
      </c>
      <c r="P10" s="80">
        <v>68</v>
      </c>
      <c r="Q10" s="71">
        <v>711.80000000000007</v>
      </c>
    </row>
    <row r="11" spans="1:17" x14ac:dyDescent="0.4">
      <c r="A11" s="22" t="s">
        <v>204</v>
      </c>
      <c r="B11" s="113">
        <f>IF(B8=0,0,C11/B8)</f>
        <v>0.92647058823529438</v>
      </c>
      <c r="C11" s="114">
        <v>63.000000000000021</v>
      </c>
      <c r="E11" s="29" t="s">
        <v>71</v>
      </c>
      <c r="F11" s="26" t="s">
        <v>26</v>
      </c>
      <c r="G11" s="14">
        <v>48</v>
      </c>
      <c r="H11" s="92">
        <f t="shared" si="0"/>
        <v>7.3059360730593603E-2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6.8415584415584414</v>
      </c>
      <c r="P11" s="81">
        <v>77</v>
      </c>
      <c r="Q11" s="72">
        <v>526.79999999999995</v>
      </c>
    </row>
    <row r="12" spans="1:17" x14ac:dyDescent="0.4">
      <c r="A12" s="22" t="s">
        <v>205</v>
      </c>
      <c r="B12" s="113">
        <f>IF(B9=0,0,C12/B9)</f>
        <v>-31.85789473684212</v>
      </c>
      <c r="C12" s="114">
        <v>-1815.9000000000008</v>
      </c>
      <c r="E12" s="29" t="s">
        <v>70</v>
      </c>
      <c r="F12" s="26" t="s">
        <v>25</v>
      </c>
      <c r="G12" s="14">
        <v>44</v>
      </c>
      <c r="H12" s="92">
        <f t="shared" si="0"/>
        <v>6.6971080669710803E-2</v>
      </c>
      <c r="I12" s="60">
        <v>12</v>
      </c>
      <c r="K12" s="7">
        <v>10</v>
      </c>
      <c r="L12" s="65">
        <v>158.19999999999999</v>
      </c>
      <c r="N12" s="79" t="s">
        <v>156</v>
      </c>
      <c r="O12" s="88">
        <f>IF(P12=0,0,Q12/P12)</f>
        <v>9.4764044943820203</v>
      </c>
      <c r="P12" s="82">
        <v>89</v>
      </c>
      <c r="Q12" s="73">
        <v>843.39999999999975</v>
      </c>
    </row>
    <row r="13" spans="1:17" x14ac:dyDescent="0.4">
      <c r="A13" s="22" t="s">
        <v>206</v>
      </c>
      <c r="B13" s="123">
        <f>AVERAGE(B10:B12)</f>
        <v>1.4170482195775378</v>
      </c>
      <c r="C13" s="124"/>
      <c r="E13" s="29" t="s">
        <v>86</v>
      </c>
      <c r="F13" s="26" t="s">
        <v>41</v>
      </c>
      <c r="G13" s="14">
        <v>40</v>
      </c>
      <c r="H13" s="92">
        <f t="shared" si="0"/>
        <v>6.0882800608828003E-2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12</v>
      </c>
      <c r="C14" s="11">
        <f t="shared" si="2"/>
        <v>5.128205128205128E-2</v>
      </c>
      <c r="E14" s="29" t="s">
        <v>83</v>
      </c>
      <c r="F14" s="26" t="s">
        <v>38</v>
      </c>
      <c r="G14" s="14">
        <v>35</v>
      </c>
      <c r="H14" s="92">
        <f t="shared" si="0"/>
        <v>5.3272450532724502E-2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508</v>
      </c>
      <c r="C15" s="12">
        <f>IF(B$3=0,0,B15/B$3)</f>
        <v>0.26212590299277605</v>
      </c>
      <c r="E15" s="29" t="s">
        <v>78</v>
      </c>
      <c r="F15" s="26" t="s">
        <v>33</v>
      </c>
      <c r="G15" s="14">
        <v>22</v>
      </c>
      <c r="H15" s="92">
        <f t="shared" si="0"/>
        <v>3.3485540334855401E-2</v>
      </c>
      <c r="I15" s="60">
        <v>4</v>
      </c>
      <c r="K15" s="7">
        <v>13</v>
      </c>
      <c r="L15" s="65">
        <v>206.39999999999998</v>
      </c>
      <c r="N15" s="77" t="s">
        <v>275</v>
      </c>
      <c r="O15" s="86">
        <f t="shared" ref="O15:O23" si="3">IF(P15=0,0,Q15/P15)</f>
        <v>52.04999999999999</v>
      </c>
      <c r="P15" s="80">
        <v>8</v>
      </c>
      <c r="Q15" s="71">
        <v>416.39999999999992</v>
      </c>
    </row>
    <row r="16" spans="1:17" x14ac:dyDescent="0.4">
      <c r="A16" s="21" t="s">
        <v>118</v>
      </c>
      <c r="B16" s="14">
        <v>468</v>
      </c>
      <c r="C16" s="8">
        <f>IF(B$3=0,0,B16/B$3)</f>
        <v>0.24148606811145512</v>
      </c>
      <c r="E16" s="29" t="s">
        <v>159</v>
      </c>
      <c r="F16" s="26" t="s">
        <v>160</v>
      </c>
      <c r="G16" s="14">
        <v>17</v>
      </c>
      <c r="H16" s="92">
        <f t="shared" si="0"/>
        <v>2.5875190258751901E-2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 t="shared" si="3"/>
        <v>31.041666666666682</v>
      </c>
      <c r="P16" s="81">
        <v>12</v>
      </c>
      <c r="Q16" s="72">
        <v>372.50000000000017</v>
      </c>
    </row>
    <row r="17" spans="1:17" x14ac:dyDescent="0.4">
      <c r="A17" s="20" t="s">
        <v>123</v>
      </c>
      <c r="B17" s="13">
        <f>B23</f>
        <v>296</v>
      </c>
      <c r="C17" s="6">
        <f>IF(B$15=0,0,B17/B$15)</f>
        <v>0.58267716535433067</v>
      </c>
      <c r="E17" s="29" t="s">
        <v>81</v>
      </c>
      <c r="F17" s="26" t="s">
        <v>36</v>
      </c>
      <c r="G17" s="14">
        <v>11</v>
      </c>
      <c r="H17" s="92">
        <f t="shared" si="0"/>
        <v>1.6742770167427701E-2</v>
      </c>
      <c r="I17" s="60">
        <v>7</v>
      </c>
      <c r="K17" s="7">
        <v>15</v>
      </c>
      <c r="L17" s="65">
        <v>269.49999999999994</v>
      </c>
      <c r="N17" s="78" t="s">
        <v>195</v>
      </c>
      <c r="O17" s="87">
        <f t="shared" si="3"/>
        <v>29.696428571428584</v>
      </c>
      <c r="P17" s="81">
        <v>28</v>
      </c>
      <c r="Q17" s="72">
        <v>831.50000000000034</v>
      </c>
    </row>
    <row r="18" spans="1:17" x14ac:dyDescent="0.4">
      <c r="A18" s="20" t="s">
        <v>124</v>
      </c>
      <c r="B18" s="13">
        <f>B24</f>
        <v>222</v>
      </c>
      <c r="C18" s="6">
        <f>IF(B$16=0,0,B18/B$16)</f>
        <v>0.47435897435897434</v>
      </c>
      <c r="E18" s="29" t="s">
        <v>91</v>
      </c>
      <c r="F18" s="26" t="s">
        <v>46</v>
      </c>
      <c r="G18" s="14">
        <v>7</v>
      </c>
      <c r="H18" s="92">
        <f t="shared" si="0"/>
        <v>1.06544901065449E-2</v>
      </c>
      <c r="I18" s="60">
        <v>8</v>
      </c>
      <c r="K18" s="7">
        <v>16</v>
      </c>
      <c r="L18" s="65">
        <v>323.69999999999993</v>
      </c>
      <c r="N18" s="78" t="s">
        <v>158</v>
      </c>
      <c r="O18" s="87">
        <f t="shared" si="3"/>
        <v>15.44090909090909</v>
      </c>
      <c r="P18" s="81">
        <v>44</v>
      </c>
      <c r="Q18" s="72">
        <v>679.4</v>
      </c>
    </row>
    <row r="19" spans="1:17" x14ac:dyDescent="0.4">
      <c r="A19" s="20" t="s">
        <v>10</v>
      </c>
      <c r="B19" s="13">
        <f>B22+B21</f>
        <v>657</v>
      </c>
      <c r="C19" s="6">
        <f>IF(B$3=0,0,B19/B$3)</f>
        <v>0.33900928792569657</v>
      </c>
      <c r="E19" s="29" t="s">
        <v>92</v>
      </c>
      <c r="F19" s="26" t="s">
        <v>47</v>
      </c>
      <c r="G19" s="14">
        <v>6</v>
      </c>
      <c r="H19" s="92">
        <f t="shared" si="0"/>
        <v>9.1324200913242004E-3</v>
      </c>
      <c r="I19" s="60">
        <v>2</v>
      </c>
      <c r="K19" s="7">
        <v>17</v>
      </c>
      <c r="L19" s="65">
        <v>359.09999999999991</v>
      </c>
      <c r="N19" s="78" t="s">
        <v>169</v>
      </c>
      <c r="O19" s="87">
        <f t="shared" si="3"/>
        <v>14.654430379746833</v>
      </c>
      <c r="P19" s="81">
        <v>79</v>
      </c>
      <c r="Q19" s="72">
        <v>1157.6999999999998</v>
      </c>
    </row>
    <row r="20" spans="1:17" x14ac:dyDescent="0.4">
      <c r="A20" s="21" t="s">
        <v>13</v>
      </c>
      <c r="B20" s="14">
        <v>247</v>
      </c>
      <c r="C20" s="8">
        <f>IF(B$3=0,0,B20/B$3)</f>
        <v>0.12745098039215685</v>
      </c>
      <c r="E20" s="29" t="s">
        <v>75</v>
      </c>
      <c r="F20" s="26" t="s">
        <v>30</v>
      </c>
      <c r="G20" s="14">
        <v>5</v>
      </c>
      <c r="H20" s="92">
        <f t="shared" si="0"/>
        <v>7.6103500761035003E-3</v>
      </c>
      <c r="I20" s="60">
        <v>6</v>
      </c>
      <c r="K20" s="7">
        <v>18</v>
      </c>
      <c r="L20" s="65">
        <v>352.39999999999992</v>
      </c>
      <c r="N20" s="78" t="s">
        <v>168</v>
      </c>
      <c r="O20" s="87">
        <f t="shared" si="3"/>
        <v>12.305882352941182</v>
      </c>
      <c r="P20" s="81">
        <v>85</v>
      </c>
      <c r="Q20" s="72">
        <v>1046.0000000000005</v>
      </c>
    </row>
    <row r="21" spans="1:17" x14ac:dyDescent="0.4">
      <c r="A21" s="21" t="s">
        <v>12</v>
      </c>
      <c r="B21" s="14">
        <v>277</v>
      </c>
      <c r="C21" s="8">
        <f>IF(B$19=0,0,B21/B$19)</f>
        <v>0.42161339421613392</v>
      </c>
      <c r="E21" s="29" t="s">
        <v>79</v>
      </c>
      <c r="F21" s="26" t="s">
        <v>34</v>
      </c>
      <c r="G21" s="14">
        <v>5</v>
      </c>
      <c r="H21" s="92">
        <f t="shared" si="0"/>
        <v>7.6103500761035003E-3</v>
      </c>
      <c r="I21" s="60">
        <v>9</v>
      </c>
      <c r="K21" s="7">
        <v>19</v>
      </c>
      <c r="L21" s="65">
        <v>383.19999999999993</v>
      </c>
      <c r="N21" s="78" t="s">
        <v>127</v>
      </c>
      <c r="O21" s="87">
        <f t="shared" si="3"/>
        <v>12.218115942028991</v>
      </c>
      <c r="P21" s="81">
        <v>138</v>
      </c>
      <c r="Q21" s="72">
        <v>1686.1000000000008</v>
      </c>
    </row>
    <row r="22" spans="1:17" x14ac:dyDescent="0.4">
      <c r="A22" s="21" t="s">
        <v>11</v>
      </c>
      <c r="B22" s="14">
        <v>380</v>
      </c>
      <c r="C22" s="8">
        <f>IF(B$19=0,0,B22/B$19)</f>
        <v>0.57838660578386603</v>
      </c>
      <c r="E22" s="29" t="s">
        <v>74</v>
      </c>
      <c r="F22" s="26" t="s">
        <v>29</v>
      </c>
      <c r="G22" s="14">
        <v>4</v>
      </c>
      <c r="H22" s="92">
        <f t="shared" si="0"/>
        <v>6.0882800608828003E-3</v>
      </c>
      <c r="I22" s="60">
        <v>3</v>
      </c>
      <c r="K22" s="7">
        <v>20</v>
      </c>
      <c r="L22" s="65">
        <v>365.49999999999994</v>
      </c>
      <c r="N22" s="78" t="s">
        <v>167</v>
      </c>
      <c r="O22" s="87">
        <f t="shared" si="3"/>
        <v>1.7383561643835603</v>
      </c>
      <c r="P22" s="81">
        <v>73</v>
      </c>
      <c r="Q22" s="72">
        <v>126.89999999999991</v>
      </c>
    </row>
    <row r="23" spans="1:17" x14ac:dyDescent="0.4">
      <c r="A23" s="21" t="s">
        <v>192</v>
      </c>
      <c r="B23" s="14">
        <v>296</v>
      </c>
      <c r="C23" s="8">
        <f>IF(B$19=0,0,B23/B$19)</f>
        <v>0.45053272450532722</v>
      </c>
      <c r="E23" s="29" t="s">
        <v>77</v>
      </c>
      <c r="F23" s="26" t="s">
        <v>32</v>
      </c>
      <c r="G23" s="14">
        <v>4</v>
      </c>
      <c r="H23" s="92">
        <f t="shared" si="0"/>
        <v>6.0882800608828003E-3</v>
      </c>
      <c r="I23" s="60">
        <v>1</v>
      </c>
      <c r="K23" s="7">
        <v>21</v>
      </c>
      <c r="L23" s="65">
        <v>371.39999999999992</v>
      </c>
      <c r="N23" s="78" t="s">
        <v>202</v>
      </c>
      <c r="O23" s="87">
        <f t="shared" si="3"/>
        <v>-70.5</v>
      </c>
      <c r="P23" s="81">
        <v>1</v>
      </c>
      <c r="Q23" s="72">
        <v>-70.5</v>
      </c>
    </row>
    <row r="24" spans="1:17" x14ac:dyDescent="0.4">
      <c r="A24" s="21" t="s">
        <v>190</v>
      </c>
      <c r="B24" s="14">
        <v>222</v>
      </c>
      <c r="C24" s="8">
        <f>IF(B$19=0,0,B24/B$19)</f>
        <v>0.33789954337899542</v>
      </c>
      <c r="E24" s="29" t="s">
        <v>85</v>
      </c>
      <c r="F24" s="26" t="s">
        <v>40</v>
      </c>
      <c r="G24" s="14">
        <v>4</v>
      </c>
      <c r="H24" s="92">
        <f t="shared" si="0"/>
        <v>6.0882800608828003E-3</v>
      </c>
      <c r="I24" s="60">
        <v>5</v>
      </c>
      <c r="K24" s="7">
        <v>22</v>
      </c>
      <c r="L24" s="65">
        <v>414.2999999999999</v>
      </c>
    </row>
    <row r="25" spans="1:17" x14ac:dyDescent="0.4">
      <c r="A25" s="21" t="s">
        <v>191</v>
      </c>
      <c r="B25" s="14">
        <v>139</v>
      </c>
      <c r="C25" s="8">
        <f>IF(B$19=0,0,B25/B$19)</f>
        <v>0.21156773211567731</v>
      </c>
      <c r="E25" s="29" t="s">
        <v>84</v>
      </c>
      <c r="F25" s="26" t="s">
        <v>39</v>
      </c>
      <c r="G25" s="14">
        <v>3</v>
      </c>
      <c r="H25" s="92">
        <f t="shared" si="0"/>
        <v>4.5662100456621002E-3</v>
      </c>
      <c r="I25" s="60">
        <v>2</v>
      </c>
      <c r="K25" s="7">
        <v>23</v>
      </c>
      <c r="L25" s="65">
        <v>356.2999999999999</v>
      </c>
    </row>
    <row r="26" spans="1:17" x14ac:dyDescent="0.4">
      <c r="A26" s="21" t="s">
        <v>5</v>
      </c>
      <c r="B26" s="18">
        <f>IF(B$19=0,0,C26/B$19)</f>
        <v>8257.8386605783871</v>
      </c>
      <c r="C26" s="10">
        <v>5425400</v>
      </c>
      <c r="E26" s="29" t="s">
        <v>88</v>
      </c>
      <c r="F26" s="26" t="s">
        <v>43</v>
      </c>
      <c r="G26" s="14">
        <v>2</v>
      </c>
      <c r="H26" s="92">
        <f t="shared" si="0"/>
        <v>3.0441400304414001E-3</v>
      </c>
      <c r="I26" s="60">
        <v>3</v>
      </c>
      <c r="K26" s="7">
        <v>24</v>
      </c>
      <c r="L26" s="65">
        <v>329.89999999999992</v>
      </c>
    </row>
    <row r="27" spans="1:17" x14ac:dyDescent="0.4">
      <c r="A27" s="22" t="s">
        <v>174</v>
      </c>
      <c r="B27" s="99">
        <f>IF($B$19-B$18=0,0,C27/($B$19-B$18))</f>
        <v>8836.7816091954028</v>
      </c>
      <c r="C27" s="100">
        <v>3844000</v>
      </c>
      <c r="E27" s="29" t="s">
        <v>95</v>
      </c>
      <c r="F27" s="26" t="s">
        <v>50</v>
      </c>
      <c r="G27" s="14">
        <v>2</v>
      </c>
      <c r="H27" s="92">
        <f t="shared" si="0"/>
        <v>3.0441400304414001E-3</v>
      </c>
      <c r="I27" s="60">
        <v>2</v>
      </c>
      <c r="K27" s="7">
        <v>25</v>
      </c>
      <c r="L27" s="65">
        <v>294.99999999999994</v>
      </c>
    </row>
    <row r="28" spans="1:17" x14ac:dyDescent="0.4">
      <c r="A28" s="22" t="s">
        <v>175</v>
      </c>
      <c r="B28" s="99">
        <f>IF(B$18=0,0,C28/B$18)</f>
        <v>7123.4234234234236</v>
      </c>
      <c r="C28" s="100">
        <v>1581400</v>
      </c>
      <c r="E28" s="29" t="s">
        <v>87</v>
      </c>
      <c r="F28" s="26" t="s">
        <v>42</v>
      </c>
      <c r="G28" s="14">
        <v>1</v>
      </c>
      <c r="H28" s="92">
        <f t="shared" si="0"/>
        <v>1.5220700152207001E-3</v>
      </c>
      <c r="I28" s="60">
        <v>6</v>
      </c>
      <c r="K28" s="7">
        <v>26</v>
      </c>
      <c r="L28" s="65">
        <v>329.29999999999995</v>
      </c>
    </row>
    <row r="29" spans="1:17" x14ac:dyDescent="0.4">
      <c r="A29" s="22" t="s">
        <v>173</v>
      </c>
      <c r="B29" s="99">
        <f>IF(B$20=0,0,C29/B$20)</f>
        <v>-7478.5425101214578</v>
      </c>
      <c r="C29" s="100">
        <v>-1847200</v>
      </c>
      <c r="E29" s="29" t="s">
        <v>90</v>
      </c>
      <c r="F29" s="26" t="s">
        <v>45</v>
      </c>
      <c r="G29" s="14">
        <v>1</v>
      </c>
      <c r="H29" s="92">
        <f t="shared" si="0"/>
        <v>1.5220700152207001E-3</v>
      </c>
      <c r="I29" s="60">
        <v>4</v>
      </c>
      <c r="K29" s="7">
        <v>27</v>
      </c>
      <c r="L29" s="65">
        <v>362.4</v>
      </c>
    </row>
    <row r="30" spans="1:17" x14ac:dyDescent="0.4">
      <c r="A30" s="21" t="s">
        <v>161</v>
      </c>
      <c r="B30" s="14">
        <v>6</v>
      </c>
      <c r="C30" s="94">
        <v>1</v>
      </c>
      <c r="E30" s="29" t="s">
        <v>106</v>
      </c>
      <c r="F30" s="26" t="s">
        <v>113</v>
      </c>
      <c r="G30" s="14">
        <v>1</v>
      </c>
      <c r="H30" s="92">
        <f t="shared" si="0"/>
        <v>1.5220700152207001E-3</v>
      </c>
      <c r="I30" s="60">
        <v>1</v>
      </c>
      <c r="K30" s="7">
        <v>28</v>
      </c>
      <c r="L30" s="65">
        <v>375.79999999999995</v>
      </c>
    </row>
    <row r="31" spans="1:17" x14ac:dyDescent="0.4">
      <c r="A31" s="21" t="s">
        <v>162</v>
      </c>
      <c r="B31" s="14">
        <v>43</v>
      </c>
      <c r="C31" s="94">
        <v>25</v>
      </c>
      <c r="E31" s="29" t="s">
        <v>73</v>
      </c>
      <c r="F31" s="26" t="s">
        <v>28</v>
      </c>
      <c r="G31" s="14">
        <v>0</v>
      </c>
      <c r="H31" s="92">
        <f t="shared" si="0"/>
        <v>0</v>
      </c>
      <c r="I31" s="60">
        <v>6</v>
      </c>
      <c r="K31" s="7">
        <v>29</v>
      </c>
      <c r="L31" s="65">
        <v>381.09999999999997</v>
      </c>
    </row>
    <row r="32" spans="1:17" x14ac:dyDescent="0.4">
      <c r="A32" s="56" t="s">
        <v>138</v>
      </c>
      <c r="B32" s="125">
        <v>8</v>
      </c>
      <c r="C32" s="126"/>
      <c r="E32" s="29" t="s">
        <v>76</v>
      </c>
      <c r="F32" s="26" t="s">
        <v>31</v>
      </c>
      <c r="G32" s="14">
        <v>0</v>
      </c>
      <c r="H32" s="92">
        <f t="shared" si="0"/>
        <v>0</v>
      </c>
      <c r="I32" s="60">
        <v>3</v>
      </c>
      <c r="K32" s="7">
        <v>30</v>
      </c>
      <c r="L32" s="65">
        <v>340.79999999999995</v>
      </c>
    </row>
    <row r="33" spans="1:12" x14ac:dyDescent="0.4">
      <c r="A33" s="24" t="s">
        <v>189</v>
      </c>
      <c r="B33" s="127">
        <v>149100</v>
      </c>
      <c r="C33" s="128"/>
      <c r="E33" s="29" t="s">
        <v>80</v>
      </c>
      <c r="F33" s="26" t="s">
        <v>35</v>
      </c>
      <c r="G33" s="14">
        <v>0</v>
      </c>
      <c r="H33" s="92">
        <f t="shared" si="0"/>
        <v>0</v>
      </c>
      <c r="I33" s="60">
        <v>1</v>
      </c>
      <c r="K33" s="7">
        <v>31</v>
      </c>
      <c r="L33" s="65">
        <v>319.49999999999994</v>
      </c>
    </row>
    <row r="34" spans="1:12" x14ac:dyDescent="0.4">
      <c r="A34" s="23" t="s">
        <v>139</v>
      </c>
      <c r="B34" s="31">
        <v>2</v>
      </c>
      <c r="C34" s="11">
        <f>IF(B$3=0,0,B34/B$3)</f>
        <v>1.0319917440660474E-3</v>
      </c>
      <c r="E34" s="29" t="s">
        <v>82</v>
      </c>
      <c r="F34" s="26" t="s">
        <v>37</v>
      </c>
      <c r="G34" s="14">
        <v>0</v>
      </c>
      <c r="H34" s="92">
        <f t="shared" ref="H34:H65" si="4"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">
      <c r="E35" s="29" t="s">
        <v>93</v>
      </c>
      <c r="F35" s="26" t="s">
        <v>48</v>
      </c>
      <c r="G35" s="14">
        <v>0</v>
      </c>
      <c r="H35" s="92">
        <f t="shared" si="4"/>
        <v>0</v>
      </c>
      <c r="I35" s="60">
        <v>5</v>
      </c>
      <c r="K35" s="7">
        <v>33</v>
      </c>
      <c r="L35" s="65">
        <v>349.19999999999993</v>
      </c>
    </row>
    <row r="36" spans="1:12" x14ac:dyDescent="0.4">
      <c r="A36" s="56" t="s">
        <v>180</v>
      </c>
      <c r="B36" s="119">
        <v>59</v>
      </c>
      <c r="C36" s="102">
        <f t="shared" ref="C36:C48" si="5">IF(B$19=0,0,B36/B$19)</f>
        <v>8.9802130898021304E-2</v>
      </c>
      <c r="E36" s="29" t="s">
        <v>94</v>
      </c>
      <c r="F36" s="26" t="s">
        <v>49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374.49999999999994</v>
      </c>
    </row>
    <row r="37" spans="1:12" x14ac:dyDescent="0.4">
      <c r="A37" s="21" t="s">
        <v>176</v>
      </c>
      <c r="B37" s="14">
        <v>120</v>
      </c>
      <c r="C37" s="8">
        <f t="shared" si="5"/>
        <v>0.18264840182648401</v>
      </c>
      <c r="E37" s="29" t="s">
        <v>96</v>
      </c>
      <c r="F37" s="26" t="s">
        <v>51</v>
      </c>
      <c r="G37" s="14">
        <v>0</v>
      </c>
      <c r="H37" s="92">
        <f t="shared" si="4"/>
        <v>0</v>
      </c>
      <c r="I37" s="60">
        <v>1</v>
      </c>
      <c r="K37" s="7">
        <v>35</v>
      </c>
      <c r="L37" s="65">
        <v>357.89999999999992</v>
      </c>
    </row>
    <row r="38" spans="1:12" x14ac:dyDescent="0.4">
      <c r="A38" s="21" t="s">
        <v>177</v>
      </c>
      <c r="B38" s="120">
        <v>134</v>
      </c>
      <c r="C38" s="8">
        <f t="shared" si="5"/>
        <v>0.20395738203957381</v>
      </c>
      <c r="E38" s="29" t="s">
        <v>97</v>
      </c>
      <c r="F38" s="26" t="s">
        <v>52</v>
      </c>
      <c r="G38" s="14">
        <v>0</v>
      </c>
      <c r="H38" s="92">
        <f t="shared" si="4"/>
        <v>0</v>
      </c>
      <c r="I38" s="60">
        <v>3</v>
      </c>
      <c r="K38" s="7">
        <v>36</v>
      </c>
      <c r="L38" s="65">
        <v>312.09999999999991</v>
      </c>
    </row>
    <row r="39" spans="1:12" x14ac:dyDescent="0.4">
      <c r="A39" s="21" t="s">
        <v>178</v>
      </c>
      <c r="B39" s="120">
        <v>117</v>
      </c>
      <c r="C39" s="8">
        <f t="shared" si="5"/>
        <v>0.17808219178082191</v>
      </c>
      <c r="E39" s="29" t="s">
        <v>98</v>
      </c>
      <c r="F39" s="26" t="s">
        <v>53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325.09999999999991</v>
      </c>
    </row>
    <row r="40" spans="1:12" x14ac:dyDescent="0.4">
      <c r="A40" s="21" t="s">
        <v>179</v>
      </c>
      <c r="B40" s="120">
        <v>96</v>
      </c>
      <c r="C40" s="8">
        <f t="shared" si="5"/>
        <v>0.14611872146118721</v>
      </c>
      <c r="E40" s="29" t="s">
        <v>99</v>
      </c>
      <c r="F40" s="26" t="s">
        <v>54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360.49999999999989</v>
      </c>
    </row>
    <row r="41" spans="1:12" x14ac:dyDescent="0.4">
      <c r="A41" s="21" t="s">
        <v>181</v>
      </c>
      <c r="B41" s="120">
        <v>62</v>
      </c>
      <c r="C41" s="8">
        <f t="shared" si="5"/>
        <v>9.4368340943683404E-2</v>
      </c>
      <c r="E41" s="29" t="s">
        <v>100</v>
      </c>
      <c r="F41" s="26" t="s">
        <v>55</v>
      </c>
      <c r="G41" s="14">
        <v>0</v>
      </c>
      <c r="H41" s="92">
        <f t="shared" si="4"/>
        <v>0</v>
      </c>
      <c r="I41" s="60">
        <v>1</v>
      </c>
      <c r="K41" s="7">
        <v>39</v>
      </c>
      <c r="L41" s="65">
        <v>365.39999999999986</v>
      </c>
    </row>
    <row r="42" spans="1:12" x14ac:dyDescent="0.4">
      <c r="A42" s="21" t="s">
        <v>182</v>
      </c>
      <c r="B42" s="120">
        <v>30</v>
      </c>
      <c r="C42" s="8">
        <f t="shared" si="5"/>
        <v>4.5662100456621002E-2</v>
      </c>
      <c r="E42" s="29" t="s">
        <v>101</v>
      </c>
      <c r="F42" s="26" t="s">
        <v>56</v>
      </c>
      <c r="G42" s="14">
        <v>0</v>
      </c>
      <c r="H42" s="92">
        <f t="shared" si="4"/>
        <v>0</v>
      </c>
      <c r="I42" s="60">
        <v>3</v>
      </c>
      <c r="K42" s="7">
        <v>40</v>
      </c>
      <c r="L42" s="65">
        <v>398.79999999999984</v>
      </c>
    </row>
    <row r="43" spans="1:12" x14ac:dyDescent="0.4">
      <c r="A43" s="21" t="s">
        <v>183</v>
      </c>
      <c r="B43" s="120">
        <v>12</v>
      </c>
      <c r="C43" s="8">
        <f t="shared" si="5"/>
        <v>1.8264840182648401E-2</v>
      </c>
      <c r="E43" s="29" t="s">
        <v>102</v>
      </c>
      <c r="F43" s="26" t="s">
        <v>57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399.89999999999986</v>
      </c>
    </row>
    <row r="44" spans="1:12" x14ac:dyDescent="0.4">
      <c r="A44" s="21" t="s">
        <v>184</v>
      </c>
      <c r="B44" s="120">
        <v>12</v>
      </c>
      <c r="C44" s="8">
        <f t="shared" si="5"/>
        <v>1.8264840182648401E-2</v>
      </c>
      <c r="E44" s="29" t="s">
        <v>103</v>
      </c>
      <c r="F44" s="26" t="s">
        <v>58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419.29999999999984</v>
      </c>
    </row>
    <row r="45" spans="1:12" x14ac:dyDescent="0.4">
      <c r="A45" s="21" t="s">
        <v>185</v>
      </c>
      <c r="B45" s="120">
        <v>3</v>
      </c>
      <c r="C45" s="8">
        <f t="shared" si="5"/>
        <v>4.5662100456621002E-3</v>
      </c>
      <c r="E45" s="29" t="s">
        <v>104</v>
      </c>
      <c r="F45" s="26" t="s">
        <v>59</v>
      </c>
      <c r="G45" s="14">
        <v>0</v>
      </c>
      <c r="H45" s="92">
        <f t="shared" si="4"/>
        <v>0</v>
      </c>
      <c r="I45" s="60">
        <v>1</v>
      </c>
      <c r="K45" s="7">
        <v>43</v>
      </c>
      <c r="L45" s="65">
        <v>424.79999999999984</v>
      </c>
    </row>
    <row r="46" spans="1:12" x14ac:dyDescent="0.4">
      <c r="A46" s="21" t="s">
        <v>186</v>
      </c>
      <c r="B46" s="120">
        <v>1</v>
      </c>
      <c r="C46" s="8">
        <f t="shared" si="5"/>
        <v>1.5220700152207001E-3</v>
      </c>
      <c r="E46" s="29" t="s">
        <v>105</v>
      </c>
      <c r="F46" s="26" t="s">
        <v>112</v>
      </c>
      <c r="G46" s="14">
        <v>0</v>
      </c>
      <c r="H46" s="92">
        <f t="shared" si="4"/>
        <v>0</v>
      </c>
      <c r="I46" s="60">
        <v>1</v>
      </c>
      <c r="K46" s="7">
        <v>44</v>
      </c>
      <c r="L46" s="65">
        <v>424.39999999999986</v>
      </c>
    </row>
    <row r="47" spans="1:12" x14ac:dyDescent="0.4">
      <c r="A47" s="21" t="s">
        <v>187</v>
      </c>
      <c r="B47" s="120">
        <v>1</v>
      </c>
      <c r="C47" s="8">
        <f t="shared" si="5"/>
        <v>1.5220700152207001E-3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425.69999999999987</v>
      </c>
    </row>
    <row r="48" spans="1:12" x14ac:dyDescent="0.4">
      <c r="A48" s="23" t="s">
        <v>188</v>
      </c>
      <c r="B48" s="101">
        <v>10</v>
      </c>
      <c r="C48" s="11">
        <f t="shared" si="5"/>
        <v>1.5220700152207001E-2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465.7999999999999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419.99999999999989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424.59999999999991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  <c r="K51" s="7">
        <v>49</v>
      </c>
      <c r="L51" s="65">
        <v>427.39999999999992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474.2999999999999</v>
      </c>
    </row>
    <row r="53" spans="5:12" x14ac:dyDescent="0.4">
      <c r="K53" s="7">
        <v>51</v>
      </c>
      <c r="L53" s="65">
        <v>500.7999999999999</v>
      </c>
    </row>
    <row r="54" spans="5:12" x14ac:dyDescent="0.4">
      <c r="K54" s="7">
        <v>52</v>
      </c>
      <c r="L54" s="65">
        <v>534.89999999999986</v>
      </c>
    </row>
    <row r="55" spans="5:12" x14ac:dyDescent="0.4">
      <c r="K55" s="7">
        <v>53</v>
      </c>
      <c r="L55" s="65">
        <v>539.49999999999989</v>
      </c>
    </row>
    <row r="56" spans="5:12" x14ac:dyDescent="0.4">
      <c r="K56" s="7">
        <v>54</v>
      </c>
      <c r="L56" s="65">
        <v>566.59999999999991</v>
      </c>
    </row>
    <row r="57" spans="5:12" x14ac:dyDescent="0.4">
      <c r="K57" s="7">
        <v>55</v>
      </c>
      <c r="L57" s="65">
        <v>584.59999999999991</v>
      </c>
    </row>
    <row r="58" spans="5:12" x14ac:dyDescent="0.4">
      <c r="K58" s="7">
        <v>56</v>
      </c>
      <c r="L58" s="65">
        <v>590.69999999999993</v>
      </c>
    </row>
    <row r="59" spans="5:12" x14ac:dyDescent="0.4">
      <c r="K59" s="7">
        <v>57</v>
      </c>
      <c r="L59" s="65">
        <v>593.09999999999991</v>
      </c>
    </row>
    <row r="60" spans="5:12" x14ac:dyDescent="0.4">
      <c r="K60" s="7">
        <v>58</v>
      </c>
      <c r="L60" s="65">
        <v>597.59999999999991</v>
      </c>
    </row>
    <row r="61" spans="5:12" x14ac:dyDescent="0.4">
      <c r="K61" s="7">
        <v>59</v>
      </c>
      <c r="L61" s="65">
        <v>571.59999999999991</v>
      </c>
    </row>
    <row r="62" spans="5:12" x14ac:dyDescent="0.4">
      <c r="K62" s="7">
        <v>60</v>
      </c>
      <c r="L62" s="65">
        <v>544.59999999999991</v>
      </c>
    </row>
    <row r="63" spans="5:12" x14ac:dyDescent="0.4">
      <c r="K63" s="7">
        <v>61</v>
      </c>
      <c r="L63" s="65">
        <v>527.79999999999995</v>
      </c>
    </row>
    <row r="64" spans="5:12" x14ac:dyDescent="0.4">
      <c r="K64" s="7">
        <v>62</v>
      </c>
      <c r="L64" s="65">
        <v>531.9</v>
      </c>
    </row>
    <row r="65" spans="11:12" x14ac:dyDescent="0.4">
      <c r="K65" s="7">
        <v>63</v>
      </c>
      <c r="L65" s="65">
        <v>500.59999999999997</v>
      </c>
    </row>
    <row r="66" spans="11:12" x14ac:dyDescent="0.4">
      <c r="K66" s="7">
        <v>64</v>
      </c>
      <c r="L66" s="65">
        <v>518.9</v>
      </c>
    </row>
    <row r="67" spans="11:12" x14ac:dyDescent="0.4">
      <c r="K67" s="7">
        <v>65</v>
      </c>
      <c r="L67" s="65">
        <v>538.1</v>
      </c>
    </row>
    <row r="68" spans="11:12" x14ac:dyDescent="0.4">
      <c r="K68" s="7">
        <v>66</v>
      </c>
      <c r="L68" s="65">
        <v>538.70000000000005</v>
      </c>
    </row>
    <row r="69" spans="11:12" x14ac:dyDescent="0.4">
      <c r="K69" s="7">
        <v>67</v>
      </c>
      <c r="L69" s="65">
        <v>503.50000000000006</v>
      </c>
    </row>
    <row r="70" spans="11:12" x14ac:dyDescent="0.4">
      <c r="K70" s="7">
        <v>68</v>
      </c>
      <c r="L70" s="65">
        <v>544.1</v>
      </c>
    </row>
    <row r="71" spans="11:12" x14ac:dyDescent="0.4">
      <c r="K71" s="7">
        <v>69</v>
      </c>
      <c r="L71" s="65">
        <v>576.5</v>
      </c>
    </row>
    <row r="72" spans="11:12" x14ac:dyDescent="0.4">
      <c r="K72" s="7">
        <v>70</v>
      </c>
      <c r="L72" s="65">
        <v>544.79999999999995</v>
      </c>
    </row>
    <row r="73" spans="11:12" x14ac:dyDescent="0.4">
      <c r="K73" s="7">
        <v>71</v>
      </c>
      <c r="L73" s="65">
        <v>502.09999999999997</v>
      </c>
    </row>
    <row r="74" spans="11:12" x14ac:dyDescent="0.4">
      <c r="K74" s="7">
        <v>72</v>
      </c>
      <c r="L74" s="65">
        <v>526.19999999999993</v>
      </c>
    </row>
    <row r="75" spans="11:12" x14ac:dyDescent="0.4">
      <c r="K75" s="7">
        <v>73</v>
      </c>
      <c r="L75" s="65">
        <v>550.99999999999989</v>
      </c>
    </row>
    <row r="76" spans="11:12" x14ac:dyDescent="0.4">
      <c r="K76" s="7">
        <v>74</v>
      </c>
      <c r="L76" s="65">
        <v>576.49999999999989</v>
      </c>
    </row>
    <row r="77" spans="11:12" x14ac:dyDescent="0.4">
      <c r="K77" s="7">
        <v>75</v>
      </c>
      <c r="L77" s="65">
        <v>601.29999999999984</v>
      </c>
    </row>
    <row r="78" spans="11:12" x14ac:dyDescent="0.4">
      <c r="K78" s="7">
        <v>76</v>
      </c>
      <c r="L78" s="65">
        <v>576.29999999999984</v>
      </c>
    </row>
    <row r="79" spans="11:12" x14ac:dyDescent="0.4">
      <c r="K79" s="7">
        <v>77</v>
      </c>
      <c r="L79" s="65">
        <v>546.79999999999984</v>
      </c>
    </row>
    <row r="80" spans="11:12" x14ac:dyDescent="0.4">
      <c r="K80" s="7">
        <v>78</v>
      </c>
      <c r="L80" s="65">
        <v>579.29999999999984</v>
      </c>
    </row>
    <row r="81" spans="11:12" x14ac:dyDescent="0.4">
      <c r="K81" s="7">
        <v>79</v>
      </c>
      <c r="L81" s="65">
        <v>556.89999999999986</v>
      </c>
    </row>
    <row r="82" spans="11:12" x14ac:dyDescent="0.4">
      <c r="K82" s="7">
        <v>80</v>
      </c>
      <c r="L82" s="65">
        <v>572.09999999999991</v>
      </c>
    </row>
    <row r="83" spans="11:12" x14ac:dyDescent="0.4">
      <c r="K83" s="7">
        <v>81</v>
      </c>
      <c r="L83" s="65">
        <v>521.59999999999991</v>
      </c>
    </row>
    <row r="84" spans="11:12" x14ac:dyDescent="0.4">
      <c r="K84" s="7">
        <v>82</v>
      </c>
      <c r="L84" s="65">
        <v>548.39999999999986</v>
      </c>
    </row>
    <row r="85" spans="11:12" x14ac:dyDescent="0.4">
      <c r="K85" s="7">
        <v>83</v>
      </c>
      <c r="L85" s="65">
        <v>546.59999999999991</v>
      </c>
    </row>
    <row r="86" spans="11:12" x14ac:dyDescent="0.4">
      <c r="K86" s="7">
        <v>84</v>
      </c>
      <c r="L86" s="65">
        <v>566.49999999999989</v>
      </c>
    </row>
    <row r="87" spans="11:12" x14ac:dyDescent="0.4">
      <c r="K87" s="7">
        <v>85</v>
      </c>
      <c r="L87" s="65">
        <v>529.79999999999984</v>
      </c>
    </row>
    <row r="88" spans="11:12" x14ac:dyDescent="0.4">
      <c r="K88" s="7">
        <v>86</v>
      </c>
      <c r="L88" s="65">
        <v>550.39999999999986</v>
      </c>
    </row>
    <row r="89" spans="11:12" x14ac:dyDescent="0.4">
      <c r="K89" s="7">
        <v>87</v>
      </c>
      <c r="L89" s="65">
        <v>554.39999999999986</v>
      </c>
    </row>
    <row r="90" spans="11:12" x14ac:dyDescent="0.4">
      <c r="K90" s="7">
        <v>88</v>
      </c>
      <c r="L90" s="65">
        <v>570.89999999999986</v>
      </c>
    </row>
    <row r="91" spans="11:12" x14ac:dyDescent="0.4">
      <c r="K91" s="7">
        <v>89</v>
      </c>
      <c r="L91" s="65">
        <v>531.89999999999986</v>
      </c>
    </row>
    <row r="92" spans="11:12" x14ac:dyDescent="0.4">
      <c r="K92" s="7">
        <v>90</v>
      </c>
      <c r="L92" s="65">
        <v>486.29999999999984</v>
      </c>
    </row>
    <row r="93" spans="11:12" x14ac:dyDescent="0.4">
      <c r="K93" s="7">
        <v>91</v>
      </c>
      <c r="L93" s="65">
        <v>520.39999999999986</v>
      </c>
    </row>
    <row r="94" spans="11:12" x14ac:dyDescent="0.4">
      <c r="K94" s="7">
        <v>92</v>
      </c>
      <c r="L94" s="65">
        <v>548.09999999999991</v>
      </c>
    </row>
    <row r="95" spans="11:12" x14ac:dyDescent="0.4">
      <c r="K95" s="7">
        <v>93</v>
      </c>
      <c r="L95" s="65">
        <v>583.99999999999989</v>
      </c>
    </row>
    <row r="96" spans="11:12" x14ac:dyDescent="0.4">
      <c r="K96" s="7">
        <v>94</v>
      </c>
      <c r="L96" s="65">
        <v>605.69999999999993</v>
      </c>
    </row>
    <row r="97" spans="11:12" x14ac:dyDescent="0.4">
      <c r="K97" s="7">
        <v>95</v>
      </c>
      <c r="L97" s="65">
        <v>625.19999999999993</v>
      </c>
    </row>
    <row r="98" spans="11:12" x14ac:dyDescent="0.4">
      <c r="K98" s="7">
        <v>96</v>
      </c>
      <c r="L98" s="65">
        <v>638.79999999999995</v>
      </c>
    </row>
    <row r="99" spans="11:12" x14ac:dyDescent="0.4">
      <c r="K99" s="7">
        <v>97</v>
      </c>
      <c r="L99" s="65">
        <v>680.69999999999993</v>
      </c>
    </row>
    <row r="100" spans="11:12" x14ac:dyDescent="0.4">
      <c r="K100" s="7">
        <v>98</v>
      </c>
      <c r="L100" s="65">
        <v>664.19999999999993</v>
      </c>
    </row>
    <row r="101" spans="11:12" x14ac:dyDescent="0.4">
      <c r="K101" s="7">
        <v>99</v>
      </c>
      <c r="L101" s="65">
        <v>713.19999999999993</v>
      </c>
    </row>
    <row r="102" spans="11:12" x14ac:dyDescent="0.4">
      <c r="K102" s="7">
        <v>100</v>
      </c>
      <c r="L102" s="65">
        <v>757.59999999999991</v>
      </c>
    </row>
    <row r="103" spans="11:12" x14ac:dyDescent="0.4">
      <c r="K103" s="7">
        <v>101</v>
      </c>
      <c r="L103" s="65">
        <v>717.39999999999986</v>
      </c>
    </row>
    <row r="104" spans="11:12" x14ac:dyDescent="0.4">
      <c r="K104" s="7">
        <v>102</v>
      </c>
      <c r="L104" s="65">
        <v>767.39999999999986</v>
      </c>
    </row>
    <row r="105" spans="11:12" x14ac:dyDescent="0.4">
      <c r="K105" s="7">
        <v>103</v>
      </c>
      <c r="L105" s="65">
        <v>891.49999999999989</v>
      </c>
    </row>
    <row r="106" spans="11:12" x14ac:dyDescent="0.4">
      <c r="K106" s="7">
        <v>104</v>
      </c>
      <c r="L106" s="65">
        <v>898.49999999999989</v>
      </c>
    </row>
    <row r="107" spans="11:12" x14ac:dyDescent="0.4">
      <c r="K107" s="7">
        <v>105</v>
      </c>
      <c r="L107" s="65">
        <v>884.39999999999986</v>
      </c>
    </row>
    <row r="108" spans="11:12" x14ac:dyDescent="0.4">
      <c r="K108" s="7">
        <v>106</v>
      </c>
      <c r="L108" s="65">
        <v>954.99999999999989</v>
      </c>
    </row>
    <row r="109" spans="11:12" x14ac:dyDescent="0.4">
      <c r="K109" s="7">
        <v>107</v>
      </c>
      <c r="L109" s="65">
        <v>923.99999999999989</v>
      </c>
    </row>
    <row r="110" spans="11:12" x14ac:dyDescent="0.4">
      <c r="K110" s="7">
        <v>108</v>
      </c>
      <c r="L110" s="65">
        <v>900.39999999999986</v>
      </c>
    </row>
    <row r="111" spans="11:12" x14ac:dyDescent="0.4">
      <c r="K111" s="7">
        <v>109</v>
      </c>
      <c r="L111" s="65">
        <v>903.59999999999991</v>
      </c>
    </row>
    <row r="112" spans="11:12" x14ac:dyDescent="0.4">
      <c r="K112" s="7">
        <v>110</v>
      </c>
      <c r="L112" s="65">
        <v>915.09999999999991</v>
      </c>
    </row>
    <row r="113" spans="11:12" x14ac:dyDescent="0.4">
      <c r="K113" s="7">
        <v>111</v>
      </c>
      <c r="L113" s="65">
        <v>985.69999999999993</v>
      </c>
    </row>
    <row r="114" spans="11:12" x14ac:dyDescent="0.4">
      <c r="K114" s="7">
        <v>112</v>
      </c>
      <c r="L114" s="65">
        <v>991.49999999999989</v>
      </c>
    </row>
    <row r="115" spans="11:12" x14ac:dyDescent="0.4">
      <c r="K115" s="7">
        <v>113</v>
      </c>
      <c r="L115" s="65">
        <v>1038.3999999999999</v>
      </c>
    </row>
    <row r="116" spans="11:12" x14ac:dyDescent="0.4">
      <c r="K116" s="7">
        <v>114</v>
      </c>
      <c r="L116" s="65">
        <v>1045.8</v>
      </c>
    </row>
    <row r="117" spans="11:12" x14ac:dyDescent="0.4">
      <c r="K117" s="7">
        <v>115</v>
      </c>
      <c r="L117" s="65">
        <v>1047.2</v>
      </c>
    </row>
    <row r="118" spans="11:12" x14ac:dyDescent="0.4">
      <c r="K118" s="7">
        <v>116</v>
      </c>
      <c r="L118" s="65">
        <v>1043.3</v>
      </c>
    </row>
    <row r="119" spans="11:12" x14ac:dyDescent="0.4">
      <c r="K119" s="7">
        <v>117</v>
      </c>
      <c r="L119" s="65">
        <v>1060.0999999999999</v>
      </c>
    </row>
    <row r="120" spans="11:12" x14ac:dyDescent="0.4">
      <c r="K120" s="7">
        <v>118</v>
      </c>
      <c r="L120" s="65">
        <v>1067.8</v>
      </c>
    </row>
    <row r="121" spans="11:12" x14ac:dyDescent="0.4">
      <c r="K121" s="7">
        <v>119</v>
      </c>
      <c r="L121" s="65">
        <v>1027</v>
      </c>
    </row>
    <row r="122" spans="11:12" x14ac:dyDescent="0.4">
      <c r="K122" s="7">
        <v>120</v>
      </c>
      <c r="L122" s="65">
        <v>1070.7</v>
      </c>
    </row>
    <row r="123" spans="11:12" x14ac:dyDescent="0.4">
      <c r="K123" s="7">
        <v>121</v>
      </c>
      <c r="L123" s="65">
        <v>1071.8</v>
      </c>
    </row>
    <row r="124" spans="11:12" x14ac:dyDescent="0.4">
      <c r="K124" s="7">
        <v>122</v>
      </c>
      <c r="L124" s="65">
        <v>1110.2</v>
      </c>
    </row>
    <row r="125" spans="11:12" x14ac:dyDescent="0.4">
      <c r="K125" s="7">
        <v>123</v>
      </c>
      <c r="L125" s="65">
        <v>1077.4000000000001</v>
      </c>
    </row>
    <row r="126" spans="11:12" x14ac:dyDescent="0.4">
      <c r="K126" s="7">
        <v>124</v>
      </c>
      <c r="L126" s="65">
        <v>1103.7</v>
      </c>
    </row>
    <row r="127" spans="11:12" x14ac:dyDescent="0.4">
      <c r="K127" s="7">
        <v>125</v>
      </c>
      <c r="L127" s="65">
        <v>1125.2</v>
      </c>
    </row>
    <row r="128" spans="11:12" x14ac:dyDescent="0.4">
      <c r="K128" s="7">
        <v>126</v>
      </c>
      <c r="L128" s="65">
        <v>1116.5</v>
      </c>
    </row>
    <row r="129" spans="11:12" x14ac:dyDescent="0.4">
      <c r="K129" s="7">
        <v>127</v>
      </c>
      <c r="L129" s="65">
        <v>1093.9000000000001</v>
      </c>
    </row>
    <row r="130" spans="11:12" x14ac:dyDescent="0.4">
      <c r="K130" s="7">
        <v>128</v>
      </c>
      <c r="L130" s="65">
        <v>1098.6000000000001</v>
      </c>
    </row>
    <row r="131" spans="11:12" x14ac:dyDescent="0.4">
      <c r="K131" s="7">
        <v>129</v>
      </c>
      <c r="L131" s="65">
        <v>1120.8000000000002</v>
      </c>
    </row>
    <row r="132" spans="11:12" x14ac:dyDescent="0.4">
      <c r="K132" s="7">
        <v>130</v>
      </c>
      <c r="L132" s="65">
        <v>1072.3000000000002</v>
      </c>
    </row>
    <row r="133" spans="11:12" x14ac:dyDescent="0.4">
      <c r="K133" s="7">
        <v>131</v>
      </c>
      <c r="L133" s="65">
        <v>1138.5000000000002</v>
      </c>
    </row>
    <row r="134" spans="11:12" x14ac:dyDescent="0.4">
      <c r="K134" s="7">
        <v>132</v>
      </c>
      <c r="L134" s="65">
        <v>1192.7000000000003</v>
      </c>
    </row>
    <row r="135" spans="11:12" x14ac:dyDescent="0.4">
      <c r="K135" s="7">
        <v>133</v>
      </c>
      <c r="L135" s="65">
        <v>1208.4000000000003</v>
      </c>
    </row>
    <row r="136" spans="11:12" x14ac:dyDescent="0.4">
      <c r="K136" s="7">
        <v>134</v>
      </c>
      <c r="L136" s="65">
        <v>1166.7000000000003</v>
      </c>
    </row>
    <row r="137" spans="11:12" x14ac:dyDescent="0.4">
      <c r="K137" s="7">
        <v>135</v>
      </c>
      <c r="L137" s="65">
        <v>1154.1000000000004</v>
      </c>
    </row>
    <row r="138" spans="11:12" x14ac:dyDescent="0.4">
      <c r="K138" s="7">
        <v>136</v>
      </c>
      <c r="L138" s="65">
        <v>1129.8000000000004</v>
      </c>
    </row>
    <row r="139" spans="11:12" x14ac:dyDescent="0.4">
      <c r="K139" s="7">
        <v>137</v>
      </c>
      <c r="L139" s="65">
        <v>1111.1000000000004</v>
      </c>
    </row>
    <row r="140" spans="11:12" x14ac:dyDescent="0.4">
      <c r="K140" s="7">
        <v>138</v>
      </c>
      <c r="L140" s="65">
        <v>1174.7000000000003</v>
      </c>
    </row>
    <row r="141" spans="11:12" x14ac:dyDescent="0.4">
      <c r="K141" s="7">
        <v>139</v>
      </c>
      <c r="L141" s="65">
        <v>1218.3000000000002</v>
      </c>
    </row>
    <row r="142" spans="11:12" x14ac:dyDescent="0.4">
      <c r="K142" s="7">
        <v>140</v>
      </c>
      <c r="L142" s="65">
        <v>1245.7000000000003</v>
      </c>
    </row>
    <row r="143" spans="11:12" x14ac:dyDescent="0.4">
      <c r="K143" s="7">
        <v>141</v>
      </c>
      <c r="L143" s="65">
        <v>1262.8000000000002</v>
      </c>
    </row>
    <row r="144" spans="11:12" x14ac:dyDescent="0.4">
      <c r="K144" s="7">
        <v>142</v>
      </c>
      <c r="L144" s="65">
        <v>1242.8000000000002</v>
      </c>
    </row>
    <row r="145" spans="11:12" x14ac:dyDescent="0.4">
      <c r="K145" s="7">
        <v>143</v>
      </c>
      <c r="L145" s="65">
        <v>1197.3000000000002</v>
      </c>
    </row>
    <row r="146" spans="11:12" x14ac:dyDescent="0.4">
      <c r="K146" s="7">
        <v>144</v>
      </c>
      <c r="L146" s="65">
        <v>1171.1000000000001</v>
      </c>
    </row>
    <row r="147" spans="11:12" x14ac:dyDescent="0.4">
      <c r="K147" s="7">
        <v>145</v>
      </c>
      <c r="L147" s="65">
        <v>1175.0000000000002</v>
      </c>
    </row>
    <row r="148" spans="11:12" x14ac:dyDescent="0.4">
      <c r="K148" s="7">
        <v>146</v>
      </c>
      <c r="L148" s="65">
        <v>1172.2000000000003</v>
      </c>
    </row>
    <row r="149" spans="11:12" x14ac:dyDescent="0.4">
      <c r="K149" s="7">
        <v>147</v>
      </c>
      <c r="L149" s="65">
        <v>1141.3000000000002</v>
      </c>
    </row>
    <row r="150" spans="11:12" x14ac:dyDescent="0.4">
      <c r="K150" s="7">
        <v>148</v>
      </c>
      <c r="L150" s="65">
        <v>1145.0000000000002</v>
      </c>
    </row>
    <row r="151" spans="11:12" x14ac:dyDescent="0.4">
      <c r="K151" s="7">
        <v>149</v>
      </c>
      <c r="L151" s="65">
        <v>1159.6000000000001</v>
      </c>
    </row>
    <row r="152" spans="11:12" x14ac:dyDescent="0.4">
      <c r="K152" s="7">
        <v>150</v>
      </c>
      <c r="L152" s="65">
        <v>1171.0000000000002</v>
      </c>
    </row>
    <row r="153" spans="11:12" x14ac:dyDescent="0.4">
      <c r="K153" s="7">
        <v>151</v>
      </c>
      <c r="L153" s="65">
        <v>1213.5000000000002</v>
      </c>
    </row>
    <row r="154" spans="11:12" x14ac:dyDescent="0.4">
      <c r="K154" s="7">
        <v>152</v>
      </c>
      <c r="L154" s="65">
        <v>1248.0000000000002</v>
      </c>
    </row>
    <row r="155" spans="11:12" x14ac:dyDescent="0.4">
      <c r="K155" s="7">
        <v>153</v>
      </c>
      <c r="L155" s="65">
        <v>1250.4000000000003</v>
      </c>
    </row>
    <row r="156" spans="11:12" x14ac:dyDescent="0.4">
      <c r="K156" s="7">
        <v>154</v>
      </c>
      <c r="L156" s="65">
        <v>1223.7000000000003</v>
      </c>
    </row>
    <row r="157" spans="11:12" x14ac:dyDescent="0.4">
      <c r="K157" s="7">
        <v>155</v>
      </c>
      <c r="L157" s="65">
        <v>1213.8000000000002</v>
      </c>
    </row>
    <row r="158" spans="11:12" x14ac:dyDescent="0.4">
      <c r="K158" s="7">
        <v>156</v>
      </c>
      <c r="L158" s="65">
        <v>1263.9000000000001</v>
      </c>
    </row>
    <row r="159" spans="11:12" x14ac:dyDescent="0.4">
      <c r="K159" s="7">
        <v>157</v>
      </c>
      <c r="L159" s="65">
        <v>1287.4000000000001</v>
      </c>
    </row>
    <row r="160" spans="11:12" x14ac:dyDescent="0.4">
      <c r="K160" s="7">
        <v>158</v>
      </c>
      <c r="L160" s="65">
        <v>1309</v>
      </c>
    </row>
    <row r="161" spans="11:12" x14ac:dyDescent="0.4">
      <c r="K161" s="7">
        <v>159</v>
      </c>
      <c r="L161" s="65">
        <v>1345.9</v>
      </c>
    </row>
    <row r="162" spans="11:12" x14ac:dyDescent="0.4">
      <c r="K162" s="7">
        <v>160</v>
      </c>
      <c r="L162" s="65">
        <v>1344.4</v>
      </c>
    </row>
    <row r="163" spans="11:12" x14ac:dyDescent="0.4">
      <c r="K163" s="7">
        <v>161</v>
      </c>
      <c r="L163" s="65">
        <v>1375.4</v>
      </c>
    </row>
    <row r="164" spans="11:12" x14ac:dyDescent="0.4">
      <c r="K164" s="7">
        <v>162</v>
      </c>
      <c r="L164" s="65">
        <v>1421.9</v>
      </c>
    </row>
    <row r="165" spans="11:12" x14ac:dyDescent="0.4">
      <c r="K165" s="7">
        <v>163</v>
      </c>
      <c r="L165" s="65">
        <v>1425.1000000000001</v>
      </c>
    </row>
    <row r="166" spans="11:12" x14ac:dyDescent="0.4">
      <c r="K166" s="7">
        <v>164</v>
      </c>
      <c r="L166" s="65">
        <v>1402.2</v>
      </c>
    </row>
    <row r="167" spans="11:12" x14ac:dyDescent="0.4">
      <c r="K167" s="7">
        <v>165</v>
      </c>
      <c r="L167" s="65">
        <v>1432.4</v>
      </c>
    </row>
    <row r="168" spans="11:12" x14ac:dyDescent="0.4">
      <c r="K168" s="7">
        <v>166</v>
      </c>
      <c r="L168" s="65">
        <v>1454.5</v>
      </c>
    </row>
    <row r="169" spans="11:12" x14ac:dyDescent="0.4">
      <c r="K169" s="7">
        <v>167</v>
      </c>
      <c r="L169" s="65">
        <v>1408.3</v>
      </c>
    </row>
    <row r="170" spans="11:12" x14ac:dyDescent="0.4">
      <c r="K170" s="7">
        <v>168</v>
      </c>
      <c r="L170" s="65">
        <v>1434.6</v>
      </c>
    </row>
    <row r="171" spans="11:12" x14ac:dyDescent="0.4">
      <c r="K171" s="7">
        <v>169</v>
      </c>
      <c r="L171" s="65">
        <v>1474.3999999999999</v>
      </c>
    </row>
    <row r="172" spans="11:12" x14ac:dyDescent="0.4">
      <c r="K172" s="7">
        <v>170</v>
      </c>
      <c r="L172" s="65">
        <v>1472.4999999999998</v>
      </c>
    </row>
    <row r="173" spans="11:12" x14ac:dyDescent="0.4">
      <c r="K173" s="7">
        <v>171</v>
      </c>
      <c r="L173" s="65">
        <v>1533.2999999999997</v>
      </c>
    </row>
    <row r="174" spans="11:12" x14ac:dyDescent="0.4">
      <c r="K174" s="7">
        <v>172</v>
      </c>
      <c r="L174" s="65">
        <v>1535.2999999999997</v>
      </c>
    </row>
    <row r="175" spans="11:12" x14ac:dyDescent="0.4">
      <c r="K175" s="7">
        <v>173</v>
      </c>
      <c r="L175" s="65">
        <v>1503.0999999999997</v>
      </c>
    </row>
    <row r="176" spans="11:12" x14ac:dyDescent="0.4">
      <c r="K176" s="7">
        <v>174</v>
      </c>
      <c r="L176" s="65">
        <v>1548.2999999999997</v>
      </c>
    </row>
    <row r="177" spans="11:12" x14ac:dyDescent="0.4">
      <c r="K177" s="7">
        <v>175</v>
      </c>
      <c r="L177" s="65">
        <v>1535.7999999999997</v>
      </c>
    </row>
    <row r="178" spans="11:12" x14ac:dyDescent="0.4">
      <c r="K178" s="7">
        <v>176</v>
      </c>
      <c r="L178" s="65">
        <v>1564.5999999999997</v>
      </c>
    </row>
    <row r="179" spans="11:12" x14ac:dyDescent="0.4">
      <c r="K179" s="7">
        <v>177</v>
      </c>
      <c r="L179" s="65">
        <v>1537.1999999999996</v>
      </c>
    </row>
    <row r="180" spans="11:12" x14ac:dyDescent="0.4">
      <c r="K180" s="7">
        <v>178</v>
      </c>
      <c r="L180" s="65">
        <v>1526.1999999999996</v>
      </c>
    </row>
    <row r="181" spans="11:12" x14ac:dyDescent="0.4">
      <c r="K181" s="7">
        <v>179</v>
      </c>
      <c r="L181" s="65">
        <v>1554.0999999999997</v>
      </c>
    </row>
    <row r="182" spans="11:12" x14ac:dyDescent="0.4">
      <c r="K182" s="7">
        <v>180</v>
      </c>
      <c r="L182" s="65">
        <v>1553.2999999999997</v>
      </c>
    </row>
    <row r="183" spans="11:12" x14ac:dyDescent="0.4">
      <c r="K183" s="7">
        <v>181</v>
      </c>
      <c r="L183" s="65">
        <v>1552.9999999999998</v>
      </c>
    </row>
    <row r="184" spans="11:12" x14ac:dyDescent="0.4">
      <c r="K184" s="7">
        <v>182</v>
      </c>
      <c r="L184" s="65">
        <v>1600.4999999999998</v>
      </c>
    </row>
    <row r="185" spans="11:12" x14ac:dyDescent="0.4">
      <c r="K185" s="7">
        <v>183</v>
      </c>
      <c r="L185" s="65">
        <v>1578.4999999999998</v>
      </c>
    </row>
    <row r="186" spans="11:12" x14ac:dyDescent="0.4">
      <c r="K186" s="7">
        <v>184</v>
      </c>
      <c r="L186" s="65">
        <v>1553.9999999999998</v>
      </c>
    </row>
    <row r="187" spans="11:12" x14ac:dyDescent="0.4">
      <c r="K187" s="7">
        <v>185</v>
      </c>
      <c r="L187" s="65">
        <v>1594.7999999999997</v>
      </c>
    </row>
    <row r="188" spans="11:12" x14ac:dyDescent="0.4">
      <c r="K188" s="7">
        <v>186</v>
      </c>
      <c r="L188" s="65">
        <v>1635.9999999999998</v>
      </c>
    </row>
    <row r="189" spans="11:12" x14ac:dyDescent="0.4">
      <c r="K189" s="7">
        <v>187</v>
      </c>
      <c r="L189" s="65">
        <v>1628.2999999999997</v>
      </c>
    </row>
    <row r="190" spans="11:12" x14ac:dyDescent="0.4">
      <c r="K190" s="7">
        <v>188</v>
      </c>
      <c r="L190" s="65">
        <v>1659.9999999999998</v>
      </c>
    </row>
    <row r="191" spans="11:12" x14ac:dyDescent="0.4">
      <c r="K191" s="7">
        <v>189</v>
      </c>
      <c r="L191" s="65">
        <v>1692.1999999999998</v>
      </c>
    </row>
    <row r="192" spans="11:12" x14ac:dyDescent="0.4">
      <c r="K192" s="7">
        <v>190</v>
      </c>
      <c r="L192" s="65">
        <v>1689.2999999999997</v>
      </c>
    </row>
    <row r="193" spans="11:12" x14ac:dyDescent="0.4">
      <c r="K193" s="7">
        <v>191</v>
      </c>
      <c r="L193" s="65">
        <v>1721.2999999999997</v>
      </c>
    </row>
    <row r="194" spans="11:12" x14ac:dyDescent="0.4">
      <c r="K194" s="7">
        <v>192</v>
      </c>
      <c r="L194" s="65">
        <v>1762.7999999999997</v>
      </c>
    </row>
    <row r="195" spans="11:12" x14ac:dyDescent="0.4">
      <c r="K195" s="7">
        <v>193</v>
      </c>
      <c r="L195" s="65">
        <v>1799.3999999999996</v>
      </c>
    </row>
    <row r="196" spans="11:12" x14ac:dyDescent="0.4">
      <c r="K196" s="7">
        <v>194</v>
      </c>
      <c r="L196" s="65">
        <v>1831.2999999999997</v>
      </c>
    </row>
    <row r="197" spans="11:12" x14ac:dyDescent="0.4">
      <c r="K197" s="7">
        <v>195</v>
      </c>
      <c r="L197" s="65">
        <v>1872.7999999999997</v>
      </c>
    </row>
    <row r="198" spans="11:12" x14ac:dyDescent="0.4">
      <c r="K198" s="7">
        <v>196</v>
      </c>
      <c r="L198" s="65">
        <v>1834.0999999999997</v>
      </c>
    </row>
    <row r="199" spans="11:12" x14ac:dyDescent="0.4">
      <c r="K199" s="7">
        <v>197</v>
      </c>
      <c r="L199" s="65">
        <v>1788.5999999999997</v>
      </c>
    </row>
    <row r="200" spans="11:12" x14ac:dyDescent="0.4">
      <c r="K200" s="7">
        <v>198</v>
      </c>
      <c r="L200" s="65">
        <v>1804.7999999999997</v>
      </c>
    </row>
    <row r="201" spans="11:12" x14ac:dyDescent="0.4">
      <c r="K201" s="7">
        <v>199</v>
      </c>
      <c r="L201" s="65">
        <v>1806.0999999999997</v>
      </c>
    </row>
    <row r="202" spans="11:12" x14ac:dyDescent="0.4">
      <c r="K202" s="7">
        <v>200</v>
      </c>
      <c r="L202" s="65">
        <v>1830.1999999999996</v>
      </c>
    </row>
    <row r="203" spans="11:12" x14ac:dyDescent="0.4">
      <c r="K203" s="7">
        <v>201</v>
      </c>
      <c r="L203" s="65">
        <v>1812.7999999999995</v>
      </c>
    </row>
    <row r="204" spans="11:12" x14ac:dyDescent="0.4">
      <c r="K204" s="7">
        <v>202</v>
      </c>
      <c r="L204" s="65">
        <v>1853.4999999999995</v>
      </c>
    </row>
    <row r="205" spans="11:12" x14ac:dyDescent="0.4">
      <c r="K205" s="7">
        <v>203</v>
      </c>
      <c r="L205" s="65">
        <v>1867.4999999999995</v>
      </c>
    </row>
    <row r="206" spans="11:12" x14ac:dyDescent="0.4">
      <c r="K206" s="7">
        <v>204</v>
      </c>
      <c r="L206" s="65">
        <v>1934.3999999999996</v>
      </c>
    </row>
    <row r="207" spans="11:12" x14ac:dyDescent="0.4">
      <c r="K207" s="7">
        <v>205</v>
      </c>
      <c r="L207" s="65">
        <v>1937.5999999999997</v>
      </c>
    </row>
    <row r="208" spans="11:12" x14ac:dyDescent="0.4">
      <c r="K208" s="7">
        <v>206</v>
      </c>
      <c r="L208" s="65">
        <v>1937.2999999999997</v>
      </c>
    </row>
    <row r="209" spans="11:12" x14ac:dyDescent="0.4">
      <c r="K209" s="7">
        <v>207</v>
      </c>
      <c r="L209" s="65">
        <v>1977.1999999999998</v>
      </c>
    </row>
    <row r="210" spans="11:12" x14ac:dyDescent="0.4">
      <c r="K210" s="7">
        <v>208</v>
      </c>
      <c r="L210" s="65">
        <v>1974.9999999999998</v>
      </c>
    </row>
    <row r="211" spans="11:12" x14ac:dyDescent="0.4">
      <c r="K211" s="7">
        <v>209</v>
      </c>
      <c r="L211" s="65">
        <v>1923.8999999999999</v>
      </c>
    </row>
    <row r="212" spans="11:12" x14ac:dyDescent="0.4">
      <c r="K212" s="7">
        <v>210</v>
      </c>
      <c r="L212" s="65">
        <v>1949.1999999999998</v>
      </c>
    </row>
    <row r="213" spans="11:12" x14ac:dyDescent="0.4">
      <c r="K213" s="7">
        <v>211</v>
      </c>
      <c r="L213" s="65">
        <v>1970.8999999999999</v>
      </c>
    </row>
    <row r="214" spans="11:12" x14ac:dyDescent="0.4">
      <c r="K214" s="7">
        <v>212</v>
      </c>
      <c r="L214" s="65">
        <v>2015.3999999999999</v>
      </c>
    </row>
    <row r="215" spans="11:12" x14ac:dyDescent="0.4">
      <c r="K215" s="7">
        <v>213</v>
      </c>
      <c r="L215" s="65">
        <v>2052.8999999999996</v>
      </c>
    </row>
    <row r="216" spans="11:12" x14ac:dyDescent="0.4">
      <c r="K216" s="7">
        <v>214</v>
      </c>
      <c r="L216" s="65">
        <v>2031.0999999999997</v>
      </c>
    </row>
    <row r="217" spans="11:12" x14ac:dyDescent="0.4">
      <c r="K217" s="7">
        <v>215</v>
      </c>
      <c r="L217" s="65">
        <v>2017.9999999999998</v>
      </c>
    </row>
    <row r="218" spans="11:12" x14ac:dyDescent="0.4">
      <c r="K218" s="7">
        <v>216</v>
      </c>
      <c r="L218" s="65">
        <v>2013.1999999999998</v>
      </c>
    </row>
    <row r="219" spans="11:12" x14ac:dyDescent="0.4">
      <c r="K219" s="7">
        <v>217</v>
      </c>
      <c r="L219" s="65">
        <v>1963.7999999999997</v>
      </c>
    </row>
    <row r="220" spans="11:12" x14ac:dyDescent="0.4">
      <c r="K220" s="7">
        <v>218</v>
      </c>
      <c r="L220" s="65">
        <v>1930.1999999999998</v>
      </c>
    </row>
    <row r="221" spans="11:12" x14ac:dyDescent="0.4">
      <c r="K221" s="7">
        <v>219</v>
      </c>
      <c r="L221" s="65">
        <v>1957.1</v>
      </c>
    </row>
    <row r="222" spans="11:12" x14ac:dyDescent="0.4">
      <c r="K222" s="7">
        <v>220</v>
      </c>
      <c r="L222" s="65">
        <v>1969.1</v>
      </c>
    </row>
    <row r="223" spans="11:12" x14ac:dyDescent="0.4">
      <c r="K223" s="7">
        <v>221</v>
      </c>
      <c r="L223" s="65">
        <v>1965.3999999999999</v>
      </c>
    </row>
    <row r="224" spans="11:12" x14ac:dyDescent="0.4">
      <c r="K224" s="7">
        <v>222</v>
      </c>
      <c r="L224" s="65">
        <v>1955.8999999999999</v>
      </c>
    </row>
    <row r="225" spans="11:12" x14ac:dyDescent="0.4">
      <c r="K225" s="7">
        <v>223</v>
      </c>
      <c r="L225" s="65">
        <v>2010.1</v>
      </c>
    </row>
    <row r="226" spans="11:12" x14ac:dyDescent="0.4">
      <c r="K226" s="7">
        <v>224</v>
      </c>
      <c r="L226" s="65">
        <v>2035.6999999999998</v>
      </c>
    </row>
    <row r="227" spans="11:12" x14ac:dyDescent="0.4">
      <c r="K227" s="7">
        <v>225</v>
      </c>
      <c r="L227" s="65">
        <v>2042.1</v>
      </c>
    </row>
    <row r="228" spans="11:12" x14ac:dyDescent="0.4">
      <c r="K228" s="7">
        <v>226</v>
      </c>
      <c r="L228" s="65">
        <v>2031.5</v>
      </c>
    </row>
    <row r="229" spans="11:12" x14ac:dyDescent="0.4">
      <c r="K229" s="7">
        <v>227</v>
      </c>
      <c r="L229" s="65">
        <v>2001.4</v>
      </c>
    </row>
    <row r="230" spans="11:12" x14ac:dyDescent="0.4">
      <c r="K230" s="7">
        <v>228</v>
      </c>
      <c r="L230" s="65">
        <v>2007.4</v>
      </c>
    </row>
    <row r="231" spans="11:12" x14ac:dyDescent="0.4">
      <c r="K231" s="7">
        <v>229</v>
      </c>
      <c r="L231" s="65">
        <v>1958.9</v>
      </c>
    </row>
    <row r="232" spans="11:12" x14ac:dyDescent="0.4">
      <c r="K232" s="7">
        <v>230</v>
      </c>
      <c r="L232" s="65">
        <v>1944.5</v>
      </c>
    </row>
    <row r="233" spans="11:12" x14ac:dyDescent="0.4">
      <c r="K233" s="7">
        <v>231</v>
      </c>
      <c r="L233" s="65">
        <v>1967.5</v>
      </c>
    </row>
    <row r="234" spans="11:12" x14ac:dyDescent="0.4">
      <c r="K234" s="7">
        <v>232</v>
      </c>
      <c r="L234" s="65">
        <v>1995.1</v>
      </c>
    </row>
    <row r="235" spans="11:12" x14ac:dyDescent="0.4">
      <c r="K235" s="7">
        <v>233</v>
      </c>
      <c r="L235" s="65">
        <v>2043.5</v>
      </c>
    </row>
    <row r="236" spans="11:12" x14ac:dyDescent="0.4">
      <c r="K236" s="7">
        <v>234</v>
      </c>
      <c r="L236" s="65">
        <v>2082</v>
      </c>
    </row>
  </sheetData>
  <sortState xmlns:xlrd2="http://schemas.microsoft.com/office/spreadsheetml/2017/richdata2" ref="E2:I237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D8C0E-6361-482D-9D3C-926A88C4C6DC}">
  <sheetPr codeName="Sheet11"/>
  <dimension ref="A1:Q204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127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202</v>
      </c>
      <c r="C2" s="132"/>
      <c r="E2" s="28" t="s">
        <v>66</v>
      </c>
      <c r="F2" s="25" t="s">
        <v>22</v>
      </c>
      <c r="G2" s="13">
        <v>387</v>
      </c>
      <c r="H2" s="91">
        <f t="shared" ref="H2:H33" si="0">IF(B$19=0,0,G2/B$19)</f>
        <v>0.72744360902255634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1">IF(P2=0,0,Q2/P2)</f>
        <v>-701</v>
      </c>
      <c r="P2" s="80">
        <v>200</v>
      </c>
      <c r="Q2" s="67">
        <v>-140200</v>
      </c>
    </row>
    <row r="3" spans="1:17" x14ac:dyDescent="0.4">
      <c r="A3" s="21" t="s">
        <v>8</v>
      </c>
      <c r="B3" s="133">
        <v>1667</v>
      </c>
      <c r="C3" s="134"/>
      <c r="E3" s="29" t="s">
        <v>72</v>
      </c>
      <c r="F3" s="26" t="s">
        <v>27</v>
      </c>
      <c r="G3" s="14">
        <v>295</v>
      </c>
      <c r="H3" s="92">
        <f t="shared" si="0"/>
        <v>0.55451127819548873</v>
      </c>
      <c r="I3" s="60">
        <v>4</v>
      </c>
      <c r="K3" s="7">
        <v>1</v>
      </c>
      <c r="L3" s="65">
        <v>-45.6</v>
      </c>
      <c r="N3" s="78" t="s">
        <v>131</v>
      </c>
      <c r="O3" s="84">
        <f t="shared" si="1"/>
        <v>1004.5918367346939</v>
      </c>
      <c r="P3" s="81">
        <v>196</v>
      </c>
      <c r="Q3" s="68">
        <v>196900</v>
      </c>
    </row>
    <row r="4" spans="1:17" x14ac:dyDescent="0.4">
      <c r="A4" s="21" t="s">
        <v>6</v>
      </c>
      <c r="B4" s="135">
        <v>21.899999999999785</v>
      </c>
      <c r="C4" s="136"/>
      <c r="E4" s="29" t="s">
        <v>163</v>
      </c>
      <c r="F4" s="26" t="s">
        <v>164</v>
      </c>
      <c r="G4" s="14">
        <v>218</v>
      </c>
      <c r="H4" s="92">
        <f t="shared" si="0"/>
        <v>0.40977443609022557</v>
      </c>
      <c r="I4" s="60">
        <v>6</v>
      </c>
      <c r="K4" s="7">
        <v>2</v>
      </c>
      <c r="L4" s="65">
        <v>-34.299999999999997</v>
      </c>
      <c r="N4" s="78" t="s">
        <v>132</v>
      </c>
      <c r="O4" s="84">
        <f t="shared" si="1"/>
        <v>-58.469945355191257</v>
      </c>
      <c r="P4" s="81">
        <v>183</v>
      </c>
      <c r="Q4" s="68">
        <v>-10700</v>
      </c>
    </row>
    <row r="5" spans="1:17" x14ac:dyDescent="0.4">
      <c r="A5" s="21" t="s">
        <v>7</v>
      </c>
      <c r="B5" s="123">
        <f>IF(B$2=0,0,B$4/B$2)</f>
        <v>0.10841584158415736</v>
      </c>
      <c r="C5" s="124"/>
      <c r="E5" s="29" t="s">
        <v>64</v>
      </c>
      <c r="F5" s="26" t="s">
        <v>20</v>
      </c>
      <c r="G5" s="14">
        <v>193</v>
      </c>
      <c r="H5" s="92">
        <f t="shared" si="0"/>
        <v>0.36278195488721804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1"/>
        <v>-63.428571428571431</v>
      </c>
      <c r="P5" s="81">
        <v>175</v>
      </c>
      <c r="Q5" s="68">
        <v>-11100</v>
      </c>
    </row>
    <row r="6" spans="1:17" x14ac:dyDescent="0.4">
      <c r="A6" s="21" t="s">
        <v>1</v>
      </c>
      <c r="B6" s="137">
        <f>IF(B$2=0,0,(B$7*1+B$8*2+B$9*3)/B$2)</f>
        <v>1.9702970297029703</v>
      </c>
      <c r="C6" s="138"/>
      <c r="E6" s="29" t="s">
        <v>68</v>
      </c>
      <c r="F6" s="26" t="s">
        <v>12</v>
      </c>
      <c r="G6" s="14">
        <v>143</v>
      </c>
      <c r="H6" s="92">
        <f t="shared" si="0"/>
        <v>0.26879699248120303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1"/>
        <v>-1186.875</v>
      </c>
      <c r="P6" s="81">
        <v>160</v>
      </c>
      <c r="Q6" s="68">
        <v>-189900</v>
      </c>
    </row>
    <row r="7" spans="1:17" x14ac:dyDescent="0.4">
      <c r="A7" s="21" t="s">
        <v>2</v>
      </c>
      <c r="B7" s="14">
        <v>69</v>
      </c>
      <c r="C7" s="8">
        <f t="shared" ref="C7:C14" si="2">IF(B$2=0,0,B7/B$2)</f>
        <v>0.34158415841584161</v>
      </c>
      <c r="E7" s="29" t="s">
        <v>67</v>
      </c>
      <c r="F7" s="26" t="s">
        <v>23</v>
      </c>
      <c r="G7" s="14">
        <v>103</v>
      </c>
      <c r="H7" s="92">
        <f t="shared" si="0"/>
        <v>0.19360902255639098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1"/>
        <v>1075.7352941176471</v>
      </c>
      <c r="P7" s="82">
        <v>136</v>
      </c>
      <c r="Q7" s="69">
        <v>146300</v>
      </c>
    </row>
    <row r="8" spans="1:17" x14ac:dyDescent="0.4">
      <c r="A8" s="21" t="s">
        <v>3</v>
      </c>
      <c r="B8" s="14">
        <v>70</v>
      </c>
      <c r="C8" s="8">
        <f t="shared" si="2"/>
        <v>0.34653465346534651</v>
      </c>
      <c r="E8" s="29" t="s">
        <v>69</v>
      </c>
      <c r="F8" s="26" t="s">
        <v>24</v>
      </c>
      <c r="G8" s="14">
        <v>61</v>
      </c>
      <c r="H8" s="92">
        <f t="shared" si="0"/>
        <v>0.11466165413533834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">
      <c r="A9" s="22" t="s">
        <v>4</v>
      </c>
      <c r="B9" s="15">
        <v>63</v>
      </c>
      <c r="C9" s="9">
        <f t="shared" si="2"/>
        <v>0.31188118811881188</v>
      </c>
      <c r="E9" s="29" t="s">
        <v>89</v>
      </c>
      <c r="F9" s="26" t="s">
        <v>44</v>
      </c>
      <c r="G9" s="14">
        <v>61</v>
      </c>
      <c r="H9" s="92">
        <f t="shared" si="0"/>
        <v>0.11466165413533834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34.820289855072481</v>
      </c>
      <c r="C10" s="114">
        <v>2402.6000000000013</v>
      </c>
      <c r="E10" s="29" t="s">
        <v>70</v>
      </c>
      <c r="F10" s="26" t="s">
        <v>25</v>
      </c>
      <c r="G10" s="14">
        <v>51</v>
      </c>
      <c r="H10" s="92">
        <f t="shared" si="0"/>
        <v>9.5864661654135333E-2</v>
      </c>
      <c r="I10" s="60">
        <v>8</v>
      </c>
      <c r="K10" s="7">
        <v>8</v>
      </c>
      <c r="L10" s="65">
        <v>-56.79999999999999</v>
      </c>
      <c r="N10" s="77" t="s">
        <v>154</v>
      </c>
      <c r="O10" s="86">
        <f>IF(P10=0,0,Q10/P10)</f>
        <v>-2.068253968253968</v>
      </c>
      <c r="P10" s="80">
        <v>63</v>
      </c>
      <c r="Q10" s="71">
        <v>-130.29999999999998</v>
      </c>
    </row>
    <row r="11" spans="1:17" x14ac:dyDescent="0.4">
      <c r="A11" s="22" t="s">
        <v>204</v>
      </c>
      <c r="B11" s="113">
        <f>IF(B8=0,0,C11/B8)</f>
        <v>-1.4014285714285715</v>
      </c>
      <c r="C11" s="114">
        <v>-98.100000000000009</v>
      </c>
      <c r="E11" s="29" t="s">
        <v>71</v>
      </c>
      <c r="F11" s="26" t="s">
        <v>26</v>
      </c>
      <c r="G11" s="14">
        <v>45</v>
      </c>
      <c r="H11" s="92">
        <f t="shared" si="0"/>
        <v>8.4586466165413529E-2</v>
      </c>
      <c r="I11" s="60">
        <v>7</v>
      </c>
      <c r="K11" s="7">
        <v>9</v>
      </c>
      <c r="L11" s="65">
        <v>-83.699999999999989</v>
      </c>
      <c r="N11" s="78" t="s">
        <v>155</v>
      </c>
      <c r="O11" s="87">
        <f>IF(P11=0,0,Q11/P11)</f>
        <v>5.5657142857142876</v>
      </c>
      <c r="P11" s="81">
        <v>70</v>
      </c>
      <c r="Q11" s="72">
        <v>389.60000000000014</v>
      </c>
    </row>
    <row r="12" spans="1:17" x14ac:dyDescent="0.4">
      <c r="A12" s="22" t="s">
        <v>205</v>
      </c>
      <c r="B12" s="113">
        <f>IF(B9=0,0,C12/B9)</f>
        <v>-36.23174603174602</v>
      </c>
      <c r="C12" s="114">
        <v>-2282.5999999999995</v>
      </c>
      <c r="E12" s="29" t="s">
        <v>65</v>
      </c>
      <c r="F12" s="26" t="s">
        <v>21</v>
      </c>
      <c r="G12" s="14">
        <v>41</v>
      </c>
      <c r="H12" s="92">
        <f t="shared" si="0"/>
        <v>7.7067669172932327E-2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-3.4405797101449282</v>
      </c>
      <c r="P12" s="82">
        <v>69</v>
      </c>
      <c r="Q12" s="73">
        <v>-237.40000000000003</v>
      </c>
    </row>
    <row r="13" spans="1:17" x14ac:dyDescent="0.4">
      <c r="A13" s="22" t="s">
        <v>206</v>
      </c>
      <c r="B13" s="123">
        <f>AVERAGE(B10:B12)</f>
        <v>-0.93762824936737132</v>
      </c>
      <c r="C13" s="124"/>
      <c r="E13" s="29" t="s">
        <v>86</v>
      </c>
      <c r="F13" s="26" t="s">
        <v>41</v>
      </c>
      <c r="G13" s="14">
        <v>28</v>
      </c>
      <c r="H13" s="92">
        <f t="shared" si="0"/>
        <v>5.2631578947368418E-2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19</v>
      </c>
      <c r="C14" s="11">
        <f t="shared" si="2"/>
        <v>9.405940594059406E-2</v>
      </c>
      <c r="E14" s="29" t="s">
        <v>83</v>
      </c>
      <c r="F14" s="26" t="s">
        <v>38</v>
      </c>
      <c r="G14" s="14">
        <v>23</v>
      </c>
      <c r="H14" s="92">
        <f t="shared" si="0"/>
        <v>4.3233082706766915E-2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372</v>
      </c>
      <c r="C15" s="12">
        <f>IF(B$3=0,0,B15/B$3)</f>
        <v>0.22315536892621476</v>
      </c>
      <c r="E15" s="29" t="s">
        <v>78</v>
      </c>
      <c r="F15" s="26" t="s">
        <v>33</v>
      </c>
      <c r="G15" s="14">
        <v>20</v>
      </c>
      <c r="H15" s="92">
        <f t="shared" si="0"/>
        <v>3.7593984962406013E-2</v>
      </c>
      <c r="I15" s="60">
        <v>3</v>
      </c>
      <c r="K15" s="7">
        <v>13</v>
      </c>
      <c r="L15" s="65">
        <v>-86.8</v>
      </c>
      <c r="N15" s="77" t="s">
        <v>201</v>
      </c>
      <c r="O15" s="86">
        <f t="shared" ref="O15:O23" si="3">IF(P15=0,0,Q15/P15)</f>
        <v>75.3</v>
      </c>
      <c r="P15" s="80">
        <v>2</v>
      </c>
      <c r="Q15" s="71">
        <v>150.6</v>
      </c>
    </row>
    <row r="16" spans="1:17" x14ac:dyDescent="0.4">
      <c r="A16" s="21" t="s">
        <v>118</v>
      </c>
      <c r="B16" s="14">
        <v>494</v>
      </c>
      <c r="C16" s="8">
        <f>IF(B$3=0,0,B16/B$3)</f>
        <v>0.29634073185362925</v>
      </c>
      <c r="E16" s="29" t="s">
        <v>81</v>
      </c>
      <c r="F16" s="26" t="s">
        <v>36</v>
      </c>
      <c r="G16" s="14">
        <v>14</v>
      </c>
      <c r="H16" s="92">
        <f t="shared" si="0"/>
        <v>2.6315789473684209E-2</v>
      </c>
      <c r="I16" s="60">
        <v>4</v>
      </c>
      <c r="K16" s="7">
        <v>14</v>
      </c>
      <c r="L16" s="65">
        <v>-138.4</v>
      </c>
      <c r="N16" s="78" t="s">
        <v>194</v>
      </c>
      <c r="O16" s="87">
        <f t="shared" si="3"/>
        <v>21.862499999999997</v>
      </c>
      <c r="P16" s="81">
        <v>8</v>
      </c>
      <c r="Q16" s="72">
        <v>174.89999999999998</v>
      </c>
    </row>
    <row r="17" spans="1:17" x14ac:dyDescent="0.4">
      <c r="A17" s="20" t="s">
        <v>123</v>
      </c>
      <c r="B17" s="13">
        <f>B23</f>
        <v>194</v>
      </c>
      <c r="C17" s="6">
        <f>IF(B$15=0,0,B17/B$15)</f>
        <v>0.521505376344086</v>
      </c>
      <c r="E17" s="29" t="s">
        <v>91</v>
      </c>
      <c r="F17" s="26" t="s">
        <v>46</v>
      </c>
      <c r="G17" s="14">
        <v>14</v>
      </c>
      <c r="H17" s="92">
        <f t="shared" si="0"/>
        <v>2.6315789473684209E-2</v>
      </c>
      <c r="I17" s="60">
        <v>2</v>
      </c>
      <c r="K17" s="7">
        <v>15</v>
      </c>
      <c r="L17" s="65">
        <v>-144.30000000000001</v>
      </c>
      <c r="N17" s="78" t="s">
        <v>169</v>
      </c>
      <c r="O17" s="87">
        <f t="shared" si="3"/>
        <v>17.395081967213105</v>
      </c>
      <c r="P17" s="81">
        <v>61</v>
      </c>
      <c r="Q17" s="72">
        <v>1061.0999999999995</v>
      </c>
    </row>
    <row r="18" spans="1:17" x14ac:dyDescent="0.4">
      <c r="A18" s="20" t="s">
        <v>124</v>
      </c>
      <c r="B18" s="13">
        <f>B24</f>
        <v>201</v>
      </c>
      <c r="C18" s="6">
        <f>IF(B$16=0,0,B18/B$16)</f>
        <v>0.40688259109311742</v>
      </c>
      <c r="E18" s="29" t="s">
        <v>79</v>
      </c>
      <c r="F18" s="26" t="s">
        <v>34</v>
      </c>
      <c r="G18" s="14">
        <v>8</v>
      </c>
      <c r="H18" s="92">
        <f t="shared" si="0"/>
        <v>1.5037593984962405E-2</v>
      </c>
      <c r="I18" s="60">
        <v>5</v>
      </c>
      <c r="K18" s="7">
        <v>16</v>
      </c>
      <c r="L18" s="65">
        <v>-187.3</v>
      </c>
      <c r="N18" s="78" t="s">
        <v>195</v>
      </c>
      <c r="O18" s="87">
        <f t="shared" si="3"/>
        <v>15.222222222222221</v>
      </c>
      <c r="P18" s="81">
        <v>18</v>
      </c>
      <c r="Q18" s="72">
        <v>274</v>
      </c>
    </row>
    <row r="19" spans="1:17" x14ac:dyDescent="0.4">
      <c r="A19" s="20" t="s">
        <v>10</v>
      </c>
      <c r="B19" s="13">
        <f>B22+B21</f>
        <v>532</v>
      </c>
      <c r="C19" s="6">
        <f>IF(B$3=0,0,B19/B$3)</f>
        <v>0.31913617276544692</v>
      </c>
      <c r="E19" s="29" t="s">
        <v>159</v>
      </c>
      <c r="F19" s="26" t="s">
        <v>160</v>
      </c>
      <c r="G19" s="14">
        <v>6</v>
      </c>
      <c r="H19" s="92">
        <f t="shared" si="0"/>
        <v>1.1278195488721804E-2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 t="shared" si="3"/>
        <v>13.955263157894736</v>
      </c>
      <c r="P19" s="81">
        <v>38</v>
      </c>
      <c r="Q19" s="72">
        <v>530.29999999999995</v>
      </c>
    </row>
    <row r="20" spans="1:17" x14ac:dyDescent="0.4">
      <c r="A20" s="21" t="s">
        <v>13</v>
      </c>
      <c r="B20" s="14">
        <v>286</v>
      </c>
      <c r="C20" s="8">
        <f>IF(B$3=0,0,B20/B$3)</f>
        <v>0.17156568686262746</v>
      </c>
      <c r="E20" s="29" t="s">
        <v>92</v>
      </c>
      <c r="F20" s="26" t="s">
        <v>47</v>
      </c>
      <c r="G20" s="14">
        <v>4</v>
      </c>
      <c r="H20" s="92">
        <f t="shared" si="0"/>
        <v>7.5187969924812026E-3</v>
      </c>
      <c r="I20" s="60">
        <v>4</v>
      </c>
      <c r="K20" s="7">
        <v>18</v>
      </c>
      <c r="L20" s="65">
        <v>-112.90000000000002</v>
      </c>
      <c r="N20" s="78" t="s">
        <v>275</v>
      </c>
      <c r="O20" s="87">
        <f t="shared" si="3"/>
        <v>-2.86</v>
      </c>
      <c r="P20" s="81">
        <v>5</v>
      </c>
      <c r="Q20" s="72">
        <v>-14.299999999999999</v>
      </c>
    </row>
    <row r="21" spans="1:17" x14ac:dyDescent="0.4">
      <c r="A21" s="21" t="s">
        <v>12</v>
      </c>
      <c r="B21" s="14">
        <v>221</v>
      </c>
      <c r="C21" s="8">
        <f>IF(B$19=0,0,B21/B$19)</f>
        <v>0.41541353383458646</v>
      </c>
      <c r="E21" s="29" t="s">
        <v>73</v>
      </c>
      <c r="F21" s="26" t="s">
        <v>28</v>
      </c>
      <c r="G21" s="14">
        <v>2</v>
      </c>
      <c r="H21" s="92">
        <f t="shared" si="0"/>
        <v>3.7593984962406013E-3</v>
      </c>
      <c r="I21" s="60">
        <v>4</v>
      </c>
      <c r="K21" s="7">
        <v>19</v>
      </c>
      <c r="L21" s="65">
        <v>-162.40000000000003</v>
      </c>
      <c r="N21" s="78" t="s">
        <v>168</v>
      </c>
      <c r="O21" s="87">
        <f t="shared" si="3"/>
        <v>-3.1029411764705874</v>
      </c>
      <c r="P21" s="81">
        <v>68</v>
      </c>
      <c r="Q21" s="72">
        <v>-210.99999999999994</v>
      </c>
    </row>
    <row r="22" spans="1:17" x14ac:dyDescent="0.4">
      <c r="A22" s="21" t="s">
        <v>11</v>
      </c>
      <c r="B22" s="14">
        <v>311</v>
      </c>
      <c r="C22" s="8">
        <f>IF(B$19=0,0,B22/B$19)</f>
        <v>0.58458646616541354</v>
      </c>
      <c r="E22" s="29" t="s">
        <v>74</v>
      </c>
      <c r="F22" s="26" t="s">
        <v>29</v>
      </c>
      <c r="G22" s="14">
        <v>2</v>
      </c>
      <c r="H22" s="92">
        <f t="shared" si="0"/>
        <v>3.7593984962406013E-3</v>
      </c>
      <c r="I22" s="60">
        <v>4</v>
      </c>
      <c r="K22" s="7">
        <v>20</v>
      </c>
      <c r="L22" s="65">
        <v>-96.000000000000028</v>
      </c>
      <c r="N22" s="78" t="s">
        <v>167</v>
      </c>
      <c r="O22" s="87">
        <f t="shared" si="3"/>
        <v>-3.2393939393939362</v>
      </c>
      <c r="P22" s="81">
        <v>66</v>
      </c>
      <c r="Q22" s="72">
        <v>-213.79999999999978</v>
      </c>
    </row>
    <row r="23" spans="1:17" x14ac:dyDescent="0.4">
      <c r="A23" s="21" t="s">
        <v>192</v>
      </c>
      <c r="B23" s="14">
        <v>194</v>
      </c>
      <c r="C23" s="8">
        <f>IF(B$19=0,0,B23/B$19)</f>
        <v>0.36466165413533835</v>
      </c>
      <c r="E23" s="29" t="s">
        <v>75</v>
      </c>
      <c r="F23" s="26" t="s">
        <v>30</v>
      </c>
      <c r="G23" s="14">
        <v>2</v>
      </c>
      <c r="H23" s="92">
        <f t="shared" si="0"/>
        <v>3.7593984962406013E-3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 t="shared" si="3"/>
        <v>-12.218115942028991</v>
      </c>
      <c r="P23" s="81">
        <v>138</v>
      </c>
      <c r="Q23" s="72">
        <v>-1686.1000000000008</v>
      </c>
    </row>
    <row r="24" spans="1:17" x14ac:dyDescent="0.4">
      <c r="A24" s="21" t="s">
        <v>190</v>
      </c>
      <c r="B24" s="14">
        <v>201</v>
      </c>
      <c r="C24" s="8">
        <f>IF(B$19=0,0,B24/B$19)</f>
        <v>0.37781954887218044</v>
      </c>
      <c r="E24" s="29" t="s">
        <v>90</v>
      </c>
      <c r="F24" s="26" t="s">
        <v>45</v>
      </c>
      <c r="G24" s="14">
        <v>2</v>
      </c>
      <c r="H24" s="92">
        <f t="shared" si="0"/>
        <v>3.7593984962406013E-3</v>
      </c>
      <c r="I24" s="60">
        <v>2</v>
      </c>
      <c r="K24" s="7">
        <v>22</v>
      </c>
      <c r="L24" s="65">
        <v>-38.400000000000034</v>
      </c>
    </row>
    <row r="25" spans="1:17" x14ac:dyDescent="0.4">
      <c r="A25" s="21" t="s">
        <v>191</v>
      </c>
      <c r="B25" s="14">
        <v>137</v>
      </c>
      <c r="C25" s="8">
        <f>IF(B$19=0,0,B25/B$19)</f>
        <v>0.2575187969924812</v>
      </c>
      <c r="E25" s="29" t="s">
        <v>76</v>
      </c>
      <c r="F25" s="26" t="s">
        <v>31</v>
      </c>
      <c r="G25" s="14">
        <v>1</v>
      </c>
      <c r="H25" s="92">
        <f t="shared" si="0"/>
        <v>1.8796992481203006E-3</v>
      </c>
      <c r="I25" s="60">
        <v>1</v>
      </c>
      <c r="K25" s="7">
        <v>23</v>
      </c>
      <c r="L25" s="65">
        <v>-37.600000000000037</v>
      </c>
    </row>
    <row r="26" spans="1:17" x14ac:dyDescent="0.4">
      <c r="A26" s="21" t="s">
        <v>5</v>
      </c>
      <c r="B26" s="18">
        <f>IF(B$19=0,0,C26/B$19)</f>
        <v>7728.5714285714284</v>
      </c>
      <c r="C26" s="10">
        <v>4111600</v>
      </c>
      <c r="E26" s="29" t="s">
        <v>77</v>
      </c>
      <c r="F26" s="26" t="s">
        <v>32</v>
      </c>
      <c r="G26" s="14">
        <v>1</v>
      </c>
      <c r="H26" s="92">
        <f t="shared" si="0"/>
        <v>1.8796992481203006E-3</v>
      </c>
      <c r="I26" s="60">
        <v>5</v>
      </c>
      <c r="K26" s="7">
        <v>24</v>
      </c>
      <c r="L26" s="65">
        <v>-37.600000000000037</v>
      </c>
    </row>
    <row r="27" spans="1:17" x14ac:dyDescent="0.4">
      <c r="A27" s="22" t="s">
        <v>174</v>
      </c>
      <c r="B27" s="99">
        <f>IF($B$19-B$18=0,0,C27/($B$19-B$18))</f>
        <v>8407.5528700906343</v>
      </c>
      <c r="C27" s="100">
        <v>2782900</v>
      </c>
      <c r="E27" s="29" t="s">
        <v>84</v>
      </c>
      <c r="F27" s="26" t="s">
        <v>39</v>
      </c>
      <c r="G27" s="14">
        <v>1</v>
      </c>
      <c r="H27" s="92">
        <f t="shared" si="0"/>
        <v>1.8796992481203006E-3</v>
      </c>
      <c r="I27" s="60">
        <v>5</v>
      </c>
      <c r="K27" s="7">
        <v>25</v>
      </c>
      <c r="L27" s="65">
        <v>-10.700000000000038</v>
      </c>
    </row>
    <row r="28" spans="1:17" x14ac:dyDescent="0.4">
      <c r="A28" s="22" t="s">
        <v>175</v>
      </c>
      <c r="B28" s="99">
        <f>IF(B$18=0,0,C28/B$18)</f>
        <v>6610.4477611940301</v>
      </c>
      <c r="C28" s="100">
        <v>1328700</v>
      </c>
      <c r="E28" s="29" t="s">
        <v>95</v>
      </c>
      <c r="F28" s="26" t="s">
        <v>50</v>
      </c>
      <c r="G28" s="14">
        <v>1</v>
      </c>
      <c r="H28" s="92">
        <f t="shared" si="0"/>
        <v>1.8796992481203006E-3</v>
      </c>
      <c r="I28" s="60">
        <v>4</v>
      </c>
      <c r="K28" s="7">
        <v>26</v>
      </c>
      <c r="L28" s="65">
        <v>-2.6000000000000387</v>
      </c>
    </row>
    <row r="29" spans="1:17" x14ac:dyDescent="0.4">
      <c r="A29" s="22" t="s">
        <v>173</v>
      </c>
      <c r="B29" s="99">
        <f>IF(B$20=0,0,C29/B$20)</f>
        <v>-7965.3846153846152</v>
      </c>
      <c r="C29" s="100">
        <v>-2278100</v>
      </c>
      <c r="E29" s="29" t="s">
        <v>80</v>
      </c>
      <c r="F29" s="26" t="s">
        <v>35</v>
      </c>
      <c r="G29" s="14">
        <v>0</v>
      </c>
      <c r="H29" s="92">
        <f t="shared" si="0"/>
        <v>0</v>
      </c>
      <c r="I29" s="60">
        <v>1</v>
      </c>
      <c r="K29" s="7">
        <v>27</v>
      </c>
      <c r="L29" s="65">
        <v>-34.100000000000037</v>
      </c>
    </row>
    <row r="30" spans="1:17" x14ac:dyDescent="0.4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 t="shared" si="0"/>
        <v>0</v>
      </c>
      <c r="I30" s="60">
        <v>1</v>
      </c>
      <c r="K30" s="7">
        <v>28</v>
      </c>
      <c r="L30" s="65">
        <v>-16.100000000000037</v>
      </c>
    </row>
    <row r="31" spans="1:17" x14ac:dyDescent="0.4">
      <c r="A31" s="21" t="s">
        <v>162</v>
      </c>
      <c r="B31" s="14">
        <v>36</v>
      </c>
      <c r="C31" s="94">
        <v>2</v>
      </c>
      <c r="E31" s="29" t="s">
        <v>85</v>
      </c>
      <c r="F31" s="26" t="s">
        <v>40</v>
      </c>
      <c r="G31" s="14">
        <v>0</v>
      </c>
      <c r="H31" s="92">
        <f t="shared" si="0"/>
        <v>0</v>
      </c>
      <c r="I31" s="60">
        <v>8</v>
      </c>
      <c r="K31" s="7">
        <v>29</v>
      </c>
      <c r="L31" s="65">
        <v>40.799999999999962</v>
      </c>
    </row>
    <row r="32" spans="1:17" x14ac:dyDescent="0.4">
      <c r="A32" s="56" t="s">
        <v>138</v>
      </c>
      <c r="B32" s="125">
        <v>8</v>
      </c>
      <c r="C32" s="126"/>
      <c r="E32" s="29" t="s">
        <v>87</v>
      </c>
      <c r="F32" s="26" t="s">
        <v>42</v>
      </c>
      <c r="G32" s="14">
        <v>0</v>
      </c>
      <c r="H32" s="92">
        <f t="shared" si="0"/>
        <v>0</v>
      </c>
      <c r="I32" s="60">
        <v>7</v>
      </c>
      <c r="K32" s="7">
        <v>30</v>
      </c>
      <c r="L32" s="65">
        <v>63.499999999999957</v>
      </c>
    </row>
    <row r="33" spans="1:12" x14ac:dyDescent="0.4">
      <c r="A33" s="24" t="s">
        <v>189</v>
      </c>
      <c r="B33" s="127">
        <v>91800</v>
      </c>
      <c r="C33" s="128"/>
      <c r="E33" s="29" t="s">
        <v>88</v>
      </c>
      <c r="F33" s="26" t="s">
        <v>43</v>
      </c>
      <c r="G33" s="14">
        <v>0</v>
      </c>
      <c r="H33" s="92">
        <f t="shared" si="0"/>
        <v>0</v>
      </c>
      <c r="I33" s="60">
        <v>6</v>
      </c>
      <c r="K33" s="7">
        <v>31</v>
      </c>
      <c r="L33" s="65">
        <v>94.299999999999955</v>
      </c>
    </row>
    <row r="34" spans="1:12" x14ac:dyDescent="0.4">
      <c r="A34" s="23" t="s">
        <v>139</v>
      </c>
      <c r="B34" s="31">
        <v>8</v>
      </c>
      <c r="C34" s="11">
        <f>IF(B$3=0,0,B34/B$3)</f>
        <v>4.7990401919616073E-3</v>
      </c>
      <c r="E34" s="29" t="s">
        <v>93</v>
      </c>
      <c r="F34" s="26" t="s">
        <v>48</v>
      </c>
      <c r="G34" s="14">
        <v>0</v>
      </c>
      <c r="H34" s="92">
        <f t="shared" ref="H34:H65" si="4"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 t="shared" si="4"/>
        <v>0</v>
      </c>
      <c r="I35" s="60">
        <v>1</v>
      </c>
      <c r="K35" s="7">
        <v>33</v>
      </c>
      <c r="L35" s="65">
        <v>153.39999999999995</v>
      </c>
    </row>
    <row r="36" spans="1:12" x14ac:dyDescent="0.4">
      <c r="A36" s="56" t="s">
        <v>180</v>
      </c>
      <c r="B36" s="119">
        <v>49</v>
      </c>
      <c r="C36" s="102">
        <f t="shared" ref="C36:C48" si="5">IF(B$19=0,0,B36/B$19)</f>
        <v>9.2105263157894732E-2</v>
      </c>
      <c r="E36" s="29" t="s">
        <v>96</v>
      </c>
      <c r="F36" s="26" t="s">
        <v>51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178.09999999999994</v>
      </c>
    </row>
    <row r="37" spans="1:12" x14ac:dyDescent="0.4">
      <c r="A37" s="21" t="s">
        <v>176</v>
      </c>
      <c r="B37" s="14">
        <v>100</v>
      </c>
      <c r="C37" s="8">
        <f t="shared" si="5"/>
        <v>0.18796992481203006</v>
      </c>
      <c r="E37" s="29" t="s">
        <v>97</v>
      </c>
      <c r="F37" s="26" t="s">
        <v>52</v>
      </c>
      <c r="G37" s="14">
        <v>0</v>
      </c>
      <c r="H37" s="92">
        <f t="shared" si="4"/>
        <v>0</v>
      </c>
      <c r="I37" s="60">
        <v>3</v>
      </c>
      <c r="K37" s="7">
        <v>35</v>
      </c>
      <c r="L37" s="65">
        <v>171.89999999999995</v>
      </c>
    </row>
    <row r="38" spans="1:12" x14ac:dyDescent="0.4">
      <c r="A38" s="21" t="s">
        <v>177</v>
      </c>
      <c r="B38" s="120">
        <v>114</v>
      </c>
      <c r="C38" s="8">
        <f t="shared" si="5"/>
        <v>0.21428571428571427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164.59999999999994</v>
      </c>
    </row>
    <row r="39" spans="1:12" x14ac:dyDescent="0.4">
      <c r="A39" s="21" t="s">
        <v>178</v>
      </c>
      <c r="B39" s="120">
        <v>104</v>
      </c>
      <c r="C39" s="8">
        <f t="shared" si="5"/>
        <v>0.19548872180451127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156.59999999999994</v>
      </c>
    </row>
    <row r="40" spans="1:12" x14ac:dyDescent="0.4">
      <c r="A40" s="21" t="s">
        <v>179</v>
      </c>
      <c r="B40" s="120">
        <v>77</v>
      </c>
      <c r="C40" s="8">
        <f t="shared" si="5"/>
        <v>0.14473684210526316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110.89999999999993</v>
      </c>
    </row>
    <row r="41" spans="1:12" x14ac:dyDescent="0.4">
      <c r="A41" s="21" t="s">
        <v>181</v>
      </c>
      <c r="B41" s="120">
        <v>47</v>
      </c>
      <c r="C41" s="8">
        <f t="shared" si="5"/>
        <v>8.834586466165413E-2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3</v>
      </c>
      <c r="K41" s="7">
        <v>39</v>
      </c>
      <c r="L41" s="65">
        <v>158.79999999999993</v>
      </c>
    </row>
    <row r="42" spans="1:12" x14ac:dyDescent="0.4">
      <c r="A42" s="21" t="s">
        <v>182</v>
      </c>
      <c r="B42" s="120">
        <v>16</v>
      </c>
      <c r="C42" s="8">
        <f t="shared" si="5"/>
        <v>3.007518796992481E-2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1</v>
      </c>
      <c r="K42" s="7">
        <v>40</v>
      </c>
      <c r="L42" s="65">
        <v>109.59999999999992</v>
      </c>
    </row>
    <row r="43" spans="1:12" x14ac:dyDescent="0.4">
      <c r="A43" s="21" t="s">
        <v>183</v>
      </c>
      <c r="B43" s="120">
        <v>10</v>
      </c>
      <c r="C43" s="8">
        <f t="shared" si="5"/>
        <v>1.8796992481203006E-2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131.59999999999991</v>
      </c>
    </row>
    <row r="44" spans="1:12" x14ac:dyDescent="0.4">
      <c r="A44" s="21" t="s">
        <v>184</v>
      </c>
      <c r="B44" s="120">
        <v>6</v>
      </c>
      <c r="C44" s="8">
        <f t="shared" si="5"/>
        <v>1.1278195488721804E-2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183.6999999999999</v>
      </c>
    </row>
    <row r="45" spans="1:12" x14ac:dyDescent="0.4">
      <c r="A45" s="21" t="s">
        <v>185</v>
      </c>
      <c r="B45" s="120">
        <v>1</v>
      </c>
      <c r="C45" s="8">
        <f t="shared" si="5"/>
        <v>1.8796992481203006E-3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  <c r="K45" s="7">
        <v>43</v>
      </c>
      <c r="L45" s="65">
        <v>211.89999999999989</v>
      </c>
    </row>
    <row r="46" spans="1:12" x14ac:dyDescent="0.4">
      <c r="A46" s="21" t="s">
        <v>186</v>
      </c>
      <c r="B46" s="120">
        <v>3</v>
      </c>
      <c r="C46" s="8">
        <f t="shared" si="5"/>
        <v>5.6390977443609019E-3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3</v>
      </c>
      <c r="K46" s="7">
        <v>44</v>
      </c>
      <c r="L46" s="65">
        <v>232.7999999999999</v>
      </c>
    </row>
    <row r="47" spans="1:12" x14ac:dyDescent="0.4">
      <c r="A47" s="21" t="s">
        <v>187</v>
      </c>
      <c r="B47" s="120">
        <v>0</v>
      </c>
      <c r="C47" s="8">
        <f t="shared" si="5"/>
        <v>0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214.39999999999989</v>
      </c>
    </row>
    <row r="48" spans="1:12" x14ac:dyDescent="0.4">
      <c r="A48" s="23" t="s">
        <v>188</v>
      </c>
      <c r="B48" s="101">
        <v>5</v>
      </c>
      <c r="C48" s="11">
        <f t="shared" si="5"/>
        <v>9.3984962406015032E-3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215.39999999999989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259.19999999999987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272.09999999999985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  <c r="K51" s="7">
        <v>49</v>
      </c>
      <c r="L51" s="65">
        <v>222.79999999999984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248.89999999999984</v>
      </c>
    </row>
    <row r="53" spans="5:12" x14ac:dyDescent="0.4">
      <c r="K53" s="7">
        <v>51</v>
      </c>
      <c r="L53" s="65">
        <v>269.99999999999983</v>
      </c>
    </row>
    <row r="54" spans="5:12" x14ac:dyDescent="0.4">
      <c r="K54" s="7">
        <v>52</v>
      </c>
      <c r="L54" s="65">
        <v>298.09999999999985</v>
      </c>
    </row>
    <row r="55" spans="5:12" x14ac:dyDescent="0.4">
      <c r="K55" s="7">
        <v>53</v>
      </c>
      <c r="L55" s="65">
        <v>324.29999999999984</v>
      </c>
    </row>
    <row r="56" spans="5:12" x14ac:dyDescent="0.4">
      <c r="K56" s="7">
        <v>54</v>
      </c>
      <c r="L56" s="65">
        <v>346.59999999999985</v>
      </c>
    </row>
    <row r="57" spans="5:12" x14ac:dyDescent="0.4">
      <c r="K57" s="7">
        <v>55</v>
      </c>
      <c r="L57" s="65">
        <v>295.09999999999985</v>
      </c>
    </row>
    <row r="58" spans="5:12" x14ac:dyDescent="0.4">
      <c r="K58" s="7">
        <v>56</v>
      </c>
      <c r="L58" s="65">
        <v>319.89999999999986</v>
      </c>
    </row>
    <row r="59" spans="5:12" x14ac:dyDescent="0.4">
      <c r="K59" s="7">
        <v>57</v>
      </c>
      <c r="L59" s="65">
        <v>291.09999999999985</v>
      </c>
    </row>
    <row r="60" spans="5:12" x14ac:dyDescent="0.4">
      <c r="K60" s="7">
        <v>58</v>
      </c>
      <c r="L60" s="65">
        <v>274.39999999999986</v>
      </c>
    </row>
    <row r="61" spans="5:12" x14ac:dyDescent="0.4">
      <c r="K61" s="7">
        <v>59</v>
      </c>
      <c r="L61" s="65">
        <v>261.39999999999986</v>
      </c>
    </row>
    <row r="62" spans="5:12" x14ac:dyDescent="0.4">
      <c r="K62" s="7">
        <v>60</v>
      </c>
      <c r="L62" s="65">
        <v>208.69999999999987</v>
      </c>
    </row>
    <row r="63" spans="5:12" x14ac:dyDescent="0.4">
      <c r="K63" s="7">
        <v>61</v>
      </c>
      <c r="L63" s="65">
        <v>245.89999999999986</v>
      </c>
    </row>
    <row r="64" spans="5:12" x14ac:dyDescent="0.4">
      <c r="K64" s="7">
        <v>62</v>
      </c>
      <c r="L64" s="65">
        <v>193.09999999999985</v>
      </c>
    </row>
    <row r="65" spans="11:12" x14ac:dyDescent="0.4">
      <c r="K65" s="7">
        <v>63</v>
      </c>
      <c r="L65" s="65">
        <v>248.19999999999985</v>
      </c>
    </row>
    <row r="66" spans="11:12" x14ac:dyDescent="0.4">
      <c r="K66" s="7">
        <v>64</v>
      </c>
      <c r="L66" s="65">
        <v>238.99999999999986</v>
      </c>
    </row>
    <row r="67" spans="11:12" x14ac:dyDescent="0.4">
      <c r="K67" s="7">
        <v>65</v>
      </c>
      <c r="L67" s="65">
        <v>274.49999999999989</v>
      </c>
    </row>
    <row r="68" spans="11:12" x14ac:dyDescent="0.4">
      <c r="K68" s="7">
        <v>66</v>
      </c>
      <c r="L68" s="65">
        <v>287.09999999999991</v>
      </c>
    </row>
    <row r="69" spans="11:12" x14ac:dyDescent="0.4">
      <c r="K69" s="7">
        <v>67</v>
      </c>
      <c r="L69" s="65">
        <v>315.7999999999999</v>
      </c>
    </row>
    <row r="70" spans="11:12" x14ac:dyDescent="0.4">
      <c r="K70" s="7">
        <v>68</v>
      </c>
      <c r="L70" s="65">
        <v>350.2999999999999</v>
      </c>
    </row>
    <row r="71" spans="11:12" x14ac:dyDescent="0.4">
      <c r="K71" s="7">
        <v>69</v>
      </c>
      <c r="L71" s="65">
        <v>384.09999999999991</v>
      </c>
    </row>
    <row r="72" spans="11:12" x14ac:dyDescent="0.4">
      <c r="K72" s="7">
        <v>70</v>
      </c>
      <c r="L72" s="65">
        <v>390.59999999999991</v>
      </c>
    </row>
    <row r="73" spans="11:12" x14ac:dyDescent="0.4">
      <c r="K73" s="7">
        <v>71</v>
      </c>
      <c r="L73" s="65">
        <v>387.49999999999989</v>
      </c>
    </row>
    <row r="74" spans="11:12" x14ac:dyDescent="0.4">
      <c r="K74" s="7">
        <v>72</v>
      </c>
      <c r="L74" s="65">
        <v>361.39999999999986</v>
      </c>
    </row>
    <row r="75" spans="11:12" x14ac:dyDescent="0.4">
      <c r="K75" s="7">
        <v>73</v>
      </c>
      <c r="L75" s="65">
        <v>380.79999999999984</v>
      </c>
    </row>
    <row r="76" spans="11:12" x14ac:dyDescent="0.4">
      <c r="K76" s="7">
        <v>74</v>
      </c>
      <c r="L76" s="65">
        <v>327.39999999999986</v>
      </c>
    </row>
    <row r="77" spans="11:12" x14ac:dyDescent="0.4">
      <c r="K77" s="7">
        <v>75</v>
      </c>
      <c r="L77" s="65">
        <v>336.79999999999984</v>
      </c>
    </row>
    <row r="78" spans="11:12" x14ac:dyDescent="0.4">
      <c r="K78" s="7">
        <v>76</v>
      </c>
      <c r="L78" s="65">
        <v>344.09999999999985</v>
      </c>
    </row>
    <row r="79" spans="11:12" x14ac:dyDescent="0.4">
      <c r="K79" s="7">
        <v>77</v>
      </c>
      <c r="L79" s="65">
        <v>375.59999999999985</v>
      </c>
    </row>
    <row r="80" spans="11:12" x14ac:dyDescent="0.4">
      <c r="K80" s="7">
        <v>78</v>
      </c>
      <c r="L80" s="65">
        <v>377.19999999999987</v>
      </c>
    </row>
    <row r="81" spans="11:12" x14ac:dyDescent="0.4">
      <c r="K81" s="7">
        <v>79</v>
      </c>
      <c r="L81" s="65">
        <v>390.49999999999989</v>
      </c>
    </row>
    <row r="82" spans="11:12" x14ac:dyDescent="0.4">
      <c r="K82" s="7">
        <v>80</v>
      </c>
      <c r="L82" s="65">
        <v>369.19999999999987</v>
      </c>
    </row>
    <row r="83" spans="11:12" x14ac:dyDescent="0.4">
      <c r="K83" s="7">
        <v>81</v>
      </c>
      <c r="L83" s="65">
        <v>374.2999999999999</v>
      </c>
    </row>
    <row r="84" spans="11:12" x14ac:dyDescent="0.4">
      <c r="K84" s="7">
        <v>82</v>
      </c>
      <c r="L84" s="65">
        <v>344.69999999999987</v>
      </c>
    </row>
    <row r="85" spans="11:12" x14ac:dyDescent="0.4">
      <c r="K85" s="7">
        <v>83</v>
      </c>
      <c r="L85" s="65">
        <v>328.7999999999999</v>
      </c>
    </row>
    <row r="86" spans="11:12" x14ac:dyDescent="0.4">
      <c r="K86" s="7">
        <v>84</v>
      </c>
      <c r="L86" s="65">
        <v>283.59999999999991</v>
      </c>
    </row>
    <row r="87" spans="11:12" x14ac:dyDescent="0.4">
      <c r="K87" s="7">
        <v>85</v>
      </c>
      <c r="L87" s="65">
        <v>320.99999999999989</v>
      </c>
    </row>
    <row r="88" spans="11:12" x14ac:dyDescent="0.4">
      <c r="K88" s="7">
        <v>86</v>
      </c>
      <c r="L88" s="65">
        <v>317.49999999999989</v>
      </c>
    </row>
    <row r="89" spans="11:12" x14ac:dyDescent="0.4">
      <c r="K89" s="7">
        <v>87</v>
      </c>
      <c r="L89" s="65">
        <v>369.39999999999986</v>
      </c>
    </row>
    <row r="90" spans="11:12" x14ac:dyDescent="0.4">
      <c r="K90" s="7">
        <v>88</v>
      </c>
      <c r="L90" s="65">
        <v>352.29999999999984</v>
      </c>
    </row>
    <row r="91" spans="11:12" x14ac:dyDescent="0.4">
      <c r="K91" s="7">
        <v>89</v>
      </c>
      <c r="L91" s="65">
        <v>356.49999999999983</v>
      </c>
    </row>
    <row r="92" spans="11:12" x14ac:dyDescent="0.4">
      <c r="K92" s="7">
        <v>90</v>
      </c>
      <c r="L92" s="65">
        <v>326.19999999999982</v>
      </c>
    </row>
    <row r="93" spans="11:12" x14ac:dyDescent="0.4">
      <c r="K93" s="7">
        <v>91</v>
      </c>
      <c r="L93" s="65">
        <v>316.5999999999998</v>
      </c>
    </row>
    <row r="94" spans="11:12" x14ac:dyDescent="0.4">
      <c r="K94" s="7">
        <v>92</v>
      </c>
      <c r="L94" s="65">
        <v>267.79999999999978</v>
      </c>
    </row>
    <row r="95" spans="11:12" x14ac:dyDescent="0.4">
      <c r="K95" s="7">
        <v>93</v>
      </c>
      <c r="L95" s="65">
        <v>234.0999999999998</v>
      </c>
    </row>
    <row r="96" spans="11:12" x14ac:dyDescent="0.4">
      <c r="K96" s="7">
        <v>94</v>
      </c>
      <c r="L96" s="65">
        <v>101.19999999999979</v>
      </c>
    </row>
    <row r="97" spans="11:12" x14ac:dyDescent="0.4">
      <c r="K97" s="7">
        <v>95</v>
      </c>
      <c r="L97" s="65">
        <v>71.799999999999784</v>
      </c>
    </row>
    <row r="98" spans="11:12" x14ac:dyDescent="0.4">
      <c r="K98" s="7">
        <v>96</v>
      </c>
      <c r="L98" s="65">
        <v>72.299999999999784</v>
      </c>
    </row>
    <row r="99" spans="11:12" x14ac:dyDescent="0.4">
      <c r="K99" s="7">
        <v>97</v>
      </c>
      <c r="L99" s="65">
        <v>49.899999999999785</v>
      </c>
    </row>
    <row r="100" spans="11:12" x14ac:dyDescent="0.4">
      <c r="K100" s="7">
        <v>98</v>
      </c>
      <c r="L100" s="65">
        <v>36.399999999999785</v>
      </c>
    </row>
    <row r="101" spans="11:12" x14ac:dyDescent="0.4">
      <c r="K101" s="7">
        <v>99</v>
      </c>
      <c r="L101" s="65">
        <v>42.999999999999787</v>
      </c>
    </row>
    <row r="102" spans="11:12" x14ac:dyDescent="0.4">
      <c r="K102" s="7">
        <v>100</v>
      </c>
      <c r="L102" s="65">
        <v>13.399999999999785</v>
      </c>
    </row>
    <row r="103" spans="11:12" x14ac:dyDescent="0.4">
      <c r="K103" s="7">
        <v>101</v>
      </c>
      <c r="L103" s="65">
        <v>-34.400000000000212</v>
      </c>
    </row>
    <row r="104" spans="11:12" x14ac:dyDescent="0.4">
      <c r="K104" s="7">
        <v>102</v>
      </c>
      <c r="L104" s="65">
        <v>-56.500000000000213</v>
      </c>
    </row>
    <row r="105" spans="11:12" x14ac:dyDescent="0.4">
      <c r="K105" s="7">
        <v>103</v>
      </c>
      <c r="L105" s="65">
        <v>-31.500000000000213</v>
      </c>
    </row>
    <row r="106" spans="11:12" x14ac:dyDescent="0.4">
      <c r="K106" s="7">
        <v>104</v>
      </c>
      <c r="L106" s="65">
        <v>-49.900000000000212</v>
      </c>
    </row>
    <row r="107" spans="11:12" x14ac:dyDescent="0.4">
      <c r="K107" s="7">
        <v>105</v>
      </c>
      <c r="L107" s="65">
        <v>-48.80000000000021</v>
      </c>
    </row>
    <row r="108" spans="11:12" x14ac:dyDescent="0.4">
      <c r="K108" s="7">
        <v>106</v>
      </c>
      <c r="L108" s="65">
        <v>-48.900000000000212</v>
      </c>
    </row>
    <row r="109" spans="11:12" x14ac:dyDescent="0.4">
      <c r="K109" s="7">
        <v>107</v>
      </c>
      <c r="L109" s="65">
        <v>-18.500000000000213</v>
      </c>
    </row>
    <row r="110" spans="11:12" x14ac:dyDescent="0.4">
      <c r="K110" s="7">
        <v>108</v>
      </c>
      <c r="L110" s="65">
        <v>-28.200000000000212</v>
      </c>
    </row>
    <row r="111" spans="11:12" x14ac:dyDescent="0.4">
      <c r="K111" s="7">
        <v>109</v>
      </c>
      <c r="L111" s="65">
        <v>31.799999999999788</v>
      </c>
    </row>
    <row r="112" spans="11:12" x14ac:dyDescent="0.4">
      <c r="K112" s="7">
        <v>110</v>
      </c>
      <c r="L112" s="65">
        <v>86.999999999999787</v>
      </c>
    </row>
    <row r="113" spans="11:12" x14ac:dyDescent="0.4">
      <c r="K113" s="7">
        <v>111</v>
      </c>
      <c r="L113" s="65">
        <v>85.999999999999787</v>
      </c>
    </row>
    <row r="114" spans="11:12" x14ac:dyDescent="0.4">
      <c r="K114" s="7">
        <v>112</v>
      </c>
      <c r="L114" s="65">
        <v>85.299999999999784</v>
      </c>
    </row>
    <row r="115" spans="11:12" x14ac:dyDescent="0.4">
      <c r="K115" s="7">
        <v>113</v>
      </c>
      <c r="L115" s="65">
        <v>104.69999999999979</v>
      </c>
    </row>
    <row r="116" spans="11:12" x14ac:dyDescent="0.4">
      <c r="K116" s="7">
        <v>114</v>
      </c>
      <c r="L116" s="65">
        <v>109.99999999999979</v>
      </c>
    </row>
    <row r="117" spans="11:12" x14ac:dyDescent="0.4">
      <c r="K117" s="7">
        <v>115</v>
      </c>
      <c r="L117" s="65">
        <v>138.89999999999978</v>
      </c>
    </row>
    <row r="118" spans="11:12" x14ac:dyDescent="0.4">
      <c r="K118" s="7">
        <v>116</v>
      </c>
      <c r="L118" s="65">
        <v>141.49999999999977</v>
      </c>
    </row>
    <row r="119" spans="11:12" x14ac:dyDescent="0.4">
      <c r="K119" s="7">
        <v>117</v>
      </c>
      <c r="L119" s="65">
        <v>94.499999999999773</v>
      </c>
    </row>
    <row r="120" spans="11:12" x14ac:dyDescent="0.4">
      <c r="K120" s="7">
        <v>118</v>
      </c>
      <c r="L120" s="65">
        <v>93.899999999999778</v>
      </c>
    </row>
    <row r="121" spans="11:12" x14ac:dyDescent="0.4">
      <c r="K121" s="7">
        <v>119</v>
      </c>
      <c r="L121" s="65">
        <v>141.29999999999978</v>
      </c>
    </row>
    <row r="122" spans="11:12" x14ac:dyDescent="0.4">
      <c r="K122" s="7">
        <v>120</v>
      </c>
      <c r="L122" s="65">
        <v>130.5999999999998</v>
      </c>
    </row>
    <row r="123" spans="11:12" x14ac:dyDescent="0.4">
      <c r="K123" s="7">
        <v>121</v>
      </c>
      <c r="L123" s="65">
        <v>125.0999999999998</v>
      </c>
    </row>
    <row r="124" spans="11:12" x14ac:dyDescent="0.4">
      <c r="K124" s="7">
        <v>122</v>
      </c>
      <c r="L124" s="65">
        <v>127.69999999999979</v>
      </c>
    </row>
    <row r="125" spans="11:12" x14ac:dyDescent="0.4">
      <c r="K125" s="7">
        <v>123</v>
      </c>
      <c r="L125" s="65">
        <v>154.4999999999998</v>
      </c>
    </row>
    <row r="126" spans="11:12" x14ac:dyDescent="0.4">
      <c r="K126" s="7">
        <v>124</v>
      </c>
      <c r="L126" s="65">
        <v>172.5999999999998</v>
      </c>
    </row>
    <row r="127" spans="11:12" x14ac:dyDescent="0.4">
      <c r="K127" s="7">
        <v>125</v>
      </c>
      <c r="L127" s="65">
        <v>119.9999999999998</v>
      </c>
    </row>
    <row r="128" spans="11:12" x14ac:dyDescent="0.4">
      <c r="K128" s="7">
        <v>126</v>
      </c>
      <c r="L128" s="65">
        <v>77.999999999999801</v>
      </c>
    </row>
    <row r="129" spans="11:12" x14ac:dyDescent="0.4">
      <c r="K129" s="7">
        <v>127</v>
      </c>
      <c r="L129" s="65">
        <v>83.199999999999804</v>
      </c>
    </row>
    <row r="130" spans="11:12" x14ac:dyDescent="0.4">
      <c r="K130" s="7">
        <v>128</v>
      </c>
      <c r="L130" s="65">
        <v>31.699999999999804</v>
      </c>
    </row>
    <row r="131" spans="11:12" x14ac:dyDescent="0.4">
      <c r="K131" s="7">
        <v>129</v>
      </c>
      <c r="L131" s="65">
        <v>24.699999999999804</v>
      </c>
    </row>
    <row r="132" spans="11:12" x14ac:dyDescent="0.4">
      <c r="K132" s="7">
        <v>130</v>
      </c>
      <c r="L132" s="65">
        <v>11.799999999999804</v>
      </c>
    </row>
    <row r="133" spans="11:12" x14ac:dyDescent="0.4">
      <c r="K133" s="7">
        <v>131</v>
      </c>
      <c r="L133" s="65">
        <v>33.499999999999801</v>
      </c>
    </row>
    <row r="134" spans="11:12" x14ac:dyDescent="0.4">
      <c r="K134" s="7">
        <v>132</v>
      </c>
      <c r="L134" s="65">
        <v>90.399999999999807</v>
      </c>
    </row>
    <row r="135" spans="11:12" x14ac:dyDescent="0.4">
      <c r="K135" s="7">
        <v>133</v>
      </c>
      <c r="L135" s="65">
        <v>91.299999999999812</v>
      </c>
    </row>
    <row r="136" spans="11:12" x14ac:dyDescent="0.4">
      <c r="K136" s="7">
        <v>134</v>
      </c>
      <c r="L136" s="65">
        <v>55.699999999999811</v>
      </c>
    </row>
    <row r="137" spans="11:12" x14ac:dyDescent="0.4">
      <c r="K137" s="7">
        <v>135</v>
      </c>
      <c r="L137" s="65">
        <v>47.59999999999981</v>
      </c>
    </row>
    <row r="138" spans="11:12" x14ac:dyDescent="0.4">
      <c r="K138" s="7">
        <v>136</v>
      </c>
      <c r="L138" s="65">
        <v>22.799999999999809</v>
      </c>
    </row>
    <row r="139" spans="11:12" x14ac:dyDescent="0.4">
      <c r="K139" s="7">
        <v>137</v>
      </c>
      <c r="L139" s="65">
        <v>58.999999999999815</v>
      </c>
    </row>
    <row r="140" spans="11:12" x14ac:dyDescent="0.4">
      <c r="K140" s="7">
        <v>138</v>
      </c>
      <c r="L140" s="65">
        <v>61.099999999999817</v>
      </c>
    </row>
    <row r="141" spans="11:12" x14ac:dyDescent="0.4">
      <c r="K141" s="7">
        <v>139</v>
      </c>
      <c r="L141" s="65">
        <v>32.099999999999817</v>
      </c>
    </row>
    <row r="142" spans="11:12" x14ac:dyDescent="0.4">
      <c r="K142" s="7">
        <v>140</v>
      </c>
      <c r="L142" s="65">
        <v>11.899999999999817</v>
      </c>
    </row>
    <row r="143" spans="11:12" x14ac:dyDescent="0.4">
      <c r="K143" s="7">
        <v>141</v>
      </c>
      <c r="L143" s="65">
        <v>-18.100000000000183</v>
      </c>
    </row>
    <row r="144" spans="11:12" x14ac:dyDescent="0.4">
      <c r="K144" s="7">
        <v>142</v>
      </c>
      <c r="L144" s="65">
        <v>30.699999999999815</v>
      </c>
    </row>
    <row r="145" spans="11:12" x14ac:dyDescent="0.4">
      <c r="K145" s="7">
        <v>143</v>
      </c>
      <c r="L145" s="65">
        <v>61.399999999999814</v>
      </c>
    </row>
    <row r="146" spans="11:12" x14ac:dyDescent="0.4">
      <c r="K146" s="7">
        <v>144</v>
      </c>
      <c r="L146" s="65">
        <v>21.799999999999812</v>
      </c>
    </row>
    <row r="147" spans="11:12" x14ac:dyDescent="0.4">
      <c r="K147" s="7">
        <v>145</v>
      </c>
      <c r="L147" s="65">
        <v>56.199999999999811</v>
      </c>
    </row>
    <row r="148" spans="11:12" x14ac:dyDescent="0.4">
      <c r="K148" s="7">
        <v>146</v>
      </c>
      <c r="L148" s="65">
        <v>21.799999999999812</v>
      </c>
    </row>
    <row r="149" spans="11:12" x14ac:dyDescent="0.4">
      <c r="K149" s="7">
        <v>147</v>
      </c>
      <c r="L149" s="65">
        <v>-1.6000000000001862</v>
      </c>
    </row>
    <row r="150" spans="11:12" x14ac:dyDescent="0.4">
      <c r="K150" s="7">
        <v>148</v>
      </c>
      <c r="L150" s="65">
        <v>58.999999999999815</v>
      </c>
    </row>
    <row r="151" spans="11:12" x14ac:dyDescent="0.4">
      <c r="K151" s="7">
        <v>149</v>
      </c>
      <c r="L151" s="65">
        <v>20.499999999999815</v>
      </c>
    </row>
    <row r="152" spans="11:12" x14ac:dyDescent="0.4">
      <c r="K152" s="7">
        <v>150</v>
      </c>
      <c r="L152" s="65">
        <v>-14.500000000000185</v>
      </c>
    </row>
    <row r="153" spans="11:12" x14ac:dyDescent="0.4">
      <c r="K153" s="7">
        <v>151</v>
      </c>
      <c r="L153" s="65">
        <v>-9.1000000000001844</v>
      </c>
    </row>
    <row r="154" spans="11:12" x14ac:dyDescent="0.4">
      <c r="K154" s="7">
        <v>152</v>
      </c>
      <c r="L154" s="65">
        <v>-44.100000000000186</v>
      </c>
    </row>
    <row r="155" spans="11:12" x14ac:dyDescent="0.4">
      <c r="K155" s="7">
        <v>153</v>
      </c>
      <c r="L155" s="65">
        <v>-43.800000000000189</v>
      </c>
    </row>
    <row r="156" spans="11:12" x14ac:dyDescent="0.4">
      <c r="K156" s="7">
        <v>154</v>
      </c>
      <c r="L156" s="65">
        <v>-31.800000000000189</v>
      </c>
    </row>
    <row r="157" spans="11:12" x14ac:dyDescent="0.4">
      <c r="K157" s="7">
        <v>155</v>
      </c>
      <c r="L157" s="65">
        <v>7.8999999999998138</v>
      </c>
    </row>
    <row r="158" spans="11:12" x14ac:dyDescent="0.4">
      <c r="K158" s="7">
        <v>156</v>
      </c>
      <c r="L158" s="65">
        <v>-12.100000000000186</v>
      </c>
    </row>
    <row r="159" spans="11:12" x14ac:dyDescent="0.4">
      <c r="K159" s="7">
        <v>157</v>
      </c>
      <c r="L159" s="65">
        <v>8.8999999999998138</v>
      </c>
    </row>
    <row r="160" spans="11:12" x14ac:dyDescent="0.4">
      <c r="K160" s="7">
        <v>158</v>
      </c>
      <c r="L160" s="65">
        <v>47.099999999999817</v>
      </c>
    </row>
    <row r="161" spans="11:12" x14ac:dyDescent="0.4">
      <c r="K161" s="7">
        <v>159</v>
      </c>
      <c r="L161" s="65">
        <v>18.399999999999817</v>
      </c>
    </row>
    <row r="162" spans="11:12" x14ac:dyDescent="0.4">
      <c r="K162" s="7">
        <v>160</v>
      </c>
      <c r="L162" s="65">
        <v>-25.600000000000183</v>
      </c>
    </row>
    <row r="163" spans="11:12" x14ac:dyDescent="0.4">
      <c r="K163" s="7">
        <v>161</v>
      </c>
      <c r="L163" s="65">
        <v>-44.500000000000185</v>
      </c>
    </row>
    <row r="164" spans="11:12" x14ac:dyDescent="0.4">
      <c r="K164" s="7">
        <v>162</v>
      </c>
      <c r="L164" s="65">
        <v>-22.200000000000184</v>
      </c>
    </row>
    <row r="165" spans="11:12" x14ac:dyDescent="0.4">
      <c r="K165" s="7">
        <v>163</v>
      </c>
      <c r="L165" s="65">
        <v>25.099999999999813</v>
      </c>
    </row>
    <row r="166" spans="11:12" x14ac:dyDescent="0.4">
      <c r="K166" s="7">
        <v>164</v>
      </c>
      <c r="L166" s="65">
        <v>-9.4000000000001869</v>
      </c>
    </row>
    <row r="167" spans="11:12" x14ac:dyDescent="0.4">
      <c r="K167" s="7">
        <v>165</v>
      </c>
      <c r="L167" s="65">
        <v>-48.100000000000193</v>
      </c>
    </row>
    <row r="168" spans="11:12" x14ac:dyDescent="0.4">
      <c r="K168" s="7">
        <v>166</v>
      </c>
      <c r="L168" s="65">
        <v>-22.900000000000194</v>
      </c>
    </row>
    <row r="169" spans="11:12" x14ac:dyDescent="0.4">
      <c r="K169" s="7">
        <v>167</v>
      </c>
      <c r="L169" s="65">
        <v>-2.8000000000001926</v>
      </c>
    </row>
    <row r="170" spans="11:12" x14ac:dyDescent="0.4">
      <c r="K170" s="7">
        <v>168</v>
      </c>
      <c r="L170" s="65">
        <v>21.399999999999807</v>
      </c>
    </row>
    <row r="171" spans="11:12" x14ac:dyDescent="0.4">
      <c r="K171" s="7">
        <v>169</v>
      </c>
      <c r="L171" s="65">
        <v>20.799999999999805</v>
      </c>
    </row>
    <row r="172" spans="11:12" x14ac:dyDescent="0.4">
      <c r="K172" s="7">
        <v>170</v>
      </c>
      <c r="L172" s="65">
        <v>-3.0000000000001954</v>
      </c>
    </row>
    <row r="173" spans="11:12" x14ac:dyDescent="0.4">
      <c r="K173" s="7">
        <v>171</v>
      </c>
      <c r="L173" s="65">
        <v>-27.400000000000194</v>
      </c>
    </row>
    <row r="174" spans="11:12" x14ac:dyDescent="0.4">
      <c r="K174" s="7">
        <v>172</v>
      </c>
      <c r="L174" s="65">
        <v>-60.500000000000199</v>
      </c>
    </row>
    <row r="175" spans="11:12" x14ac:dyDescent="0.4">
      <c r="K175" s="7">
        <v>173</v>
      </c>
      <c r="L175" s="65">
        <v>-71.400000000000205</v>
      </c>
    </row>
    <row r="176" spans="11:12" x14ac:dyDescent="0.4">
      <c r="K176" s="7">
        <v>174</v>
      </c>
      <c r="L176" s="65">
        <v>-41.100000000000207</v>
      </c>
    </row>
    <row r="177" spans="11:12" x14ac:dyDescent="0.4">
      <c r="K177" s="7">
        <v>175</v>
      </c>
      <c r="L177" s="65">
        <v>-68.600000000000207</v>
      </c>
    </row>
    <row r="178" spans="11:12" x14ac:dyDescent="0.4">
      <c r="K178" s="7">
        <v>176</v>
      </c>
      <c r="L178" s="65">
        <v>-6.0000000000002061</v>
      </c>
    </row>
    <row r="179" spans="11:12" x14ac:dyDescent="0.4">
      <c r="K179" s="7">
        <v>177</v>
      </c>
      <c r="L179" s="65">
        <v>-11.000000000000206</v>
      </c>
    </row>
    <row r="180" spans="11:12" x14ac:dyDescent="0.4">
      <c r="K180" s="7">
        <v>178</v>
      </c>
      <c r="L180" s="65">
        <v>-47.000000000000206</v>
      </c>
    </row>
    <row r="181" spans="11:12" x14ac:dyDescent="0.4">
      <c r="K181" s="7">
        <v>179</v>
      </c>
      <c r="L181" s="65">
        <v>-101.70000000000022</v>
      </c>
    </row>
    <row r="182" spans="11:12" x14ac:dyDescent="0.4">
      <c r="K182" s="7">
        <v>180</v>
      </c>
      <c r="L182" s="65">
        <v>-80.80000000000021</v>
      </c>
    </row>
    <row r="183" spans="11:12" x14ac:dyDescent="0.4">
      <c r="K183" s="7">
        <v>181</v>
      </c>
      <c r="L183" s="65">
        <v>-90.600000000000207</v>
      </c>
    </row>
    <row r="184" spans="11:12" x14ac:dyDescent="0.4">
      <c r="K184" s="7">
        <v>182</v>
      </c>
      <c r="L184" s="65">
        <v>-97.500000000000213</v>
      </c>
    </row>
    <row r="185" spans="11:12" x14ac:dyDescent="0.4">
      <c r="K185" s="7">
        <v>183</v>
      </c>
      <c r="L185" s="65">
        <v>-92.30000000000021</v>
      </c>
    </row>
    <row r="186" spans="11:12" x14ac:dyDescent="0.4">
      <c r="K186" s="7">
        <v>184</v>
      </c>
      <c r="L186" s="65">
        <v>-27.200000000000216</v>
      </c>
    </row>
    <row r="187" spans="11:12" x14ac:dyDescent="0.4">
      <c r="K187" s="7">
        <v>185</v>
      </c>
      <c r="L187" s="65">
        <v>-18.500000000000217</v>
      </c>
    </row>
    <row r="188" spans="11:12" x14ac:dyDescent="0.4">
      <c r="K188" s="7">
        <v>186</v>
      </c>
      <c r="L188" s="65">
        <v>-29.000000000000217</v>
      </c>
    </row>
    <row r="189" spans="11:12" x14ac:dyDescent="0.4">
      <c r="K189" s="7">
        <v>187</v>
      </c>
      <c r="L189" s="65">
        <v>-28.600000000000218</v>
      </c>
    </row>
    <row r="190" spans="11:12" x14ac:dyDescent="0.4">
      <c r="K190" s="7">
        <v>188</v>
      </c>
      <c r="L190" s="65">
        <v>-45.700000000000216</v>
      </c>
    </row>
    <row r="191" spans="11:12" x14ac:dyDescent="0.4">
      <c r="K191" s="7">
        <v>189</v>
      </c>
      <c r="L191" s="65">
        <v>-89.100000000000222</v>
      </c>
    </row>
    <row r="192" spans="11:12" x14ac:dyDescent="0.4">
      <c r="K192" s="7">
        <v>190</v>
      </c>
      <c r="L192" s="65">
        <v>-72.200000000000216</v>
      </c>
    </row>
    <row r="193" spans="11:12" x14ac:dyDescent="0.4">
      <c r="K193" s="7">
        <v>191</v>
      </c>
      <c r="L193" s="65">
        <v>-39.800000000000217</v>
      </c>
    </row>
    <row r="194" spans="11:12" x14ac:dyDescent="0.4">
      <c r="K194" s="7">
        <v>192</v>
      </c>
      <c r="L194" s="65">
        <v>-59.500000000000213</v>
      </c>
    </row>
    <row r="195" spans="11:12" x14ac:dyDescent="0.4">
      <c r="K195" s="7">
        <v>193</v>
      </c>
      <c r="L195" s="65">
        <v>-34.600000000000215</v>
      </c>
    </row>
    <row r="196" spans="11:12" x14ac:dyDescent="0.4">
      <c r="K196" s="7">
        <v>194</v>
      </c>
      <c r="L196" s="65">
        <v>5.9999999999997868</v>
      </c>
    </row>
    <row r="197" spans="11:12" x14ac:dyDescent="0.4">
      <c r="K197" s="7">
        <v>195</v>
      </c>
      <c r="L197" s="65">
        <v>45.099999999999788</v>
      </c>
    </row>
    <row r="198" spans="11:12" x14ac:dyDescent="0.4">
      <c r="K198" s="7">
        <v>196</v>
      </c>
      <c r="L198" s="65">
        <v>87.599999999999795</v>
      </c>
    </row>
    <row r="199" spans="11:12" x14ac:dyDescent="0.4">
      <c r="K199" s="7">
        <v>197</v>
      </c>
      <c r="L199" s="65">
        <v>87.899999999999793</v>
      </c>
    </row>
    <row r="200" spans="11:12" x14ac:dyDescent="0.4">
      <c r="K200" s="7">
        <v>198</v>
      </c>
      <c r="L200" s="65">
        <v>104.79999999999978</v>
      </c>
    </row>
    <row r="201" spans="11:12" x14ac:dyDescent="0.4">
      <c r="K201" s="7">
        <v>199</v>
      </c>
      <c r="L201" s="65">
        <v>70.299999999999784</v>
      </c>
    </row>
    <row r="202" spans="11:12" x14ac:dyDescent="0.4">
      <c r="K202" s="7">
        <v>200</v>
      </c>
      <c r="L202" s="65">
        <v>44.699999999999783</v>
      </c>
    </row>
    <row r="203" spans="11:12" x14ac:dyDescent="0.4">
      <c r="K203" s="7">
        <v>201</v>
      </c>
      <c r="L203" s="65">
        <v>29.299999999999784</v>
      </c>
    </row>
    <row r="204" spans="11:12" x14ac:dyDescent="0.4">
      <c r="K204" s="7">
        <v>202</v>
      </c>
      <c r="L204" s="65">
        <v>21.899999999999785</v>
      </c>
    </row>
  </sheetData>
  <sortState xmlns:xlrd2="http://schemas.microsoft.com/office/spreadsheetml/2017/richdata2" ref="E2:I205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A5E79-1421-4550-8D18-50136F9748EC}">
  <sheetPr codeName="Sheet13"/>
  <dimension ref="A1:Q123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169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121</v>
      </c>
      <c r="C2" s="132"/>
      <c r="E2" s="28" t="s">
        <v>66</v>
      </c>
      <c r="F2" s="25" t="s">
        <v>22</v>
      </c>
      <c r="G2" s="13">
        <v>213</v>
      </c>
      <c r="H2" s="91">
        <f t="shared" ref="H2:H33" si="0">IF(B$19=0,0,G2/B$19)</f>
        <v>0.78308823529411764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1">IF(P2=0,0,Q2/P2)</f>
        <v>-1004.1666666666666</v>
      </c>
      <c r="P2" s="80">
        <v>120</v>
      </c>
      <c r="Q2" s="67">
        <v>-120500</v>
      </c>
    </row>
    <row r="3" spans="1:17" x14ac:dyDescent="0.4">
      <c r="A3" s="21" t="s">
        <v>8</v>
      </c>
      <c r="B3" s="133">
        <v>1026</v>
      </c>
      <c r="C3" s="134"/>
      <c r="E3" s="29" t="s">
        <v>64</v>
      </c>
      <c r="F3" s="26" t="s">
        <v>20</v>
      </c>
      <c r="G3" s="14">
        <v>149</v>
      </c>
      <c r="H3" s="92">
        <f t="shared" si="0"/>
        <v>0.54779411764705888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1"/>
        <v>-457.14285714285717</v>
      </c>
      <c r="P3" s="81">
        <v>119</v>
      </c>
      <c r="Q3" s="68">
        <v>-54400</v>
      </c>
    </row>
    <row r="4" spans="1:17" x14ac:dyDescent="0.4">
      <c r="A4" s="21" t="s">
        <v>6</v>
      </c>
      <c r="B4" s="135">
        <v>-766.9</v>
      </c>
      <c r="C4" s="136"/>
      <c r="E4" s="29" t="s">
        <v>72</v>
      </c>
      <c r="F4" s="26" t="s">
        <v>27</v>
      </c>
      <c r="G4" s="14">
        <v>142</v>
      </c>
      <c r="H4" s="92">
        <f t="shared" si="0"/>
        <v>0.5220588235294118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1"/>
        <v>172.97297297297297</v>
      </c>
      <c r="P4" s="81">
        <v>111</v>
      </c>
      <c r="Q4" s="68">
        <v>19200</v>
      </c>
    </row>
    <row r="5" spans="1:17" x14ac:dyDescent="0.4">
      <c r="A5" s="21" t="s">
        <v>7</v>
      </c>
      <c r="B5" s="123">
        <f>IF(B$2=0,0,B$4/B$2)</f>
        <v>-6.3380165289256194</v>
      </c>
      <c r="C5" s="124"/>
      <c r="E5" s="29" t="s">
        <v>163</v>
      </c>
      <c r="F5" s="26" t="s">
        <v>164</v>
      </c>
      <c r="G5" s="14">
        <v>113</v>
      </c>
      <c r="H5" s="92">
        <f t="shared" si="0"/>
        <v>0.41544117647058826</v>
      </c>
      <c r="I5" s="60">
        <v>5</v>
      </c>
      <c r="K5" s="7">
        <v>3</v>
      </c>
      <c r="L5" s="65">
        <v>-17.599999999999998</v>
      </c>
      <c r="N5" s="78" t="s">
        <v>133</v>
      </c>
      <c r="O5" s="84">
        <f t="shared" si="1"/>
        <v>-759.63302752293578</v>
      </c>
      <c r="P5" s="81">
        <v>109</v>
      </c>
      <c r="Q5" s="68">
        <v>-82800</v>
      </c>
    </row>
    <row r="6" spans="1:17" x14ac:dyDescent="0.4">
      <c r="A6" s="21" t="s">
        <v>1</v>
      </c>
      <c r="B6" s="137">
        <f>IF(B$2=0,0,(B$7*1+B$8*2+B$9*3)/B$2)</f>
        <v>2.165289256198347</v>
      </c>
      <c r="C6" s="138"/>
      <c r="E6" s="29" t="s">
        <v>68</v>
      </c>
      <c r="F6" s="26" t="s">
        <v>12</v>
      </c>
      <c r="G6" s="14">
        <v>94</v>
      </c>
      <c r="H6" s="92">
        <f t="shared" si="0"/>
        <v>0.34558823529411764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1"/>
        <v>-1965.3846153846155</v>
      </c>
      <c r="P6" s="81">
        <v>104</v>
      </c>
      <c r="Q6" s="68">
        <v>-204400</v>
      </c>
    </row>
    <row r="7" spans="1:17" x14ac:dyDescent="0.4">
      <c r="A7" s="21" t="s">
        <v>2</v>
      </c>
      <c r="B7" s="14">
        <v>28</v>
      </c>
      <c r="C7" s="8">
        <f t="shared" ref="C7:C14" si="2">IF(B$2=0,0,B7/B$2)</f>
        <v>0.23140495867768596</v>
      </c>
      <c r="E7" s="29" t="s">
        <v>67</v>
      </c>
      <c r="F7" s="26" t="s">
        <v>23</v>
      </c>
      <c r="G7" s="14">
        <v>81</v>
      </c>
      <c r="H7" s="92">
        <f t="shared" si="0"/>
        <v>0.29779411764705882</v>
      </c>
      <c r="I7" s="60">
        <v>7</v>
      </c>
      <c r="K7" s="7">
        <v>5</v>
      </c>
      <c r="L7" s="65">
        <v>-33.699999999999989</v>
      </c>
      <c r="N7" s="79" t="s">
        <v>135</v>
      </c>
      <c r="O7" s="85">
        <f t="shared" si="1"/>
        <v>-1465.934065934066</v>
      </c>
      <c r="P7" s="82">
        <v>91</v>
      </c>
      <c r="Q7" s="69">
        <v>-133400</v>
      </c>
    </row>
    <row r="8" spans="1:17" x14ac:dyDescent="0.4">
      <c r="A8" s="21" t="s">
        <v>3</v>
      </c>
      <c r="B8" s="14">
        <v>45</v>
      </c>
      <c r="C8" s="8">
        <f t="shared" si="2"/>
        <v>0.37190082644628097</v>
      </c>
      <c r="E8" s="29" t="s">
        <v>69</v>
      </c>
      <c r="F8" s="26" t="s">
        <v>24</v>
      </c>
      <c r="G8" s="14">
        <v>41</v>
      </c>
      <c r="H8" s="92">
        <f t="shared" si="0"/>
        <v>0.15073529411764705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">
      <c r="A9" s="22" t="s">
        <v>4</v>
      </c>
      <c r="B9" s="15">
        <v>48</v>
      </c>
      <c r="C9" s="9">
        <f t="shared" si="2"/>
        <v>0.39669421487603307</v>
      </c>
      <c r="E9" s="29" t="s">
        <v>89</v>
      </c>
      <c r="F9" s="26" t="s">
        <v>44</v>
      </c>
      <c r="G9" s="14">
        <v>33</v>
      </c>
      <c r="H9" s="92">
        <f t="shared" si="0"/>
        <v>0.12132352941176471</v>
      </c>
      <c r="I9" s="60">
        <v>9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27.692857142857143</v>
      </c>
      <c r="C10" s="114">
        <v>775.4</v>
      </c>
      <c r="E10" s="29" t="s">
        <v>65</v>
      </c>
      <c r="F10" s="26" t="s">
        <v>21</v>
      </c>
      <c r="G10" s="14">
        <v>31</v>
      </c>
      <c r="H10" s="92">
        <f t="shared" si="0"/>
        <v>0.11397058823529412</v>
      </c>
      <c r="I10" s="60">
        <v>7</v>
      </c>
      <c r="K10" s="7">
        <v>8</v>
      </c>
      <c r="L10" s="65">
        <v>-62.999999999999993</v>
      </c>
      <c r="N10" s="77" t="s">
        <v>154</v>
      </c>
      <c r="O10" s="86">
        <f>IF(P10=0,0,Q10/P10)</f>
        <v>-8.3795918367346971</v>
      </c>
      <c r="P10" s="80">
        <v>49</v>
      </c>
      <c r="Q10" s="71">
        <v>-410.60000000000014</v>
      </c>
    </row>
    <row r="11" spans="1:17" x14ac:dyDescent="0.4">
      <c r="A11" s="22" t="s">
        <v>204</v>
      </c>
      <c r="B11" s="113">
        <f>IF(B8=0,0,C11/B8)</f>
        <v>1.0733333333333333</v>
      </c>
      <c r="C11" s="114">
        <v>48.3</v>
      </c>
      <c r="E11" s="29" t="s">
        <v>70</v>
      </c>
      <c r="F11" s="26" t="s">
        <v>25</v>
      </c>
      <c r="G11" s="14">
        <v>30</v>
      </c>
      <c r="H11" s="92">
        <f t="shared" si="0"/>
        <v>0.11029411764705882</v>
      </c>
      <c r="I11" s="60">
        <v>6</v>
      </c>
      <c r="K11" s="7">
        <v>9</v>
      </c>
      <c r="L11" s="65">
        <v>-74.199999999999989</v>
      </c>
      <c r="N11" s="78" t="s">
        <v>155</v>
      </c>
      <c r="O11" s="87">
        <f>IF(P11=0,0,Q11/P11)</f>
        <v>-2.6472222222222235</v>
      </c>
      <c r="P11" s="81">
        <v>36</v>
      </c>
      <c r="Q11" s="72">
        <v>-95.30000000000004</v>
      </c>
    </row>
    <row r="12" spans="1:17" x14ac:dyDescent="0.4">
      <c r="A12" s="22" t="s">
        <v>205</v>
      </c>
      <c r="B12" s="113">
        <f>IF(B9=0,0,C12/B9)</f>
        <v>-33.137499999999989</v>
      </c>
      <c r="C12" s="114">
        <v>-1590.5999999999995</v>
      </c>
      <c r="E12" s="29" t="s">
        <v>83</v>
      </c>
      <c r="F12" s="26" t="s">
        <v>38</v>
      </c>
      <c r="G12" s="14">
        <v>15</v>
      </c>
      <c r="H12" s="92">
        <f t="shared" si="0"/>
        <v>5.514705882352941E-2</v>
      </c>
      <c r="I12" s="60">
        <v>5</v>
      </c>
      <c r="K12" s="7">
        <v>10</v>
      </c>
      <c r="L12" s="65">
        <v>-117.19999999999999</v>
      </c>
      <c r="N12" s="79" t="s">
        <v>156</v>
      </c>
      <c r="O12" s="88">
        <f>IF(P12=0,0,Q12/P12)</f>
        <v>-7.2499999999999982</v>
      </c>
      <c r="P12" s="82">
        <v>36</v>
      </c>
      <c r="Q12" s="73">
        <v>-260.99999999999994</v>
      </c>
    </row>
    <row r="13" spans="1:17" x14ac:dyDescent="0.4">
      <c r="A13" s="22" t="s">
        <v>206</v>
      </c>
      <c r="B13" s="123">
        <f>AVERAGE(B10:B12)</f>
        <v>-1.4571031746031704</v>
      </c>
      <c r="C13" s="124"/>
      <c r="E13" s="29" t="s">
        <v>86</v>
      </c>
      <c r="F13" s="26" t="s">
        <v>41</v>
      </c>
      <c r="G13" s="14">
        <v>13</v>
      </c>
      <c r="H13" s="92">
        <f t="shared" si="0"/>
        <v>4.779411764705882E-2</v>
      </c>
      <c r="I13" s="60">
        <v>6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9</v>
      </c>
      <c r="C14" s="11">
        <f t="shared" si="2"/>
        <v>7.43801652892562E-2</v>
      </c>
      <c r="E14" s="29" t="s">
        <v>71</v>
      </c>
      <c r="F14" s="26" t="s">
        <v>26</v>
      </c>
      <c r="G14" s="14">
        <v>10</v>
      </c>
      <c r="H14" s="92">
        <f t="shared" si="0"/>
        <v>3.6764705882352942E-2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274</v>
      </c>
      <c r="C15" s="12">
        <f>IF(B$3=0,0,B15/B$3)</f>
        <v>0.26705653021442494</v>
      </c>
      <c r="E15" s="29" t="s">
        <v>78</v>
      </c>
      <c r="F15" s="26" t="s">
        <v>33</v>
      </c>
      <c r="G15" s="14">
        <v>9</v>
      </c>
      <c r="H15" s="92">
        <f t="shared" si="0"/>
        <v>3.3088235294117647E-2</v>
      </c>
      <c r="I15" s="60">
        <v>5</v>
      </c>
      <c r="K15" s="7">
        <v>13</v>
      </c>
      <c r="L15" s="65">
        <v>-207.3</v>
      </c>
      <c r="N15" s="77" t="s">
        <v>195</v>
      </c>
      <c r="O15" s="86">
        <f t="shared" ref="O15:O23" si="3">IF(P15=0,0,Q15/P15)</f>
        <v>25.287499999999998</v>
      </c>
      <c r="P15" s="80">
        <v>8</v>
      </c>
      <c r="Q15" s="71">
        <v>202.29999999999998</v>
      </c>
    </row>
    <row r="16" spans="1:17" x14ac:dyDescent="0.4">
      <c r="A16" s="21" t="s">
        <v>118</v>
      </c>
      <c r="B16" s="14">
        <v>205</v>
      </c>
      <c r="C16" s="8">
        <f>IF(B$3=0,0,B16/B$3)</f>
        <v>0.19980506822612085</v>
      </c>
      <c r="E16" s="29" t="s">
        <v>81</v>
      </c>
      <c r="F16" s="26" t="s">
        <v>36</v>
      </c>
      <c r="G16" s="14">
        <v>6</v>
      </c>
      <c r="H16" s="92">
        <f t="shared" si="0"/>
        <v>2.2058823529411766E-2</v>
      </c>
      <c r="I16" s="60">
        <v>6</v>
      </c>
      <c r="K16" s="7">
        <v>14</v>
      </c>
      <c r="L16" s="65">
        <v>-204.8</v>
      </c>
      <c r="N16" s="78" t="s">
        <v>158</v>
      </c>
      <c r="O16" s="87">
        <f t="shared" si="3"/>
        <v>2.623809523809526</v>
      </c>
      <c r="P16" s="81">
        <v>21</v>
      </c>
      <c r="Q16" s="72">
        <v>55.100000000000051</v>
      </c>
    </row>
    <row r="17" spans="1:17" x14ac:dyDescent="0.4">
      <c r="A17" s="20" t="s">
        <v>123</v>
      </c>
      <c r="B17" s="13">
        <f>B23</f>
        <v>149</v>
      </c>
      <c r="C17" s="6">
        <f>IF(B$15=0,0,B17/B$15)</f>
        <v>0.54379562043795615</v>
      </c>
      <c r="E17" s="29" t="s">
        <v>79</v>
      </c>
      <c r="F17" s="26" t="s">
        <v>34</v>
      </c>
      <c r="G17" s="14">
        <v>4</v>
      </c>
      <c r="H17" s="92">
        <f t="shared" si="0"/>
        <v>1.4705882352941176E-2</v>
      </c>
      <c r="I17" s="60">
        <v>6</v>
      </c>
      <c r="K17" s="7">
        <v>15</v>
      </c>
      <c r="L17" s="65">
        <v>-221.5</v>
      </c>
      <c r="N17" s="78" t="s">
        <v>167</v>
      </c>
      <c r="O17" s="87">
        <f t="shared" si="3"/>
        <v>0.53846153846154066</v>
      </c>
      <c r="P17" s="81">
        <v>26</v>
      </c>
      <c r="Q17" s="72">
        <v>14.000000000000057</v>
      </c>
    </row>
    <row r="18" spans="1:17" x14ac:dyDescent="0.4">
      <c r="A18" s="20" t="s">
        <v>124</v>
      </c>
      <c r="B18" s="13">
        <f>B24</f>
        <v>83</v>
      </c>
      <c r="C18" s="6">
        <f>IF(B$16=0,0,B18/B$16)</f>
        <v>0.40487804878048783</v>
      </c>
      <c r="E18" s="29" t="s">
        <v>159</v>
      </c>
      <c r="F18" s="26" t="s">
        <v>160</v>
      </c>
      <c r="G18" s="14">
        <v>4</v>
      </c>
      <c r="H18" s="92">
        <f t="shared" si="0"/>
        <v>1.4705882352941176E-2</v>
      </c>
      <c r="I18" s="60">
        <v>6</v>
      </c>
      <c r="K18" s="7">
        <v>16</v>
      </c>
      <c r="L18" s="65">
        <v>-224.3</v>
      </c>
      <c r="N18" s="78" t="s">
        <v>194</v>
      </c>
      <c r="O18" s="87">
        <f t="shared" si="3"/>
        <v>2.3076923076924088E-2</v>
      </c>
      <c r="P18" s="81">
        <v>13</v>
      </c>
      <c r="Q18" s="72">
        <v>0.30000000000001315</v>
      </c>
    </row>
    <row r="19" spans="1:17" x14ac:dyDescent="0.4">
      <c r="A19" s="20" t="s">
        <v>10</v>
      </c>
      <c r="B19" s="13">
        <f>B22+B21</f>
        <v>272</v>
      </c>
      <c r="C19" s="6">
        <f>IF(B$3=0,0,B19/B$3)</f>
        <v>0.26510721247563351</v>
      </c>
      <c r="E19" s="29" t="s">
        <v>75</v>
      </c>
      <c r="F19" s="26" t="s">
        <v>30</v>
      </c>
      <c r="G19" s="14">
        <v>3</v>
      </c>
      <c r="H19" s="92">
        <f t="shared" si="0"/>
        <v>1.1029411764705883E-2</v>
      </c>
      <c r="I19" s="60">
        <v>3</v>
      </c>
      <c r="K19" s="7">
        <v>17</v>
      </c>
      <c r="L19" s="65">
        <v>-251.4</v>
      </c>
      <c r="N19" s="78" t="s">
        <v>168</v>
      </c>
      <c r="O19" s="87">
        <f t="shared" si="3"/>
        <v>-7.5862068965517233</v>
      </c>
      <c r="P19" s="81">
        <v>29</v>
      </c>
      <c r="Q19" s="72">
        <v>-219.99999999999997</v>
      </c>
    </row>
    <row r="20" spans="1:17" x14ac:dyDescent="0.4">
      <c r="A20" s="21" t="s">
        <v>13</v>
      </c>
      <c r="B20" s="14">
        <v>187</v>
      </c>
      <c r="C20" s="8">
        <f>IF(B$3=0,0,B20/B$3)</f>
        <v>0.18226120857699804</v>
      </c>
      <c r="E20" s="29" t="s">
        <v>85</v>
      </c>
      <c r="F20" s="26" t="s">
        <v>40</v>
      </c>
      <c r="G20" s="14">
        <v>1</v>
      </c>
      <c r="H20" s="92">
        <f t="shared" si="0"/>
        <v>3.6764705882352941E-3</v>
      </c>
      <c r="I20" s="60">
        <v>7</v>
      </c>
      <c r="K20" s="7">
        <v>18</v>
      </c>
      <c r="L20" s="65">
        <v>-240</v>
      </c>
      <c r="N20" s="78" t="s">
        <v>126</v>
      </c>
      <c r="O20" s="87">
        <f t="shared" si="3"/>
        <v>-14.654430379746833</v>
      </c>
      <c r="P20" s="81">
        <v>79</v>
      </c>
      <c r="Q20" s="72">
        <v>-1157.6999999999998</v>
      </c>
    </row>
    <row r="21" spans="1:17" x14ac:dyDescent="0.4">
      <c r="A21" s="21" t="s">
        <v>12</v>
      </c>
      <c r="B21" s="14">
        <v>127</v>
      </c>
      <c r="C21" s="8">
        <f>IF(B$19=0,0,B21/B$19)</f>
        <v>0.46691176470588236</v>
      </c>
      <c r="E21" s="29" t="s">
        <v>91</v>
      </c>
      <c r="F21" s="26" t="s">
        <v>46</v>
      </c>
      <c r="G21" s="14">
        <v>1</v>
      </c>
      <c r="H21" s="92">
        <f t="shared" si="0"/>
        <v>3.6764705882352941E-3</v>
      </c>
      <c r="I21" s="60">
        <v>9</v>
      </c>
      <c r="K21" s="7">
        <v>19</v>
      </c>
      <c r="L21" s="65">
        <v>-218</v>
      </c>
      <c r="N21" s="78" t="s">
        <v>127</v>
      </c>
      <c r="O21" s="87">
        <f t="shared" si="3"/>
        <v>-17.395081967213105</v>
      </c>
      <c r="P21" s="81">
        <v>61</v>
      </c>
      <c r="Q21" s="72">
        <v>-1061.0999999999995</v>
      </c>
    </row>
    <row r="22" spans="1:17" x14ac:dyDescent="0.4">
      <c r="A22" s="21" t="s">
        <v>11</v>
      </c>
      <c r="B22" s="14">
        <v>145</v>
      </c>
      <c r="C22" s="8">
        <f>IF(B$19=0,0,B22/B$19)</f>
        <v>0.53308823529411764</v>
      </c>
      <c r="E22" s="29" t="s">
        <v>92</v>
      </c>
      <c r="F22" s="26" t="s">
        <v>47</v>
      </c>
      <c r="G22" s="14">
        <v>1</v>
      </c>
      <c r="H22" s="92">
        <f t="shared" si="0"/>
        <v>3.6764705882352941E-3</v>
      </c>
      <c r="I22" s="60">
        <v>7</v>
      </c>
      <c r="K22" s="7">
        <v>20</v>
      </c>
      <c r="L22" s="65">
        <v>-177.6</v>
      </c>
      <c r="N22" s="78" t="s">
        <v>275</v>
      </c>
      <c r="O22" s="87">
        <f t="shared" si="3"/>
        <v>-19.25</v>
      </c>
      <c r="P22" s="81">
        <v>4</v>
      </c>
      <c r="Q22" s="72">
        <v>-77</v>
      </c>
    </row>
    <row r="23" spans="1:17" x14ac:dyDescent="0.4">
      <c r="A23" s="21" t="s">
        <v>192</v>
      </c>
      <c r="B23" s="14">
        <v>149</v>
      </c>
      <c r="C23" s="8">
        <f>IF(B$19=0,0,B23/B$19)</f>
        <v>0.54779411764705888</v>
      </c>
      <c r="E23" s="29" t="s">
        <v>73</v>
      </c>
      <c r="F23" s="26" t="s">
        <v>28</v>
      </c>
      <c r="G23" s="14">
        <v>0</v>
      </c>
      <c r="H23" s="92">
        <f t="shared" si="0"/>
        <v>0</v>
      </c>
      <c r="I23" s="60">
        <v>6</v>
      </c>
      <c r="K23" s="7">
        <v>21</v>
      </c>
      <c r="L23" s="65">
        <v>-133.30000000000001</v>
      </c>
      <c r="N23" s="78" t="s">
        <v>201</v>
      </c>
      <c r="O23" s="87">
        <f t="shared" si="3"/>
        <v>-56.6</v>
      </c>
      <c r="P23" s="81">
        <v>1</v>
      </c>
      <c r="Q23" s="72">
        <v>-56.6</v>
      </c>
    </row>
    <row r="24" spans="1:17" x14ac:dyDescent="0.4">
      <c r="A24" s="21" t="s">
        <v>190</v>
      </c>
      <c r="B24" s="14">
        <v>83</v>
      </c>
      <c r="C24" s="8">
        <f>IF(B$19=0,0,B24/B$19)</f>
        <v>0.30514705882352944</v>
      </c>
      <c r="E24" s="29" t="s">
        <v>74</v>
      </c>
      <c r="F24" s="26" t="s">
        <v>29</v>
      </c>
      <c r="G24" s="14">
        <v>0</v>
      </c>
      <c r="H24" s="92">
        <f t="shared" si="0"/>
        <v>0</v>
      </c>
      <c r="I24" s="60">
        <v>7</v>
      </c>
      <c r="K24" s="7">
        <v>22</v>
      </c>
      <c r="L24" s="65">
        <v>-164.60000000000002</v>
      </c>
    </row>
    <row r="25" spans="1:17" x14ac:dyDescent="0.4">
      <c r="A25" s="21" t="s">
        <v>191</v>
      </c>
      <c r="B25" s="14">
        <v>40</v>
      </c>
      <c r="C25" s="8">
        <f>IF(B$19=0,0,B25/B$19)</f>
        <v>0.14705882352941177</v>
      </c>
      <c r="E25" s="29" t="s">
        <v>76</v>
      </c>
      <c r="F25" s="26" t="s">
        <v>31</v>
      </c>
      <c r="G25" s="14">
        <v>0</v>
      </c>
      <c r="H25" s="92">
        <f t="shared" si="0"/>
        <v>0</v>
      </c>
      <c r="I25" s="60">
        <v>3</v>
      </c>
      <c r="K25" s="7">
        <v>23</v>
      </c>
      <c r="L25" s="65">
        <v>-162.70000000000002</v>
      </c>
    </row>
    <row r="26" spans="1:17" x14ac:dyDescent="0.4">
      <c r="A26" s="21" t="s">
        <v>5</v>
      </c>
      <c r="B26" s="18">
        <f>IF(B$19=0,0,C26/B$19)</f>
        <v>7968.0147058823532</v>
      </c>
      <c r="C26" s="10">
        <v>2167300</v>
      </c>
      <c r="E26" s="29" t="s">
        <v>77</v>
      </c>
      <c r="F26" s="26" t="s">
        <v>32</v>
      </c>
      <c r="G26" s="14">
        <v>0</v>
      </c>
      <c r="H26" s="92">
        <f t="shared" si="0"/>
        <v>0</v>
      </c>
      <c r="I26" s="60">
        <v>6</v>
      </c>
      <c r="K26" s="7">
        <v>24</v>
      </c>
      <c r="L26" s="65">
        <v>-163.00000000000003</v>
      </c>
    </row>
    <row r="27" spans="1:17" x14ac:dyDescent="0.4">
      <c r="A27" s="22" t="s">
        <v>174</v>
      </c>
      <c r="B27" s="99">
        <f>IF($B$19-B$18=0,0,C27/($B$19-B$18))</f>
        <v>8696.2962962962956</v>
      </c>
      <c r="C27" s="100">
        <v>1643600</v>
      </c>
      <c r="E27" s="29" t="s">
        <v>80</v>
      </c>
      <c r="F27" s="26" t="s">
        <v>35</v>
      </c>
      <c r="G27" s="14">
        <v>0</v>
      </c>
      <c r="H27" s="92">
        <f t="shared" si="0"/>
        <v>0</v>
      </c>
      <c r="I27" s="60">
        <v>1</v>
      </c>
      <c r="K27" s="7">
        <v>25</v>
      </c>
      <c r="L27" s="65">
        <v>-185.00000000000003</v>
      </c>
    </row>
    <row r="28" spans="1:17" x14ac:dyDescent="0.4">
      <c r="A28" s="22" t="s">
        <v>175</v>
      </c>
      <c r="B28" s="99">
        <f>IF(B$18=0,0,C28/B$18)</f>
        <v>6309.6385542168673</v>
      </c>
      <c r="C28" s="100">
        <v>523700</v>
      </c>
      <c r="E28" s="29" t="s">
        <v>82</v>
      </c>
      <c r="F28" s="26" t="s">
        <v>37</v>
      </c>
      <c r="G28" s="14">
        <v>0</v>
      </c>
      <c r="H28" s="92">
        <f t="shared" si="0"/>
        <v>0</v>
      </c>
      <c r="I28" s="60">
        <v>1</v>
      </c>
      <c r="K28" s="7">
        <v>26</v>
      </c>
      <c r="L28" s="65">
        <v>-186.00000000000003</v>
      </c>
    </row>
    <row r="29" spans="1:17" x14ac:dyDescent="0.4">
      <c r="A29" s="22" t="s">
        <v>173</v>
      </c>
      <c r="B29" s="99">
        <f>IF(B$20=0,0,C29/B$20)</f>
        <v>-7761.4973262032081</v>
      </c>
      <c r="C29" s="100">
        <v>-1451400</v>
      </c>
      <c r="E29" s="29" t="s">
        <v>84</v>
      </c>
      <c r="F29" s="26" t="s">
        <v>39</v>
      </c>
      <c r="G29" s="14">
        <v>0</v>
      </c>
      <c r="H29" s="92">
        <f t="shared" si="0"/>
        <v>0</v>
      </c>
      <c r="I29" s="60">
        <v>6</v>
      </c>
      <c r="K29" s="7">
        <v>27</v>
      </c>
      <c r="L29" s="65">
        <v>-163.00000000000003</v>
      </c>
    </row>
    <row r="30" spans="1:17" x14ac:dyDescent="0.4">
      <c r="A30" s="21" t="s">
        <v>161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 t="shared" si="0"/>
        <v>0</v>
      </c>
      <c r="I30" s="60">
        <v>7</v>
      </c>
      <c r="K30" s="7">
        <v>28</v>
      </c>
      <c r="L30" s="65">
        <v>-181.70000000000002</v>
      </c>
    </row>
    <row r="31" spans="1:17" x14ac:dyDescent="0.4">
      <c r="A31" s="21" t="s">
        <v>162</v>
      </c>
      <c r="B31" s="14">
        <v>22</v>
      </c>
      <c r="C31" s="94">
        <v>1</v>
      </c>
      <c r="E31" s="29" t="s">
        <v>88</v>
      </c>
      <c r="F31" s="26" t="s">
        <v>43</v>
      </c>
      <c r="G31" s="14">
        <v>0</v>
      </c>
      <c r="H31" s="92">
        <f t="shared" si="0"/>
        <v>0</v>
      </c>
      <c r="I31" s="60">
        <v>6</v>
      </c>
      <c r="K31" s="7">
        <v>29</v>
      </c>
      <c r="L31" s="65">
        <v>-159.9</v>
      </c>
    </row>
    <row r="32" spans="1:17" x14ac:dyDescent="0.4">
      <c r="A32" s="56" t="s">
        <v>138</v>
      </c>
      <c r="B32" s="125">
        <v>8</v>
      </c>
      <c r="C32" s="126"/>
      <c r="E32" s="29" t="s">
        <v>90</v>
      </c>
      <c r="F32" s="26" t="s">
        <v>45</v>
      </c>
      <c r="G32" s="14">
        <v>0</v>
      </c>
      <c r="H32" s="92">
        <f t="shared" si="0"/>
        <v>0</v>
      </c>
      <c r="I32" s="60">
        <v>5</v>
      </c>
      <c r="K32" s="7">
        <v>30</v>
      </c>
      <c r="L32" s="65">
        <v>-175.6</v>
      </c>
    </row>
    <row r="33" spans="1:12" x14ac:dyDescent="0.4">
      <c r="A33" s="24" t="s">
        <v>189</v>
      </c>
      <c r="B33" s="127">
        <v>87900</v>
      </c>
      <c r="C33" s="128"/>
      <c r="E33" s="29" t="s">
        <v>93</v>
      </c>
      <c r="F33" s="26" t="s">
        <v>48</v>
      </c>
      <c r="G33" s="14">
        <v>0</v>
      </c>
      <c r="H33" s="92">
        <f t="shared" si="0"/>
        <v>0</v>
      </c>
      <c r="I33" s="60">
        <v>5</v>
      </c>
      <c r="K33" s="7">
        <v>31</v>
      </c>
      <c r="L33" s="65">
        <v>-212.6</v>
      </c>
    </row>
    <row r="34" spans="1:12" x14ac:dyDescent="0.4">
      <c r="A34" s="23" t="s">
        <v>139</v>
      </c>
      <c r="B34" s="31">
        <v>3</v>
      </c>
      <c r="C34" s="11">
        <f>IF(B$3=0,0,B34/B$3)</f>
        <v>2.9239766081871343E-3</v>
      </c>
      <c r="E34" s="29" t="s">
        <v>94</v>
      </c>
      <c r="F34" s="26" t="s">
        <v>49</v>
      </c>
      <c r="G34" s="14">
        <v>0</v>
      </c>
      <c r="H34" s="92">
        <f t="shared" ref="H34:H65" si="4">IF(B$19=0,0,G34/B$19)</f>
        <v>0</v>
      </c>
      <c r="I34" s="60">
        <v>1</v>
      </c>
      <c r="K34" s="7">
        <v>32</v>
      </c>
      <c r="L34" s="65">
        <v>-244.8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 t="shared" si="4"/>
        <v>0</v>
      </c>
      <c r="I35" s="60">
        <v>6</v>
      </c>
      <c r="K35" s="7">
        <v>33</v>
      </c>
      <c r="L35" s="65">
        <v>-261.3</v>
      </c>
    </row>
    <row r="36" spans="1:12" x14ac:dyDescent="0.4">
      <c r="A36" s="56" t="s">
        <v>180</v>
      </c>
      <c r="B36" s="119">
        <v>20</v>
      </c>
      <c r="C36" s="102">
        <f t="shared" ref="C36:C48" si="5">IF(B$19=0,0,B36/B$19)</f>
        <v>7.3529411764705885E-2</v>
      </c>
      <c r="E36" s="29" t="s">
        <v>96</v>
      </c>
      <c r="F36" s="26" t="s">
        <v>51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-236.8</v>
      </c>
    </row>
    <row r="37" spans="1:12" x14ac:dyDescent="0.4">
      <c r="A37" s="21" t="s">
        <v>176</v>
      </c>
      <c r="B37" s="14">
        <v>44</v>
      </c>
      <c r="C37" s="8">
        <f t="shared" si="5"/>
        <v>0.16176470588235295</v>
      </c>
      <c r="E37" s="29" t="s">
        <v>97</v>
      </c>
      <c r="F37" s="26" t="s">
        <v>52</v>
      </c>
      <c r="G37" s="14">
        <v>0</v>
      </c>
      <c r="H37" s="92">
        <f t="shared" si="4"/>
        <v>0</v>
      </c>
      <c r="I37" s="60">
        <v>3</v>
      </c>
      <c r="K37" s="7">
        <v>35</v>
      </c>
      <c r="L37" s="65">
        <v>-264.60000000000002</v>
      </c>
    </row>
    <row r="38" spans="1:12" x14ac:dyDescent="0.4">
      <c r="A38" s="21" t="s">
        <v>177</v>
      </c>
      <c r="B38" s="120">
        <v>62</v>
      </c>
      <c r="C38" s="8">
        <f t="shared" si="5"/>
        <v>0.22794117647058823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-252.20000000000002</v>
      </c>
    </row>
    <row r="39" spans="1:12" x14ac:dyDescent="0.4">
      <c r="A39" s="21" t="s">
        <v>178</v>
      </c>
      <c r="B39" s="120">
        <v>44</v>
      </c>
      <c r="C39" s="8">
        <f t="shared" si="5"/>
        <v>0.16176470588235295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-261</v>
      </c>
    </row>
    <row r="40" spans="1:12" x14ac:dyDescent="0.4">
      <c r="A40" s="21" t="s">
        <v>179</v>
      </c>
      <c r="B40" s="120">
        <v>46</v>
      </c>
      <c r="C40" s="8">
        <f t="shared" si="5"/>
        <v>0.16911764705882354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-245.4</v>
      </c>
    </row>
    <row r="41" spans="1:12" x14ac:dyDescent="0.4">
      <c r="A41" s="21" t="s">
        <v>181</v>
      </c>
      <c r="B41" s="120">
        <v>25</v>
      </c>
      <c r="C41" s="8">
        <f t="shared" si="5"/>
        <v>9.1911764705882359E-2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3</v>
      </c>
      <c r="K41" s="7">
        <v>39</v>
      </c>
      <c r="L41" s="65">
        <v>-227</v>
      </c>
    </row>
    <row r="42" spans="1:12" x14ac:dyDescent="0.4">
      <c r="A42" s="21" t="s">
        <v>182</v>
      </c>
      <c r="B42" s="120">
        <v>17</v>
      </c>
      <c r="C42" s="8">
        <f t="shared" si="5"/>
        <v>6.25E-2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1</v>
      </c>
      <c r="K42" s="7">
        <v>40</v>
      </c>
      <c r="L42" s="65">
        <v>-268.39999999999998</v>
      </c>
    </row>
    <row r="43" spans="1:12" x14ac:dyDescent="0.4">
      <c r="A43" s="21" t="s">
        <v>183</v>
      </c>
      <c r="B43" s="120">
        <v>8</v>
      </c>
      <c r="C43" s="8">
        <f t="shared" si="5"/>
        <v>2.9411764705882353E-2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-264.39999999999998</v>
      </c>
    </row>
    <row r="44" spans="1:12" x14ac:dyDescent="0.4">
      <c r="A44" s="21" t="s">
        <v>184</v>
      </c>
      <c r="B44" s="120">
        <v>1</v>
      </c>
      <c r="C44" s="8">
        <f t="shared" si="5"/>
        <v>3.6764705882352941E-3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-268.89999999999998</v>
      </c>
    </row>
    <row r="45" spans="1:12" x14ac:dyDescent="0.4">
      <c r="A45" s="21" t="s">
        <v>185</v>
      </c>
      <c r="B45" s="120">
        <v>1</v>
      </c>
      <c r="C45" s="8">
        <f t="shared" si="5"/>
        <v>3.6764705882352941E-3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  <c r="K45" s="7">
        <v>43</v>
      </c>
      <c r="L45" s="65">
        <v>-299.39999999999998</v>
      </c>
    </row>
    <row r="46" spans="1:12" x14ac:dyDescent="0.4">
      <c r="A46" s="21" t="s">
        <v>186</v>
      </c>
      <c r="B46" s="120">
        <v>1</v>
      </c>
      <c r="C46" s="8">
        <f t="shared" si="5"/>
        <v>3.6764705882352941E-3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3</v>
      </c>
      <c r="K46" s="7">
        <v>44</v>
      </c>
      <c r="L46" s="65">
        <v>-330.7</v>
      </c>
    </row>
    <row r="47" spans="1:12" x14ac:dyDescent="0.4">
      <c r="A47" s="21" t="s">
        <v>187</v>
      </c>
      <c r="B47" s="120">
        <v>2</v>
      </c>
      <c r="C47" s="8">
        <f t="shared" si="5"/>
        <v>7.3529411764705881E-3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-353.09999999999997</v>
      </c>
    </row>
    <row r="48" spans="1:12" x14ac:dyDescent="0.4">
      <c r="A48" s="23" t="s">
        <v>188</v>
      </c>
      <c r="B48" s="101">
        <v>1</v>
      </c>
      <c r="C48" s="11">
        <f t="shared" si="5"/>
        <v>3.6764705882352941E-3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-351.79999999999995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-346.19999999999993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-357.39999999999992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  <c r="K51" s="7">
        <v>49</v>
      </c>
      <c r="L51" s="65">
        <v>-404.09999999999991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-400.99999999999989</v>
      </c>
    </row>
    <row r="53" spans="5:12" x14ac:dyDescent="0.4">
      <c r="K53" s="7">
        <v>51</v>
      </c>
      <c r="L53" s="65">
        <v>-414.7999999999999</v>
      </c>
    </row>
    <row r="54" spans="5:12" x14ac:dyDescent="0.4">
      <c r="K54" s="7">
        <v>52</v>
      </c>
      <c r="L54" s="65">
        <v>-403.89999999999992</v>
      </c>
    </row>
    <row r="55" spans="5:12" x14ac:dyDescent="0.4">
      <c r="K55" s="7">
        <v>53</v>
      </c>
      <c r="L55" s="65">
        <v>-386.7999999999999</v>
      </c>
    </row>
    <row r="56" spans="5:12" x14ac:dyDescent="0.4">
      <c r="K56" s="7">
        <v>54</v>
      </c>
      <c r="L56" s="65">
        <v>-441.2999999999999</v>
      </c>
    </row>
    <row r="57" spans="5:12" x14ac:dyDescent="0.4">
      <c r="K57" s="7">
        <v>55</v>
      </c>
      <c r="L57" s="65">
        <v>-398.09999999999991</v>
      </c>
    </row>
    <row r="58" spans="5:12" x14ac:dyDescent="0.4">
      <c r="K58" s="7">
        <v>56</v>
      </c>
      <c r="L58" s="65">
        <v>-393.39999999999992</v>
      </c>
    </row>
    <row r="59" spans="5:12" x14ac:dyDescent="0.4">
      <c r="K59" s="7">
        <v>57</v>
      </c>
      <c r="L59" s="65">
        <v>-376.49999999999994</v>
      </c>
    </row>
    <row r="60" spans="5:12" x14ac:dyDescent="0.4">
      <c r="K60" s="7">
        <v>58</v>
      </c>
      <c r="L60" s="65">
        <v>-373.49999999999994</v>
      </c>
    </row>
    <row r="61" spans="5:12" x14ac:dyDescent="0.4">
      <c r="K61" s="7">
        <v>59</v>
      </c>
      <c r="L61" s="65">
        <v>-399.29999999999995</v>
      </c>
    </row>
    <row r="62" spans="5:12" x14ac:dyDescent="0.4">
      <c r="K62" s="7">
        <v>60</v>
      </c>
      <c r="L62" s="65">
        <v>-448.79999999999995</v>
      </c>
    </row>
    <row r="63" spans="5:12" x14ac:dyDescent="0.4">
      <c r="K63" s="7">
        <v>61</v>
      </c>
      <c r="L63" s="65">
        <v>-453.59999999999997</v>
      </c>
    </row>
    <row r="64" spans="5:12" x14ac:dyDescent="0.4">
      <c r="K64" s="7">
        <v>62</v>
      </c>
      <c r="L64" s="65">
        <v>-501.79999999999995</v>
      </c>
    </row>
    <row r="65" spans="11:12" x14ac:dyDescent="0.4">
      <c r="K65" s="7">
        <v>63</v>
      </c>
      <c r="L65" s="65">
        <v>-457.29999999999995</v>
      </c>
    </row>
    <row r="66" spans="11:12" x14ac:dyDescent="0.4">
      <c r="K66" s="7">
        <v>64</v>
      </c>
      <c r="L66" s="65">
        <v>-421.09999999999997</v>
      </c>
    </row>
    <row r="67" spans="11:12" x14ac:dyDescent="0.4">
      <c r="K67" s="7">
        <v>65</v>
      </c>
      <c r="L67" s="65">
        <v>-465.9</v>
      </c>
    </row>
    <row r="68" spans="11:12" x14ac:dyDescent="0.4">
      <c r="K68" s="7">
        <v>66</v>
      </c>
      <c r="L68" s="65">
        <v>-441.9</v>
      </c>
    </row>
    <row r="69" spans="11:12" x14ac:dyDescent="0.4">
      <c r="K69" s="7">
        <v>67</v>
      </c>
      <c r="L69" s="65">
        <v>-477.59999999999997</v>
      </c>
    </row>
    <row r="70" spans="11:12" x14ac:dyDescent="0.4">
      <c r="K70" s="7">
        <v>68</v>
      </c>
      <c r="L70" s="65">
        <v>-477.29999999999995</v>
      </c>
    </row>
    <row r="71" spans="11:12" x14ac:dyDescent="0.4">
      <c r="K71" s="7">
        <v>69</v>
      </c>
      <c r="L71" s="65">
        <v>-486.9</v>
      </c>
    </row>
    <row r="72" spans="11:12" x14ac:dyDescent="0.4">
      <c r="K72" s="7">
        <v>70</v>
      </c>
      <c r="L72" s="65">
        <v>-458</v>
      </c>
    </row>
    <row r="73" spans="11:12" x14ac:dyDescent="0.4">
      <c r="K73" s="7">
        <v>71</v>
      </c>
      <c r="L73" s="65">
        <v>-484.8</v>
      </c>
    </row>
    <row r="74" spans="11:12" x14ac:dyDescent="0.4">
      <c r="K74" s="7">
        <v>72</v>
      </c>
      <c r="L74" s="65">
        <v>-506.40000000000003</v>
      </c>
    </row>
    <row r="75" spans="11:12" x14ac:dyDescent="0.4">
      <c r="K75" s="7">
        <v>73</v>
      </c>
      <c r="L75" s="65">
        <v>-505.3</v>
      </c>
    </row>
    <row r="76" spans="11:12" x14ac:dyDescent="0.4">
      <c r="K76" s="7">
        <v>74</v>
      </c>
      <c r="L76" s="65">
        <v>-490.40000000000003</v>
      </c>
    </row>
    <row r="77" spans="11:12" x14ac:dyDescent="0.4">
      <c r="K77" s="7">
        <v>75</v>
      </c>
      <c r="L77" s="65">
        <v>-489.8</v>
      </c>
    </row>
    <row r="78" spans="11:12" x14ac:dyDescent="0.4">
      <c r="K78" s="7">
        <v>76</v>
      </c>
      <c r="L78" s="65">
        <v>-493.3</v>
      </c>
    </row>
    <row r="79" spans="11:12" x14ac:dyDescent="0.4">
      <c r="K79" s="7">
        <v>77</v>
      </c>
      <c r="L79" s="65">
        <v>-473.90000000000003</v>
      </c>
    </row>
    <row r="80" spans="11:12" x14ac:dyDescent="0.4">
      <c r="K80" s="7">
        <v>78</v>
      </c>
      <c r="L80" s="65">
        <v>-459.3</v>
      </c>
    </row>
    <row r="81" spans="11:12" x14ac:dyDescent="0.4">
      <c r="K81" s="7">
        <v>79</v>
      </c>
      <c r="L81" s="65">
        <v>-481.6</v>
      </c>
    </row>
    <row r="82" spans="11:12" x14ac:dyDescent="0.4">
      <c r="K82" s="7">
        <v>80</v>
      </c>
      <c r="L82" s="65">
        <v>-486.6</v>
      </c>
    </row>
    <row r="83" spans="11:12" x14ac:dyDescent="0.4">
      <c r="K83" s="7">
        <v>81</v>
      </c>
      <c r="L83" s="65">
        <v>-504.20000000000005</v>
      </c>
    </row>
    <row r="84" spans="11:12" x14ac:dyDescent="0.4">
      <c r="K84" s="7">
        <v>82</v>
      </c>
      <c r="L84" s="65">
        <v>-537.30000000000007</v>
      </c>
    </row>
    <row r="85" spans="11:12" x14ac:dyDescent="0.4">
      <c r="K85" s="7">
        <v>83</v>
      </c>
      <c r="L85" s="65">
        <v>-524.50000000000011</v>
      </c>
    </row>
    <row r="86" spans="11:12" x14ac:dyDescent="0.4">
      <c r="K86" s="7">
        <v>84</v>
      </c>
      <c r="L86" s="65">
        <v>-525.00000000000011</v>
      </c>
    </row>
    <row r="87" spans="11:12" x14ac:dyDescent="0.4">
      <c r="K87" s="7">
        <v>85</v>
      </c>
      <c r="L87" s="65">
        <v>-509.30000000000013</v>
      </c>
    </row>
    <row r="88" spans="11:12" x14ac:dyDescent="0.4">
      <c r="K88" s="7">
        <v>86</v>
      </c>
      <c r="L88" s="65">
        <v>-500.10000000000014</v>
      </c>
    </row>
    <row r="89" spans="11:12" x14ac:dyDescent="0.4">
      <c r="K89" s="7">
        <v>87</v>
      </c>
      <c r="L89" s="65">
        <v>-549.60000000000014</v>
      </c>
    </row>
    <row r="90" spans="11:12" x14ac:dyDescent="0.4">
      <c r="K90" s="7">
        <v>88</v>
      </c>
      <c r="L90" s="65">
        <v>-511.50000000000011</v>
      </c>
    </row>
    <row r="91" spans="11:12" x14ac:dyDescent="0.4">
      <c r="K91" s="7">
        <v>89</v>
      </c>
      <c r="L91" s="65">
        <v>-515.30000000000007</v>
      </c>
    </row>
    <row r="92" spans="11:12" x14ac:dyDescent="0.4">
      <c r="K92" s="7">
        <v>90</v>
      </c>
      <c r="L92" s="65">
        <v>-557.1</v>
      </c>
    </row>
    <row r="93" spans="11:12" x14ac:dyDescent="0.4">
      <c r="K93" s="7">
        <v>91</v>
      </c>
      <c r="L93" s="65">
        <v>-583.4</v>
      </c>
    </row>
    <row r="94" spans="11:12" x14ac:dyDescent="0.4">
      <c r="K94" s="7">
        <v>92</v>
      </c>
      <c r="L94" s="65">
        <v>-588.19999999999993</v>
      </c>
    </row>
    <row r="95" spans="11:12" x14ac:dyDescent="0.4">
      <c r="K95" s="7">
        <v>93</v>
      </c>
      <c r="L95" s="65">
        <v>-627.79999999999995</v>
      </c>
    </row>
    <row r="96" spans="11:12" x14ac:dyDescent="0.4">
      <c r="K96" s="7">
        <v>94</v>
      </c>
      <c r="L96" s="65">
        <v>-618.29999999999995</v>
      </c>
    </row>
    <row r="97" spans="11:12" x14ac:dyDescent="0.4">
      <c r="K97" s="7">
        <v>95</v>
      </c>
      <c r="L97" s="65">
        <v>-599.19999999999993</v>
      </c>
    </row>
    <row r="98" spans="11:12" x14ac:dyDescent="0.4">
      <c r="K98" s="7">
        <v>96</v>
      </c>
      <c r="L98" s="65">
        <v>-631.19999999999993</v>
      </c>
    </row>
    <row r="99" spans="11:12" x14ac:dyDescent="0.4">
      <c r="K99" s="7">
        <v>97</v>
      </c>
      <c r="L99" s="65">
        <v>-673.49999999999989</v>
      </c>
    </row>
    <row r="100" spans="11:12" x14ac:dyDescent="0.4">
      <c r="K100" s="7">
        <v>98</v>
      </c>
      <c r="L100" s="65">
        <v>-700.69999999999993</v>
      </c>
    </row>
    <row r="101" spans="11:12" x14ac:dyDescent="0.4">
      <c r="K101" s="7">
        <v>99</v>
      </c>
      <c r="L101" s="65">
        <v>-707.4</v>
      </c>
    </row>
    <row r="102" spans="11:12" x14ac:dyDescent="0.4">
      <c r="K102" s="7">
        <v>100</v>
      </c>
      <c r="L102" s="65">
        <v>-752.69999999999993</v>
      </c>
    </row>
    <row r="103" spans="11:12" x14ac:dyDescent="0.4">
      <c r="K103" s="7">
        <v>101</v>
      </c>
      <c r="L103" s="65">
        <v>-765.99999999999989</v>
      </c>
    </row>
    <row r="104" spans="11:12" x14ac:dyDescent="0.4">
      <c r="K104" s="7">
        <v>102</v>
      </c>
      <c r="L104" s="65">
        <v>-759.19999999999993</v>
      </c>
    </row>
    <row r="105" spans="11:12" x14ac:dyDescent="0.4">
      <c r="K105" s="7">
        <v>103</v>
      </c>
      <c r="L105" s="65">
        <v>-740.9</v>
      </c>
    </row>
    <row r="106" spans="11:12" x14ac:dyDescent="0.4">
      <c r="K106" s="7">
        <v>104</v>
      </c>
      <c r="L106" s="65">
        <v>-762.1</v>
      </c>
    </row>
    <row r="107" spans="11:12" x14ac:dyDescent="0.4">
      <c r="K107" s="7">
        <v>105</v>
      </c>
      <c r="L107" s="65">
        <v>-749.4</v>
      </c>
    </row>
    <row r="108" spans="11:12" x14ac:dyDescent="0.4">
      <c r="K108" s="7">
        <v>106</v>
      </c>
      <c r="L108" s="65">
        <v>-727.5</v>
      </c>
    </row>
    <row r="109" spans="11:12" x14ac:dyDescent="0.4">
      <c r="K109" s="7">
        <v>107</v>
      </c>
      <c r="L109" s="65">
        <v>-684.8</v>
      </c>
    </row>
    <row r="110" spans="11:12" x14ac:dyDescent="0.4">
      <c r="K110" s="7">
        <v>108</v>
      </c>
      <c r="L110" s="65">
        <v>-660</v>
      </c>
    </row>
    <row r="111" spans="11:12" x14ac:dyDescent="0.4">
      <c r="K111" s="7">
        <v>109</v>
      </c>
      <c r="L111" s="65">
        <v>-676.5</v>
      </c>
    </row>
    <row r="112" spans="11:12" x14ac:dyDescent="0.4">
      <c r="K112" s="7">
        <v>110</v>
      </c>
      <c r="L112" s="65">
        <v>-613.6</v>
      </c>
    </row>
    <row r="113" spans="11:12" x14ac:dyDescent="0.4">
      <c r="K113" s="7">
        <v>111</v>
      </c>
      <c r="L113" s="65">
        <v>-639.20000000000005</v>
      </c>
    </row>
    <row r="114" spans="11:12" x14ac:dyDescent="0.4">
      <c r="K114" s="7">
        <v>112</v>
      </c>
      <c r="L114" s="65">
        <v>-670.5</v>
      </c>
    </row>
    <row r="115" spans="11:12" x14ac:dyDescent="0.4">
      <c r="K115" s="7">
        <v>113</v>
      </c>
      <c r="L115" s="65">
        <v>-700.5</v>
      </c>
    </row>
    <row r="116" spans="11:12" x14ac:dyDescent="0.4">
      <c r="K116" s="7">
        <v>114</v>
      </c>
      <c r="L116" s="65">
        <v>-709.5</v>
      </c>
    </row>
    <row r="117" spans="11:12" x14ac:dyDescent="0.4">
      <c r="K117" s="7">
        <v>115</v>
      </c>
      <c r="L117" s="65">
        <v>-758</v>
      </c>
    </row>
    <row r="118" spans="11:12" x14ac:dyDescent="0.4">
      <c r="K118" s="7">
        <v>116</v>
      </c>
      <c r="L118" s="65">
        <v>-709.8</v>
      </c>
    </row>
    <row r="119" spans="11:12" x14ac:dyDescent="0.4">
      <c r="K119" s="7">
        <v>117</v>
      </c>
      <c r="L119" s="65">
        <v>-712.3</v>
      </c>
    </row>
    <row r="120" spans="11:12" x14ac:dyDescent="0.4">
      <c r="K120" s="7">
        <v>118</v>
      </c>
      <c r="L120" s="65">
        <v>-700.8</v>
      </c>
    </row>
    <row r="121" spans="11:12" x14ac:dyDescent="0.4">
      <c r="K121" s="7">
        <v>119</v>
      </c>
      <c r="L121" s="65">
        <v>-702.8</v>
      </c>
    </row>
    <row r="122" spans="11:12" x14ac:dyDescent="0.4">
      <c r="K122" s="7">
        <v>120</v>
      </c>
      <c r="L122" s="65">
        <v>-735.8</v>
      </c>
    </row>
    <row r="123" spans="11:12" x14ac:dyDescent="0.4">
      <c r="K123" s="7">
        <v>121</v>
      </c>
      <c r="L123" s="65">
        <v>-766.9</v>
      </c>
    </row>
  </sheetData>
  <sortState xmlns:xlrd2="http://schemas.microsoft.com/office/spreadsheetml/2017/richdata2" ref="E2:I12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6409-3B9B-494A-AF1E-46F5D4A156A8}">
  <sheetPr codeName="Sheet15"/>
  <dimension ref="A1:Q169"/>
  <sheetViews>
    <sheetView showGridLines="0" topLeftCell="A3" zoomScaleNormal="100" workbookViewId="0">
      <selection activeCell="I30" sqref="I30"/>
    </sheetView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167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167</v>
      </c>
      <c r="C2" s="132"/>
      <c r="E2" s="28" t="s">
        <v>66</v>
      </c>
      <c r="F2" s="25" t="s">
        <v>22</v>
      </c>
      <c r="G2" s="13">
        <v>350</v>
      </c>
      <c r="H2" s="91">
        <f t="shared" ref="H2:H33" si="0">IF(B$19=0,0,G2/B$19)</f>
        <v>0.91623036649214662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1">IF(P2=0,0,Q2/P2)</f>
        <v>1686.7469879518073</v>
      </c>
      <c r="P2" s="80">
        <v>166</v>
      </c>
      <c r="Q2" s="67">
        <v>280000</v>
      </c>
    </row>
    <row r="3" spans="1:17" x14ac:dyDescent="0.4">
      <c r="A3" s="21" t="s">
        <v>8</v>
      </c>
      <c r="B3" s="133">
        <v>1359</v>
      </c>
      <c r="C3" s="134"/>
      <c r="E3" s="29" t="s">
        <v>72</v>
      </c>
      <c r="F3" s="26" t="s">
        <v>27</v>
      </c>
      <c r="G3" s="14">
        <v>218</v>
      </c>
      <c r="H3" s="92">
        <f t="shared" si="0"/>
        <v>0.5706806282722513</v>
      </c>
      <c r="I3" s="60">
        <v>3</v>
      </c>
      <c r="K3" s="7">
        <v>1</v>
      </c>
      <c r="L3" s="65">
        <v>-9.1</v>
      </c>
      <c r="N3" s="78" t="s">
        <v>131</v>
      </c>
      <c r="O3" s="84">
        <f t="shared" si="1"/>
        <v>-1889.5061728395062</v>
      </c>
      <c r="P3" s="81">
        <v>162</v>
      </c>
      <c r="Q3" s="68">
        <v>-306100</v>
      </c>
    </row>
    <row r="4" spans="1:17" x14ac:dyDescent="0.4">
      <c r="A4" s="21" t="s">
        <v>6</v>
      </c>
      <c r="B4" s="135">
        <v>888.20000000000027</v>
      </c>
      <c r="C4" s="136"/>
      <c r="E4" s="29" t="s">
        <v>64</v>
      </c>
      <c r="F4" s="26" t="s">
        <v>20</v>
      </c>
      <c r="G4" s="14">
        <v>207</v>
      </c>
      <c r="H4" s="92">
        <f t="shared" si="0"/>
        <v>0.54188481675392675</v>
      </c>
      <c r="I4" s="60">
        <v>6</v>
      </c>
      <c r="K4" s="7">
        <v>2</v>
      </c>
      <c r="L4" s="65">
        <v>-67.3</v>
      </c>
      <c r="N4" s="78" t="s">
        <v>132</v>
      </c>
      <c r="O4" s="84">
        <f t="shared" si="1"/>
        <v>147.26027397260273</v>
      </c>
      <c r="P4" s="81">
        <v>146</v>
      </c>
      <c r="Q4" s="68">
        <v>21500</v>
      </c>
    </row>
    <row r="5" spans="1:17" x14ac:dyDescent="0.4">
      <c r="A5" s="21" t="s">
        <v>7</v>
      </c>
      <c r="B5" s="123">
        <f>IF(B$2=0,0,B$4/B$2)</f>
        <v>5.3185628742514988</v>
      </c>
      <c r="C5" s="124"/>
      <c r="E5" s="29" t="s">
        <v>68</v>
      </c>
      <c r="F5" s="26" t="s">
        <v>12</v>
      </c>
      <c r="G5" s="14">
        <v>147</v>
      </c>
      <c r="H5" s="92">
        <f t="shared" si="0"/>
        <v>0.38481675392670156</v>
      </c>
      <c r="I5" s="60">
        <v>3</v>
      </c>
      <c r="K5" s="7">
        <v>3</v>
      </c>
      <c r="L5" s="65">
        <v>-113.8</v>
      </c>
      <c r="N5" s="78" t="s">
        <v>133</v>
      </c>
      <c r="O5" s="84">
        <f t="shared" si="1"/>
        <v>2348.1481481481483</v>
      </c>
      <c r="P5" s="81">
        <v>135</v>
      </c>
      <c r="Q5" s="68">
        <v>317000</v>
      </c>
    </row>
    <row r="6" spans="1:17" x14ac:dyDescent="0.4">
      <c r="A6" s="21" t="s">
        <v>1</v>
      </c>
      <c r="B6" s="137">
        <f>IF(B$2=0,0,(B$7*1+B$8*2+B$9*3)/B$2)</f>
        <v>1.9101796407185629</v>
      </c>
      <c r="C6" s="138"/>
      <c r="E6" s="29" t="s">
        <v>163</v>
      </c>
      <c r="F6" s="26" t="s">
        <v>164</v>
      </c>
      <c r="G6" s="14">
        <v>147</v>
      </c>
      <c r="H6" s="92">
        <f t="shared" si="0"/>
        <v>0.38481675392670156</v>
      </c>
      <c r="I6" s="60">
        <v>8</v>
      </c>
      <c r="K6" s="7">
        <v>4</v>
      </c>
      <c r="L6" s="65">
        <v>-74.599999999999994</v>
      </c>
      <c r="N6" s="78" t="s">
        <v>134</v>
      </c>
      <c r="O6" s="84">
        <f t="shared" si="1"/>
        <v>1454.0983606557377</v>
      </c>
      <c r="P6" s="81">
        <v>122</v>
      </c>
      <c r="Q6" s="68">
        <v>177400</v>
      </c>
    </row>
    <row r="7" spans="1:17" x14ac:dyDescent="0.4">
      <c r="A7" s="21" t="s">
        <v>2</v>
      </c>
      <c r="B7" s="14">
        <v>68</v>
      </c>
      <c r="C7" s="8">
        <f t="shared" ref="C7:C14" si="2">IF(B$2=0,0,B7/B$2)</f>
        <v>0.40718562874251496</v>
      </c>
      <c r="E7" s="29" t="s">
        <v>67</v>
      </c>
      <c r="F7" s="26" t="s">
        <v>23</v>
      </c>
      <c r="G7" s="14">
        <v>142</v>
      </c>
      <c r="H7" s="92">
        <f t="shared" si="0"/>
        <v>0.37172774869109948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1"/>
        <v>663.44086021505382</v>
      </c>
      <c r="P7" s="82">
        <v>93</v>
      </c>
      <c r="Q7" s="69">
        <v>61700</v>
      </c>
    </row>
    <row r="8" spans="1:17" x14ac:dyDescent="0.4">
      <c r="A8" s="21" t="s">
        <v>3</v>
      </c>
      <c r="B8" s="14">
        <v>46</v>
      </c>
      <c r="C8" s="8">
        <f t="shared" si="2"/>
        <v>0.27544910179640719</v>
      </c>
      <c r="E8" s="29" t="s">
        <v>89</v>
      </c>
      <c r="F8" s="26" t="s">
        <v>44</v>
      </c>
      <c r="G8" s="14">
        <v>93</v>
      </c>
      <c r="H8" s="92">
        <f t="shared" si="0"/>
        <v>0.24345549738219896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">
      <c r="A9" s="22" t="s">
        <v>4</v>
      </c>
      <c r="B9" s="15">
        <v>53</v>
      </c>
      <c r="C9" s="9">
        <f t="shared" si="2"/>
        <v>0.31736526946107785</v>
      </c>
      <c r="E9" s="29" t="s">
        <v>69</v>
      </c>
      <c r="F9" s="26" t="s">
        <v>24</v>
      </c>
      <c r="G9" s="14">
        <v>77</v>
      </c>
      <c r="H9" s="92">
        <f t="shared" si="0"/>
        <v>0.20157068062827224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41.660294117647055</v>
      </c>
      <c r="C10" s="114">
        <v>2832.8999999999996</v>
      </c>
      <c r="E10" s="29" t="s">
        <v>65</v>
      </c>
      <c r="F10" s="26" t="s">
        <v>21</v>
      </c>
      <c r="G10" s="14">
        <v>51</v>
      </c>
      <c r="H10" s="92">
        <f t="shared" si="0"/>
        <v>0.13350785340314136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-8.265217391304347</v>
      </c>
      <c r="P10" s="80">
        <v>46</v>
      </c>
      <c r="Q10" s="71">
        <v>-380.2</v>
      </c>
    </row>
    <row r="11" spans="1:17" x14ac:dyDescent="0.4">
      <c r="A11" s="22" t="s">
        <v>204</v>
      </c>
      <c r="B11" s="113">
        <f>IF(B8=0,0,C11/B8)</f>
        <v>-0.43043478260869644</v>
      </c>
      <c r="C11" s="114">
        <v>-19.800000000000036</v>
      </c>
      <c r="E11" s="29" t="s">
        <v>70</v>
      </c>
      <c r="F11" s="26" t="s">
        <v>25</v>
      </c>
      <c r="G11" s="14">
        <v>47</v>
      </c>
      <c r="H11" s="92">
        <f t="shared" si="0"/>
        <v>0.12303664921465969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9.9203124999999979</v>
      </c>
      <c r="P11" s="81">
        <v>64</v>
      </c>
      <c r="Q11" s="72">
        <v>634.89999999999986</v>
      </c>
    </row>
    <row r="12" spans="1:17" x14ac:dyDescent="0.4">
      <c r="A12" s="22" t="s">
        <v>205</v>
      </c>
      <c r="B12" s="113">
        <f>IF(B9=0,0,C12/B9)</f>
        <v>-36.318867924528305</v>
      </c>
      <c r="C12" s="114">
        <v>-1924.9</v>
      </c>
      <c r="E12" s="29" t="s">
        <v>71</v>
      </c>
      <c r="F12" s="26" t="s">
        <v>26</v>
      </c>
      <c r="G12" s="14">
        <v>26</v>
      </c>
      <c r="H12" s="92">
        <f t="shared" si="0"/>
        <v>6.8062827225130892E-2</v>
      </c>
      <c r="I12" s="60">
        <v>10</v>
      </c>
      <c r="K12" s="7">
        <v>10</v>
      </c>
      <c r="L12" s="65">
        <v>-113.29999999999998</v>
      </c>
      <c r="N12" s="79" t="s">
        <v>156</v>
      </c>
      <c r="O12" s="88">
        <f>IF(P12=0,0,Q12/P12)</f>
        <v>11.114035087719298</v>
      </c>
      <c r="P12" s="82">
        <v>57</v>
      </c>
      <c r="Q12" s="73">
        <v>633.5</v>
      </c>
    </row>
    <row r="13" spans="1:17" x14ac:dyDescent="0.4">
      <c r="A13" s="22" t="s">
        <v>206</v>
      </c>
      <c r="B13" s="123">
        <f>AVERAGE(B10:B12)</f>
        <v>1.6369971368366834</v>
      </c>
      <c r="C13" s="124"/>
      <c r="E13" s="29" t="s">
        <v>159</v>
      </c>
      <c r="F13" s="26" t="s">
        <v>160</v>
      </c>
      <c r="G13" s="14">
        <v>19</v>
      </c>
      <c r="H13" s="92">
        <f t="shared" si="0"/>
        <v>4.9738219895287955E-2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20</v>
      </c>
      <c r="C14" s="11">
        <f t="shared" si="2"/>
        <v>0.11976047904191617</v>
      </c>
      <c r="E14" s="29" t="s">
        <v>83</v>
      </c>
      <c r="F14" s="26" t="s">
        <v>38</v>
      </c>
      <c r="G14" s="14">
        <v>13</v>
      </c>
      <c r="H14" s="92">
        <f t="shared" si="0"/>
        <v>3.4031413612565446E-2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407</v>
      </c>
      <c r="C15" s="12">
        <f>IF(B$3=0,0,B15/B$3)</f>
        <v>0.29948491537895511</v>
      </c>
      <c r="E15" s="29" t="s">
        <v>86</v>
      </c>
      <c r="F15" s="26" t="s">
        <v>41</v>
      </c>
      <c r="G15" s="14">
        <v>13</v>
      </c>
      <c r="H15" s="92">
        <f t="shared" si="0"/>
        <v>3.4031413612565446E-2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 t="shared" ref="O15:O23" si="3">IF(P15=0,0,Q15/P15)</f>
        <v>60.650000000000006</v>
      </c>
      <c r="P15" s="80">
        <v>2</v>
      </c>
      <c r="Q15" s="71">
        <v>121.30000000000001</v>
      </c>
    </row>
    <row r="16" spans="1:17" x14ac:dyDescent="0.4">
      <c r="A16" s="21" t="s">
        <v>118</v>
      </c>
      <c r="B16" s="14">
        <v>256</v>
      </c>
      <c r="C16" s="8">
        <f>IF(B$3=0,0,B16/B$3)</f>
        <v>0.188373804267844</v>
      </c>
      <c r="E16" s="29" t="s">
        <v>91</v>
      </c>
      <c r="F16" s="26" t="s">
        <v>46</v>
      </c>
      <c r="G16" s="14">
        <v>9</v>
      </c>
      <c r="H16" s="92">
        <f t="shared" si="0"/>
        <v>2.356020942408377E-2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 t="shared" si="3"/>
        <v>28.890909090909094</v>
      </c>
      <c r="P16" s="81">
        <v>33</v>
      </c>
      <c r="Q16" s="72">
        <v>953.40000000000009</v>
      </c>
    </row>
    <row r="17" spans="1:17" x14ac:dyDescent="0.4">
      <c r="A17" s="20" t="s">
        <v>123</v>
      </c>
      <c r="B17" s="13">
        <f>B23</f>
        <v>223</v>
      </c>
      <c r="C17" s="6">
        <f>IF(B$15=0,0,B17/B$15)</f>
        <v>0.54791154791154795</v>
      </c>
      <c r="E17" s="29" t="s">
        <v>81</v>
      </c>
      <c r="F17" s="26" t="s">
        <v>36</v>
      </c>
      <c r="G17" s="14">
        <v>6</v>
      </c>
      <c r="H17" s="92">
        <f t="shared" si="0"/>
        <v>1.5706806282722512E-2</v>
      </c>
      <c r="I17" s="60">
        <v>8</v>
      </c>
      <c r="K17" s="7">
        <v>15</v>
      </c>
      <c r="L17" s="65">
        <v>-101.79999999999997</v>
      </c>
      <c r="N17" s="78" t="s">
        <v>194</v>
      </c>
      <c r="O17" s="87">
        <f t="shared" si="3"/>
        <v>25.784615384615385</v>
      </c>
      <c r="P17" s="81">
        <v>13</v>
      </c>
      <c r="Q17" s="72">
        <v>335.2</v>
      </c>
    </row>
    <row r="18" spans="1:17" x14ac:dyDescent="0.4">
      <c r="A18" s="20" t="s">
        <v>124</v>
      </c>
      <c r="B18" s="13">
        <f>B24</f>
        <v>100</v>
      </c>
      <c r="C18" s="6">
        <f>IF(B$16=0,0,B18/B$16)</f>
        <v>0.390625</v>
      </c>
      <c r="E18" s="29" t="s">
        <v>92</v>
      </c>
      <c r="F18" s="26" t="s">
        <v>47</v>
      </c>
      <c r="G18" s="14">
        <v>6</v>
      </c>
      <c r="H18" s="92">
        <f t="shared" si="0"/>
        <v>1.5706806282722512E-2</v>
      </c>
      <c r="I18" s="60">
        <v>1</v>
      </c>
      <c r="K18" s="7">
        <v>16</v>
      </c>
      <c r="L18" s="65">
        <v>-63.099999999999966</v>
      </c>
      <c r="N18" s="78" t="s">
        <v>195</v>
      </c>
      <c r="O18" s="87">
        <f t="shared" si="3"/>
        <v>19.176470588235297</v>
      </c>
      <c r="P18" s="81">
        <v>34</v>
      </c>
      <c r="Q18" s="72">
        <v>652.00000000000011</v>
      </c>
    </row>
    <row r="19" spans="1:17" x14ac:dyDescent="0.4">
      <c r="A19" s="20" t="s">
        <v>10</v>
      </c>
      <c r="B19" s="13">
        <f>B22+B21</f>
        <v>382</v>
      </c>
      <c r="C19" s="6">
        <f>IF(B$3=0,0,B19/B$3)</f>
        <v>0.28108903605592345</v>
      </c>
      <c r="E19" s="29" t="s">
        <v>78</v>
      </c>
      <c r="F19" s="26" t="s">
        <v>33</v>
      </c>
      <c r="G19" s="14">
        <v>5</v>
      </c>
      <c r="H19" s="92">
        <f t="shared" si="0"/>
        <v>1.3089005235602094E-2</v>
      </c>
      <c r="I19" s="60">
        <v>8</v>
      </c>
      <c r="K19" s="7">
        <v>17</v>
      </c>
      <c r="L19" s="65">
        <v>-55.799999999999969</v>
      </c>
      <c r="N19" s="78" t="s">
        <v>168</v>
      </c>
      <c r="O19" s="87">
        <f t="shared" si="3"/>
        <v>7.2584415584415556</v>
      </c>
      <c r="P19" s="81">
        <v>77</v>
      </c>
      <c r="Q19" s="72">
        <v>558.89999999999975</v>
      </c>
    </row>
    <row r="20" spans="1:17" x14ac:dyDescent="0.4">
      <c r="A20" s="21" t="s">
        <v>13</v>
      </c>
      <c r="B20" s="14">
        <v>233</v>
      </c>
      <c r="C20" s="8">
        <f>IF(B$3=0,0,B20/B$3)</f>
        <v>0.1714495952906549</v>
      </c>
      <c r="E20" s="29" t="s">
        <v>79</v>
      </c>
      <c r="F20" s="26" t="s">
        <v>34</v>
      </c>
      <c r="G20" s="14">
        <v>4</v>
      </c>
      <c r="H20" s="92">
        <f t="shared" si="0"/>
        <v>1.0471204188481676E-2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 t="shared" si="3"/>
        <v>3.2393939393939384</v>
      </c>
      <c r="P20" s="81">
        <v>66</v>
      </c>
      <c r="Q20" s="72">
        <v>213.79999999999993</v>
      </c>
    </row>
    <row r="21" spans="1:17" x14ac:dyDescent="0.4">
      <c r="A21" s="21" t="s">
        <v>12</v>
      </c>
      <c r="B21" s="14">
        <v>195</v>
      </c>
      <c r="C21" s="8">
        <f>IF(B$19=0,0,B21/B$19)</f>
        <v>0.51047120418848169</v>
      </c>
      <c r="E21" s="29" t="s">
        <v>85</v>
      </c>
      <c r="F21" s="26" t="s">
        <v>40</v>
      </c>
      <c r="G21" s="14">
        <v>4</v>
      </c>
      <c r="H21" s="92">
        <f t="shared" si="0"/>
        <v>1.0471204188481676E-2</v>
      </c>
      <c r="I21" s="60">
        <v>4</v>
      </c>
      <c r="K21" s="7">
        <v>19</v>
      </c>
      <c r="L21" s="65">
        <v>-27.799999999999969</v>
      </c>
      <c r="N21" s="78" t="s">
        <v>169</v>
      </c>
      <c r="O21" s="87">
        <f t="shared" si="3"/>
        <v>-0.53846153846153899</v>
      </c>
      <c r="P21" s="81">
        <v>26</v>
      </c>
      <c r="Q21" s="72">
        <v>-14.000000000000014</v>
      </c>
    </row>
    <row r="22" spans="1:17" x14ac:dyDescent="0.4">
      <c r="A22" s="21" t="s">
        <v>11</v>
      </c>
      <c r="B22" s="14">
        <v>187</v>
      </c>
      <c r="C22" s="8">
        <f>IF(B$19=0,0,B22/B$19)</f>
        <v>0.48952879581151831</v>
      </c>
      <c r="E22" s="29" t="s">
        <v>84</v>
      </c>
      <c r="F22" s="26" t="s">
        <v>39</v>
      </c>
      <c r="G22" s="14">
        <v>3</v>
      </c>
      <c r="H22" s="92">
        <f t="shared" si="0"/>
        <v>7.8534031413612562E-3</v>
      </c>
      <c r="I22" s="60">
        <v>1</v>
      </c>
      <c r="K22" s="7">
        <v>20</v>
      </c>
      <c r="L22" s="65">
        <v>-50.39999999999997</v>
      </c>
      <c r="N22" s="78" t="s">
        <v>126</v>
      </c>
      <c r="O22" s="87">
        <f t="shared" si="3"/>
        <v>-1.7383561643835621</v>
      </c>
      <c r="P22" s="81">
        <v>73</v>
      </c>
      <c r="Q22" s="72">
        <v>-126.90000000000003</v>
      </c>
    </row>
    <row r="23" spans="1:17" x14ac:dyDescent="0.4">
      <c r="A23" s="21" t="s">
        <v>192</v>
      </c>
      <c r="B23" s="14">
        <v>223</v>
      </c>
      <c r="C23" s="8">
        <f>IF(B$19=0,0,B23/B$19)</f>
        <v>0.58376963350785338</v>
      </c>
      <c r="E23" s="29" t="s">
        <v>73</v>
      </c>
      <c r="F23" s="26" t="s">
        <v>28</v>
      </c>
      <c r="G23" s="14">
        <v>2</v>
      </c>
      <c r="H23" s="92">
        <f t="shared" si="0"/>
        <v>5.235602094240838E-3</v>
      </c>
      <c r="I23" s="60">
        <v>3</v>
      </c>
      <c r="K23" s="7">
        <v>21</v>
      </c>
      <c r="L23" s="65">
        <v>-59.89999999999997</v>
      </c>
      <c r="N23" s="78" t="s">
        <v>275</v>
      </c>
      <c r="O23" s="87">
        <f t="shared" si="3"/>
        <v>-2.910000000000001</v>
      </c>
      <c r="P23" s="81">
        <v>10</v>
      </c>
      <c r="Q23" s="72">
        <v>-29.100000000000009</v>
      </c>
    </row>
    <row r="24" spans="1:17" x14ac:dyDescent="0.4">
      <c r="A24" s="21" t="s">
        <v>190</v>
      </c>
      <c r="B24" s="14">
        <v>100</v>
      </c>
      <c r="C24" s="8">
        <f>IF(B$19=0,0,B24/B$19)</f>
        <v>0.26178010471204188</v>
      </c>
      <c r="E24" s="29" t="s">
        <v>75</v>
      </c>
      <c r="F24" s="26" t="s">
        <v>30</v>
      </c>
      <c r="G24" s="14">
        <v>2</v>
      </c>
      <c r="H24" s="92">
        <f t="shared" si="0"/>
        <v>5.235602094240838E-3</v>
      </c>
      <c r="I24" s="60">
        <v>8</v>
      </c>
      <c r="K24" s="7">
        <v>22</v>
      </c>
      <c r="L24" s="65">
        <v>-21.799999999999969</v>
      </c>
    </row>
    <row r="25" spans="1:17" x14ac:dyDescent="0.4">
      <c r="A25" s="21" t="s">
        <v>191</v>
      </c>
      <c r="B25" s="14">
        <v>59</v>
      </c>
      <c r="C25" s="8">
        <f>IF(B$19=0,0,B25/B$19)</f>
        <v>0.15445026178010471</v>
      </c>
      <c r="E25" s="29" t="s">
        <v>77</v>
      </c>
      <c r="F25" s="26" t="s">
        <v>32</v>
      </c>
      <c r="G25" s="14">
        <v>2</v>
      </c>
      <c r="H25" s="92">
        <f t="shared" si="0"/>
        <v>5.235602094240838E-3</v>
      </c>
      <c r="I25" s="60">
        <v>2</v>
      </c>
      <c r="K25" s="7">
        <v>23</v>
      </c>
      <c r="L25" s="65">
        <v>-10.299999999999969</v>
      </c>
    </row>
    <row r="26" spans="1:17" x14ac:dyDescent="0.4">
      <c r="A26" s="21" t="s">
        <v>5</v>
      </c>
      <c r="B26" s="18">
        <f>IF(B$19=0,0,C26/B$19)</f>
        <v>10994.764397905759</v>
      </c>
      <c r="C26" s="10">
        <v>4200000</v>
      </c>
      <c r="E26" s="29" t="s">
        <v>90</v>
      </c>
      <c r="F26" s="26" t="s">
        <v>45</v>
      </c>
      <c r="G26" s="14">
        <v>2</v>
      </c>
      <c r="H26" s="92">
        <f t="shared" si="0"/>
        <v>5.235602094240838E-3</v>
      </c>
      <c r="I26" s="60">
        <v>1</v>
      </c>
      <c r="K26" s="7">
        <v>24</v>
      </c>
      <c r="L26" s="65">
        <v>-51.39999999999997</v>
      </c>
    </row>
    <row r="27" spans="1:17" x14ac:dyDescent="0.4">
      <c r="A27" s="22" t="s">
        <v>174</v>
      </c>
      <c r="B27" s="99">
        <f>IF($B$19-B$18=0,0,C27/($B$19-B$18))</f>
        <v>11605.319148936171</v>
      </c>
      <c r="C27" s="100">
        <v>3272700</v>
      </c>
      <c r="E27" s="29" t="s">
        <v>88</v>
      </c>
      <c r="F27" s="26" t="s">
        <v>43</v>
      </c>
      <c r="G27" s="14">
        <v>1</v>
      </c>
      <c r="H27" s="92">
        <f t="shared" si="0"/>
        <v>2.617801047120419E-3</v>
      </c>
      <c r="I27" s="60">
        <v>4</v>
      </c>
      <c r="K27" s="7">
        <v>25</v>
      </c>
      <c r="L27" s="65">
        <v>-37.699999999999974</v>
      </c>
    </row>
    <row r="28" spans="1:17" x14ac:dyDescent="0.4">
      <c r="A28" s="22" t="s">
        <v>175</v>
      </c>
      <c r="B28" s="99">
        <f>IF(B$18=0,0,C28/B$18)</f>
        <v>9273</v>
      </c>
      <c r="C28" s="100">
        <v>927300</v>
      </c>
      <c r="E28" s="29" t="s">
        <v>93</v>
      </c>
      <c r="F28" s="26" t="s">
        <v>48</v>
      </c>
      <c r="G28" s="14">
        <v>1</v>
      </c>
      <c r="H28" s="92">
        <f t="shared" si="0"/>
        <v>2.617801047120419E-3</v>
      </c>
      <c r="I28" s="60">
        <v>3</v>
      </c>
      <c r="K28" s="7">
        <v>26</v>
      </c>
      <c r="L28" s="65">
        <v>-84.999999999999972</v>
      </c>
    </row>
    <row r="29" spans="1:17" x14ac:dyDescent="0.4">
      <c r="A29" s="22" t="s">
        <v>173</v>
      </c>
      <c r="B29" s="99">
        <f>IF(B$20=0,0,C29/B$20)</f>
        <v>-8243.3476394849786</v>
      </c>
      <c r="C29" s="100">
        <v>-1920700</v>
      </c>
      <c r="E29" s="29" t="s">
        <v>95</v>
      </c>
      <c r="F29" s="26" t="s">
        <v>50</v>
      </c>
      <c r="G29" s="14">
        <v>1</v>
      </c>
      <c r="H29" s="92">
        <f t="shared" si="0"/>
        <v>2.617801047120419E-3</v>
      </c>
      <c r="I29" s="60">
        <v>3</v>
      </c>
      <c r="K29" s="7">
        <v>27</v>
      </c>
      <c r="L29" s="65">
        <v>-31.499999999999972</v>
      </c>
    </row>
    <row r="30" spans="1:17" x14ac:dyDescent="0.4">
      <c r="A30" s="21" t="s">
        <v>161</v>
      </c>
      <c r="B30" s="14">
        <v>5</v>
      </c>
      <c r="C30" s="94">
        <v>1</v>
      </c>
      <c r="E30" s="29" t="s">
        <v>97</v>
      </c>
      <c r="F30" s="26" t="s">
        <v>52</v>
      </c>
      <c r="G30" s="14">
        <v>1</v>
      </c>
      <c r="H30" s="92">
        <f t="shared" si="0"/>
        <v>2.617801047120419E-3</v>
      </c>
      <c r="I30" s="60">
        <v>1</v>
      </c>
      <c r="K30" s="7">
        <v>28</v>
      </c>
      <c r="L30" s="65">
        <v>-10.999999999999972</v>
      </c>
    </row>
    <row r="31" spans="1:17" x14ac:dyDescent="0.4">
      <c r="A31" s="21" t="s">
        <v>162</v>
      </c>
      <c r="B31" s="14">
        <v>25</v>
      </c>
      <c r="C31" s="94">
        <v>8</v>
      </c>
      <c r="E31" s="29" t="s">
        <v>74</v>
      </c>
      <c r="F31" s="26" t="s">
        <v>29</v>
      </c>
      <c r="G31" s="14">
        <v>0</v>
      </c>
      <c r="H31" s="92">
        <f t="shared" si="0"/>
        <v>0</v>
      </c>
      <c r="I31" s="60">
        <v>7</v>
      </c>
      <c r="K31" s="7">
        <v>29</v>
      </c>
      <c r="L31" s="65">
        <v>-16.499999999999972</v>
      </c>
    </row>
    <row r="32" spans="1:17" x14ac:dyDescent="0.4">
      <c r="A32" s="56" t="s">
        <v>138</v>
      </c>
      <c r="B32" s="125">
        <v>8</v>
      </c>
      <c r="C32" s="126"/>
      <c r="E32" s="29" t="s">
        <v>76</v>
      </c>
      <c r="F32" s="26" t="s">
        <v>31</v>
      </c>
      <c r="G32" s="14">
        <v>0</v>
      </c>
      <c r="H32" s="92">
        <f t="shared" si="0"/>
        <v>0</v>
      </c>
      <c r="I32" s="60">
        <v>3</v>
      </c>
      <c r="K32" s="7">
        <v>30</v>
      </c>
      <c r="L32" s="65">
        <v>30.900000000000027</v>
      </c>
    </row>
    <row r="33" spans="1:12" x14ac:dyDescent="0.4">
      <c r="A33" s="24" t="s">
        <v>189</v>
      </c>
      <c r="B33" s="127">
        <v>122100</v>
      </c>
      <c r="C33" s="128"/>
      <c r="E33" s="29" t="s">
        <v>80</v>
      </c>
      <c r="F33" s="26" t="s">
        <v>35</v>
      </c>
      <c r="G33" s="14">
        <v>0</v>
      </c>
      <c r="H33" s="92">
        <f t="shared" si="0"/>
        <v>0</v>
      </c>
      <c r="I33" s="60">
        <v>1</v>
      </c>
      <c r="K33" s="7">
        <v>31</v>
      </c>
      <c r="L33" s="65">
        <v>73.900000000000034</v>
      </c>
    </row>
    <row r="34" spans="1:12" x14ac:dyDescent="0.4">
      <c r="A34" s="23" t="s">
        <v>139</v>
      </c>
      <c r="B34" s="31">
        <v>2</v>
      </c>
      <c r="C34" s="11">
        <f>IF(B$3=0,0,B34/B$3)</f>
        <v>1.4716703458425313E-3</v>
      </c>
      <c r="E34" s="29" t="s">
        <v>82</v>
      </c>
      <c r="F34" s="26" t="s">
        <v>37</v>
      </c>
      <c r="G34" s="14">
        <v>0</v>
      </c>
      <c r="H34" s="92">
        <f t="shared" ref="H34:H65" si="4"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">
      <c r="E35" s="29" t="s">
        <v>87</v>
      </c>
      <c r="F35" s="26" t="s">
        <v>42</v>
      </c>
      <c r="G35" s="14">
        <v>0</v>
      </c>
      <c r="H35" s="92">
        <f t="shared" si="4"/>
        <v>0</v>
      </c>
      <c r="I35" s="60">
        <v>7</v>
      </c>
      <c r="K35" s="7">
        <v>33</v>
      </c>
      <c r="L35" s="65">
        <v>112.00000000000004</v>
      </c>
    </row>
    <row r="36" spans="1:12" x14ac:dyDescent="0.4">
      <c r="A36" s="56" t="s">
        <v>180</v>
      </c>
      <c r="B36" s="119">
        <v>10</v>
      </c>
      <c r="C36" s="102">
        <f t="shared" ref="C36:C48" si="5">IF(B$19=0,0,B36/B$19)</f>
        <v>2.6178010471204188E-2</v>
      </c>
      <c r="E36" s="29" t="s">
        <v>94</v>
      </c>
      <c r="F36" s="26" t="s">
        <v>49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110.00000000000004</v>
      </c>
    </row>
    <row r="37" spans="1:12" x14ac:dyDescent="0.4">
      <c r="A37" s="21" t="s">
        <v>176</v>
      </c>
      <c r="B37" s="14">
        <v>33</v>
      </c>
      <c r="C37" s="8">
        <f t="shared" si="5"/>
        <v>8.6387434554973816E-2</v>
      </c>
      <c r="E37" s="29" t="s">
        <v>96</v>
      </c>
      <c r="F37" s="26" t="s">
        <v>51</v>
      </c>
      <c r="G37" s="14">
        <v>0</v>
      </c>
      <c r="H37" s="92">
        <f t="shared" si="4"/>
        <v>0</v>
      </c>
      <c r="I37" s="60">
        <v>1</v>
      </c>
      <c r="K37" s="7">
        <v>35</v>
      </c>
      <c r="L37" s="65">
        <v>140.50000000000006</v>
      </c>
    </row>
    <row r="38" spans="1:12" x14ac:dyDescent="0.4">
      <c r="A38" s="21" t="s">
        <v>177</v>
      </c>
      <c r="B38" s="120">
        <v>54</v>
      </c>
      <c r="C38" s="8">
        <f t="shared" si="5"/>
        <v>0.14136125654450263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105.40000000000006</v>
      </c>
    </row>
    <row r="39" spans="1:12" x14ac:dyDescent="0.4">
      <c r="A39" s="21" t="s">
        <v>178</v>
      </c>
      <c r="B39" s="120">
        <v>70</v>
      </c>
      <c r="C39" s="8">
        <f t="shared" si="5"/>
        <v>0.18324607329842932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146.30000000000007</v>
      </c>
    </row>
    <row r="40" spans="1:12" x14ac:dyDescent="0.4">
      <c r="A40" s="21" t="s">
        <v>179</v>
      </c>
      <c r="B40" s="120">
        <v>81</v>
      </c>
      <c r="C40" s="8">
        <f t="shared" si="5"/>
        <v>0.21204188481675393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129.30000000000007</v>
      </c>
    </row>
    <row r="41" spans="1:12" x14ac:dyDescent="0.4">
      <c r="A41" s="21" t="s">
        <v>181</v>
      </c>
      <c r="B41" s="120">
        <v>51</v>
      </c>
      <c r="C41" s="8">
        <f t="shared" si="5"/>
        <v>0.13350785340314136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3</v>
      </c>
      <c r="K41" s="7">
        <v>39</v>
      </c>
      <c r="L41" s="65">
        <v>101.20000000000007</v>
      </c>
    </row>
    <row r="42" spans="1:12" x14ac:dyDescent="0.4">
      <c r="A42" s="21" t="s">
        <v>182</v>
      </c>
      <c r="B42" s="120">
        <v>27</v>
      </c>
      <c r="C42" s="8">
        <f t="shared" si="5"/>
        <v>7.0680628272251314E-2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1</v>
      </c>
      <c r="K42" s="7">
        <v>40</v>
      </c>
      <c r="L42" s="65">
        <v>71.200000000000074</v>
      </c>
    </row>
    <row r="43" spans="1:12" x14ac:dyDescent="0.4">
      <c r="A43" s="21" t="s">
        <v>183</v>
      </c>
      <c r="B43" s="120">
        <v>26</v>
      </c>
      <c r="C43" s="8">
        <f t="shared" si="5"/>
        <v>6.8062827225130892E-2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67.900000000000077</v>
      </c>
    </row>
    <row r="44" spans="1:12" x14ac:dyDescent="0.4">
      <c r="A44" s="21" t="s">
        <v>184</v>
      </c>
      <c r="B44" s="120">
        <v>12</v>
      </c>
      <c r="C44" s="8">
        <f t="shared" si="5"/>
        <v>3.1413612565445025E-2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109.90000000000008</v>
      </c>
    </row>
    <row r="45" spans="1:12" x14ac:dyDescent="0.4">
      <c r="A45" s="21" t="s">
        <v>185</v>
      </c>
      <c r="B45" s="120">
        <v>3</v>
      </c>
      <c r="C45" s="8">
        <f t="shared" si="5"/>
        <v>7.8534031413612562E-3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  <c r="K45" s="7">
        <v>43</v>
      </c>
      <c r="L45" s="65">
        <v>78.300000000000068</v>
      </c>
    </row>
    <row r="46" spans="1:12" x14ac:dyDescent="0.4">
      <c r="A46" s="21" t="s">
        <v>186</v>
      </c>
      <c r="B46" s="120">
        <v>3</v>
      </c>
      <c r="C46" s="8">
        <f t="shared" si="5"/>
        <v>7.8534031413612562E-3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3</v>
      </c>
      <c r="K46" s="7">
        <v>44</v>
      </c>
      <c r="L46" s="65">
        <v>107.10000000000007</v>
      </c>
    </row>
    <row r="47" spans="1:12" x14ac:dyDescent="0.4">
      <c r="A47" s="21" t="s">
        <v>187</v>
      </c>
      <c r="B47" s="120">
        <v>1</v>
      </c>
      <c r="C47" s="8">
        <f t="shared" si="5"/>
        <v>2.617801047120419E-3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85.800000000000068</v>
      </c>
    </row>
    <row r="48" spans="1:12" x14ac:dyDescent="0.4">
      <c r="A48" s="23" t="s">
        <v>188</v>
      </c>
      <c r="B48" s="101">
        <v>11</v>
      </c>
      <c r="C48" s="11">
        <f t="shared" si="5"/>
        <v>2.8795811518324606E-2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154.90000000000006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190.40000000000006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269.00000000000006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  <c r="K51" s="7">
        <v>49</v>
      </c>
      <c r="L51" s="65">
        <v>269.30000000000007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304.40000000000009</v>
      </c>
    </row>
    <row r="53" spans="5:12" x14ac:dyDescent="0.4">
      <c r="K53" s="7">
        <v>51</v>
      </c>
      <c r="L53" s="65">
        <v>282.10000000000008</v>
      </c>
    </row>
    <row r="54" spans="5:12" x14ac:dyDescent="0.4">
      <c r="K54" s="7">
        <v>52</v>
      </c>
      <c r="L54" s="65">
        <v>325.2000000000001</v>
      </c>
    </row>
    <row r="55" spans="5:12" x14ac:dyDescent="0.4">
      <c r="K55" s="7">
        <v>53</v>
      </c>
      <c r="L55" s="65">
        <v>301.2000000000001</v>
      </c>
    </row>
    <row r="56" spans="5:12" x14ac:dyDescent="0.4">
      <c r="K56" s="7">
        <v>54</v>
      </c>
      <c r="L56" s="65">
        <v>296.2000000000001</v>
      </c>
    </row>
    <row r="57" spans="5:12" x14ac:dyDescent="0.4">
      <c r="K57" s="7">
        <v>55</v>
      </c>
      <c r="L57" s="65">
        <v>259.10000000000008</v>
      </c>
    </row>
    <row r="58" spans="5:12" x14ac:dyDescent="0.4">
      <c r="K58" s="7">
        <v>56</v>
      </c>
      <c r="L58" s="65">
        <v>246.70000000000007</v>
      </c>
    </row>
    <row r="59" spans="5:12" x14ac:dyDescent="0.4">
      <c r="K59" s="7">
        <v>57</v>
      </c>
      <c r="L59" s="65">
        <v>291.80000000000007</v>
      </c>
    </row>
    <row r="60" spans="5:12" x14ac:dyDescent="0.4">
      <c r="K60" s="7">
        <v>58</v>
      </c>
      <c r="L60" s="65">
        <v>308.80000000000007</v>
      </c>
    </row>
    <row r="61" spans="5:12" x14ac:dyDescent="0.4">
      <c r="K61" s="7">
        <v>59</v>
      </c>
      <c r="L61" s="65">
        <v>357.80000000000007</v>
      </c>
    </row>
    <row r="62" spans="5:12" x14ac:dyDescent="0.4">
      <c r="K62" s="7">
        <v>60</v>
      </c>
      <c r="L62" s="65">
        <v>364.90000000000009</v>
      </c>
    </row>
    <row r="63" spans="5:12" x14ac:dyDescent="0.4">
      <c r="K63" s="7">
        <v>61</v>
      </c>
      <c r="L63" s="65">
        <v>351.80000000000007</v>
      </c>
    </row>
    <row r="64" spans="5:12" x14ac:dyDescent="0.4">
      <c r="K64" s="7">
        <v>62</v>
      </c>
      <c r="L64" s="65">
        <v>338.80000000000007</v>
      </c>
    </row>
    <row r="65" spans="11:12" x14ac:dyDescent="0.4">
      <c r="K65" s="7">
        <v>63</v>
      </c>
      <c r="L65" s="65">
        <v>319.30000000000007</v>
      </c>
    </row>
    <row r="66" spans="11:12" x14ac:dyDescent="0.4">
      <c r="K66" s="7">
        <v>64</v>
      </c>
      <c r="L66" s="65">
        <v>273.80000000000007</v>
      </c>
    </row>
    <row r="67" spans="11:12" x14ac:dyDescent="0.4">
      <c r="K67" s="7">
        <v>65</v>
      </c>
      <c r="L67" s="65">
        <v>333.00000000000006</v>
      </c>
    </row>
    <row r="68" spans="11:12" x14ac:dyDescent="0.4">
      <c r="K68" s="7">
        <v>66</v>
      </c>
      <c r="L68" s="65">
        <v>368.80000000000007</v>
      </c>
    </row>
    <row r="69" spans="11:12" x14ac:dyDescent="0.4">
      <c r="K69" s="7">
        <v>67</v>
      </c>
      <c r="L69" s="65">
        <v>360.90000000000009</v>
      </c>
    </row>
    <row r="70" spans="11:12" x14ac:dyDescent="0.4">
      <c r="K70" s="7">
        <v>68</v>
      </c>
      <c r="L70" s="65">
        <v>458.00000000000011</v>
      </c>
    </row>
    <row r="71" spans="11:12" x14ac:dyDescent="0.4">
      <c r="K71" s="7">
        <v>69</v>
      </c>
      <c r="L71" s="65">
        <v>455.2000000000001</v>
      </c>
    </row>
    <row r="72" spans="11:12" x14ac:dyDescent="0.4">
      <c r="K72" s="7">
        <v>70</v>
      </c>
      <c r="L72" s="65">
        <v>422.90000000000009</v>
      </c>
    </row>
    <row r="73" spans="11:12" x14ac:dyDescent="0.4">
      <c r="K73" s="7">
        <v>71</v>
      </c>
      <c r="L73" s="65">
        <v>435.7000000000001</v>
      </c>
    </row>
    <row r="74" spans="11:12" x14ac:dyDescent="0.4">
      <c r="K74" s="7">
        <v>72</v>
      </c>
      <c r="L74" s="65">
        <v>466.40000000000009</v>
      </c>
    </row>
    <row r="75" spans="11:12" x14ac:dyDescent="0.4">
      <c r="K75" s="7">
        <v>73</v>
      </c>
      <c r="L75" s="65">
        <v>406.10000000000008</v>
      </c>
    </row>
    <row r="76" spans="11:12" x14ac:dyDescent="0.4">
      <c r="K76" s="7">
        <v>74</v>
      </c>
      <c r="L76" s="65">
        <v>360.50000000000006</v>
      </c>
    </row>
    <row r="77" spans="11:12" x14ac:dyDescent="0.4">
      <c r="K77" s="7">
        <v>75</v>
      </c>
      <c r="L77" s="65">
        <v>332.60000000000008</v>
      </c>
    </row>
    <row r="78" spans="11:12" x14ac:dyDescent="0.4">
      <c r="K78" s="7">
        <v>76</v>
      </c>
      <c r="L78" s="65">
        <v>325.7000000000001</v>
      </c>
    </row>
    <row r="79" spans="11:12" x14ac:dyDescent="0.4">
      <c r="K79" s="7">
        <v>77</v>
      </c>
      <c r="L79" s="65">
        <v>368.00000000000011</v>
      </c>
    </row>
    <row r="80" spans="11:12" x14ac:dyDescent="0.4">
      <c r="K80" s="7">
        <v>78</v>
      </c>
      <c r="L80" s="65">
        <v>312.50000000000011</v>
      </c>
    </row>
    <row r="81" spans="11:12" x14ac:dyDescent="0.4">
      <c r="K81" s="7">
        <v>79</v>
      </c>
      <c r="L81" s="65">
        <v>263.80000000000013</v>
      </c>
    </row>
    <row r="82" spans="11:12" x14ac:dyDescent="0.4">
      <c r="K82" s="7">
        <v>80</v>
      </c>
      <c r="L82" s="65">
        <v>245.50000000000011</v>
      </c>
    </row>
    <row r="83" spans="11:12" x14ac:dyDescent="0.4">
      <c r="K83" s="7">
        <v>81</v>
      </c>
      <c r="L83" s="65">
        <v>200.30000000000013</v>
      </c>
    </row>
    <row r="84" spans="11:12" x14ac:dyDescent="0.4">
      <c r="K84" s="7">
        <v>82</v>
      </c>
      <c r="L84" s="65">
        <v>229.10000000000014</v>
      </c>
    </row>
    <row r="85" spans="11:12" x14ac:dyDescent="0.4">
      <c r="K85" s="7">
        <v>83</v>
      </c>
      <c r="L85" s="65">
        <v>230.70000000000013</v>
      </c>
    </row>
    <row r="86" spans="11:12" x14ac:dyDescent="0.4">
      <c r="K86" s="7">
        <v>84</v>
      </c>
      <c r="L86" s="65">
        <v>201.10000000000014</v>
      </c>
    </row>
    <row r="87" spans="11:12" x14ac:dyDescent="0.4">
      <c r="K87" s="7">
        <v>85</v>
      </c>
      <c r="L87" s="65">
        <v>200.20000000000013</v>
      </c>
    </row>
    <row r="88" spans="11:12" x14ac:dyDescent="0.4">
      <c r="K88" s="7">
        <v>86</v>
      </c>
      <c r="L88" s="65">
        <v>211.70000000000013</v>
      </c>
    </row>
    <row r="89" spans="11:12" x14ac:dyDescent="0.4">
      <c r="K89" s="7">
        <v>87</v>
      </c>
      <c r="L89" s="65">
        <v>186.30000000000013</v>
      </c>
    </row>
    <row r="90" spans="11:12" x14ac:dyDescent="0.4">
      <c r="K90" s="7">
        <v>88</v>
      </c>
      <c r="L90" s="65">
        <v>163.60000000000014</v>
      </c>
    </row>
    <row r="91" spans="11:12" x14ac:dyDescent="0.4">
      <c r="K91" s="7">
        <v>89</v>
      </c>
      <c r="L91" s="65">
        <v>188.60000000000014</v>
      </c>
    </row>
    <row r="92" spans="11:12" x14ac:dyDescent="0.4">
      <c r="K92" s="7">
        <v>90</v>
      </c>
      <c r="L92" s="65">
        <v>236.10000000000014</v>
      </c>
    </row>
    <row r="93" spans="11:12" x14ac:dyDescent="0.4">
      <c r="K93" s="7">
        <v>91</v>
      </c>
      <c r="L93" s="65">
        <v>240.30000000000013</v>
      </c>
    </row>
    <row r="94" spans="11:12" x14ac:dyDescent="0.4">
      <c r="K94" s="7">
        <v>92</v>
      </c>
      <c r="L94" s="65">
        <v>286.50000000000011</v>
      </c>
    </row>
    <row r="95" spans="11:12" x14ac:dyDescent="0.4">
      <c r="K95" s="7">
        <v>93</v>
      </c>
      <c r="L95" s="65">
        <v>263.30000000000013</v>
      </c>
    </row>
    <row r="96" spans="11:12" x14ac:dyDescent="0.4">
      <c r="K96" s="7">
        <v>94</v>
      </c>
      <c r="L96" s="65">
        <v>299.60000000000014</v>
      </c>
    </row>
    <row r="97" spans="11:12" x14ac:dyDescent="0.4">
      <c r="K97" s="7">
        <v>95</v>
      </c>
      <c r="L97" s="65">
        <v>335.30000000000013</v>
      </c>
    </row>
    <row r="98" spans="11:12" x14ac:dyDescent="0.4">
      <c r="K98" s="7">
        <v>96</v>
      </c>
      <c r="L98" s="65">
        <v>335.40000000000015</v>
      </c>
    </row>
    <row r="99" spans="11:12" x14ac:dyDescent="0.4">
      <c r="K99" s="7">
        <v>97</v>
      </c>
      <c r="L99" s="65">
        <v>334.70000000000016</v>
      </c>
    </row>
    <row r="100" spans="11:12" x14ac:dyDescent="0.4">
      <c r="K100" s="7">
        <v>98</v>
      </c>
      <c r="L100" s="65">
        <v>349.00000000000017</v>
      </c>
    </row>
    <row r="101" spans="11:12" x14ac:dyDescent="0.4">
      <c r="K101" s="7">
        <v>99</v>
      </c>
      <c r="L101" s="65">
        <v>386.70000000000016</v>
      </c>
    </row>
    <row r="102" spans="11:12" x14ac:dyDescent="0.4">
      <c r="K102" s="7">
        <v>100</v>
      </c>
      <c r="L102" s="65">
        <v>350.30000000000018</v>
      </c>
    </row>
    <row r="103" spans="11:12" x14ac:dyDescent="0.4">
      <c r="K103" s="7">
        <v>101</v>
      </c>
      <c r="L103" s="65">
        <v>344.9000000000002</v>
      </c>
    </row>
    <row r="104" spans="11:12" x14ac:dyDescent="0.4">
      <c r="K104" s="7">
        <v>102</v>
      </c>
      <c r="L104" s="65">
        <v>359.50000000000023</v>
      </c>
    </row>
    <row r="105" spans="11:12" x14ac:dyDescent="0.4">
      <c r="K105" s="7">
        <v>103</v>
      </c>
      <c r="L105" s="65">
        <v>402.30000000000024</v>
      </c>
    </row>
    <row r="106" spans="11:12" x14ac:dyDescent="0.4">
      <c r="K106" s="7">
        <v>104</v>
      </c>
      <c r="L106" s="65">
        <v>408.90000000000026</v>
      </c>
    </row>
    <row r="107" spans="11:12" x14ac:dyDescent="0.4">
      <c r="K107" s="7">
        <v>105</v>
      </c>
      <c r="L107" s="65">
        <v>372.30000000000024</v>
      </c>
    </row>
    <row r="108" spans="11:12" x14ac:dyDescent="0.4">
      <c r="K108" s="7">
        <v>106</v>
      </c>
      <c r="L108" s="65">
        <v>395.80000000000024</v>
      </c>
    </row>
    <row r="109" spans="11:12" x14ac:dyDescent="0.4">
      <c r="K109" s="7">
        <v>107</v>
      </c>
      <c r="L109" s="65">
        <v>438.20000000000022</v>
      </c>
    </row>
    <row r="110" spans="11:12" x14ac:dyDescent="0.4">
      <c r="K110" s="7">
        <v>108</v>
      </c>
      <c r="L110" s="65">
        <v>471.10000000000019</v>
      </c>
    </row>
    <row r="111" spans="11:12" x14ac:dyDescent="0.4">
      <c r="K111" s="7">
        <v>109</v>
      </c>
      <c r="L111" s="65">
        <v>509.00000000000017</v>
      </c>
    </row>
    <row r="112" spans="11:12" x14ac:dyDescent="0.4">
      <c r="K112" s="7">
        <v>110</v>
      </c>
      <c r="L112" s="65">
        <v>522.50000000000023</v>
      </c>
    </row>
    <row r="113" spans="11:12" x14ac:dyDescent="0.4">
      <c r="K113" s="7">
        <v>111</v>
      </c>
      <c r="L113" s="65">
        <v>600.80000000000018</v>
      </c>
    </row>
    <row r="114" spans="11:12" x14ac:dyDescent="0.4">
      <c r="K114" s="7">
        <v>112</v>
      </c>
      <c r="L114" s="65">
        <v>616.4000000000002</v>
      </c>
    </row>
    <row r="115" spans="11:12" x14ac:dyDescent="0.4">
      <c r="K115" s="7">
        <v>113</v>
      </c>
      <c r="L115" s="65">
        <v>638.10000000000025</v>
      </c>
    </row>
    <row r="116" spans="11:12" x14ac:dyDescent="0.4">
      <c r="K116" s="7">
        <v>114</v>
      </c>
      <c r="L116" s="65">
        <v>637.10000000000025</v>
      </c>
    </row>
    <row r="117" spans="11:12" x14ac:dyDescent="0.4">
      <c r="K117" s="7">
        <v>115</v>
      </c>
      <c r="L117" s="65">
        <v>581.10000000000025</v>
      </c>
    </row>
    <row r="118" spans="11:12" x14ac:dyDescent="0.4">
      <c r="K118" s="7">
        <v>116</v>
      </c>
      <c r="L118" s="65">
        <v>558.8000000000003</v>
      </c>
    </row>
    <row r="119" spans="11:12" x14ac:dyDescent="0.4">
      <c r="K119" s="7">
        <v>117</v>
      </c>
      <c r="L119" s="65">
        <v>619.00000000000034</v>
      </c>
    </row>
    <row r="120" spans="11:12" x14ac:dyDescent="0.4">
      <c r="K120" s="7">
        <v>118</v>
      </c>
      <c r="L120" s="65">
        <v>706.10000000000036</v>
      </c>
    </row>
    <row r="121" spans="11:12" x14ac:dyDescent="0.4">
      <c r="K121" s="7">
        <v>119</v>
      </c>
      <c r="L121" s="65">
        <v>672.80000000000041</v>
      </c>
    </row>
    <row r="122" spans="11:12" x14ac:dyDescent="0.4">
      <c r="K122" s="7">
        <v>120</v>
      </c>
      <c r="L122" s="65">
        <v>622.40000000000043</v>
      </c>
    </row>
    <row r="123" spans="11:12" x14ac:dyDescent="0.4">
      <c r="K123" s="7">
        <v>121</v>
      </c>
      <c r="L123" s="65">
        <v>623.70000000000039</v>
      </c>
    </row>
    <row r="124" spans="11:12" x14ac:dyDescent="0.4">
      <c r="K124" s="7">
        <v>122</v>
      </c>
      <c r="L124" s="65">
        <v>609.30000000000041</v>
      </c>
    </row>
    <row r="125" spans="11:12" x14ac:dyDescent="0.4">
      <c r="K125" s="7">
        <v>123</v>
      </c>
      <c r="L125" s="65">
        <v>621.50000000000045</v>
      </c>
    </row>
    <row r="126" spans="11:12" x14ac:dyDescent="0.4">
      <c r="K126" s="7">
        <v>124</v>
      </c>
      <c r="L126" s="65">
        <v>571.00000000000045</v>
      </c>
    </row>
    <row r="127" spans="11:12" x14ac:dyDescent="0.4">
      <c r="K127" s="7">
        <v>125</v>
      </c>
      <c r="L127" s="65">
        <v>505.50000000000045</v>
      </c>
    </row>
    <row r="128" spans="11:12" x14ac:dyDescent="0.4">
      <c r="K128" s="7">
        <v>126</v>
      </c>
      <c r="L128" s="65">
        <v>475.00000000000045</v>
      </c>
    </row>
    <row r="129" spans="11:12" x14ac:dyDescent="0.4">
      <c r="K129" s="7">
        <v>127</v>
      </c>
      <c r="L129" s="65">
        <v>531.30000000000041</v>
      </c>
    </row>
    <row r="130" spans="11:12" x14ac:dyDescent="0.4">
      <c r="K130" s="7">
        <v>128</v>
      </c>
      <c r="L130" s="65">
        <v>494.10000000000042</v>
      </c>
    </row>
    <row r="131" spans="11:12" x14ac:dyDescent="0.4">
      <c r="K131" s="7">
        <v>129</v>
      </c>
      <c r="L131" s="65">
        <v>529.80000000000041</v>
      </c>
    </row>
    <row r="132" spans="11:12" x14ac:dyDescent="0.4">
      <c r="K132" s="7">
        <v>130</v>
      </c>
      <c r="L132" s="65">
        <v>512.20000000000039</v>
      </c>
    </row>
    <row r="133" spans="11:12" x14ac:dyDescent="0.4">
      <c r="K133" s="7">
        <v>131</v>
      </c>
      <c r="L133" s="65">
        <v>465.20000000000039</v>
      </c>
    </row>
    <row r="134" spans="11:12" x14ac:dyDescent="0.4">
      <c r="K134" s="7">
        <v>132</v>
      </c>
      <c r="L134" s="65">
        <v>452.20000000000039</v>
      </c>
    </row>
    <row r="135" spans="11:12" x14ac:dyDescent="0.4">
      <c r="K135" s="7">
        <v>133</v>
      </c>
      <c r="L135" s="65">
        <v>512.90000000000043</v>
      </c>
    </row>
    <row r="136" spans="11:12" x14ac:dyDescent="0.4">
      <c r="K136" s="7">
        <v>134</v>
      </c>
      <c r="L136" s="65">
        <v>544.10000000000048</v>
      </c>
    </row>
    <row r="137" spans="11:12" x14ac:dyDescent="0.4">
      <c r="K137" s="7">
        <v>135</v>
      </c>
      <c r="L137" s="65">
        <v>548.60000000000048</v>
      </c>
    </row>
    <row r="138" spans="11:12" x14ac:dyDescent="0.4">
      <c r="K138" s="7">
        <v>136</v>
      </c>
      <c r="L138" s="65">
        <v>555.10000000000048</v>
      </c>
    </row>
    <row r="139" spans="11:12" x14ac:dyDescent="0.4">
      <c r="K139" s="7">
        <v>137</v>
      </c>
      <c r="L139" s="65">
        <v>588.50000000000045</v>
      </c>
    </row>
    <row r="140" spans="11:12" x14ac:dyDescent="0.4">
      <c r="K140" s="7">
        <v>138</v>
      </c>
      <c r="L140" s="65">
        <v>556.7000000000005</v>
      </c>
    </row>
    <row r="141" spans="11:12" x14ac:dyDescent="0.4">
      <c r="K141" s="7">
        <v>139</v>
      </c>
      <c r="L141" s="65">
        <v>581.90000000000055</v>
      </c>
    </row>
    <row r="142" spans="11:12" x14ac:dyDescent="0.4">
      <c r="K142" s="7">
        <v>140</v>
      </c>
      <c r="L142" s="65">
        <v>587.90000000000055</v>
      </c>
    </row>
    <row r="143" spans="11:12" x14ac:dyDescent="0.4">
      <c r="K143" s="7">
        <v>141</v>
      </c>
      <c r="L143" s="65">
        <v>534.90000000000055</v>
      </c>
    </row>
    <row r="144" spans="11:12" x14ac:dyDescent="0.4">
      <c r="K144" s="7">
        <v>142</v>
      </c>
      <c r="L144" s="65">
        <v>551.50000000000057</v>
      </c>
    </row>
    <row r="145" spans="11:12" x14ac:dyDescent="0.4">
      <c r="K145" s="7">
        <v>143</v>
      </c>
      <c r="L145" s="65">
        <v>528.30000000000052</v>
      </c>
    </row>
    <row r="146" spans="11:12" x14ac:dyDescent="0.4">
      <c r="K146" s="7">
        <v>144</v>
      </c>
      <c r="L146" s="65">
        <v>480.90000000000055</v>
      </c>
    </row>
    <row r="147" spans="11:12" x14ac:dyDescent="0.4">
      <c r="K147" s="7">
        <v>145</v>
      </c>
      <c r="L147" s="65">
        <v>496.00000000000057</v>
      </c>
    </row>
    <row r="148" spans="11:12" x14ac:dyDescent="0.4">
      <c r="K148" s="7">
        <v>146</v>
      </c>
      <c r="L148" s="65">
        <v>449.90000000000055</v>
      </c>
    </row>
    <row r="149" spans="11:12" x14ac:dyDescent="0.4">
      <c r="K149" s="7">
        <v>147</v>
      </c>
      <c r="L149" s="65">
        <v>524.00000000000057</v>
      </c>
    </row>
    <row r="150" spans="11:12" x14ac:dyDescent="0.4">
      <c r="K150" s="7">
        <v>148</v>
      </c>
      <c r="L150" s="65">
        <v>514.50000000000057</v>
      </c>
    </row>
    <row r="151" spans="11:12" x14ac:dyDescent="0.4">
      <c r="K151" s="7">
        <v>149</v>
      </c>
      <c r="L151" s="65">
        <v>570.00000000000057</v>
      </c>
    </row>
    <row r="152" spans="11:12" x14ac:dyDescent="0.4">
      <c r="K152" s="7">
        <v>150</v>
      </c>
      <c r="L152" s="65">
        <v>598.20000000000061</v>
      </c>
    </row>
    <row r="153" spans="11:12" x14ac:dyDescent="0.4">
      <c r="K153" s="7">
        <v>151</v>
      </c>
      <c r="L153" s="65">
        <v>593.50000000000057</v>
      </c>
    </row>
    <row r="154" spans="11:12" x14ac:dyDescent="0.4">
      <c r="K154" s="7">
        <v>152</v>
      </c>
      <c r="L154" s="65">
        <v>623.50000000000057</v>
      </c>
    </row>
    <row r="155" spans="11:12" x14ac:dyDescent="0.4">
      <c r="K155" s="7">
        <v>153</v>
      </c>
      <c r="L155" s="65">
        <v>682.50000000000057</v>
      </c>
    </row>
    <row r="156" spans="11:12" x14ac:dyDescent="0.4">
      <c r="K156" s="7">
        <v>154</v>
      </c>
      <c r="L156" s="65">
        <v>699.00000000000057</v>
      </c>
    </row>
    <row r="157" spans="11:12" x14ac:dyDescent="0.4">
      <c r="K157" s="7">
        <v>155</v>
      </c>
      <c r="L157" s="65">
        <v>713.80000000000052</v>
      </c>
    </row>
    <row r="158" spans="11:12" x14ac:dyDescent="0.4">
      <c r="K158" s="7">
        <v>156</v>
      </c>
      <c r="L158" s="65">
        <v>695.10000000000048</v>
      </c>
    </row>
    <row r="159" spans="11:12" x14ac:dyDescent="0.4">
      <c r="K159" s="7">
        <v>157</v>
      </c>
      <c r="L159" s="65">
        <v>756.00000000000045</v>
      </c>
    </row>
    <row r="160" spans="11:12" x14ac:dyDescent="0.4">
      <c r="K160" s="7">
        <v>158</v>
      </c>
      <c r="L160" s="65">
        <v>741.60000000000048</v>
      </c>
    </row>
    <row r="161" spans="11:12" x14ac:dyDescent="0.4">
      <c r="K161" s="7">
        <v>159</v>
      </c>
      <c r="L161" s="65">
        <v>699.60000000000048</v>
      </c>
    </row>
    <row r="162" spans="11:12" x14ac:dyDescent="0.4">
      <c r="K162" s="7">
        <v>160</v>
      </c>
      <c r="L162" s="65">
        <v>756.00000000000045</v>
      </c>
    </row>
    <row r="163" spans="11:12" x14ac:dyDescent="0.4">
      <c r="K163" s="7">
        <v>161</v>
      </c>
      <c r="L163" s="65">
        <v>796.40000000000043</v>
      </c>
    </row>
    <row r="164" spans="11:12" x14ac:dyDescent="0.4">
      <c r="K164" s="7">
        <v>162</v>
      </c>
      <c r="L164" s="65">
        <v>777.80000000000041</v>
      </c>
    </row>
    <row r="165" spans="11:12" x14ac:dyDescent="0.4">
      <c r="K165" s="7">
        <v>163</v>
      </c>
      <c r="L165" s="65">
        <v>791.60000000000036</v>
      </c>
    </row>
    <row r="166" spans="11:12" x14ac:dyDescent="0.4">
      <c r="K166" s="7">
        <v>164</v>
      </c>
      <c r="L166" s="65">
        <v>742.90000000000032</v>
      </c>
    </row>
    <row r="167" spans="11:12" x14ac:dyDescent="0.4">
      <c r="K167" s="7">
        <v>165</v>
      </c>
      <c r="L167" s="65">
        <v>772.10000000000036</v>
      </c>
    </row>
    <row r="168" spans="11:12" x14ac:dyDescent="0.4">
      <c r="K168" s="7">
        <v>166</v>
      </c>
      <c r="L168" s="65">
        <v>844.40000000000032</v>
      </c>
    </row>
    <row r="169" spans="11:12" x14ac:dyDescent="0.4">
      <c r="K169" s="7">
        <v>167</v>
      </c>
      <c r="L169" s="65">
        <v>888.20000000000027</v>
      </c>
    </row>
  </sheetData>
  <sortState xmlns:xlrd2="http://schemas.microsoft.com/office/spreadsheetml/2017/richdata2" ref="E2:I170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FF00A-8BC9-42D0-8E80-85055E745C8E}">
  <sheetPr codeName="Sheet17"/>
  <dimension ref="A1:Q173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168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171</v>
      </c>
      <c r="C2" s="132"/>
      <c r="E2" s="28" t="s">
        <v>66</v>
      </c>
      <c r="F2" s="25" t="s">
        <v>22</v>
      </c>
      <c r="G2" s="13">
        <v>278</v>
      </c>
      <c r="H2" s="91">
        <f t="shared" ref="H2:H33" si="0">IF(B$19=0,0,G2/B$19)</f>
        <v>0.73350923482849606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1">IF(P2=0,0,Q2/P2)</f>
        <v>-167.83625730994152</v>
      </c>
      <c r="P2" s="80">
        <v>171</v>
      </c>
      <c r="Q2" s="67">
        <v>-28700</v>
      </c>
    </row>
    <row r="3" spans="1:17" x14ac:dyDescent="0.4">
      <c r="A3" s="21" t="s">
        <v>8</v>
      </c>
      <c r="B3" s="133">
        <v>1387</v>
      </c>
      <c r="C3" s="134"/>
      <c r="E3" s="29" t="s">
        <v>72</v>
      </c>
      <c r="F3" s="26" t="s">
        <v>27</v>
      </c>
      <c r="G3" s="14">
        <v>208</v>
      </c>
      <c r="H3" s="92">
        <f t="shared" si="0"/>
        <v>0.54881266490765168</v>
      </c>
      <c r="I3" s="60">
        <v>5</v>
      </c>
      <c r="K3" s="7">
        <v>1</v>
      </c>
      <c r="L3" s="65">
        <v>46.9</v>
      </c>
      <c r="N3" s="78" t="s">
        <v>131</v>
      </c>
      <c r="O3" s="84">
        <f t="shared" si="1"/>
        <v>632.14285714285711</v>
      </c>
      <c r="P3" s="81">
        <v>168</v>
      </c>
      <c r="Q3" s="68">
        <v>106200</v>
      </c>
    </row>
    <row r="4" spans="1:17" x14ac:dyDescent="0.4">
      <c r="A4" s="21" t="s">
        <v>6</v>
      </c>
      <c r="B4" s="135">
        <v>-81.499999999999986</v>
      </c>
      <c r="C4" s="136"/>
      <c r="E4" s="29" t="s">
        <v>64</v>
      </c>
      <c r="F4" s="26" t="s">
        <v>20</v>
      </c>
      <c r="G4" s="14">
        <v>183</v>
      </c>
      <c r="H4" s="92">
        <f t="shared" si="0"/>
        <v>0.48284960422163586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1"/>
        <v>264.96815286624206</v>
      </c>
      <c r="P4" s="81">
        <v>157</v>
      </c>
      <c r="Q4" s="68">
        <v>41600</v>
      </c>
    </row>
    <row r="5" spans="1:17" x14ac:dyDescent="0.4">
      <c r="A5" s="21" t="s">
        <v>7</v>
      </c>
      <c r="B5" s="123">
        <f>IF(B$2=0,0,B$4/B$2)</f>
        <v>-0.47660818713450281</v>
      </c>
      <c r="C5" s="124"/>
      <c r="E5" s="29" t="s">
        <v>163</v>
      </c>
      <c r="F5" s="26" t="s">
        <v>164</v>
      </c>
      <c r="G5" s="14">
        <v>169</v>
      </c>
      <c r="H5" s="92">
        <f t="shared" si="0"/>
        <v>0.44591029023746703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1"/>
        <v>-76.223776223776227</v>
      </c>
      <c r="P5" s="81">
        <v>143</v>
      </c>
      <c r="Q5" s="68">
        <v>-10900</v>
      </c>
    </row>
    <row r="6" spans="1:17" x14ac:dyDescent="0.4">
      <c r="A6" s="21" t="s">
        <v>1</v>
      </c>
      <c r="B6" s="137">
        <f>IF(B$2=0,0,(B$7*1+B$8*2+B$9*3)/B$2)</f>
        <v>2.0467836257309941</v>
      </c>
      <c r="C6" s="138"/>
      <c r="E6" s="29" t="s">
        <v>68</v>
      </c>
      <c r="F6" s="26" t="s">
        <v>12</v>
      </c>
      <c r="G6" s="14">
        <v>121</v>
      </c>
      <c r="H6" s="92">
        <f t="shared" si="0"/>
        <v>0.31926121372031663</v>
      </c>
      <c r="I6" s="60">
        <v>5</v>
      </c>
      <c r="K6" s="7">
        <v>4</v>
      </c>
      <c r="L6" s="65">
        <v>-19.3</v>
      </c>
      <c r="N6" s="78" t="s">
        <v>134</v>
      </c>
      <c r="O6" s="84">
        <f t="shared" si="1"/>
        <v>158.59375</v>
      </c>
      <c r="P6" s="81">
        <v>128</v>
      </c>
      <c r="Q6" s="68">
        <v>20300</v>
      </c>
    </row>
    <row r="7" spans="1:17" x14ac:dyDescent="0.4">
      <c r="A7" s="21" t="s">
        <v>2</v>
      </c>
      <c r="B7" s="14">
        <v>44</v>
      </c>
      <c r="C7" s="8">
        <f t="shared" ref="C7:C14" si="2">IF(B$2=0,0,B7/B$2)</f>
        <v>0.25730994152046782</v>
      </c>
      <c r="E7" s="29" t="s">
        <v>67</v>
      </c>
      <c r="F7" s="26" t="s">
        <v>23</v>
      </c>
      <c r="G7" s="14">
        <v>118</v>
      </c>
      <c r="H7" s="92">
        <f t="shared" si="0"/>
        <v>0.31134564643799473</v>
      </c>
      <c r="I7" s="60">
        <v>6</v>
      </c>
      <c r="K7" s="7">
        <v>5</v>
      </c>
      <c r="L7" s="65">
        <v>-1.6000000000000014</v>
      </c>
      <c r="N7" s="79" t="s">
        <v>135</v>
      </c>
      <c r="O7" s="85">
        <f t="shared" si="1"/>
        <v>-916.36363636363637</v>
      </c>
      <c r="P7" s="82">
        <v>110</v>
      </c>
      <c r="Q7" s="69">
        <v>-100800</v>
      </c>
    </row>
    <row r="8" spans="1:17" x14ac:dyDescent="0.4">
      <c r="A8" s="21" t="s">
        <v>3</v>
      </c>
      <c r="B8" s="14">
        <v>75</v>
      </c>
      <c r="C8" s="8">
        <f t="shared" si="2"/>
        <v>0.43859649122807015</v>
      </c>
      <c r="E8" s="29" t="s">
        <v>69</v>
      </c>
      <c r="F8" s="26" t="s">
        <v>24</v>
      </c>
      <c r="G8" s="14">
        <v>53</v>
      </c>
      <c r="H8" s="92">
        <f t="shared" si="0"/>
        <v>0.13984168865435356</v>
      </c>
      <c r="I8" s="60">
        <v>8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">
      <c r="A9" s="22" t="s">
        <v>4</v>
      </c>
      <c r="B9" s="15">
        <v>52</v>
      </c>
      <c r="C9" s="9">
        <f t="shared" si="2"/>
        <v>0.30409356725146197</v>
      </c>
      <c r="E9" s="29" t="s">
        <v>89</v>
      </c>
      <c r="F9" s="26" t="s">
        <v>44</v>
      </c>
      <c r="G9" s="14">
        <v>53</v>
      </c>
      <c r="H9" s="92">
        <f t="shared" si="0"/>
        <v>0.13984168865435356</v>
      </c>
      <c r="I9" s="60">
        <v>7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37.981818181818177</v>
      </c>
      <c r="C10" s="114">
        <v>1671.1999999999998</v>
      </c>
      <c r="E10" s="29" t="s">
        <v>71</v>
      </c>
      <c r="F10" s="26" t="s">
        <v>26</v>
      </c>
      <c r="G10" s="14">
        <v>38</v>
      </c>
      <c r="H10" s="92">
        <f t="shared" si="0"/>
        <v>0.10026385224274406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-2.5298507462686577</v>
      </c>
      <c r="P10" s="80">
        <v>67</v>
      </c>
      <c r="Q10" s="71">
        <v>-169.50000000000006</v>
      </c>
    </row>
    <row r="11" spans="1:17" x14ac:dyDescent="0.4">
      <c r="A11" s="22" t="s">
        <v>204</v>
      </c>
      <c r="B11" s="113">
        <f>IF(B8=0,0,C11/B8)</f>
        <v>0.30133333333333356</v>
      </c>
      <c r="C11" s="114">
        <v>22.600000000000016</v>
      </c>
      <c r="E11" s="29" t="s">
        <v>65</v>
      </c>
      <c r="F11" s="26" t="s">
        <v>21</v>
      </c>
      <c r="G11" s="14">
        <v>31</v>
      </c>
      <c r="H11" s="92">
        <f t="shared" si="0"/>
        <v>8.1794195250659632E-2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0.39038461538461589</v>
      </c>
      <c r="P11" s="81">
        <v>52</v>
      </c>
      <c r="Q11" s="72">
        <v>20.300000000000026</v>
      </c>
    </row>
    <row r="12" spans="1:17" x14ac:dyDescent="0.4">
      <c r="A12" s="22" t="s">
        <v>205</v>
      </c>
      <c r="B12" s="113">
        <f>IF(B9=0,0,C12/B9)</f>
        <v>-34.140384615384612</v>
      </c>
      <c r="C12" s="114">
        <v>-1775.2999999999997</v>
      </c>
      <c r="E12" s="29" t="s">
        <v>70</v>
      </c>
      <c r="F12" s="26" t="s">
        <v>25</v>
      </c>
      <c r="G12" s="14">
        <v>29</v>
      </c>
      <c r="H12" s="92">
        <f t="shared" si="0"/>
        <v>7.6517150395778361E-2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1.3019230769230767</v>
      </c>
      <c r="P12" s="82">
        <v>52</v>
      </c>
      <c r="Q12" s="73">
        <v>67.699999999999989</v>
      </c>
    </row>
    <row r="13" spans="1:17" x14ac:dyDescent="0.4">
      <c r="A13" s="22" t="s">
        <v>206</v>
      </c>
      <c r="B13" s="123">
        <f>AVERAGE(B10:B12)</f>
        <v>1.3809222999222992</v>
      </c>
      <c r="C13" s="124"/>
      <c r="E13" s="29" t="s">
        <v>86</v>
      </c>
      <c r="F13" s="26" t="s">
        <v>41</v>
      </c>
      <c r="G13" s="14">
        <v>18</v>
      </c>
      <c r="H13" s="92">
        <f t="shared" si="0"/>
        <v>4.7493403693931395E-2</v>
      </c>
      <c r="I13" s="60">
        <v>7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14</v>
      </c>
      <c r="C14" s="11">
        <f t="shared" si="2"/>
        <v>8.1871345029239762E-2</v>
      </c>
      <c r="E14" s="29" t="s">
        <v>83</v>
      </c>
      <c r="F14" s="26" t="s">
        <v>38</v>
      </c>
      <c r="G14" s="14">
        <v>16</v>
      </c>
      <c r="H14" s="92">
        <f t="shared" si="0"/>
        <v>4.221635883905013E-2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346</v>
      </c>
      <c r="C15" s="12">
        <f>IF(B$3=0,0,B15/B$3)</f>
        <v>0.24945926459985579</v>
      </c>
      <c r="E15" s="29" t="s">
        <v>78</v>
      </c>
      <c r="F15" s="26" t="s">
        <v>33</v>
      </c>
      <c r="G15" s="14">
        <v>8</v>
      </c>
      <c r="H15" s="92">
        <f t="shared" si="0"/>
        <v>2.1108179419525065E-2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 t="shared" ref="O15:O25" si="3">IF(P15=0,0,Q15/P15)</f>
        <v>53.179999999999993</v>
      </c>
      <c r="P15" s="80">
        <v>5</v>
      </c>
      <c r="Q15" s="71">
        <v>265.89999999999998</v>
      </c>
    </row>
    <row r="16" spans="1:17" x14ac:dyDescent="0.4">
      <c r="A16" s="21" t="s">
        <v>118</v>
      </c>
      <c r="B16" s="14">
        <v>313</v>
      </c>
      <c r="C16" s="8">
        <f>IF(B$3=0,0,B16/B$3)</f>
        <v>0.22566690699351116</v>
      </c>
      <c r="E16" s="29" t="s">
        <v>79</v>
      </c>
      <c r="F16" s="26" t="s">
        <v>34</v>
      </c>
      <c r="G16" s="14">
        <v>7</v>
      </c>
      <c r="H16" s="92">
        <f t="shared" si="0"/>
        <v>1.8469656992084433E-2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 t="shared" si="3"/>
        <v>27.200000000000003</v>
      </c>
      <c r="P16" s="81">
        <v>1</v>
      </c>
      <c r="Q16" s="72">
        <v>27.200000000000003</v>
      </c>
    </row>
    <row r="17" spans="1:17" x14ac:dyDescent="0.4">
      <c r="A17" s="20" t="s">
        <v>123</v>
      </c>
      <c r="B17" s="13">
        <f>B23</f>
        <v>190</v>
      </c>
      <c r="C17" s="6">
        <f>IF(B$15=0,0,B17/B$15)</f>
        <v>0.54913294797687862</v>
      </c>
      <c r="E17" s="29" t="s">
        <v>159</v>
      </c>
      <c r="F17" s="26" t="s">
        <v>160</v>
      </c>
      <c r="G17" s="14">
        <v>7</v>
      </c>
      <c r="H17" s="92">
        <f t="shared" si="0"/>
        <v>1.8469656992084433E-2</v>
      </c>
      <c r="I17" s="60">
        <v>5</v>
      </c>
      <c r="K17" s="7">
        <v>15</v>
      </c>
      <c r="L17" s="65">
        <v>-35.499999999999986</v>
      </c>
      <c r="N17" s="78" t="s">
        <v>194</v>
      </c>
      <c r="O17" s="87">
        <f t="shared" si="3"/>
        <v>23.842857142857138</v>
      </c>
      <c r="P17" s="81">
        <v>7</v>
      </c>
      <c r="Q17" s="72">
        <v>166.89999999999998</v>
      </c>
    </row>
    <row r="18" spans="1:17" x14ac:dyDescent="0.4">
      <c r="A18" s="20" t="s">
        <v>124</v>
      </c>
      <c r="B18" s="13">
        <f>B24</f>
        <v>132</v>
      </c>
      <c r="C18" s="6">
        <f>IF(B$16=0,0,B18/B$16)</f>
        <v>0.4217252396166134</v>
      </c>
      <c r="E18" s="29" t="s">
        <v>73</v>
      </c>
      <c r="F18" s="26" t="s">
        <v>28</v>
      </c>
      <c r="G18" s="14">
        <v>5</v>
      </c>
      <c r="H18" s="92">
        <f t="shared" si="0"/>
        <v>1.3192612137203167E-2</v>
      </c>
      <c r="I18" s="60">
        <v>1</v>
      </c>
      <c r="K18" s="7">
        <v>16</v>
      </c>
      <c r="L18" s="65">
        <v>-35.599999999999987</v>
      </c>
      <c r="N18" s="78" t="s">
        <v>195</v>
      </c>
      <c r="O18" s="87">
        <f t="shared" si="3"/>
        <v>19</v>
      </c>
      <c r="P18" s="81">
        <v>29</v>
      </c>
      <c r="Q18" s="72">
        <v>551</v>
      </c>
    </row>
    <row r="19" spans="1:17" x14ac:dyDescent="0.4">
      <c r="A19" s="20" t="s">
        <v>10</v>
      </c>
      <c r="B19" s="13">
        <f>B22+B21</f>
        <v>379</v>
      </c>
      <c r="C19" s="6">
        <f>IF(B$3=0,0,B19/B$3)</f>
        <v>0.27325162220620042</v>
      </c>
      <c r="E19" s="29" t="s">
        <v>81</v>
      </c>
      <c r="F19" s="26" t="s">
        <v>36</v>
      </c>
      <c r="G19" s="14">
        <v>5</v>
      </c>
      <c r="H19" s="92">
        <f t="shared" si="0"/>
        <v>1.3192612137203167E-2</v>
      </c>
      <c r="I19" s="60">
        <v>9</v>
      </c>
      <c r="K19" s="7">
        <v>17</v>
      </c>
      <c r="L19" s="65">
        <v>-29.799999999999986</v>
      </c>
      <c r="N19" s="78" t="s">
        <v>169</v>
      </c>
      <c r="O19" s="87">
        <f t="shared" si="3"/>
        <v>7.5862068965517251</v>
      </c>
      <c r="P19" s="81">
        <v>29</v>
      </c>
      <c r="Q19" s="72">
        <v>220.00000000000003</v>
      </c>
    </row>
    <row r="20" spans="1:17" x14ac:dyDescent="0.4">
      <c r="A20" s="21" t="s">
        <v>13</v>
      </c>
      <c r="B20" s="14">
        <v>190</v>
      </c>
      <c r="C20" s="8">
        <f>IF(B$3=0,0,B20/B$3)</f>
        <v>0.13698630136986301</v>
      </c>
      <c r="E20" s="29" t="s">
        <v>91</v>
      </c>
      <c r="F20" s="26" t="s">
        <v>46</v>
      </c>
      <c r="G20" s="14">
        <v>5</v>
      </c>
      <c r="H20" s="92">
        <f t="shared" si="0"/>
        <v>1.3192612137203167E-2</v>
      </c>
      <c r="I20" s="60">
        <v>7</v>
      </c>
      <c r="K20" s="7">
        <v>18</v>
      </c>
      <c r="L20" s="65">
        <v>-62.399999999999991</v>
      </c>
      <c r="N20" s="78" t="s">
        <v>281</v>
      </c>
      <c r="O20" s="87">
        <f t="shared" si="3"/>
        <v>4.7999999999999989</v>
      </c>
      <c r="P20" s="81">
        <v>2</v>
      </c>
      <c r="Q20" s="72">
        <v>9.5999999999999979</v>
      </c>
    </row>
    <row r="21" spans="1:17" x14ac:dyDescent="0.4">
      <c r="A21" s="21" t="s">
        <v>12</v>
      </c>
      <c r="B21" s="14">
        <v>173</v>
      </c>
      <c r="C21" s="8">
        <f>IF(B$19=0,0,B21/B$19)</f>
        <v>0.45646437994722955</v>
      </c>
      <c r="E21" s="29" t="s">
        <v>85</v>
      </c>
      <c r="F21" s="26" t="s">
        <v>40</v>
      </c>
      <c r="G21" s="14">
        <v>4</v>
      </c>
      <c r="H21" s="92">
        <f t="shared" si="0"/>
        <v>1.0554089709762533E-2</v>
      </c>
      <c r="I21" s="60">
        <v>3</v>
      </c>
      <c r="K21" s="7">
        <v>19</v>
      </c>
      <c r="L21" s="65">
        <v>-56.399999999999991</v>
      </c>
      <c r="N21" s="78" t="s">
        <v>127</v>
      </c>
      <c r="O21" s="87">
        <f t="shared" si="3"/>
        <v>3.1029411764705883</v>
      </c>
      <c r="P21" s="81">
        <v>68</v>
      </c>
      <c r="Q21" s="72">
        <v>211</v>
      </c>
    </row>
    <row r="22" spans="1:17" x14ac:dyDescent="0.4">
      <c r="A22" s="21" t="s">
        <v>11</v>
      </c>
      <c r="B22" s="14">
        <v>206</v>
      </c>
      <c r="C22" s="8">
        <f>IF(B$19=0,0,B22/B$19)</f>
        <v>0.54353562005277045</v>
      </c>
      <c r="E22" s="29" t="s">
        <v>75</v>
      </c>
      <c r="F22" s="26" t="s">
        <v>30</v>
      </c>
      <c r="G22" s="14">
        <v>3</v>
      </c>
      <c r="H22" s="92">
        <f t="shared" si="0"/>
        <v>7.9155672823219003E-3</v>
      </c>
      <c r="I22" s="60">
        <v>5</v>
      </c>
      <c r="K22" s="7">
        <v>20</v>
      </c>
      <c r="L22" s="65">
        <v>-93.199999999999989</v>
      </c>
      <c r="N22" s="78" t="s">
        <v>158</v>
      </c>
      <c r="O22" s="87">
        <f t="shared" si="3"/>
        <v>1.0885714285714285</v>
      </c>
      <c r="P22" s="81">
        <v>35</v>
      </c>
      <c r="Q22" s="72">
        <v>38.1</v>
      </c>
    </row>
    <row r="23" spans="1:17" x14ac:dyDescent="0.4">
      <c r="A23" s="21" t="s">
        <v>192</v>
      </c>
      <c r="B23" s="14">
        <v>190</v>
      </c>
      <c r="C23" s="8">
        <f>IF(B$19=0,0,B23/B$19)</f>
        <v>0.50131926121372028</v>
      </c>
      <c r="E23" s="29" t="s">
        <v>92</v>
      </c>
      <c r="F23" s="26" t="s">
        <v>47</v>
      </c>
      <c r="G23" s="14">
        <v>3</v>
      </c>
      <c r="H23" s="92">
        <f t="shared" si="0"/>
        <v>7.9155672823219003E-3</v>
      </c>
      <c r="I23" s="60">
        <v>3</v>
      </c>
      <c r="K23" s="7">
        <v>21</v>
      </c>
      <c r="L23" s="65">
        <v>-123.69999999999999</v>
      </c>
      <c r="N23" s="78" t="s">
        <v>167</v>
      </c>
      <c r="O23" s="87">
        <f t="shared" si="3"/>
        <v>-7.2584415584415556</v>
      </c>
      <c r="P23" s="81">
        <v>77</v>
      </c>
      <c r="Q23" s="72">
        <v>-558.89999999999975</v>
      </c>
    </row>
    <row r="24" spans="1:17" x14ac:dyDescent="0.4">
      <c r="A24" s="21" t="s">
        <v>190</v>
      </c>
      <c r="B24" s="14">
        <v>132</v>
      </c>
      <c r="C24" s="8">
        <f>IF(B$19=0,0,B24/B$19)</f>
        <v>0.34828496042216361</v>
      </c>
      <c r="E24" s="29" t="s">
        <v>88</v>
      </c>
      <c r="F24" s="26" t="s">
        <v>43</v>
      </c>
      <c r="G24" s="14">
        <v>2</v>
      </c>
      <c r="H24" s="92">
        <f t="shared" si="0"/>
        <v>5.2770448548812663E-3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 t="shared" si="3"/>
        <v>-12.305882352941179</v>
      </c>
      <c r="P24" s="81">
        <v>85</v>
      </c>
      <c r="Q24" s="72">
        <v>-1046.0000000000002</v>
      </c>
    </row>
    <row r="25" spans="1:17" x14ac:dyDescent="0.4">
      <c r="A25" s="21" t="s">
        <v>191</v>
      </c>
      <c r="B25" s="14">
        <v>57</v>
      </c>
      <c r="C25" s="8">
        <f>IF(B$19=0,0,B25/B$19)</f>
        <v>0.15039577836411611</v>
      </c>
      <c r="E25" s="29" t="s">
        <v>74</v>
      </c>
      <c r="F25" s="26" t="s">
        <v>29</v>
      </c>
      <c r="G25" s="14">
        <v>1</v>
      </c>
      <c r="H25" s="92">
        <f t="shared" si="0"/>
        <v>2.6385224274406332E-3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 t="shared" si="3"/>
        <v>-32.325000000000003</v>
      </c>
      <c r="P25" s="81">
        <v>4</v>
      </c>
      <c r="Q25" s="72">
        <v>-129.30000000000001</v>
      </c>
    </row>
    <row r="26" spans="1:17" x14ac:dyDescent="0.4">
      <c r="A26" s="21" t="s">
        <v>5</v>
      </c>
      <c r="B26" s="18">
        <f>IF(B$19=0,0,C26/B$19)</f>
        <v>8472.0316622691298</v>
      </c>
      <c r="C26" s="10">
        <v>3210900</v>
      </c>
      <c r="E26" s="29" t="s">
        <v>87</v>
      </c>
      <c r="F26" s="26" t="s">
        <v>42</v>
      </c>
      <c r="G26" s="14">
        <v>1</v>
      </c>
      <c r="H26" s="92">
        <f t="shared" si="0"/>
        <v>2.6385224274406332E-3</v>
      </c>
      <c r="I26" s="60">
        <v>4</v>
      </c>
      <c r="K26" s="7">
        <v>24</v>
      </c>
      <c r="L26" s="65">
        <v>-91.399999999999991</v>
      </c>
    </row>
    <row r="27" spans="1:17" x14ac:dyDescent="0.4">
      <c r="A27" s="22" t="s">
        <v>174</v>
      </c>
      <c r="B27" s="99">
        <f>IF($B$19-B$18=0,0,C27/($B$19-B$18))</f>
        <v>9398.7854251012141</v>
      </c>
      <c r="C27" s="100">
        <v>2321500</v>
      </c>
      <c r="E27" s="29" t="s">
        <v>93</v>
      </c>
      <c r="F27" s="26" t="s">
        <v>48</v>
      </c>
      <c r="G27" s="14">
        <v>1</v>
      </c>
      <c r="H27" s="92">
        <f t="shared" si="0"/>
        <v>2.6385224274406332E-3</v>
      </c>
      <c r="I27" s="60">
        <v>2</v>
      </c>
      <c r="K27" s="7">
        <v>25</v>
      </c>
      <c r="L27" s="65">
        <v>-41.29999999999999</v>
      </c>
    </row>
    <row r="28" spans="1:17" x14ac:dyDescent="0.4">
      <c r="A28" s="22" t="s">
        <v>175</v>
      </c>
      <c r="B28" s="99">
        <f>IF(B$18=0,0,C28/B$18)</f>
        <v>6737.878787878788</v>
      </c>
      <c r="C28" s="100">
        <v>889400</v>
      </c>
      <c r="E28" s="29" t="s">
        <v>101</v>
      </c>
      <c r="F28" s="26" t="s">
        <v>56</v>
      </c>
      <c r="G28" s="14">
        <v>1</v>
      </c>
      <c r="H28" s="92">
        <f t="shared" si="0"/>
        <v>2.6385224274406332E-3</v>
      </c>
      <c r="I28" s="60">
        <v>1</v>
      </c>
      <c r="K28" s="7">
        <v>26</v>
      </c>
      <c r="L28" s="65">
        <v>-54.099999999999994</v>
      </c>
    </row>
    <row r="29" spans="1:17" x14ac:dyDescent="0.4">
      <c r="A29" s="22" t="s">
        <v>173</v>
      </c>
      <c r="B29" s="99">
        <f>IF(B$20=0,0,C29/B$20)</f>
        <v>-7230.5263157894733</v>
      </c>
      <c r="C29" s="100">
        <v>-1373800</v>
      </c>
      <c r="E29" s="29" t="s">
        <v>76</v>
      </c>
      <c r="F29" s="26" t="s">
        <v>31</v>
      </c>
      <c r="G29" s="14">
        <v>0</v>
      </c>
      <c r="H29" s="92">
        <f t="shared" si="0"/>
        <v>0</v>
      </c>
      <c r="I29" s="60">
        <v>3</v>
      </c>
      <c r="K29" s="7">
        <v>27</v>
      </c>
      <c r="L29" s="65">
        <v>-70.199999999999989</v>
      </c>
    </row>
    <row r="30" spans="1:17" x14ac:dyDescent="0.4">
      <c r="A30" s="21" t="s">
        <v>161</v>
      </c>
      <c r="B30" s="14">
        <v>6</v>
      </c>
      <c r="C30" s="94">
        <v>0</v>
      </c>
      <c r="E30" s="29" t="s">
        <v>77</v>
      </c>
      <c r="F30" s="26" t="s">
        <v>32</v>
      </c>
      <c r="G30" s="14">
        <v>0</v>
      </c>
      <c r="H30" s="92">
        <f t="shared" si="0"/>
        <v>0</v>
      </c>
      <c r="I30" s="60">
        <v>6</v>
      </c>
      <c r="K30" s="7">
        <v>28</v>
      </c>
      <c r="L30" s="65">
        <v>-61.29999999999999</v>
      </c>
    </row>
    <row r="31" spans="1:17" x14ac:dyDescent="0.4">
      <c r="A31" s="21" t="s">
        <v>162</v>
      </c>
      <c r="B31" s="14">
        <v>44</v>
      </c>
      <c r="C31" s="94">
        <v>35</v>
      </c>
      <c r="E31" s="29" t="s">
        <v>80</v>
      </c>
      <c r="F31" s="26" t="s">
        <v>35</v>
      </c>
      <c r="G31" s="14">
        <v>0</v>
      </c>
      <c r="H31" s="92">
        <f t="shared" si="0"/>
        <v>0</v>
      </c>
      <c r="I31" s="60">
        <v>1</v>
      </c>
      <c r="K31" s="7">
        <v>29</v>
      </c>
      <c r="L31" s="65">
        <v>-109.69999999999999</v>
      </c>
    </row>
    <row r="32" spans="1:17" x14ac:dyDescent="0.4">
      <c r="A32" s="56" t="s">
        <v>138</v>
      </c>
      <c r="B32" s="125">
        <v>8</v>
      </c>
      <c r="C32" s="126"/>
      <c r="E32" s="29" t="s">
        <v>82</v>
      </c>
      <c r="F32" s="26" t="s">
        <v>37</v>
      </c>
      <c r="G32" s="14">
        <v>0</v>
      </c>
      <c r="H32" s="92">
        <f t="shared" si="0"/>
        <v>0</v>
      </c>
      <c r="I32" s="60">
        <v>1</v>
      </c>
      <c r="K32" s="7">
        <v>30</v>
      </c>
      <c r="L32" s="65">
        <v>-107.29999999999998</v>
      </c>
    </row>
    <row r="33" spans="1:12" x14ac:dyDescent="0.4">
      <c r="A33" s="24" t="s">
        <v>189</v>
      </c>
      <c r="B33" s="127">
        <v>101400</v>
      </c>
      <c r="C33" s="128"/>
      <c r="E33" s="29" t="s">
        <v>84</v>
      </c>
      <c r="F33" s="26" t="s">
        <v>39</v>
      </c>
      <c r="G33" s="14">
        <v>0</v>
      </c>
      <c r="H33" s="92">
        <f t="shared" si="0"/>
        <v>0</v>
      </c>
      <c r="I33" s="60">
        <v>6</v>
      </c>
      <c r="K33" s="7">
        <v>31</v>
      </c>
      <c r="L33" s="65">
        <v>-96.799999999999983</v>
      </c>
    </row>
    <row r="34" spans="1:12" x14ac:dyDescent="0.4">
      <c r="A34" s="23" t="s">
        <v>139</v>
      </c>
      <c r="B34" s="31">
        <v>2</v>
      </c>
      <c r="C34" s="11">
        <f>IF(B$3=0,0,B34/B$3)</f>
        <v>1.4419610670511895E-3</v>
      </c>
      <c r="E34" s="29" t="s">
        <v>90</v>
      </c>
      <c r="F34" s="26" t="s">
        <v>45</v>
      </c>
      <c r="G34" s="14">
        <v>0</v>
      </c>
      <c r="H34" s="92">
        <f t="shared" ref="H34:H65" si="4"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 t="shared" si="4"/>
        <v>0</v>
      </c>
      <c r="I35" s="60">
        <v>1</v>
      </c>
      <c r="K35" s="7">
        <v>33</v>
      </c>
      <c r="L35" s="65">
        <v>-48.899999999999977</v>
      </c>
    </row>
    <row r="36" spans="1:12" x14ac:dyDescent="0.4">
      <c r="A36" s="56" t="s">
        <v>180</v>
      </c>
      <c r="B36" s="119">
        <v>23</v>
      </c>
      <c r="C36" s="102">
        <f t="shared" ref="C36:C48" si="5">IF(B$19=0,0,B36/B$19)</f>
        <v>6.0686015831134567E-2</v>
      </c>
      <c r="E36" s="29" t="s">
        <v>95</v>
      </c>
      <c r="F36" s="26" t="s">
        <v>50</v>
      </c>
      <c r="G36" s="14">
        <v>0</v>
      </c>
      <c r="H36" s="92">
        <f t="shared" si="4"/>
        <v>0</v>
      </c>
      <c r="I36" s="60">
        <v>6</v>
      </c>
      <c r="K36" s="7">
        <v>34</v>
      </c>
      <c r="L36" s="65">
        <v>-63.999999999999979</v>
      </c>
    </row>
    <row r="37" spans="1:12" x14ac:dyDescent="0.4">
      <c r="A37" s="21" t="s">
        <v>176</v>
      </c>
      <c r="B37" s="14">
        <v>69</v>
      </c>
      <c r="C37" s="8">
        <f t="shared" si="5"/>
        <v>0.18205804749340371</v>
      </c>
      <c r="E37" s="29" t="s">
        <v>96</v>
      </c>
      <c r="F37" s="26" t="s">
        <v>51</v>
      </c>
      <c r="G37" s="14">
        <v>0</v>
      </c>
      <c r="H37" s="92">
        <f t="shared" si="4"/>
        <v>0</v>
      </c>
      <c r="I37" s="60">
        <v>1</v>
      </c>
      <c r="K37" s="7">
        <v>35</v>
      </c>
      <c r="L37" s="65">
        <v>-72.399999999999977</v>
      </c>
    </row>
    <row r="38" spans="1:12" x14ac:dyDescent="0.4">
      <c r="A38" s="21" t="s">
        <v>177</v>
      </c>
      <c r="B38" s="120">
        <v>72</v>
      </c>
      <c r="C38" s="8">
        <f t="shared" si="5"/>
        <v>0.18997361477572558</v>
      </c>
      <c r="E38" s="29" t="s">
        <v>97</v>
      </c>
      <c r="F38" s="26" t="s">
        <v>52</v>
      </c>
      <c r="G38" s="14">
        <v>0</v>
      </c>
      <c r="H38" s="92">
        <f t="shared" si="4"/>
        <v>0</v>
      </c>
      <c r="I38" s="60">
        <v>3</v>
      </c>
      <c r="K38" s="7">
        <v>36</v>
      </c>
      <c r="L38" s="65">
        <v>-65.399999999999977</v>
      </c>
    </row>
    <row r="39" spans="1:12" x14ac:dyDescent="0.4">
      <c r="A39" s="21" t="s">
        <v>178</v>
      </c>
      <c r="B39" s="120">
        <v>75</v>
      </c>
      <c r="C39" s="8">
        <f t="shared" si="5"/>
        <v>0.19788918205804748</v>
      </c>
      <c r="E39" s="29" t="s">
        <v>98</v>
      </c>
      <c r="F39" s="26" t="s">
        <v>53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-58.59999999999998</v>
      </c>
    </row>
    <row r="40" spans="1:12" x14ac:dyDescent="0.4">
      <c r="A40" s="21" t="s">
        <v>179</v>
      </c>
      <c r="B40" s="120">
        <v>51</v>
      </c>
      <c r="C40" s="8">
        <f t="shared" si="5"/>
        <v>0.13456464379947231</v>
      </c>
      <c r="E40" s="29" t="s">
        <v>99</v>
      </c>
      <c r="F40" s="26" t="s">
        <v>54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-51.799999999999983</v>
      </c>
    </row>
    <row r="41" spans="1:12" x14ac:dyDescent="0.4">
      <c r="A41" s="21" t="s">
        <v>181</v>
      </c>
      <c r="B41" s="120">
        <v>44</v>
      </c>
      <c r="C41" s="8">
        <f t="shared" si="5"/>
        <v>0.11609498680738786</v>
      </c>
      <c r="E41" s="29" t="s">
        <v>100</v>
      </c>
      <c r="F41" s="26" t="s">
        <v>55</v>
      </c>
      <c r="G41" s="14">
        <v>0</v>
      </c>
      <c r="H41" s="92">
        <f t="shared" si="4"/>
        <v>0</v>
      </c>
      <c r="I41" s="60">
        <v>1</v>
      </c>
      <c r="K41" s="7">
        <v>39</v>
      </c>
      <c r="L41" s="65">
        <v>-67.899999999999977</v>
      </c>
    </row>
    <row r="42" spans="1:12" x14ac:dyDescent="0.4">
      <c r="A42" s="21" t="s">
        <v>182</v>
      </c>
      <c r="B42" s="120">
        <v>20</v>
      </c>
      <c r="C42" s="8">
        <f t="shared" si="5"/>
        <v>5.2770448548812667E-2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1</v>
      </c>
      <c r="K42" s="7">
        <v>40</v>
      </c>
      <c r="L42" s="65">
        <v>-61.299999999999976</v>
      </c>
    </row>
    <row r="43" spans="1:12" x14ac:dyDescent="0.4">
      <c r="A43" s="21" t="s">
        <v>183</v>
      </c>
      <c r="B43" s="120">
        <v>10</v>
      </c>
      <c r="C43" s="8">
        <f t="shared" si="5"/>
        <v>2.6385224274406333E-2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-56.899999999999977</v>
      </c>
    </row>
    <row r="44" spans="1:12" x14ac:dyDescent="0.4">
      <c r="A44" s="21" t="s">
        <v>184</v>
      </c>
      <c r="B44" s="120">
        <v>4</v>
      </c>
      <c r="C44" s="8">
        <f t="shared" si="5"/>
        <v>1.0554089709762533E-2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-58.499999999999979</v>
      </c>
    </row>
    <row r="45" spans="1:12" x14ac:dyDescent="0.4">
      <c r="A45" s="21" t="s">
        <v>185</v>
      </c>
      <c r="B45" s="120">
        <v>3</v>
      </c>
      <c r="C45" s="8">
        <f t="shared" si="5"/>
        <v>7.9155672823219003E-3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  <c r="K45" s="7">
        <v>43</v>
      </c>
      <c r="L45" s="65">
        <v>-49.899999999999977</v>
      </c>
    </row>
    <row r="46" spans="1:12" x14ac:dyDescent="0.4">
      <c r="A46" s="21" t="s">
        <v>186</v>
      </c>
      <c r="B46" s="120">
        <v>1</v>
      </c>
      <c r="C46" s="8">
        <f t="shared" si="5"/>
        <v>2.6385224274406332E-3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3</v>
      </c>
      <c r="K46" s="7">
        <v>44</v>
      </c>
      <c r="L46" s="65">
        <v>11.600000000000023</v>
      </c>
    </row>
    <row r="47" spans="1:12" x14ac:dyDescent="0.4">
      <c r="A47" s="21" t="s">
        <v>187</v>
      </c>
      <c r="B47" s="120">
        <v>2</v>
      </c>
      <c r="C47" s="8">
        <f t="shared" si="5"/>
        <v>5.2770448548812663E-3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-23.299999999999976</v>
      </c>
    </row>
    <row r="48" spans="1:12" x14ac:dyDescent="0.4">
      <c r="A48" s="23" t="s">
        <v>188</v>
      </c>
      <c r="B48" s="101">
        <v>5</v>
      </c>
      <c r="C48" s="11">
        <f t="shared" si="5"/>
        <v>1.3192612137203167E-2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-11.099999999999977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-31.099999999999977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-18.499999999999979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  <c r="K51" s="7">
        <v>49</v>
      </c>
      <c r="L51" s="65">
        <v>7.1000000000000227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6.5000000000000231</v>
      </c>
    </row>
    <row r="53" spans="5:12" x14ac:dyDescent="0.4">
      <c r="K53" s="7">
        <v>51</v>
      </c>
      <c r="L53" s="65">
        <v>-0.29999999999997673</v>
      </c>
    </row>
    <row r="54" spans="5:12" x14ac:dyDescent="0.4">
      <c r="K54" s="7">
        <v>52</v>
      </c>
      <c r="L54" s="65">
        <v>8.800000000000022</v>
      </c>
    </row>
    <row r="55" spans="5:12" x14ac:dyDescent="0.4">
      <c r="K55" s="7">
        <v>53</v>
      </c>
      <c r="L55" s="65">
        <v>5.800000000000022</v>
      </c>
    </row>
    <row r="56" spans="5:12" x14ac:dyDescent="0.4">
      <c r="K56" s="7">
        <v>54</v>
      </c>
      <c r="L56" s="65">
        <v>-12.499999999999979</v>
      </c>
    </row>
    <row r="57" spans="5:12" x14ac:dyDescent="0.4">
      <c r="K57" s="7">
        <v>55</v>
      </c>
      <c r="L57" s="65">
        <v>36.40000000000002</v>
      </c>
    </row>
    <row r="58" spans="5:12" x14ac:dyDescent="0.4">
      <c r="K58" s="7">
        <v>56</v>
      </c>
      <c r="L58" s="65">
        <v>-3.6999999999999815</v>
      </c>
    </row>
    <row r="59" spans="5:12" x14ac:dyDescent="0.4">
      <c r="K59" s="7">
        <v>57</v>
      </c>
      <c r="L59" s="65">
        <v>12.90000000000002</v>
      </c>
    </row>
    <row r="60" spans="5:12" x14ac:dyDescent="0.4">
      <c r="K60" s="7">
        <v>58</v>
      </c>
      <c r="L60" s="65">
        <v>37.700000000000017</v>
      </c>
    </row>
    <row r="61" spans="5:12" x14ac:dyDescent="0.4">
      <c r="K61" s="7">
        <v>59</v>
      </c>
      <c r="L61" s="65">
        <v>77.000000000000014</v>
      </c>
    </row>
    <row r="62" spans="5:12" x14ac:dyDescent="0.4">
      <c r="K62" s="7">
        <v>60</v>
      </c>
      <c r="L62" s="65">
        <v>21.100000000000016</v>
      </c>
    </row>
    <row r="63" spans="5:12" x14ac:dyDescent="0.4">
      <c r="K63" s="7">
        <v>61</v>
      </c>
      <c r="L63" s="65">
        <v>27.100000000000016</v>
      </c>
    </row>
    <row r="64" spans="5:12" x14ac:dyDescent="0.4">
      <c r="K64" s="7">
        <v>62</v>
      </c>
      <c r="L64" s="65">
        <v>11.800000000000015</v>
      </c>
    </row>
    <row r="65" spans="11:12" x14ac:dyDescent="0.4">
      <c r="K65" s="7">
        <v>63</v>
      </c>
      <c r="L65" s="65">
        <v>46.40000000000002</v>
      </c>
    </row>
    <row r="66" spans="11:12" x14ac:dyDescent="0.4">
      <c r="K66" s="7">
        <v>64</v>
      </c>
      <c r="L66" s="65">
        <v>39.90000000000002</v>
      </c>
    </row>
    <row r="67" spans="11:12" x14ac:dyDescent="0.4">
      <c r="K67" s="7">
        <v>65</v>
      </c>
      <c r="L67" s="65">
        <v>14.600000000000019</v>
      </c>
    </row>
    <row r="68" spans="11:12" x14ac:dyDescent="0.4">
      <c r="K68" s="7">
        <v>66</v>
      </c>
      <c r="L68" s="65">
        <v>-6.2999999999999794</v>
      </c>
    </row>
    <row r="69" spans="11:12" x14ac:dyDescent="0.4">
      <c r="K69" s="7">
        <v>67</v>
      </c>
      <c r="L69" s="65">
        <v>-2.7999999999999794</v>
      </c>
    </row>
    <row r="70" spans="11:12" x14ac:dyDescent="0.4">
      <c r="K70" s="7">
        <v>68</v>
      </c>
      <c r="L70" s="65">
        <v>-35.799999999999983</v>
      </c>
    </row>
    <row r="71" spans="11:12" x14ac:dyDescent="0.4">
      <c r="K71" s="7">
        <v>69</v>
      </c>
      <c r="L71" s="65">
        <v>-59.899999999999984</v>
      </c>
    </row>
    <row r="72" spans="11:12" x14ac:dyDescent="0.4">
      <c r="K72" s="7">
        <v>70</v>
      </c>
      <c r="L72" s="65">
        <v>-49.59999999999998</v>
      </c>
    </row>
    <row r="73" spans="11:12" x14ac:dyDescent="0.4">
      <c r="K73" s="7">
        <v>71</v>
      </c>
      <c r="L73" s="65">
        <v>-53.999999999999979</v>
      </c>
    </row>
    <row r="74" spans="11:12" x14ac:dyDescent="0.4">
      <c r="K74" s="7">
        <v>72</v>
      </c>
      <c r="L74" s="65">
        <v>-68.199999999999974</v>
      </c>
    </row>
    <row r="75" spans="11:12" x14ac:dyDescent="0.4">
      <c r="K75" s="7">
        <v>73</v>
      </c>
      <c r="L75" s="65">
        <v>-65.699999999999974</v>
      </c>
    </row>
    <row r="76" spans="11:12" x14ac:dyDescent="0.4">
      <c r="K76" s="7">
        <v>74</v>
      </c>
      <c r="L76" s="65">
        <v>-35.599999999999973</v>
      </c>
    </row>
    <row r="77" spans="11:12" x14ac:dyDescent="0.4">
      <c r="K77" s="7">
        <v>75</v>
      </c>
      <c r="L77" s="65">
        <v>-37.499999999999972</v>
      </c>
    </row>
    <row r="78" spans="11:12" x14ac:dyDescent="0.4">
      <c r="K78" s="7">
        <v>76</v>
      </c>
      <c r="L78" s="65">
        <v>-28.199999999999971</v>
      </c>
    </row>
    <row r="79" spans="11:12" x14ac:dyDescent="0.4">
      <c r="K79" s="7">
        <v>77</v>
      </c>
      <c r="L79" s="65">
        <v>-87.299999999999969</v>
      </c>
    </row>
    <row r="80" spans="11:12" x14ac:dyDescent="0.4">
      <c r="K80" s="7">
        <v>78</v>
      </c>
      <c r="L80" s="65">
        <v>-133.39999999999998</v>
      </c>
    </row>
    <row r="81" spans="11:12" x14ac:dyDescent="0.4">
      <c r="K81" s="7">
        <v>79</v>
      </c>
      <c r="L81" s="65">
        <v>-169.99999999999997</v>
      </c>
    </row>
    <row r="82" spans="11:12" x14ac:dyDescent="0.4">
      <c r="K82" s="7">
        <v>80</v>
      </c>
      <c r="L82" s="65">
        <v>-165.79999999999998</v>
      </c>
    </row>
    <row r="83" spans="11:12" x14ac:dyDescent="0.4">
      <c r="K83" s="7">
        <v>81</v>
      </c>
      <c r="L83" s="65">
        <v>-115.99999999999999</v>
      </c>
    </row>
    <row r="84" spans="11:12" x14ac:dyDescent="0.4">
      <c r="K84" s="7">
        <v>82</v>
      </c>
      <c r="L84" s="65">
        <v>-117.19999999999999</v>
      </c>
    </row>
    <row r="85" spans="11:12" x14ac:dyDescent="0.4">
      <c r="K85" s="7">
        <v>83</v>
      </c>
      <c r="L85" s="65">
        <v>-128.6</v>
      </c>
    </row>
    <row r="86" spans="11:12" x14ac:dyDescent="0.4">
      <c r="K86" s="7">
        <v>84</v>
      </c>
      <c r="L86" s="65">
        <v>-119.8</v>
      </c>
    </row>
    <row r="87" spans="11:12" x14ac:dyDescent="0.4">
      <c r="K87" s="7">
        <v>85</v>
      </c>
      <c r="L87" s="65">
        <v>-97.4</v>
      </c>
    </row>
    <row r="88" spans="11:12" x14ac:dyDescent="0.4">
      <c r="K88" s="7">
        <v>86</v>
      </c>
      <c r="L88" s="65">
        <v>-83.800000000000011</v>
      </c>
    </row>
    <row r="89" spans="11:12" x14ac:dyDescent="0.4">
      <c r="K89" s="7">
        <v>87</v>
      </c>
      <c r="L89" s="65">
        <v>-57.400000000000013</v>
      </c>
    </row>
    <row r="90" spans="11:12" x14ac:dyDescent="0.4">
      <c r="K90" s="7">
        <v>88</v>
      </c>
      <c r="L90" s="65">
        <v>-63.20000000000001</v>
      </c>
    </row>
    <row r="91" spans="11:12" x14ac:dyDescent="0.4">
      <c r="K91" s="7">
        <v>89</v>
      </c>
      <c r="L91" s="65">
        <v>-119.60000000000001</v>
      </c>
    </row>
    <row r="92" spans="11:12" x14ac:dyDescent="0.4">
      <c r="K92" s="7">
        <v>90</v>
      </c>
      <c r="L92" s="65">
        <v>-57.600000000000009</v>
      </c>
    </row>
    <row r="93" spans="11:12" x14ac:dyDescent="0.4">
      <c r="K93" s="7">
        <v>91</v>
      </c>
      <c r="L93" s="65">
        <v>-54.900000000000006</v>
      </c>
    </row>
    <row r="94" spans="11:12" x14ac:dyDescent="0.4">
      <c r="K94" s="7">
        <v>92</v>
      </c>
      <c r="L94" s="65">
        <v>-17.100000000000009</v>
      </c>
    </row>
    <row r="95" spans="11:12" x14ac:dyDescent="0.4">
      <c r="K95" s="7">
        <v>93</v>
      </c>
      <c r="L95" s="65">
        <v>8.7999999999999901</v>
      </c>
    </row>
    <row r="96" spans="11:12" x14ac:dyDescent="0.4">
      <c r="K96" s="7">
        <v>94</v>
      </c>
      <c r="L96" s="65">
        <v>-4.1000000000000103</v>
      </c>
    </row>
    <row r="97" spans="11:12" x14ac:dyDescent="0.4">
      <c r="K97" s="7">
        <v>95</v>
      </c>
      <c r="L97" s="65">
        <v>31.899999999999991</v>
      </c>
    </row>
    <row r="98" spans="11:12" x14ac:dyDescent="0.4">
      <c r="K98" s="7">
        <v>96</v>
      </c>
      <c r="L98" s="65">
        <v>52.29999999999999</v>
      </c>
    </row>
    <row r="99" spans="11:12" x14ac:dyDescent="0.4">
      <c r="K99" s="7">
        <v>97</v>
      </c>
      <c r="L99" s="65">
        <v>13.999999999999993</v>
      </c>
    </row>
    <row r="100" spans="11:12" x14ac:dyDescent="0.4">
      <c r="K100" s="7">
        <v>98</v>
      </c>
      <c r="L100" s="65">
        <v>21.399999999999991</v>
      </c>
    </row>
    <row r="101" spans="11:12" x14ac:dyDescent="0.4">
      <c r="K101" s="7">
        <v>99</v>
      </c>
      <c r="L101" s="65">
        <v>-5.4000000000000092</v>
      </c>
    </row>
    <row r="102" spans="11:12" x14ac:dyDescent="0.4">
      <c r="K102" s="7">
        <v>100</v>
      </c>
      <c r="L102" s="65">
        <v>-25.600000000000009</v>
      </c>
    </row>
    <row r="103" spans="11:12" x14ac:dyDescent="0.4">
      <c r="K103" s="7">
        <v>101</v>
      </c>
      <c r="L103" s="65">
        <v>32.199999999999989</v>
      </c>
    </row>
    <row r="104" spans="11:12" x14ac:dyDescent="0.4">
      <c r="K104" s="7">
        <v>102</v>
      </c>
      <c r="L104" s="65">
        <v>27.699999999999989</v>
      </c>
    </row>
    <row r="105" spans="11:12" x14ac:dyDescent="0.4">
      <c r="K105" s="7">
        <v>103</v>
      </c>
      <c r="L105" s="65">
        <v>45.79999999999999</v>
      </c>
    </row>
    <row r="106" spans="11:12" x14ac:dyDescent="0.4">
      <c r="K106" s="7">
        <v>104</v>
      </c>
      <c r="L106" s="65">
        <v>122.19999999999999</v>
      </c>
    </row>
    <row r="107" spans="11:12" x14ac:dyDescent="0.4">
      <c r="K107" s="7">
        <v>105</v>
      </c>
      <c r="L107" s="65">
        <v>86.299999999999983</v>
      </c>
    </row>
    <row r="108" spans="11:12" x14ac:dyDescent="0.4">
      <c r="K108" s="7">
        <v>106</v>
      </c>
      <c r="L108" s="65">
        <v>84.299999999999983</v>
      </c>
    </row>
    <row r="109" spans="11:12" x14ac:dyDescent="0.4">
      <c r="K109" s="7">
        <v>107</v>
      </c>
      <c r="L109" s="65">
        <v>106.29999999999998</v>
      </c>
    </row>
    <row r="110" spans="11:12" x14ac:dyDescent="0.4">
      <c r="K110" s="7">
        <v>108</v>
      </c>
      <c r="L110" s="65">
        <v>99.199999999999989</v>
      </c>
    </row>
    <row r="111" spans="11:12" x14ac:dyDescent="0.4">
      <c r="K111" s="7">
        <v>109</v>
      </c>
      <c r="L111" s="65">
        <v>132.19999999999999</v>
      </c>
    </row>
    <row r="112" spans="11:12" x14ac:dyDescent="0.4">
      <c r="K112" s="7">
        <v>110</v>
      </c>
      <c r="L112" s="65">
        <v>120.1</v>
      </c>
    </row>
    <row r="113" spans="11:12" x14ac:dyDescent="0.4">
      <c r="K113" s="7">
        <v>111</v>
      </c>
      <c r="L113" s="65">
        <v>106.3</v>
      </c>
    </row>
    <row r="114" spans="11:12" x14ac:dyDescent="0.4">
      <c r="K114" s="7">
        <v>112</v>
      </c>
      <c r="L114" s="65">
        <v>104.5</v>
      </c>
    </row>
    <row r="115" spans="11:12" x14ac:dyDescent="0.4">
      <c r="K115" s="7">
        <v>113</v>
      </c>
      <c r="L115" s="65">
        <v>101.5</v>
      </c>
    </row>
    <row r="116" spans="11:12" x14ac:dyDescent="0.4">
      <c r="K116" s="7">
        <v>114</v>
      </c>
      <c r="L116" s="65">
        <v>116.9</v>
      </c>
    </row>
    <row r="117" spans="11:12" x14ac:dyDescent="0.4">
      <c r="K117" s="7">
        <v>115</v>
      </c>
      <c r="L117" s="65">
        <v>87.800000000000011</v>
      </c>
    </row>
    <row r="118" spans="11:12" x14ac:dyDescent="0.4">
      <c r="K118" s="7">
        <v>116</v>
      </c>
      <c r="L118" s="65">
        <v>70.800000000000011</v>
      </c>
    </row>
    <row r="119" spans="11:12" x14ac:dyDescent="0.4">
      <c r="K119" s="7">
        <v>117</v>
      </c>
      <c r="L119" s="65">
        <v>63.600000000000009</v>
      </c>
    </row>
    <row r="120" spans="11:12" x14ac:dyDescent="0.4">
      <c r="K120" s="7">
        <v>118</v>
      </c>
      <c r="L120" s="65">
        <v>98.4</v>
      </c>
    </row>
    <row r="121" spans="11:12" x14ac:dyDescent="0.4">
      <c r="K121" s="7">
        <v>119</v>
      </c>
      <c r="L121" s="65">
        <v>96.600000000000009</v>
      </c>
    </row>
    <row r="122" spans="11:12" x14ac:dyDescent="0.4">
      <c r="K122" s="7">
        <v>120</v>
      </c>
      <c r="L122" s="65">
        <v>66.700000000000017</v>
      </c>
    </row>
    <row r="123" spans="11:12" x14ac:dyDescent="0.4">
      <c r="K123" s="7">
        <v>121</v>
      </c>
      <c r="L123" s="65">
        <v>34.200000000000017</v>
      </c>
    </row>
    <row r="124" spans="11:12" x14ac:dyDescent="0.4">
      <c r="K124" s="7">
        <v>122</v>
      </c>
      <c r="L124" s="65">
        <v>0.10000000000001563</v>
      </c>
    </row>
    <row r="125" spans="11:12" x14ac:dyDescent="0.4">
      <c r="K125" s="7">
        <v>123</v>
      </c>
      <c r="L125" s="65">
        <v>-36.999999999999986</v>
      </c>
    </row>
    <row r="126" spans="11:12" x14ac:dyDescent="0.4">
      <c r="K126" s="7">
        <v>124</v>
      </c>
      <c r="L126" s="65">
        <v>-66.899999999999977</v>
      </c>
    </row>
    <row r="127" spans="11:12" x14ac:dyDescent="0.4">
      <c r="K127" s="7">
        <v>125</v>
      </c>
      <c r="L127" s="65">
        <v>-84.899999999999977</v>
      </c>
    </row>
    <row r="128" spans="11:12" x14ac:dyDescent="0.4">
      <c r="K128" s="7">
        <v>126</v>
      </c>
      <c r="L128" s="65">
        <v>-132.19999999999999</v>
      </c>
    </row>
    <row r="129" spans="11:12" x14ac:dyDescent="0.4">
      <c r="K129" s="7">
        <v>127</v>
      </c>
      <c r="L129" s="65">
        <v>-132.5</v>
      </c>
    </row>
    <row r="130" spans="11:12" x14ac:dyDescent="0.4">
      <c r="K130" s="7">
        <v>128</v>
      </c>
      <c r="L130" s="65">
        <v>-181.1</v>
      </c>
    </row>
    <row r="131" spans="11:12" x14ac:dyDescent="0.4">
      <c r="K131" s="7">
        <v>129</v>
      </c>
      <c r="L131" s="65">
        <v>-210.29999999999998</v>
      </c>
    </row>
    <row r="132" spans="11:12" x14ac:dyDescent="0.4">
      <c r="K132" s="7">
        <v>130</v>
      </c>
      <c r="L132" s="65">
        <v>-230.89999999999998</v>
      </c>
    </row>
    <row r="133" spans="11:12" x14ac:dyDescent="0.4">
      <c r="K133" s="7">
        <v>131</v>
      </c>
      <c r="L133" s="65">
        <v>-242.39999999999998</v>
      </c>
    </row>
    <row r="134" spans="11:12" x14ac:dyDescent="0.4">
      <c r="K134" s="7">
        <v>132</v>
      </c>
      <c r="L134" s="65">
        <v>-238.2</v>
      </c>
    </row>
    <row r="135" spans="11:12" x14ac:dyDescent="0.4">
      <c r="K135" s="7">
        <v>133</v>
      </c>
      <c r="L135" s="65">
        <v>-227.5</v>
      </c>
    </row>
    <row r="136" spans="11:12" x14ac:dyDescent="0.4">
      <c r="K136" s="7">
        <v>134</v>
      </c>
      <c r="L136" s="65">
        <v>-193.6</v>
      </c>
    </row>
    <row r="137" spans="11:12" x14ac:dyDescent="0.4">
      <c r="K137" s="7">
        <v>135</v>
      </c>
      <c r="L137" s="65">
        <v>-212.1</v>
      </c>
    </row>
    <row r="138" spans="11:12" x14ac:dyDescent="0.4">
      <c r="K138" s="7">
        <v>136</v>
      </c>
      <c r="L138" s="65">
        <v>-179.1</v>
      </c>
    </row>
    <row r="139" spans="11:12" x14ac:dyDescent="0.4">
      <c r="K139" s="7">
        <v>137</v>
      </c>
      <c r="L139" s="65">
        <v>-152.29999999999998</v>
      </c>
    </row>
    <row r="140" spans="11:12" x14ac:dyDescent="0.4">
      <c r="K140" s="7">
        <v>138</v>
      </c>
      <c r="L140" s="65">
        <v>-162.49999999999997</v>
      </c>
    </row>
    <row r="141" spans="11:12" x14ac:dyDescent="0.4">
      <c r="K141" s="7">
        <v>139</v>
      </c>
      <c r="L141" s="65">
        <v>-150.29999999999998</v>
      </c>
    </row>
    <row r="142" spans="11:12" x14ac:dyDescent="0.4">
      <c r="K142" s="7">
        <v>140</v>
      </c>
      <c r="L142" s="65">
        <v>-96.799999999999983</v>
      </c>
    </row>
    <row r="143" spans="11:12" x14ac:dyDescent="0.4">
      <c r="K143" s="7">
        <v>141</v>
      </c>
      <c r="L143" s="65">
        <v>-105.99999999999999</v>
      </c>
    </row>
    <row r="144" spans="11:12" x14ac:dyDescent="0.4">
      <c r="K144" s="7">
        <v>142</v>
      </c>
      <c r="L144" s="65">
        <v>-142.29999999999998</v>
      </c>
    </row>
    <row r="145" spans="11:12" x14ac:dyDescent="0.4">
      <c r="K145" s="7">
        <v>143</v>
      </c>
      <c r="L145" s="65">
        <v>-141.49999999999997</v>
      </c>
    </row>
    <row r="146" spans="11:12" x14ac:dyDescent="0.4">
      <c r="K146" s="7">
        <v>144</v>
      </c>
      <c r="L146" s="65">
        <v>-96.699999999999974</v>
      </c>
    </row>
    <row r="147" spans="11:12" x14ac:dyDescent="0.4">
      <c r="K147" s="7">
        <v>145</v>
      </c>
      <c r="L147" s="65">
        <v>-40.299999999999976</v>
      </c>
    </row>
    <row r="148" spans="11:12" x14ac:dyDescent="0.4">
      <c r="K148" s="7">
        <v>146</v>
      </c>
      <c r="L148" s="65">
        <v>-28.099999999999977</v>
      </c>
    </row>
    <row r="149" spans="11:12" x14ac:dyDescent="0.4">
      <c r="K149" s="7">
        <v>147</v>
      </c>
      <c r="L149" s="65">
        <v>-66.09999999999998</v>
      </c>
    </row>
    <row r="150" spans="11:12" x14ac:dyDescent="0.4">
      <c r="K150" s="7">
        <v>148</v>
      </c>
      <c r="L150" s="65">
        <v>-54.59999999999998</v>
      </c>
    </row>
    <row r="151" spans="11:12" x14ac:dyDescent="0.4">
      <c r="K151" s="7">
        <v>149</v>
      </c>
      <c r="L151" s="65">
        <v>-107.79999999999998</v>
      </c>
    </row>
    <row r="152" spans="11:12" x14ac:dyDescent="0.4">
      <c r="K152" s="7">
        <v>150</v>
      </c>
      <c r="L152" s="65">
        <v>-116.49999999999999</v>
      </c>
    </row>
    <row r="153" spans="11:12" x14ac:dyDescent="0.4">
      <c r="K153" s="7">
        <v>151</v>
      </c>
      <c r="L153" s="65">
        <v>-110.59999999999998</v>
      </c>
    </row>
    <row r="154" spans="11:12" x14ac:dyDescent="0.4">
      <c r="K154" s="7">
        <v>152</v>
      </c>
      <c r="L154" s="65">
        <v>-60.999999999999979</v>
      </c>
    </row>
    <row r="155" spans="11:12" x14ac:dyDescent="0.4">
      <c r="K155" s="7">
        <v>153</v>
      </c>
      <c r="L155" s="65">
        <v>-24.699999999999982</v>
      </c>
    </row>
    <row r="156" spans="11:12" x14ac:dyDescent="0.4">
      <c r="K156" s="7">
        <v>154</v>
      </c>
      <c r="L156" s="65">
        <v>-71.199999999999989</v>
      </c>
    </row>
    <row r="157" spans="11:12" x14ac:dyDescent="0.4">
      <c r="K157" s="7">
        <v>155</v>
      </c>
      <c r="L157" s="65">
        <v>-116.69999999999999</v>
      </c>
    </row>
    <row r="158" spans="11:12" x14ac:dyDescent="0.4">
      <c r="K158" s="7">
        <v>156</v>
      </c>
      <c r="L158" s="65">
        <v>-82.1</v>
      </c>
    </row>
    <row r="159" spans="11:12" x14ac:dyDescent="0.4">
      <c r="K159" s="7">
        <v>157</v>
      </c>
      <c r="L159" s="65">
        <v>-33.199999999999996</v>
      </c>
    </row>
    <row r="160" spans="11:12" x14ac:dyDescent="0.4">
      <c r="K160" s="7">
        <v>158</v>
      </c>
      <c r="L160" s="65">
        <v>-60.099999999999994</v>
      </c>
    </row>
    <row r="161" spans="11:12" x14ac:dyDescent="0.4">
      <c r="K161" s="7">
        <v>159</v>
      </c>
      <c r="L161" s="65">
        <v>-106.3</v>
      </c>
    </row>
    <row r="162" spans="11:12" x14ac:dyDescent="0.4">
      <c r="K162" s="7">
        <v>160</v>
      </c>
      <c r="L162" s="65">
        <v>-74</v>
      </c>
    </row>
    <row r="163" spans="11:12" x14ac:dyDescent="0.4">
      <c r="K163" s="7">
        <v>161</v>
      </c>
      <c r="L163" s="65">
        <v>-81</v>
      </c>
    </row>
    <row r="164" spans="11:12" x14ac:dyDescent="0.4">
      <c r="K164" s="7">
        <v>162</v>
      </c>
      <c r="L164" s="65">
        <v>-87.8</v>
      </c>
    </row>
    <row r="165" spans="11:12" x14ac:dyDescent="0.4">
      <c r="K165" s="7">
        <v>163</v>
      </c>
      <c r="L165" s="65">
        <v>-96.1</v>
      </c>
    </row>
    <row r="166" spans="11:12" x14ac:dyDescent="0.4">
      <c r="K166" s="7">
        <v>164</v>
      </c>
      <c r="L166" s="65">
        <v>-64.699999999999989</v>
      </c>
    </row>
    <row r="167" spans="11:12" x14ac:dyDescent="0.4">
      <c r="K167" s="7">
        <v>165</v>
      </c>
      <c r="L167" s="65">
        <v>-103.69999999999999</v>
      </c>
    </row>
    <row r="168" spans="11:12" x14ac:dyDescent="0.4">
      <c r="K168" s="7">
        <v>166</v>
      </c>
      <c r="L168" s="65">
        <v>-129.69999999999999</v>
      </c>
    </row>
    <row r="169" spans="11:12" x14ac:dyDescent="0.4">
      <c r="K169" s="7">
        <v>167</v>
      </c>
      <c r="L169" s="65">
        <v>-146.19999999999999</v>
      </c>
    </row>
    <row r="170" spans="11:12" x14ac:dyDescent="0.4">
      <c r="K170" s="7">
        <v>168</v>
      </c>
      <c r="L170" s="65">
        <v>-118.19999999999999</v>
      </c>
    </row>
    <row r="171" spans="11:12" x14ac:dyDescent="0.4">
      <c r="K171" s="7">
        <v>169</v>
      </c>
      <c r="L171" s="65">
        <v>-101.89999999999999</v>
      </c>
    </row>
    <row r="172" spans="11:12" x14ac:dyDescent="0.4">
      <c r="K172" s="7">
        <v>170</v>
      </c>
      <c r="L172" s="65">
        <v>-93.899999999999991</v>
      </c>
    </row>
    <row r="173" spans="11:12" x14ac:dyDescent="0.4">
      <c r="K173" s="7">
        <v>171</v>
      </c>
      <c r="L173" s="65">
        <v>-81.499999999999986</v>
      </c>
    </row>
  </sheetData>
  <sortState xmlns:xlrd2="http://schemas.microsoft.com/office/spreadsheetml/2017/richdata2" ref="E2:I17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5DBE-30D6-4995-B0E9-3B7B757461B1}">
  <sheetPr codeName="Sheet19"/>
  <dimension ref="A1:Q81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195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79</v>
      </c>
      <c r="C2" s="132"/>
      <c r="E2" s="28" t="s">
        <v>66</v>
      </c>
      <c r="F2" s="25" t="s">
        <v>22</v>
      </c>
      <c r="G2" s="13">
        <v>108</v>
      </c>
      <c r="H2" s="91">
        <f t="shared" ref="H2:H33" si="0">IF(B$19=0,0,G2/B$19)</f>
        <v>0.67924528301886788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1">IF(P2=0,0,Q2/P2)</f>
        <v>-3475.9493670886077</v>
      </c>
      <c r="P2" s="80">
        <v>79</v>
      </c>
      <c r="Q2" s="67">
        <v>-274600</v>
      </c>
    </row>
    <row r="3" spans="1:17" x14ac:dyDescent="0.4">
      <c r="A3" s="21" t="s">
        <v>8</v>
      </c>
      <c r="B3" s="133">
        <v>647</v>
      </c>
      <c r="C3" s="134"/>
      <c r="E3" s="29" t="s">
        <v>72</v>
      </c>
      <c r="F3" s="26" t="s">
        <v>27</v>
      </c>
      <c r="G3" s="14">
        <v>105</v>
      </c>
      <c r="H3" s="92">
        <f t="shared" si="0"/>
        <v>0.660377358490566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1"/>
        <v>619.23076923076928</v>
      </c>
      <c r="P3" s="81">
        <v>78</v>
      </c>
      <c r="Q3" s="68">
        <v>48300</v>
      </c>
    </row>
    <row r="4" spans="1:17" x14ac:dyDescent="0.4">
      <c r="A4" s="21" t="s">
        <v>6</v>
      </c>
      <c r="B4" s="135">
        <v>-896.80000000000018</v>
      </c>
      <c r="C4" s="136"/>
      <c r="E4" s="29" t="s">
        <v>64</v>
      </c>
      <c r="F4" s="26" t="s">
        <v>20</v>
      </c>
      <c r="G4" s="14">
        <v>67</v>
      </c>
      <c r="H4" s="92">
        <f t="shared" si="0"/>
        <v>0.42138364779874216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1"/>
        <v>-1241.0958904109589</v>
      </c>
      <c r="P4" s="81">
        <v>73</v>
      </c>
      <c r="Q4" s="68">
        <v>-90600</v>
      </c>
    </row>
    <row r="5" spans="1:17" x14ac:dyDescent="0.4">
      <c r="A5" s="21" t="s">
        <v>7</v>
      </c>
      <c r="B5" s="123">
        <f>IF(B$2=0,0,B$4/B$2)</f>
        <v>-11.351898734177217</v>
      </c>
      <c r="C5" s="124"/>
      <c r="E5" s="29" t="s">
        <v>163</v>
      </c>
      <c r="F5" s="26" t="s">
        <v>164</v>
      </c>
      <c r="G5" s="14">
        <v>57</v>
      </c>
      <c r="H5" s="92">
        <f t="shared" si="0"/>
        <v>0.35849056603773582</v>
      </c>
      <c r="I5" s="60">
        <v>11</v>
      </c>
      <c r="K5" s="7">
        <v>3</v>
      </c>
      <c r="L5" s="65">
        <v>-33.6</v>
      </c>
      <c r="N5" s="78" t="s">
        <v>133</v>
      </c>
      <c r="O5" s="84">
        <f t="shared" si="1"/>
        <v>-1640</v>
      </c>
      <c r="P5" s="81">
        <v>65</v>
      </c>
      <c r="Q5" s="68">
        <v>-106600</v>
      </c>
    </row>
    <row r="6" spans="1:17" x14ac:dyDescent="0.4">
      <c r="A6" s="21" t="s">
        <v>1</v>
      </c>
      <c r="B6" s="137">
        <f>IF(B$2=0,0,(B$7*1+B$8*2+B$9*3)/B$2)</f>
        <v>2.278481012658228</v>
      </c>
      <c r="C6" s="138"/>
      <c r="E6" s="29" t="s">
        <v>68</v>
      </c>
      <c r="F6" s="26" t="s">
        <v>12</v>
      </c>
      <c r="G6" s="14">
        <v>45</v>
      </c>
      <c r="H6" s="92">
        <f t="shared" si="0"/>
        <v>0.28301886792452829</v>
      </c>
      <c r="I6" s="60">
        <v>9</v>
      </c>
      <c r="K6" s="7">
        <v>4</v>
      </c>
      <c r="L6" s="65">
        <v>-80.5</v>
      </c>
      <c r="N6" s="78" t="s">
        <v>134</v>
      </c>
      <c r="O6" s="84">
        <f t="shared" si="1"/>
        <v>-1473.7704918032787</v>
      </c>
      <c r="P6" s="81">
        <v>61</v>
      </c>
      <c r="Q6" s="68">
        <v>-89900</v>
      </c>
    </row>
    <row r="7" spans="1:17" x14ac:dyDescent="0.4">
      <c r="A7" s="21" t="s">
        <v>2</v>
      </c>
      <c r="B7" s="14">
        <v>12</v>
      </c>
      <c r="C7" s="8">
        <f t="shared" ref="C7:C14" si="2">IF(B$2=0,0,B7/B$2)</f>
        <v>0.15189873417721519</v>
      </c>
      <c r="E7" s="29" t="s">
        <v>67</v>
      </c>
      <c r="F7" s="26" t="s">
        <v>23</v>
      </c>
      <c r="G7" s="14">
        <v>40</v>
      </c>
      <c r="H7" s="92">
        <f t="shared" si="0"/>
        <v>0.25157232704402516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1"/>
        <v>-1736.7346938775511</v>
      </c>
      <c r="P7" s="82">
        <v>49</v>
      </c>
      <c r="Q7" s="69">
        <v>-85100</v>
      </c>
    </row>
    <row r="8" spans="1:17" x14ac:dyDescent="0.4">
      <c r="A8" s="21" t="s">
        <v>3</v>
      </c>
      <c r="B8" s="14">
        <v>33</v>
      </c>
      <c r="C8" s="8">
        <f t="shared" si="2"/>
        <v>0.41772151898734178</v>
      </c>
      <c r="E8" s="29" t="s">
        <v>89</v>
      </c>
      <c r="F8" s="26" t="s">
        <v>44</v>
      </c>
      <c r="G8" s="14">
        <v>26</v>
      </c>
      <c r="H8" s="92">
        <f t="shared" si="0"/>
        <v>0.16352201257861634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">
      <c r="A9" s="22" t="s">
        <v>4</v>
      </c>
      <c r="B9" s="15">
        <v>34</v>
      </c>
      <c r="C9" s="9">
        <f t="shared" si="2"/>
        <v>0.43037974683544306</v>
      </c>
      <c r="E9" s="29" t="s">
        <v>65</v>
      </c>
      <c r="F9" s="26" t="s">
        <v>21</v>
      </c>
      <c r="G9" s="14">
        <v>16</v>
      </c>
      <c r="H9" s="92">
        <f t="shared" si="0"/>
        <v>0.10062893081761007</v>
      </c>
      <c r="I9" s="60">
        <v>9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34.966666666666661</v>
      </c>
      <c r="C10" s="114">
        <v>419.59999999999997</v>
      </c>
      <c r="E10" s="29" t="s">
        <v>70</v>
      </c>
      <c r="F10" s="26" t="s">
        <v>25</v>
      </c>
      <c r="G10" s="14">
        <v>15</v>
      </c>
      <c r="H10" s="92">
        <f t="shared" si="0"/>
        <v>9.4339622641509441E-2</v>
      </c>
      <c r="I10" s="60">
        <v>10</v>
      </c>
      <c r="K10" s="7">
        <v>8</v>
      </c>
      <c r="L10" s="65">
        <v>-152.6</v>
      </c>
      <c r="N10" s="77" t="s">
        <v>154</v>
      </c>
      <c r="O10" s="86">
        <f>IF(P10=0,0,Q10/P10)</f>
        <v>-21.059374999999999</v>
      </c>
      <c r="P10" s="80">
        <v>32</v>
      </c>
      <c r="Q10" s="71">
        <v>-673.9</v>
      </c>
    </row>
    <row r="11" spans="1:17" x14ac:dyDescent="0.4">
      <c r="A11" s="22" t="s">
        <v>204</v>
      </c>
      <c r="B11" s="113">
        <f>IF(B8=0,0,C11/B8)</f>
        <v>-0.57878787878787863</v>
      </c>
      <c r="C11" s="114">
        <v>-19.099999999999994</v>
      </c>
      <c r="E11" s="29" t="s">
        <v>71</v>
      </c>
      <c r="F11" s="26" t="s">
        <v>26</v>
      </c>
      <c r="G11" s="14">
        <v>14</v>
      </c>
      <c r="H11" s="92">
        <f t="shared" si="0"/>
        <v>8.8050314465408799E-2</v>
      </c>
      <c r="I11" s="60">
        <v>5</v>
      </c>
      <c r="K11" s="7">
        <v>9</v>
      </c>
      <c r="L11" s="65">
        <v>-150.6</v>
      </c>
      <c r="N11" s="78" t="s">
        <v>155</v>
      </c>
      <c r="O11" s="87">
        <f>IF(P11=0,0,Q11/P11)</f>
        <v>0.32000000000000034</v>
      </c>
      <c r="P11" s="81">
        <v>25</v>
      </c>
      <c r="Q11" s="72">
        <v>8.0000000000000089</v>
      </c>
    </row>
    <row r="12" spans="1:17" x14ac:dyDescent="0.4">
      <c r="A12" s="22" t="s">
        <v>205</v>
      </c>
      <c r="B12" s="113">
        <f>IF(B9=0,0,C12/B9)</f>
        <v>-38.155882352941184</v>
      </c>
      <c r="C12" s="114">
        <v>-1297.3000000000002</v>
      </c>
      <c r="E12" s="29" t="s">
        <v>69</v>
      </c>
      <c r="F12" s="26" t="s">
        <v>24</v>
      </c>
      <c r="G12" s="14">
        <v>13</v>
      </c>
      <c r="H12" s="92">
        <f t="shared" si="0"/>
        <v>8.1761006289308172E-2</v>
      </c>
      <c r="I12" s="60">
        <v>12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">
      <c r="A13" s="22" t="s">
        <v>206</v>
      </c>
      <c r="B13" s="123">
        <f>AVERAGE(B10:B12)</f>
        <v>-1.2560011883541335</v>
      </c>
      <c r="C13" s="124"/>
      <c r="E13" s="29" t="s">
        <v>81</v>
      </c>
      <c r="F13" s="26" t="s">
        <v>36</v>
      </c>
      <c r="G13" s="14">
        <v>10</v>
      </c>
      <c r="H13" s="92">
        <f t="shared" si="0"/>
        <v>6.2893081761006289E-2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14</v>
      </c>
      <c r="C14" s="11">
        <f t="shared" si="2"/>
        <v>0.17721518987341772</v>
      </c>
      <c r="E14" s="29" t="s">
        <v>83</v>
      </c>
      <c r="F14" s="26" t="s">
        <v>38</v>
      </c>
      <c r="G14" s="14">
        <v>10</v>
      </c>
      <c r="H14" s="92">
        <f t="shared" si="0"/>
        <v>6.2893081761006289E-2</v>
      </c>
      <c r="I14" s="60">
        <v>4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135</v>
      </c>
      <c r="C15" s="12">
        <f>IF(B$3=0,0,B15/B$3)</f>
        <v>0.20865533230293662</v>
      </c>
      <c r="E15" s="29" t="s">
        <v>86</v>
      </c>
      <c r="F15" s="26" t="s">
        <v>41</v>
      </c>
      <c r="G15" s="14">
        <v>8</v>
      </c>
      <c r="H15" s="92">
        <f t="shared" si="0"/>
        <v>5.0314465408805034E-2</v>
      </c>
      <c r="I15" s="60">
        <v>4</v>
      </c>
      <c r="K15" s="7">
        <v>13</v>
      </c>
      <c r="L15" s="65">
        <v>-217.60000000000002</v>
      </c>
      <c r="N15" s="77" t="s">
        <v>275</v>
      </c>
      <c r="O15" s="86">
        <f t="shared" ref="O15:O25" si="3">IF(P15=0,0,Q15/P15)</f>
        <v>22.933333333333334</v>
      </c>
      <c r="P15" s="80">
        <v>3</v>
      </c>
      <c r="Q15" s="71">
        <v>68.8</v>
      </c>
    </row>
    <row r="16" spans="1:17" x14ac:dyDescent="0.4">
      <c r="A16" s="21" t="s">
        <v>118</v>
      </c>
      <c r="B16" s="14">
        <v>148</v>
      </c>
      <c r="C16" s="8">
        <f>IF(B$3=0,0,B16/B$3)</f>
        <v>0.22874806800618239</v>
      </c>
      <c r="E16" s="29" t="s">
        <v>91</v>
      </c>
      <c r="F16" s="26" t="s">
        <v>46</v>
      </c>
      <c r="G16" s="14">
        <v>4</v>
      </c>
      <c r="H16" s="92">
        <f t="shared" si="0"/>
        <v>2.5157232704402517E-2</v>
      </c>
      <c r="I16" s="60">
        <v>3</v>
      </c>
      <c r="K16" s="7">
        <v>14</v>
      </c>
      <c r="L16" s="65">
        <v>-266.90000000000003</v>
      </c>
      <c r="N16" s="78" t="s">
        <v>158</v>
      </c>
      <c r="O16" s="87">
        <f t="shared" si="3"/>
        <v>11.63478260869565</v>
      </c>
      <c r="P16" s="81">
        <v>23</v>
      </c>
      <c r="Q16" s="72">
        <v>267.59999999999997</v>
      </c>
    </row>
    <row r="17" spans="1:17" x14ac:dyDescent="0.4">
      <c r="A17" s="20" t="s">
        <v>123</v>
      </c>
      <c r="B17" s="13">
        <f>B23</f>
        <v>70</v>
      </c>
      <c r="C17" s="6">
        <f>IF(B$15=0,0,B17/B$15)</f>
        <v>0.51851851851851849</v>
      </c>
      <c r="E17" s="29" t="s">
        <v>78</v>
      </c>
      <c r="F17" s="26" t="s">
        <v>33</v>
      </c>
      <c r="G17" s="14">
        <v>2</v>
      </c>
      <c r="H17" s="92">
        <f t="shared" si="0"/>
        <v>1.2578616352201259E-2</v>
      </c>
      <c r="I17" s="60">
        <v>9</v>
      </c>
      <c r="K17" s="7">
        <v>15</v>
      </c>
      <c r="L17" s="65">
        <v>-272.50000000000006</v>
      </c>
      <c r="N17" s="78" t="s">
        <v>281</v>
      </c>
      <c r="O17" s="87">
        <f t="shared" si="3"/>
        <v>2.1000000000000014</v>
      </c>
      <c r="P17" s="81">
        <v>3</v>
      </c>
      <c r="Q17" s="72">
        <v>6.3000000000000043</v>
      </c>
    </row>
    <row r="18" spans="1:17" x14ac:dyDescent="0.4">
      <c r="A18" s="20" t="s">
        <v>124</v>
      </c>
      <c r="B18" s="13">
        <f>B24</f>
        <v>60</v>
      </c>
      <c r="C18" s="6">
        <f>IF(B$16=0,0,B18/B$16)</f>
        <v>0.40540540540540543</v>
      </c>
      <c r="E18" s="29" t="s">
        <v>73</v>
      </c>
      <c r="F18" s="26" t="s">
        <v>28</v>
      </c>
      <c r="G18" s="14">
        <v>1</v>
      </c>
      <c r="H18" s="92">
        <f t="shared" si="0"/>
        <v>6.2893081761006293E-3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 t="shared" si="3"/>
        <v>-15.222222222222221</v>
      </c>
      <c r="P18" s="81">
        <v>18</v>
      </c>
      <c r="Q18" s="72">
        <v>-274</v>
      </c>
    </row>
    <row r="19" spans="1:17" x14ac:dyDescent="0.4">
      <c r="A19" s="20" t="s">
        <v>10</v>
      </c>
      <c r="B19" s="13">
        <f>B22+B21</f>
        <v>159</v>
      </c>
      <c r="C19" s="6">
        <f>IF(B$3=0,0,B19/B$3)</f>
        <v>0.24574961360123648</v>
      </c>
      <c r="E19" s="29" t="s">
        <v>74</v>
      </c>
      <c r="F19" s="26" t="s">
        <v>29</v>
      </c>
      <c r="G19" s="14">
        <v>1</v>
      </c>
      <c r="H19" s="92">
        <f t="shared" si="0"/>
        <v>6.2893081761006293E-3</v>
      </c>
      <c r="I19" s="60">
        <v>2</v>
      </c>
      <c r="K19" s="7">
        <v>17</v>
      </c>
      <c r="L19" s="65">
        <v>-352.60000000000008</v>
      </c>
      <c r="N19" s="78" t="s">
        <v>202</v>
      </c>
      <c r="O19" s="87">
        <f t="shared" si="3"/>
        <v>-17.649999999999999</v>
      </c>
      <c r="P19" s="81">
        <v>2</v>
      </c>
      <c r="Q19" s="72">
        <v>-35.299999999999997</v>
      </c>
    </row>
    <row r="20" spans="1:17" x14ac:dyDescent="0.4">
      <c r="A20" s="21" t="s">
        <v>13</v>
      </c>
      <c r="B20" s="14">
        <v>117</v>
      </c>
      <c r="C20" s="8">
        <f>IF(B$3=0,0,B20/B$3)</f>
        <v>0.18083462132921174</v>
      </c>
      <c r="E20" s="29" t="s">
        <v>79</v>
      </c>
      <c r="F20" s="26" t="s">
        <v>34</v>
      </c>
      <c r="G20" s="14">
        <v>1</v>
      </c>
      <c r="H20" s="92">
        <f t="shared" si="0"/>
        <v>6.2893081761006293E-3</v>
      </c>
      <c r="I20" s="60">
        <v>10</v>
      </c>
      <c r="K20" s="7">
        <v>18</v>
      </c>
      <c r="L20" s="65">
        <v>-355.50000000000006</v>
      </c>
      <c r="N20" s="78" t="s">
        <v>168</v>
      </c>
      <c r="O20" s="87">
        <f t="shared" si="3"/>
        <v>-19</v>
      </c>
      <c r="P20" s="81">
        <v>29</v>
      </c>
      <c r="Q20" s="72">
        <v>-551</v>
      </c>
    </row>
    <row r="21" spans="1:17" x14ac:dyDescent="0.4">
      <c r="A21" s="21" t="s">
        <v>12</v>
      </c>
      <c r="B21" s="14">
        <v>75</v>
      </c>
      <c r="C21" s="8">
        <f>IF(B$19=0,0,B21/B$19)</f>
        <v>0.47169811320754718</v>
      </c>
      <c r="E21" s="29" t="s">
        <v>92</v>
      </c>
      <c r="F21" s="26" t="s">
        <v>47</v>
      </c>
      <c r="G21" s="14">
        <v>1</v>
      </c>
      <c r="H21" s="92">
        <f t="shared" si="0"/>
        <v>6.2893081761006293E-3</v>
      </c>
      <c r="I21" s="60">
        <v>6</v>
      </c>
      <c r="K21" s="7">
        <v>19</v>
      </c>
      <c r="L21" s="65">
        <v>-400.60000000000008</v>
      </c>
      <c r="N21" s="78" t="s">
        <v>167</v>
      </c>
      <c r="O21" s="87">
        <f t="shared" si="3"/>
        <v>-19.176470588235293</v>
      </c>
      <c r="P21" s="81">
        <v>34</v>
      </c>
      <c r="Q21" s="72">
        <v>-652</v>
      </c>
    </row>
    <row r="22" spans="1:17" x14ac:dyDescent="0.4">
      <c r="A22" s="21" t="s">
        <v>11</v>
      </c>
      <c r="B22" s="14">
        <v>84</v>
      </c>
      <c r="C22" s="8">
        <f>IF(B$19=0,0,B22/B$19)</f>
        <v>0.52830188679245282</v>
      </c>
      <c r="E22" s="29" t="s">
        <v>95</v>
      </c>
      <c r="F22" s="26" t="s">
        <v>50</v>
      </c>
      <c r="G22" s="14">
        <v>1</v>
      </c>
      <c r="H22" s="92">
        <f t="shared" si="0"/>
        <v>6.2893081761006293E-3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 t="shared" si="3"/>
        <v>-25.287499999999998</v>
      </c>
      <c r="P22" s="81">
        <v>8</v>
      </c>
      <c r="Q22" s="72">
        <v>-202.29999999999998</v>
      </c>
    </row>
    <row r="23" spans="1:17" x14ac:dyDescent="0.4">
      <c r="A23" s="21" t="s">
        <v>192</v>
      </c>
      <c r="B23" s="14">
        <v>70</v>
      </c>
      <c r="C23" s="8">
        <f>IF(B$19=0,0,B23/B$19)</f>
        <v>0.44025157232704404</v>
      </c>
      <c r="E23" s="29" t="s">
        <v>159</v>
      </c>
      <c r="F23" s="26" t="s">
        <v>160</v>
      </c>
      <c r="G23" s="14">
        <v>1</v>
      </c>
      <c r="H23" s="92">
        <f t="shared" si="0"/>
        <v>6.2893081761006293E-3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 t="shared" si="3"/>
        <v>-29.696428571428587</v>
      </c>
      <c r="P23" s="81">
        <v>28</v>
      </c>
      <c r="Q23" s="72">
        <v>-831.50000000000045</v>
      </c>
    </row>
    <row r="24" spans="1:17" x14ac:dyDescent="0.4">
      <c r="A24" s="21" t="s">
        <v>190</v>
      </c>
      <c r="B24" s="14">
        <v>60</v>
      </c>
      <c r="C24" s="8">
        <f>IF(B$19=0,0,B24/B$19)</f>
        <v>0.37735849056603776</v>
      </c>
      <c r="E24" s="29" t="s">
        <v>75</v>
      </c>
      <c r="F24" s="26" t="s">
        <v>30</v>
      </c>
      <c r="G24" s="14">
        <v>0</v>
      </c>
      <c r="H24" s="92">
        <f t="shared" si="0"/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 t="shared" si="3"/>
        <v>-44.487500000000011</v>
      </c>
      <c r="P24" s="81">
        <v>8</v>
      </c>
      <c r="Q24" s="72">
        <v>-355.90000000000009</v>
      </c>
    </row>
    <row r="25" spans="1:17" x14ac:dyDescent="0.4">
      <c r="A25" s="21" t="s">
        <v>191</v>
      </c>
      <c r="B25" s="14">
        <v>29</v>
      </c>
      <c r="C25" s="8">
        <f>IF(B$19=0,0,B25/B$19)</f>
        <v>0.18238993710691823</v>
      </c>
      <c r="E25" s="29" t="s">
        <v>76</v>
      </c>
      <c r="F25" s="26" t="s">
        <v>31</v>
      </c>
      <c r="G25" s="14">
        <v>0</v>
      </c>
      <c r="H25" s="92">
        <f t="shared" si="0"/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 t="shared" si="3"/>
        <v>-65.55</v>
      </c>
      <c r="P25" s="81">
        <v>2</v>
      </c>
      <c r="Q25" s="72">
        <v>-131.1</v>
      </c>
    </row>
    <row r="26" spans="1:17" x14ac:dyDescent="0.4">
      <c r="A26" s="21" t="s">
        <v>5</v>
      </c>
      <c r="B26" s="18">
        <f>IF(B$19=0,0,C26/B$19)</f>
        <v>8428.9308176100621</v>
      </c>
      <c r="C26" s="10">
        <v>1340200</v>
      </c>
      <c r="E26" s="29" t="s">
        <v>77</v>
      </c>
      <c r="F26" s="26" t="s">
        <v>32</v>
      </c>
      <c r="G26" s="14">
        <v>0</v>
      </c>
      <c r="H26" s="92">
        <f t="shared" si="0"/>
        <v>0</v>
      </c>
      <c r="I26" s="60">
        <v>6</v>
      </c>
      <c r="K26" s="7">
        <v>24</v>
      </c>
      <c r="L26" s="65">
        <v>-474.10000000000014</v>
      </c>
    </row>
    <row r="27" spans="1:17" x14ac:dyDescent="0.4">
      <c r="A27" s="22" t="s">
        <v>174</v>
      </c>
      <c r="B27" s="99">
        <f>IF($B$19-B$18=0,0,C27/($B$19-B$18))</f>
        <v>9018.181818181818</v>
      </c>
      <c r="C27" s="100">
        <v>892800</v>
      </c>
      <c r="E27" s="29" t="s">
        <v>80</v>
      </c>
      <c r="F27" s="26" t="s">
        <v>35</v>
      </c>
      <c r="G27" s="14">
        <v>0</v>
      </c>
      <c r="H27" s="92">
        <f t="shared" si="0"/>
        <v>0</v>
      </c>
      <c r="I27" s="60">
        <v>1</v>
      </c>
      <c r="K27" s="7">
        <v>25</v>
      </c>
      <c r="L27" s="65">
        <v>-488.30000000000013</v>
      </c>
    </row>
    <row r="28" spans="1:17" x14ac:dyDescent="0.4">
      <c r="A28" s="22" t="s">
        <v>175</v>
      </c>
      <c r="B28" s="99">
        <f>IF(B$18=0,0,C28/B$18)</f>
        <v>7456.666666666667</v>
      </c>
      <c r="C28" s="100">
        <v>447400</v>
      </c>
      <c r="E28" s="29" t="s">
        <v>82</v>
      </c>
      <c r="F28" s="26" t="s">
        <v>37</v>
      </c>
      <c r="G28" s="14">
        <v>0</v>
      </c>
      <c r="H28" s="92">
        <f t="shared" si="0"/>
        <v>0</v>
      </c>
      <c r="I28" s="60">
        <v>1</v>
      </c>
      <c r="K28" s="7">
        <v>26</v>
      </c>
      <c r="L28" s="65">
        <v>-439.2000000000001</v>
      </c>
    </row>
    <row r="29" spans="1:17" x14ac:dyDescent="0.4">
      <c r="A29" s="22" t="s">
        <v>173</v>
      </c>
      <c r="B29" s="99">
        <f>IF(B$20=0,0,C29/B$20)</f>
        <v>-8517.0940170940175</v>
      </c>
      <c r="C29" s="100">
        <v>-996500</v>
      </c>
      <c r="E29" s="29" t="s">
        <v>84</v>
      </c>
      <c r="F29" s="26" t="s">
        <v>39</v>
      </c>
      <c r="G29" s="14">
        <v>0</v>
      </c>
      <c r="H29" s="92">
        <f t="shared" si="0"/>
        <v>0</v>
      </c>
      <c r="I29" s="60">
        <v>6</v>
      </c>
      <c r="K29" s="7">
        <v>27</v>
      </c>
      <c r="L29" s="65">
        <v>-418.80000000000013</v>
      </c>
    </row>
    <row r="30" spans="1:17" x14ac:dyDescent="0.4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 t="shared" si="0"/>
        <v>0</v>
      </c>
      <c r="I30" s="60">
        <v>8</v>
      </c>
      <c r="K30" s="7">
        <v>28</v>
      </c>
      <c r="L30" s="65">
        <v>-447.30000000000013</v>
      </c>
    </row>
    <row r="31" spans="1:17" x14ac:dyDescent="0.4">
      <c r="A31" s="21" t="s">
        <v>162</v>
      </c>
      <c r="B31" s="14">
        <v>21</v>
      </c>
      <c r="C31" s="94">
        <v>15</v>
      </c>
      <c r="E31" s="29" t="s">
        <v>87</v>
      </c>
      <c r="F31" s="26" t="s">
        <v>42</v>
      </c>
      <c r="G31" s="14">
        <v>0</v>
      </c>
      <c r="H31" s="92">
        <f t="shared" si="0"/>
        <v>0</v>
      </c>
      <c r="I31" s="60">
        <v>7</v>
      </c>
      <c r="K31" s="7">
        <v>29</v>
      </c>
      <c r="L31" s="65">
        <v>-442.60000000000014</v>
      </c>
    </row>
    <row r="32" spans="1:17" x14ac:dyDescent="0.4">
      <c r="A32" s="56" t="s">
        <v>138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 t="shared" si="0"/>
        <v>0</v>
      </c>
      <c r="I32" s="60">
        <v>6</v>
      </c>
      <c r="K32" s="7">
        <v>30</v>
      </c>
      <c r="L32" s="65">
        <v>-472.50000000000011</v>
      </c>
    </row>
    <row r="33" spans="1:12" x14ac:dyDescent="0.4">
      <c r="A33" s="24" t="s">
        <v>189</v>
      </c>
      <c r="B33" s="127">
        <v>85100</v>
      </c>
      <c r="C33" s="128"/>
      <c r="E33" s="29" t="s">
        <v>90</v>
      </c>
      <c r="F33" s="26" t="s">
        <v>45</v>
      </c>
      <c r="G33" s="14">
        <v>0</v>
      </c>
      <c r="H33" s="92">
        <f t="shared" si="0"/>
        <v>0</v>
      </c>
      <c r="I33" s="60">
        <v>5</v>
      </c>
      <c r="K33" s="7">
        <v>31</v>
      </c>
      <c r="L33" s="65">
        <v>-473.10000000000014</v>
      </c>
    </row>
    <row r="34" spans="1:12" x14ac:dyDescent="0.4">
      <c r="A34" s="23" t="s">
        <v>139</v>
      </c>
      <c r="B34" s="31">
        <v>3</v>
      </c>
      <c r="C34" s="11">
        <f>IF(B$3=0,0,B34/B$3)</f>
        <v>4.6367851622874804E-3</v>
      </c>
      <c r="E34" s="29" t="s">
        <v>93</v>
      </c>
      <c r="F34" s="26" t="s">
        <v>48</v>
      </c>
      <c r="G34" s="14">
        <v>0</v>
      </c>
      <c r="H34" s="92">
        <f t="shared" ref="H34:H65" si="4"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 t="shared" si="4"/>
        <v>0</v>
      </c>
      <c r="I35" s="60">
        <v>1</v>
      </c>
      <c r="K35" s="7">
        <v>33</v>
      </c>
      <c r="L35" s="65">
        <v>-548.20000000000005</v>
      </c>
    </row>
    <row r="36" spans="1:12" x14ac:dyDescent="0.4">
      <c r="A36" s="56" t="s">
        <v>180</v>
      </c>
      <c r="B36" s="119">
        <v>12</v>
      </c>
      <c r="C36" s="102">
        <f t="shared" ref="C36:C48" si="5">IF(B$19=0,0,B36/B$19)</f>
        <v>7.5471698113207544E-2</v>
      </c>
      <c r="E36" s="29" t="s">
        <v>96</v>
      </c>
      <c r="F36" s="26" t="s">
        <v>51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-531.90000000000009</v>
      </c>
    </row>
    <row r="37" spans="1:12" x14ac:dyDescent="0.4">
      <c r="A37" s="21" t="s">
        <v>176</v>
      </c>
      <c r="B37" s="14">
        <v>28</v>
      </c>
      <c r="C37" s="8">
        <f t="shared" si="5"/>
        <v>0.1761006289308176</v>
      </c>
      <c r="E37" s="29" t="s">
        <v>97</v>
      </c>
      <c r="F37" s="26" t="s">
        <v>52</v>
      </c>
      <c r="G37" s="14">
        <v>0</v>
      </c>
      <c r="H37" s="92">
        <f t="shared" si="4"/>
        <v>0</v>
      </c>
      <c r="I37" s="60">
        <v>3</v>
      </c>
      <c r="K37" s="7">
        <v>35</v>
      </c>
      <c r="L37" s="65">
        <v>-482.7000000000001</v>
      </c>
    </row>
    <row r="38" spans="1:12" x14ac:dyDescent="0.4">
      <c r="A38" s="21" t="s">
        <v>177</v>
      </c>
      <c r="B38" s="120">
        <v>32</v>
      </c>
      <c r="C38" s="8">
        <f t="shared" si="5"/>
        <v>0.20125786163522014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-498.00000000000011</v>
      </c>
    </row>
    <row r="39" spans="1:12" x14ac:dyDescent="0.4">
      <c r="A39" s="21" t="s">
        <v>178</v>
      </c>
      <c r="B39" s="120">
        <v>29</v>
      </c>
      <c r="C39" s="8">
        <f t="shared" si="5"/>
        <v>0.18238993710691823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-547.00000000000011</v>
      </c>
    </row>
    <row r="40" spans="1:12" x14ac:dyDescent="0.4">
      <c r="A40" s="21" t="s">
        <v>179</v>
      </c>
      <c r="B40" s="120">
        <v>23</v>
      </c>
      <c r="C40" s="8">
        <f t="shared" si="5"/>
        <v>0.14465408805031446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-570.10000000000014</v>
      </c>
    </row>
    <row r="41" spans="1:12" x14ac:dyDescent="0.4">
      <c r="A41" s="21" t="s">
        <v>181</v>
      </c>
      <c r="B41" s="120">
        <v>14</v>
      </c>
      <c r="C41" s="8">
        <f t="shared" si="5"/>
        <v>8.8050314465408799E-2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3</v>
      </c>
      <c r="K41" s="7">
        <v>39</v>
      </c>
      <c r="L41" s="65">
        <v>-524.90000000000009</v>
      </c>
    </row>
    <row r="42" spans="1:12" x14ac:dyDescent="0.4">
      <c r="A42" s="21" t="s">
        <v>182</v>
      </c>
      <c r="B42" s="120">
        <v>10</v>
      </c>
      <c r="C42" s="8">
        <f t="shared" si="5"/>
        <v>6.2893081761006289E-2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1</v>
      </c>
      <c r="K42" s="7">
        <v>40</v>
      </c>
      <c r="L42" s="65">
        <v>-573.70000000000005</v>
      </c>
    </row>
    <row r="43" spans="1:12" x14ac:dyDescent="0.4">
      <c r="A43" s="21" t="s">
        <v>183</v>
      </c>
      <c r="B43" s="120">
        <v>6</v>
      </c>
      <c r="C43" s="8">
        <f t="shared" si="5"/>
        <v>3.7735849056603772E-2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-624.80000000000007</v>
      </c>
    </row>
    <row r="44" spans="1:12" x14ac:dyDescent="0.4">
      <c r="A44" s="21" t="s">
        <v>184</v>
      </c>
      <c r="B44" s="120">
        <v>0</v>
      </c>
      <c r="C44" s="8">
        <f t="shared" si="5"/>
        <v>0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-604.80000000000007</v>
      </c>
    </row>
    <row r="45" spans="1:12" x14ac:dyDescent="0.4">
      <c r="A45" s="21" t="s">
        <v>185</v>
      </c>
      <c r="B45" s="120">
        <v>1</v>
      </c>
      <c r="C45" s="8">
        <f t="shared" si="5"/>
        <v>6.2893081761006293E-3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  <c r="K45" s="7">
        <v>43</v>
      </c>
      <c r="L45" s="65">
        <v>-623.30000000000007</v>
      </c>
    </row>
    <row r="46" spans="1:12" x14ac:dyDescent="0.4">
      <c r="A46" s="21" t="s">
        <v>186</v>
      </c>
      <c r="B46" s="120">
        <v>2</v>
      </c>
      <c r="C46" s="8">
        <f t="shared" si="5"/>
        <v>1.2578616352201259E-2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3</v>
      </c>
      <c r="K46" s="7">
        <v>44</v>
      </c>
      <c r="L46" s="65">
        <v>-588.1</v>
      </c>
    </row>
    <row r="47" spans="1:12" x14ac:dyDescent="0.4">
      <c r="A47" s="21" t="s">
        <v>187</v>
      </c>
      <c r="B47" s="120">
        <v>0</v>
      </c>
      <c r="C47" s="8">
        <f t="shared" si="5"/>
        <v>0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-559.20000000000005</v>
      </c>
    </row>
    <row r="48" spans="1:12" x14ac:dyDescent="0.4">
      <c r="A48" s="23" t="s">
        <v>188</v>
      </c>
      <c r="B48" s="101">
        <v>2</v>
      </c>
      <c r="C48" s="11">
        <f t="shared" si="5"/>
        <v>1.2578616352201259E-2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-555.90000000000009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-550.60000000000014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-545.00000000000011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  <c r="K51" s="7">
        <v>49</v>
      </c>
      <c r="L51" s="65">
        <v>-581.30000000000007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-579.30000000000007</v>
      </c>
    </row>
    <row r="53" spans="5:12" x14ac:dyDescent="0.4">
      <c r="K53" s="7">
        <v>51</v>
      </c>
      <c r="L53" s="65">
        <v>-614.70000000000005</v>
      </c>
    </row>
    <row r="54" spans="5:12" x14ac:dyDescent="0.4">
      <c r="K54" s="7">
        <v>52</v>
      </c>
      <c r="L54" s="65">
        <v>-603.1</v>
      </c>
    </row>
    <row r="55" spans="5:12" x14ac:dyDescent="0.4">
      <c r="K55" s="7">
        <v>53</v>
      </c>
      <c r="L55" s="65">
        <v>-652.6</v>
      </c>
    </row>
    <row r="56" spans="5:12" x14ac:dyDescent="0.4">
      <c r="K56" s="7">
        <v>54</v>
      </c>
      <c r="L56" s="65">
        <v>-626.4</v>
      </c>
    </row>
    <row r="57" spans="5:12" x14ac:dyDescent="0.4">
      <c r="K57" s="7">
        <v>55</v>
      </c>
      <c r="L57" s="65">
        <v>-626.4</v>
      </c>
    </row>
    <row r="58" spans="5:12" x14ac:dyDescent="0.4">
      <c r="K58" s="7">
        <v>56</v>
      </c>
      <c r="L58" s="65">
        <v>-620</v>
      </c>
    </row>
    <row r="59" spans="5:12" x14ac:dyDescent="0.4">
      <c r="K59" s="7">
        <v>57</v>
      </c>
      <c r="L59" s="65">
        <v>-623.6</v>
      </c>
    </row>
    <row r="60" spans="5:12" x14ac:dyDescent="0.4">
      <c r="K60" s="7">
        <v>58</v>
      </c>
      <c r="L60" s="65">
        <v>-614.20000000000005</v>
      </c>
    </row>
    <row r="61" spans="5:12" x14ac:dyDescent="0.4">
      <c r="K61" s="7">
        <v>59</v>
      </c>
      <c r="L61" s="65">
        <v>-627.40000000000009</v>
      </c>
    </row>
    <row r="62" spans="5:12" x14ac:dyDescent="0.4">
      <c r="K62" s="7">
        <v>60</v>
      </c>
      <c r="L62" s="65">
        <v>-656.2</v>
      </c>
    </row>
    <row r="63" spans="5:12" x14ac:dyDescent="0.4">
      <c r="K63" s="7">
        <v>61</v>
      </c>
      <c r="L63" s="65">
        <v>-653.40000000000009</v>
      </c>
    </row>
    <row r="64" spans="5:12" x14ac:dyDescent="0.4">
      <c r="K64" s="7">
        <v>62</v>
      </c>
      <c r="L64" s="65">
        <v>-665.40000000000009</v>
      </c>
    </row>
    <row r="65" spans="11:12" x14ac:dyDescent="0.4">
      <c r="K65" s="7">
        <v>63</v>
      </c>
      <c r="L65" s="65">
        <v>-697.10000000000014</v>
      </c>
    </row>
    <row r="66" spans="11:12" x14ac:dyDescent="0.4">
      <c r="K66" s="7">
        <v>64</v>
      </c>
      <c r="L66" s="65">
        <v>-704.90000000000009</v>
      </c>
    </row>
    <row r="67" spans="11:12" x14ac:dyDescent="0.4">
      <c r="K67" s="7">
        <v>65</v>
      </c>
      <c r="L67" s="65">
        <v>-668.90000000000009</v>
      </c>
    </row>
    <row r="68" spans="11:12" x14ac:dyDescent="0.4">
      <c r="K68" s="7">
        <v>66</v>
      </c>
      <c r="L68" s="65">
        <v>-672.40000000000009</v>
      </c>
    </row>
    <row r="69" spans="11:12" x14ac:dyDescent="0.4">
      <c r="K69" s="7">
        <v>67</v>
      </c>
      <c r="L69" s="65">
        <v>-655.40000000000009</v>
      </c>
    </row>
    <row r="70" spans="11:12" x14ac:dyDescent="0.4">
      <c r="K70" s="7">
        <v>68</v>
      </c>
      <c r="L70" s="65">
        <v>-656.10000000000014</v>
      </c>
    </row>
    <row r="71" spans="11:12" x14ac:dyDescent="0.4">
      <c r="K71" s="7">
        <v>69</v>
      </c>
      <c r="L71" s="65">
        <v>-691.90000000000009</v>
      </c>
    </row>
    <row r="72" spans="11:12" x14ac:dyDescent="0.4">
      <c r="K72" s="7">
        <v>70</v>
      </c>
      <c r="L72" s="65">
        <v>-739.50000000000011</v>
      </c>
    </row>
    <row r="73" spans="11:12" x14ac:dyDescent="0.4">
      <c r="K73" s="7">
        <v>71</v>
      </c>
      <c r="L73" s="65">
        <v>-786.20000000000016</v>
      </c>
    </row>
    <row r="74" spans="11:12" x14ac:dyDescent="0.4">
      <c r="K74" s="7">
        <v>72</v>
      </c>
      <c r="L74" s="65">
        <v>-848.4000000000002</v>
      </c>
    </row>
    <row r="75" spans="11:12" x14ac:dyDescent="0.4">
      <c r="K75" s="7">
        <v>73</v>
      </c>
      <c r="L75" s="65">
        <v>-864.60000000000025</v>
      </c>
    </row>
    <row r="76" spans="11:12" x14ac:dyDescent="0.4">
      <c r="K76" s="7">
        <v>74</v>
      </c>
      <c r="L76" s="65">
        <v>-854.50000000000023</v>
      </c>
    </row>
    <row r="77" spans="11:12" x14ac:dyDescent="0.4">
      <c r="K77" s="7">
        <v>75</v>
      </c>
      <c r="L77" s="65">
        <v>-859.4000000000002</v>
      </c>
    </row>
    <row r="78" spans="11:12" x14ac:dyDescent="0.4">
      <c r="K78" s="7">
        <v>76</v>
      </c>
      <c r="L78" s="65">
        <v>-867.20000000000016</v>
      </c>
    </row>
    <row r="79" spans="11:12" x14ac:dyDescent="0.4">
      <c r="K79" s="7">
        <v>77</v>
      </c>
      <c r="L79" s="65">
        <v>-938.10000000000014</v>
      </c>
    </row>
    <row r="80" spans="11:12" x14ac:dyDescent="0.4">
      <c r="K80" s="7">
        <v>78</v>
      </c>
      <c r="L80" s="65">
        <v>-905.10000000000014</v>
      </c>
    </row>
    <row r="81" spans="11:12" x14ac:dyDescent="0.4">
      <c r="K81" s="7">
        <v>79</v>
      </c>
      <c r="L81" s="65">
        <v>-896.80000000000018</v>
      </c>
    </row>
  </sheetData>
  <sortState xmlns:xlrd2="http://schemas.microsoft.com/office/spreadsheetml/2017/richdata2" ref="E2:I8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169CB-518C-40CF-9E9E-81402AF26F98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194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36</v>
      </c>
      <c r="C2" s="132"/>
      <c r="E2" s="28" t="s">
        <v>66</v>
      </c>
      <c r="F2" s="25" t="s">
        <v>22</v>
      </c>
      <c r="G2" s="13">
        <v>68</v>
      </c>
      <c r="H2" s="91">
        <f t="shared" ref="H2:H33" si="0">IF(B$19=0,0,G2/B$19)</f>
        <v>0.82926829268292679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1">IF(P2=0,0,Q2/P2)</f>
        <v>-2180</v>
      </c>
      <c r="P2" s="80">
        <v>35</v>
      </c>
      <c r="Q2" s="67">
        <v>-76300</v>
      </c>
    </row>
    <row r="3" spans="1:17" x14ac:dyDescent="0.4">
      <c r="A3" s="21" t="s">
        <v>8</v>
      </c>
      <c r="B3" s="133">
        <v>328</v>
      </c>
      <c r="C3" s="134"/>
      <c r="E3" s="29" t="s">
        <v>64</v>
      </c>
      <c r="F3" s="26" t="s">
        <v>20</v>
      </c>
      <c r="G3" s="14">
        <v>50</v>
      </c>
      <c r="H3" s="92">
        <f t="shared" si="0"/>
        <v>0.6097560975609756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1"/>
        <v>-4002.9411764705883</v>
      </c>
      <c r="P3" s="81">
        <v>34</v>
      </c>
      <c r="Q3" s="68">
        <v>-136100</v>
      </c>
    </row>
    <row r="4" spans="1:17" x14ac:dyDescent="0.4">
      <c r="A4" s="21" t="s">
        <v>6</v>
      </c>
      <c r="B4" s="135">
        <v>-257.89999999999998</v>
      </c>
      <c r="C4" s="136"/>
      <c r="E4" s="29" t="s">
        <v>68</v>
      </c>
      <c r="F4" s="26" t="s">
        <v>12</v>
      </c>
      <c r="G4" s="14">
        <v>40</v>
      </c>
      <c r="H4" s="92">
        <f t="shared" si="0"/>
        <v>0.48780487804878048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1"/>
        <v>1606.25</v>
      </c>
      <c r="P4" s="81">
        <v>32</v>
      </c>
      <c r="Q4" s="68">
        <v>51400</v>
      </c>
    </row>
    <row r="5" spans="1:17" x14ac:dyDescent="0.4">
      <c r="A5" s="21" t="s">
        <v>7</v>
      </c>
      <c r="B5" s="123">
        <f>IF(B$2=0,0,B$4/B$2)</f>
        <v>-7.1638888888888879</v>
      </c>
      <c r="C5" s="124"/>
      <c r="E5" s="29" t="s">
        <v>163</v>
      </c>
      <c r="F5" s="26" t="s">
        <v>164</v>
      </c>
      <c r="G5" s="14">
        <v>35</v>
      </c>
      <c r="H5" s="92">
        <f t="shared" si="0"/>
        <v>0.42682926829268292</v>
      </c>
      <c r="I5" s="60">
        <v>4</v>
      </c>
      <c r="K5" s="7">
        <v>3</v>
      </c>
      <c r="L5" s="65">
        <v>76</v>
      </c>
      <c r="N5" s="78" t="s">
        <v>133</v>
      </c>
      <c r="O5" s="84">
        <f t="shared" si="1"/>
        <v>-2390.625</v>
      </c>
      <c r="P5" s="81">
        <v>32</v>
      </c>
      <c r="Q5" s="68">
        <v>-76500</v>
      </c>
    </row>
    <row r="6" spans="1:17" x14ac:dyDescent="0.4">
      <c r="A6" s="21" t="s">
        <v>1</v>
      </c>
      <c r="B6" s="137">
        <f>IF(B$2=0,0,(B$7*1+B$8*2+B$9*3)/B$2)</f>
        <v>2.0833333333333335</v>
      </c>
      <c r="C6" s="138"/>
      <c r="E6" s="29" t="s">
        <v>72</v>
      </c>
      <c r="F6" s="26" t="s">
        <v>27</v>
      </c>
      <c r="G6" s="14">
        <v>29</v>
      </c>
      <c r="H6" s="92">
        <f t="shared" si="0"/>
        <v>0.35365853658536583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1"/>
        <v>3303.5714285714284</v>
      </c>
      <c r="P6" s="81">
        <v>28</v>
      </c>
      <c r="Q6" s="68">
        <v>92500</v>
      </c>
    </row>
    <row r="7" spans="1:17" x14ac:dyDescent="0.4">
      <c r="A7" s="21" t="s">
        <v>2</v>
      </c>
      <c r="B7" s="14">
        <v>12</v>
      </c>
      <c r="C7" s="8">
        <f t="shared" ref="C7:C14" si="2">IF(B$2=0,0,B7/B$2)</f>
        <v>0.33333333333333331</v>
      </c>
      <c r="E7" s="29" t="s">
        <v>69</v>
      </c>
      <c r="F7" s="26" t="s">
        <v>24</v>
      </c>
      <c r="G7" s="14">
        <v>18</v>
      </c>
      <c r="H7" s="92">
        <f t="shared" si="0"/>
        <v>0.21951219512195122</v>
      </c>
      <c r="I7" s="60">
        <v>2</v>
      </c>
      <c r="K7" s="7">
        <v>5</v>
      </c>
      <c r="L7" s="65">
        <v>127.9</v>
      </c>
      <c r="N7" s="79" t="s">
        <v>135</v>
      </c>
      <c r="O7" s="85">
        <f t="shared" si="1"/>
        <v>70.833333333333329</v>
      </c>
      <c r="P7" s="82">
        <v>24</v>
      </c>
      <c r="Q7" s="69">
        <v>1700</v>
      </c>
    </row>
    <row r="8" spans="1:17" x14ac:dyDescent="0.4">
      <c r="A8" s="21" t="s">
        <v>3</v>
      </c>
      <c r="B8" s="14">
        <v>9</v>
      </c>
      <c r="C8" s="8">
        <f t="shared" si="2"/>
        <v>0.25</v>
      </c>
      <c r="E8" s="29" t="s">
        <v>67</v>
      </c>
      <c r="F8" s="26" t="s">
        <v>23</v>
      </c>
      <c r="G8" s="14">
        <v>17</v>
      </c>
      <c r="H8" s="92">
        <f t="shared" si="0"/>
        <v>0.2073170731707317</v>
      </c>
      <c r="I8" s="60">
        <v>11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">
      <c r="A9" s="22" t="s">
        <v>4</v>
      </c>
      <c r="B9" s="15">
        <v>15</v>
      </c>
      <c r="C9" s="9">
        <f t="shared" si="2"/>
        <v>0.41666666666666669</v>
      </c>
      <c r="E9" s="29" t="s">
        <v>65</v>
      </c>
      <c r="F9" s="26" t="s">
        <v>21</v>
      </c>
      <c r="G9" s="14">
        <v>10</v>
      </c>
      <c r="H9" s="92">
        <f t="shared" si="0"/>
        <v>0.12195121951219512</v>
      </c>
      <c r="I9" s="60">
        <v>6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9</v>
      </c>
      <c r="H10" s="92">
        <f t="shared" si="0"/>
        <v>0.10975609756097561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-10.315384615384618</v>
      </c>
      <c r="P10" s="80">
        <v>13</v>
      </c>
      <c r="Q10" s="71">
        <v>-134.10000000000002</v>
      </c>
    </row>
    <row r="11" spans="1:17" x14ac:dyDescent="0.4">
      <c r="A11" s="22" t="s">
        <v>204</v>
      </c>
      <c r="B11" s="113">
        <f>IF(B8=0,0,C11/B8)</f>
        <v>-1.0999999999999996</v>
      </c>
      <c r="C11" s="114">
        <v>-9.8999999999999968</v>
      </c>
      <c r="E11" s="29" t="s">
        <v>71</v>
      </c>
      <c r="F11" s="26" t="s">
        <v>26</v>
      </c>
      <c r="G11" s="14">
        <v>7</v>
      </c>
      <c r="H11" s="92">
        <f t="shared" si="0"/>
        <v>8.5365853658536592E-2</v>
      </c>
      <c r="I11" s="60">
        <v>6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">
      <c r="A12" s="22" t="s">
        <v>205</v>
      </c>
      <c r="B12" s="113">
        <f>IF(B9=0,0,C12/B9)</f>
        <v>-39.506666666666675</v>
      </c>
      <c r="C12" s="114">
        <v>-592.60000000000014</v>
      </c>
      <c r="E12" s="29" t="s">
        <v>89</v>
      </c>
      <c r="F12" s="26" t="s">
        <v>44</v>
      </c>
      <c r="G12" s="14">
        <v>7</v>
      </c>
      <c r="H12" s="92">
        <f t="shared" si="0"/>
        <v>8.5365853658536592E-2</v>
      </c>
      <c r="I12" s="60">
        <v>11</v>
      </c>
      <c r="K12" s="7">
        <v>10</v>
      </c>
      <c r="L12" s="65">
        <v>162.80000000000001</v>
      </c>
      <c r="N12" s="79" t="s">
        <v>156</v>
      </c>
      <c r="O12" s="88">
        <f>IF(P12=0,0,Q12/P12)</f>
        <v>-3.615384615384615</v>
      </c>
      <c r="P12" s="82">
        <v>13</v>
      </c>
      <c r="Q12" s="73">
        <v>-46.999999999999993</v>
      </c>
    </row>
    <row r="13" spans="1:17" x14ac:dyDescent="0.4">
      <c r="A13" s="22" t="s">
        <v>206</v>
      </c>
      <c r="B13" s="123">
        <f>AVERAGE(B10:B12)</f>
        <v>-3.963333333333336</v>
      </c>
      <c r="C13" s="124"/>
      <c r="E13" s="29" t="s">
        <v>78</v>
      </c>
      <c r="F13" s="26" t="s">
        <v>33</v>
      </c>
      <c r="G13" s="14">
        <v>5</v>
      </c>
      <c r="H13" s="92">
        <f t="shared" si="0"/>
        <v>6.097560975609756E-2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7</v>
      </c>
      <c r="C14" s="11">
        <f t="shared" si="2"/>
        <v>0.19444444444444445</v>
      </c>
      <c r="E14" s="29" t="s">
        <v>86</v>
      </c>
      <c r="F14" s="26" t="s">
        <v>41</v>
      </c>
      <c r="G14" s="14">
        <v>4</v>
      </c>
      <c r="H14" s="92">
        <f t="shared" si="0"/>
        <v>4.878048780487805E-2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95</v>
      </c>
      <c r="C15" s="12">
        <f>IF(B$3=0,0,B15/B$3)</f>
        <v>0.28963414634146339</v>
      </c>
      <c r="E15" s="29" t="s">
        <v>83</v>
      </c>
      <c r="F15" s="26" t="s">
        <v>38</v>
      </c>
      <c r="G15" s="14">
        <v>2</v>
      </c>
      <c r="H15" s="92">
        <f t="shared" si="0"/>
        <v>2.4390243902439025E-2</v>
      </c>
      <c r="I15" s="60">
        <v>12</v>
      </c>
      <c r="K15" s="7">
        <v>13</v>
      </c>
      <c r="L15" s="65">
        <v>76.7</v>
      </c>
      <c r="N15" s="77" t="s">
        <v>195</v>
      </c>
      <c r="O15" s="86">
        <f t="shared" ref="O15:O23" si="3">IF(P15=0,0,Q15/P15)</f>
        <v>44.487500000000011</v>
      </c>
      <c r="P15" s="80">
        <v>8</v>
      </c>
      <c r="Q15" s="71">
        <v>355.90000000000009</v>
      </c>
    </row>
    <row r="16" spans="1:17" x14ac:dyDescent="0.4">
      <c r="A16" s="21" t="s">
        <v>118</v>
      </c>
      <c r="B16" s="14">
        <v>49</v>
      </c>
      <c r="C16" s="8">
        <f>IF(B$3=0,0,B16/B$3)</f>
        <v>0.14939024390243902</v>
      </c>
      <c r="E16" s="29" t="s">
        <v>159</v>
      </c>
      <c r="F16" s="26" t="s">
        <v>160</v>
      </c>
      <c r="G16" s="14">
        <v>2</v>
      </c>
      <c r="H16" s="92">
        <f t="shared" si="0"/>
        <v>2.4390243902439025E-2</v>
      </c>
      <c r="I16" s="60">
        <v>3</v>
      </c>
      <c r="K16" s="7">
        <v>14</v>
      </c>
      <c r="L16" s="65">
        <v>49.900000000000006</v>
      </c>
      <c r="N16" s="78" t="s">
        <v>275</v>
      </c>
      <c r="O16" s="87">
        <f t="shared" si="3"/>
        <v>0.16666666666666785</v>
      </c>
      <c r="P16" s="81">
        <v>3</v>
      </c>
      <c r="Q16" s="72">
        <v>0.50000000000000355</v>
      </c>
    </row>
    <row r="17" spans="1:17" x14ac:dyDescent="0.4">
      <c r="A17" s="20" t="s">
        <v>123</v>
      </c>
      <c r="B17" s="13">
        <f>B23</f>
        <v>51</v>
      </c>
      <c r="C17" s="6">
        <f>IF(B$15=0,0,B17/B$15)</f>
        <v>0.5368421052631579</v>
      </c>
      <c r="E17" s="29" t="s">
        <v>75</v>
      </c>
      <c r="F17" s="26" t="s">
        <v>30</v>
      </c>
      <c r="G17" s="14">
        <v>1</v>
      </c>
      <c r="H17" s="92">
        <f t="shared" si="0"/>
        <v>1.2195121951219513E-2</v>
      </c>
      <c r="I17" s="60">
        <v>2</v>
      </c>
      <c r="K17" s="7">
        <v>15</v>
      </c>
      <c r="L17" s="65">
        <v>73.7</v>
      </c>
      <c r="N17" s="78" t="s">
        <v>169</v>
      </c>
      <c r="O17" s="87">
        <f t="shared" si="3"/>
        <v>-2.307692307692286E-2</v>
      </c>
      <c r="P17" s="81">
        <v>13</v>
      </c>
      <c r="Q17" s="72">
        <v>-0.29999999999999716</v>
      </c>
    </row>
    <row r="18" spans="1:17" x14ac:dyDescent="0.4">
      <c r="A18" s="20" t="s">
        <v>124</v>
      </c>
      <c r="B18" s="13">
        <f>B24</f>
        <v>15</v>
      </c>
      <c r="C18" s="6">
        <f>IF(B$16=0,0,B18/B$16)</f>
        <v>0.30612244897959184</v>
      </c>
      <c r="E18" s="29" t="s">
        <v>81</v>
      </c>
      <c r="F18" s="26" t="s">
        <v>36</v>
      </c>
      <c r="G18" s="14">
        <v>1</v>
      </c>
      <c r="H18" s="92">
        <f t="shared" si="0"/>
        <v>1.2195121951219513E-2</v>
      </c>
      <c r="I18" s="60">
        <v>10</v>
      </c>
      <c r="K18" s="7">
        <v>16</v>
      </c>
      <c r="L18" s="65">
        <v>28.300000000000004</v>
      </c>
      <c r="N18" s="78" t="s">
        <v>158</v>
      </c>
      <c r="O18" s="87">
        <f t="shared" si="3"/>
        <v>-7.4333333333333336</v>
      </c>
      <c r="P18" s="81">
        <v>6</v>
      </c>
      <c r="Q18" s="72">
        <v>-44.6</v>
      </c>
    </row>
    <row r="19" spans="1:17" x14ac:dyDescent="0.4">
      <c r="A19" s="20" t="s">
        <v>10</v>
      </c>
      <c r="B19" s="13">
        <f>B22+B21</f>
        <v>82</v>
      </c>
      <c r="C19" s="6">
        <f>IF(B$3=0,0,B19/B$3)</f>
        <v>0.25</v>
      </c>
      <c r="E19" s="29" t="s">
        <v>85</v>
      </c>
      <c r="F19" s="26" t="s">
        <v>40</v>
      </c>
      <c r="G19" s="14">
        <v>1</v>
      </c>
      <c r="H19" s="92">
        <f t="shared" si="0"/>
        <v>1.2195121951219513E-2</v>
      </c>
      <c r="I19" s="60">
        <v>2</v>
      </c>
      <c r="K19" s="7">
        <v>17</v>
      </c>
      <c r="L19" s="65">
        <v>49.800000000000004</v>
      </c>
      <c r="N19" s="78" t="s">
        <v>201</v>
      </c>
      <c r="O19" s="87">
        <f t="shared" si="3"/>
        <v>-17.850000000000001</v>
      </c>
      <c r="P19" s="81">
        <v>2</v>
      </c>
      <c r="Q19" s="72">
        <v>-35.700000000000003</v>
      </c>
    </row>
    <row r="20" spans="1:17" x14ac:dyDescent="0.4">
      <c r="A20" s="21" t="s">
        <v>13</v>
      </c>
      <c r="B20" s="14">
        <v>58</v>
      </c>
      <c r="C20" s="8">
        <f>IF(B$3=0,0,B20/B$3)</f>
        <v>0.17682926829268292</v>
      </c>
      <c r="E20" s="29" t="s">
        <v>87</v>
      </c>
      <c r="F20" s="26" t="s">
        <v>42</v>
      </c>
      <c r="G20" s="14">
        <v>1</v>
      </c>
      <c r="H20" s="92">
        <f t="shared" si="0"/>
        <v>1.2195121951219513E-2</v>
      </c>
      <c r="I20" s="60">
        <v>2</v>
      </c>
      <c r="K20" s="7">
        <v>18</v>
      </c>
      <c r="L20" s="65">
        <v>24.700000000000003</v>
      </c>
      <c r="N20" s="78" t="s">
        <v>127</v>
      </c>
      <c r="O20" s="87">
        <f t="shared" si="3"/>
        <v>-21.862499999999997</v>
      </c>
      <c r="P20" s="81">
        <v>8</v>
      </c>
      <c r="Q20" s="72">
        <v>-174.89999999999998</v>
      </c>
    </row>
    <row r="21" spans="1:17" x14ac:dyDescent="0.4">
      <c r="A21" s="21" t="s">
        <v>12</v>
      </c>
      <c r="B21" s="14">
        <v>49</v>
      </c>
      <c r="C21" s="8">
        <f>IF(B$19=0,0,B21/B$19)</f>
        <v>0.59756097560975607</v>
      </c>
      <c r="E21" s="29" t="s">
        <v>73</v>
      </c>
      <c r="F21" s="26" t="s">
        <v>28</v>
      </c>
      <c r="G21" s="14">
        <v>0</v>
      </c>
      <c r="H21" s="92">
        <f t="shared" si="0"/>
        <v>0</v>
      </c>
      <c r="I21" s="60">
        <v>6</v>
      </c>
      <c r="K21" s="7">
        <v>19</v>
      </c>
      <c r="L21" s="65">
        <v>8.7000000000000028</v>
      </c>
      <c r="N21" s="78" t="s">
        <v>168</v>
      </c>
      <c r="O21" s="87">
        <f t="shared" si="3"/>
        <v>-23.842857142857145</v>
      </c>
      <c r="P21" s="81">
        <v>7</v>
      </c>
      <c r="Q21" s="72">
        <v>-166.9</v>
      </c>
    </row>
    <row r="22" spans="1:17" x14ac:dyDescent="0.4">
      <c r="A22" s="21" t="s">
        <v>11</v>
      </c>
      <c r="B22" s="14">
        <v>33</v>
      </c>
      <c r="C22" s="8">
        <f>IF(B$19=0,0,B22/B$19)</f>
        <v>0.40243902439024393</v>
      </c>
      <c r="E22" s="29" t="s">
        <v>74</v>
      </c>
      <c r="F22" s="26" t="s">
        <v>29</v>
      </c>
      <c r="G22" s="14">
        <v>0</v>
      </c>
      <c r="H22" s="92">
        <f t="shared" si="0"/>
        <v>0</v>
      </c>
      <c r="I22" s="60">
        <v>7</v>
      </c>
      <c r="K22" s="7">
        <v>20</v>
      </c>
      <c r="L22" s="65">
        <v>-33</v>
      </c>
      <c r="N22" s="78" t="s">
        <v>167</v>
      </c>
      <c r="O22" s="87">
        <f t="shared" si="3"/>
        <v>-25.784615384615385</v>
      </c>
      <c r="P22" s="81">
        <v>13</v>
      </c>
      <c r="Q22" s="72">
        <v>-335.2</v>
      </c>
    </row>
    <row r="23" spans="1:17" x14ac:dyDescent="0.4">
      <c r="A23" s="21" t="s">
        <v>192</v>
      </c>
      <c r="B23" s="14">
        <v>51</v>
      </c>
      <c r="C23" s="8">
        <f>IF(B$19=0,0,B23/B$19)</f>
        <v>0.62195121951219512</v>
      </c>
      <c r="E23" s="29" t="s">
        <v>76</v>
      </c>
      <c r="F23" s="26" t="s">
        <v>31</v>
      </c>
      <c r="G23" s="14">
        <v>0</v>
      </c>
      <c r="H23" s="92">
        <f t="shared" si="0"/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 t="shared" si="3"/>
        <v>-31.041666666666675</v>
      </c>
      <c r="P23" s="81">
        <v>12</v>
      </c>
      <c r="Q23" s="72">
        <v>-372.50000000000011</v>
      </c>
    </row>
    <row r="24" spans="1:17" x14ac:dyDescent="0.4">
      <c r="A24" s="21" t="s">
        <v>190</v>
      </c>
      <c r="B24" s="14">
        <v>15</v>
      </c>
      <c r="C24" s="8">
        <f>IF(B$19=0,0,B24/B$19)</f>
        <v>0.18292682926829268</v>
      </c>
      <c r="E24" s="29" t="s">
        <v>77</v>
      </c>
      <c r="F24" s="26" t="s">
        <v>32</v>
      </c>
      <c r="G24" s="14">
        <v>0</v>
      </c>
      <c r="H24" s="92">
        <f t="shared" si="0"/>
        <v>0</v>
      </c>
      <c r="I24" s="60">
        <v>6</v>
      </c>
      <c r="K24" s="7">
        <v>22</v>
      </c>
      <c r="L24" s="65">
        <v>-13.5</v>
      </c>
    </row>
    <row r="25" spans="1:17" x14ac:dyDescent="0.4">
      <c r="A25" s="21" t="s">
        <v>191</v>
      </c>
      <c r="B25" s="14">
        <v>16</v>
      </c>
      <c r="C25" s="8">
        <f>IF(B$19=0,0,B25/B$19)</f>
        <v>0.1951219512195122</v>
      </c>
      <c r="E25" s="29" t="s">
        <v>79</v>
      </c>
      <c r="F25" s="26" t="s">
        <v>34</v>
      </c>
      <c r="G25" s="14">
        <v>0</v>
      </c>
      <c r="H25" s="92">
        <f t="shared" si="0"/>
        <v>0</v>
      </c>
      <c r="I25" s="60">
        <v>11</v>
      </c>
      <c r="K25" s="7">
        <v>23</v>
      </c>
      <c r="L25" s="65">
        <v>27.299999999999997</v>
      </c>
    </row>
    <row r="26" spans="1:17" x14ac:dyDescent="0.4">
      <c r="A26" s="21" t="s">
        <v>5</v>
      </c>
      <c r="B26" s="18">
        <f>IF(B$19=0,0,C26/B$19)</f>
        <v>8052.4390243902435</v>
      </c>
      <c r="C26" s="10">
        <v>660300</v>
      </c>
      <c r="E26" s="29" t="s">
        <v>80</v>
      </c>
      <c r="F26" s="26" t="s">
        <v>35</v>
      </c>
      <c r="G26" s="14">
        <v>0</v>
      </c>
      <c r="H26" s="92">
        <f t="shared" si="0"/>
        <v>0</v>
      </c>
      <c r="I26" s="60">
        <v>1</v>
      </c>
      <c r="K26" s="7">
        <v>24</v>
      </c>
      <c r="L26" s="65">
        <v>2.1999999999999957</v>
      </c>
    </row>
    <row r="27" spans="1:17" x14ac:dyDescent="0.4">
      <c r="A27" s="22" t="s">
        <v>174</v>
      </c>
      <c r="B27" s="99">
        <f>IF($B$19-B$18=0,0,C27/($B$19-B$18))</f>
        <v>8349.253731343284</v>
      </c>
      <c r="C27" s="100">
        <v>559400</v>
      </c>
      <c r="E27" s="29" t="s">
        <v>82</v>
      </c>
      <c r="F27" s="26" t="s">
        <v>37</v>
      </c>
      <c r="G27" s="14">
        <v>0</v>
      </c>
      <c r="H27" s="92">
        <f t="shared" si="0"/>
        <v>0</v>
      </c>
      <c r="I27" s="60">
        <v>1</v>
      </c>
      <c r="K27" s="7">
        <v>25</v>
      </c>
      <c r="L27" s="65">
        <v>-45.7</v>
      </c>
    </row>
    <row r="28" spans="1:17" x14ac:dyDescent="0.4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 t="shared" si="0"/>
        <v>0</v>
      </c>
      <c r="I28" s="60">
        <v>6</v>
      </c>
      <c r="K28" s="7">
        <v>26</v>
      </c>
      <c r="L28" s="65">
        <v>-29.900000000000002</v>
      </c>
    </row>
    <row r="29" spans="1:17" x14ac:dyDescent="0.4">
      <c r="A29" s="22" t="s">
        <v>173</v>
      </c>
      <c r="B29" s="99">
        <f>IF(B$20=0,0,C29/B$20)</f>
        <v>-7577.5862068965516</v>
      </c>
      <c r="C29" s="100">
        <v>-439500</v>
      </c>
      <c r="E29" s="29" t="s">
        <v>88</v>
      </c>
      <c r="F29" s="26" t="s">
        <v>43</v>
      </c>
      <c r="G29" s="14">
        <v>0</v>
      </c>
      <c r="H29" s="92">
        <f t="shared" si="0"/>
        <v>0</v>
      </c>
      <c r="I29" s="60">
        <v>6</v>
      </c>
      <c r="K29" s="7">
        <v>27</v>
      </c>
      <c r="L29" s="65">
        <v>-76.5</v>
      </c>
    </row>
    <row r="30" spans="1:17" x14ac:dyDescent="0.4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 t="shared" si="0"/>
        <v>0</v>
      </c>
      <c r="I30" s="60">
        <v>5</v>
      </c>
      <c r="K30" s="7">
        <v>28</v>
      </c>
      <c r="L30" s="65">
        <v>-129.6</v>
      </c>
    </row>
    <row r="31" spans="1:17" x14ac:dyDescent="0.4">
      <c r="A31" s="21" t="s">
        <v>162</v>
      </c>
      <c r="B31" s="14">
        <v>19</v>
      </c>
      <c r="C31" s="94">
        <v>0</v>
      </c>
      <c r="E31" s="29" t="s">
        <v>91</v>
      </c>
      <c r="F31" s="26" t="s">
        <v>46</v>
      </c>
      <c r="G31" s="14">
        <v>0</v>
      </c>
      <c r="H31" s="92">
        <f t="shared" si="0"/>
        <v>0</v>
      </c>
      <c r="I31" s="60">
        <v>10</v>
      </c>
      <c r="K31" s="7">
        <v>29</v>
      </c>
      <c r="L31" s="65">
        <v>-128.79999999999998</v>
      </c>
    </row>
    <row r="32" spans="1:17" x14ac:dyDescent="0.4">
      <c r="A32" s="56" t="s">
        <v>138</v>
      </c>
      <c r="B32" s="125">
        <v>7</v>
      </c>
      <c r="C32" s="126"/>
      <c r="E32" s="29" t="s">
        <v>92</v>
      </c>
      <c r="F32" s="26" t="s">
        <v>47</v>
      </c>
      <c r="G32" s="14">
        <v>0</v>
      </c>
      <c r="H32" s="92">
        <f t="shared" si="0"/>
        <v>0</v>
      </c>
      <c r="I32" s="60">
        <v>8</v>
      </c>
      <c r="K32" s="7">
        <v>30</v>
      </c>
      <c r="L32" s="65">
        <v>-106.39999999999998</v>
      </c>
    </row>
    <row r="33" spans="1:12" x14ac:dyDescent="0.4">
      <c r="A33" s="24" t="s">
        <v>189</v>
      </c>
      <c r="B33" s="127">
        <v>95200</v>
      </c>
      <c r="C33" s="128"/>
      <c r="E33" s="29" t="s">
        <v>93</v>
      </c>
      <c r="F33" s="26" t="s">
        <v>48</v>
      </c>
      <c r="G33" s="14">
        <v>0</v>
      </c>
      <c r="H33" s="92">
        <f t="shared" si="0"/>
        <v>0</v>
      </c>
      <c r="I33" s="60">
        <v>5</v>
      </c>
      <c r="K33" s="7">
        <v>31</v>
      </c>
      <c r="L33" s="65">
        <v>-77.399999999999977</v>
      </c>
    </row>
    <row r="34" spans="1:12" x14ac:dyDescent="0.4">
      <c r="A34" s="23" t="s">
        <v>139</v>
      </c>
      <c r="B34" s="31">
        <v>2</v>
      </c>
      <c r="C34" s="11">
        <f>IF(B$3=0,0,B34/B$3)</f>
        <v>6.0975609756097563E-3</v>
      </c>
      <c r="E34" s="29" t="s">
        <v>94</v>
      </c>
      <c r="F34" s="26" t="s">
        <v>49</v>
      </c>
      <c r="G34" s="14">
        <v>0</v>
      </c>
      <c r="H34" s="92">
        <f t="shared" ref="H34:H65" si="4"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 t="shared" si="4"/>
        <v>0</v>
      </c>
      <c r="I35" s="60">
        <v>6</v>
      </c>
      <c r="K35" s="7">
        <v>33</v>
      </c>
      <c r="L35" s="65">
        <v>-138.49999999999997</v>
      </c>
    </row>
    <row r="36" spans="1:12" x14ac:dyDescent="0.4">
      <c r="A36" s="56" t="s">
        <v>180</v>
      </c>
      <c r="B36" s="119">
        <v>9</v>
      </c>
      <c r="C36" s="102">
        <f t="shared" ref="C36:C48" si="5">IF(B$19=0,0,B36/B$19)</f>
        <v>0.10975609756097561</v>
      </c>
      <c r="E36" s="29" t="s">
        <v>96</v>
      </c>
      <c r="F36" s="26" t="s">
        <v>51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-194.29999999999995</v>
      </c>
    </row>
    <row r="37" spans="1:12" x14ac:dyDescent="0.4">
      <c r="A37" s="21" t="s">
        <v>176</v>
      </c>
      <c r="B37" s="14">
        <v>12</v>
      </c>
      <c r="C37" s="8">
        <f t="shared" si="5"/>
        <v>0.14634146341463414</v>
      </c>
      <c r="E37" s="29" t="s">
        <v>97</v>
      </c>
      <c r="F37" s="26" t="s">
        <v>52</v>
      </c>
      <c r="G37" s="14">
        <v>0</v>
      </c>
      <c r="H37" s="92">
        <f t="shared" si="4"/>
        <v>0</v>
      </c>
      <c r="I37" s="60">
        <v>3</v>
      </c>
      <c r="K37" s="7">
        <v>35</v>
      </c>
      <c r="L37" s="65">
        <v>-201.69999999999996</v>
      </c>
    </row>
    <row r="38" spans="1:12" x14ac:dyDescent="0.4">
      <c r="A38" s="21" t="s">
        <v>177</v>
      </c>
      <c r="B38" s="120">
        <v>14</v>
      </c>
      <c r="C38" s="8">
        <f t="shared" si="5"/>
        <v>0.17073170731707318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-257.89999999999998</v>
      </c>
    </row>
    <row r="39" spans="1:12" x14ac:dyDescent="0.4">
      <c r="A39" s="21" t="s">
        <v>178</v>
      </c>
      <c r="B39" s="120">
        <v>11</v>
      </c>
      <c r="C39" s="8">
        <f t="shared" si="5"/>
        <v>0.13414634146341464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</row>
    <row r="40" spans="1:12" x14ac:dyDescent="0.4">
      <c r="A40" s="21" t="s">
        <v>179</v>
      </c>
      <c r="B40" s="120">
        <v>15</v>
      </c>
      <c r="C40" s="8">
        <f t="shared" si="5"/>
        <v>0.18292682926829268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</row>
    <row r="41" spans="1:12" x14ac:dyDescent="0.4">
      <c r="A41" s="21" t="s">
        <v>181</v>
      </c>
      <c r="B41" s="120">
        <v>14</v>
      </c>
      <c r="C41" s="8">
        <f t="shared" si="5"/>
        <v>0.17073170731707318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3</v>
      </c>
    </row>
    <row r="42" spans="1:12" x14ac:dyDescent="0.4">
      <c r="A42" s="21" t="s">
        <v>182</v>
      </c>
      <c r="B42" s="120">
        <v>4</v>
      </c>
      <c r="C42" s="8">
        <f t="shared" si="5"/>
        <v>4.878048780487805E-2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1</v>
      </c>
    </row>
    <row r="43" spans="1:12" x14ac:dyDescent="0.4">
      <c r="A43" s="21" t="s">
        <v>183</v>
      </c>
      <c r="B43" s="120">
        <v>2</v>
      </c>
      <c r="C43" s="8">
        <f t="shared" si="5"/>
        <v>2.4390243902439025E-2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</row>
    <row r="44" spans="1:12" x14ac:dyDescent="0.4">
      <c r="A44" s="21" t="s">
        <v>184</v>
      </c>
      <c r="B44" s="120">
        <v>0</v>
      </c>
      <c r="C44" s="8">
        <f t="shared" si="5"/>
        <v>0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</row>
    <row r="45" spans="1:12" x14ac:dyDescent="0.4">
      <c r="A45" s="21" t="s">
        <v>185</v>
      </c>
      <c r="B45" s="120">
        <v>1</v>
      </c>
      <c r="C45" s="8">
        <f t="shared" si="5"/>
        <v>1.2195121951219513E-2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</row>
    <row r="46" spans="1:12" x14ac:dyDescent="0.4">
      <c r="A46" s="21" t="s">
        <v>186</v>
      </c>
      <c r="B46" s="120">
        <v>0</v>
      </c>
      <c r="C46" s="8">
        <f t="shared" si="5"/>
        <v>0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3</v>
      </c>
    </row>
    <row r="47" spans="1:12" x14ac:dyDescent="0.4">
      <c r="A47" s="21" t="s">
        <v>187</v>
      </c>
      <c r="B47" s="120">
        <v>0</v>
      </c>
      <c r="C47" s="8">
        <f t="shared" si="5"/>
        <v>0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</row>
    <row r="48" spans="1:12" x14ac:dyDescent="0.4">
      <c r="A48" s="23" t="s">
        <v>188</v>
      </c>
      <c r="B48" s="101">
        <v>0</v>
      </c>
      <c r="C48" s="11">
        <f t="shared" si="5"/>
        <v>0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</row>
    <row r="49" spans="5:9" x14ac:dyDescent="0.4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</row>
    <row r="50" spans="5:9" x14ac:dyDescent="0.4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</row>
    <row r="51" spans="5:9" x14ac:dyDescent="0.4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636E-2B3B-49BC-ADA1-19C7E4A138F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201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7</v>
      </c>
      <c r="C2" s="132"/>
      <c r="E2" s="28" t="s">
        <v>66</v>
      </c>
      <c r="F2" s="25" t="s">
        <v>22</v>
      </c>
      <c r="G2" s="13">
        <v>11</v>
      </c>
      <c r="H2" s="91">
        <f t="shared" ref="H2:H33" si="0">IF(B$19=0,0,G2/B$19)</f>
        <v>0.73333333333333328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1">IF(P2=0,0,Q2/P2)</f>
        <v>-6085.7142857142853</v>
      </c>
      <c r="P2" s="80">
        <v>7</v>
      </c>
      <c r="Q2" s="67">
        <v>-42600</v>
      </c>
    </row>
    <row r="3" spans="1:17" x14ac:dyDescent="0.4">
      <c r="A3" s="21" t="s">
        <v>8</v>
      </c>
      <c r="B3" s="133">
        <v>62</v>
      </c>
      <c r="C3" s="134"/>
      <c r="E3" s="29" t="s">
        <v>64</v>
      </c>
      <c r="F3" s="26" t="s">
        <v>20</v>
      </c>
      <c r="G3" s="14">
        <v>8</v>
      </c>
      <c r="H3" s="92">
        <f t="shared" si="0"/>
        <v>0.53333333333333333</v>
      </c>
      <c r="I3" s="60">
        <v>7</v>
      </c>
      <c r="K3" s="7">
        <v>1</v>
      </c>
      <c r="L3" s="65">
        <v>-46.5</v>
      </c>
      <c r="N3" s="78" t="s">
        <v>131</v>
      </c>
      <c r="O3" s="84">
        <f t="shared" si="1"/>
        <v>166.66666666666666</v>
      </c>
      <c r="P3" s="81">
        <v>6</v>
      </c>
      <c r="Q3" s="68">
        <v>1000</v>
      </c>
    </row>
    <row r="4" spans="1:17" x14ac:dyDescent="0.4">
      <c r="A4" s="21" t="s">
        <v>6</v>
      </c>
      <c r="B4" s="135">
        <v>-104.80000000000001</v>
      </c>
      <c r="C4" s="136"/>
      <c r="E4" s="29" t="s">
        <v>67</v>
      </c>
      <c r="F4" s="26" t="s">
        <v>23</v>
      </c>
      <c r="G4" s="14">
        <v>7</v>
      </c>
      <c r="H4" s="92">
        <f t="shared" si="0"/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1"/>
        <v>-6066.666666666667</v>
      </c>
      <c r="P4" s="81">
        <v>6</v>
      </c>
      <c r="Q4" s="68">
        <v>-36400</v>
      </c>
    </row>
    <row r="5" spans="1:17" x14ac:dyDescent="0.4">
      <c r="A5" s="21" t="s">
        <v>7</v>
      </c>
      <c r="B5" s="123">
        <f>IF(B$2=0,0,B$4/B$2)</f>
        <v>-14.971428571428573</v>
      </c>
      <c r="C5" s="124"/>
      <c r="E5" s="29" t="s">
        <v>72</v>
      </c>
      <c r="F5" s="26" t="s">
        <v>27</v>
      </c>
      <c r="G5" s="14">
        <v>7</v>
      </c>
      <c r="H5" s="92">
        <f t="shared" si="0"/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1"/>
        <v>-3333.3333333333335</v>
      </c>
      <c r="P5" s="81">
        <v>6</v>
      </c>
      <c r="Q5" s="68">
        <v>-20000</v>
      </c>
    </row>
    <row r="6" spans="1:17" x14ac:dyDescent="0.4">
      <c r="A6" s="21" t="s">
        <v>1</v>
      </c>
      <c r="B6" s="137">
        <f>IF(B$2=0,0,(B$7*1+B$8*2+B$9*3)/B$2)</f>
        <v>2.1428571428571428</v>
      </c>
      <c r="C6" s="138"/>
      <c r="E6" s="29" t="s">
        <v>163</v>
      </c>
      <c r="F6" s="26" t="s">
        <v>164</v>
      </c>
      <c r="G6" s="14">
        <v>5</v>
      </c>
      <c r="H6" s="92">
        <f t="shared" si="0"/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1"/>
        <v>4566.666666666667</v>
      </c>
      <c r="P6" s="81">
        <v>3</v>
      </c>
      <c r="Q6" s="68">
        <v>13700</v>
      </c>
    </row>
    <row r="7" spans="1:17" x14ac:dyDescent="0.4">
      <c r="A7" s="21" t="s">
        <v>2</v>
      </c>
      <c r="B7" s="14">
        <v>3</v>
      </c>
      <c r="C7" s="8">
        <f t="shared" ref="C7:C14" si="2">IF(B$2=0,0,B7/B$2)</f>
        <v>0.42857142857142855</v>
      </c>
      <c r="E7" s="29" t="s">
        <v>65</v>
      </c>
      <c r="F7" s="26" t="s">
        <v>21</v>
      </c>
      <c r="G7" s="14">
        <v>3</v>
      </c>
      <c r="H7" s="92">
        <f t="shared" si="0"/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1"/>
        <v>-5250</v>
      </c>
      <c r="P7" s="82">
        <v>2</v>
      </c>
      <c r="Q7" s="69">
        <v>-10500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68</v>
      </c>
      <c r="F8" s="26" t="s">
        <v>12</v>
      </c>
      <c r="G8" s="14">
        <v>3</v>
      </c>
      <c r="H8" s="92">
        <f t="shared" si="0"/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">
      <c r="A9" s="22" t="s">
        <v>4</v>
      </c>
      <c r="B9" s="15">
        <v>4</v>
      </c>
      <c r="C9" s="9">
        <f t="shared" si="2"/>
        <v>0.5714285714285714</v>
      </c>
      <c r="E9" s="29" t="s">
        <v>89</v>
      </c>
      <c r="F9" s="26" t="s">
        <v>44</v>
      </c>
      <c r="G9" s="14">
        <v>2</v>
      </c>
      <c r="H9" s="92">
        <f t="shared" si="0"/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 t="shared" si="0"/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 t="shared" si="0"/>
        <v>6.6666666666666666E-2</v>
      </c>
      <c r="I11" s="60">
        <v>13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 t="shared" si="0"/>
        <v>6.6666666666666666E-2</v>
      </c>
      <c r="I12" s="60">
        <v>11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">
      <c r="A13" s="22" t="s">
        <v>206</v>
      </c>
      <c r="B13" s="123">
        <f>AVERAGE(B10:B12)</f>
        <v>-6.4861111111111098</v>
      </c>
      <c r="C13" s="124"/>
      <c r="E13" s="29" t="s">
        <v>79</v>
      </c>
      <c r="F13" s="26" t="s">
        <v>34</v>
      </c>
      <c r="G13" s="14">
        <v>1</v>
      </c>
      <c r="H13" s="92">
        <f t="shared" si="0"/>
        <v>6.6666666666666666E-2</v>
      </c>
      <c r="I13" s="60">
        <v>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4</v>
      </c>
      <c r="C14" s="11">
        <f t="shared" si="2"/>
        <v>0.5714285714285714</v>
      </c>
      <c r="E14" s="29" t="s">
        <v>83</v>
      </c>
      <c r="F14" s="26" t="s">
        <v>38</v>
      </c>
      <c r="G14" s="14">
        <v>1</v>
      </c>
      <c r="H14" s="92">
        <f t="shared" si="0"/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 t="shared" si="0"/>
        <v>6.6666666666666666E-2</v>
      </c>
      <c r="I15" s="60">
        <v>1</v>
      </c>
      <c r="N15" s="77" t="s">
        <v>195</v>
      </c>
      <c r="O15" s="86">
        <f t="shared" ref="O15:O20" si="3">IF(P15=0,0,Q15/P15)</f>
        <v>65.55</v>
      </c>
      <c r="P15" s="80">
        <v>2</v>
      </c>
      <c r="Q15" s="71">
        <v>131.1</v>
      </c>
    </row>
    <row r="16" spans="1:17" x14ac:dyDescent="0.4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 t="shared" si="0"/>
        <v>0</v>
      </c>
      <c r="I16" s="60">
        <v>6</v>
      </c>
      <c r="N16" s="78" t="s">
        <v>169</v>
      </c>
      <c r="O16" s="87">
        <f t="shared" si="3"/>
        <v>56.6</v>
      </c>
      <c r="P16" s="81">
        <v>1</v>
      </c>
      <c r="Q16" s="72">
        <v>56.6</v>
      </c>
    </row>
    <row r="17" spans="1:17" x14ac:dyDescent="0.4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 t="shared" si="0"/>
        <v>0</v>
      </c>
      <c r="I17" s="60">
        <v>7</v>
      </c>
      <c r="N17" s="78" t="s">
        <v>194</v>
      </c>
      <c r="O17" s="87">
        <f t="shared" si="3"/>
        <v>17.850000000000001</v>
      </c>
      <c r="P17" s="81">
        <v>2</v>
      </c>
      <c r="Q17" s="72">
        <v>35.700000000000003</v>
      </c>
    </row>
    <row r="18" spans="1:17" x14ac:dyDescent="0.4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 t="shared" si="0"/>
        <v>0</v>
      </c>
      <c r="I18" s="60">
        <v>10</v>
      </c>
      <c r="N18" s="78" t="s">
        <v>168</v>
      </c>
      <c r="O18" s="87">
        <f t="shared" si="3"/>
        <v>-53.179999999999993</v>
      </c>
      <c r="P18" s="81">
        <v>5</v>
      </c>
      <c r="Q18" s="72">
        <v>-265.89999999999998</v>
      </c>
    </row>
    <row r="19" spans="1:17" x14ac:dyDescent="0.4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 t="shared" si="0"/>
        <v>0</v>
      </c>
      <c r="I19" s="60">
        <v>3</v>
      </c>
      <c r="N19" s="78" t="s">
        <v>167</v>
      </c>
      <c r="O19" s="87">
        <f t="shared" si="3"/>
        <v>-60.650000000000006</v>
      </c>
      <c r="P19" s="81">
        <v>2</v>
      </c>
      <c r="Q19" s="72">
        <v>-121.30000000000001</v>
      </c>
    </row>
    <row r="20" spans="1:17" x14ac:dyDescent="0.4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 t="shared" si="0"/>
        <v>0</v>
      </c>
      <c r="I20" s="60">
        <v>6</v>
      </c>
      <c r="N20" s="78" t="s">
        <v>127</v>
      </c>
      <c r="O20" s="87">
        <f t="shared" si="3"/>
        <v>-75.3</v>
      </c>
      <c r="P20" s="81">
        <v>2</v>
      </c>
      <c r="Q20" s="72">
        <v>-150.6</v>
      </c>
    </row>
    <row r="21" spans="1:17" x14ac:dyDescent="0.4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 t="shared" si="0"/>
        <v>0</v>
      </c>
      <c r="I21" s="60">
        <v>11</v>
      </c>
    </row>
    <row r="22" spans="1:17" x14ac:dyDescent="0.4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 t="shared" si="0"/>
        <v>0</v>
      </c>
      <c r="I22" s="60">
        <v>1</v>
      </c>
    </row>
    <row r="23" spans="1:17" x14ac:dyDescent="0.4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 t="shared" si="0"/>
        <v>0</v>
      </c>
      <c r="I23" s="60">
        <v>11</v>
      </c>
    </row>
    <row r="24" spans="1:17" x14ac:dyDescent="0.4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 t="shared" si="0"/>
        <v>0</v>
      </c>
      <c r="I24" s="60">
        <v>1</v>
      </c>
    </row>
    <row r="25" spans="1:17" x14ac:dyDescent="0.4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 t="shared" si="0"/>
        <v>0</v>
      </c>
      <c r="I25" s="60">
        <v>6</v>
      </c>
    </row>
    <row r="26" spans="1:17" x14ac:dyDescent="0.4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 t="shared" si="0"/>
        <v>0</v>
      </c>
      <c r="I26" s="60">
        <v>8</v>
      </c>
    </row>
    <row r="27" spans="1:17" x14ac:dyDescent="0.4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7</v>
      </c>
    </row>
    <row r="28" spans="1:17" x14ac:dyDescent="0.4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6</v>
      </c>
    </row>
    <row r="29" spans="1:17" x14ac:dyDescent="0.4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5</v>
      </c>
    </row>
    <row r="30" spans="1:17" x14ac:dyDescent="0.4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10</v>
      </c>
    </row>
    <row r="31" spans="1:17" x14ac:dyDescent="0.4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8</v>
      </c>
    </row>
    <row r="32" spans="1:17" x14ac:dyDescent="0.4">
      <c r="A32" s="56" t="s">
        <v>138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5</v>
      </c>
    </row>
    <row r="33" spans="1:9" x14ac:dyDescent="0.4">
      <c r="A33" s="24" t="s">
        <v>189</v>
      </c>
      <c r="B33" s="127">
        <v>59500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4">IF(B$19=0,0,G34/B$19)</f>
        <v>0</v>
      </c>
      <c r="I34" s="60">
        <v>6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 t="shared" si="4"/>
        <v>0</v>
      </c>
      <c r="I35" s="60">
        <v>1</v>
      </c>
    </row>
    <row r="36" spans="1:9" x14ac:dyDescent="0.4">
      <c r="A36" s="56" t="s">
        <v>180</v>
      </c>
      <c r="B36" s="119">
        <v>2</v>
      </c>
      <c r="C36" s="102">
        <f t="shared" ref="C36:C48" si="5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 t="shared" si="4"/>
        <v>0</v>
      </c>
      <c r="I36" s="60">
        <v>3</v>
      </c>
    </row>
    <row r="37" spans="1:9" x14ac:dyDescent="0.4">
      <c r="A37" s="21" t="s">
        <v>176</v>
      </c>
      <c r="B37" s="14">
        <v>3</v>
      </c>
      <c r="C37" s="8">
        <f t="shared" si="5"/>
        <v>0.2</v>
      </c>
      <c r="E37" s="29" t="s">
        <v>98</v>
      </c>
      <c r="F37" s="26" t="s">
        <v>53</v>
      </c>
      <c r="G37" s="14">
        <v>0</v>
      </c>
      <c r="H37" s="92">
        <f t="shared" si="4"/>
        <v>0</v>
      </c>
      <c r="I37" s="60">
        <v>1</v>
      </c>
    </row>
    <row r="38" spans="1:9" x14ac:dyDescent="0.4">
      <c r="A38" s="21" t="s">
        <v>177</v>
      </c>
      <c r="B38" s="120">
        <v>1</v>
      </c>
      <c r="C38" s="8">
        <f t="shared" si="5"/>
        <v>6.6666666666666666E-2</v>
      </c>
      <c r="E38" s="29" t="s">
        <v>99</v>
      </c>
      <c r="F38" s="26" t="s">
        <v>54</v>
      </c>
      <c r="G38" s="14">
        <v>0</v>
      </c>
      <c r="H38" s="92">
        <f t="shared" si="4"/>
        <v>0</v>
      </c>
      <c r="I38" s="60">
        <v>1</v>
      </c>
    </row>
    <row r="39" spans="1:9" x14ac:dyDescent="0.4">
      <c r="A39" s="21" t="s">
        <v>178</v>
      </c>
      <c r="B39" s="120">
        <v>3</v>
      </c>
      <c r="C39" s="8">
        <f t="shared" si="5"/>
        <v>0.2</v>
      </c>
      <c r="E39" s="29" t="s">
        <v>100</v>
      </c>
      <c r="F39" s="26" t="s">
        <v>55</v>
      </c>
      <c r="G39" s="14">
        <v>0</v>
      </c>
      <c r="H39" s="92">
        <f t="shared" si="4"/>
        <v>0</v>
      </c>
      <c r="I39" s="60">
        <v>1</v>
      </c>
    </row>
    <row r="40" spans="1:9" x14ac:dyDescent="0.4">
      <c r="A40" s="21" t="s">
        <v>179</v>
      </c>
      <c r="B40" s="120">
        <v>4</v>
      </c>
      <c r="C40" s="8">
        <f t="shared" si="5"/>
        <v>0.26666666666666666</v>
      </c>
      <c r="E40" s="29" t="s">
        <v>101</v>
      </c>
      <c r="F40" s="26" t="s">
        <v>56</v>
      </c>
      <c r="G40" s="14">
        <v>0</v>
      </c>
      <c r="H40" s="92">
        <f t="shared" si="4"/>
        <v>0</v>
      </c>
      <c r="I40" s="60">
        <v>3</v>
      </c>
    </row>
    <row r="41" spans="1:9" x14ac:dyDescent="0.4">
      <c r="A41" s="21" t="s">
        <v>181</v>
      </c>
      <c r="B41" s="120">
        <v>1</v>
      </c>
      <c r="C41" s="8">
        <f t="shared" si="5"/>
        <v>6.6666666666666666E-2</v>
      </c>
      <c r="E41" s="29" t="s">
        <v>102</v>
      </c>
      <c r="F41" s="26" t="s">
        <v>57</v>
      </c>
      <c r="G41" s="14">
        <v>0</v>
      </c>
      <c r="H41" s="92">
        <f t="shared" si="4"/>
        <v>0</v>
      </c>
      <c r="I41" s="60">
        <v>1</v>
      </c>
    </row>
    <row r="42" spans="1:9" x14ac:dyDescent="0.4">
      <c r="A42" s="21" t="s">
        <v>182</v>
      </c>
      <c r="B42" s="120">
        <v>1</v>
      </c>
      <c r="C42" s="8">
        <f t="shared" si="5"/>
        <v>6.6666666666666666E-2</v>
      </c>
      <c r="E42" s="29" t="s">
        <v>103</v>
      </c>
      <c r="F42" s="26" t="s">
        <v>58</v>
      </c>
      <c r="G42" s="14">
        <v>0</v>
      </c>
      <c r="H42" s="92">
        <f t="shared" si="4"/>
        <v>0</v>
      </c>
      <c r="I42" s="60">
        <v>1</v>
      </c>
    </row>
    <row r="43" spans="1:9" x14ac:dyDescent="0.4">
      <c r="A43" s="21" t="s">
        <v>183</v>
      </c>
      <c r="B43" s="120">
        <v>0</v>
      </c>
      <c r="C43" s="8">
        <f t="shared" si="5"/>
        <v>0</v>
      </c>
      <c r="E43" s="29" t="s">
        <v>104</v>
      </c>
      <c r="F43" s="26" t="s">
        <v>59</v>
      </c>
      <c r="G43" s="14">
        <v>0</v>
      </c>
      <c r="H43" s="92">
        <f t="shared" si="4"/>
        <v>0</v>
      </c>
      <c r="I43" s="60">
        <v>1</v>
      </c>
    </row>
    <row r="44" spans="1:9" x14ac:dyDescent="0.4">
      <c r="A44" s="21" t="s">
        <v>184</v>
      </c>
      <c r="B44" s="120">
        <v>0</v>
      </c>
      <c r="C44" s="8">
        <f t="shared" si="5"/>
        <v>0</v>
      </c>
      <c r="E44" s="29" t="s">
        <v>105</v>
      </c>
      <c r="F44" s="26" t="s">
        <v>112</v>
      </c>
      <c r="G44" s="14">
        <v>0</v>
      </c>
      <c r="H44" s="92">
        <f t="shared" si="4"/>
        <v>0</v>
      </c>
      <c r="I44" s="60">
        <v>1</v>
      </c>
    </row>
    <row r="45" spans="1:9" x14ac:dyDescent="0.4">
      <c r="A45" s="21" t="s">
        <v>185</v>
      </c>
      <c r="B45" s="120">
        <v>0</v>
      </c>
      <c r="C45" s="8">
        <f t="shared" si="5"/>
        <v>0</v>
      </c>
      <c r="E45" s="29" t="s">
        <v>106</v>
      </c>
      <c r="F45" s="26" t="s">
        <v>113</v>
      </c>
      <c r="G45" s="14">
        <v>0</v>
      </c>
      <c r="H45" s="92">
        <f t="shared" si="4"/>
        <v>0</v>
      </c>
      <c r="I45" s="60">
        <v>3</v>
      </c>
    </row>
    <row r="46" spans="1:9" x14ac:dyDescent="0.4">
      <c r="A46" s="21" t="s">
        <v>186</v>
      </c>
      <c r="B46" s="120">
        <v>0</v>
      </c>
      <c r="C46" s="8">
        <f t="shared" si="5"/>
        <v>0</v>
      </c>
      <c r="E46" s="29" t="s">
        <v>107</v>
      </c>
      <c r="F46" s="26" t="s">
        <v>114</v>
      </c>
      <c r="G46" s="14">
        <v>0</v>
      </c>
      <c r="H46" s="92">
        <f t="shared" si="4"/>
        <v>0</v>
      </c>
      <c r="I46" s="60">
        <v>1</v>
      </c>
    </row>
    <row r="47" spans="1:9" x14ac:dyDescent="0.4">
      <c r="A47" s="21" t="s">
        <v>187</v>
      </c>
      <c r="B47" s="120">
        <v>0</v>
      </c>
      <c r="C47" s="8">
        <f t="shared" si="5"/>
        <v>0</v>
      </c>
      <c r="E47" s="29" t="s">
        <v>108</v>
      </c>
      <c r="F47" s="26" t="s">
        <v>60</v>
      </c>
      <c r="G47" s="14">
        <v>0</v>
      </c>
      <c r="H47" s="92">
        <f t="shared" si="4"/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5"/>
        <v>0</v>
      </c>
      <c r="E48" s="29" t="s">
        <v>109</v>
      </c>
      <c r="F48" s="26" t="s">
        <v>61</v>
      </c>
      <c r="G48" s="14">
        <v>0</v>
      </c>
      <c r="H48" s="92">
        <f t="shared" si="4"/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 t="shared" si="4"/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 t="shared" si="4"/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 t="shared" si="4"/>
        <v>0</v>
      </c>
      <c r="I51" s="98">
        <v>9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D634-82C1-4E28-80FD-F8277361721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202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2</v>
      </c>
      <c r="C2" s="132"/>
      <c r="E2" s="28" t="s">
        <v>72</v>
      </c>
      <c r="F2" s="25" t="s">
        <v>27</v>
      </c>
      <c r="G2" s="13">
        <v>7</v>
      </c>
      <c r="H2" s="91">
        <f t="shared" ref="H2:H33" si="0"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1">IF(P2=0,0,Q2/P2)</f>
        <v>3600</v>
      </c>
      <c r="P2" s="80">
        <v>2</v>
      </c>
      <c r="Q2" s="67">
        <v>7200</v>
      </c>
    </row>
    <row r="3" spans="1:17" x14ac:dyDescent="0.4">
      <c r="A3" s="21" t="s">
        <v>8</v>
      </c>
      <c r="B3" s="133">
        <v>15</v>
      </c>
      <c r="C3" s="134"/>
      <c r="E3" s="29" t="s">
        <v>66</v>
      </c>
      <c r="F3" s="26" t="s">
        <v>22</v>
      </c>
      <c r="G3" s="14">
        <v>3</v>
      </c>
      <c r="H3" s="92">
        <f t="shared" si="0"/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1"/>
        <v>-2200</v>
      </c>
      <c r="P3" s="81">
        <v>2</v>
      </c>
      <c r="Q3" s="68">
        <v>-4400</v>
      </c>
    </row>
    <row r="4" spans="1:17" x14ac:dyDescent="0.4">
      <c r="A4" s="21" t="s">
        <v>6</v>
      </c>
      <c r="B4" s="135">
        <v>26.2</v>
      </c>
      <c r="C4" s="136"/>
      <c r="E4" s="29" t="s">
        <v>67</v>
      </c>
      <c r="F4" s="26" t="s">
        <v>23</v>
      </c>
      <c r="G4" s="14">
        <v>3</v>
      </c>
      <c r="H4" s="92">
        <f t="shared" si="0"/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1"/>
        <v>-3500</v>
      </c>
      <c r="P4" s="81">
        <v>2</v>
      </c>
      <c r="Q4" s="68">
        <v>-7000</v>
      </c>
    </row>
    <row r="5" spans="1:17" x14ac:dyDescent="0.4">
      <c r="A5" s="21" t="s">
        <v>7</v>
      </c>
      <c r="B5" s="123">
        <f>IF(B$2=0,0,B$4/B$2)</f>
        <v>13.1</v>
      </c>
      <c r="C5" s="124"/>
      <c r="E5" s="29" t="s">
        <v>89</v>
      </c>
      <c r="F5" s="26" t="s">
        <v>44</v>
      </c>
      <c r="G5" s="14">
        <v>3</v>
      </c>
      <c r="H5" s="92">
        <f t="shared" si="0"/>
        <v>0.42857142857142855</v>
      </c>
      <c r="I5" s="60">
        <v>1</v>
      </c>
      <c r="N5" s="78" t="s">
        <v>133</v>
      </c>
      <c r="O5" s="84">
        <f t="shared" si="1"/>
        <v>7950</v>
      </c>
      <c r="P5" s="81">
        <v>2</v>
      </c>
      <c r="Q5" s="68">
        <v>15900</v>
      </c>
    </row>
    <row r="6" spans="1:17" x14ac:dyDescent="0.4">
      <c r="A6" s="21" t="s">
        <v>1</v>
      </c>
      <c r="B6" s="137">
        <f>IF(B$2=0,0,(B$7*1+B$8*2+B$9*3)/B$2)</f>
        <v>1.5</v>
      </c>
      <c r="C6" s="138"/>
      <c r="E6" s="29" t="s">
        <v>64</v>
      </c>
      <c r="F6" s="26" t="s">
        <v>20</v>
      </c>
      <c r="G6" s="14">
        <v>2</v>
      </c>
      <c r="H6" s="92">
        <f t="shared" si="0"/>
        <v>0.2857142857142857</v>
      </c>
      <c r="I6" s="60">
        <v>13</v>
      </c>
      <c r="N6" s="78" t="s">
        <v>134</v>
      </c>
      <c r="O6" s="84">
        <f t="shared" si="1"/>
        <v>6000</v>
      </c>
      <c r="P6" s="81">
        <v>2</v>
      </c>
      <c r="Q6" s="68">
        <v>12000</v>
      </c>
    </row>
    <row r="7" spans="1:17" x14ac:dyDescent="0.4">
      <c r="A7" s="21" t="s">
        <v>2</v>
      </c>
      <c r="B7" s="14">
        <v>1</v>
      </c>
      <c r="C7" s="8">
        <f t="shared" ref="C7:C14" si="2">IF(B$2=0,0,B7/B$2)</f>
        <v>0.5</v>
      </c>
      <c r="E7" s="29" t="s">
        <v>68</v>
      </c>
      <c r="F7" s="26" t="s">
        <v>12</v>
      </c>
      <c r="G7" s="14">
        <v>2</v>
      </c>
      <c r="H7" s="92">
        <f t="shared" si="0"/>
        <v>0.2857142857142857</v>
      </c>
      <c r="I7" s="60">
        <v>8</v>
      </c>
      <c r="N7" s="79" t="s">
        <v>135</v>
      </c>
      <c r="O7" s="85">
        <f t="shared" si="1"/>
        <v>0</v>
      </c>
      <c r="P7" s="82">
        <v>1</v>
      </c>
      <c r="Q7" s="69">
        <v>0</v>
      </c>
    </row>
    <row r="8" spans="1:17" x14ac:dyDescent="0.4">
      <c r="A8" s="21" t="s">
        <v>3</v>
      </c>
      <c r="B8" s="14">
        <v>1</v>
      </c>
      <c r="C8" s="8">
        <f t="shared" si="2"/>
        <v>0.5</v>
      </c>
      <c r="E8" s="29" t="s">
        <v>83</v>
      </c>
      <c r="F8" s="26" t="s">
        <v>38</v>
      </c>
      <c r="G8" s="14">
        <v>2</v>
      </c>
      <c r="H8" s="92">
        <f t="shared" si="0"/>
        <v>0.2857142857142857</v>
      </c>
      <c r="I8" s="60">
        <v>1</v>
      </c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70</v>
      </c>
      <c r="F9" s="26" t="s">
        <v>25</v>
      </c>
      <c r="G9" s="14">
        <v>1</v>
      </c>
      <c r="H9" s="92">
        <f t="shared" si="0"/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 t="shared" si="0"/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 t="shared" si="0"/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 t="shared" si="0"/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">
      <c r="A13" s="22" t="s">
        <v>206</v>
      </c>
      <c r="B13" s="123">
        <f>AVERAGE(B10:B12)</f>
        <v>8.7333333333333325</v>
      </c>
      <c r="C13" s="124"/>
      <c r="E13" s="29" t="s">
        <v>69</v>
      </c>
      <c r="F13" s="26" t="s">
        <v>24</v>
      </c>
      <c r="G13" s="14">
        <v>0</v>
      </c>
      <c r="H13" s="92">
        <f t="shared" si="0"/>
        <v>0</v>
      </c>
      <c r="I13" s="60">
        <v>14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73</v>
      </c>
      <c r="F14" s="26" t="s">
        <v>28</v>
      </c>
      <c r="G14" s="14">
        <v>0</v>
      </c>
      <c r="H14" s="92">
        <f t="shared" si="0"/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 t="shared" si="0"/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 t="shared" si="0"/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 t="shared" si="0"/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 t="shared" si="0"/>
        <v>0</v>
      </c>
      <c r="I18" s="60">
        <v>6</v>
      </c>
    </row>
    <row r="19" spans="1:17" x14ac:dyDescent="0.4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 t="shared" si="0"/>
        <v>0</v>
      </c>
      <c r="I19" s="60">
        <v>11</v>
      </c>
    </row>
    <row r="20" spans="1:17" x14ac:dyDescent="0.4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 t="shared" si="0"/>
        <v>0</v>
      </c>
      <c r="I20" s="60">
        <v>11</v>
      </c>
    </row>
    <row r="21" spans="1:17" x14ac:dyDescent="0.4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 t="shared" si="0"/>
        <v>0</v>
      </c>
      <c r="I21" s="60">
        <v>1</v>
      </c>
    </row>
    <row r="22" spans="1:17" x14ac:dyDescent="0.4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 t="shared" si="0"/>
        <v>0</v>
      </c>
      <c r="I22" s="60">
        <v>11</v>
      </c>
    </row>
    <row r="23" spans="1:17" x14ac:dyDescent="0.4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 t="shared" si="0"/>
        <v>0</v>
      </c>
      <c r="I23" s="60">
        <v>1</v>
      </c>
    </row>
    <row r="24" spans="1:17" x14ac:dyDescent="0.4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 t="shared" si="0"/>
        <v>0</v>
      </c>
      <c r="I24" s="60">
        <v>6</v>
      </c>
    </row>
    <row r="25" spans="1:17" x14ac:dyDescent="0.4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 t="shared" si="0"/>
        <v>0</v>
      </c>
      <c r="I25" s="60">
        <v>8</v>
      </c>
    </row>
    <row r="26" spans="1:17" x14ac:dyDescent="0.4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 t="shared" si="0"/>
        <v>0</v>
      </c>
      <c r="I26" s="60">
        <v>12</v>
      </c>
    </row>
    <row r="27" spans="1:17" x14ac:dyDescent="0.4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7</v>
      </c>
    </row>
    <row r="28" spans="1:17" x14ac:dyDescent="0.4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6</v>
      </c>
    </row>
    <row r="29" spans="1:17" x14ac:dyDescent="0.4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5</v>
      </c>
    </row>
    <row r="30" spans="1:17" x14ac:dyDescent="0.4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10</v>
      </c>
    </row>
    <row r="31" spans="1:17" x14ac:dyDescent="0.4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8</v>
      </c>
    </row>
    <row r="32" spans="1:17" x14ac:dyDescent="0.4">
      <c r="A32" s="56" t="s">
        <v>138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5</v>
      </c>
    </row>
    <row r="33" spans="1:9" x14ac:dyDescent="0.4">
      <c r="A33" s="24" t="s">
        <v>189</v>
      </c>
      <c r="B33" s="127">
        <v>52800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6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">
      <c r="A36" s="56" t="s">
        <v>180</v>
      </c>
      <c r="B36" s="119">
        <v>0</v>
      </c>
      <c r="C36" s="102">
        <f t="shared" ref="C36:C48" si="4">IF(B$19=0,0,B36/B$19)</f>
        <v>0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3</v>
      </c>
    </row>
    <row r="37" spans="1:9" x14ac:dyDescent="0.4">
      <c r="A37" s="21" t="s">
        <v>176</v>
      </c>
      <c r="B37" s="14">
        <v>1</v>
      </c>
      <c r="C37" s="8">
        <f t="shared" si="4"/>
        <v>0.14285714285714285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">
      <c r="A38" s="21" t="s">
        <v>177</v>
      </c>
      <c r="B38" s="120">
        <v>3</v>
      </c>
      <c r="C38" s="8">
        <f t="shared" si="4"/>
        <v>0.42857142857142855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">
      <c r="A39" s="21" t="s">
        <v>178</v>
      </c>
      <c r="B39" s="120">
        <v>0</v>
      </c>
      <c r="C39" s="8">
        <f t="shared" si="4"/>
        <v>0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">
      <c r="A40" s="21" t="s">
        <v>179</v>
      </c>
      <c r="B40" s="120">
        <v>0</v>
      </c>
      <c r="C40" s="8">
        <f t="shared" si="4"/>
        <v>0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3</v>
      </c>
    </row>
    <row r="41" spans="1:9" x14ac:dyDescent="0.4">
      <c r="A41" s="21" t="s">
        <v>181</v>
      </c>
      <c r="B41" s="120">
        <v>2</v>
      </c>
      <c r="C41" s="8">
        <f t="shared" si="4"/>
        <v>0.2857142857142857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1</v>
      </c>
    </row>
    <row r="42" spans="1:9" x14ac:dyDescent="0.4">
      <c r="A42" s="21" t="s">
        <v>182</v>
      </c>
      <c r="B42" s="120">
        <v>1</v>
      </c>
      <c r="C42" s="8">
        <f t="shared" si="4"/>
        <v>0.14285714285714285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">
      <c r="A43" s="21" t="s">
        <v>183</v>
      </c>
      <c r="B43" s="120">
        <v>0</v>
      </c>
      <c r="C43" s="8">
        <f t="shared" si="4"/>
        <v>0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">
      <c r="A44" s="21" t="s">
        <v>184</v>
      </c>
      <c r="B44" s="120">
        <v>0</v>
      </c>
      <c r="C44" s="8">
        <f t="shared" si="4"/>
        <v>0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">
      <c r="A45" s="21" t="s">
        <v>185</v>
      </c>
      <c r="B45" s="120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3</v>
      </c>
    </row>
    <row r="46" spans="1:9" x14ac:dyDescent="0.4">
      <c r="A46" s="21" t="s">
        <v>186</v>
      </c>
      <c r="B46" s="120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">
      <c r="A47" s="21" t="s">
        <v>187</v>
      </c>
      <c r="B47" s="120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 t="shared" si="3"/>
        <v>0</v>
      </c>
      <c r="I51" s="98">
        <v>9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8CBA-E597-4516-9A0D-8DBAA1F5A10C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275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20</v>
      </c>
      <c r="C2" s="132"/>
      <c r="E2" s="28" t="s">
        <v>64</v>
      </c>
      <c r="F2" s="25" t="s">
        <v>20</v>
      </c>
      <c r="G2" s="13">
        <v>32</v>
      </c>
      <c r="H2" s="91">
        <f t="shared" ref="H2:H33" si="0"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1">IF(P2=0,0,Q2/P2)</f>
        <v>-3300</v>
      </c>
      <c r="P2" s="80">
        <v>20</v>
      </c>
      <c r="Q2" s="67">
        <v>-66000</v>
      </c>
    </row>
    <row r="3" spans="1:17" x14ac:dyDescent="0.4">
      <c r="A3" s="21" t="s">
        <v>8</v>
      </c>
      <c r="B3" s="133">
        <v>166</v>
      </c>
      <c r="C3" s="134"/>
      <c r="E3" s="29" t="s">
        <v>66</v>
      </c>
      <c r="F3" s="26" t="s">
        <v>22</v>
      </c>
      <c r="G3" s="14">
        <v>32</v>
      </c>
      <c r="H3" s="92">
        <f t="shared" si="0"/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1"/>
        <v>-975</v>
      </c>
      <c r="P3" s="81">
        <v>20</v>
      </c>
      <c r="Q3" s="68">
        <v>-19500</v>
      </c>
    </row>
    <row r="4" spans="1:17" x14ac:dyDescent="0.4">
      <c r="A4" s="21" t="s">
        <v>6</v>
      </c>
      <c r="B4" s="135">
        <v>-135.9</v>
      </c>
      <c r="C4" s="136"/>
      <c r="E4" s="29" t="s">
        <v>67</v>
      </c>
      <c r="F4" s="26" t="s">
        <v>23</v>
      </c>
      <c r="G4" s="14">
        <v>26</v>
      </c>
      <c r="H4" s="92">
        <f t="shared" si="0"/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1"/>
        <v>-2530</v>
      </c>
      <c r="P4" s="81">
        <v>20</v>
      </c>
      <c r="Q4" s="68">
        <v>-50600</v>
      </c>
    </row>
    <row r="5" spans="1:17" x14ac:dyDescent="0.4">
      <c r="A5" s="21" t="s">
        <v>7</v>
      </c>
      <c r="B5" s="123">
        <f>IF(B$2=0,0,B$4/B$2)</f>
        <v>-6.7949999999999999</v>
      </c>
      <c r="C5" s="124"/>
      <c r="E5" s="29" t="s">
        <v>72</v>
      </c>
      <c r="F5" s="26" t="s">
        <v>27</v>
      </c>
      <c r="G5" s="14">
        <v>23</v>
      </c>
      <c r="H5" s="92">
        <f t="shared" si="0"/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1"/>
        <v>1376.4705882352941</v>
      </c>
      <c r="P5" s="81">
        <v>17</v>
      </c>
      <c r="Q5" s="68">
        <v>23400</v>
      </c>
    </row>
    <row r="6" spans="1:17" x14ac:dyDescent="0.4">
      <c r="A6" s="21" t="s">
        <v>1</v>
      </c>
      <c r="B6" s="137">
        <f>IF(B$2=0,0,(B$7*1+B$8*2+B$9*3)/B$2)</f>
        <v>2.15</v>
      </c>
      <c r="C6" s="138"/>
      <c r="E6" s="29" t="s">
        <v>68</v>
      </c>
      <c r="F6" s="26" t="s">
        <v>12</v>
      </c>
      <c r="G6" s="14">
        <v>22</v>
      </c>
      <c r="H6" s="92">
        <f t="shared" si="0"/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1"/>
        <v>-1373.3333333333333</v>
      </c>
      <c r="P6" s="81">
        <v>15</v>
      </c>
      <c r="Q6" s="68">
        <v>-20600</v>
      </c>
    </row>
    <row r="7" spans="1:17" x14ac:dyDescent="0.4">
      <c r="A7" s="21" t="s">
        <v>2</v>
      </c>
      <c r="B7" s="14">
        <v>6</v>
      </c>
      <c r="C7" s="8">
        <f t="shared" ref="C7:C14" si="2">IF(B$2=0,0,B7/B$2)</f>
        <v>0.3</v>
      </c>
      <c r="E7" s="29" t="s">
        <v>163</v>
      </c>
      <c r="F7" s="26" t="s">
        <v>164</v>
      </c>
      <c r="G7" s="14">
        <v>14</v>
      </c>
      <c r="H7" s="92">
        <f t="shared" si="0"/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1"/>
        <v>2284.6153846153848</v>
      </c>
      <c r="P7" s="82">
        <v>13</v>
      </c>
      <c r="Q7" s="69">
        <v>29700</v>
      </c>
    </row>
    <row r="8" spans="1:17" x14ac:dyDescent="0.4">
      <c r="A8" s="21" t="s">
        <v>3</v>
      </c>
      <c r="B8" s="14">
        <v>5</v>
      </c>
      <c r="C8" s="8">
        <f t="shared" si="2"/>
        <v>0.25</v>
      </c>
      <c r="E8" s="29" t="s">
        <v>65</v>
      </c>
      <c r="F8" s="26" t="s">
        <v>21</v>
      </c>
      <c r="G8" s="14">
        <v>9</v>
      </c>
      <c r="H8" s="92">
        <f t="shared" si="0"/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">
      <c r="A9" s="22" t="s">
        <v>4</v>
      </c>
      <c r="B9" s="15">
        <v>9</v>
      </c>
      <c r="C9" s="9">
        <f t="shared" si="2"/>
        <v>0.45</v>
      </c>
      <c r="E9" s="29" t="s">
        <v>70</v>
      </c>
      <c r="F9" s="26" t="s">
        <v>25</v>
      </c>
      <c r="G9" s="14">
        <v>6</v>
      </c>
      <c r="H9" s="92">
        <f t="shared" si="0"/>
        <v>0.1111111111111111</v>
      </c>
      <c r="I9" s="60">
        <v>5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 t="shared" si="0"/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-19.166666666666668</v>
      </c>
      <c r="P10" s="80">
        <v>6</v>
      </c>
      <c r="Q10" s="71">
        <v>-115</v>
      </c>
    </row>
    <row r="11" spans="1:17" x14ac:dyDescent="0.4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 t="shared" si="0"/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">
      <c r="A12" s="22" t="s">
        <v>205</v>
      </c>
      <c r="B12" s="113">
        <f>IF(B9=0,0,C12/B9)</f>
        <v>-36.322222222222223</v>
      </c>
      <c r="C12" s="114">
        <v>-326.89999999999998</v>
      </c>
      <c r="E12" s="29" t="s">
        <v>75</v>
      </c>
      <c r="F12" s="26" t="s">
        <v>30</v>
      </c>
      <c r="G12" s="14">
        <v>2</v>
      </c>
      <c r="H12" s="92">
        <f t="shared" si="0"/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-0.93333333333333357</v>
      </c>
      <c r="P12" s="82">
        <v>6</v>
      </c>
      <c r="Q12" s="73">
        <v>-5.6000000000000014</v>
      </c>
    </row>
    <row r="13" spans="1:17" x14ac:dyDescent="0.4">
      <c r="A13" s="22" t="s">
        <v>206</v>
      </c>
      <c r="B13" s="123">
        <f>AVERAGE(B10:B12)</f>
        <v>-1.3540740740740727</v>
      </c>
      <c r="C13" s="124"/>
      <c r="E13" s="29" t="s">
        <v>79</v>
      </c>
      <c r="F13" s="26" t="s">
        <v>34</v>
      </c>
      <c r="G13" s="14">
        <v>2</v>
      </c>
      <c r="H13" s="92">
        <f t="shared" si="0"/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4</v>
      </c>
      <c r="C14" s="11">
        <f t="shared" si="2"/>
        <v>0.2</v>
      </c>
      <c r="E14" s="29" t="s">
        <v>83</v>
      </c>
      <c r="F14" s="26" t="s">
        <v>38</v>
      </c>
      <c r="G14" s="14">
        <v>2</v>
      </c>
      <c r="H14" s="92">
        <f t="shared" si="0"/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58</v>
      </c>
      <c r="C15" s="12">
        <f>IF(B$3=0,0,B15/B$3)</f>
        <v>0.3493975903614458</v>
      </c>
      <c r="E15" s="29" t="s">
        <v>85</v>
      </c>
      <c r="F15" s="26" t="s">
        <v>40</v>
      </c>
      <c r="G15" s="14">
        <v>2</v>
      </c>
      <c r="H15" s="92">
        <f t="shared" si="0"/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 t="shared" ref="O15:O22" si="3">IF(P15=0,0,Q15/P15)</f>
        <v>32.325000000000003</v>
      </c>
      <c r="P15" s="80">
        <v>4</v>
      </c>
      <c r="Q15" s="71">
        <v>129.30000000000001</v>
      </c>
    </row>
    <row r="16" spans="1:17" x14ac:dyDescent="0.4">
      <c r="A16" s="21" t="s">
        <v>118</v>
      </c>
      <c r="B16" s="14">
        <v>20</v>
      </c>
      <c r="C16" s="8">
        <f>IF(B$3=0,0,B16/B$3)</f>
        <v>0.12048192771084337</v>
      </c>
      <c r="E16" s="29" t="s">
        <v>71</v>
      </c>
      <c r="F16" s="26" t="s">
        <v>26</v>
      </c>
      <c r="G16" s="14">
        <v>1</v>
      </c>
      <c r="H16" s="92">
        <f t="shared" si="0"/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 t="shared" si="3"/>
        <v>19.249999999999996</v>
      </c>
      <c r="P16" s="81">
        <v>4</v>
      </c>
      <c r="Q16" s="72">
        <v>76.999999999999986</v>
      </c>
    </row>
    <row r="17" spans="1:17" x14ac:dyDescent="0.4">
      <c r="A17" s="20" t="s">
        <v>123</v>
      </c>
      <c r="B17" s="13">
        <f>B23</f>
        <v>31</v>
      </c>
      <c r="C17" s="6">
        <f>IF(B$15=0,0,B17/B$15)</f>
        <v>0.53448275862068961</v>
      </c>
      <c r="E17" s="29" t="s">
        <v>86</v>
      </c>
      <c r="F17" s="26" t="s">
        <v>41</v>
      </c>
      <c r="G17" s="14">
        <v>1</v>
      </c>
      <c r="H17" s="92">
        <f t="shared" si="0"/>
        <v>1.8518518518518517E-2</v>
      </c>
      <c r="I17" s="60">
        <v>11</v>
      </c>
      <c r="K17" s="7">
        <v>15</v>
      </c>
      <c r="L17" s="65">
        <v>-25.1</v>
      </c>
      <c r="N17" s="78" t="s">
        <v>167</v>
      </c>
      <c r="O17" s="87">
        <f t="shared" si="3"/>
        <v>2.910000000000001</v>
      </c>
      <c r="P17" s="81">
        <v>10</v>
      </c>
      <c r="Q17" s="72">
        <v>29.100000000000009</v>
      </c>
    </row>
    <row r="18" spans="1:17" x14ac:dyDescent="0.4">
      <c r="A18" s="20" t="s">
        <v>124</v>
      </c>
      <c r="B18" s="13">
        <f>B24</f>
        <v>13</v>
      </c>
      <c r="C18" s="6">
        <f>IF(B$16=0,0,B18/B$16)</f>
        <v>0.65</v>
      </c>
      <c r="E18" s="29" t="s">
        <v>73</v>
      </c>
      <c r="F18" s="26" t="s">
        <v>28</v>
      </c>
      <c r="G18" s="14">
        <v>0</v>
      </c>
      <c r="H18" s="92">
        <f t="shared" si="0"/>
        <v>0</v>
      </c>
      <c r="I18" s="60">
        <v>6</v>
      </c>
      <c r="K18" s="7">
        <v>16</v>
      </c>
      <c r="L18" s="65">
        <v>-13.600000000000001</v>
      </c>
      <c r="N18" s="78" t="s">
        <v>127</v>
      </c>
      <c r="O18" s="87">
        <f t="shared" si="3"/>
        <v>2.8600000000000012</v>
      </c>
      <c r="P18" s="81">
        <v>5</v>
      </c>
      <c r="Q18" s="72">
        <v>14.300000000000006</v>
      </c>
    </row>
    <row r="19" spans="1:17" x14ac:dyDescent="0.4">
      <c r="A19" s="20" t="s">
        <v>10</v>
      </c>
      <c r="B19" s="13">
        <f>B22+B21</f>
        <v>54</v>
      </c>
      <c r="C19" s="6">
        <f>IF(B$3=0,0,B19/B$3)</f>
        <v>0.3253012048192771</v>
      </c>
      <c r="E19" s="29" t="s">
        <v>74</v>
      </c>
      <c r="F19" s="26" t="s">
        <v>29</v>
      </c>
      <c r="G19" s="14">
        <v>0</v>
      </c>
      <c r="H19" s="92">
        <f t="shared" si="0"/>
        <v>0</v>
      </c>
      <c r="I19" s="60">
        <v>7</v>
      </c>
      <c r="K19" s="7">
        <v>17</v>
      </c>
      <c r="L19" s="65">
        <v>-30.700000000000003</v>
      </c>
      <c r="N19" s="78" t="s">
        <v>194</v>
      </c>
      <c r="O19" s="87">
        <f t="shared" si="3"/>
        <v>-0.16666666666666882</v>
      </c>
      <c r="P19" s="81">
        <v>3</v>
      </c>
      <c r="Q19" s="72">
        <v>-0.50000000000000644</v>
      </c>
    </row>
    <row r="20" spans="1:17" x14ac:dyDescent="0.4">
      <c r="A20" s="21" t="s">
        <v>13</v>
      </c>
      <c r="B20" s="14">
        <v>28</v>
      </c>
      <c r="C20" s="8">
        <f>IF(B$3=0,0,B20/B$3)</f>
        <v>0.16867469879518071</v>
      </c>
      <c r="E20" s="29" t="s">
        <v>76</v>
      </c>
      <c r="F20" s="26" t="s">
        <v>31</v>
      </c>
      <c r="G20" s="14">
        <v>0</v>
      </c>
      <c r="H20" s="92">
        <f t="shared" si="0"/>
        <v>0</v>
      </c>
      <c r="I20" s="60">
        <v>3</v>
      </c>
      <c r="K20" s="7">
        <v>18</v>
      </c>
      <c r="L20" s="65">
        <v>-55.6</v>
      </c>
      <c r="N20" s="78" t="s">
        <v>195</v>
      </c>
      <c r="O20" s="87">
        <f t="shared" si="3"/>
        <v>-22.933333333333334</v>
      </c>
      <c r="P20" s="81">
        <v>3</v>
      </c>
      <c r="Q20" s="72">
        <v>-68.8</v>
      </c>
    </row>
    <row r="21" spans="1:17" x14ac:dyDescent="0.4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 t="shared" si="0"/>
        <v>0</v>
      </c>
      <c r="I21" s="60">
        <v>6</v>
      </c>
      <c r="K21" s="7">
        <v>19</v>
      </c>
      <c r="L21" s="65">
        <v>-102</v>
      </c>
      <c r="N21" s="78" t="s">
        <v>126</v>
      </c>
      <c r="O21" s="87">
        <f t="shared" si="3"/>
        <v>-52.05</v>
      </c>
      <c r="P21" s="81">
        <v>8</v>
      </c>
      <c r="Q21" s="72">
        <v>-416.4</v>
      </c>
    </row>
    <row r="22" spans="1:17" x14ac:dyDescent="0.4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 t="shared" si="0"/>
        <v>0</v>
      </c>
      <c r="I22" s="60">
        <v>11</v>
      </c>
      <c r="K22" s="7">
        <v>20</v>
      </c>
      <c r="L22" s="65">
        <v>-135.9</v>
      </c>
      <c r="N22" s="78" t="s">
        <v>158</v>
      </c>
      <c r="O22" s="87">
        <f t="shared" si="3"/>
        <v>-57.233333333333327</v>
      </c>
      <c r="P22" s="81">
        <v>3</v>
      </c>
      <c r="Q22" s="72">
        <v>-171.7</v>
      </c>
    </row>
    <row r="23" spans="1:17" x14ac:dyDescent="0.4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 t="shared" si="0"/>
        <v>0</v>
      </c>
      <c r="I23" s="60">
        <v>1</v>
      </c>
    </row>
    <row r="24" spans="1:17" x14ac:dyDescent="0.4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 t="shared" si="0"/>
        <v>0</v>
      </c>
      <c r="I24" s="60">
        <v>11</v>
      </c>
    </row>
    <row r="25" spans="1:17" x14ac:dyDescent="0.4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 t="shared" si="0"/>
        <v>0</v>
      </c>
      <c r="I25" s="60">
        <v>1</v>
      </c>
    </row>
    <row r="26" spans="1:17" x14ac:dyDescent="0.4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 t="shared" si="0"/>
        <v>0</v>
      </c>
      <c r="I26" s="60">
        <v>6</v>
      </c>
    </row>
    <row r="27" spans="1:17" x14ac:dyDescent="0.4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7</v>
      </c>
    </row>
    <row r="28" spans="1:17" x14ac:dyDescent="0.4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6</v>
      </c>
    </row>
    <row r="29" spans="1:17" x14ac:dyDescent="0.4">
      <c r="A29" s="22" t="s">
        <v>173</v>
      </c>
      <c r="B29" s="99">
        <f>IF(B$20=0,0,C29/B$20)</f>
        <v>-8507.1428571428569</v>
      </c>
      <c r="C29" s="100">
        <v>-238200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5</v>
      </c>
    </row>
    <row r="30" spans="1:17" x14ac:dyDescent="0.4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10</v>
      </c>
    </row>
    <row r="31" spans="1:17" x14ac:dyDescent="0.4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8</v>
      </c>
    </row>
    <row r="32" spans="1:17" x14ac:dyDescent="0.4">
      <c r="A32" s="56" t="s">
        <v>138</v>
      </c>
      <c r="B32" s="125">
        <v>7</v>
      </c>
      <c r="C32" s="126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5</v>
      </c>
    </row>
    <row r="33" spans="1:9" x14ac:dyDescent="0.4">
      <c r="A33" s="24" t="s">
        <v>189</v>
      </c>
      <c r="B33" s="127">
        <v>65900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">
      <c r="A34" s="23" t="s">
        <v>139</v>
      </c>
      <c r="B34" s="31">
        <v>2</v>
      </c>
      <c r="C34" s="11">
        <f>IF(B$3=0,0,B34/B$3)</f>
        <v>1.2048192771084338E-2</v>
      </c>
      <c r="E34" s="29" t="s">
        <v>95</v>
      </c>
      <c r="F34" s="26" t="s">
        <v>50</v>
      </c>
      <c r="G34" s="14">
        <v>0</v>
      </c>
      <c r="H34" s="92">
        <f t="shared" ref="H34:H65" si="4">IF(B$19=0,0,G34/B$19)</f>
        <v>0</v>
      </c>
      <c r="I34" s="60">
        <v>6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 t="shared" si="4"/>
        <v>0</v>
      </c>
      <c r="I35" s="60">
        <v>1</v>
      </c>
    </row>
    <row r="36" spans="1:9" x14ac:dyDescent="0.4">
      <c r="A36" s="56" t="s">
        <v>180</v>
      </c>
      <c r="B36" s="119">
        <v>6</v>
      </c>
      <c r="C36" s="102">
        <f t="shared" ref="C36:C48" si="5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 t="shared" si="4"/>
        <v>0</v>
      </c>
      <c r="I36" s="60">
        <v>3</v>
      </c>
    </row>
    <row r="37" spans="1:9" x14ac:dyDescent="0.4">
      <c r="A37" s="21" t="s">
        <v>176</v>
      </c>
      <c r="B37" s="14">
        <v>15</v>
      </c>
      <c r="C37" s="8">
        <f t="shared" si="5"/>
        <v>0.27777777777777779</v>
      </c>
      <c r="E37" s="29" t="s">
        <v>98</v>
      </c>
      <c r="F37" s="26" t="s">
        <v>53</v>
      </c>
      <c r="G37" s="14">
        <v>0</v>
      </c>
      <c r="H37" s="92">
        <f t="shared" si="4"/>
        <v>0</v>
      </c>
      <c r="I37" s="60">
        <v>1</v>
      </c>
    </row>
    <row r="38" spans="1:9" x14ac:dyDescent="0.4">
      <c r="A38" s="21" t="s">
        <v>177</v>
      </c>
      <c r="B38" s="120">
        <v>8</v>
      </c>
      <c r="C38" s="8">
        <f t="shared" si="5"/>
        <v>0.14814814814814814</v>
      </c>
      <c r="E38" s="29" t="s">
        <v>99</v>
      </c>
      <c r="F38" s="26" t="s">
        <v>54</v>
      </c>
      <c r="G38" s="14">
        <v>0</v>
      </c>
      <c r="H38" s="92">
        <f t="shared" si="4"/>
        <v>0</v>
      </c>
      <c r="I38" s="60">
        <v>1</v>
      </c>
    </row>
    <row r="39" spans="1:9" x14ac:dyDescent="0.4">
      <c r="A39" s="21" t="s">
        <v>178</v>
      </c>
      <c r="B39" s="120">
        <v>9</v>
      </c>
      <c r="C39" s="8">
        <f t="shared" si="5"/>
        <v>0.16666666666666666</v>
      </c>
      <c r="E39" s="29" t="s">
        <v>100</v>
      </c>
      <c r="F39" s="26" t="s">
        <v>55</v>
      </c>
      <c r="G39" s="14">
        <v>0</v>
      </c>
      <c r="H39" s="92">
        <f t="shared" si="4"/>
        <v>0</v>
      </c>
      <c r="I39" s="60">
        <v>1</v>
      </c>
    </row>
    <row r="40" spans="1:9" x14ac:dyDescent="0.4">
      <c r="A40" s="21" t="s">
        <v>179</v>
      </c>
      <c r="B40" s="120">
        <v>9</v>
      </c>
      <c r="C40" s="8">
        <f t="shared" si="5"/>
        <v>0.16666666666666666</v>
      </c>
      <c r="E40" s="29" t="s">
        <v>101</v>
      </c>
      <c r="F40" s="26" t="s">
        <v>56</v>
      </c>
      <c r="G40" s="14">
        <v>0</v>
      </c>
      <c r="H40" s="92">
        <f t="shared" si="4"/>
        <v>0</v>
      </c>
      <c r="I40" s="60">
        <v>3</v>
      </c>
    </row>
    <row r="41" spans="1:9" x14ac:dyDescent="0.4">
      <c r="A41" s="21" t="s">
        <v>181</v>
      </c>
      <c r="B41" s="120">
        <v>2</v>
      </c>
      <c r="C41" s="8">
        <f t="shared" si="5"/>
        <v>3.7037037037037035E-2</v>
      </c>
      <c r="E41" s="29" t="s">
        <v>102</v>
      </c>
      <c r="F41" s="26" t="s">
        <v>57</v>
      </c>
      <c r="G41" s="14">
        <v>0</v>
      </c>
      <c r="H41" s="92">
        <f t="shared" si="4"/>
        <v>0</v>
      </c>
      <c r="I41" s="60">
        <v>1</v>
      </c>
    </row>
    <row r="42" spans="1:9" x14ac:dyDescent="0.4">
      <c r="A42" s="21" t="s">
        <v>182</v>
      </c>
      <c r="B42" s="120">
        <v>3</v>
      </c>
      <c r="C42" s="8">
        <f t="shared" si="5"/>
        <v>5.5555555555555552E-2</v>
      </c>
      <c r="E42" s="29" t="s">
        <v>103</v>
      </c>
      <c r="F42" s="26" t="s">
        <v>58</v>
      </c>
      <c r="G42" s="14">
        <v>0</v>
      </c>
      <c r="H42" s="92">
        <f t="shared" si="4"/>
        <v>0</v>
      </c>
      <c r="I42" s="60">
        <v>1</v>
      </c>
    </row>
    <row r="43" spans="1:9" x14ac:dyDescent="0.4">
      <c r="A43" s="21" t="s">
        <v>183</v>
      </c>
      <c r="B43" s="120">
        <v>1</v>
      </c>
      <c r="C43" s="8">
        <f t="shared" si="5"/>
        <v>1.8518518518518517E-2</v>
      </c>
      <c r="E43" s="29" t="s">
        <v>104</v>
      </c>
      <c r="F43" s="26" t="s">
        <v>59</v>
      </c>
      <c r="G43" s="14">
        <v>0</v>
      </c>
      <c r="H43" s="92">
        <f t="shared" si="4"/>
        <v>0</v>
      </c>
      <c r="I43" s="60">
        <v>1</v>
      </c>
    </row>
    <row r="44" spans="1:9" x14ac:dyDescent="0.4">
      <c r="A44" s="21" t="s">
        <v>184</v>
      </c>
      <c r="B44" s="120">
        <v>0</v>
      </c>
      <c r="C44" s="8">
        <f t="shared" si="5"/>
        <v>0</v>
      </c>
      <c r="E44" s="29" t="s">
        <v>105</v>
      </c>
      <c r="F44" s="26" t="s">
        <v>112</v>
      </c>
      <c r="G44" s="14">
        <v>0</v>
      </c>
      <c r="H44" s="92">
        <f t="shared" si="4"/>
        <v>0</v>
      </c>
      <c r="I44" s="60">
        <v>1</v>
      </c>
    </row>
    <row r="45" spans="1:9" x14ac:dyDescent="0.4">
      <c r="A45" s="21" t="s">
        <v>185</v>
      </c>
      <c r="B45" s="120">
        <v>1</v>
      </c>
      <c r="C45" s="8">
        <f t="shared" si="5"/>
        <v>1.8518518518518517E-2</v>
      </c>
      <c r="E45" s="29" t="s">
        <v>106</v>
      </c>
      <c r="F45" s="26" t="s">
        <v>113</v>
      </c>
      <c r="G45" s="14">
        <v>0</v>
      </c>
      <c r="H45" s="92">
        <f t="shared" si="4"/>
        <v>0</v>
      </c>
      <c r="I45" s="60">
        <v>3</v>
      </c>
    </row>
    <row r="46" spans="1:9" x14ac:dyDescent="0.4">
      <c r="A46" s="21" t="s">
        <v>186</v>
      </c>
      <c r="B46" s="120">
        <v>0</v>
      </c>
      <c r="C46" s="8">
        <f t="shared" si="5"/>
        <v>0</v>
      </c>
      <c r="E46" s="29" t="s">
        <v>107</v>
      </c>
      <c r="F46" s="26" t="s">
        <v>114</v>
      </c>
      <c r="G46" s="14">
        <v>0</v>
      </c>
      <c r="H46" s="92">
        <f t="shared" si="4"/>
        <v>0</v>
      </c>
      <c r="I46" s="60">
        <v>1</v>
      </c>
    </row>
    <row r="47" spans="1:9" x14ac:dyDescent="0.4">
      <c r="A47" s="21" t="s">
        <v>187</v>
      </c>
      <c r="B47" s="120">
        <v>0</v>
      </c>
      <c r="C47" s="8">
        <f t="shared" si="5"/>
        <v>0</v>
      </c>
      <c r="E47" s="29" t="s">
        <v>108</v>
      </c>
      <c r="F47" s="26" t="s">
        <v>60</v>
      </c>
      <c r="G47" s="14">
        <v>0</v>
      </c>
      <c r="H47" s="92">
        <f t="shared" si="4"/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5"/>
        <v>0</v>
      </c>
      <c r="E48" s="29" t="s">
        <v>109</v>
      </c>
      <c r="F48" s="26" t="s">
        <v>61</v>
      </c>
      <c r="G48" s="14">
        <v>0</v>
      </c>
      <c r="H48" s="92">
        <f t="shared" si="4"/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 t="shared" si="4"/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 t="shared" si="4"/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 t="shared" si="4"/>
        <v>0</v>
      </c>
      <c r="I51" s="98">
        <v>9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9FF3A-BE1C-459B-957A-37346C0B5BE3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282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10</v>
      </c>
      <c r="C2" s="132"/>
      <c r="E2" s="28" t="s">
        <v>66</v>
      </c>
      <c r="F2" s="25" t="s">
        <v>22</v>
      </c>
      <c r="G2" s="13">
        <v>26</v>
      </c>
      <c r="H2" s="91">
        <f t="shared" ref="H2:H33" si="0"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1">IF(P2=0,0,Q2/P2)</f>
        <v>410</v>
      </c>
      <c r="P2" s="80">
        <v>10</v>
      </c>
      <c r="Q2" s="67">
        <v>4100</v>
      </c>
    </row>
    <row r="3" spans="1:17" x14ac:dyDescent="0.4">
      <c r="A3" s="21" t="s">
        <v>8</v>
      </c>
      <c r="B3" s="133">
        <v>78</v>
      </c>
      <c r="C3" s="134"/>
      <c r="E3" s="29" t="s">
        <v>64</v>
      </c>
      <c r="F3" s="26" t="s">
        <v>20</v>
      </c>
      <c r="G3" s="14">
        <v>19</v>
      </c>
      <c r="H3" s="92">
        <f t="shared" si="0"/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1"/>
        <v>-2890</v>
      </c>
      <c r="P3" s="81">
        <v>10</v>
      </c>
      <c r="Q3" s="68">
        <v>-28900</v>
      </c>
    </row>
    <row r="4" spans="1:17" x14ac:dyDescent="0.4">
      <c r="A4" s="21" t="s">
        <v>6</v>
      </c>
      <c r="B4" s="135">
        <v>9.2999999999999972</v>
      </c>
      <c r="C4" s="136"/>
      <c r="E4" s="29" t="s">
        <v>67</v>
      </c>
      <c r="F4" s="26" t="s">
        <v>23</v>
      </c>
      <c r="G4" s="14">
        <v>17</v>
      </c>
      <c r="H4" s="92">
        <f t="shared" si="0"/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1"/>
        <v>6000</v>
      </c>
      <c r="P4" s="81">
        <v>7</v>
      </c>
      <c r="Q4" s="68">
        <v>42000</v>
      </c>
    </row>
    <row r="5" spans="1:17" x14ac:dyDescent="0.4">
      <c r="A5" s="21" t="s">
        <v>7</v>
      </c>
      <c r="B5" s="123">
        <f>IF(B$2=0,0,B$4/B$2)</f>
        <v>0.92999999999999972</v>
      </c>
      <c r="C5" s="124"/>
      <c r="E5" s="29" t="s">
        <v>163</v>
      </c>
      <c r="F5" s="26" t="s">
        <v>164</v>
      </c>
      <c r="G5" s="14">
        <v>12</v>
      </c>
      <c r="H5" s="92">
        <f t="shared" si="0"/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1"/>
        <v>-9657.1428571428569</v>
      </c>
      <c r="P5" s="81">
        <v>7</v>
      </c>
      <c r="Q5" s="68">
        <v>-67600</v>
      </c>
    </row>
    <row r="6" spans="1:17" x14ac:dyDescent="0.4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8</v>
      </c>
      <c r="H6" s="92">
        <f t="shared" si="0"/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1"/>
        <v>1828.5714285714287</v>
      </c>
      <c r="P6" s="81">
        <v>7</v>
      </c>
      <c r="Q6" s="68">
        <v>12800</v>
      </c>
    </row>
    <row r="7" spans="1:17" x14ac:dyDescent="0.4">
      <c r="A7" s="21" t="s">
        <v>2</v>
      </c>
      <c r="B7" s="14">
        <v>5</v>
      </c>
      <c r="C7" s="8">
        <f t="shared" ref="C7:C14" si="2">IF(B$2=0,0,B7/B$2)</f>
        <v>0.5</v>
      </c>
      <c r="E7" s="29" t="s">
        <v>69</v>
      </c>
      <c r="F7" s="26" t="s">
        <v>24</v>
      </c>
      <c r="G7" s="14">
        <v>5</v>
      </c>
      <c r="H7" s="92">
        <f t="shared" si="0"/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1"/>
        <v>3271.4285714285716</v>
      </c>
      <c r="P7" s="82">
        <v>7</v>
      </c>
      <c r="Q7" s="69">
        <v>22900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72</v>
      </c>
      <c r="F8" s="26" t="s">
        <v>27</v>
      </c>
      <c r="G8" s="14">
        <v>5</v>
      </c>
      <c r="H8" s="92">
        <f t="shared" si="0"/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">
      <c r="A9" s="22" t="s">
        <v>4</v>
      </c>
      <c r="B9" s="15">
        <v>5</v>
      </c>
      <c r="C9" s="9">
        <f t="shared" si="2"/>
        <v>0.5</v>
      </c>
      <c r="E9" s="29" t="s">
        <v>65</v>
      </c>
      <c r="F9" s="26" t="s">
        <v>21</v>
      </c>
      <c r="G9" s="14">
        <v>4</v>
      </c>
      <c r="H9" s="92">
        <f t="shared" si="0"/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 t="shared" si="0"/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 t="shared" si="0"/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 t="shared" si="0"/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">
      <c r="A13" s="22" t="s">
        <v>206</v>
      </c>
      <c r="B13" s="123">
        <f>AVERAGE(B10:B12)</f>
        <v>0.61999999999999977</v>
      </c>
      <c r="C13" s="124"/>
      <c r="E13" s="29" t="s">
        <v>89</v>
      </c>
      <c r="F13" s="26" t="s">
        <v>44</v>
      </c>
      <c r="G13" s="14">
        <v>1</v>
      </c>
      <c r="H13" s="92">
        <f t="shared" si="0"/>
        <v>3.8461538461538464E-2</v>
      </c>
      <c r="I13" s="60">
        <v>14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2</v>
      </c>
      <c r="C14" s="11">
        <f t="shared" si="2"/>
        <v>0.2</v>
      </c>
      <c r="E14" s="29" t="s">
        <v>91</v>
      </c>
      <c r="F14" s="26" t="s">
        <v>46</v>
      </c>
      <c r="G14" s="14">
        <v>1</v>
      </c>
      <c r="H14" s="92">
        <f t="shared" si="0"/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 t="shared" si="0"/>
        <v>0</v>
      </c>
      <c r="I15" s="60">
        <v>6</v>
      </c>
      <c r="N15" s="77" t="s">
        <v>281</v>
      </c>
      <c r="O15" s="86">
        <f t="shared" ref="O15:O20" si="3">IF(P15=0,0,Q15/P15)</f>
        <v>45.3</v>
      </c>
      <c r="P15" s="80">
        <v>5</v>
      </c>
      <c r="Q15" s="71">
        <v>226.5</v>
      </c>
    </row>
    <row r="16" spans="1:17" x14ac:dyDescent="0.4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 t="shared" si="0"/>
        <v>0</v>
      </c>
      <c r="I16" s="60">
        <v>7</v>
      </c>
      <c r="N16" s="78" t="s">
        <v>158</v>
      </c>
      <c r="O16" s="87">
        <f t="shared" si="3"/>
        <v>38</v>
      </c>
      <c r="P16" s="81">
        <v>1</v>
      </c>
      <c r="Q16" s="72">
        <v>38</v>
      </c>
    </row>
    <row r="17" spans="1:17" x14ac:dyDescent="0.4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 t="shared" si="0"/>
        <v>0</v>
      </c>
      <c r="I17" s="60">
        <v>10</v>
      </c>
      <c r="N17" s="78" t="s">
        <v>195</v>
      </c>
      <c r="O17" s="87">
        <f t="shared" si="3"/>
        <v>1.0625</v>
      </c>
      <c r="P17" s="81">
        <v>8</v>
      </c>
      <c r="Q17" s="72">
        <v>8.5</v>
      </c>
    </row>
    <row r="18" spans="1:17" x14ac:dyDescent="0.4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 t="shared" si="0"/>
        <v>0</v>
      </c>
      <c r="I18" s="60">
        <v>3</v>
      </c>
      <c r="N18" s="78" t="s">
        <v>168</v>
      </c>
      <c r="O18" s="87">
        <f t="shared" si="3"/>
        <v>-11</v>
      </c>
      <c r="P18" s="81">
        <v>3</v>
      </c>
      <c r="Q18" s="72">
        <v>-33</v>
      </c>
    </row>
    <row r="19" spans="1:17" x14ac:dyDescent="0.4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 t="shared" si="0"/>
        <v>0</v>
      </c>
      <c r="I19" s="60">
        <v>6</v>
      </c>
      <c r="N19" s="78" t="s">
        <v>126</v>
      </c>
      <c r="O19" s="87">
        <f t="shared" si="3"/>
        <v>-31.200000000000003</v>
      </c>
      <c r="P19" s="81">
        <v>1</v>
      </c>
      <c r="Q19" s="72">
        <v>-31.200000000000003</v>
      </c>
    </row>
    <row r="20" spans="1:17" x14ac:dyDescent="0.4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 t="shared" si="0"/>
        <v>0</v>
      </c>
      <c r="I20" s="60">
        <v>11</v>
      </c>
      <c r="N20" s="78" t="s">
        <v>167</v>
      </c>
      <c r="O20" s="87">
        <f t="shared" si="3"/>
        <v>-90.449999999999989</v>
      </c>
      <c r="P20" s="81">
        <v>2</v>
      </c>
      <c r="Q20" s="72">
        <v>-180.89999999999998</v>
      </c>
    </row>
    <row r="21" spans="1:17" x14ac:dyDescent="0.4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 t="shared" si="0"/>
        <v>0</v>
      </c>
      <c r="I21" s="60">
        <v>11</v>
      </c>
    </row>
    <row r="22" spans="1:17" x14ac:dyDescent="0.4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 t="shared" si="0"/>
        <v>0</v>
      </c>
      <c r="I22" s="60">
        <v>1</v>
      </c>
    </row>
    <row r="23" spans="1:17" x14ac:dyDescent="0.4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 t="shared" si="0"/>
        <v>0</v>
      </c>
      <c r="I23" s="60">
        <v>1</v>
      </c>
    </row>
    <row r="24" spans="1:17" x14ac:dyDescent="0.4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 t="shared" si="0"/>
        <v>0</v>
      </c>
      <c r="I24" s="60">
        <v>13</v>
      </c>
    </row>
    <row r="25" spans="1:17" x14ac:dyDescent="0.4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 t="shared" si="0"/>
        <v>0</v>
      </c>
      <c r="I25" s="60">
        <v>6</v>
      </c>
    </row>
    <row r="26" spans="1:17" x14ac:dyDescent="0.4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 t="shared" si="0"/>
        <v>0</v>
      </c>
      <c r="I26" s="60">
        <v>8</v>
      </c>
    </row>
    <row r="27" spans="1:17" x14ac:dyDescent="0.4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 t="shared" si="0"/>
        <v>0</v>
      </c>
      <c r="I27" s="60">
        <v>12</v>
      </c>
    </row>
    <row r="28" spans="1:17" x14ac:dyDescent="0.4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 t="shared" si="0"/>
        <v>0</v>
      </c>
      <c r="I28" s="60">
        <v>7</v>
      </c>
    </row>
    <row r="29" spans="1:17" x14ac:dyDescent="0.4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 t="shared" si="0"/>
        <v>0</v>
      </c>
      <c r="I29" s="60">
        <v>6</v>
      </c>
    </row>
    <row r="30" spans="1:17" x14ac:dyDescent="0.4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 t="shared" si="0"/>
        <v>0</v>
      </c>
      <c r="I30" s="60">
        <v>5</v>
      </c>
    </row>
    <row r="31" spans="1:17" x14ac:dyDescent="0.4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8</v>
      </c>
    </row>
    <row r="32" spans="1:17" x14ac:dyDescent="0.4">
      <c r="A32" s="56" t="s">
        <v>138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5</v>
      </c>
    </row>
    <row r="33" spans="1:9" x14ac:dyDescent="0.4">
      <c r="A33" s="24" t="s">
        <v>189</v>
      </c>
      <c r="B33" s="127">
        <v>70900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4">IF(B$19=0,0,G34/B$19)</f>
        <v>0</v>
      </c>
      <c r="I34" s="60">
        <v>6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 t="shared" si="4"/>
        <v>0</v>
      </c>
      <c r="I35" s="60">
        <v>1</v>
      </c>
    </row>
    <row r="36" spans="1:9" x14ac:dyDescent="0.4">
      <c r="A36" s="56" t="s">
        <v>180</v>
      </c>
      <c r="B36" s="119">
        <v>1</v>
      </c>
      <c r="C36" s="102">
        <f t="shared" ref="C36:C48" si="5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 t="shared" si="4"/>
        <v>0</v>
      </c>
      <c r="I36" s="60">
        <v>3</v>
      </c>
    </row>
    <row r="37" spans="1:9" x14ac:dyDescent="0.4">
      <c r="A37" s="21" t="s">
        <v>176</v>
      </c>
      <c r="B37" s="14">
        <v>3</v>
      </c>
      <c r="C37" s="8">
        <f t="shared" si="5"/>
        <v>0.11538461538461539</v>
      </c>
      <c r="E37" s="29" t="s">
        <v>98</v>
      </c>
      <c r="F37" s="26" t="s">
        <v>53</v>
      </c>
      <c r="G37" s="14">
        <v>0</v>
      </c>
      <c r="H37" s="92">
        <f t="shared" si="4"/>
        <v>0</v>
      </c>
      <c r="I37" s="60">
        <v>1</v>
      </c>
    </row>
    <row r="38" spans="1:9" x14ac:dyDescent="0.4">
      <c r="A38" s="21" t="s">
        <v>177</v>
      </c>
      <c r="B38" s="120">
        <v>6</v>
      </c>
      <c r="C38" s="8">
        <f t="shared" si="5"/>
        <v>0.23076923076923078</v>
      </c>
      <c r="E38" s="29" t="s">
        <v>99</v>
      </c>
      <c r="F38" s="26" t="s">
        <v>54</v>
      </c>
      <c r="G38" s="14">
        <v>0</v>
      </c>
      <c r="H38" s="92">
        <f t="shared" si="4"/>
        <v>0</v>
      </c>
      <c r="I38" s="60">
        <v>1</v>
      </c>
    </row>
    <row r="39" spans="1:9" x14ac:dyDescent="0.4">
      <c r="A39" s="21" t="s">
        <v>178</v>
      </c>
      <c r="B39" s="120">
        <v>1</v>
      </c>
      <c r="C39" s="8">
        <f t="shared" si="5"/>
        <v>3.8461538461538464E-2</v>
      </c>
      <c r="E39" s="29" t="s">
        <v>100</v>
      </c>
      <c r="F39" s="26" t="s">
        <v>55</v>
      </c>
      <c r="G39" s="14">
        <v>0</v>
      </c>
      <c r="H39" s="92">
        <f t="shared" si="4"/>
        <v>0</v>
      </c>
      <c r="I39" s="60">
        <v>1</v>
      </c>
    </row>
    <row r="40" spans="1:9" x14ac:dyDescent="0.4">
      <c r="A40" s="21" t="s">
        <v>179</v>
      </c>
      <c r="B40" s="120">
        <v>8</v>
      </c>
      <c r="C40" s="8">
        <f t="shared" si="5"/>
        <v>0.30769230769230771</v>
      </c>
      <c r="E40" s="29" t="s">
        <v>101</v>
      </c>
      <c r="F40" s="26" t="s">
        <v>56</v>
      </c>
      <c r="G40" s="14">
        <v>0</v>
      </c>
      <c r="H40" s="92">
        <f t="shared" si="4"/>
        <v>0</v>
      </c>
      <c r="I40" s="60">
        <v>3</v>
      </c>
    </row>
    <row r="41" spans="1:9" x14ac:dyDescent="0.4">
      <c r="A41" s="21" t="s">
        <v>181</v>
      </c>
      <c r="B41" s="120">
        <v>6</v>
      </c>
      <c r="C41" s="8">
        <f t="shared" si="5"/>
        <v>0.23076923076923078</v>
      </c>
      <c r="E41" s="29" t="s">
        <v>102</v>
      </c>
      <c r="F41" s="26" t="s">
        <v>57</v>
      </c>
      <c r="G41" s="14">
        <v>0</v>
      </c>
      <c r="H41" s="92">
        <f t="shared" si="4"/>
        <v>0</v>
      </c>
      <c r="I41" s="60">
        <v>1</v>
      </c>
    </row>
    <row r="42" spans="1:9" x14ac:dyDescent="0.4">
      <c r="A42" s="21" t="s">
        <v>182</v>
      </c>
      <c r="B42" s="120">
        <v>0</v>
      </c>
      <c r="C42" s="8">
        <f t="shared" si="5"/>
        <v>0</v>
      </c>
      <c r="E42" s="29" t="s">
        <v>103</v>
      </c>
      <c r="F42" s="26" t="s">
        <v>58</v>
      </c>
      <c r="G42" s="14">
        <v>0</v>
      </c>
      <c r="H42" s="92">
        <f t="shared" si="4"/>
        <v>0</v>
      </c>
      <c r="I42" s="60">
        <v>1</v>
      </c>
    </row>
    <row r="43" spans="1:9" x14ac:dyDescent="0.4">
      <c r="A43" s="21" t="s">
        <v>183</v>
      </c>
      <c r="B43" s="120">
        <v>0</v>
      </c>
      <c r="C43" s="8">
        <f t="shared" si="5"/>
        <v>0</v>
      </c>
      <c r="E43" s="29" t="s">
        <v>104</v>
      </c>
      <c r="F43" s="26" t="s">
        <v>59</v>
      </c>
      <c r="G43" s="14">
        <v>0</v>
      </c>
      <c r="H43" s="92">
        <f t="shared" si="4"/>
        <v>0</v>
      </c>
      <c r="I43" s="60">
        <v>1</v>
      </c>
    </row>
    <row r="44" spans="1:9" x14ac:dyDescent="0.4">
      <c r="A44" s="21" t="s">
        <v>184</v>
      </c>
      <c r="B44" s="120">
        <v>1</v>
      </c>
      <c r="C44" s="8">
        <f t="shared" si="5"/>
        <v>3.8461538461538464E-2</v>
      </c>
      <c r="E44" s="29" t="s">
        <v>105</v>
      </c>
      <c r="F44" s="26" t="s">
        <v>112</v>
      </c>
      <c r="G44" s="14">
        <v>0</v>
      </c>
      <c r="H44" s="92">
        <f t="shared" si="4"/>
        <v>0</v>
      </c>
      <c r="I44" s="60">
        <v>1</v>
      </c>
    </row>
    <row r="45" spans="1:9" x14ac:dyDescent="0.4">
      <c r="A45" s="21" t="s">
        <v>185</v>
      </c>
      <c r="B45" s="120">
        <v>0</v>
      </c>
      <c r="C45" s="8">
        <f t="shared" si="5"/>
        <v>0</v>
      </c>
      <c r="E45" s="29" t="s">
        <v>106</v>
      </c>
      <c r="F45" s="26" t="s">
        <v>113</v>
      </c>
      <c r="G45" s="14">
        <v>0</v>
      </c>
      <c r="H45" s="92">
        <f t="shared" si="4"/>
        <v>0</v>
      </c>
      <c r="I45" s="60">
        <v>3</v>
      </c>
    </row>
    <row r="46" spans="1:9" x14ac:dyDescent="0.4">
      <c r="A46" s="21" t="s">
        <v>186</v>
      </c>
      <c r="B46" s="120">
        <v>0</v>
      </c>
      <c r="C46" s="8">
        <f t="shared" si="5"/>
        <v>0</v>
      </c>
      <c r="E46" s="29" t="s">
        <v>107</v>
      </c>
      <c r="F46" s="26" t="s">
        <v>114</v>
      </c>
      <c r="G46" s="14">
        <v>0</v>
      </c>
      <c r="H46" s="92">
        <f t="shared" si="4"/>
        <v>0</v>
      </c>
      <c r="I46" s="60">
        <v>1</v>
      </c>
    </row>
    <row r="47" spans="1:9" x14ac:dyDescent="0.4">
      <c r="A47" s="21" t="s">
        <v>187</v>
      </c>
      <c r="B47" s="120">
        <v>0</v>
      </c>
      <c r="C47" s="8">
        <f t="shared" si="5"/>
        <v>0</v>
      </c>
      <c r="E47" s="29" t="s">
        <v>108</v>
      </c>
      <c r="F47" s="26" t="s">
        <v>60</v>
      </c>
      <c r="G47" s="14">
        <v>0</v>
      </c>
      <c r="H47" s="92">
        <f t="shared" si="4"/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5"/>
        <v>0</v>
      </c>
      <c r="E48" s="29" t="s">
        <v>109</v>
      </c>
      <c r="F48" s="26" t="s">
        <v>61</v>
      </c>
      <c r="G48" s="14">
        <v>0</v>
      </c>
      <c r="H48" s="92">
        <f t="shared" si="4"/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 t="shared" si="4"/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 t="shared" si="4"/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 t="shared" si="4"/>
        <v>0</v>
      </c>
      <c r="I51" s="98">
        <v>9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0A58B-5FDF-40E3-A6D6-152FF06E0A27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281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31">
        <v>5</v>
      </c>
      <c r="C2" s="132"/>
      <c r="E2" s="28" t="s">
        <v>64</v>
      </c>
      <c r="F2" s="25" t="s">
        <v>20</v>
      </c>
      <c r="G2" s="13">
        <v>6</v>
      </c>
      <c r="H2" s="91">
        <f t="shared" ref="H2:H33" si="0"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1">IF(P2=0,0,Q2/P2)</f>
        <v>-3140</v>
      </c>
      <c r="P2" s="80">
        <v>5</v>
      </c>
      <c r="Q2" s="67">
        <v>-15700</v>
      </c>
    </row>
    <row r="3" spans="1:17" x14ac:dyDescent="0.4">
      <c r="A3" s="21" t="s">
        <v>8</v>
      </c>
      <c r="B3" s="133">
        <v>40</v>
      </c>
      <c r="C3" s="134"/>
      <c r="E3" s="29" t="s">
        <v>66</v>
      </c>
      <c r="F3" s="26" t="s">
        <v>22</v>
      </c>
      <c r="G3" s="14">
        <v>5</v>
      </c>
      <c r="H3" s="92">
        <f t="shared" si="0"/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1"/>
        <v>-4200</v>
      </c>
      <c r="P3" s="81">
        <v>5</v>
      </c>
      <c r="Q3" s="68">
        <v>-21000</v>
      </c>
    </row>
    <row r="4" spans="1:17" x14ac:dyDescent="0.4">
      <c r="A4" s="21" t="s">
        <v>6</v>
      </c>
      <c r="B4" s="135">
        <v>-80.800000000000011</v>
      </c>
      <c r="C4" s="136"/>
      <c r="E4" s="29" t="s">
        <v>163</v>
      </c>
      <c r="F4" s="26" t="s">
        <v>164</v>
      </c>
      <c r="G4" s="14">
        <v>4</v>
      </c>
      <c r="H4" s="92">
        <f t="shared" si="0"/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1"/>
        <v>-2350</v>
      </c>
      <c r="P4" s="81">
        <v>4</v>
      </c>
      <c r="Q4" s="68">
        <v>-9400</v>
      </c>
    </row>
    <row r="5" spans="1:17" x14ac:dyDescent="0.4">
      <c r="A5" s="21" t="s">
        <v>7</v>
      </c>
      <c r="B5" s="123">
        <f>IF(B$2=0,0,B$4/B$2)</f>
        <v>-16.160000000000004</v>
      </c>
      <c r="C5" s="124"/>
      <c r="E5" s="29" t="s">
        <v>78</v>
      </c>
      <c r="F5" s="26" t="s">
        <v>33</v>
      </c>
      <c r="G5" s="14">
        <v>3</v>
      </c>
      <c r="H5" s="92">
        <f t="shared" si="0"/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1"/>
        <v>6125</v>
      </c>
      <c r="P5" s="81">
        <v>4</v>
      </c>
      <c r="Q5" s="68">
        <v>24500</v>
      </c>
    </row>
    <row r="6" spans="1:17" x14ac:dyDescent="0.4">
      <c r="A6" s="21" t="s">
        <v>1</v>
      </c>
      <c r="B6" s="137">
        <f>IF(B$2=0,0,(B$7*1+B$8*2+B$9*3)/B$2)</f>
        <v>2.2000000000000002</v>
      </c>
      <c r="C6" s="138"/>
      <c r="E6" s="29" t="s">
        <v>68</v>
      </c>
      <c r="F6" s="26" t="s">
        <v>12</v>
      </c>
      <c r="G6" s="14">
        <v>2</v>
      </c>
      <c r="H6" s="92">
        <f t="shared" si="0"/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1"/>
        <v>-5125</v>
      </c>
      <c r="P6" s="81">
        <v>4</v>
      </c>
      <c r="Q6" s="68">
        <v>-20500</v>
      </c>
    </row>
    <row r="7" spans="1:17" x14ac:dyDescent="0.4">
      <c r="A7" s="21" t="s">
        <v>2</v>
      </c>
      <c r="B7" s="14">
        <v>1</v>
      </c>
      <c r="C7" s="8">
        <f t="shared" ref="C7:C14" si="2">IF(B$2=0,0,B7/B$2)</f>
        <v>0.2</v>
      </c>
      <c r="E7" s="29" t="s">
        <v>69</v>
      </c>
      <c r="F7" s="26" t="s">
        <v>24</v>
      </c>
      <c r="G7" s="14">
        <v>2</v>
      </c>
      <c r="H7" s="92">
        <f t="shared" si="0"/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1"/>
        <v>-1175</v>
      </c>
      <c r="P7" s="82">
        <v>4</v>
      </c>
      <c r="Q7" s="69">
        <v>-4700</v>
      </c>
    </row>
    <row r="8" spans="1:17" x14ac:dyDescent="0.4">
      <c r="A8" s="21" t="s">
        <v>3</v>
      </c>
      <c r="B8" s="14">
        <v>2</v>
      </c>
      <c r="C8" s="8">
        <f t="shared" si="2"/>
        <v>0.4</v>
      </c>
      <c r="E8" s="29" t="s">
        <v>72</v>
      </c>
      <c r="F8" s="26" t="s">
        <v>27</v>
      </c>
      <c r="G8" s="14">
        <v>2</v>
      </c>
      <c r="H8" s="92">
        <f t="shared" si="0"/>
        <v>0.25</v>
      </c>
      <c r="I8" s="60">
        <v>13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2"/>
        <v>0.4</v>
      </c>
      <c r="E9" s="29" t="s">
        <v>89</v>
      </c>
      <c r="F9" s="26" t="s">
        <v>44</v>
      </c>
      <c r="G9" s="14">
        <v>2</v>
      </c>
      <c r="H9" s="92">
        <f t="shared" si="0"/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 t="shared" si="0"/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 t="shared" si="0"/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 t="shared" si="0"/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">
      <c r="A13" s="22" t="s">
        <v>206</v>
      </c>
      <c r="B13" s="123">
        <f>AVERAGE(B10:B12)</f>
        <v>-8.9666666666666668</v>
      </c>
      <c r="C13" s="124"/>
      <c r="E13" s="29" t="s">
        <v>70</v>
      </c>
      <c r="F13" s="26" t="s">
        <v>25</v>
      </c>
      <c r="G13" s="14">
        <v>0</v>
      </c>
      <c r="H13" s="92">
        <f t="shared" si="0"/>
        <v>0</v>
      </c>
      <c r="I13" s="60">
        <v>14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2"/>
        <v>0.2</v>
      </c>
      <c r="E14" s="29" t="s">
        <v>71</v>
      </c>
      <c r="F14" s="26" t="s">
        <v>26</v>
      </c>
      <c r="G14" s="14">
        <v>0</v>
      </c>
      <c r="H14" s="92">
        <f t="shared" si="0"/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 t="shared" si="0"/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 t="shared" si="0"/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 t="shared" si="0"/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 t="shared" si="0"/>
        <v>0</v>
      </c>
      <c r="I18" s="60">
        <v>3</v>
      </c>
    </row>
    <row r="19" spans="1:17" x14ac:dyDescent="0.4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 t="shared" si="0"/>
        <v>0</v>
      </c>
      <c r="I19" s="60">
        <v>6</v>
      </c>
    </row>
    <row r="20" spans="1:17" x14ac:dyDescent="0.4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 t="shared" si="0"/>
        <v>0</v>
      </c>
      <c r="I20" s="60">
        <v>11</v>
      </c>
    </row>
    <row r="21" spans="1:17" x14ac:dyDescent="0.4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 t="shared" si="0"/>
        <v>0</v>
      </c>
      <c r="I21" s="60">
        <v>1</v>
      </c>
    </row>
    <row r="22" spans="1:17" x14ac:dyDescent="0.4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 t="shared" si="0"/>
        <v>0</v>
      </c>
      <c r="I22" s="60">
        <v>11</v>
      </c>
    </row>
    <row r="23" spans="1:17" x14ac:dyDescent="0.4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 t="shared" si="0"/>
        <v>0</v>
      </c>
      <c r="I23" s="60">
        <v>1</v>
      </c>
    </row>
    <row r="24" spans="1:17" x14ac:dyDescent="0.4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 t="shared" si="0"/>
        <v>0</v>
      </c>
      <c r="I24" s="60">
        <v>13</v>
      </c>
    </row>
    <row r="25" spans="1:17" x14ac:dyDescent="0.4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 t="shared" si="0"/>
        <v>0</v>
      </c>
      <c r="I25" s="60">
        <v>6</v>
      </c>
    </row>
    <row r="26" spans="1:17" x14ac:dyDescent="0.4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 t="shared" si="0"/>
        <v>0</v>
      </c>
      <c r="I26" s="60">
        <v>8</v>
      </c>
    </row>
    <row r="27" spans="1:17" x14ac:dyDescent="0.4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 t="shared" si="0"/>
        <v>0</v>
      </c>
      <c r="I27" s="60">
        <v>12</v>
      </c>
    </row>
    <row r="28" spans="1:17" x14ac:dyDescent="0.4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6</v>
      </c>
    </row>
    <row r="29" spans="1:17" x14ac:dyDescent="0.4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5</v>
      </c>
    </row>
    <row r="30" spans="1:17" x14ac:dyDescent="0.4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10</v>
      </c>
    </row>
    <row r="31" spans="1:17" x14ac:dyDescent="0.4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8</v>
      </c>
    </row>
    <row r="32" spans="1:17" x14ac:dyDescent="0.4">
      <c r="A32" s="56" t="s">
        <v>138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5</v>
      </c>
    </row>
    <row r="33" spans="1:9" x14ac:dyDescent="0.4">
      <c r="A33" s="24" t="s">
        <v>189</v>
      </c>
      <c r="B33" s="127">
        <v>52000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6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">
      <c r="A36" s="56" t="s">
        <v>180</v>
      </c>
      <c r="B36" s="119">
        <v>1</v>
      </c>
      <c r="C36" s="102">
        <f t="shared" ref="C36:C48" si="4">IF(B$19=0,0,B36/B$19)</f>
        <v>0.125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3</v>
      </c>
    </row>
    <row r="37" spans="1:9" x14ac:dyDescent="0.4">
      <c r="A37" s="21" t="s">
        <v>176</v>
      </c>
      <c r="B37" s="14">
        <v>1</v>
      </c>
      <c r="C37" s="8">
        <f t="shared" si="4"/>
        <v>0.125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">
      <c r="A38" s="21" t="s">
        <v>177</v>
      </c>
      <c r="B38" s="120">
        <v>0</v>
      </c>
      <c r="C38" s="8">
        <f t="shared" si="4"/>
        <v>0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">
      <c r="A39" s="21" t="s">
        <v>178</v>
      </c>
      <c r="B39" s="120">
        <v>0</v>
      </c>
      <c r="C39" s="8">
        <f t="shared" si="4"/>
        <v>0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">
      <c r="A40" s="21" t="s">
        <v>179</v>
      </c>
      <c r="B40" s="120">
        <v>4</v>
      </c>
      <c r="C40" s="8">
        <f t="shared" si="4"/>
        <v>0.5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3</v>
      </c>
    </row>
    <row r="41" spans="1:9" x14ac:dyDescent="0.4">
      <c r="A41" s="21" t="s">
        <v>181</v>
      </c>
      <c r="B41" s="120">
        <v>1</v>
      </c>
      <c r="C41" s="8">
        <f t="shared" si="4"/>
        <v>0.125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1</v>
      </c>
    </row>
    <row r="42" spans="1:9" x14ac:dyDescent="0.4">
      <c r="A42" s="21" t="s">
        <v>182</v>
      </c>
      <c r="B42" s="120">
        <v>1</v>
      </c>
      <c r="C42" s="8">
        <f t="shared" si="4"/>
        <v>0.125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">
      <c r="A43" s="21" t="s">
        <v>183</v>
      </c>
      <c r="B43" s="120">
        <v>0</v>
      </c>
      <c r="C43" s="8">
        <f t="shared" si="4"/>
        <v>0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">
      <c r="A44" s="21" t="s">
        <v>184</v>
      </c>
      <c r="B44" s="120">
        <v>0</v>
      </c>
      <c r="C44" s="8">
        <f t="shared" si="4"/>
        <v>0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">
      <c r="A45" s="21" t="s">
        <v>185</v>
      </c>
      <c r="B45" s="120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3</v>
      </c>
    </row>
    <row r="46" spans="1:9" x14ac:dyDescent="0.4">
      <c r="A46" s="21" t="s">
        <v>186</v>
      </c>
      <c r="B46" s="120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">
      <c r="A47" s="21" t="s">
        <v>187</v>
      </c>
      <c r="B47" s="120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 t="shared" si="3"/>
        <v>0</v>
      </c>
      <c r="I51" s="98">
        <v>9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A873-8A48-4B4E-A1DF-BCE3A9A181BC}">
  <sheetPr codeName="Sheet33"/>
  <dimension ref="A1:Q8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19AC-AA35-448F-AC9B-733D140E58BF}">
  <sheetPr codeName="Sheet30"/>
  <dimension ref="A1:Q13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B7E99-8E4A-4718-94CD-46F2AC20CA9A}">
  <sheetPr codeName="Sheet28"/>
  <dimension ref="A1:Q23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  <row r="22" spans="1:16" x14ac:dyDescent="0.4">
      <c r="A22" s="35">
        <v>19</v>
      </c>
      <c r="B22" s="32">
        <v>-102</v>
      </c>
      <c r="C22" s="32">
        <v>-5.3684210526315788</v>
      </c>
      <c r="D22" s="37">
        <v>2.1052631578947367</v>
      </c>
      <c r="E22" s="33">
        <v>0.31578947368421051</v>
      </c>
      <c r="F22" s="33">
        <v>0.42105263157894735</v>
      </c>
      <c r="G22" s="33">
        <v>0.33962264150943394</v>
      </c>
      <c r="H22" s="33">
        <v>0.16352201257861634</v>
      </c>
      <c r="I22" s="34">
        <v>6648.1481481481478</v>
      </c>
      <c r="J22" s="34">
        <v>-8826.9230769230762</v>
      </c>
      <c r="K22" s="33">
        <v>0.21052631578947367</v>
      </c>
      <c r="L22" s="33">
        <v>0.3522012578616352</v>
      </c>
      <c r="M22" s="33">
        <v>0.11949685534591195</v>
      </c>
      <c r="N22" s="33">
        <v>0.5535714285714286</v>
      </c>
      <c r="O22" s="33">
        <v>0.68421052631578949</v>
      </c>
      <c r="P22" s="33">
        <v>0.53703703703703709</v>
      </c>
    </row>
    <row r="23" spans="1:16" x14ac:dyDescent="0.4">
      <c r="A23" s="35">
        <v>20</v>
      </c>
      <c r="B23" s="32">
        <v>-135.9</v>
      </c>
      <c r="C23" s="32">
        <v>-6.7949999999999999</v>
      </c>
      <c r="D23" s="37">
        <v>2.15</v>
      </c>
      <c r="E23" s="33">
        <v>0.3</v>
      </c>
      <c r="F23" s="33">
        <v>0.45</v>
      </c>
      <c r="G23" s="33">
        <v>0.3253012048192771</v>
      </c>
      <c r="H23" s="33">
        <v>0.16867469879518071</v>
      </c>
      <c r="I23" s="34">
        <v>6648.1481481481478</v>
      </c>
      <c r="J23" s="34">
        <v>-8507.1428571428569</v>
      </c>
      <c r="K23" s="33">
        <v>0.2</v>
      </c>
      <c r="L23" s="33">
        <v>0.3493975903614458</v>
      </c>
      <c r="M23" s="33">
        <v>0.12048192771084337</v>
      </c>
      <c r="N23" s="33">
        <v>0.53448275862068961</v>
      </c>
      <c r="O23" s="33">
        <v>0.65</v>
      </c>
      <c r="P23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C9EA-B096-4376-AB1B-3D3AD384C5E7}">
  <sheetPr codeName="Sheet26"/>
  <dimension ref="A1:Q5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54607-6E18-498F-A360-9C84B73D6698}">
  <sheetPr codeName="Sheet24"/>
  <dimension ref="A1:Q10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47634-8308-4D5C-81A8-F5050803E0CA}">
  <sheetPr codeName="Sheet22"/>
  <dimension ref="A1:Q39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  <row r="36" spans="1:16" x14ac:dyDescent="0.4">
      <c r="A36" s="35">
        <v>33</v>
      </c>
      <c r="B36" s="32">
        <v>-138.49999999999997</v>
      </c>
      <c r="C36" s="32">
        <v>-4.1969696969696964</v>
      </c>
      <c r="D36" s="37">
        <v>2.0303030303030303</v>
      </c>
      <c r="E36" s="33">
        <v>0.36363636363636365</v>
      </c>
      <c r="F36" s="33">
        <v>0.39393939393939392</v>
      </c>
      <c r="G36" s="33">
        <v>0.25490196078431371</v>
      </c>
      <c r="H36" s="33">
        <v>0.16993464052287582</v>
      </c>
      <c r="I36" s="34">
        <v>8158.9743589743593</v>
      </c>
      <c r="J36" s="34">
        <v>-7290.3846153846152</v>
      </c>
      <c r="K36" s="33">
        <v>0.15151515151515152</v>
      </c>
      <c r="L36" s="33">
        <v>0.27777777777777779</v>
      </c>
      <c r="M36" s="33">
        <v>0.15686274509803921</v>
      </c>
      <c r="N36" s="33">
        <v>0.56470588235294117</v>
      </c>
      <c r="O36" s="33">
        <v>0.3125</v>
      </c>
      <c r="P36" s="33">
        <v>0.58974358974358976</v>
      </c>
    </row>
    <row r="37" spans="1:16" x14ac:dyDescent="0.4">
      <c r="A37" s="35">
        <v>34</v>
      </c>
      <c r="B37" s="32">
        <v>-194.29999999999995</v>
      </c>
      <c r="C37" s="32">
        <v>-5.7147058823529395</v>
      </c>
      <c r="D37" s="37">
        <v>2.0588235294117645</v>
      </c>
      <c r="E37" s="33">
        <v>0.35294117647058826</v>
      </c>
      <c r="F37" s="33">
        <v>0.41176470588235292</v>
      </c>
      <c r="G37" s="33">
        <v>0.25080385852090031</v>
      </c>
      <c r="H37" s="33">
        <v>0.17363344051446947</v>
      </c>
      <c r="I37" s="34">
        <v>8158.9743589743593</v>
      </c>
      <c r="J37" s="34">
        <v>-7257.4074074074078</v>
      </c>
      <c r="K37" s="33">
        <v>0.17647058823529413</v>
      </c>
      <c r="L37" s="33">
        <v>0.27974276527331188</v>
      </c>
      <c r="M37" s="33">
        <v>0.15434083601286175</v>
      </c>
      <c r="N37" s="33">
        <v>0.55172413793103448</v>
      </c>
      <c r="O37" s="33">
        <v>0.3125</v>
      </c>
      <c r="P37" s="33">
        <v>0.58974358974358976</v>
      </c>
    </row>
    <row r="38" spans="1:16" x14ac:dyDescent="0.4">
      <c r="A38" s="35">
        <v>35</v>
      </c>
      <c r="B38" s="32">
        <v>-201.69999999999996</v>
      </c>
      <c r="C38" s="32">
        <v>-5.7628571428571416</v>
      </c>
      <c r="D38" s="37">
        <v>2.0571428571428569</v>
      </c>
      <c r="E38" s="33">
        <v>0.34285714285714286</v>
      </c>
      <c r="F38" s="33">
        <v>0.4</v>
      </c>
      <c r="G38" s="33">
        <v>0.2476489028213166</v>
      </c>
      <c r="H38" s="33">
        <v>0.16927899686520376</v>
      </c>
      <c r="I38" s="34">
        <v>8156.9620253164558</v>
      </c>
      <c r="J38" s="34">
        <v>-7257.4074074074078</v>
      </c>
      <c r="K38" s="33">
        <v>0.17142857142857143</v>
      </c>
      <c r="L38" s="33">
        <v>0.28526645768025077</v>
      </c>
      <c r="M38" s="33">
        <v>0.15047021943573669</v>
      </c>
      <c r="N38" s="33">
        <v>0.53846153846153844</v>
      </c>
      <c r="O38" s="33">
        <v>0.3125</v>
      </c>
      <c r="P38" s="33">
        <v>0.59493670886075944</v>
      </c>
    </row>
    <row r="39" spans="1:16" x14ac:dyDescent="0.4">
      <c r="A39" s="35">
        <v>36</v>
      </c>
      <c r="B39" s="32">
        <v>-257.89999999999998</v>
      </c>
      <c r="C39" s="32">
        <v>-7.1638888888888879</v>
      </c>
      <c r="D39" s="37">
        <v>2.0833333333333335</v>
      </c>
      <c r="E39" s="33">
        <v>0.33333333333333331</v>
      </c>
      <c r="F39" s="33">
        <v>0.41666666666666669</v>
      </c>
      <c r="G39" s="33">
        <v>0.25</v>
      </c>
      <c r="H39" s="33">
        <v>0.17682926829268292</v>
      </c>
      <c r="I39" s="34">
        <v>8052.4390243902435</v>
      </c>
      <c r="J39" s="34">
        <v>-7577.5862068965516</v>
      </c>
      <c r="K39" s="33">
        <v>0.19444444444444445</v>
      </c>
      <c r="L39" s="33">
        <v>0.28963414634146339</v>
      </c>
      <c r="M39" s="33">
        <v>0.14939024390243902</v>
      </c>
      <c r="N39" s="33">
        <v>0.5368421052631579</v>
      </c>
      <c r="O39" s="33">
        <v>0.30612244897959184</v>
      </c>
      <c r="P39" s="33">
        <v>0.59756097560975607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C655-C216-4360-8326-F5F58D79EBAE}">
  <sheetPr codeName="Sheet20"/>
  <dimension ref="A1:Q82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  <row r="79" spans="1:16" x14ac:dyDescent="0.4">
      <c r="A79" s="35">
        <v>76</v>
      </c>
      <c r="B79" s="32">
        <v>-867.20000000000016</v>
      </c>
      <c r="C79" s="32">
        <v>-11.410526315789475</v>
      </c>
      <c r="D79" s="37">
        <v>2.2894736842105261</v>
      </c>
      <c r="E79" s="33">
        <v>0.14473684210526316</v>
      </c>
      <c r="F79" s="33">
        <v>0.43421052631578949</v>
      </c>
      <c r="G79" s="33">
        <v>0.24363057324840764</v>
      </c>
      <c r="H79" s="33">
        <v>0.18312101910828024</v>
      </c>
      <c r="I79" s="34">
        <v>8516.339869281046</v>
      </c>
      <c r="J79" s="34">
        <v>-8213.9130434782601</v>
      </c>
      <c r="K79" s="33">
        <v>0.17105263157894737</v>
      </c>
      <c r="L79" s="33">
        <v>0.2070063694267516</v>
      </c>
      <c r="M79" s="33">
        <v>0.22929936305732485</v>
      </c>
      <c r="N79" s="33">
        <v>0.51538461538461533</v>
      </c>
      <c r="O79" s="33">
        <v>0.39583333333333331</v>
      </c>
      <c r="P79" s="33">
        <v>0.45751633986928103</v>
      </c>
    </row>
    <row r="80" spans="1:16" x14ac:dyDescent="0.4">
      <c r="A80" s="35">
        <v>77</v>
      </c>
      <c r="B80" s="32">
        <v>-938.10000000000014</v>
      </c>
      <c r="C80" s="32">
        <v>-12.183116883116885</v>
      </c>
      <c r="D80" s="37">
        <v>2.2987012987012987</v>
      </c>
      <c r="E80" s="33">
        <v>0.14285714285714285</v>
      </c>
      <c r="F80" s="33">
        <v>0.44155844155844154</v>
      </c>
      <c r="G80" s="33">
        <v>0.24208860759493672</v>
      </c>
      <c r="H80" s="33">
        <v>0.185126582278481</v>
      </c>
      <c r="I80" s="34">
        <v>8516.339869281046</v>
      </c>
      <c r="J80" s="34">
        <v>-8517.0940170940175</v>
      </c>
      <c r="K80" s="33">
        <v>0.18181818181818182</v>
      </c>
      <c r="L80" s="33">
        <v>0.20569620253164558</v>
      </c>
      <c r="M80" s="33">
        <v>0.22943037974683544</v>
      </c>
      <c r="N80" s="33">
        <v>0.51538461538461533</v>
      </c>
      <c r="O80" s="33">
        <v>0.39310344827586208</v>
      </c>
      <c r="P80" s="33">
        <v>0.45751633986928103</v>
      </c>
    </row>
    <row r="81" spans="1:16" x14ac:dyDescent="0.4">
      <c r="A81" s="35">
        <v>78</v>
      </c>
      <c r="B81" s="32">
        <v>-905.10000000000014</v>
      </c>
      <c r="C81" s="32">
        <v>-11.603846153846156</v>
      </c>
      <c r="D81" s="37">
        <v>2.2820512820512819</v>
      </c>
      <c r="E81" s="33">
        <v>0.15384615384615385</v>
      </c>
      <c r="F81" s="33">
        <v>0.4358974358974359</v>
      </c>
      <c r="G81" s="33">
        <v>0.24374999999999999</v>
      </c>
      <c r="H81" s="33">
        <v>0.18281249999999999</v>
      </c>
      <c r="I81" s="34">
        <v>8464.7435897435898</v>
      </c>
      <c r="J81" s="34">
        <v>-8517.0940170940175</v>
      </c>
      <c r="K81" s="33">
        <v>0.17948717948717949</v>
      </c>
      <c r="L81" s="33">
        <v>0.20781250000000001</v>
      </c>
      <c r="M81" s="33">
        <v>0.22968749999999999</v>
      </c>
      <c r="N81" s="33">
        <v>0.51127819548872178</v>
      </c>
      <c r="O81" s="33">
        <v>0.40136054421768708</v>
      </c>
      <c r="P81" s="33">
        <v>0.46794871794871795</v>
      </c>
    </row>
    <row r="82" spans="1:16" x14ac:dyDescent="0.4">
      <c r="A82" s="35">
        <v>79</v>
      </c>
      <c r="B82" s="32">
        <v>-896.80000000000018</v>
      </c>
      <c r="C82" s="32">
        <v>-11.351898734177217</v>
      </c>
      <c r="D82" s="37">
        <v>2.278481012658228</v>
      </c>
      <c r="E82" s="33">
        <v>0.15189873417721519</v>
      </c>
      <c r="F82" s="33">
        <v>0.43037974683544306</v>
      </c>
      <c r="G82" s="33">
        <v>0.24574961360123648</v>
      </c>
      <c r="H82" s="33">
        <v>0.18083462132921174</v>
      </c>
      <c r="I82" s="34">
        <v>8428.9308176100621</v>
      </c>
      <c r="J82" s="34">
        <v>-8517.0940170940175</v>
      </c>
      <c r="K82" s="33">
        <v>0.17721518987341772</v>
      </c>
      <c r="L82" s="33">
        <v>0.20865533230293662</v>
      </c>
      <c r="M82" s="33">
        <v>0.22874806800618239</v>
      </c>
      <c r="N82" s="33">
        <v>0.51851851851851849</v>
      </c>
      <c r="O82" s="33">
        <v>0.40540540540540543</v>
      </c>
      <c r="P82" s="33">
        <v>0.47169811320754718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D2CEF-3061-4DB9-A88A-02BAC7FF33C7}">
  <sheetPr codeName="Sheet18"/>
  <dimension ref="A1:Q174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  <row r="164" spans="1:16" x14ac:dyDescent="0.4">
      <c r="A164" s="35">
        <v>161</v>
      </c>
      <c r="B164" s="32">
        <v>-81</v>
      </c>
      <c r="C164" s="32">
        <v>-0.50310559006211175</v>
      </c>
      <c r="D164" s="37">
        <v>2.0434782608695654</v>
      </c>
      <c r="E164" s="33">
        <v>0.2608695652173913</v>
      </c>
      <c r="F164" s="33">
        <v>0.30434782608695654</v>
      </c>
      <c r="G164" s="33">
        <v>0.2749615975422427</v>
      </c>
      <c r="H164" s="33">
        <v>0.14132104454685099</v>
      </c>
      <c r="I164" s="34">
        <v>8540.5027932960893</v>
      </c>
      <c r="J164" s="34">
        <v>-7153.804347826087</v>
      </c>
      <c r="K164" s="33">
        <v>8.6956521739130432E-2</v>
      </c>
      <c r="L164" s="33">
        <v>0.25422427035330258</v>
      </c>
      <c r="M164" s="33">
        <v>0.2304147465437788</v>
      </c>
      <c r="N164" s="33">
        <v>0.54380664652567978</v>
      </c>
      <c r="O164" s="33">
        <v>0.41333333333333333</v>
      </c>
      <c r="P164" s="33">
        <v>0.46089385474860334</v>
      </c>
    </row>
    <row r="165" spans="1:16" x14ac:dyDescent="0.4">
      <c r="A165" s="35">
        <v>162</v>
      </c>
      <c r="B165" s="32">
        <v>-87.8</v>
      </c>
      <c r="C165" s="32">
        <v>-0.5419753086419753</v>
      </c>
      <c r="D165" s="37">
        <v>2.0432098765432101</v>
      </c>
      <c r="E165" s="33">
        <v>0.25925925925925924</v>
      </c>
      <c r="F165" s="33">
        <v>0.30246913580246915</v>
      </c>
      <c r="G165" s="33">
        <v>0.2752851711026616</v>
      </c>
      <c r="H165" s="33">
        <v>0.14068441064638784</v>
      </c>
      <c r="I165" s="34">
        <v>8512.9834254143643</v>
      </c>
      <c r="J165" s="34">
        <v>-7212.4324324324325</v>
      </c>
      <c r="K165" s="33">
        <v>8.6419753086419748E-2</v>
      </c>
      <c r="L165" s="33">
        <v>0.25323193916349812</v>
      </c>
      <c r="M165" s="33">
        <v>0.22965779467680608</v>
      </c>
      <c r="N165" s="33">
        <v>0.54354354354354351</v>
      </c>
      <c r="O165" s="33">
        <v>0.41390728476821192</v>
      </c>
      <c r="P165" s="33">
        <v>0.4585635359116022</v>
      </c>
    </row>
    <row r="166" spans="1:16" x14ac:dyDescent="0.4">
      <c r="A166" s="35">
        <v>163</v>
      </c>
      <c r="B166" s="32">
        <v>-96.1</v>
      </c>
      <c r="C166" s="32">
        <v>-0.58957055214723919</v>
      </c>
      <c r="D166" s="37">
        <v>2.0429447852760738</v>
      </c>
      <c r="E166" s="33">
        <v>0.25766871165644173</v>
      </c>
      <c r="F166" s="33">
        <v>0.30061349693251532</v>
      </c>
      <c r="G166" s="33">
        <v>0.27581009796533534</v>
      </c>
      <c r="H166" s="33">
        <v>0.14016578749058026</v>
      </c>
      <c r="I166" s="34">
        <v>8478.9617486338793</v>
      </c>
      <c r="J166" s="34">
        <v>-7259.677419354839</v>
      </c>
      <c r="K166" s="33">
        <v>8.5889570552147243E-2</v>
      </c>
      <c r="L166" s="33">
        <v>0.25395629238884704</v>
      </c>
      <c r="M166" s="33">
        <v>0.22833458929917105</v>
      </c>
      <c r="N166" s="33">
        <v>0.54599406528189909</v>
      </c>
      <c r="O166" s="33">
        <v>0.41584158415841582</v>
      </c>
      <c r="P166" s="33">
        <v>0.45355191256830601</v>
      </c>
    </row>
    <row r="167" spans="1:16" x14ac:dyDescent="0.4">
      <c r="A167" s="35">
        <v>164</v>
      </c>
      <c r="B167" s="32">
        <v>-64.699999999999989</v>
      </c>
      <c r="C167" s="32">
        <v>-0.39451219512195113</v>
      </c>
      <c r="D167" s="37">
        <v>2.0365853658536586</v>
      </c>
      <c r="E167" s="33">
        <v>0.26219512195121952</v>
      </c>
      <c r="F167" s="33">
        <v>0.29878048780487804</v>
      </c>
      <c r="G167" s="33">
        <v>0.27661169415292353</v>
      </c>
      <c r="H167" s="33">
        <v>0.13943028485757122</v>
      </c>
      <c r="I167" s="34">
        <v>8485.3658536585372</v>
      </c>
      <c r="J167" s="34">
        <v>-7259.677419354839</v>
      </c>
      <c r="K167" s="33">
        <v>8.5365853658536592E-2</v>
      </c>
      <c r="L167" s="33">
        <v>0.25262368815592207</v>
      </c>
      <c r="M167" s="33">
        <v>0.22938530734632684</v>
      </c>
      <c r="N167" s="33">
        <v>0.54599406528189909</v>
      </c>
      <c r="O167" s="33">
        <v>0.42156862745098039</v>
      </c>
      <c r="P167" s="33">
        <v>0.45528455284552843</v>
      </c>
    </row>
    <row r="168" spans="1:16" x14ac:dyDescent="0.4">
      <c r="A168" s="35">
        <v>165</v>
      </c>
      <c r="B168" s="32">
        <v>-103.69999999999999</v>
      </c>
      <c r="C168" s="32">
        <v>-0.62848484848484842</v>
      </c>
      <c r="D168" s="37">
        <v>2.0424242424242425</v>
      </c>
      <c r="E168" s="33">
        <v>0.26060606060606062</v>
      </c>
      <c r="F168" s="33">
        <v>0.30303030303030304</v>
      </c>
      <c r="G168" s="33">
        <v>0.27583643122676582</v>
      </c>
      <c r="H168" s="33">
        <v>0.13977695167286244</v>
      </c>
      <c r="I168" s="34">
        <v>8460.9164420485176</v>
      </c>
      <c r="J168" s="34">
        <v>-7276.0638297872338</v>
      </c>
      <c r="K168" s="33">
        <v>8.4848484848484854E-2</v>
      </c>
      <c r="L168" s="33">
        <v>0.25278810408921931</v>
      </c>
      <c r="M168" s="33">
        <v>0.22899628252788104</v>
      </c>
      <c r="N168" s="33">
        <v>0.54411764705882348</v>
      </c>
      <c r="O168" s="33">
        <v>0.42207792207792205</v>
      </c>
      <c r="P168" s="33">
        <v>0.4555256064690027</v>
      </c>
    </row>
    <row r="169" spans="1:16" x14ac:dyDescent="0.4">
      <c r="A169" s="35">
        <v>166</v>
      </c>
      <c r="B169" s="32">
        <v>-129.69999999999999</v>
      </c>
      <c r="C169" s="32">
        <v>-0.78132530120481924</v>
      </c>
      <c r="D169" s="37">
        <v>2.0481927710843375</v>
      </c>
      <c r="E169" s="33">
        <v>0.25903614457831325</v>
      </c>
      <c r="F169" s="33">
        <v>0.30722891566265059</v>
      </c>
      <c r="G169" s="33">
        <v>0.27461139896373055</v>
      </c>
      <c r="H169" s="33">
        <v>0.13989637305699482</v>
      </c>
      <c r="I169" s="34">
        <v>8460.9164420485176</v>
      </c>
      <c r="J169" s="34">
        <v>-7248.1481481481478</v>
      </c>
      <c r="K169" s="33">
        <v>8.4337349397590355E-2</v>
      </c>
      <c r="L169" s="33">
        <v>0.25166543301258326</v>
      </c>
      <c r="M169" s="33">
        <v>0.22797927461139897</v>
      </c>
      <c r="N169" s="33">
        <v>0.54411764705882348</v>
      </c>
      <c r="O169" s="33">
        <v>0.42207792207792205</v>
      </c>
      <c r="P169" s="33">
        <v>0.4555256064690027</v>
      </c>
    </row>
    <row r="170" spans="1:16" x14ac:dyDescent="0.4">
      <c r="A170" s="35">
        <v>167</v>
      </c>
      <c r="B170" s="32">
        <v>-146.19999999999999</v>
      </c>
      <c r="C170" s="32">
        <v>-0.87544910179640711</v>
      </c>
      <c r="D170" s="37">
        <v>2.0538922155688621</v>
      </c>
      <c r="E170" s="33">
        <v>0.25748502994011974</v>
      </c>
      <c r="F170" s="33">
        <v>0.31137724550898205</v>
      </c>
      <c r="G170" s="33">
        <v>0.27259368111682586</v>
      </c>
      <c r="H170" s="33">
        <v>0.13960323291697282</v>
      </c>
      <c r="I170" s="34">
        <v>8460.9164420485176</v>
      </c>
      <c r="J170" s="34">
        <v>-7230.5263157894733</v>
      </c>
      <c r="K170" s="33">
        <v>8.3832335329341312E-2</v>
      </c>
      <c r="L170" s="33">
        <v>0.24981631153563555</v>
      </c>
      <c r="M170" s="33">
        <v>0.22630418809698752</v>
      </c>
      <c r="N170" s="33">
        <v>0.54411764705882348</v>
      </c>
      <c r="O170" s="33">
        <v>0.42207792207792205</v>
      </c>
      <c r="P170" s="33">
        <v>0.4555256064690027</v>
      </c>
    </row>
    <row r="171" spans="1:16" x14ac:dyDescent="0.4">
      <c r="A171" s="35">
        <v>168</v>
      </c>
      <c r="B171" s="32">
        <v>-118.19999999999999</v>
      </c>
      <c r="C171" s="32">
        <v>-0.70357142857142851</v>
      </c>
      <c r="D171" s="37">
        <v>2.0476190476190474</v>
      </c>
      <c r="E171" s="33">
        <v>0.26190476190476192</v>
      </c>
      <c r="F171" s="33">
        <v>0.30952380952380953</v>
      </c>
      <c r="G171" s="33">
        <v>0.27319211102994889</v>
      </c>
      <c r="H171" s="33">
        <v>0.13878743608473337</v>
      </c>
      <c r="I171" s="34">
        <v>8477.0053475935838</v>
      </c>
      <c r="J171" s="34">
        <v>-7230.5263157894733</v>
      </c>
      <c r="K171" s="33">
        <v>8.3333333333333329E-2</v>
      </c>
      <c r="L171" s="33">
        <v>0.24981738495252009</v>
      </c>
      <c r="M171" s="33">
        <v>0.2264426588750913</v>
      </c>
      <c r="N171" s="33">
        <v>0.54678362573099415</v>
      </c>
      <c r="O171" s="33">
        <v>0.42258064516129035</v>
      </c>
      <c r="P171" s="33">
        <v>0.45454545454545453</v>
      </c>
    </row>
    <row r="172" spans="1:16" x14ac:dyDescent="0.4">
      <c r="A172" s="35">
        <v>169</v>
      </c>
      <c r="B172" s="32">
        <v>-101.89999999999999</v>
      </c>
      <c r="C172" s="32">
        <v>-0.6029585798816568</v>
      </c>
      <c r="D172" s="37">
        <v>2.0473372781065087</v>
      </c>
      <c r="E172" s="33">
        <v>0.26035502958579881</v>
      </c>
      <c r="F172" s="33">
        <v>0.30769230769230771</v>
      </c>
      <c r="G172" s="33">
        <v>0.27365356622998543</v>
      </c>
      <c r="H172" s="33">
        <v>0.13828238719068414</v>
      </c>
      <c r="I172" s="34">
        <v>8467.2872340425529</v>
      </c>
      <c r="J172" s="34">
        <v>-7230.5263157894733</v>
      </c>
      <c r="K172" s="33">
        <v>8.2840236686390539E-2</v>
      </c>
      <c r="L172" s="33">
        <v>0.25036390101892286</v>
      </c>
      <c r="M172" s="33">
        <v>0.22634643377001457</v>
      </c>
      <c r="N172" s="33">
        <v>0.54941860465116277</v>
      </c>
      <c r="O172" s="33">
        <v>0.4212218649517685</v>
      </c>
      <c r="P172" s="33">
        <v>0.45478723404255317</v>
      </c>
    </row>
    <row r="173" spans="1:16" x14ac:dyDescent="0.4">
      <c r="A173" s="35">
        <v>170</v>
      </c>
      <c r="B173" s="32">
        <v>-93.899999999999991</v>
      </c>
      <c r="C173" s="32">
        <v>-0.55235294117647049</v>
      </c>
      <c r="D173" s="37">
        <v>2.0470588235294116</v>
      </c>
      <c r="E173" s="33">
        <v>0.25882352941176473</v>
      </c>
      <c r="F173" s="33">
        <v>0.30588235294117649</v>
      </c>
      <c r="G173" s="33">
        <v>0.27358490566037735</v>
      </c>
      <c r="H173" s="33">
        <v>0.13788098693759071</v>
      </c>
      <c r="I173" s="34">
        <v>8476.6578249336872</v>
      </c>
      <c r="J173" s="34">
        <v>-7230.5263157894733</v>
      </c>
      <c r="K173" s="33">
        <v>8.2352941176470587E-2</v>
      </c>
      <c r="L173" s="33">
        <v>0.25108853410740201</v>
      </c>
      <c r="M173" s="33">
        <v>0.22568940493468795</v>
      </c>
      <c r="N173" s="33">
        <v>0.54913294797687862</v>
      </c>
      <c r="O173" s="33">
        <v>0.4212218649517685</v>
      </c>
      <c r="P173" s="33">
        <v>0.45623342175066312</v>
      </c>
    </row>
    <row r="174" spans="1:16" x14ac:dyDescent="0.4">
      <c r="A174" s="35">
        <v>171</v>
      </c>
      <c r="B174" s="32">
        <v>-81.499999999999986</v>
      </c>
      <c r="C174" s="32">
        <v>-0.47660818713450281</v>
      </c>
      <c r="D174" s="37">
        <v>2.0467836257309941</v>
      </c>
      <c r="E174" s="33">
        <v>0.25730994152046782</v>
      </c>
      <c r="F174" s="33">
        <v>0.30409356725146197</v>
      </c>
      <c r="G174" s="33">
        <v>0.27325162220620042</v>
      </c>
      <c r="H174" s="33">
        <v>0.13698630136986301</v>
      </c>
      <c r="I174" s="34">
        <v>8472.0316622691298</v>
      </c>
      <c r="J174" s="34">
        <v>-7230.5263157894733</v>
      </c>
      <c r="K174" s="33">
        <v>8.1871345029239762E-2</v>
      </c>
      <c r="L174" s="33">
        <v>0.24945926459985579</v>
      </c>
      <c r="M174" s="33">
        <v>0.22566690699351116</v>
      </c>
      <c r="N174" s="33">
        <v>0.54913294797687862</v>
      </c>
      <c r="O174" s="33">
        <v>0.4217252396166134</v>
      </c>
      <c r="P174" s="33">
        <v>0.45646437994722955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3B903-24F2-41C4-A357-F517F25FCCE3}">
  <sheetPr codeName="Sheet16"/>
  <dimension ref="A1:Q170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  <row r="163" spans="1:16" x14ac:dyDescent="0.4">
      <c r="A163" s="35">
        <v>160</v>
      </c>
      <c r="B163" s="32">
        <v>756.00000000000045</v>
      </c>
      <c r="C163" s="32">
        <v>4.7250000000000032</v>
      </c>
      <c r="D163" s="37">
        <v>1.91875</v>
      </c>
      <c r="E163" s="33">
        <v>0.4</v>
      </c>
      <c r="F163" s="33">
        <v>0.31874999999999998</v>
      </c>
      <c r="G163" s="33">
        <v>0.27777777777777779</v>
      </c>
      <c r="H163" s="33">
        <v>0.16975308641975309</v>
      </c>
      <c r="I163" s="34">
        <v>11043.611111111111</v>
      </c>
      <c r="J163" s="34">
        <v>-8364.545454545454</v>
      </c>
      <c r="K163" s="33">
        <v>0.11874999999999999</v>
      </c>
      <c r="L163" s="33">
        <v>0.29475308641975306</v>
      </c>
      <c r="M163" s="33">
        <v>0.18827160493827161</v>
      </c>
      <c r="N163" s="33">
        <v>0.54188481675392675</v>
      </c>
      <c r="O163" s="33">
        <v>0.39344262295081966</v>
      </c>
      <c r="P163" s="33">
        <v>0.51111111111111107</v>
      </c>
    </row>
    <row r="164" spans="1:16" x14ac:dyDescent="0.4">
      <c r="A164" s="35">
        <v>161</v>
      </c>
      <c r="B164" s="32">
        <v>796.40000000000043</v>
      </c>
      <c r="C164" s="32">
        <v>4.9465838509316793</v>
      </c>
      <c r="D164" s="37">
        <v>1.9130434782608696</v>
      </c>
      <c r="E164" s="33">
        <v>0.40372670807453415</v>
      </c>
      <c r="F164" s="33">
        <v>0.31677018633540371</v>
      </c>
      <c r="G164" s="33">
        <v>0.27807486631016043</v>
      </c>
      <c r="H164" s="33">
        <v>0.16883116883116883</v>
      </c>
      <c r="I164" s="34">
        <v>11031.868131868132</v>
      </c>
      <c r="J164" s="34">
        <v>-8361.538461538461</v>
      </c>
      <c r="K164" s="33">
        <v>0.11801242236024845</v>
      </c>
      <c r="L164" s="33">
        <v>0.29640947288006114</v>
      </c>
      <c r="M164" s="33">
        <v>0.18945760122230709</v>
      </c>
      <c r="N164" s="33">
        <v>0.54381443298969068</v>
      </c>
      <c r="O164" s="33">
        <v>0.38709677419354838</v>
      </c>
      <c r="P164" s="33">
        <v>0.51098901098901095</v>
      </c>
    </row>
    <row r="165" spans="1:16" x14ac:dyDescent="0.4">
      <c r="A165" s="35">
        <v>162</v>
      </c>
      <c r="B165" s="32">
        <v>777.80000000000041</v>
      </c>
      <c r="C165" s="32">
        <v>4.8012345679012371</v>
      </c>
      <c r="D165" s="37">
        <v>1.9197530864197532</v>
      </c>
      <c r="E165" s="33">
        <v>0.40123456790123457</v>
      </c>
      <c r="F165" s="33">
        <v>0.32098765432098764</v>
      </c>
      <c r="G165" s="33">
        <v>0.2778198334595004</v>
      </c>
      <c r="H165" s="33">
        <v>0.17108251324753973</v>
      </c>
      <c r="I165" s="34">
        <v>11012.534059945505</v>
      </c>
      <c r="J165" s="34">
        <v>-8283.6283185840712</v>
      </c>
      <c r="K165" s="33">
        <v>0.11728395061728394</v>
      </c>
      <c r="L165" s="33">
        <v>0.29598788796366388</v>
      </c>
      <c r="M165" s="33">
        <v>0.18849356548069643</v>
      </c>
      <c r="N165" s="33">
        <v>0.5421994884910486</v>
      </c>
      <c r="O165" s="33">
        <v>0.38955823293172692</v>
      </c>
      <c r="P165" s="33">
        <v>0.5122615803814714</v>
      </c>
    </row>
    <row r="166" spans="1:16" x14ac:dyDescent="0.4">
      <c r="A166" s="35">
        <v>163</v>
      </c>
      <c r="B166" s="32">
        <v>791.60000000000036</v>
      </c>
      <c r="C166" s="32">
        <v>4.8564417177914132</v>
      </c>
      <c r="D166" s="37">
        <v>1.9202453987730062</v>
      </c>
      <c r="E166" s="33">
        <v>0.3987730061349693</v>
      </c>
      <c r="F166" s="33">
        <v>0.31901840490797545</v>
      </c>
      <c r="G166" s="33">
        <v>0.27915726109857036</v>
      </c>
      <c r="H166" s="33">
        <v>0.17080511662904441</v>
      </c>
      <c r="I166" s="34">
        <v>10970.080862533692</v>
      </c>
      <c r="J166" s="34">
        <v>-8281.0572687224667</v>
      </c>
      <c r="K166" s="33">
        <v>0.1165644171779141</v>
      </c>
      <c r="L166" s="33">
        <v>0.29721595184349137</v>
      </c>
      <c r="M166" s="33">
        <v>0.18811136192626035</v>
      </c>
      <c r="N166" s="33">
        <v>0.54430379746835444</v>
      </c>
      <c r="O166" s="33">
        <v>0.39200000000000002</v>
      </c>
      <c r="P166" s="33">
        <v>0.51482479784366575</v>
      </c>
    </row>
    <row r="167" spans="1:16" x14ac:dyDescent="0.4">
      <c r="A167" s="35">
        <v>164</v>
      </c>
      <c r="B167" s="32">
        <v>742.90000000000032</v>
      </c>
      <c r="C167" s="32">
        <v>4.5298780487804899</v>
      </c>
      <c r="D167" s="37">
        <v>1.9268292682926829</v>
      </c>
      <c r="E167" s="33">
        <v>0.39634146341463417</v>
      </c>
      <c r="F167" s="33">
        <v>0.32317073170731708</v>
      </c>
      <c r="G167" s="33">
        <v>0.27811094452773616</v>
      </c>
      <c r="H167" s="33">
        <v>0.17316341829085458</v>
      </c>
      <c r="I167" s="34">
        <v>10970.080862533692</v>
      </c>
      <c r="J167" s="34">
        <v>-8261.9047619047615</v>
      </c>
      <c r="K167" s="33">
        <v>0.12195121951219512</v>
      </c>
      <c r="L167" s="33">
        <v>0.29685157421289354</v>
      </c>
      <c r="M167" s="33">
        <v>0.18815592203898052</v>
      </c>
      <c r="N167" s="33">
        <v>0.54292929292929293</v>
      </c>
      <c r="O167" s="33">
        <v>0.39043824701195218</v>
      </c>
      <c r="P167" s="33">
        <v>0.51482479784366575</v>
      </c>
    </row>
    <row r="168" spans="1:16" x14ac:dyDescent="0.4">
      <c r="A168" s="35">
        <v>165</v>
      </c>
      <c r="B168" s="32">
        <v>772.10000000000036</v>
      </c>
      <c r="C168" s="32">
        <v>4.6793939393939414</v>
      </c>
      <c r="D168" s="37">
        <v>1.9212121212121211</v>
      </c>
      <c r="E168" s="33">
        <v>0.4</v>
      </c>
      <c r="F168" s="33">
        <v>0.32121212121212123</v>
      </c>
      <c r="G168" s="33">
        <v>0.27955390334572489</v>
      </c>
      <c r="H168" s="33">
        <v>0.17249070631970259</v>
      </c>
      <c r="I168" s="34">
        <v>10935.106382978724</v>
      </c>
      <c r="J168" s="34">
        <v>-8253.8793103448279</v>
      </c>
      <c r="K168" s="33">
        <v>0.12121212121212122</v>
      </c>
      <c r="L168" s="33">
        <v>0.29814126394052043</v>
      </c>
      <c r="M168" s="33">
        <v>0.18810408921933086</v>
      </c>
      <c r="N168" s="33">
        <v>0.54613466334164584</v>
      </c>
      <c r="O168" s="33">
        <v>0.39130434782608697</v>
      </c>
      <c r="P168" s="33">
        <v>0.51329787234042556</v>
      </c>
    </row>
    <row r="169" spans="1:16" x14ac:dyDescent="0.4">
      <c r="A169" s="35">
        <v>166</v>
      </c>
      <c r="B169" s="32">
        <v>844.40000000000032</v>
      </c>
      <c r="C169" s="32">
        <v>5.086746987951809</v>
      </c>
      <c r="D169" s="37">
        <v>1.9156626506024097</v>
      </c>
      <c r="E169" s="33">
        <v>0.40361445783132532</v>
      </c>
      <c r="F169" s="33">
        <v>0.31927710843373491</v>
      </c>
      <c r="G169" s="33">
        <v>0.28074074074074074</v>
      </c>
      <c r="H169" s="33">
        <v>0.17185185185185184</v>
      </c>
      <c r="I169" s="34">
        <v>10987.862796833773</v>
      </c>
      <c r="J169" s="34">
        <v>-8253.8793103448279</v>
      </c>
      <c r="K169" s="33">
        <v>0.12048192771084337</v>
      </c>
      <c r="L169" s="33">
        <v>0.29851851851851852</v>
      </c>
      <c r="M169" s="33">
        <v>0.18740740740740741</v>
      </c>
      <c r="N169" s="33">
        <v>0.54838709677419351</v>
      </c>
      <c r="O169" s="33">
        <v>0.39130434782608697</v>
      </c>
      <c r="P169" s="33">
        <v>0.51451187335092352</v>
      </c>
    </row>
    <row r="170" spans="1:16" x14ac:dyDescent="0.4">
      <c r="A170" s="35">
        <v>167</v>
      </c>
      <c r="B170" s="32">
        <v>888.20000000000027</v>
      </c>
      <c r="C170" s="32">
        <v>5.3185628742514988</v>
      </c>
      <c r="D170" s="37">
        <v>1.9101796407185629</v>
      </c>
      <c r="E170" s="33">
        <v>0.40718562874251496</v>
      </c>
      <c r="F170" s="33">
        <v>0.31736526946107785</v>
      </c>
      <c r="G170" s="33">
        <v>0.28108903605592345</v>
      </c>
      <c r="H170" s="33">
        <v>0.1714495952906549</v>
      </c>
      <c r="I170" s="34">
        <v>10994.764397905759</v>
      </c>
      <c r="J170" s="34">
        <v>-8243.3476394849786</v>
      </c>
      <c r="K170" s="33">
        <v>0.11976047904191617</v>
      </c>
      <c r="L170" s="33">
        <v>0.29948491537895511</v>
      </c>
      <c r="M170" s="33">
        <v>0.188373804267844</v>
      </c>
      <c r="N170" s="33">
        <v>0.54791154791154795</v>
      </c>
      <c r="O170" s="33">
        <v>0.390625</v>
      </c>
      <c r="P170" s="33">
        <v>0.51047120418848169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F90F6-52E8-4C08-9C4D-3AD757D65F18}">
  <sheetPr codeName="Sheet14"/>
  <dimension ref="A1:Q124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  <row r="108" spans="1:16" x14ac:dyDescent="0.4">
      <c r="A108" s="35">
        <v>105</v>
      </c>
      <c r="B108" s="32">
        <v>-749.4</v>
      </c>
      <c r="C108" s="32">
        <v>-7.137142857142857</v>
      </c>
      <c r="D108" s="37">
        <v>2.1809523809523808</v>
      </c>
      <c r="E108" s="33">
        <v>0.21904761904761905</v>
      </c>
      <c r="F108" s="33">
        <v>0.4</v>
      </c>
      <c r="G108" s="33">
        <v>0.26586433260393871</v>
      </c>
      <c r="H108" s="33">
        <v>0.18271334792122537</v>
      </c>
      <c r="I108" s="34">
        <v>7864.6090534979421</v>
      </c>
      <c r="J108" s="34">
        <v>-7753.2934131736529</v>
      </c>
      <c r="K108" s="33">
        <v>7.6190476190476197E-2</v>
      </c>
      <c r="L108" s="33">
        <v>0.27461706783369805</v>
      </c>
      <c r="M108" s="33">
        <v>0.19474835886214442</v>
      </c>
      <c r="N108" s="33">
        <v>0.54183266932270913</v>
      </c>
      <c r="O108" s="33">
        <v>0.39325842696629215</v>
      </c>
      <c r="P108" s="33">
        <v>0.47325102880658437</v>
      </c>
    </row>
    <row r="109" spans="1:16" x14ac:dyDescent="0.4">
      <c r="A109" s="35">
        <v>106</v>
      </c>
      <c r="B109" s="32">
        <v>-727.5</v>
      </c>
      <c r="C109" s="32">
        <v>-6.8632075471698117</v>
      </c>
      <c r="D109" s="37">
        <v>2.1698113207547172</v>
      </c>
      <c r="E109" s="33">
        <v>0.22641509433962265</v>
      </c>
      <c r="F109" s="33">
        <v>0.39622641509433965</v>
      </c>
      <c r="G109" s="33">
        <v>0.26760563380281688</v>
      </c>
      <c r="H109" s="33">
        <v>0.18309859154929578</v>
      </c>
      <c r="I109" s="34">
        <v>7870.0404858299598</v>
      </c>
      <c r="J109" s="34">
        <v>-7752.6627218934909</v>
      </c>
      <c r="K109" s="33">
        <v>7.5471698113207544E-2</v>
      </c>
      <c r="L109" s="33">
        <v>0.27410617551462624</v>
      </c>
      <c r="M109" s="33">
        <v>0.19718309859154928</v>
      </c>
      <c r="N109" s="33">
        <v>0.54545454545454541</v>
      </c>
      <c r="O109" s="33">
        <v>0.39560439560439559</v>
      </c>
      <c r="P109" s="33">
        <v>0.47773279352226722</v>
      </c>
    </row>
    <row r="110" spans="1:16" x14ac:dyDescent="0.4">
      <c r="A110" s="35">
        <v>107</v>
      </c>
      <c r="B110" s="32">
        <v>-684.8</v>
      </c>
      <c r="C110" s="32">
        <v>-6.3999999999999995</v>
      </c>
      <c r="D110" s="37">
        <v>2.1588785046728973</v>
      </c>
      <c r="E110" s="33">
        <v>0.23364485981308411</v>
      </c>
      <c r="F110" s="33">
        <v>0.3925233644859813</v>
      </c>
      <c r="G110" s="33">
        <v>0.26766595289079231</v>
      </c>
      <c r="H110" s="33">
        <v>0.18094218415417559</v>
      </c>
      <c r="I110" s="34">
        <v>7903.6</v>
      </c>
      <c r="J110" s="34">
        <v>-7752.6627218934909</v>
      </c>
      <c r="K110" s="33">
        <v>7.476635514018691E-2</v>
      </c>
      <c r="L110" s="33">
        <v>0.27301927194860814</v>
      </c>
      <c r="M110" s="33">
        <v>0.19807280513918629</v>
      </c>
      <c r="N110" s="33">
        <v>0.5490196078431373</v>
      </c>
      <c r="O110" s="33">
        <v>0.39459459459459462</v>
      </c>
      <c r="P110" s="33">
        <v>0.48</v>
      </c>
    </row>
    <row r="111" spans="1:16" x14ac:dyDescent="0.4">
      <c r="A111" s="35">
        <v>108</v>
      </c>
      <c r="B111" s="32">
        <v>-660</v>
      </c>
      <c r="C111" s="32">
        <v>-6.1111111111111107</v>
      </c>
      <c r="D111" s="37">
        <v>2.1481481481481484</v>
      </c>
      <c r="E111" s="33">
        <v>0.24074074074074073</v>
      </c>
      <c r="F111" s="33">
        <v>0.3888888888888889</v>
      </c>
      <c r="G111" s="33">
        <v>0.26914893617021279</v>
      </c>
      <c r="H111" s="33">
        <v>0.18085106382978725</v>
      </c>
      <c r="I111" s="34">
        <v>7896.837944664032</v>
      </c>
      <c r="J111" s="34">
        <v>-7737.6470588235297</v>
      </c>
      <c r="K111" s="33">
        <v>7.407407407407407E-2</v>
      </c>
      <c r="L111" s="33">
        <v>0.27340425531914891</v>
      </c>
      <c r="M111" s="33">
        <v>0.19787234042553192</v>
      </c>
      <c r="N111" s="33">
        <v>0.55252918287937747</v>
      </c>
      <c r="O111" s="33">
        <v>0.39784946236559138</v>
      </c>
      <c r="P111" s="33">
        <v>0.48221343873517786</v>
      </c>
    </row>
    <row r="112" spans="1:16" x14ac:dyDescent="0.4">
      <c r="A112" s="35">
        <v>109</v>
      </c>
      <c r="B112" s="32">
        <v>-676.5</v>
      </c>
      <c r="C112" s="32">
        <v>-6.2064220183486238</v>
      </c>
      <c r="D112" s="37">
        <v>2.1467889908256881</v>
      </c>
      <c r="E112" s="33">
        <v>0.23853211009174313</v>
      </c>
      <c r="F112" s="33">
        <v>0.38532110091743121</v>
      </c>
      <c r="G112" s="33">
        <v>0.26878306878306879</v>
      </c>
      <c r="H112" s="33">
        <v>0.17989417989417988</v>
      </c>
      <c r="I112" s="34">
        <v>7897.2440944881891</v>
      </c>
      <c r="J112" s="34">
        <v>-7737.6470588235297</v>
      </c>
      <c r="K112" s="33">
        <v>7.3394495412844041E-2</v>
      </c>
      <c r="L112" s="33">
        <v>0.27195767195767195</v>
      </c>
      <c r="M112" s="33">
        <v>0.19682539682539682</v>
      </c>
      <c r="N112" s="33">
        <v>0.55252918287937747</v>
      </c>
      <c r="O112" s="33">
        <v>0.39784946236559138</v>
      </c>
      <c r="P112" s="33">
        <v>0.48031496062992124</v>
      </c>
    </row>
    <row r="113" spans="1:16" x14ac:dyDescent="0.4">
      <c r="A113" s="35">
        <v>110</v>
      </c>
      <c r="B113" s="32">
        <v>-613.6</v>
      </c>
      <c r="C113" s="32">
        <v>-5.5781818181818181</v>
      </c>
      <c r="D113" s="37">
        <v>2.1363636363636362</v>
      </c>
      <c r="E113" s="33">
        <v>0.24545454545454545</v>
      </c>
      <c r="F113" s="33">
        <v>0.38181818181818183</v>
      </c>
      <c r="G113" s="33">
        <v>0.2697576396206533</v>
      </c>
      <c r="H113" s="33">
        <v>0.1791359325605901</v>
      </c>
      <c r="I113" s="34">
        <v>8038.28125</v>
      </c>
      <c r="J113" s="34">
        <v>-7737.6470588235297</v>
      </c>
      <c r="K113" s="33">
        <v>7.2727272727272724E-2</v>
      </c>
      <c r="L113" s="33">
        <v>0.27186512118018968</v>
      </c>
      <c r="M113" s="33">
        <v>0.19599578503688092</v>
      </c>
      <c r="N113" s="33">
        <v>0.55038759689922478</v>
      </c>
      <c r="O113" s="33">
        <v>0.39784946236559138</v>
      </c>
      <c r="P113" s="33">
        <v>0.4765625</v>
      </c>
    </row>
    <row r="114" spans="1:16" x14ac:dyDescent="0.4">
      <c r="A114" s="35">
        <v>111</v>
      </c>
      <c r="B114" s="32">
        <v>-639.20000000000005</v>
      </c>
      <c r="C114" s="32">
        <v>-5.7585585585585592</v>
      </c>
      <c r="D114" s="37">
        <v>2.144144144144144</v>
      </c>
      <c r="E114" s="33">
        <v>0.24324324324324326</v>
      </c>
      <c r="F114" s="33">
        <v>0.38738738738738737</v>
      </c>
      <c r="G114" s="33">
        <v>0.26750261233019856</v>
      </c>
      <c r="H114" s="33">
        <v>0.17763845350052246</v>
      </c>
      <c r="I114" s="34">
        <v>8038.28125</v>
      </c>
      <c r="J114" s="34">
        <v>-7737.6470588235297</v>
      </c>
      <c r="K114" s="33">
        <v>7.2072072072072071E-2</v>
      </c>
      <c r="L114" s="33">
        <v>0.2716823406478579</v>
      </c>
      <c r="M114" s="33">
        <v>0.19540229885057472</v>
      </c>
      <c r="N114" s="33">
        <v>0.5461538461538461</v>
      </c>
      <c r="O114" s="33">
        <v>0.39572192513368987</v>
      </c>
      <c r="P114" s="33">
        <v>0.4765625</v>
      </c>
    </row>
    <row r="115" spans="1:16" x14ac:dyDescent="0.4">
      <c r="A115" s="35">
        <v>112</v>
      </c>
      <c r="B115" s="32">
        <v>-670.5</v>
      </c>
      <c r="C115" s="32">
        <v>-5.9866071428571432</v>
      </c>
      <c r="D115" s="37">
        <v>2.1517857142857144</v>
      </c>
      <c r="E115" s="33">
        <v>0.24107142857142858</v>
      </c>
      <c r="F115" s="33">
        <v>0.39285714285714285</v>
      </c>
      <c r="G115" s="33">
        <v>0.26687435098650053</v>
      </c>
      <c r="H115" s="33">
        <v>0.1786085150571132</v>
      </c>
      <c r="I115" s="34">
        <v>8022.1789883268484</v>
      </c>
      <c r="J115" s="34">
        <v>-7722.6744186046508</v>
      </c>
      <c r="K115" s="33">
        <v>7.1428571428571425E-2</v>
      </c>
      <c r="L115" s="33">
        <v>0.26998961578400832</v>
      </c>
      <c r="M115" s="33">
        <v>0.19626168224299065</v>
      </c>
      <c r="N115" s="33">
        <v>0.5461538461538461</v>
      </c>
      <c r="O115" s="33">
        <v>0.3968253968253968</v>
      </c>
      <c r="P115" s="33">
        <v>0.47470817120622566</v>
      </c>
    </row>
    <row r="116" spans="1:16" x14ac:dyDescent="0.4">
      <c r="A116" s="35">
        <v>113</v>
      </c>
      <c r="B116" s="32">
        <v>-700.5</v>
      </c>
      <c r="C116" s="32">
        <v>-6.1991150442477876</v>
      </c>
      <c r="D116" s="37">
        <v>2.1592920353982299</v>
      </c>
      <c r="E116" s="33">
        <v>0.23893805309734514</v>
      </c>
      <c r="F116" s="33">
        <v>0.39823008849557523</v>
      </c>
      <c r="G116" s="33">
        <v>0.26515930113052416</v>
      </c>
      <c r="H116" s="33">
        <v>0.17882836587872558</v>
      </c>
      <c r="I116" s="34">
        <v>8021.3178294573645</v>
      </c>
      <c r="J116" s="34">
        <v>-7694.8275862068967</v>
      </c>
      <c r="K116" s="33">
        <v>7.0796460176991149E-2</v>
      </c>
      <c r="L116" s="33">
        <v>0.27029804727646456</v>
      </c>
      <c r="M116" s="33">
        <v>0.19424460431654678</v>
      </c>
      <c r="N116" s="33">
        <v>0.54372623574144485</v>
      </c>
      <c r="O116" s="33">
        <v>0.3968253968253968</v>
      </c>
      <c r="P116" s="33">
        <v>0.47674418604651164</v>
      </c>
    </row>
    <row r="117" spans="1:16" x14ac:dyDescent="0.4">
      <c r="A117" s="35">
        <v>114</v>
      </c>
      <c r="B117" s="32">
        <v>-709.5</v>
      </c>
      <c r="C117" s="32">
        <v>-6.2236842105263159</v>
      </c>
      <c r="D117" s="37">
        <v>2.1578947368421053</v>
      </c>
      <c r="E117" s="33">
        <v>0.23684210526315788</v>
      </c>
      <c r="F117" s="33">
        <v>0.39473684210526316</v>
      </c>
      <c r="G117" s="33">
        <v>0.26428571428571429</v>
      </c>
      <c r="H117" s="33">
        <v>0.17959183673469387</v>
      </c>
      <c r="I117" s="34">
        <v>8005.405405405405</v>
      </c>
      <c r="J117" s="34">
        <v>-7675</v>
      </c>
      <c r="K117" s="33">
        <v>7.0175438596491224E-2</v>
      </c>
      <c r="L117" s="33">
        <v>0.26836734693877551</v>
      </c>
      <c r="M117" s="33">
        <v>0.19387755102040816</v>
      </c>
      <c r="N117" s="33">
        <v>0.54372623574144485</v>
      </c>
      <c r="O117" s="33">
        <v>0.4</v>
      </c>
      <c r="P117" s="33">
        <v>0.4749034749034749</v>
      </c>
    </row>
    <row r="118" spans="1:16" x14ac:dyDescent="0.4">
      <c r="A118" s="35">
        <v>115</v>
      </c>
      <c r="B118" s="32">
        <v>-758</v>
      </c>
      <c r="C118" s="32">
        <v>-6.5913043478260871</v>
      </c>
      <c r="D118" s="37">
        <v>2.1652173913043478</v>
      </c>
      <c r="E118" s="33">
        <v>0.23478260869565218</v>
      </c>
      <c r="F118" s="33">
        <v>0.4</v>
      </c>
      <c r="G118" s="33">
        <v>0.26347914547304169</v>
      </c>
      <c r="H118" s="33">
        <v>0.18107833163784334</v>
      </c>
      <c r="I118" s="34">
        <v>8005.405405405405</v>
      </c>
      <c r="J118" s="34">
        <v>-7779.7752808988762</v>
      </c>
      <c r="K118" s="33">
        <v>7.8260869565217397E-2</v>
      </c>
      <c r="L118" s="33">
        <v>0.26754832146490337</v>
      </c>
      <c r="M118" s="33">
        <v>0.19328585961342828</v>
      </c>
      <c r="N118" s="33">
        <v>0.54372623574144485</v>
      </c>
      <c r="O118" s="33">
        <v>0.4</v>
      </c>
      <c r="P118" s="33">
        <v>0.4749034749034749</v>
      </c>
    </row>
    <row r="119" spans="1:16" x14ac:dyDescent="0.4">
      <c r="A119" s="35">
        <v>116</v>
      </c>
      <c r="B119" s="32">
        <v>-709.8</v>
      </c>
      <c r="C119" s="32">
        <v>-6.1189655172413788</v>
      </c>
      <c r="D119" s="37">
        <v>2.1551724137931036</v>
      </c>
      <c r="E119" s="33">
        <v>0.2413793103448276</v>
      </c>
      <c r="F119" s="33">
        <v>0.39655172413793105</v>
      </c>
      <c r="G119" s="33">
        <v>0.26592517694641049</v>
      </c>
      <c r="H119" s="33">
        <v>0.17997977755308392</v>
      </c>
      <c r="I119" s="34">
        <v>8047.9087452471485</v>
      </c>
      <c r="J119" s="34">
        <v>-7779.7752808988762</v>
      </c>
      <c r="K119" s="33">
        <v>7.7586206896551727E-2</v>
      </c>
      <c r="L119" s="33">
        <v>0.26794742163801821</v>
      </c>
      <c r="M119" s="33">
        <v>0.19514661274014156</v>
      </c>
      <c r="N119" s="33">
        <v>0.54716981132075471</v>
      </c>
      <c r="O119" s="33">
        <v>0.40414507772020725</v>
      </c>
      <c r="P119" s="33">
        <v>0.47528517110266161</v>
      </c>
    </row>
    <row r="120" spans="1:16" x14ac:dyDescent="0.4">
      <c r="A120" s="35">
        <v>117</v>
      </c>
      <c r="B120" s="32">
        <v>-712.3</v>
      </c>
      <c r="C120" s="32">
        <v>-6.0880341880341877</v>
      </c>
      <c r="D120" s="37">
        <v>2.1538461538461537</v>
      </c>
      <c r="E120" s="33">
        <v>0.23931623931623933</v>
      </c>
      <c r="F120" s="33">
        <v>0.39316239316239315</v>
      </c>
      <c r="G120" s="33">
        <v>0.26553106212424848</v>
      </c>
      <c r="H120" s="33">
        <v>0.18136272545090179</v>
      </c>
      <c r="I120" s="34">
        <v>8062.6415094339627</v>
      </c>
      <c r="J120" s="34">
        <v>-7772.3756906077351</v>
      </c>
      <c r="K120" s="33">
        <v>7.6923076923076927E-2</v>
      </c>
      <c r="L120" s="33">
        <v>0.26953907815631262</v>
      </c>
      <c r="M120" s="33">
        <v>0.19438877755511022</v>
      </c>
      <c r="N120" s="33">
        <v>0.54646840148698883</v>
      </c>
      <c r="O120" s="33">
        <v>0.40206185567010311</v>
      </c>
      <c r="P120" s="33">
        <v>0.47547169811320755</v>
      </c>
    </row>
    <row r="121" spans="1:16" x14ac:dyDescent="0.4">
      <c r="A121" s="35">
        <v>118</v>
      </c>
      <c r="B121" s="32">
        <v>-700.8</v>
      </c>
      <c r="C121" s="32">
        <v>-5.9389830508474573</v>
      </c>
      <c r="D121" s="37">
        <v>2.152542372881356</v>
      </c>
      <c r="E121" s="33">
        <v>0.23728813559322035</v>
      </c>
      <c r="F121" s="33">
        <v>0.38983050847457629</v>
      </c>
      <c r="G121" s="33">
        <v>0.26640159045725648</v>
      </c>
      <c r="H121" s="33">
        <v>0.17992047713717693</v>
      </c>
      <c r="I121" s="34">
        <v>8025.373134328358</v>
      </c>
      <c r="J121" s="34">
        <v>-7772.3756906077351</v>
      </c>
      <c r="K121" s="33">
        <v>7.6271186440677971E-2</v>
      </c>
      <c r="L121" s="33">
        <v>0.26838966202783299</v>
      </c>
      <c r="M121" s="33">
        <v>0.19681908548707752</v>
      </c>
      <c r="N121" s="33">
        <v>0.54814814814814816</v>
      </c>
      <c r="O121" s="33">
        <v>0.40404040404040403</v>
      </c>
      <c r="P121" s="33">
        <v>0.47014925373134331</v>
      </c>
    </row>
    <row r="122" spans="1:16" x14ac:dyDescent="0.4">
      <c r="A122" s="35">
        <v>119</v>
      </c>
      <c r="B122" s="32">
        <v>-702.8</v>
      </c>
      <c r="C122" s="32">
        <v>-5.9058823529411759</v>
      </c>
      <c r="D122" s="37">
        <v>2.1512605042016806</v>
      </c>
      <c r="E122" s="33">
        <v>0.23529411764705882</v>
      </c>
      <c r="F122" s="33">
        <v>0.38655462184873951</v>
      </c>
      <c r="G122" s="33">
        <v>0.26679841897233203</v>
      </c>
      <c r="H122" s="33">
        <v>0.18181818181818182</v>
      </c>
      <c r="I122" s="34">
        <v>8005.1851851851852</v>
      </c>
      <c r="J122" s="34">
        <v>-7714.130434782609</v>
      </c>
      <c r="K122" s="33">
        <v>7.5630252100840331E-2</v>
      </c>
      <c r="L122" s="33">
        <v>0.26877470355731226</v>
      </c>
      <c r="M122" s="33">
        <v>0.1966403162055336</v>
      </c>
      <c r="N122" s="33">
        <v>0.54779411764705888</v>
      </c>
      <c r="O122" s="33">
        <v>0.40703517587939697</v>
      </c>
      <c r="P122" s="33">
        <v>0.47037037037037038</v>
      </c>
    </row>
    <row r="123" spans="1:16" x14ac:dyDescent="0.4">
      <c r="A123" s="35">
        <v>120</v>
      </c>
      <c r="B123" s="32">
        <v>-735.8</v>
      </c>
      <c r="C123" s="32">
        <v>-6.1316666666666659</v>
      </c>
      <c r="D123" s="37">
        <v>2.1583333333333332</v>
      </c>
      <c r="E123" s="33">
        <v>0.23333333333333334</v>
      </c>
      <c r="F123" s="33">
        <v>0.39166666666666666</v>
      </c>
      <c r="G123" s="33">
        <v>0.26620825147347743</v>
      </c>
      <c r="H123" s="33">
        <v>0.18172888015717092</v>
      </c>
      <c r="I123" s="34">
        <v>7983.0258302583024</v>
      </c>
      <c r="J123" s="34">
        <v>-7737.2972972972975</v>
      </c>
      <c r="K123" s="33">
        <v>7.4999999999999997E-2</v>
      </c>
      <c r="L123" s="33">
        <v>0.26817288801571709</v>
      </c>
      <c r="M123" s="33">
        <v>0.19842829076620824</v>
      </c>
      <c r="N123" s="33">
        <v>0.54578754578754574</v>
      </c>
      <c r="O123" s="33">
        <v>0.40594059405940597</v>
      </c>
      <c r="P123" s="33">
        <v>0.46863468634686345</v>
      </c>
    </row>
    <row r="124" spans="1:16" x14ac:dyDescent="0.4">
      <c r="A124" s="35">
        <v>121</v>
      </c>
      <c r="B124" s="32">
        <v>-766.9</v>
      </c>
      <c r="C124" s="32">
        <v>-6.3380165289256194</v>
      </c>
      <c r="D124" s="37">
        <v>2.165289256198347</v>
      </c>
      <c r="E124" s="33">
        <v>0.23140495867768596</v>
      </c>
      <c r="F124" s="33">
        <v>0.39669421487603307</v>
      </c>
      <c r="G124" s="33">
        <v>0.26510721247563351</v>
      </c>
      <c r="H124" s="33">
        <v>0.18226120857699804</v>
      </c>
      <c r="I124" s="34">
        <v>7968.0147058823532</v>
      </c>
      <c r="J124" s="34">
        <v>-7761.4973262032081</v>
      </c>
      <c r="K124" s="33">
        <v>7.43801652892562E-2</v>
      </c>
      <c r="L124" s="33">
        <v>0.26705653021442494</v>
      </c>
      <c r="M124" s="33">
        <v>0.19980506822612085</v>
      </c>
      <c r="N124" s="33">
        <v>0.54379562043795615</v>
      </c>
      <c r="O124" s="33">
        <v>0.40487804878048783</v>
      </c>
      <c r="P124" s="33">
        <v>0.46691176470588236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A2865-8CB2-4F3C-B55A-594E07CAD665}">
  <sheetPr codeName="Sheet12"/>
  <dimension ref="A1:Q205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  <row r="190" spans="1:16" x14ac:dyDescent="0.4">
      <c r="A190" s="35">
        <v>187</v>
      </c>
      <c r="B190" s="32">
        <v>-28.600000000000218</v>
      </c>
      <c r="C190" s="32">
        <v>-0.15294117647058941</v>
      </c>
      <c r="D190" s="37">
        <v>1.9786096256684491</v>
      </c>
      <c r="E190" s="33">
        <v>0.33155080213903743</v>
      </c>
      <c r="F190" s="33">
        <v>0.31016042780748665</v>
      </c>
      <c r="G190" s="33">
        <v>0.31748071979434445</v>
      </c>
      <c r="H190" s="33">
        <v>0.17416452442159383</v>
      </c>
      <c r="I190" s="34">
        <v>7821.4574898785422</v>
      </c>
      <c r="J190" s="34">
        <v>-7999.6309963099629</v>
      </c>
      <c r="K190" s="33">
        <v>0.10160427807486631</v>
      </c>
      <c r="L190" s="33">
        <v>0.2268637532133676</v>
      </c>
      <c r="M190" s="33">
        <v>0.29755784061696661</v>
      </c>
      <c r="N190" s="33">
        <v>0.51558073654390935</v>
      </c>
      <c r="O190" s="33">
        <v>0.4038876889848812</v>
      </c>
      <c r="P190" s="33">
        <v>0.41093117408906882</v>
      </c>
    </row>
    <row r="191" spans="1:16" x14ac:dyDescent="0.4">
      <c r="A191" s="35">
        <v>188</v>
      </c>
      <c r="B191" s="32">
        <v>-45.700000000000216</v>
      </c>
      <c r="C191" s="32">
        <v>-0.24308510638297987</v>
      </c>
      <c r="D191" s="37">
        <v>1.9840425531914894</v>
      </c>
      <c r="E191" s="33">
        <v>0.32978723404255317</v>
      </c>
      <c r="F191" s="33">
        <v>0.31382978723404253</v>
      </c>
      <c r="G191" s="33">
        <v>0.31693290734824281</v>
      </c>
      <c r="H191" s="33">
        <v>0.17316293929712459</v>
      </c>
      <c r="I191" s="34">
        <v>7805.8467741935483</v>
      </c>
      <c r="J191" s="34">
        <v>-7999.6309963099629</v>
      </c>
      <c r="K191" s="33">
        <v>0.10106382978723404</v>
      </c>
      <c r="L191" s="33">
        <v>0.22619808306709266</v>
      </c>
      <c r="M191" s="33">
        <v>0.29776357827476041</v>
      </c>
      <c r="N191" s="33">
        <v>0.51694915254237284</v>
      </c>
      <c r="O191" s="33">
        <v>0.40343347639484978</v>
      </c>
      <c r="P191" s="33">
        <v>0.41129032258064518</v>
      </c>
    </row>
    <row r="192" spans="1:16" x14ac:dyDescent="0.4">
      <c r="A192" s="35">
        <v>189</v>
      </c>
      <c r="B192" s="32">
        <v>-89.100000000000222</v>
      </c>
      <c r="C192" s="32">
        <v>-0.47142857142857258</v>
      </c>
      <c r="D192" s="37">
        <v>1.9894179894179893</v>
      </c>
      <c r="E192" s="33">
        <v>0.32804232804232802</v>
      </c>
      <c r="F192" s="33">
        <v>0.31746031746031744</v>
      </c>
      <c r="G192" s="33">
        <v>0.31679389312977096</v>
      </c>
      <c r="H192" s="33">
        <v>0.17366412213740459</v>
      </c>
      <c r="I192" s="34">
        <v>7782.9317269076309</v>
      </c>
      <c r="J192" s="34">
        <v>-8050.9157509157512</v>
      </c>
      <c r="K192" s="33">
        <v>0.10052910052910052</v>
      </c>
      <c r="L192" s="33">
        <v>0.22519083969465647</v>
      </c>
      <c r="M192" s="33">
        <v>0.30025445292620867</v>
      </c>
      <c r="N192" s="33">
        <v>0.51694915254237284</v>
      </c>
      <c r="O192" s="33">
        <v>0.40254237288135591</v>
      </c>
      <c r="P192" s="33">
        <v>0.41365461847389556</v>
      </c>
    </row>
    <row r="193" spans="1:16" x14ac:dyDescent="0.4">
      <c r="A193" s="35">
        <v>190</v>
      </c>
      <c r="B193" s="32">
        <v>-72.200000000000216</v>
      </c>
      <c r="C193" s="32">
        <v>-0.38000000000000111</v>
      </c>
      <c r="D193" s="37">
        <v>1.9842105263157894</v>
      </c>
      <c r="E193" s="33">
        <v>0.33157894736842103</v>
      </c>
      <c r="F193" s="33">
        <v>0.31578947368421051</v>
      </c>
      <c r="G193" s="33">
        <v>0.31731984829329962</v>
      </c>
      <c r="H193" s="33">
        <v>0.1731984829329962</v>
      </c>
      <c r="I193" s="34">
        <v>7751.9920318725099</v>
      </c>
      <c r="J193" s="34">
        <v>-8050.729927007299</v>
      </c>
      <c r="K193" s="33">
        <v>0.1</v>
      </c>
      <c r="L193" s="33">
        <v>0.22503160556257901</v>
      </c>
      <c r="M193" s="33">
        <v>0.29962073324905181</v>
      </c>
      <c r="N193" s="33">
        <v>0.5196629213483146</v>
      </c>
      <c r="O193" s="33">
        <v>0.40295358649789031</v>
      </c>
      <c r="P193" s="33">
        <v>0.41434262948207173</v>
      </c>
    </row>
    <row r="194" spans="1:16" x14ac:dyDescent="0.4">
      <c r="A194" s="35">
        <v>191</v>
      </c>
      <c r="B194" s="32">
        <v>-39.800000000000217</v>
      </c>
      <c r="C194" s="32">
        <v>-0.20837696335078648</v>
      </c>
      <c r="D194" s="37">
        <v>1.9790575916230366</v>
      </c>
      <c r="E194" s="33">
        <v>0.33507853403141363</v>
      </c>
      <c r="F194" s="33">
        <v>0.31413612565445026</v>
      </c>
      <c r="G194" s="33">
        <v>0.31821045998739761</v>
      </c>
      <c r="H194" s="33">
        <v>0.17265280403276623</v>
      </c>
      <c r="I194" s="34">
        <v>7760.1980198019801</v>
      </c>
      <c r="J194" s="34">
        <v>-8050.729927007299</v>
      </c>
      <c r="K194" s="33">
        <v>9.947643979057591E-2</v>
      </c>
      <c r="L194" s="33">
        <v>0.22432262129804661</v>
      </c>
      <c r="M194" s="33">
        <v>0.30119722747321992</v>
      </c>
      <c r="N194" s="33">
        <v>0.5196629213483146</v>
      </c>
      <c r="O194" s="33">
        <v>0.40376569037656906</v>
      </c>
      <c r="P194" s="33">
        <v>0.41188118811881186</v>
      </c>
    </row>
    <row r="195" spans="1:16" x14ac:dyDescent="0.4">
      <c r="A195" s="35">
        <v>192</v>
      </c>
      <c r="B195" s="32">
        <v>-59.500000000000213</v>
      </c>
      <c r="C195" s="32">
        <v>-0.30989583333333443</v>
      </c>
      <c r="D195" s="37">
        <v>1.984375</v>
      </c>
      <c r="E195" s="33">
        <v>0.33333333333333331</v>
      </c>
      <c r="F195" s="33">
        <v>0.31770833333333331</v>
      </c>
      <c r="G195" s="33">
        <v>0.31727158948685857</v>
      </c>
      <c r="H195" s="33">
        <v>0.17209011264080101</v>
      </c>
      <c r="I195" s="34">
        <v>7755.6213017751479</v>
      </c>
      <c r="J195" s="34">
        <v>-8028.727272727273</v>
      </c>
      <c r="K195" s="33">
        <v>9.8958333333333329E-2</v>
      </c>
      <c r="L195" s="33">
        <v>0.22340425531914893</v>
      </c>
      <c r="M195" s="33">
        <v>0.30162703379224032</v>
      </c>
      <c r="N195" s="33">
        <v>0.51820728291316531</v>
      </c>
      <c r="O195" s="33">
        <v>0.40248962655601661</v>
      </c>
      <c r="P195" s="33">
        <v>0.41420118343195267</v>
      </c>
    </row>
    <row r="196" spans="1:16" x14ac:dyDescent="0.4">
      <c r="A196" s="35">
        <v>193</v>
      </c>
      <c r="B196" s="32">
        <v>-34.600000000000215</v>
      </c>
      <c r="C196" s="32">
        <v>-0.17927461139896483</v>
      </c>
      <c r="D196" s="37">
        <v>1.9792746113989637</v>
      </c>
      <c r="E196" s="33">
        <v>0.33678756476683935</v>
      </c>
      <c r="F196" s="33">
        <v>0.31606217616580312</v>
      </c>
      <c r="G196" s="33">
        <v>0.3185785536159601</v>
      </c>
      <c r="H196" s="33">
        <v>0.17206982543640897</v>
      </c>
      <c r="I196" s="34">
        <v>7746.3796477495107</v>
      </c>
      <c r="J196" s="34">
        <v>-8013.768115942029</v>
      </c>
      <c r="K196" s="33">
        <v>9.8445595854922283E-2</v>
      </c>
      <c r="L196" s="33">
        <v>0.22319201995012469</v>
      </c>
      <c r="M196" s="33">
        <v>0.30112219451371569</v>
      </c>
      <c r="N196" s="33">
        <v>0.51955307262569828</v>
      </c>
      <c r="O196" s="33">
        <v>0.40372670807453415</v>
      </c>
      <c r="P196" s="33">
        <v>0.41487279843444225</v>
      </c>
    </row>
    <row r="197" spans="1:16" x14ac:dyDescent="0.4">
      <c r="A197" s="35">
        <v>194</v>
      </c>
      <c r="B197" s="32">
        <v>5.9999999999997868</v>
      </c>
      <c r="C197" s="32">
        <v>3.0927835051545293E-2</v>
      </c>
      <c r="D197" s="37">
        <v>1.9742268041237114</v>
      </c>
      <c r="E197" s="33">
        <v>0.34020618556701032</v>
      </c>
      <c r="F197" s="33">
        <v>0.31443298969072164</v>
      </c>
      <c r="G197" s="33">
        <v>0.3190830235439901</v>
      </c>
      <c r="H197" s="33">
        <v>0.17100371747211895</v>
      </c>
      <c r="I197" s="34">
        <v>7748.9320388349515</v>
      </c>
      <c r="J197" s="34">
        <v>-8013.768115942029</v>
      </c>
      <c r="K197" s="33">
        <v>9.7938144329896906E-2</v>
      </c>
      <c r="L197" s="33">
        <v>0.22428748451053285</v>
      </c>
      <c r="M197" s="33">
        <v>0.30049566294919455</v>
      </c>
      <c r="N197" s="33">
        <v>0.52209944751381221</v>
      </c>
      <c r="O197" s="33">
        <v>0.40412371134020619</v>
      </c>
      <c r="P197" s="33">
        <v>0.41747572815533979</v>
      </c>
    </row>
    <row r="198" spans="1:16" x14ac:dyDescent="0.4">
      <c r="A198" s="35">
        <v>195</v>
      </c>
      <c r="B198" s="32">
        <v>45.099999999999788</v>
      </c>
      <c r="C198" s="32">
        <v>0.23128205128205021</v>
      </c>
      <c r="D198" s="37">
        <v>1.9692307692307693</v>
      </c>
      <c r="E198" s="33">
        <v>0.34358974358974359</v>
      </c>
      <c r="F198" s="33">
        <v>0.31282051282051282</v>
      </c>
      <c r="G198" s="33">
        <v>0.32078963602714372</v>
      </c>
      <c r="H198" s="33">
        <v>0.17026526835286859</v>
      </c>
      <c r="I198" s="34">
        <v>7728.4615384615381</v>
      </c>
      <c r="J198" s="34">
        <v>-8013.768115942029</v>
      </c>
      <c r="K198" s="33">
        <v>9.7435897435897437E-2</v>
      </c>
      <c r="L198" s="33">
        <v>0.22331893892658852</v>
      </c>
      <c r="M198" s="33">
        <v>0.29981492905613821</v>
      </c>
      <c r="N198" s="33">
        <v>0.52209944751381221</v>
      </c>
      <c r="O198" s="33">
        <v>0.40534979423868311</v>
      </c>
      <c r="P198" s="33">
        <v>0.41346153846153844</v>
      </c>
    </row>
    <row r="199" spans="1:16" x14ac:dyDescent="0.4">
      <c r="A199" s="35">
        <v>196</v>
      </c>
      <c r="B199" s="32">
        <v>87.599999999999795</v>
      </c>
      <c r="C199" s="32">
        <v>0.44693877551020306</v>
      </c>
      <c r="D199" s="37">
        <v>1.9642857142857142</v>
      </c>
      <c r="E199" s="33">
        <v>0.34693877551020408</v>
      </c>
      <c r="F199" s="33">
        <v>0.31122448979591838</v>
      </c>
      <c r="G199" s="33">
        <v>0.32081280788177341</v>
      </c>
      <c r="H199" s="33">
        <v>0.16995073891625614</v>
      </c>
      <c r="I199" s="34">
        <v>7775.0479846449134</v>
      </c>
      <c r="J199" s="34">
        <v>-8013.768115942029</v>
      </c>
      <c r="K199" s="33">
        <v>9.6938775510204078E-2</v>
      </c>
      <c r="L199" s="33">
        <v>0.22352216748768472</v>
      </c>
      <c r="M199" s="33">
        <v>0.29926108374384236</v>
      </c>
      <c r="N199" s="33">
        <v>0.52341597796143247</v>
      </c>
      <c r="O199" s="33">
        <v>0.40534979423868311</v>
      </c>
      <c r="P199" s="33">
        <v>0.41266794625719772</v>
      </c>
    </row>
    <row r="200" spans="1:16" x14ac:dyDescent="0.4">
      <c r="A200" s="35">
        <v>197</v>
      </c>
      <c r="B200" s="32">
        <v>87.899999999999793</v>
      </c>
      <c r="C200" s="32">
        <v>0.4461928934010142</v>
      </c>
      <c r="D200" s="37">
        <v>1.9644670050761421</v>
      </c>
      <c r="E200" s="33">
        <v>0.34517766497461927</v>
      </c>
      <c r="F200" s="33">
        <v>0.30964467005076141</v>
      </c>
      <c r="G200" s="33">
        <v>0.32085889570552145</v>
      </c>
      <c r="H200" s="33">
        <v>0.16932515337423312</v>
      </c>
      <c r="I200" s="34">
        <v>7763.0975143403439</v>
      </c>
      <c r="J200" s="34">
        <v>-8013.768115942029</v>
      </c>
      <c r="K200" s="33">
        <v>9.6446700507614211E-2</v>
      </c>
      <c r="L200" s="33">
        <v>0.22331288343558281</v>
      </c>
      <c r="M200" s="33">
        <v>0.29815950920245399</v>
      </c>
      <c r="N200" s="33">
        <v>0.52472527472527475</v>
      </c>
      <c r="O200" s="33">
        <v>0.40534979423868311</v>
      </c>
      <c r="P200" s="33">
        <v>0.4130019120458891</v>
      </c>
    </row>
    <row r="201" spans="1:16" x14ac:dyDescent="0.4">
      <c r="A201" s="35">
        <v>198</v>
      </c>
      <c r="B201" s="32">
        <v>104.79999999999978</v>
      </c>
      <c r="C201" s="32">
        <v>0.52929292929292815</v>
      </c>
      <c r="D201" s="37">
        <v>1.9595959595959596</v>
      </c>
      <c r="E201" s="33">
        <v>0.34848484848484851</v>
      </c>
      <c r="F201" s="33">
        <v>0.30808080808080807</v>
      </c>
      <c r="G201" s="33">
        <v>0.32153752287980475</v>
      </c>
      <c r="H201" s="33">
        <v>0.16961561928004881</v>
      </c>
      <c r="I201" s="34">
        <v>7749.9051233396585</v>
      </c>
      <c r="J201" s="34">
        <v>-8003.5971223021579</v>
      </c>
      <c r="K201" s="33">
        <v>9.5959595959595953E-2</v>
      </c>
      <c r="L201" s="33">
        <v>0.22269676632092739</v>
      </c>
      <c r="M201" s="33">
        <v>0.29774252593044537</v>
      </c>
      <c r="N201" s="33">
        <v>0.52602739726027392</v>
      </c>
      <c r="O201" s="33">
        <v>0.40778688524590162</v>
      </c>
      <c r="P201" s="33">
        <v>0.41176470588235292</v>
      </c>
    </row>
    <row r="202" spans="1:16" x14ac:dyDescent="0.4">
      <c r="A202" s="35">
        <v>199</v>
      </c>
      <c r="B202" s="32">
        <v>70.299999999999784</v>
      </c>
      <c r="C202" s="32">
        <v>0.35326633165829036</v>
      </c>
      <c r="D202" s="37">
        <v>1.964824120603015</v>
      </c>
      <c r="E202" s="33">
        <v>0.34673366834170855</v>
      </c>
      <c r="F202" s="33">
        <v>0.31155778894472363</v>
      </c>
      <c r="G202" s="33">
        <v>0.32119004250151789</v>
      </c>
      <c r="H202" s="33">
        <v>0.17061323618700669</v>
      </c>
      <c r="I202" s="34">
        <v>7734.5935727788283</v>
      </c>
      <c r="J202" s="34">
        <v>-8022.0640569395018</v>
      </c>
      <c r="K202" s="33">
        <v>9.5477386934673364E-2</v>
      </c>
      <c r="L202" s="33">
        <v>0.22222222222222221</v>
      </c>
      <c r="M202" s="33">
        <v>0.29629629629629628</v>
      </c>
      <c r="N202" s="33">
        <v>0.52732240437158473</v>
      </c>
      <c r="O202" s="33">
        <v>0.40778688524590162</v>
      </c>
      <c r="P202" s="33">
        <v>0.41398865784499056</v>
      </c>
    </row>
    <row r="203" spans="1:16" x14ac:dyDescent="0.4">
      <c r="A203" s="35">
        <v>200</v>
      </c>
      <c r="B203" s="32">
        <v>44.699999999999783</v>
      </c>
      <c r="C203" s="32">
        <v>0.22349999999999892</v>
      </c>
      <c r="D203" s="37">
        <v>1.97</v>
      </c>
      <c r="E203" s="33">
        <v>0.34499999999999997</v>
      </c>
      <c r="F203" s="33">
        <v>0.315</v>
      </c>
      <c r="G203" s="33">
        <v>0.32002419842710222</v>
      </c>
      <c r="H203" s="33">
        <v>0.17120387174833634</v>
      </c>
      <c r="I203" s="34">
        <v>7734.5935727788283</v>
      </c>
      <c r="J203" s="34">
        <v>-8006.3604240282684</v>
      </c>
      <c r="K203" s="33">
        <v>9.5000000000000001E-2</v>
      </c>
      <c r="L203" s="33">
        <v>0.2220205686630369</v>
      </c>
      <c r="M203" s="33">
        <v>0.29582577132486387</v>
      </c>
      <c r="N203" s="33">
        <v>0.52588555858310626</v>
      </c>
      <c r="O203" s="33">
        <v>0.40695296523517382</v>
      </c>
      <c r="P203" s="33">
        <v>0.41398865784499056</v>
      </c>
    </row>
    <row r="204" spans="1:16" x14ac:dyDescent="0.4">
      <c r="A204" s="35">
        <v>201</v>
      </c>
      <c r="B204" s="32">
        <v>29.299999999999784</v>
      </c>
      <c r="C204" s="32">
        <v>0.14577114427860588</v>
      </c>
      <c r="D204" s="37">
        <v>1.9701492537313432</v>
      </c>
      <c r="E204" s="33">
        <v>0.34328358208955223</v>
      </c>
      <c r="F204" s="33">
        <v>0.31343283582089554</v>
      </c>
      <c r="G204" s="33">
        <v>0.31946955997588911</v>
      </c>
      <c r="H204" s="33">
        <v>0.17179023508137431</v>
      </c>
      <c r="I204" s="34">
        <v>7735.0943396226412</v>
      </c>
      <c r="J204" s="34">
        <v>-7979.6491228070172</v>
      </c>
      <c r="K204" s="33">
        <v>9.4527363184079602E-2</v>
      </c>
      <c r="L204" s="33">
        <v>0.22242314647377939</v>
      </c>
      <c r="M204" s="33">
        <v>0.295961422543701</v>
      </c>
      <c r="N204" s="33">
        <v>0.52303523035230348</v>
      </c>
      <c r="O204" s="33">
        <v>0.40733197556008149</v>
      </c>
      <c r="P204" s="33">
        <v>0.41509433962264153</v>
      </c>
    </row>
    <row r="205" spans="1:16" x14ac:dyDescent="0.4">
      <c r="A205" s="35">
        <v>202</v>
      </c>
      <c r="B205" s="32">
        <v>21.899999999999785</v>
      </c>
      <c r="C205" s="32">
        <v>0.10841584158415736</v>
      </c>
      <c r="D205" s="37">
        <v>1.9702970297029703</v>
      </c>
      <c r="E205" s="33">
        <v>0.34158415841584161</v>
      </c>
      <c r="F205" s="33">
        <v>0.31188118811881188</v>
      </c>
      <c r="G205" s="33">
        <v>0.31913617276544692</v>
      </c>
      <c r="H205" s="33">
        <v>0.17156568686262746</v>
      </c>
      <c r="I205" s="34">
        <v>7728.5714285714284</v>
      </c>
      <c r="J205" s="34">
        <v>-7965.3846153846152</v>
      </c>
      <c r="K205" s="33">
        <v>9.405940594059406E-2</v>
      </c>
      <c r="L205" s="33">
        <v>0.22315536892621476</v>
      </c>
      <c r="M205" s="33">
        <v>0.29634073185362925</v>
      </c>
      <c r="N205" s="33">
        <v>0.521505376344086</v>
      </c>
      <c r="O205" s="33">
        <v>0.40688259109311742</v>
      </c>
      <c r="P205" s="33">
        <v>0.41541353383458646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6A3FF-234A-41FB-99EA-49B6149B9FB3}">
  <sheetPr codeName="Sheet10"/>
  <dimension ref="A1:Q237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  <row r="218" spans="1:16" x14ac:dyDescent="0.4">
      <c r="A218" s="35">
        <v>215</v>
      </c>
      <c r="B218" s="32">
        <v>2017.9999999999998</v>
      </c>
      <c r="C218" s="32">
        <v>9.3860465116279066</v>
      </c>
      <c r="D218" s="37">
        <v>1.7674418604651163</v>
      </c>
      <c r="E218" s="33">
        <v>0.47441860465116281</v>
      </c>
      <c r="F218" s="33">
        <v>0.24186046511627907</v>
      </c>
      <c r="G218" s="33">
        <v>0.3411764705882353</v>
      </c>
      <c r="H218" s="33">
        <v>0.12380952380952381</v>
      </c>
      <c r="I218" s="34">
        <v>8317.8981937602621</v>
      </c>
      <c r="J218" s="34">
        <v>-7642.0814479638011</v>
      </c>
      <c r="K218" s="33">
        <v>4.6511627906976744E-2</v>
      </c>
      <c r="L218" s="33">
        <v>0.26442577030812325</v>
      </c>
      <c r="M218" s="33">
        <v>0.23977591036414567</v>
      </c>
      <c r="N218" s="33">
        <v>0.58686440677966101</v>
      </c>
      <c r="O218" s="33">
        <v>0.47429906542056077</v>
      </c>
      <c r="P218" s="33">
        <v>0.42200328407224957</v>
      </c>
    </row>
    <row r="219" spans="1:16" x14ac:dyDescent="0.4">
      <c r="A219" s="35">
        <v>216</v>
      </c>
      <c r="B219" s="32">
        <v>2013.1999999999998</v>
      </c>
      <c r="C219" s="32">
        <v>9.3203703703703695</v>
      </c>
      <c r="D219" s="37">
        <v>1.7685185185185186</v>
      </c>
      <c r="E219" s="33">
        <v>0.47222222222222221</v>
      </c>
      <c r="F219" s="33">
        <v>0.24074074074074073</v>
      </c>
      <c r="G219" s="33">
        <v>0.34113712374581939</v>
      </c>
      <c r="H219" s="33">
        <v>0.12430323299888517</v>
      </c>
      <c r="I219" s="34">
        <v>8315.3594771241824</v>
      </c>
      <c r="J219" s="34">
        <v>-7644.8430493273545</v>
      </c>
      <c r="K219" s="33">
        <v>4.6296296296296294E-2</v>
      </c>
      <c r="L219" s="33">
        <v>0.26421404682274247</v>
      </c>
      <c r="M219" s="33">
        <v>0.2391304347826087</v>
      </c>
      <c r="N219" s="33">
        <v>0.58860759493670889</v>
      </c>
      <c r="O219" s="33">
        <v>0.47552447552447552</v>
      </c>
      <c r="P219" s="33">
        <v>0.42156862745098039</v>
      </c>
    </row>
    <row r="220" spans="1:16" x14ac:dyDescent="0.4">
      <c r="A220" s="35">
        <v>217</v>
      </c>
      <c r="B220" s="32">
        <v>1963.7999999999997</v>
      </c>
      <c r="C220" s="32">
        <v>9.0497695852534541</v>
      </c>
      <c r="D220" s="37">
        <v>1.7741935483870968</v>
      </c>
      <c r="E220" s="33">
        <v>0.47004608294930877</v>
      </c>
      <c r="F220" s="33">
        <v>0.24423963133640553</v>
      </c>
      <c r="G220" s="33">
        <v>0.3392461197339246</v>
      </c>
      <c r="H220" s="33">
        <v>0.12583148558758314</v>
      </c>
      <c r="I220" s="34">
        <v>8315.3594771241824</v>
      </c>
      <c r="J220" s="34">
        <v>-7635.242290748899</v>
      </c>
      <c r="K220" s="33">
        <v>5.0691244239631339E-2</v>
      </c>
      <c r="L220" s="33">
        <v>0.26385809312638581</v>
      </c>
      <c r="M220" s="33">
        <v>0.23835920177383593</v>
      </c>
      <c r="N220" s="33">
        <v>0.58613445378151263</v>
      </c>
      <c r="O220" s="33">
        <v>0.47441860465116281</v>
      </c>
      <c r="P220" s="33">
        <v>0.42156862745098039</v>
      </c>
    </row>
    <row r="221" spans="1:16" x14ac:dyDescent="0.4">
      <c r="A221" s="35">
        <v>218</v>
      </c>
      <c r="B221" s="32">
        <v>1930.1999999999998</v>
      </c>
      <c r="C221" s="32">
        <v>8.8541284403669724</v>
      </c>
      <c r="D221" s="37">
        <v>1.7798165137614679</v>
      </c>
      <c r="E221" s="33">
        <v>0.46788990825688076</v>
      </c>
      <c r="F221" s="33">
        <v>0.24770642201834864</v>
      </c>
      <c r="G221" s="33">
        <v>0.33736929003852506</v>
      </c>
      <c r="H221" s="33">
        <v>0.12658227848101267</v>
      </c>
      <c r="I221" s="34">
        <v>8314.8450244698197</v>
      </c>
      <c r="J221" s="34">
        <v>-7573.913043478261</v>
      </c>
      <c r="K221" s="33">
        <v>5.0458715596330278E-2</v>
      </c>
      <c r="L221" s="33">
        <v>0.26472206934507431</v>
      </c>
      <c r="M221" s="33">
        <v>0.23885525591634563</v>
      </c>
      <c r="N221" s="33">
        <v>0.58212058212058215</v>
      </c>
      <c r="O221" s="33">
        <v>0.47004608294930877</v>
      </c>
      <c r="P221" s="33">
        <v>0.42251223491027734</v>
      </c>
    </row>
    <row r="222" spans="1:16" x14ac:dyDescent="0.4">
      <c r="A222" s="35">
        <v>219</v>
      </c>
      <c r="B222" s="32">
        <v>1957.1</v>
      </c>
      <c r="C222" s="32">
        <v>8.9365296803652967</v>
      </c>
      <c r="D222" s="37">
        <v>1.7762557077625571</v>
      </c>
      <c r="E222" s="33">
        <v>0.47031963470319632</v>
      </c>
      <c r="F222" s="33">
        <v>0.24657534246575341</v>
      </c>
      <c r="G222" s="33">
        <v>0.33734281027884089</v>
      </c>
      <c r="H222" s="33">
        <v>0.12629852378348824</v>
      </c>
      <c r="I222" s="34">
        <v>8303.7277147487839</v>
      </c>
      <c r="J222" s="34">
        <v>-7575.757575757576</v>
      </c>
      <c r="K222" s="33">
        <v>5.0228310502283102E-2</v>
      </c>
      <c r="L222" s="33">
        <v>0.26517222525970474</v>
      </c>
      <c r="M222" s="33">
        <v>0.2383816293056315</v>
      </c>
      <c r="N222" s="33">
        <v>0.58144329896907221</v>
      </c>
      <c r="O222" s="33">
        <v>0.46788990825688076</v>
      </c>
      <c r="P222" s="33">
        <v>0.42139384116693679</v>
      </c>
    </row>
    <row r="223" spans="1:16" x14ac:dyDescent="0.4">
      <c r="A223" s="35">
        <v>220</v>
      </c>
      <c r="B223" s="32">
        <v>1969.1</v>
      </c>
      <c r="C223" s="32">
        <v>8.9504545454545443</v>
      </c>
      <c r="D223" s="37">
        <v>1.7772727272727273</v>
      </c>
      <c r="E223" s="33">
        <v>0.4681818181818182</v>
      </c>
      <c r="F223" s="33">
        <v>0.24545454545454545</v>
      </c>
      <c r="G223" s="33">
        <v>0.33714596949891068</v>
      </c>
      <c r="H223" s="33">
        <v>0.12581699346405228</v>
      </c>
      <c r="I223" s="34">
        <v>8308.7237479806136</v>
      </c>
      <c r="J223" s="34">
        <v>-7575.757575757576</v>
      </c>
      <c r="K223" s="33">
        <v>0.05</v>
      </c>
      <c r="L223" s="33">
        <v>0.26470588235294118</v>
      </c>
      <c r="M223" s="33">
        <v>0.23801742919389979</v>
      </c>
      <c r="N223" s="33">
        <v>0.58024691358024694</v>
      </c>
      <c r="O223" s="33">
        <v>0.46910755148741418</v>
      </c>
      <c r="P223" s="33">
        <v>0.42164781906300486</v>
      </c>
    </row>
    <row r="224" spans="1:16" x14ac:dyDescent="0.4">
      <c r="A224" s="35">
        <v>221</v>
      </c>
      <c r="B224" s="32">
        <v>1965.3999999999999</v>
      </c>
      <c r="C224" s="32">
        <v>8.8932126696832565</v>
      </c>
      <c r="D224" s="37">
        <v>1.7782805429864252</v>
      </c>
      <c r="E224" s="33">
        <v>0.4660633484162896</v>
      </c>
      <c r="F224" s="33">
        <v>0.24434389140271492</v>
      </c>
      <c r="G224" s="33">
        <v>0.33676231727125067</v>
      </c>
      <c r="H224" s="33">
        <v>0.1261505143475907</v>
      </c>
      <c r="I224" s="34">
        <v>8315.5948553054659</v>
      </c>
      <c r="J224" s="34">
        <v>-7578.9699570815446</v>
      </c>
      <c r="K224" s="33">
        <v>4.9773755656108594E-2</v>
      </c>
      <c r="L224" s="33">
        <v>0.26475365457498645</v>
      </c>
      <c r="M224" s="33">
        <v>0.23822414726583649</v>
      </c>
      <c r="N224" s="33">
        <v>0.57873210633946826</v>
      </c>
      <c r="O224" s="33">
        <v>0.4681818181818182</v>
      </c>
      <c r="P224" s="33">
        <v>0.4212218649517685</v>
      </c>
    </row>
    <row r="225" spans="1:16" x14ac:dyDescent="0.4">
      <c r="A225" s="35">
        <v>222</v>
      </c>
      <c r="B225" s="32">
        <v>1955.8999999999999</v>
      </c>
      <c r="C225" s="32">
        <v>8.8103603603603595</v>
      </c>
      <c r="D225" s="37">
        <v>1.7792792792792793</v>
      </c>
      <c r="E225" s="33">
        <v>0.46396396396396394</v>
      </c>
      <c r="F225" s="33">
        <v>0.24324324324324326</v>
      </c>
      <c r="G225" s="33">
        <v>0.33638320775026909</v>
      </c>
      <c r="H225" s="33">
        <v>0.12648008611410119</v>
      </c>
      <c r="I225" s="34">
        <v>8317.6</v>
      </c>
      <c r="J225" s="34">
        <v>-7581.2765957446809</v>
      </c>
      <c r="K225" s="33">
        <v>4.954954954954955E-2</v>
      </c>
      <c r="L225" s="33">
        <v>0.26426264800861143</v>
      </c>
      <c r="M225" s="33">
        <v>0.2378902045209903</v>
      </c>
      <c r="N225" s="33">
        <v>0.57841140529531565</v>
      </c>
      <c r="O225" s="33">
        <v>0.47058823529411764</v>
      </c>
      <c r="P225" s="33">
        <v>0.4224</v>
      </c>
    </row>
    <row r="226" spans="1:16" x14ac:dyDescent="0.4">
      <c r="A226" s="35">
        <v>223</v>
      </c>
      <c r="B226" s="32">
        <v>2010.1</v>
      </c>
      <c r="C226" s="32">
        <v>9.0139013452914796</v>
      </c>
      <c r="D226" s="37">
        <v>1.7757847533632287</v>
      </c>
      <c r="E226" s="33">
        <v>0.46636771300448432</v>
      </c>
      <c r="F226" s="33">
        <v>0.24215246636771301</v>
      </c>
      <c r="G226" s="33">
        <v>0.33727175080558541</v>
      </c>
      <c r="H226" s="33">
        <v>0.12620837808807733</v>
      </c>
      <c r="I226" s="34">
        <v>8347.4522292993624</v>
      </c>
      <c r="J226" s="34">
        <v>-7581.2765957446809</v>
      </c>
      <c r="K226" s="33">
        <v>4.9327354260089683E-2</v>
      </c>
      <c r="L226" s="33">
        <v>0.2647690655209452</v>
      </c>
      <c r="M226" s="33">
        <v>0.23791621911922664</v>
      </c>
      <c r="N226" s="33">
        <v>0.58012170385395534</v>
      </c>
      <c r="O226" s="33">
        <v>0.47178329571106092</v>
      </c>
      <c r="P226" s="33">
        <v>0.42356687898089174</v>
      </c>
    </row>
    <row r="227" spans="1:16" x14ac:dyDescent="0.4">
      <c r="A227" s="35">
        <v>224</v>
      </c>
      <c r="B227" s="32">
        <v>2035.6999999999998</v>
      </c>
      <c r="C227" s="32">
        <v>9.0879464285714278</v>
      </c>
      <c r="D227" s="37">
        <v>1.7723214285714286</v>
      </c>
      <c r="E227" s="33">
        <v>0.46875</v>
      </c>
      <c r="F227" s="33">
        <v>0.24107142857142858</v>
      </c>
      <c r="G227" s="33">
        <v>0.33814874264312467</v>
      </c>
      <c r="H227" s="33">
        <v>0.12573568753344033</v>
      </c>
      <c r="I227" s="34">
        <v>8328.0063291139249</v>
      </c>
      <c r="J227" s="34">
        <v>-7581.2765957446809</v>
      </c>
      <c r="K227" s="33">
        <v>4.9107142857142856E-2</v>
      </c>
      <c r="L227" s="33">
        <v>0.26431246655965757</v>
      </c>
      <c r="M227" s="33">
        <v>0.2391653290529695</v>
      </c>
      <c r="N227" s="33">
        <v>0.58097165991902833</v>
      </c>
      <c r="O227" s="33">
        <v>0.47427293064876958</v>
      </c>
      <c r="P227" s="33">
        <v>0.42563291139240506</v>
      </c>
    </row>
    <row r="228" spans="1:16" x14ac:dyDescent="0.4">
      <c r="A228" s="35">
        <v>225</v>
      </c>
      <c r="B228" s="32">
        <v>2042.1</v>
      </c>
      <c r="C228" s="32">
        <v>9.0759999999999987</v>
      </c>
      <c r="D228" s="37">
        <v>1.7733333333333334</v>
      </c>
      <c r="E228" s="33">
        <v>0.46666666666666667</v>
      </c>
      <c r="F228" s="33">
        <v>0.24</v>
      </c>
      <c r="G228" s="33">
        <v>0.33813333333333334</v>
      </c>
      <c r="H228" s="33">
        <v>0.12533333333333332</v>
      </c>
      <c r="I228" s="34">
        <v>8326.813880126183</v>
      </c>
      <c r="J228" s="34">
        <v>-7581.2765957446809</v>
      </c>
      <c r="K228" s="33">
        <v>4.8888888888888891E-2</v>
      </c>
      <c r="L228" s="33">
        <v>0.26453333333333334</v>
      </c>
      <c r="M228" s="33">
        <v>0.23893333333333333</v>
      </c>
      <c r="N228" s="33">
        <v>0.58266129032258063</v>
      </c>
      <c r="O228" s="33">
        <v>0.4732142857142857</v>
      </c>
      <c r="P228" s="33">
        <v>0.42586750788643535</v>
      </c>
    </row>
    <row r="229" spans="1:16" x14ac:dyDescent="0.4">
      <c r="A229" s="35">
        <v>226</v>
      </c>
      <c r="B229" s="32">
        <v>2031.5</v>
      </c>
      <c r="C229" s="32">
        <v>8.9889380530973444</v>
      </c>
      <c r="D229" s="37">
        <v>1.7743362831858407</v>
      </c>
      <c r="E229" s="33">
        <v>0.46460176991150443</v>
      </c>
      <c r="F229" s="33">
        <v>0.23893805309734514</v>
      </c>
      <c r="G229" s="33">
        <v>0.33793103448275863</v>
      </c>
      <c r="H229" s="33">
        <v>0.12519893899204243</v>
      </c>
      <c r="I229" s="34">
        <v>8307.5353218210366</v>
      </c>
      <c r="J229" s="34">
        <v>-7560.1694915254238</v>
      </c>
      <c r="K229" s="33">
        <v>4.8672566371681415E-2</v>
      </c>
      <c r="L229" s="33">
        <v>0.26525198938992045</v>
      </c>
      <c r="M229" s="33">
        <v>0.23925729442970822</v>
      </c>
      <c r="N229" s="33">
        <v>0.58199999999999996</v>
      </c>
      <c r="O229" s="33">
        <v>0.47006651884700668</v>
      </c>
      <c r="P229" s="33">
        <v>0.42543171114599687</v>
      </c>
    </row>
    <row r="230" spans="1:16" x14ac:dyDescent="0.4">
      <c r="A230" s="35">
        <v>227</v>
      </c>
      <c r="B230" s="32">
        <v>2001.4</v>
      </c>
      <c r="C230" s="32">
        <v>8.8167400881057265</v>
      </c>
      <c r="D230" s="37">
        <v>1.7797356828193833</v>
      </c>
      <c r="E230" s="33">
        <v>0.46255506607929514</v>
      </c>
      <c r="F230" s="33">
        <v>0.24229074889867841</v>
      </c>
      <c r="G230" s="33">
        <v>0.33720930232558138</v>
      </c>
      <c r="H230" s="33">
        <v>0.1273784355179704</v>
      </c>
      <c r="I230" s="34">
        <v>8300.6269592476492</v>
      </c>
      <c r="J230" s="34">
        <v>-7502.9045643153531</v>
      </c>
      <c r="K230" s="33">
        <v>4.8458149779735685E-2</v>
      </c>
      <c r="L230" s="33">
        <v>0.26479915433403806</v>
      </c>
      <c r="M230" s="33">
        <v>0.23942917547568709</v>
      </c>
      <c r="N230" s="33">
        <v>0.58083832335329344</v>
      </c>
      <c r="O230" s="33">
        <v>0.47019867549668876</v>
      </c>
      <c r="P230" s="33">
        <v>0.42476489028213166</v>
      </c>
    </row>
    <row r="231" spans="1:16" x14ac:dyDescent="0.4">
      <c r="A231" s="35">
        <v>228</v>
      </c>
      <c r="B231" s="32">
        <v>2007.4</v>
      </c>
      <c r="C231" s="32">
        <v>8.8043859649122815</v>
      </c>
      <c r="D231" s="37">
        <v>1.7807017543859649</v>
      </c>
      <c r="E231" s="33">
        <v>0.46052631578947367</v>
      </c>
      <c r="F231" s="33">
        <v>0.2412280701754386</v>
      </c>
      <c r="G231" s="33">
        <v>0.33773087071240104</v>
      </c>
      <c r="H231" s="33">
        <v>0.12717678100263852</v>
      </c>
      <c r="I231" s="34">
        <v>8282.5</v>
      </c>
      <c r="J231" s="34">
        <v>-7502.9045643153531</v>
      </c>
      <c r="K231" s="33">
        <v>4.8245614035087717E-2</v>
      </c>
      <c r="L231" s="33">
        <v>0.2649076517150396</v>
      </c>
      <c r="M231" s="33">
        <v>0.23957783641160948</v>
      </c>
      <c r="N231" s="33">
        <v>0.58167330677290841</v>
      </c>
      <c r="O231" s="33">
        <v>0.47136563876651982</v>
      </c>
      <c r="P231" s="33">
        <v>0.42499999999999999</v>
      </c>
    </row>
    <row r="232" spans="1:16" x14ac:dyDescent="0.4">
      <c r="A232" s="35">
        <v>229</v>
      </c>
      <c r="B232" s="32">
        <v>1958.9</v>
      </c>
      <c r="C232" s="32">
        <v>8.5541484716157203</v>
      </c>
      <c r="D232" s="37">
        <v>1.7860262008733625</v>
      </c>
      <c r="E232" s="33">
        <v>0.45851528384279477</v>
      </c>
      <c r="F232" s="33">
        <v>0.24454148471615719</v>
      </c>
      <c r="G232" s="33">
        <v>0.33666491320357705</v>
      </c>
      <c r="H232" s="33">
        <v>0.12835349815886377</v>
      </c>
      <c r="I232" s="34">
        <v>8282.5</v>
      </c>
      <c r="J232" s="34">
        <v>-7527.4590163934427</v>
      </c>
      <c r="K232" s="33">
        <v>5.2401746724890827E-2</v>
      </c>
      <c r="L232" s="33">
        <v>0.26407154129405574</v>
      </c>
      <c r="M232" s="33">
        <v>0.23987375065754865</v>
      </c>
      <c r="N232" s="33">
        <v>0.58167330677290841</v>
      </c>
      <c r="O232" s="33">
        <v>0.4692982456140351</v>
      </c>
      <c r="P232" s="33">
        <v>0.42499999999999999</v>
      </c>
    </row>
    <row r="233" spans="1:16" x14ac:dyDescent="0.4">
      <c r="A233" s="35">
        <v>230</v>
      </c>
      <c r="B233" s="32">
        <v>1944.5</v>
      </c>
      <c r="C233" s="32">
        <v>8.4543478260869573</v>
      </c>
      <c r="D233" s="37">
        <v>1.7913043478260871</v>
      </c>
      <c r="E233" s="33">
        <v>0.45652173913043476</v>
      </c>
      <c r="F233" s="33">
        <v>0.24782608695652175</v>
      </c>
      <c r="G233" s="33">
        <v>0.33612565445026177</v>
      </c>
      <c r="H233" s="33">
        <v>0.12827225130890052</v>
      </c>
      <c r="I233" s="34">
        <v>8268.8473520249227</v>
      </c>
      <c r="J233" s="34">
        <v>-7502.8571428571431</v>
      </c>
      <c r="K233" s="33">
        <v>5.2173913043478258E-2</v>
      </c>
      <c r="L233" s="33">
        <v>0.26387434554973821</v>
      </c>
      <c r="M233" s="33">
        <v>0.23926701570680628</v>
      </c>
      <c r="N233" s="33">
        <v>0.58134920634920639</v>
      </c>
      <c r="O233" s="33">
        <v>0.46827133479212252</v>
      </c>
      <c r="P233" s="33">
        <v>0.42367601246105918</v>
      </c>
    </row>
    <row r="234" spans="1:16" x14ac:dyDescent="0.4">
      <c r="A234" s="35">
        <v>231</v>
      </c>
      <c r="B234" s="32">
        <v>1967.5</v>
      </c>
      <c r="C234" s="32">
        <v>8.5173160173160181</v>
      </c>
      <c r="D234" s="37">
        <v>1.7878787878787878</v>
      </c>
      <c r="E234" s="33">
        <v>0.45887445887445888</v>
      </c>
      <c r="F234" s="33">
        <v>0.24675324675324675</v>
      </c>
      <c r="G234" s="33">
        <v>0.3362877997914494</v>
      </c>
      <c r="H234" s="33">
        <v>0.12877997914494266</v>
      </c>
      <c r="I234" s="34">
        <v>8271.937984496124</v>
      </c>
      <c r="J234" s="34">
        <v>-7478.5425101214578</v>
      </c>
      <c r="K234" s="33">
        <v>5.1948051948051951E-2</v>
      </c>
      <c r="L234" s="33">
        <v>0.26329509906152243</v>
      </c>
      <c r="M234" s="33">
        <v>0.24035453597497394</v>
      </c>
      <c r="N234" s="33">
        <v>0.58019801980198016</v>
      </c>
      <c r="O234" s="33">
        <v>0.46854663774403471</v>
      </c>
      <c r="P234" s="33">
        <v>0.42325581395348838</v>
      </c>
    </row>
    <row r="235" spans="1:16" x14ac:dyDescent="0.4">
      <c r="A235" s="35">
        <v>232</v>
      </c>
      <c r="B235" s="32">
        <v>1995.1</v>
      </c>
      <c r="C235" s="32">
        <v>8.5995689655172409</v>
      </c>
      <c r="D235" s="37">
        <v>1.7844827586206897</v>
      </c>
      <c r="E235" s="33">
        <v>0.46120689655172414</v>
      </c>
      <c r="F235" s="33">
        <v>0.24568965517241378</v>
      </c>
      <c r="G235" s="33">
        <v>0.33783783783783783</v>
      </c>
      <c r="H235" s="33">
        <v>0.12837837837837837</v>
      </c>
      <c r="I235" s="34">
        <v>8241.538461538461</v>
      </c>
      <c r="J235" s="34">
        <v>-7478.5425101214578</v>
      </c>
      <c r="K235" s="33">
        <v>5.1724137931034482E-2</v>
      </c>
      <c r="L235" s="33">
        <v>0.26299376299376298</v>
      </c>
      <c r="M235" s="33">
        <v>0.24116424116424118</v>
      </c>
      <c r="N235" s="33">
        <v>0.5810276679841897</v>
      </c>
      <c r="O235" s="33">
        <v>0.47198275862068967</v>
      </c>
      <c r="P235" s="33">
        <v>0.42</v>
      </c>
    </row>
    <row r="236" spans="1:16" x14ac:dyDescent="0.4">
      <c r="A236" s="35">
        <v>233</v>
      </c>
      <c r="B236" s="32">
        <v>2043.5</v>
      </c>
      <c r="C236" s="32">
        <v>8.7703862660944214</v>
      </c>
      <c r="D236" s="37">
        <v>1.7811158798283262</v>
      </c>
      <c r="E236" s="33">
        <v>0.46351931330472101</v>
      </c>
      <c r="F236" s="33">
        <v>0.24463519313304721</v>
      </c>
      <c r="G236" s="33">
        <v>0.33886010362694302</v>
      </c>
      <c r="H236" s="33">
        <v>0.12797927461139896</v>
      </c>
      <c r="I236" s="34">
        <v>8252.905198776758</v>
      </c>
      <c r="J236" s="34">
        <v>-7478.5425101214578</v>
      </c>
      <c r="K236" s="33">
        <v>5.1502145922746781E-2</v>
      </c>
      <c r="L236" s="33">
        <v>0.26269430051813469</v>
      </c>
      <c r="M236" s="33">
        <v>0.24196891191709843</v>
      </c>
      <c r="N236" s="33">
        <v>0.5818540433925049</v>
      </c>
      <c r="O236" s="33">
        <v>0.47323340471092079</v>
      </c>
      <c r="P236" s="33">
        <v>0.42048929663608564</v>
      </c>
    </row>
    <row r="237" spans="1:16" x14ac:dyDescent="0.4">
      <c r="A237" s="35">
        <v>234</v>
      </c>
      <c r="B237" s="32">
        <v>2082</v>
      </c>
      <c r="C237" s="32">
        <v>8.8974358974358978</v>
      </c>
      <c r="D237" s="37">
        <v>1.7777777777777777</v>
      </c>
      <c r="E237" s="33">
        <v>0.46581196581196582</v>
      </c>
      <c r="F237" s="33">
        <v>0.24358974358974358</v>
      </c>
      <c r="G237" s="33">
        <v>0.33900928792569657</v>
      </c>
      <c r="H237" s="33">
        <v>0.12745098039215685</v>
      </c>
      <c r="I237" s="34">
        <v>8257.8386605783871</v>
      </c>
      <c r="J237" s="34">
        <v>-7478.5425101214578</v>
      </c>
      <c r="K237" s="33">
        <v>5.128205128205128E-2</v>
      </c>
      <c r="L237" s="33">
        <v>0.26212590299277605</v>
      </c>
      <c r="M237" s="33">
        <v>0.24148606811145512</v>
      </c>
      <c r="N237" s="33">
        <v>0.58267716535433067</v>
      </c>
      <c r="O237" s="33">
        <v>0.47435897435897434</v>
      </c>
      <c r="P237" s="33">
        <v>0.42161339421613392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9648E-B23F-44F0-AB80-BA5BEF79E326}">
  <sheetPr codeName="Sheet8"/>
  <dimension ref="A1:Q98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  <row r="97" spans="1:16" x14ac:dyDescent="0.4">
      <c r="A97" s="35">
        <v>94</v>
      </c>
      <c r="B97" s="32">
        <v>-702.60000000000025</v>
      </c>
      <c r="C97" s="32">
        <v>-7.4744680851063858</v>
      </c>
      <c r="D97" s="37">
        <v>2.1702127659574466</v>
      </c>
      <c r="E97" s="33">
        <v>0.26595744680851063</v>
      </c>
      <c r="F97" s="33">
        <v>0.43617021276595747</v>
      </c>
      <c r="G97" s="33">
        <v>0.27326968973747018</v>
      </c>
      <c r="H97" s="33">
        <v>0.1610978520286396</v>
      </c>
      <c r="I97" s="34">
        <v>7053.711790393013</v>
      </c>
      <c r="J97" s="34">
        <v>-7708.8888888888887</v>
      </c>
      <c r="K97" s="33">
        <v>9.5744680851063829E-2</v>
      </c>
      <c r="L97" s="33">
        <v>0.14439140811455847</v>
      </c>
      <c r="M97" s="33">
        <v>0.26252983293556087</v>
      </c>
      <c r="N97" s="33">
        <v>0.52892561983471076</v>
      </c>
      <c r="O97" s="33">
        <v>0.39545454545454545</v>
      </c>
      <c r="P97" s="33">
        <v>0.42358078602620086</v>
      </c>
    </row>
    <row r="98" spans="1:16" x14ac:dyDescent="0.4">
      <c r="A98" s="35">
        <v>95</v>
      </c>
      <c r="B98" s="32">
        <v>-703.00000000000023</v>
      </c>
      <c r="C98" s="32">
        <v>-7.4000000000000021</v>
      </c>
      <c r="D98" s="37">
        <v>2.168421052631579</v>
      </c>
      <c r="E98" s="33">
        <v>0.26315789473684209</v>
      </c>
      <c r="F98" s="33">
        <v>0.43157894736842106</v>
      </c>
      <c r="G98" s="33">
        <v>0.27476415094339623</v>
      </c>
      <c r="H98" s="33">
        <v>0.16037735849056603</v>
      </c>
      <c r="I98" s="34">
        <v>6991.4163090128759</v>
      </c>
      <c r="J98" s="34">
        <v>-7711.0294117647063</v>
      </c>
      <c r="K98" s="33">
        <v>9.4736842105263161E-2</v>
      </c>
      <c r="L98" s="33">
        <v>0.14622641509433962</v>
      </c>
      <c r="M98" s="33">
        <v>0.2617924528301887</v>
      </c>
      <c r="N98" s="33">
        <v>0.532258064516129</v>
      </c>
      <c r="O98" s="33">
        <v>0.3963963963963964</v>
      </c>
      <c r="P98" s="33">
        <v>0.42918454935622319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DAF8-29FB-4096-AA58-3A71F8C09A1D}">
  <sheetPr codeName="Sheet6"/>
  <dimension ref="A1:Q386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  <row r="359" spans="1:16" x14ac:dyDescent="0.4">
      <c r="A359" s="35">
        <v>356</v>
      </c>
      <c r="B359" s="32">
        <v>-9.2370555648813024E-14</v>
      </c>
      <c r="C359" s="32">
        <v>-8.6489284315368002E-17</v>
      </c>
      <c r="D359" s="37">
        <v>2</v>
      </c>
      <c r="E359" s="33">
        <v>0.33333333333333331</v>
      </c>
      <c r="F359" s="33">
        <v>0.33333333333333331</v>
      </c>
      <c r="G359" s="33">
        <v>0.29361083137518185</v>
      </c>
      <c r="H359" s="33">
        <v>0.15967326843459773</v>
      </c>
      <c r="I359" s="34">
        <v>8462.2713414634145</v>
      </c>
      <c r="J359" s="34">
        <v>-7863.4197617379114</v>
      </c>
      <c r="K359" s="33">
        <v>0.10018726591760299</v>
      </c>
      <c r="L359" s="33">
        <v>0.24997202640707172</v>
      </c>
      <c r="M359" s="33">
        <v>0.2327402931632539</v>
      </c>
      <c r="N359" s="33">
        <v>0.54700089525514772</v>
      </c>
      <c r="O359" s="33">
        <v>0.41634615384615387</v>
      </c>
      <c r="P359" s="33">
        <v>0.45083841463414637</v>
      </c>
    </row>
    <row r="360" spans="1:16" x14ac:dyDescent="0.4">
      <c r="A360" s="35">
        <v>357</v>
      </c>
      <c r="B360" s="32">
        <v>-9.50350909079134E-14</v>
      </c>
      <c r="C360" s="32">
        <v>-8.8734912145577409E-17</v>
      </c>
      <c r="D360" s="37">
        <v>2</v>
      </c>
      <c r="E360" s="33">
        <v>0.33333333333333331</v>
      </c>
      <c r="F360" s="33">
        <v>0.33333333333333331</v>
      </c>
      <c r="G360" s="33">
        <v>0.29373047746541725</v>
      </c>
      <c r="H360" s="33">
        <v>0.15963855421686746</v>
      </c>
      <c r="I360" s="34">
        <v>8457.6908469426508</v>
      </c>
      <c r="J360" s="34">
        <v>-7863.3123689727463</v>
      </c>
      <c r="K360" s="33">
        <v>9.990662931839403E-2</v>
      </c>
      <c r="L360" s="33">
        <v>0.24977688531905398</v>
      </c>
      <c r="M360" s="33">
        <v>0.23293172690763053</v>
      </c>
      <c r="N360" s="33">
        <v>0.54801250558284953</v>
      </c>
      <c r="O360" s="33">
        <v>0.41666666666666669</v>
      </c>
      <c r="P360" s="33">
        <v>0.45119635396885682</v>
      </c>
    </row>
    <row r="361" spans="1:16" x14ac:dyDescent="0.4">
      <c r="A361" s="35">
        <v>358</v>
      </c>
      <c r="B361" s="32">
        <v>-9.2370555648813024E-14</v>
      </c>
      <c r="C361" s="32">
        <v>-8.6006103956064264E-17</v>
      </c>
      <c r="D361" s="37">
        <v>2</v>
      </c>
      <c r="E361" s="33">
        <v>0.33333333333333331</v>
      </c>
      <c r="F361" s="33">
        <v>0.33333333333333331</v>
      </c>
      <c r="G361" s="33">
        <v>0.29352901934623082</v>
      </c>
      <c r="H361" s="33">
        <v>0.15966199688681343</v>
      </c>
      <c r="I361" s="34">
        <v>8450.9090909090901</v>
      </c>
      <c r="J361" s="34">
        <v>-7858.4261838440116</v>
      </c>
      <c r="K361" s="33">
        <v>0.1005586592178771</v>
      </c>
      <c r="L361" s="33">
        <v>0.24961085167889704</v>
      </c>
      <c r="M361" s="33">
        <v>0.23315543695797197</v>
      </c>
      <c r="N361" s="33">
        <v>0.54743875278396437</v>
      </c>
      <c r="O361" s="33">
        <v>0.41678588459704341</v>
      </c>
      <c r="P361" s="33">
        <v>0.45075757575757575</v>
      </c>
    </row>
    <row r="362" spans="1:16" x14ac:dyDescent="0.4">
      <c r="A362" s="35">
        <v>359</v>
      </c>
      <c r="B362" s="32">
        <v>-9.2370555648813024E-14</v>
      </c>
      <c r="C362" s="32">
        <v>-8.5766532635852393E-17</v>
      </c>
      <c r="D362" s="37">
        <v>2</v>
      </c>
      <c r="E362" s="33">
        <v>0.33333333333333331</v>
      </c>
      <c r="F362" s="33">
        <v>0.33333333333333331</v>
      </c>
      <c r="G362" s="33">
        <v>0.29325805380272335</v>
      </c>
      <c r="H362" s="33">
        <v>0.15952618177792538</v>
      </c>
      <c r="I362" s="34">
        <v>8449.4148735371837</v>
      </c>
      <c r="J362" s="34">
        <v>-7855.1006245662738</v>
      </c>
      <c r="K362" s="33">
        <v>0.10027855153203342</v>
      </c>
      <c r="L362" s="33">
        <v>0.24997232370198164</v>
      </c>
      <c r="M362" s="33">
        <v>0.23325583969888189</v>
      </c>
      <c r="N362" s="33">
        <v>0.54694419840566877</v>
      </c>
      <c r="O362" s="33">
        <v>0.41528239202657807</v>
      </c>
      <c r="P362" s="33">
        <v>0.45073612684031711</v>
      </c>
    </row>
    <row r="363" spans="1:16" x14ac:dyDescent="0.4">
      <c r="A363" s="35">
        <v>360</v>
      </c>
      <c r="B363" s="32">
        <v>-9.5923269327613525E-14</v>
      </c>
      <c r="C363" s="32">
        <v>-8.8817841970012528E-17</v>
      </c>
      <c r="D363" s="37">
        <v>2</v>
      </c>
      <c r="E363" s="33">
        <v>0.33333333333333331</v>
      </c>
      <c r="F363" s="33">
        <v>0.33333333333333331</v>
      </c>
      <c r="G363" s="33">
        <v>0.29330686955562907</v>
      </c>
      <c r="H363" s="33">
        <v>0.15966479214907928</v>
      </c>
      <c r="I363" s="34">
        <v>8442.2932330827061</v>
      </c>
      <c r="J363" s="34">
        <v>-7850.4143646408838</v>
      </c>
      <c r="K363" s="33">
        <v>0.1</v>
      </c>
      <c r="L363" s="33">
        <v>0.25019296504576027</v>
      </c>
      <c r="M363" s="33">
        <v>0.23277097805711766</v>
      </c>
      <c r="N363" s="33">
        <v>0.54693697664169239</v>
      </c>
      <c r="O363" s="33">
        <v>0.41544291804831834</v>
      </c>
      <c r="P363" s="33">
        <v>0.45</v>
      </c>
    </row>
    <row r="364" spans="1:16" x14ac:dyDescent="0.4">
      <c r="A364" s="35">
        <v>361</v>
      </c>
      <c r="B364" s="32">
        <v>-9.2370555648813024E-14</v>
      </c>
      <c r="C364" s="32">
        <v>-8.5291371790224398E-17</v>
      </c>
      <c r="D364" s="37">
        <v>2</v>
      </c>
      <c r="E364" s="33">
        <v>0.33333333333333331</v>
      </c>
      <c r="F364" s="33">
        <v>0.33333333333333331</v>
      </c>
      <c r="G364" s="33">
        <v>0.29339933993399342</v>
      </c>
      <c r="H364" s="33">
        <v>0.15951595159515952</v>
      </c>
      <c r="I364" s="34">
        <v>8439.520059992501</v>
      </c>
      <c r="J364" s="34">
        <v>-7860.2758620689656</v>
      </c>
      <c r="K364" s="33">
        <v>9.9722991689750698E-2</v>
      </c>
      <c r="L364" s="33">
        <v>0.24972497249724973</v>
      </c>
      <c r="M364" s="33">
        <v>0.23333333333333334</v>
      </c>
      <c r="N364" s="33">
        <v>0.54669603524229071</v>
      </c>
      <c r="O364" s="33">
        <v>0.41631305987741629</v>
      </c>
      <c r="P364" s="33">
        <v>0.45069366329208849</v>
      </c>
    </row>
    <row r="365" spans="1:16" x14ac:dyDescent="0.4">
      <c r="A365" s="35">
        <v>362</v>
      </c>
      <c r="B365" s="32">
        <v>-8.9706020389712648E-14</v>
      </c>
      <c r="C365" s="32">
        <v>-8.2602228719809067E-17</v>
      </c>
      <c r="D365" s="37">
        <v>2</v>
      </c>
      <c r="E365" s="33">
        <v>0.33333333333333331</v>
      </c>
      <c r="F365" s="33">
        <v>0.33333333333333331</v>
      </c>
      <c r="G365" s="33">
        <v>0.29321495122218566</v>
      </c>
      <c r="H365" s="33">
        <v>0.15937739778581608</v>
      </c>
      <c r="I365" s="34">
        <v>8440.1121495327097</v>
      </c>
      <c r="J365" s="34">
        <v>-7861.6918844566717</v>
      </c>
      <c r="K365" s="33">
        <v>9.9447513812154692E-2</v>
      </c>
      <c r="L365" s="33">
        <v>0.249698564068837</v>
      </c>
      <c r="M365" s="33">
        <v>0.23336621725309656</v>
      </c>
      <c r="N365" s="33">
        <v>0.54653204565408253</v>
      </c>
      <c r="O365" s="33">
        <v>0.41615782057303896</v>
      </c>
      <c r="P365" s="33">
        <v>0.45084112149532712</v>
      </c>
    </row>
    <row r="366" spans="1:16" x14ac:dyDescent="0.4">
      <c r="A366" s="35">
        <v>363</v>
      </c>
      <c r="B366" s="32">
        <v>-8.8817841970012523E-14</v>
      </c>
      <c r="C366" s="32">
        <v>-8.1559083535365029E-17</v>
      </c>
      <c r="D366" s="37">
        <v>2</v>
      </c>
      <c r="E366" s="33">
        <v>0.33333333333333331</v>
      </c>
      <c r="F366" s="33">
        <v>0.33333333333333331</v>
      </c>
      <c r="G366" s="33">
        <v>0.29318455311235092</v>
      </c>
      <c r="H366" s="33">
        <v>0.15928235422820261</v>
      </c>
      <c r="I366" s="34">
        <v>8437.5</v>
      </c>
      <c r="J366" s="34">
        <v>-7855.8379120879117</v>
      </c>
      <c r="K366" s="33">
        <v>9.9173553719008267E-2</v>
      </c>
      <c r="L366" s="33">
        <v>0.24975385625205121</v>
      </c>
      <c r="M366" s="33">
        <v>0.23312547861284325</v>
      </c>
      <c r="N366" s="33">
        <v>0.54708716600963647</v>
      </c>
      <c r="O366" s="33">
        <v>0.41623650868137024</v>
      </c>
      <c r="P366" s="33">
        <v>0.45111940298507464</v>
      </c>
    </row>
    <row r="367" spans="1:16" x14ac:dyDescent="0.4">
      <c r="A367" s="35">
        <v>364</v>
      </c>
      <c r="B367" s="32">
        <v>-9.0261131902025227E-14</v>
      </c>
      <c r="C367" s="32">
        <v>-8.26567141959938E-17</v>
      </c>
      <c r="D367" s="37">
        <v>2</v>
      </c>
      <c r="E367" s="33">
        <v>0.33333333333333331</v>
      </c>
      <c r="F367" s="33">
        <v>0.33333333333333331</v>
      </c>
      <c r="G367" s="33">
        <v>0.2930978083087995</v>
      </c>
      <c r="H367" s="33">
        <v>0.1590884309235634</v>
      </c>
      <c r="I367" s="34">
        <v>8423.2886904761908</v>
      </c>
      <c r="J367" s="34">
        <v>-7853.3241946538728</v>
      </c>
      <c r="K367" s="33">
        <v>9.8901098901098897E-2</v>
      </c>
      <c r="L367" s="33">
        <v>0.24948206302475193</v>
      </c>
      <c r="M367" s="33">
        <v>0.23279904045360375</v>
      </c>
      <c r="N367" s="33">
        <v>0.5476398601398601</v>
      </c>
      <c r="O367" s="33">
        <v>0.4163934426229508</v>
      </c>
      <c r="P367" s="33">
        <v>0.45163690476190477</v>
      </c>
    </row>
    <row r="368" spans="1:16" x14ac:dyDescent="0.4">
      <c r="A368" s="35">
        <v>365</v>
      </c>
      <c r="B368" s="32">
        <v>-8.5265128291212022E-14</v>
      </c>
      <c r="C368" s="32">
        <v>-7.7867697069600021E-17</v>
      </c>
      <c r="D368" s="37">
        <v>2</v>
      </c>
      <c r="E368" s="33">
        <v>0.33333333333333331</v>
      </c>
      <c r="F368" s="33">
        <v>0.33333333333333331</v>
      </c>
      <c r="G368" s="33">
        <v>0.29320282762370853</v>
      </c>
      <c r="H368" s="33">
        <v>0.1589994562262099</v>
      </c>
      <c r="I368" s="34">
        <v>8423.2937685459947</v>
      </c>
      <c r="J368" s="34">
        <v>-7858.8919288645693</v>
      </c>
      <c r="K368" s="33">
        <v>9.8630136986301367E-2</v>
      </c>
      <c r="L368" s="33">
        <v>0.24970092441544317</v>
      </c>
      <c r="M368" s="33">
        <v>0.23251767264817835</v>
      </c>
      <c r="N368" s="33">
        <v>0.5483449477351916</v>
      </c>
      <c r="O368" s="33">
        <v>0.41674462114125349</v>
      </c>
      <c r="P368" s="33">
        <v>0.4521513353115727</v>
      </c>
    </row>
    <row r="369" spans="1:16" x14ac:dyDescent="0.4">
      <c r="A369" s="35">
        <v>366</v>
      </c>
      <c r="B369" s="32">
        <v>-8.8817841970012523E-14</v>
      </c>
      <c r="C369" s="32">
        <v>-8.0890566457206301E-17</v>
      </c>
      <c r="D369" s="37">
        <v>2</v>
      </c>
      <c r="E369" s="33">
        <v>0.33333333333333331</v>
      </c>
      <c r="F369" s="33">
        <v>0.33333333333333331</v>
      </c>
      <c r="G369" s="33">
        <v>0.29326818675352878</v>
      </c>
      <c r="H369" s="33">
        <v>0.15917480998914224</v>
      </c>
      <c r="I369" s="34">
        <v>8422.7693446871526</v>
      </c>
      <c r="J369" s="34">
        <v>-7857.0259208731241</v>
      </c>
      <c r="K369" s="33">
        <v>9.9271402550091078E-2</v>
      </c>
      <c r="L369" s="33">
        <v>0.24961997828447341</v>
      </c>
      <c r="M369" s="33">
        <v>0.23279044516829533</v>
      </c>
      <c r="N369" s="33">
        <v>0.5484993475424097</v>
      </c>
      <c r="O369" s="33">
        <v>0.41651119402985076</v>
      </c>
      <c r="P369" s="33">
        <v>0.45168456127360235</v>
      </c>
    </row>
    <row r="370" spans="1:16" x14ac:dyDescent="0.4">
      <c r="A370" s="35">
        <v>367</v>
      </c>
      <c r="B370" s="32">
        <v>-8.8817841970012523E-14</v>
      </c>
      <c r="C370" s="32">
        <v>-8.0670156194380126E-17</v>
      </c>
      <c r="D370" s="37">
        <v>2</v>
      </c>
      <c r="E370" s="33">
        <v>0.33333333333333331</v>
      </c>
      <c r="F370" s="33">
        <v>0.33333333333333331</v>
      </c>
      <c r="G370" s="33">
        <v>0.29330304013848318</v>
      </c>
      <c r="H370" s="33">
        <v>0.1590392729633236</v>
      </c>
      <c r="I370" s="34">
        <v>8421.6156399852462</v>
      </c>
      <c r="J370" s="34">
        <v>-7852.0408163265311</v>
      </c>
      <c r="K370" s="33">
        <v>9.9000908265213447E-2</v>
      </c>
      <c r="L370" s="33">
        <v>0.24959428756897112</v>
      </c>
      <c r="M370" s="33">
        <v>0.23282484041977713</v>
      </c>
      <c r="N370" s="33">
        <v>0.54876462938881665</v>
      </c>
      <c r="O370" s="33">
        <v>0.41682156133828996</v>
      </c>
      <c r="P370" s="33">
        <v>0.45223164883806716</v>
      </c>
    </row>
    <row r="371" spans="1:16" x14ac:dyDescent="0.4">
      <c r="A371" s="35">
        <v>368</v>
      </c>
      <c r="B371" s="32">
        <v>-8.5265128291212022E-14</v>
      </c>
      <c r="C371" s="32">
        <v>-7.7232906060880453E-17</v>
      </c>
      <c r="D371" s="37">
        <v>2</v>
      </c>
      <c r="E371" s="33">
        <v>0.33333333333333331</v>
      </c>
      <c r="F371" s="33">
        <v>0.33333333333333331</v>
      </c>
      <c r="G371" s="33">
        <v>0.29324689357104267</v>
      </c>
      <c r="H371" s="33">
        <v>0.15894111291193949</v>
      </c>
      <c r="I371" s="34">
        <v>8428.408253500369</v>
      </c>
      <c r="J371" s="34">
        <v>-7863.0183548606392</v>
      </c>
      <c r="K371" s="33">
        <v>9.9637681159420288E-2</v>
      </c>
      <c r="L371" s="33">
        <v>0.24970286331712588</v>
      </c>
      <c r="M371" s="33">
        <v>0.23273905996758509</v>
      </c>
      <c r="N371" s="33">
        <v>0.54868022501081781</v>
      </c>
      <c r="O371" s="33">
        <v>0.41689879294336118</v>
      </c>
      <c r="P371" s="33">
        <v>0.4524686809137804</v>
      </c>
    </row>
    <row r="372" spans="1:16" x14ac:dyDescent="0.4">
      <c r="A372" s="35">
        <v>369</v>
      </c>
      <c r="B372" s="32">
        <v>-8.5265128291212022E-14</v>
      </c>
      <c r="C372" s="32">
        <v>-7.7023602792422784E-17</v>
      </c>
      <c r="D372" s="37">
        <v>2</v>
      </c>
      <c r="E372" s="33">
        <v>0.33333333333333331</v>
      </c>
      <c r="F372" s="33">
        <v>0.33333333333333331</v>
      </c>
      <c r="G372" s="33">
        <v>0.29320388349514565</v>
      </c>
      <c r="H372" s="33">
        <v>0.15889967637540453</v>
      </c>
      <c r="I372" s="34">
        <v>8438.3738042678433</v>
      </c>
      <c r="J372" s="34">
        <v>-7861.0319076714186</v>
      </c>
      <c r="K372" s="33">
        <v>0.1002710027100271</v>
      </c>
      <c r="L372" s="33">
        <v>0.24973031283710895</v>
      </c>
      <c r="M372" s="33">
        <v>0.23236245954692555</v>
      </c>
      <c r="N372" s="33">
        <v>0.54859611231101513</v>
      </c>
      <c r="O372" s="33">
        <v>0.41689879294336118</v>
      </c>
      <c r="P372" s="33">
        <v>0.45253863134657835</v>
      </c>
    </row>
    <row r="373" spans="1:16" x14ac:dyDescent="0.4">
      <c r="A373" s="35">
        <v>370</v>
      </c>
      <c r="B373" s="32">
        <v>-9.2370555648813024E-14</v>
      </c>
      <c r="C373" s="32">
        <v>-8.3216716800732455E-17</v>
      </c>
      <c r="D373" s="37">
        <v>2</v>
      </c>
      <c r="E373" s="33">
        <v>0.33333333333333331</v>
      </c>
      <c r="F373" s="33">
        <v>0.33333333333333331</v>
      </c>
      <c r="G373" s="33">
        <v>0.2931480284421461</v>
      </c>
      <c r="H373" s="33">
        <v>0.15890971773324714</v>
      </c>
      <c r="I373" s="34">
        <v>8452.5542080117611</v>
      </c>
      <c r="J373" s="34">
        <v>-7885.5593220338988</v>
      </c>
      <c r="K373" s="33">
        <v>0.1009009009009009</v>
      </c>
      <c r="L373" s="33">
        <v>0.24973066149536738</v>
      </c>
      <c r="M373" s="33">
        <v>0.23216979099332041</v>
      </c>
      <c r="N373" s="33">
        <v>0.54831751509922344</v>
      </c>
      <c r="O373" s="33">
        <v>0.41670533642691415</v>
      </c>
      <c r="P373" s="33">
        <v>0.4524072032341051</v>
      </c>
    </row>
    <row r="374" spans="1:16" x14ac:dyDescent="0.4">
      <c r="A374" s="35">
        <v>371</v>
      </c>
      <c r="B374" s="32">
        <v>-9.4146912488213275E-14</v>
      </c>
      <c r="C374" s="32">
        <v>-8.4588420923821446E-17</v>
      </c>
      <c r="D374" s="37">
        <v>2</v>
      </c>
      <c r="E374" s="33">
        <v>0.33333333333333331</v>
      </c>
      <c r="F374" s="33">
        <v>0.33333333333333331</v>
      </c>
      <c r="G374" s="33">
        <v>0.29282183537502687</v>
      </c>
      <c r="H374" s="33">
        <v>0.15849989254244573</v>
      </c>
      <c r="I374" s="34">
        <v>8449.5045871559632</v>
      </c>
      <c r="J374" s="34">
        <v>-7885.5593220338988</v>
      </c>
      <c r="K374" s="33">
        <v>0.10062893081761007</v>
      </c>
      <c r="L374" s="33">
        <v>0.25005372877713306</v>
      </c>
      <c r="M374" s="33">
        <v>0.23189340210616807</v>
      </c>
      <c r="N374" s="33">
        <v>0.54705629565964764</v>
      </c>
      <c r="O374" s="33">
        <v>0.41705282669138088</v>
      </c>
      <c r="P374" s="33">
        <v>0.45321100917431195</v>
      </c>
    </row>
    <row r="375" spans="1:16" x14ac:dyDescent="0.4">
      <c r="A375" s="35">
        <v>372</v>
      </c>
      <c r="B375" s="32">
        <v>-9.7699626167013776E-14</v>
      </c>
      <c r="C375" s="32">
        <v>-8.7544467891589405E-17</v>
      </c>
      <c r="D375" s="37">
        <v>2</v>
      </c>
      <c r="E375" s="33">
        <v>0.33333333333333331</v>
      </c>
      <c r="F375" s="33">
        <v>0.33333333333333331</v>
      </c>
      <c r="G375" s="33">
        <v>0.29283188685310191</v>
      </c>
      <c r="H375" s="33">
        <v>0.15857709203900139</v>
      </c>
      <c r="I375" s="34">
        <v>8449.1767288693736</v>
      </c>
      <c r="J375" s="34">
        <v>-7895</v>
      </c>
      <c r="K375" s="33">
        <v>0.10125448028673835</v>
      </c>
      <c r="L375" s="33">
        <v>0.25018750669666773</v>
      </c>
      <c r="M375" s="33">
        <v>0.23186542376513447</v>
      </c>
      <c r="N375" s="33">
        <v>0.54689507494646683</v>
      </c>
      <c r="O375" s="33">
        <v>0.41682070240295749</v>
      </c>
      <c r="P375" s="33">
        <v>0.45298207098426635</v>
      </c>
    </row>
    <row r="376" spans="1:16" x14ac:dyDescent="0.4">
      <c r="A376" s="35">
        <v>373</v>
      </c>
      <c r="B376" s="32">
        <v>-9.2370555648813024E-14</v>
      </c>
      <c r="C376" s="32">
        <v>-8.254741344844774E-17</v>
      </c>
      <c r="D376" s="37">
        <v>2</v>
      </c>
      <c r="E376" s="33">
        <v>0.33333333333333331</v>
      </c>
      <c r="F376" s="33">
        <v>0.33333333333333331</v>
      </c>
      <c r="G376" s="33">
        <v>0.29292281376951035</v>
      </c>
      <c r="H376" s="33">
        <v>0.15843489416292494</v>
      </c>
      <c r="I376" s="34">
        <v>8442.4817518248183</v>
      </c>
      <c r="J376" s="34">
        <v>-7890.2159244264503</v>
      </c>
      <c r="K376" s="33">
        <v>0.10098302055406613</v>
      </c>
      <c r="L376" s="33">
        <v>0.25016035920461832</v>
      </c>
      <c r="M376" s="33">
        <v>0.23198631601453923</v>
      </c>
      <c r="N376" s="33">
        <v>0.54700854700854706</v>
      </c>
      <c r="O376" s="33">
        <v>0.41751152073732717</v>
      </c>
      <c r="P376" s="33">
        <v>0.45364963503649636</v>
      </c>
    </row>
    <row r="377" spans="1:16" x14ac:dyDescent="0.4">
      <c r="A377" s="35">
        <v>374</v>
      </c>
      <c r="B377" s="32">
        <v>-9.4146912488213275E-14</v>
      </c>
      <c r="C377" s="32">
        <v>-8.3909904178443198E-17</v>
      </c>
      <c r="D377" s="37">
        <v>2</v>
      </c>
      <c r="E377" s="33">
        <v>0.33333333333333331</v>
      </c>
      <c r="F377" s="33">
        <v>0.33333333333333331</v>
      </c>
      <c r="G377" s="33">
        <v>0.29310712761416985</v>
      </c>
      <c r="H377" s="33">
        <v>0.15845070422535212</v>
      </c>
      <c r="I377" s="34">
        <v>8437.7502730251181</v>
      </c>
      <c r="J377" s="34">
        <v>-7885.5892255892259</v>
      </c>
      <c r="K377" s="33">
        <v>0.10071301247771836</v>
      </c>
      <c r="L377" s="33">
        <v>0.25</v>
      </c>
      <c r="M377" s="33">
        <v>0.23196756295347845</v>
      </c>
      <c r="N377" s="33">
        <v>0.54758856167306869</v>
      </c>
      <c r="O377" s="33">
        <v>0.41766329346826125</v>
      </c>
      <c r="P377" s="33">
        <v>0.45358572988714962</v>
      </c>
    </row>
    <row r="378" spans="1:16" x14ac:dyDescent="0.4">
      <c r="A378" s="35">
        <v>375</v>
      </c>
      <c r="B378" s="32">
        <v>-9.0594198809412774E-14</v>
      </c>
      <c r="C378" s="32">
        <v>-8.0528176719478027E-17</v>
      </c>
      <c r="D378" s="37">
        <v>2</v>
      </c>
      <c r="E378" s="33">
        <v>0.33333333333333331</v>
      </c>
      <c r="F378" s="33">
        <v>0.33333333333333331</v>
      </c>
      <c r="G378" s="33">
        <v>0.29302276111465647</v>
      </c>
      <c r="H378" s="33">
        <v>0.15826419910657308</v>
      </c>
      <c r="I378" s="34">
        <v>8432.4137931034475</v>
      </c>
      <c r="J378" s="34">
        <v>-7878.561827956989</v>
      </c>
      <c r="K378" s="33">
        <v>0.10044444444444445</v>
      </c>
      <c r="L378" s="33">
        <v>0.2503722612210168</v>
      </c>
      <c r="M378" s="33">
        <v>0.23175920017017657</v>
      </c>
      <c r="N378" s="33">
        <v>0.54757858963466444</v>
      </c>
      <c r="O378" s="33">
        <v>0.41716383662230383</v>
      </c>
      <c r="P378" s="33">
        <v>0.45408348457350273</v>
      </c>
    </row>
    <row r="379" spans="1:16" x14ac:dyDescent="0.4">
      <c r="A379" s="35">
        <v>376</v>
      </c>
      <c r="B379" s="32">
        <v>-9.2370555648813024E-14</v>
      </c>
      <c r="C379" s="32">
        <v>-8.1888790468805867E-17</v>
      </c>
      <c r="D379" s="37">
        <v>2</v>
      </c>
      <c r="E379" s="33">
        <v>0.33333333333333331</v>
      </c>
      <c r="F379" s="33">
        <v>0.33333333333333331</v>
      </c>
      <c r="G379" s="33">
        <v>0.29311259683752522</v>
      </c>
      <c r="H379" s="33">
        <v>0.15865435636209274</v>
      </c>
      <c r="I379" s="34">
        <v>8424.0405503258517</v>
      </c>
      <c r="J379" s="34">
        <v>-7865.6856187290969</v>
      </c>
      <c r="K379" s="33">
        <v>0.10017730496453901</v>
      </c>
      <c r="L379" s="33">
        <v>0.24992040751353073</v>
      </c>
      <c r="M379" s="33">
        <v>0.23166719728324311</v>
      </c>
      <c r="N379" s="33">
        <v>0.54734607218683651</v>
      </c>
      <c r="O379" s="33">
        <v>0.41777370590929913</v>
      </c>
      <c r="P379" s="33">
        <v>0.45293265749456918</v>
      </c>
    </row>
    <row r="380" spans="1:16" x14ac:dyDescent="0.4">
      <c r="A380" s="35">
        <v>377</v>
      </c>
      <c r="B380" s="32">
        <v>-9.2370555648813024E-14</v>
      </c>
      <c r="C380" s="32">
        <v>-8.167157882300002E-17</v>
      </c>
      <c r="D380" s="37">
        <v>2</v>
      </c>
      <c r="E380" s="33">
        <v>0.33333333333333331</v>
      </c>
      <c r="F380" s="33">
        <v>0.33333333333333331</v>
      </c>
      <c r="G380" s="33">
        <v>0.29315097540288382</v>
      </c>
      <c r="H380" s="33">
        <v>0.15871501272264632</v>
      </c>
      <c r="I380" s="34">
        <v>8428.2820976491857</v>
      </c>
      <c r="J380" s="34">
        <v>-7877.8891115564466</v>
      </c>
      <c r="K380" s="33">
        <v>0.10079575596816977</v>
      </c>
      <c r="L380" s="33">
        <v>0.24989397794741305</v>
      </c>
      <c r="M380" s="33">
        <v>0.23155216284987276</v>
      </c>
      <c r="N380" s="33">
        <v>0.54773016546457365</v>
      </c>
      <c r="O380" s="33">
        <v>0.41804029304029305</v>
      </c>
      <c r="P380" s="33">
        <v>0.45280289330922241</v>
      </c>
    </row>
    <row r="381" spans="1:16" x14ac:dyDescent="0.4">
      <c r="A381" s="35">
        <v>378</v>
      </c>
      <c r="B381" s="32">
        <v>-8.9539486936018875E-14</v>
      </c>
      <c r="C381" s="32">
        <v>-7.8958983188729167E-17</v>
      </c>
      <c r="D381" s="37">
        <v>2</v>
      </c>
      <c r="E381" s="33">
        <v>0.33333333333333331</v>
      </c>
      <c r="F381" s="33">
        <v>0.33333333333333331</v>
      </c>
      <c r="G381" s="33">
        <v>0.29322751322751323</v>
      </c>
      <c r="H381" s="33">
        <v>0.15873015873015872</v>
      </c>
      <c r="I381" s="34">
        <v>8428.9787080476362</v>
      </c>
      <c r="J381" s="34">
        <v>-7881.1333333333332</v>
      </c>
      <c r="K381" s="33">
        <v>0.10141093474426807</v>
      </c>
      <c r="L381" s="33">
        <v>0.24973544973544973</v>
      </c>
      <c r="M381" s="33">
        <v>0.23164021164021165</v>
      </c>
      <c r="N381" s="33">
        <v>0.54830508474576267</v>
      </c>
      <c r="O381" s="33">
        <v>0.41799908634079486</v>
      </c>
      <c r="P381" s="33">
        <v>0.4529050884157344</v>
      </c>
    </row>
    <row r="382" spans="1:16" x14ac:dyDescent="0.4">
      <c r="A382" s="35">
        <v>379</v>
      </c>
      <c r="B382" s="32">
        <v>-9.2370555648813024E-14</v>
      </c>
      <c r="C382" s="32">
        <v>-8.1240594238182078E-17</v>
      </c>
      <c r="D382" s="37">
        <v>2</v>
      </c>
      <c r="E382" s="33">
        <v>0.33333333333333331</v>
      </c>
      <c r="F382" s="33">
        <v>0.33333333333333331</v>
      </c>
      <c r="G382" s="33">
        <v>0.29323625619921917</v>
      </c>
      <c r="H382" s="33">
        <v>0.1589110477999367</v>
      </c>
      <c r="I382" s="34">
        <v>8423.3897085282479</v>
      </c>
      <c r="J382" s="34">
        <v>-7874.1035856573708</v>
      </c>
      <c r="K382" s="33">
        <v>0.1011433597185576</v>
      </c>
      <c r="L382" s="33">
        <v>0.24976258309591642</v>
      </c>
      <c r="M382" s="33">
        <v>0.23140234251345362</v>
      </c>
      <c r="N382" s="33">
        <v>0.54837346852555979</v>
      </c>
      <c r="O382" s="33">
        <v>0.41814865481076152</v>
      </c>
      <c r="P382" s="33">
        <v>0.45232097876934146</v>
      </c>
    </row>
    <row r="383" spans="1:16" x14ac:dyDescent="0.4">
      <c r="A383" s="35">
        <v>380</v>
      </c>
      <c r="B383" s="32">
        <v>-9.2370555648813024E-14</v>
      </c>
      <c r="C383" s="32">
        <v>-8.1026803200713184E-17</v>
      </c>
      <c r="D383" s="37">
        <v>2</v>
      </c>
      <c r="E383" s="33">
        <v>0.33333333333333331</v>
      </c>
      <c r="F383" s="33">
        <v>0.33333333333333331</v>
      </c>
      <c r="G383" s="33">
        <v>0.29333754341648249</v>
      </c>
      <c r="H383" s="33">
        <v>0.15903589095884643</v>
      </c>
      <c r="I383" s="34">
        <v>8416.5769644779339</v>
      </c>
      <c r="J383" s="34">
        <v>-7873.3289212442087</v>
      </c>
      <c r="K383" s="33">
        <v>0.10087719298245613</v>
      </c>
      <c r="L383" s="33">
        <v>0.2494474265866751</v>
      </c>
      <c r="M383" s="33">
        <v>0.2316598252815493</v>
      </c>
      <c r="N383" s="33">
        <v>0.54852320675105481</v>
      </c>
      <c r="O383" s="33">
        <v>0.41844616083598363</v>
      </c>
      <c r="P383" s="33">
        <v>0.45209903121636169</v>
      </c>
    </row>
    <row r="384" spans="1:16" x14ac:dyDescent="0.4">
      <c r="A384" s="35">
        <v>381</v>
      </c>
      <c r="B384" s="32">
        <v>-9.2370555648813024E-14</v>
      </c>
      <c r="C384" s="32">
        <v>-8.0814134425908161E-17</v>
      </c>
      <c r="D384" s="37">
        <v>2</v>
      </c>
      <c r="E384" s="33">
        <v>0.33333333333333331</v>
      </c>
      <c r="F384" s="33">
        <v>0.33333333333333331</v>
      </c>
      <c r="G384" s="33">
        <v>0.29351822670448574</v>
      </c>
      <c r="H384" s="33">
        <v>0.15926042651539027</v>
      </c>
      <c r="I384" s="34">
        <v>8407.0150322118825</v>
      </c>
      <c r="J384" s="34">
        <v>-7863.3245382585756</v>
      </c>
      <c r="K384" s="33">
        <v>0.10061242344706911</v>
      </c>
      <c r="L384" s="33">
        <v>0.24939594495220085</v>
      </c>
      <c r="M384" s="33">
        <v>0.2317470322512869</v>
      </c>
      <c r="N384" s="33">
        <v>0.54844144903117098</v>
      </c>
      <c r="O384" s="33">
        <v>0.41931097008159562</v>
      </c>
      <c r="P384" s="33">
        <v>0.45132426628489619</v>
      </c>
    </row>
    <row r="385" spans="1:16" x14ac:dyDescent="0.4">
      <c r="A385" s="35">
        <v>382</v>
      </c>
      <c r="B385" s="32">
        <v>-9.2370555648813024E-14</v>
      </c>
      <c r="C385" s="32">
        <v>-8.060257910018588E-17</v>
      </c>
      <c r="D385" s="37">
        <v>2</v>
      </c>
      <c r="E385" s="33">
        <v>0.33333333333333331</v>
      </c>
      <c r="F385" s="33">
        <v>0.33333333333333331</v>
      </c>
      <c r="G385" s="33">
        <v>0.29359337317814826</v>
      </c>
      <c r="H385" s="33">
        <v>0.15927440494914544</v>
      </c>
      <c r="I385" s="34">
        <v>8407</v>
      </c>
      <c r="J385" s="34">
        <v>-7861.2244897959181</v>
      </c>
      <c r="K385" s="33">
        <v>0.10034904013961606</v>
      </c>
      <c r="L385" s="33">
        <v>0.24934465764915592</v>
      </c>
      <c r="M385" s="33">
        <v>0.23214847436300723</v>
      </c>
      <c r="N385" s="33">
        <v>0.54793944491169044</v>
      </c>
      <c r="O385" s="33">
        <v>0.41960252935862691</v>
      </c>
      <c r="P385" s="33">
        <v>0.4514285714285714</v>
      </c>
    </row>
    <row r="386" spans="1:16" x14ac:dyDescent="0.4">
      <c r="A386" s="35">
        <v>383</v>
      </c>
      <c r="B386" s="32">
        <v>-9.2370555648813024E-14</v>
      </c>
      <c r="C386" s="32">
        <v>-8.0392128502013079E-17</v>
      </c>
      <c r="D386" s="37">
        <v>2</v>
      </c>
      <c r="E386" s="33">
        <v>0.33333333333333331</v>
      </c>
      <c r="F386" s="33">
        <v>0.33333333333333331</v>
      </c>
      <c r="G386" s="33">
        <v>0.29348394519401738</v>
      </c>
      <c r="H386" s="33">
        <v>0.15918836941742495</v>
      </c>
      <c r="I386" s="34">
        <v>8404.6685673556658</v>
      </c>
      <c r="J386" s="34">
        <v>-7861.4323258869908</v>
      </c>
      <c r="K386" s="33">
        <v>0.10008703220191471</v>
      </c>
      <c r="L386" s="33">
        <v>0.24924171111808388</v>
      </c>
      <c r="M386" s="33">
        <v>0.23229787679113065</v>
      </c>
      <c r="N386" s="33">
        <v>0.54762903902643723</v>
      </c>
      <c r="O386" s="33">
        <v>0.41963079693831606</v>
      </c>
      <c r="P386" s="33">
        <v>0.45153243050605846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2020-07-06T11:56:05Z</dcterms:modified>
</cp:coreProperties>
</file>