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C5FEE69-2728-4B32-BB19-3D428CF65A55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<sst xmlns="http://schemas.openxmlformats.org/spreadsheetml/2006/main" count="585" uniqueCount="208">
  <si>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</si>
  <si>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</si>
  <si>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</si>
  <si>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</si>
  <si>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</si>
  <si>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</si>
  <si>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</si>
  <si>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</si>
  <si>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</si>
  <si>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</si>
  <si>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</si>
  <si>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</si>
  <si>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</si>
  <si>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</si>
  <si>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</si>
  <si>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</si>
  <si>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</si>
  <si>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</si>
  <si>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</si>
  <si>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</si>
  <si>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</si>
  <si>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</si>
  <si>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</si>
  <si>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</si>
  <si>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</si>
  <si>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</si>
  <si>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</si>
  <si>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</si>
  <si>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</si>
  <si>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</si>
  <si>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</si>
  <si>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</si>
  <si>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</si>
  <si>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</si>
  <si>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</si>
  <si>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</si>
  <si>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</si>
  <si>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</si>
  <si>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</si>
  <si>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</si>
  <si>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</si>
  <si>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</si>
  <si>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</si>
  <si>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</si>
  <si>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</si>
  <si>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</si>
  <si>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</si>
  <si>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</si>
  <si>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</si>
  <si>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</si>
  <si>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</si>
  <si>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</si>
  <si>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</si>
  <si>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</si>
  <si>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</si>
  <si>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</si>
  <si>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</si>
  <si>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</si>
  <si>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</si>
  <si>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</si>
  <si>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</si>
  <si>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</si>
  <si>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</si>
  <si>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</si>
  <si>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</si>
  <si>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</si>
  <si>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</si>
  <si>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</si>
  <si>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</si>
  <si>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</si>
  <si>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</si>
  <si>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</si>
  <si>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</si>
  <si>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</si>
  <si>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</si>
  <si>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</si>
  <si>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</si>
  <si>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</si>
  <si>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</si>
  <si>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</si>
  <si>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</si>
  <si>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</si>
  <si>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</si>
  <si>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</si>
  <si>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</si>
  <si>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</si>
  <si>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</si>
  <si>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</si>
  <si>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</si>
  <si>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</si>
  <si>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</si>
  <si>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</si>
  <si>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</si>
  <si>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</si>
  <si>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</si>
  <si>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</si>
  <si>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</si>
  <si>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</si>
  <si>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</si>
  <si>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</si>
  <si>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</si>
  <si>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</si>
  <si>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</si>
  <si>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</si>
  <si>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</si>
  <si>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</si>
  <si>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</si>
  <si>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</si>
  <si>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</si>
  <si>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</si>
  <si>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</si>
  <si>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</si>
  <si>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</si>
  <si>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</si>
  <si>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</si>
  <si>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</si>
  <si>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</si>
  <si>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</si>
  <si>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</si>
  <si>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</si>
  <si>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</si>
  <si>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</si>
  <si>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</si>
  <si>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</si>
  <si>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</si>
  <si>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</si>
  <si>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</si>
  <si>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</si>
  <si>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</si>
  <si>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</si>
  <si>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</si>
  <si>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</si>
  <si>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</si>
  <si>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</si>
  <si>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</si>
  <si>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</si>
  <si>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</si>
  <si>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</si>
  <si>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</si>
  <si>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</si>
  <si>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</si>
  <si>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</si>
  <si>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</si>
  <si>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</si>
  <si>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</si>
  <si>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</si>
  <si>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</si>
  <si>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</si>
  <si>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</si>
  <si>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</si>
  <si>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</si>
  <si>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</si>
  <si>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</si>
  <si>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</si>
  <si>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</si>
  <si>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</si>
  <si>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</si>
  <si>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</si>
  <si>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</si>
  <si>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</si>
  <si>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</si>
  <si>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</si>
  <si>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</si>
  <si>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</si>
  <si>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</si>
  <si>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</si>
  <si>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</si>
  <si>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</si>
  <si>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</si>
  <si>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</si>
  <si>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</si>
  <si>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</si>
  <si>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</si>
  <si>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</si>
  <si>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</si>
  <si>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</si>
  <si>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</si>
  <si>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</si>
  <si>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</si>
  <si>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</si>
  <si>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</si>
  <si>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</si>
  <si>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</si>
  <si>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</si>
  <si>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</si>
  <si>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</si>
  <si>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</si>
  <si>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</si>
  <si>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</si>
  <si>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</si>
  <si>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</si>
  <si>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</si>
  <si>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</si>
  <si>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れんたろう</t>
  </si>
  <si>
    <t>れんたろう</t>
    <phoneticPr fontId="1"/>
  </si>
  <si>
    <t>だいち</t>
  </si>
  <si>
    <t>だいち</t>
    <phoneticPr fontId="1"/>
  </si>
  <si>
    <t>放銃</t>
  </si>
  <si>
    <t>ロン</t>
  </si>
  <si>
    <t>*</t>
  </si>
  <si>
    <t>01</t>
  </si>
  <si>
    <t>02</t>
  </si>
  <si>
    <t>52</t>
  </si>
  <si>
    <t>T</t>
  </si>
  <si>
    <t>N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</si>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</sst>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たかの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201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-3200</v>
      </c>
      <c r="H5" s="9"/>
      <c r="I5" s="48">
        <v>0</v>
      </c>
      <c r="J5" s="21">
        <f t="shared" ref="J5:J30" si="2">IF(COUNTA($F5,$K5,$P5)&gt;0,J4+SUM(G5:I5),"")</f>
        <v>31800</v>
      </c>
      <c r="K5" s="8"/>
      <c r="L5" s="9"/>
      <c r="M5" s="9"/>
      <c r="N5" s="48"/>
      <c r="O5" s="21">
        <f t="shared" ref="O5:O30" si="3">IF(COUNTA($F5,$K5,$P5)&gt;0,O4+SUM(L5:N5),"")</f>
        <v>27000</v>
      </c>
      <c r="P5" s="8" t="s">
        <v>198</v>
      </c>
      <c r="Q5" s="9">
        <v>3200</v>
      </c>
      <c r="R5" s="9"/>
      <c r="S5" s="48">
        <v>0</v>
      </c>
      <c r="T5" s="21">
        <f t="shared" ref="T5:T30" si="4">IF(COUNTA($F5,$K5,$P5)&gt;0,T4+SUM(Q5:S5),"")</f>
        <v>46200</v>
      </c>
      <c r="U5" s="53">
        <f>IF($J5="","",ROUND(($J5-$J$3)/1000,1)+(_xlfn.RANK.AVG($J5,($J5,$O5,$T5),1)-2)*10)</f>
        <v>-3.2</v>
      </c>
      <c r="V5" s="54">
        <f>IF($O5="","",ROUND(($O5-$O$3)/1000,1)+(_xlfn.RANK.AVG($O5,($J5,$O5,$T5),1)-2)*10)</f>
        <v>-18</v>
      </c>
      <c r="W5" s="55">
        <f>IF($T5="","",ROUND(($T5-$T$3)/1000,1)+(_xlfn.RANK.AVG($T5,($J5,$O5,$T5),1)-2)*10)</f>
        <v>21.2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25</v>
      </c>
      <c r="BU5" s="40" t="s">
        <v>101</v>
      </c>
      <c r="BV5" s="41" t="s">
        <v>202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205</v>
      </c>
      <c r="G6" s="9">
        <v>1500</v>
      </c>
      <c r="H6" s="9"/>
      <c r="I6" s="48"/>
      <c r="J6" s="21">
        <f t="shared" si="2"/>
        <v>33300</v>
      </c>
      <c r="K6" s="8" t="s">
        <v>205</v>
      </c>
      <c r="L6" s="9">
        <v>1500</v>
      </c>
      <c r="M6" s="9">
        <v>-1000</v>
      </c>
      <c r="N6" s="48"/>
      <c r="O6" s="21">
        <f t="shared" si="3"/>
        <v>27500</v>
      </c>
      <c r="P6" s="8" t="s">
        <v>205</v>
      </c>
      <c r="Q6" s="9">
        <v>-3000</v>
      </c>
      <c r="R6" s="9"/>
      <c r="S6" s="48"/>
      <c r="T6" s="21">
        <f t="shared" si="4"/>
        <v>43200</v>
      </c>
      <c r="U6" s="53">
        <f>IF($J6="","",ROUND(($J6-$J$3)/1000,1)+(_xlfn.RANK.AVG($J6,($J6,$O6,$T6),1)-2)*10)</f>
        <v>-1.7</v>
      </c>
      <c r="V6" s="54">
        <f>IF($O6="","",ROUND(($O6-$O$3)/1000,1)+(_xlfn.RANK.AVG($O6,($J6,$O6,$T6),1)-2)*10)</f>
        <v>-17.5</v>
      </c>
      <c r="W6" s="55">
        <f>IF($T6="","",ROUND(($T6-$T$3)/1000,1)+(_xlfn.RANK.AVG($T6,($J6,$O6,$T6),1)-2)*10)</f>
        <v>18.2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197</v>
      </c>
      <c r="G7" s="9">
        <v>-12000</v>
      </c>
      <c r="H7" s="9"/>
      <c r="I7" s="48">
        <v>-1000</v>
      </c>
      <c r="J7" s="21">
        <f t="shared" si="2"/>
        <v>20300</v>
      </c>
      <c r="K7" s="8"/>
      <c r="L7" s="9"/>
      <c r="M7" s="9"/>
      <c r="N7" s="48"/>
      <c r="O7" s="21">
        <f t="shared" si="3"/>
        <v>27500</v>
      </c>
      <c r="P7" s="8" t="s">
        <v>198</v>
      </c>
      <c r="Q7" s="9">
        <v>12000</v>
      </c>
      <c r="R7" s="9">
        <v>1000</v>
      </c>
      <c r="S7" s="48">
        <v>1000</v>
      </c>
      <c r="T7" s="21">
        <f t="shared" si="4"/>
        <v>57200</v>
      </c>
      <c r="U7" s="53">
        <f>IF($J7="","",ROUND(($J7-$J$3)/1000,1)+(_xlfn.RANK.AVG($J7,($J7,$O7,$T7),1)-2)*10)</f>
        <v>-24.7</v>
      </c>
      <c r="V7" s="54">
        <f>IF($O7="","",ROUND(($O7-$O$3)/1000,1)+(_xlfn.RANK.AVG($O7,($J7,$O7,$T7),1)-2)*10)</f>
        <v>-7.5</v>
      </c>
      <c r="W7" s="55">
        <f>IF($T7="","",ROUND(($T7-$T$3)/1000,1)+(_xlfn.RANK.AVG($T7,($J7,$O7,$T7),1)-2)*10)</f>
        <v>32.200000000000003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200</v>
      </c>
      <c r="BV7" s="41" t="s">
        <v>85</v>
      </c>
      <c r="BW7" s="41" t="s">
        <v>84</v>
      </c>
      <c r="BX7" s="41" t="s">
        <v>79</v>
      </c>
      <c r="BY7" s="41" t="s">
        <v>79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-1500</v>
      </c>
      <c r="H8" s="9"/>
      <c r="I8" s="48">
        <v>0</v>
      </c>
      <c r="J8" s="21">
        <f t="shared" si="2"/>
        <v>18800</v>
      </c>
      <c r="K8" s="8" t="s">
        <v>207</v>
      </c>
      <c r="L8" s="9">
        <v>3000</v>
      </c>
      <c r="M8" s="9"/>
      <c r="N8" s="48">
        <v>0</v>
      </c>
      <c r="O8" s="21">
        <f t="shared" si="3"/>
        <v>30500</v>
      </c>
      <c r="P8" s="8" t="s">
        <v>206</v>
      </c>
      <c r="Q8" s="9">
        <v>-1500</v>
      </c>
      <c r="R8" s="9"/>
      <c r="S8" s="48">
        <v>0</v>
      </c>
      <c r="T8" s="21">
        <f t="shared" si="4"/>
        <v>55700</v>
      </c>
      <c r="U8" s="53">
        <f>IF($J8="","",ROUND(($J8-$J$3)/1000,1)+(_xlfn.RANK.AVG($J8,($J8,$O8,$T8),1)-2)*10)</f>
        <v>-26.2</v>
      </c>
      <c r="V8" s="54">
        <f>IF($O8="","",ROUND(($O8-$O$3)/1000,1)+(_xlfn.RANK.AVG($O8,($J8,$O8,$T8),1)-2)*10)</f>
        <v>-4.5</v>
      </c>
      <c r="W8" s="55">
        <f>IF($T8="","",ROUND(($T8-$T$3)/1000,1)+(_xlfn.RANK.AVG($T8,($J8,$O8,$T8),1)-2)*10)</f>
        <v>30.7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202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206</v>
      </c>
      <c r="G9" s="9">
        <v>-4800</v>
      </c>
      <c r="H9" s="9"/>
      <c r="I9" s="48">
        <v>-500</v>
      </c>
      <c r="J9" s="21">
        <f t="shared" si="2"/>
        <v>13500</v>
      </c>
      <c r="K9" s="8" t="s">
        <v>207</v>
      </c>
      <c r="L9" s="9">
        <v>9600</v>
      </c>
      <c r="M9" s="9"/>
      <c r="N9" s="48">
        <v>1000</v>
      </c>
      <c r="O9" s="21">
        <f t="shared" si="3"/>
        <v>41100</v>
      </c>
      <c r="P9" s="8" t="s">
        <v>206</v>
      </c>
      <c r="Q9" s="9">
        <v>-4800</v>
      </c>
      <c r="R9" s="9"/>
      <c r="S9" s="48">
        <v>-500</v>
      </c>
      <c r="T9" s="21">
        <f t="shared" si="4"/>
        <v>50400</v>
      </c>
      <c r="U9" s="53">
        <f>IF($J9="","",ROUND(($J9-$J$3)/1000,1)+(_xlfn.RANK.AVG($J9,($J9,$O9,$T9),1)-2)*10)</f>
        <v>-31.5</v>
      </c>
      <c r="V9" s="54">
        <f>IF($O9="","",ROUND(($O9-$O$3)/1000,1)+(_xlfn.RANK.AVG($O9,($J9,$O9,$T9),1)-2)*10)</f>
        <v>6.1</v>
      </c>
      <c r="W9" s="55">
        <f>IF($T9="","",ROUND(($T9-$T$3)/1000,1)+(_xlfn.RANK.AVG($T9,($J9,$O9,$T9),1)-2)*10)</f>
        <v>25.4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50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13500</v>
      </c>
      <c r="K10" s="8" t="s">
        <v>197</v>
      </c>
      <c r="L10" s="9">
        <v>-5200</v>
      </c>
      <c r="M10" s="9"/>
      <c r="N10" s="48">
        <v>-2000</v>
      </c>
      <c r="O10" s="21">
        <f t="shared" si="3"/>
        <v>33900</v>
      </c>
      <c r="P10" s="8" t="s">
        <v>198</v>
      </c>
      <c r="Q10" s="9">
        <v>5200</v>
      </c>
      <c r="R10" s="9"/>
      <c r="S10" s="48">
        <v>2000</v>
      </c>
      <c r="T10" s="21">
        <f t="shared" si="4"/>
        <v>57600</v>
      </c>
      <c r="U10" s="53">
        <f>IF($J10="","",ROUND(($J10-$J$3)/1000,1)+(_xlfn.RANK.AVG($J10,($J10,$O10,$T10),1)-2)*10)</f>
        <v>-31.5</v>
      </c>
      <c r="V10" s="54">
        <f>IF($O10="","",ROUND(($O10-$O$3)/1000,1)+(_xlfn.RANK.AVG($O10,($J10,$O10,$T10),1)-2)*10)</f>
        <v>-1.1000000000000001</v>
      </c>
      <c r="W10" s="55">
        <f>IF($T10="","",ROUND(($T10-$T$3)/1000,1)+(_xlfn.RANK.AVG($T10,($J10,$O10,$T10),1)-2)*10)</f>
        <v>32.6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200</v>
      </c>
      <c r="BV10" s="41" t="s">
        <v>201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13500</v>
      </c>
      <c r="K11" s="8" t="s">
        <v>197</v>
      </c>
      <c r="L11" s="9">
        <v>-5800</v>
      </c>
      <c r="M11" s="9"/>
      <c r="N11" s="48">
        <v>0</v>
      </c>
      <c r="O11" s="21">
        <f t="shared" si="3"/>
        <v>28100</v>
      </c>
      <c r="P11" s="8" t="s">
        <v>198</v>
      </c>
      <c r="Q11" s="9">
        <v>5800</v>
      </c>
      <c r="R11" s="9"/>
      <c r="S11" s="48">
        <v>0</v>
      </c>
      <c r="T11" s="21">
        <f t="shared" si="4"/>
        <v>63400</v>
      </c>
      <c r="U11" s="53">
        <f>IF($J11="","",ROUND(($J11-$J$3)/1000,1)+(_xlfn.RANK.AVG($J11,($J11,$O11,$T11),1)-2)*10)</f>
        <v>-31.5</v>
      </c>
      <c r="V11" s="54">
        <f>IF($O11="","",ROUND(($O11-$O$3)/1000,1)+(_xlfn.RANK.AVG($O11,($J11,$O11,$T11),1)-2)*10)</f>
        <v>-6.9</v>
      </c>
      <c r="W11" s="55">
        <f>IF($T11="","",ROUND(($T11-$T$3)/1000,1)+(_xlfn.RANK.AVG($T11,($J11,$O11,$T11),1)-2)*10)</f>
        <v>38.4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104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AB40487-83C2-4B4A-AC63-E048328A256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2019-11-18T08:53:49Z</dcterms:modified>
</cp:coreProperties>
</file>