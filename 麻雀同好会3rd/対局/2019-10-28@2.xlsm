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3E1E06A3-BA3C-4310-B073-CDC638A4F7BD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V9" i="19"/>
  <c r="U9" i="19"/>
  <c r="W9" i="19"/>
  <c r="W8" i="19"/>
  <c r="U8" i="19"/>
  <c r="V8" i="19"/>
  <c r="V7" i="19"/>
  <c r="U7" i="19"/>
  <c r="W7" i="19"/>
  <c r="U6" i="19"/>
  <c r="W6" i="19"/>
  <c r="V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<sst xmlns="http://schemas.openxmlformats.org/spreadsheetml/2006/main" count="577" uniqueCount="207">
  <si>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</si>
  <si>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</si>
  <si>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</si>
  <si>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</si>
  <si>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</si>
  <si>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</si>
  <si>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</si>
  <si>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</si>
  <si>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</si>
  <si>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</si>
  <si>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</si>
  <si>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</si>
  <si>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</si>
  <si>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</si>
  <si>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</si>
  <si>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</si>
  <si>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</si>
  <si>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</si>
  <si>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</si>
  <si>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</si>
  <si>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</si>
  <si>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</si>
  <si>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</si>
  <si>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</si>
  <si>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</si>
  <si>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</si>
  <si>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</si>
  <si>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</si>
  <si>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</si>
  <si>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</si>
  <si>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</si>
  <si>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</si>
  <si>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</si>
  <si>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</si>
  <si>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</si>
  <si>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</si>
  <si>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</si>
  <si>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</si>
  <si>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</si>
  <si>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</si>
  <si>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</si>
  <si>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</si>
  <si>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</si>
  <si>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</si>
  <si>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</si>
  <si>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</si>
  <si>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</si>
  <si>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</si>
  <si>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</si>
  <si>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</si>
  <si>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</si>
  <si>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</si>
  <si>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</si>
  <si>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</si>
  <si>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</si>
  <si>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</si>
  <si>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</si>
  <si>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</si>
  <si>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</si>
  <si>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</si>
  <si>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</si>
  <si>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</si>
  <si>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</si>
  <si>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</si>
  <si>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</si>
  <si>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</si>
  <si>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</si>
  <si>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</si>
  <si>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</si>
  <si>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</si>
  <si>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</si>
  <si>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</si>
  <si>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</si>
  <si>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</si>
  <si>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</si>
  <si>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</si>
  <si>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</si>
  <si>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</si>
  <si>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</si>
  <si>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</si>
  <si>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</si>
  <si>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</si>
  <si>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</si>
  <si>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</si>
  <si>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</si>
  <si>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</si>
  <si>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</si>
  <si>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</si>
  <si>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</si>
  <si>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</si>
  <si>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</si>
  <si>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</si>
  <si>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</si>
  <si>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</si>
  <si>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</si>
  <si>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</si>
  <si>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</si>
  <si>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</si>
  <si>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</si>
  <si>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</si>
  <si>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</si>
  <si>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</si>
  <si>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</si>
  <si>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</si>
  <si>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</si>
  <si>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</si>
  <si>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</si>
  <si>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</si>
  <si>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</si>
  <si>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</si>
  <si>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</si>
  <si>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</si>
  <si>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</si>
  <si>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</si>
  <si>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</si>
  <si>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</si>
  <si>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</si>
  <si>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</si>
  <si>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</si>
  <si>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</si>
  <si>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</si>
  <si>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</si>
  <si>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</si>
  <si>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</si>
  <si>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</si>
  <si>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</si>
  <si>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</si>
  <si>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</si>
  <si>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</si>
  <si>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</si>
  <si>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</si>
  <si>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</si>
  <si>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</si>
  <si>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</si>
  <si>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</si>
  <si>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</si>
  <si>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</si>
  <si>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</si>
  <si>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</si>
  <si>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</si>
  <si>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</si>
  <si>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</si>
  <si>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</si>
  <si>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</si>
  <si>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</si>
  <si>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</si>
  <si>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</si>
  <si>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</si>
  <si>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</si>
  <si>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</si>
  <si>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</si>
  <si>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</si>
  <si>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</si>
  <si>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</si>
  <si>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</si>
  <si>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</si>
  <si>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</si>
  <si>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</si>
  <si>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</si>
  <si>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</si>
  <si>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</si>
  <si>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</si>
  <si>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</si>
  <si>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</si>
  <si>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</si>
  <si>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</si>
  <si>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</si>
  <si>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</si>
  <si>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</si>
  <si>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</si>
  <si>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</si>
  <si>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</si>
  <si>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</si>
  <si>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</si>
  <si>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</si>
  <si>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</si>
  <si>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</si>
  <si>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</si>
  <si>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</si>
  <si>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</si>
  <si>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</si>
  <si>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</si>
  <si>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</si>
  <si>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</si>
  <si>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</si>
  <si>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</si>
  <si>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</si>
  <si>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</si>
  <si>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</si>
  <si>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</si>
  <si>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</si>
  <si>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</si>
  <si>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</si>
  <si>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</si>
  <si>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ただ</t>
    <phoneticPr fontId="1"/>
  </si>
  <si>
    <t>のり</t>
  </si>
  <si>
    <t>のり</t>
    <phoneticPr fontId="1"/>
  </si>
  <si>
    <t>ロン</t>
  </si>
  <si>
    <t>放銃</t>
  </si>
  <si>
    <t>01</t>
  </si>
  <si>
    <t>*</t>
  </si>
  <si>
    <t>52</t>
  </si>
  <si>
    <t>N</t>
  </si>
  <si>
    <t>T</t>
  </si>
  <si>
    <t>流局</t>
    <phoneticPr fontId="1"/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</si>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</sst>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のり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197</v>
      </c>
      <c r="L4" s="9">
        <v>1300</v>
      </c>
      <c r="M4" s="9">
        <v>1000</v>
      </c>
      <c r="N4" s="48">
        <v>0</v>
      </c>
      <c r="O4" s="21">
        <f>IF(COUNTA($F4,$K4,$P4)&gt;0,O3+SUM(L4:N4),"")</f>
        <v>37300</v>
      </c>
      <c r="P4" s="8" t="s">
        <v>198</v>
      </c>
      <c r="Q4" s="9">
        <v>-1300</v>
      </c>
      <c r="R4" s="9"/>
      <c r="S4" s="48">
        <v>0</v>
      </c>
      <c r="T4" s="21">
        <f>IF(COUNTA($F4,$K4,$P4)&gt;0,T3+SUM(Q4:S4),"")</f>
        <v>33700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12.3</v>
      </c>
      <c r="W4" s="55">
        <f>IF($T4="","",ROUND(($T4-$T$3)/1000,1)+(_xlfn.RANK.AVG($T4,($J4,$O4,$T4),1)-2)*10)</f>
        <v>-11.3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40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-5800</v>
      </c>
      <c r="H5" s="9"/>
      <c r="I5" s="48">
        <v>0</v>
      </c>
      <c r="J5" s="21">
        <f t="shared" ref="J5:J30" si="2">IF(COUNTA($F5,$K5,$P5)&gt;0,J4+SUM(G5:I5),"")</f>
        <v>28200</v>
      </c>
      <c r="K5" s="8" t="s">
        <v>197</v>
      </c>
      <c r="L5" s="9">
        <v>5800</v>
      </c>
      <c r="M5" s="9"/>
      <c r="N5" s="48">
        <v>0</v>
      </c>
      <c r="O5" s="21">
        <f t="shared" ref="O5:O30" si="3">IF(COUNTA($F5,$K5,$P5)&gt;0,O4+SUM(L5:N5),"")</f>
        <v>43100</v>
      </c>
      <c r="P5" s="8"/>
      <c r="Q5" s="9"/>
      <c r="R5" s="9"/>
      <c r="S5" s="48"/>
      <c r="T5" s="21">
        <f t="shared" ref="T5:T30" si="4">IF(COUNTA($F5,$K5,$P5)&gt;0,T4+SUM(Q5:S5),"")</f>
        <v>33700</v>
      </c>
      <c r="U5" s="53">
        <f>IF($J5="","",ROUND(($J5-$J$3)/1000,1)+(_xlfn.RANK.AVG($J5,($J5,$O5,$T5),1)-2)*10)</f>
        <v>-16.8</v>
      </c>
      <c r="V5" s="54">
        <f>IF($O5="","",ROUND(($O5-$O$3)/1000,1)+(_xlfn.RANK.AVG($O5,($J5,$O5,$T5),1)-2)*10)</f>
        <v>18.100000000000001</v>
      </c>
      <c r="W5" s="55">
        <f>IF($T5="","",ROUND(($T5-$T$3)/1000,1)+(_xlfn.RANK.AVG($T5,($J5,$O5,$T5),1)-2)*10)</f>
        <v>-1.3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85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28200</v>
      </c>
      <c r="K6" s="8" t="s">
        <v>198</v>
      </c>
      <c r="L6" s="9">
        <v>-5200</v>
      </c>
      <c r="M6" s="9"/>
      <c r="N6" s="48">
        <v>-1000</v>
      </c>
      <c r="O6" s="21">
        <f t="shared" si="3"/>
        <v>36900</v>
      </c>
      <c r="P6" s="8" t="s">
        <v>197</v>
      </c>
      <c r="Q6" s="9">
        <v>5200</v>
      </c>
      <c r="R6" s="9"/>
      <c r="S6" s="48">
        <v>1000</v>
      </c>
      <c r="T6" s="21">
        <f t="shared" si="4"/>
        <v>39900</v>
      </c>
      <c r="U6" s="53">
        <f>IF($J6="","",ROUND(($J6-$J$3)/1000,1)+(_xlfn.RANK.AVG($J6,($J6,$O6,$T6),1)-2)*10)</f>
        <v>-16.8</v>
      </c>
      <c r="V6" s="54">
        <f>IF($O6="","",ROUND(($O6-$O$3)/1000,1)+(_xlfn.RANK.AVG($O6,($J6,$O6,$T6),1)-2)*10)</f>
        <v>1.9</v>
      </c>
      <c r="W6" s="55">
        <f>IF($T6="","",ROUND(($T6-$T$3)/1000,1)+(_xlfn.RANK.AVG($T6,($J6,$O6,$T6),1)-2)*10)</f>
        <v>14.9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40</v>
      </c>
      <c r="BU6" s="40" t="s">
        <v>199</v>
      </c>
      <c r="BV6" s="41" t="s">
        <v>85</v>
      </c>
      <c r="BW6" s="41" t="s">
        <v>84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197</v>
      </c>
      <c r="G7" s="9">
        <v>8000</v>
      </c>
      <c r="H7" s="9">
        <v>1000</v>
      </c>
      <c r="I7" s="48">
        <v>0</v>
      </c>
      <c r="J7" s="21">
        <f t="shared" si="2"/>
        <v>37200</v>
      </c>
      <c r="K7" s="8" t="s">
        <v>198</v>
      </c>
      <c r="L7" s="9">
        <v>-8000</v>
      </c>
      <c r="M7" s="9">
        <v>-1000</v>
      </c>
      <c r="N7" s="48">
        <v>0</v>
      </c>
      <c r="O7" s="21">
        <f t="shared" si="3"/>
        <v>27900</v>
      </c>
      <c r="P7" s="8"/>
      <c r="Q7" s="9"/>
      <c r="R7" s="9"/>
      <c r="S7" s="48"/>
      <c r="T7" s="21">
        <f t="shared" si="4"/>
        <v>39900</v>
      </c>
      <c r="U7" s="53">
        <f>IF($J7="","",ROUND(($J7-$J$3)/1000,1)+(_xlfn.RANK.AVG($J7,($J7,$O7,$T7),1)-2)*10)</f>
        <v>2.2000000000000002</v>
      </c>
      <c r="V7" s="54">
        <f>IF($O7="","",ROUND(($O7-$O$3)/1000,1)+(_xlfn.RANK.AVG($O7,($J7,$O7,$T7),1)-2)*10)</f>
        <v>-17.100000000000001</v>
      </c>
      <c r="W7" s="55">
        <f>IF($T7="","",ROUND(($T7-$T$3)/1000,1)+(_xlfn.RANK.AVG($T7,($J7,$O7,$T7),1)-2)*10)</f>
        <v>14.9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199</v>
      </c>
      <c r="AF7" s="41" t="s">
        <v>79</v>
      </c>
      <c r="AG7" s="41" t="s">
        <v>79</v>
      </c>
      <c r="AH7" s="41" t="s">
        <v>201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204</v>
      </c>
      <c r="G8" s="9">
        <v>-1500</v>
      </c>
      <c r="H8" s="9"/>
      <c r="I8" s="48"/>
      <c r="J8" s="21">
        <f t="shared" si="2"/>
        <v>35700</v>
      </c>
      <c r="K8" s="8" t="s">
        <v>204</v>
      </c>
      <c r="L8" s="9">
        <v>3000</v>
      </c>
      <c r="M8" s="9">
        <v>-1000</v>
      </c>
      <c r="N8" s="48"/>
      <c r="O8" s="21">
        <f t="shared" si="3"/>
        <v>29900</v>
      </c>
      <c r="P8" s="8" t="s">
        <v>204</v>
      </c>
      <c r="Q8" s="9">
        <v>-1500</v>
      </c>
      <c r="R8" s="9"/>
      <c r="S8" s="48"/>
      <c r="T8" s="21">
        <f t="shared" si="4"/>
        <v>38400</v>
      </c>
      <c r="U8" s="53">
        <f>IF($J8="","",ROUND(($J8-$J$3)/1000,1)+(_xlfn.RANK.AVG($J8,($J8,$O8,$T8),1)-2)*10)</f>
        <v>0.7</v>
      </c>
      <c r="V8" s="54">
        <f>IF($O8="","",ROUND(($O8-$O$3)/1000,1)+(_xlfn.RANK.AVG($O8,($J8,$O8,$T8),1)-2)*10)</f>
        <v>-15.1</v>
      </c>
      <c r="W8" s="55">
        <f>IF($T8="","",ROUND(($T8-$T$3)/1000,1)+(_xlfn.RANK.AVG($T8,($J8,$O8,$T8),1)-2)*10)</f>
        <v>13.4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205</v>
      </c>
      <c r="G9" s="9">
        <v>5300</v>
      </c>
      <c r="H9" s="9">
        <v>1000</v>
      </c>
      <c r="I9" s="48">
        <v>1000</v>
      </c>
      <c r="J9" s="21">
        <f t="shared" si="2"/>
        <v>43000</v>
      </c>
      <c r="K9" s="8" t="s">
        <v>206</v>
      </c>
      <c r="L9" s="9">
        <v>-3300</v>
      </c>
      <c r="M9" s="9"/>
      <c r="N9" s="48">
        <v>-500</v>
      </c>
      <c r="O9" s="21">
        <f t="shared" si="3"/>
        <v>26100</v>
      </c>
      <c r="P9" s="8" t="s">
        <v>206</v>
      </c>
      <c r="Q9" s="9">
        <v>-2000</v>
      </c>
      <c r="R9" s="9"/>
      <c r="S9" s="48">
        <v>-500</v>
      </c>
      <c r="T9" s="21">
        <f t="shared" si="4"/>
        <v>35900</v>
      </c>
      <c r="U9" s="53">
        <f>IF($J9="","",ROUND(($J9-$J$3)/1000,1)+(_xlfn.RANK.AVG($J9,($J9,$O9,$T9),1)-2)*10)</f>
        <v>18</v>
      </c>
      <c r="V9" s="54">
        <f>IF($O9="","",ROUND(($O9-$O$3)/1000,1)+(_xlfn.RANK.AVG($O9,($J9,$O9,$T9),1)-2)*10)</f>
        <v>-18.899999999999999</v>
      </c>
      <c r="W9" s="55">
        <f>IF($T9="","",ROUND(($T9-$T$3)/1000,1)+(_xlfn.RANK.AVG($T9,($J9,$O9,$T9),1)-2)*10)</f>
        <v>0.9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199</v>
      </c>
      <c r="AF9" s="41" t="s">
        <v>82</v>
      </c>
      <c r="AG9" s="41" t="s">
        <v>80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204</v>
      </c>
      <c r="G10" s="9">
        <v>-1500</v>
      </c>
      <c r="H10" s="9"/>
      <c r="I10" s="48"/>
      <c r="J10" s="21">
        <f t="shared" si="2"/>
        <v>41500</v>
      </c>
      <c r="K10" s="8" t="s">
        <v>204</v>
      </c>
      <c r="L10" s="9">
        <v>3000</v>
      </c>
      <c r="M10" s="9"/>
      <c r="N10" s="48"/>
      <c r="O10" s="21">
        <f t="shared" si="3"/>
        <v>29100</v>
      </c>
      <c r="P10" s="8" t="s">
        <v>204</v>
      </c>
      <c r="Q10" s="9">
        <v>-1500</v>
      </c>
      <c r="R10" s="9"/>
      <c r="S10" s="48"/>
      <c r="T10" s="21">
        <f t="shared" si="4"/>
        <v>34400</v>
      </c>
      <c r="U10" s="53">
        <f>IF($J10="","",ROUND(($J10-$J$3)/1000,1)+(_xlfn.RANK.AVG($J10,($J10,$O10,$T10),1)-2)*10)</f>
        <v>16.5</v>
      </c>
      <c r="V10" s="54">
        <f>IF($O10="","",ROUND(($O10-$O$3)/1000,1)+(_xlfn.RANK.AVG($O10,($J10,$O10,$T10),1)-2)*10)</f>
        <v>-15.9</v>
      </c>
      <c r="W10" s="55">
        <f>IF($T10="","",ROUND(($T10-$T$3)/1000,1)+(_xlfn.RANK.AVG($T10,($J10,$O10,$T10),1)-2)*10)</f>
        <v>-0.6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E145656-03BB-4FE3-9B43-DB5477480200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2019-10-27T15:54:29Z</dcterms:modified>
</cp:coreProperties>
</file>