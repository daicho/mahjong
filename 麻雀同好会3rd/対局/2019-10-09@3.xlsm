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3rd\対局\"/>
    </mc:Choice>
  </mc:AlternateContent>
  <xr:revisionPtr revIDLastSave="0" documentId="13_ncr:1_{84EBD1FC-8F6F-43D9-8AE3-28393D3EA5A9}" xr6:coauthVersionLast="41" xr6:coauthVersionMax="41" xr10:uidLastSave="{00000000-0000-0000-0000-000000000000}"/>
  <bookViews>
    <workbookView xWindow="-120" yWindow="-120" windowWidth="29040" windowHeight="1644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J11" i="19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V8" i="19" s="1"/>
  <c r="J8" i="19"/>
  <c r="D8" i="19"/>
  <c r="C8" i="19"/>
  <c r="B8" i="19"/>
  <c r="A8" i="19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U11" i="19" l="1"/>
  <c r="V11" i="19"/>
  <c r="U10" i="19"/>
  <c r="V10" i="19"/>
  <c r="W10" i="19"/>
  <c r="U9" i="19"/>
  <c r="V9" i="19"/>
  <c r="W9" i="19"/>
  <c r="W8" i="19"/>
  <c r="U8" i="19"/>
  <c r="U7" i="19"/>
  <c r="V7" i="19"/>
  <c r="W7" i="19"/>
  <c r="V6" i="19"/>
  <c r="U6" i="19"/>
  <c r="W6" i="19"/>
  <c r="U4" i="19"/>
  <c r="V4" i="19"/>
  <c r="T5" i="19"/>
  <c r="W4" i="19"/>
  <c r="J5" i="19"/>
  <c r="O5" i="19"/>
  <c r="V5" i="19" l="1"/>
  <c r="U5" i="19"/>
  <c r="W5" i="19"/>
</calcChain>
</file>

<file path=xl/sharedStrings.xml><?xml version="1.0" encoding="utf-8"?>
<sst xmlns="http://schemas.openxmlformats.org/spreadsheetml/2006/main" count="597" uniqueCount="202">
  <si>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</si>
  <si>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</si>
  <si>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</si>
  <si>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</si>
  <si>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</si>
  <si>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</si>
  <si>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</si>
  <si>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</si>
  <si>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</si>
  <si>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</si>
  <si>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</si>
  <si>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</si>
  <si>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</si>
  <si>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</si>
  <si>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</si>
  <si>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</si>
  <si>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</si>
  <si>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</si>
  <si>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</si>
  <si>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</si>
  <si>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</si>
  <si>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</si>
  <si>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</si>
  <si>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</si>
  <si>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</si>
  <si>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</si>
  <si>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</si>
  <si>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</si>
  <si>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</si>
  <si>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</si>
  <si>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</si>
  <si>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</si>
  <si>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</si>
  <si>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</si>
  <si>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</si>
  <si>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</si>
  <si>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</si>
  <si>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</si>
  <si>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</si>
  <si>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</si>
  <si>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</si>
  <si>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</si>
  <si>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</si>
  <si>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</si>
  <si>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</si>
  <si>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</si>
  <si>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</si>
  <si>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</si>
  <si>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</si>
  <si>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</si>
  <si>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</si>
  <si>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</si>
  <si>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</si>
  <si>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</si>
  <si>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</si>
  <si>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</si>
  <si>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</si>
  <si>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</si>
  <si>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</si>
  <si>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</si>
  <si>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</si>
  <si>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</si>
  <si>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</si>
  <si>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</si>
  <si>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</si>
  <si>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</si>
  <si>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</si>
  <si>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</si>
  <si>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</si>
  <si>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</si>
  <si>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</si>
  <si>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</si>
  <si>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</si>
  <si>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</si>
  <si>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</si>
  <si>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</si>
  <si>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</si>
  <si>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</si>
  <si>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</si>
  <si>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</si>
  <si>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</si>
  <si>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</si>
  <si>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</si>
  <si>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</si>
  <si>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</si>
  <si>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</si>
  <si>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</si>
  <si>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</si>
  <si>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</si>
  <si>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</si>
  <si>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</si>
  <si>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</si>
  <si>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</si>
  <si>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</si>
  <si>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</si>
  <si>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</si>
  <si>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</si>
  <si>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</si>
  <si>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</si>
  <si>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</si>
  <si>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</si>
  <si>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</si>
  <si>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</si>
  <si>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</si>
  <si>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</si>
  <si>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</si>
  <si>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</si>
  <si>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</si>
  <si>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</si>
  <si>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</si>
  <si>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</si>
  <si>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</si>
  <si>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</si>
  <si>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</si>
  <si>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</si>
  <si>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</si>
  <si>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</si>
  <si>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</si>
  <si>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</si>
  <si>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</si>
  <si>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</si>
  <si>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</si>
  <si>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</si>
  <si>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</si>
  <si>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</si>
  <si>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</si>
  <si>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</si>
  <si>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</si>
  <si>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</si>
  <si>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</si>
  <si>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</si>
  <si>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</si>
  <si>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</si>
  <si>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</si>
  <si>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</si>
  <si>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</si>
  <si>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</si>
  <si>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</si>
  <si>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</si>
  <si>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</si>
  <si>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</si>
  <si>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</si>
  <si>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</si>
  <si>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</si>
  <si>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</si>
  <si>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</si>
  <si>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</si>
  <si>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</si>
  <si>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</si>
  <si>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</si>
  <si>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</si>
  <si>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</si>
  <si>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</si>
  <si>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</si>
  <si>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</si>
  <si>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</si>
  <si>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</si>
  <si>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</si>
  <si>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</si>
  <si>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</si>
  <si>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</si>
  <si>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</si>
  <si>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</si>
  <si>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</si>
  <si>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</si>
  <si>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</si>
  <si>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</si>
  <si>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</si>
  <si>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</si>
  <si>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</si>
  <si>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</si>
  <si>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</si>
  <si>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</si>
  <si>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</si>
  <si>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</si>
  <si>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</si>
  <si>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</si>
  <si>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</si>
  <si>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</si>
  <si>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</si>
  <si>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</si>
  <si>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</si>
  <si>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</si>
  <si>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</si>
  <si>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</si>
  <si>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</si>
  <si>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</si>
  <si>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</si>
  <si>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</si>
  <si>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</si>
  <si>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</si>
  <si>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りくと</t>
  </si>
  <si>
    <t>まっつん</t>
  </si>
  <si>
    <t>ほたに</t>
  </si>
  <si>
    <t>ロン</t>
  </si>
  <si>
    <t>放銃</t>
  </si>
  <si>
    <t>01</t>
  </si>
  <si>
    <t>*</t>
  </si>
  <si>
    <t>ツモ</t>
  </si>
  <si>
    <t>ツモ支払</t>
  </si>
  <si>
    <t>02</t>
  </si>
  <si>
    <t>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</si>
</sst>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topLeftCell="BGK1" zoomScaleNormal="100" workbookViewId="0">
      <selection activeCell="S27" sqref="Q27:S27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191</v>
      </c>
      <c r="G1" s="67"/>
      <c r="H1" s="67"/>
      <c r="I1" s="68"/>
      <c r="J1" s="69"/>
      <c r="K1" s="66" t="s">
        <v>192</v>
      </c>
      <c r="L1" s="67"/>
      <c r="M1" s="67"/>
      <c r="N1" s="68"/>
      <c r="O1" s="69"/>
      <c r="P1" s="66" t="s">
        <v>193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りくと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まっつん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ほたに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りくと</v>
      </c>
      <c r="V2" s="64" t="str">
        <f>$K$1</f>
        <v>まっつん</v>
      </c>
      <c r="W2" s="16" t="str">
        <f>$P$1</f>
        <v>ほたに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/>
      <c r="G4" s="9"/>
      <c r="H4" s="9"/>
      <c r="I4" s="48"/>
      <c r="J4" s="21">
        <f>IF(COUNTA($F4,$K4,$P4)&gt;0,J3+SUM(G4:I4),"")</f>
        <v>35000</v>
      </c>
      <c r="K4" s="8" t="s">
        <v>194</v>
      </c>
      <c r="L4" s="9">
        <v>7700</v>
      </c>
      <c r="M4" s="9"/>
      <c r="N4" s="48">
        <v>0</v>
      </c>
      <c r="O4" s="21">
        <f>IF(COUNTA($F4,$K4,$P4)&gt;0,O3+SUM(L4:N4),"")</f>
        <v>42700</v>
      </c>
      <c r="P4" s="8" t="s">
        <v>195</v>
      </c>
      <c r="Q4" s="9">
        <v>-7700</v>
      </c>
      <c r="R4" s="9"/>
      <c r="S4" s="48">
        <v>0</v>
      </c>
      <c r="T4" s="21">
        <f>IF(COUNTA($F4,$K4,$P4)&gt;0,T3+SUM(Q4:S4),"")</f>
        <v>27300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17.7</v>
      </c>
      <c r="W4" s="55">
        <f>IF($T4="","",ROUND(($T4-$T$3)/1000,1)+(_xlfn.RANK.AVG($T4,($J4,$O4,$T4),1)-2)*10)</f>
        <v>-17.7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3</v>
      </c>
      <c r="AY4" s="30">
        <v>40</v>
      </c>
      <c r="AZ4" s="40" t="s">
        <v>196</v>
      </c>
      <c r="BA4" s="41" t="s">
        <v>79</v>
      </c>
      <c r="BB4" s="41" t="s">
        <v>79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192</v>
      </c>
      <c r="F5" s="8"/>
      <c r="G5" s="9"/>
      <c r="H5" s="9"/>
      <c r="I5" s="48"/>
      <c r="J5" s="21">
        <f t="shared" ref="J5:J30" si="2">IF(COUNTA($F5,$K5,$P5)&gt;0,J4+SUM(G5:I5),"")</f>
        <v>35000</v>
      </c>
      <c r="K5" s="8" t="s">
        <v>195</v>
      </c>
      <c r="L5" s="9">
        <v>-1000</v>
      </c>
      <c r="M5" s="9"/>
      <c r="N5" s="48">
        <v>-1000</v>
      </c>
      <c r="O5" s="21">
        <f t="shared" ref="O5:O30" si="3">IF(COUNTA($F5,$K5,$P5)&gt;0,O4+SUM(L5:N5),"")</f>
        <v>40700</v>
      </c>
      <c r="P5" s="8" t="s">
        <v>194</v>
      </c>
      <c r="Q5" s="9">
        <v>1000</v>
      </c>
      <c r="R5" s="9"/>
      <c r="S5" s="48">
        <v>1000</v>
      </c>
      <c r="T5" s="21">
        <f t="shared" ref="T5:T30" si="4">IF(COUNTA($F5,$K5,$P5)&gt;0,T4+SUM(Q5:S5),"")</f>
        <v>29300</v>
      </c>
      <c r="U5" s="53">
        <f>IF($J5="","",ROUND(($J5-$J$3)/1000,1)+(_xlfn.RANK.AVG($J5,($J5,$O5,$T5),1)-2)*10)</f>
        <v>0</v>
      </c>
      <c r="V5" s="54">
        <f>IF($O5="","",ROUND(($O5-$O$3)/1000,1)+(_xlfn.RANK.AVG($O5,($J5,$O5,$T5),1)-2)*10)</f>
        <v>15.7</v>
      </c>
      <c r="W5" s="55">
        <f>IF($T5="","",ROUND(($T5-$T$3)/1000,1)+(_xlfn.RANK.AVG($T5,($J5,$O5,$T5),1)-2)*10)</f>
        <v>-15.7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1</v>
      </c>
      <c r="BT5" s="30">
        <v>30</v>
      </c>
      <c r="BU5" s="40" t="s">
        <v>86</v>
      </c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195</v>
      </c>
      <c r="G6" s="9">
        <v>-12000</v>
      </c>
      <c r="H6" s="9"/>
      <c r="I6" s="48">
        <v>0</v>
      </c>
      <c r="J6" s="21">
        <f t="shared" si="2"/>
        <v>23000</v>
      </c>
      <c r="K6" s="8"/>
      <c r="L6" s="9"/>
      <c r="M6" s="9"/>
      <c r="N6" s="48"/>
      <c r="O6" s="21">
        <f t="shared" si="3"/>
        <v>40700</v>
      </c>
      <c r="P6" s="8" t="s">
        <v>194</v>
      </c>
      <c r="Q6" s="9">
        <v>12000</v>
      </c>
      <c r="R6" s="9"/>
      <c r="S6" s="48">
        <v>0</v>
      </c>
      <c r="T6" s="21">
        <f t="shared" si="4"/>
        <v>41300</v>
      </c>
      <c r="U6" s="53">
        <f>IF($J6="","",ROUND(($J6-$J$3)/1000,1)+(_xlfn.RANK.AVG($J6,($J6,$O6,$T6),1)-2)*10)</f>
        <v>-22</v>
      </c>
      <c r="V6" s="54">
        <f>IF($O6="","",ROUND(($O6-$O$3)/1000,1)+(_xlfn.RANK.AVG($O6,($J6,$O6,$T6),1)-2)*10)</f>
        <v>5.7</v>
      </c>
      <c r="W6" s="55">
        <f>IF($T6="","",ROUND(($T6-$T$3)/1000,1)+(_xlfn.RANK.AVG($T6,($J6,$O6,$T6),1)-2)*10)</f>
        <v>16.3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5</v>
      </c>
      <c r="BT6" s="30" t="s">
        <v>197</v>
      </c>
      <c r="BU6" s="40" t="s">
        <v>104</v>
      </c>
      <c r="BV6" s="41" t="s">
        <v>98</v>
      </c>
      <c r="BW6" s="41" t="s">
        <v>86</v>
      </c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">
        <v>193</v>
      </c>
      <c r="F7" s="8" t="s">
        <v>198</v>
      </c>
      <c r="G7" s="9">
        <v>7700</v>
      </c>
      <c r="H7" s="9"/>
      <c r="I7" s="48">
        <v>1000</v>
      </c>
      <c r="J7" s="21">
        <f t="shared" si="2"/>
        <v>31700</v>
      </c>
      <c r="K7" s="8" t="s">
        <v>199</v>
      </c>
      <c r="L7" s="9">
        <v>-2900</v>
      </c>
      <c r="M7" s="9"/>
      <c r="N7" s="48">
        <v>-500</v>
      </c>
      <c r="O7" s="21">
        <f t="shared" si="3"/>
        <v>37300</v>
      </c>
      <c r="P7" s="8" t="s">
        <v>199</v>
      </c>
      <c r="Q7" s="9">
        <v>-4800</v>
      </c>
      <c r="R7" s="9"/>
      <c r="S7" s="48">
        <v>-500</v>
      </c>
      <c r="T7" s="21">
        <f t="shared" si="4"/>
        <v>36000</v>
      </c>
      <c r="U7" s="53">
        <f>IF($J7="","",ROUND(($J7-$J$3)/1000,1)+(_xlfn.RANK.AVG($J7,($J7,$O7,$T7),1)-2)*10)</f>
        <v>-13.3</v>
      </c>
      <c r="V7" s="54">
        <f>IF($O7="","",ROUND(($O7-$O$3)/1000,1)+(_xlfn.RANK.AVG($O7,($J7,$O7,$T7),1)-2)*10)</f>
        <v>12.3</v>
      </c>
      <c r="W7" s="55">
        <f>IF($T7="","",ROUND(($T7-$T$3)/1000,1)+(_xlfn.RANK.AVG($T7,($J7,$O7,$T7),1)-2)*10)</f>
        <v>1</v>
      </c>
      <c r="Y7" s="8"/>
      <c r="Z7" s="34"/>
      <c r="AA7" s="26">
        <v>1</v>
      </c>
      <c r="AB7" s="26"/>
      <c r="AC7" s="26">
        <v>4</v>
      </c>
      <c r="AD7" s="30">
        <v>30</v>
      </c>
      <c r="AE7" s="40" t="s">
        <v>196</v>
      </c>
      <c r="AF7" s="41" t="s">
        <v>82</v>
      </c>
      <c r="AG7" s="41" t="s">
        <v>84</v>
      </c>
      <c r="AH7" s="41" t="s">
        <v>79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199</v>
      </c>
      <c r="G8" s="9">
        <v>-7500</v>
      </c>
      <c r="H8" s="9"/>
      <c r="I8" s="48">
        <v>0</v>
      </c>
      <c r="J8" s="21">
        <f t="shared" si="2"/>
        <v>24200</v>
      </c>
      <c r="K8" s="8" t="s">
        <v>199</v>
      </c>
      <c r="L8" s="9">
        <v>-4500</v>
      </c>
      <c r="M8" s="9">
        <v>-1000</v>
      </c>
      <c r="N8" s="48">
        <v>0</v>
      </c>
      <c r="O8" s="21">
        <f t="shared" si="3"/>
        <v>31800</v>
      </c>
      <c r="P8" s="8" t="s">
        <v>198</v>
      </c>
      <c r="Q8" s="9">
        <v>12000</v>
      </c>
      <c r="R8" s="9">
        <v>1000</v>
      </c>
      <c r="S8" s="48">
        <v>0</v>
      </c>
      <c r="T8" s="21">
        <f t="shared" si="4"/>
        <v>49000</v>
      </c>
      <c r="U8" s="53">
        <f>IF($J8="","",ROUND(($J8-$J$3)/1000,1)+(_xlfn.RANK.AVG($J8,($J8,$O8,$T8),1)-2)*10)</f>
        <v>-20.8</v>
      </c>
      <c r="V8" s="54">
        <f>IF($O8="","",ROUND(($O8-$O$3)/1000,1)+(_xlfn.RANK.AVG($O8,($J8,$O8,$T8),1)-2)*10)</f>
        <v>-3.2</v>
      </c>
      <c r="W8" s="55">
        <f>IF($T8="","",ROUND(($T8-$T$3)/1000,1)+(_xlfn.RANK.AVG($T8,($J8,$O8,$T8),1)-2)*10)</f>
        <v>24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7</v>
      </c>
      <c r="BT8" s="30" t="s">
        <v>197</v>
      </c>
      <c r="BU8" s="40" t="s">
        <v>196</v>
      </c>
      <c r="BV8" s="41" t="s">
        <v>82</v>
      </c>
      <c r="BW8" s="41" t="s">
        <v>200</v>
      </c>
      <c r="BX8" s="41" t="s">
        <v>79</v>
      </c>
      <c r="BY8" s="41" t="s">
        <v>201</v>
      </c>
      <c r="BZ8" s="41" t="s">
        <v>85</v>
      </c>
      <c r="CA8" s="41" t="s">
        <v>83</v>
      </c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192</v>
      </c>
      <c r="F9" s="8"/>
      <c r="G9" s="9"/>
      <c r="H9" s="9"/>
      <c r="I9" s="48"/>
      <c r="J9" s="21">
        <f t="shared" si="2"/>
        <v>24200</v>
      </c>
      <c r="K9" s="8" t="s">
        <v>195</v>
      </c>
      <c r="L9" s="9">
        <v>-8000</v>
      </c>
      <c r="M9" s="9"/>
      <c r="N9" s="48">
        <v>0</v>
      </c>
      <c r="O9" s="21">
        <f t="shared" si="3"/>
        <v>23800</v>
      </c>
      <c r="P9" s="8" t="s">
        <v>194</v>
      </c>
      <c r="Q9" s="9">
        <v>8000</v>
      </c>
      <c r="R9" s="9"/>
      <c r="S9" s="48">
        <v>0</v>
      </c>
      <c r="T9" s="21">
        <f t="shared" si="4"/>
        <v>57000</v>
      </c>
      <c r="U9" s="53">
        <f>IF($J9="","",ROUND(($J9-$J$3)/1000,1)+(_xlfn.RANK.AVG($J9,($J9,$O9,$T9),1)-2)*10)</f>
        <v>-10.8</v>
      </c>
      <c r="V9" s="54">
        <f>IF($O9="","",ROUND(($O9-$O$3)/1000,1)+(_xlfn.RANK.AVG($O9,($J9,$O9,$T9),1)-2)*10)</f>
        <v>-21.2</v>
      </c>
      <c r="W9" s="55">
        <f>IF($T9="","",ROUND(($T9-$T$3)/1000,1)+(_xlfn.RANK.AVG($T9,($J9,$O9,$T9),1)-2)*10)</f>
        <v>32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5</v>
      </c>
      <c r="BT9" s="30" t="s">
        <v>197</v>
      </c>
      <c r="BU9" s="40" t="s">
        <v>196</v>
      </c>
      <c r="BV9" s="41" t="s">
        <v>201</v>
      </c>
      <c r="BW9" s="41" t="s">
        <v>79</v>
      </c>
      <c r="BX9" s="41" t="s">
        <v>80</v>
      </c>
      <c r="BY9" s="41" t="s">
        <v>201</v>
      </c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193</v>
      </c>
      <c r="F10" s="8" t="s">
        <v>199</v>
      </c>
      <c r="G10" s="9">
        <v>-500</v>
      </c>
      <c r="H10" s="9"/>
      <c r="I10" s="48">
        <v>0</v>
      </c>
      <c r="J10" s="21">
        <f t="shared" si="2"/>
        <v>23700</v>
      </c>
      <c r="K10" s="8" t="s">
        <v>198</v>
      </c>
      <c r="L10" s="9">
        <v>1200</v>
      </c>
      <c r="M10" s="9"/>
      <c r="N10" s="48">
        <v>0</v>
      </c>
      <c r="O10" s="21">
        <f t="shared" si="3"/>
        <v>25000</v>
      </c>
      <c r="P10" s="8" t="s">
        <v>199</v>
      </c>
      <c r="Q10" s="9">
        <v>-700</v>
      </c>
      <c r="R10" s="9"/>
      <c r="S10" s="48">
        <v>0</v>
      </c>
      <c r="T10" s="21">
        <f t="shared" si="4"/>
        <v>56300</v>
      </c>
      <c r="U10" s="53">
        <f>IF($J10="","",ROUND(($J10-$J$3)/1000,1)+(_xlfn.RANK.AVG($J10,($J10,$O10,$T10),1)-2)*10)</f>
        <v>-21.3</v>
      </c>
      <c r="V10" s="54">
        <f>IF($O10="","",ROUND(($O10-$O$3)/1000,1)+(_xlfn.RANK.AVG($O10,($J10,$O10,$T10),1)-2)*10)</f>
        <v>-10</v>
      </c>
      <c r="W10" s="55">
        <f>IF($T10="","",ROUND(($T10-$T$3)/1000,1)+(_xlfn.RANK.AVG($T10,($J10,$O10,$T10),1)-2)*10)</f>
        <v>31.3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1</v>
      </c>
      <c r="AY10" s="30">
        <v>30</v>
      </c>
      <c r="AZ10" s="40" t="s">
        <v>86</v>
      </c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191</v>
      </c>
      <c r="F11" s="8" t="s">
        <v>199</v>
      </c>
      <c r="G11" s="9">
        <v>-10000</v>
      </c>
      <c r="H11" s="9"/>
      <c r="I11" s="48">
        <v>0</v>
      </c>
      <c r="J11" s="21">
        <f t="shared" si="2"/>
        <v>13700</v>
      </c>
      <c r="K11" s="8" t="s">
        <v>198</v>
      </c>
      <c r="L11" s="9">
        <v>16000</v>
      </c>
      <c r="M11" s="9"/>
      <c r="N11" s="48">
        <v>0</v>
      </c>
      <c r="O11" s="21">
        <f t="shared" si="3"/>
        <v>41000</v>
      </c>
      <c r="P11" s="8" t="s">
        <v>199</v>
      </c>
      <c r="Q11" s="9">
        <v>-6000</v>
      </c>
      <c r="R11" s="9"/>
      <c r="S11" s="48">
        <v>0</v>
      </c>
      <c r="T11" s="21">
        <f t="shared" si="4"/>
        <v>50300</v>
      </c>
      <c r="U11" s="53">
        <f>IF($J11="","",ROUND(($J11-$J$3)/1000,1)+(_xlfn.RANK.AVG($J11,($J11,$O11,$T11),1)-2)*10)</f>
        <v>-31.3</v>
      </c>
      <c r="V11" s="54">
        <f>IF($O11="","",ROUND(($O11-$O$3)/1000,1)+(_xlfn.RANK.AVG($O11,($J11,$O11,$T11),1)-2)*10)</f>
        <v>6</v>
      </c>
      <c r="W11" s="55">
        <f>IF($T11="","",ROUND(($T11-$T$3)/1000,1)+(_xlfn.RANK.AVG($T11,($J11,$O11,$T11),1)-2)*10)</f>
        <v>25.3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10</v>
      </c>
      <c r="AY11" s="30" t="s">
        <v>197</v>
      </c>
      <c r="AZ11" s="40" t="s">
        <v>196</v>
      </c>
      <c r="BA11" s="41" t="s">
        <v>82</v>
      </c>
      <c r="BB11" s="41" t="s">
        <v>201</v>
      </c>
      <c r="BC11" s="41" t="s">
        <v>201</v>
      </c>
      <c r="BD11" s="41" t="s">
        <v>86</v>
      </c>
      <c r="BE11" s="41" t="s">
        <v>86</v>
      </c>
      <c r="BF11" s="41" t="s">
        <v>79</v>
      </c>
      <c r="BG11" s="41" t="s">
        <v>79</v>
      </c>
      <c r="BH11" s="41" t="s">
        <v>79</v>
      </c>
      <c r="BI11" s="41" t="s">
        <v>80</v>
      </c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西</v>
      </c>
      <c r="B12" s="18">
        <f t="shared" si="5"/>
        <v>1</v>
      </c>
      <c r="C12" s="18">
        <f t="shared" si="6"/>
        <v>0</v>
      </c>
      <c r="D12" s="18">
        <f t="shared" si="1"/>
        <v>0</v>
      </c>
      <c r="E12" s="4" t="s">
        <v>192</v>
      </c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EDE091B0-C250-44D4-A0D1-B5861666BD98}">
      <formula1>"たかの,だいち,ただ,りくと,れんたろう,まっつん,のり,ぱぱ,ほたに,"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2019-10-09T15:31:22Z</dcterms:modified>
</cp:coreProperties>
</file>