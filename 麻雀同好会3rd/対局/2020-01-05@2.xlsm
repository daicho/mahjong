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00D9E21E-E456-4A3B-817A-ACD2D528802D}" xr6:coauthVersionLast="41" xr6:coauthVersionMax="41" xr10:uidLastSave="{00000000-0000-0000-0000-000000000000}"/>
  <bookViews>
    <workbookView xWindow="-108" yWindow="-108" windowWidth="23256" windowHeight="12720" activeTab="5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6" sheetId="25" r:id="rId5"/>
    <sheet name="Sheet5" sheetId="26" r:id="rId6"/>
    <sheet name="役一覧" sheetId="15" state="hidden" r:id="rId7"/>
    <sheet name="点数表(親ロン)" sheetId="4" state="hidden" r:id="rId8"/>
    <sheet name="点数表(親ツモ)" sheetId="9" state="hidden" r:id="rId9"/>
    <sheet name="点数表(子→親)" sheetId="7" state="hidden" r:id="rId10"/>
    <sheet name="点数表(子ロン)" sheetId="3" state="hidden" r:id="rId11"/>
    <sheet name="点数表(子ツモ)" sheetId="10" state="hidden" r:id="rId12"/>
    <sheet name="点数表(子→子)" sheetId="5" state="hidden" r:id="rId13"/>
    <sheet name="点数表(親→子)" sheetId="6" state="hidden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6" l="1"/>
  <c r="W30" i="26" s="1"/>
  <c r="O30" i="26"/>
  <c r="V30" i="26" s="1"/>
  <c r="J30" i="26"/>
  <c r="U30" i="26" s="1"/>
  <c r="D30" i="26"/>
  <c r="C30" i="26"/>
  <c r="B30" i="26"/>
  <c r="A30" i="26"/>
  <c r="T29" i="26"/>
  <c r="W29" i="26" s="1"/>
  <c r="O29" i="26"/>
  <c r="V29" i="26" s="1"/>
  <c r="J29" i="26"/>
  <c r="U29" i="26" s="1"/>
  <c r="D29" i="26"/>
  <c r="C29" i="26"/>
  <c r="B29" i="26"/>
  <c r="A29" i="26"/>
  <c r="T28" i="26"/>
  <c r="W28" i="26" s="1"/>
  <c r="O28" i="26"/>
  <c r="V28" i="26" s="1"/>
  <c r="J28" i="26"/>
  <c r="U28" i="26" s="1"/>
  <c r="D28" i="26"/>
  <c r="C28" i="26"/>
  <c r="B28" i="26"/>
  <c r="A28" i="26"/>
  <c r="T27" i="26"/>
  <c r="W27" i="26" s="1"/>
  <c r="O27" i="26"/>
  <c r="V27" i="26" s="1"/>
  <c r="J27" i="26"/>
  <c r="U27" i="26" s="1"/>
  <c r="D27" i="26"/>
  <c r="C27" i="26"/>
  <c r="B27" i="26"/>
  <c r="A27" i="26"/>
  <c r="T26" i="26"/>
  <c r="W26" i="26" s="1"/>
  <c r="O26" i="26"/>
  <c r="V26" i="26" s="1"/>
  <c r="J26" i="26"/>
  <c r="U26" i="26" s="1"/>
  <c r="D26" i="26"/>
  <c r="C26" i="26"/>
  <c r="B26" i="26"/>
  <c r="A26" i="26"/>
  <c r="T25" i="26"/>
  <c r="W25" i="26" s="1"/>
  <c r="O25" i="26"/>
  <c r="V25" i="26" s="1"/>
  <c r="J25" i="26"/>
  <c r="U25" i="26" s="1"/>
  <c r="D25" i="26"/>
  <c r="C25" i="26"/>
  <c r="B25" i="26"/>
  <c r="A25" i="26"/>
  <c r="T24" i="26"/>
  <c r="W24" i="26" s="1"/>
  <c r="O24" i="26"/>
  <c r="V24" i="26" s="1"/>
  <c r="J24" i="26"/>
  <c r="U24" i="26" s="1"/>
  <c r="D24" i="26"/>
  <c r="C24" i="26"/>
  <c r="B24" i="26"/>
  <c r="A24" i="26"/>
  <c r="T23" i="26"/>
  <c r="W23" i="26" s="1"/>
  <c r="O23" i="26"/>
  <c r="V23" i="26" s="1"/>
  <c r="J23" i="26"/>
  <c r="U23" i="26" s="1"/>
  <c r="D23" i="26"/>
  <c r="C23" i="26"/>
  <c r="B23" i="26"/>
  <c r="A23" i="26"/>
  <c r="T22" i="26"/>
  <c r="W22" i="26" s="1"/>
  <c r="O22" i="26"/>
  <c r="V22" i="26" s="1"/>
  <c r="J22" i="26"/>
  <c r="U22" i="26" s="1"/>
  <c r="D22" i="26"/>
  <c r="C22" i="26"/>
  <c r="B22" i="26"/>
  <c r="A22" i="26"/>
  <c r="T21" i="26"/>
  <c r="W21" i="26" s="1"/>
  <c r="O21" i="26"/>
  <c r="V21" i="26" s="1"/>
  <c r="J21" i="26"/>
  <c r="U21" i="26" s="1"/>
  <c r="D21" i="26"/>
  <c r="C21" i="26"/>
  <c r="B21" i="26"/>
  <c r="A21" i="26"/>
  <c r="T20" i="26"/>
  <c r="W20" i="26" s="1"/>
  <c r="O20" i="26"/>
  <c r="V20" i="26" s="1"/>
  <c r="J20" i="26"/>
  <c r="U20" i="26" s="1"/>
  <c r="D20" i="26"/>
  <c r="C20" i="26"/>
  <c r="B20" i="26"/>
  <c r="A20" i="26"/>
  <c r="T19" i="26"/>
  <c r="W19" i="26" s="1"/>
  <c r="O19" i="26"/>
  <c r="V19" i="26" s="1"/>
  <c r="J19" i="26"/>
  <c r="U19" i="26" s="1"/>
  <c r="D19" i="26"/>
  <c r="C19" i="26"/>
  <c r="B19" i="26"/>
  <c r="A19" i="26"/>
  <c r="T18" i="26"/>
  <c r="W18" i="26" s="1"/>
  <c r="O18" i="26"/>
  <c r="V18" i="26" s="1"/>
  <c r="J18" i="26"/>
  <c r="U18" i="26" s="1"/>
  <c r="D18" i="26"/>
  <c r="C18" i="26"/>
  <c r="B18" i="26"/>
  <c r="A18" i="26"/>
  <c r="T17" i="26"/>
  <c r="W17" i="26" s="1"/>
  <c r="O17" i="26"/>
  <c r="V17" i="26" s="1"/>
  <c r="J17" i="26"/>
  <c r="U17" i="26" s="1"/>
  <c r="D17" i="26"/>
  <c r="C17" i="26"/>
  <c r="B17" i="26"/>
  <c r="A17" i="26"/>
  <c r="T16" i="26"/>
  <c r="W16" i="26" s="1"/>
  <c r="O16" i="26"/>
  <c r="V16" i="26" s="1"/>
  <c r="J16" i="26"/>
  <c r="U16" i="26" s="1"/>
  <c r="D16" i="26"/>
  <c r="C16" i="26"/>
  <c r="B16" i="26"/>
  <c r="A16" i="26"/>
  <c r="T15" i="26"/>
  <c r="W15" i="26" s="1"/>
  <c r="O15" i="26"/>
  <c r="V15" i="26" s="1"/>
  <c r="J15" i="26"/>
  <c r="U15" i="26" s="1"/>
  <c r="D15" i="26"/>
  <c r="C15" i="26"/>
  <c r="B15" i="26"/>
  <c r="A15" i="26"/>
  <c r="T14" i="26"/>
  <c r="W14" i="26" s="1"/>
  <c r="O14" i="26"/>
  <c r="V14" i="26" s="1"/>
  <c r="J14" i="26"/>
  <c r="U14" i="26" s="1"/>
  <c r="D14" i="26"/>
  <c r="C14" i="26"/>
  <c r="B14" i="26"/>
  <c r="A14" i="26"/>
  <c r="T13" i="26"/>
  <c r="W13" i="26" s="1"/>
  <c r="O13" i="26"/>
  <c r="V13" i="26" s="1"/>
  <c r="J13" i="26"/>
  <c r="U13" i="26" s="1"/>
  <c r="D13" i="26"/>
  <c r="C13" i="26"/>
  <c r="B13" i="26"/>
  <c r="A13" i="26"/>
  <c r="T12" i="26"/>
  <c r="W12" i="26" s="1"/>
  <c r="O12" i="26"/>
  <c r="V12" i="26" s="1"/>
  <c r="J12" i="26"/>
  <c r="U12" i="26" s="1"/>
  <c r="D12" i="26"/>
  <c r="C12" i="26"/>
  <c r="B12" i="26"/>
  <c r="A12" i="26"/>
  <c r="D11" i="26"/>
  <c r="C11" i="26"/>
  <c r="D10" i="26"/>
  <c r="C10" i="26"/>
  <c r="D9" i="26"/>
  <c r="D8" i="26"/>
  <c r="D7" i="26"/>
  <c r="D6" i="26"/>
  <c r="B6" i="26"/>
  <c r="B7" i="26" s="1"/>
  <c r="T5" i="26"/>
  <c r="D5" i="26"/>
  <c r="C5" i="26"/>
  <c r="C6" i="26" s="1"/>
  <c r="C7" i="26" s="1"/>
  <c r="C8" i="26" s="1"/>
  <c r="C9" i="26" s="1"/>
  <c r="B5" i="26"/>
  <c r="A5" i="26" s="1"/>
  <c r="T4" i="26"/>
  <c r="O4" i="26"/>
  <c r="O5" i="26" s="1"/>
  <c r="J4" i="26"/>
  <c r="W3" i="26"/>
  <c r="V3" i="26"/>
  <c r="U3" i="26"/>
  <c r="W2" i="26"/>
  <c r="V2" i="26"/>
  <c r="U2" i="26"/>
  <c r="BO1" i="26"/>
  <c r="AT1" i="26"/>
  <c r="Y1" i="26"/>
  <c r="A6" i="26" l="1"/>
  <c r="W4" i="26"/>
  <c r="V4" i="26"/>
  <c r="O6" i="26"/>
  <c r="B8" i="26"/>
  <c r="A8" i="26" s="1"/>
  <c r="J5" i="26"/>
  <c r="A7" i="26"/>
  <c r="U4" i="26"/>
  <c r="T6" i="26"/>
  <c r="T30" i="25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A16" i="25"/>
  <c r="T15" i="25"/>
  <c r="W15" i="25" s="1"/>
  <c r="O15" i="25"/>
  <c r="V15" i="25" s="1"/>
  <c r="J15" i="25"/>
  <c r="U15" i="25" s="1"/>
  <c r="D15" i="25"/>
  <c r="C15" i="25"/>
  <c r="B15" i="25"/>
  <c r="A15" i="25"/>
  <c r="T14" i="25"/>
  <c r="W14" i="25" s="1"/>
  <c r="O14" i="25"/>
  <c r="V14" i="25" s="1"/>
  <c r="J14" i="25"/>
  <c r="U14" i="25" s="1"/>
  <c r="D14" i="25"/>
  <c r="C14" i="25"/>
  <c r="B14" i="25"/>
  <c r="A14" i="25"/>
  <c r="T13" i="25"/>
  <c r="W13" i="25" s="1"/>
  <c r="O13" i="25"/>
  <c r="V13" i="25" s="1"/>
  <c r="J13" i="25"/>
  <c r="U13" i="25" s="1"/>
  <c r="D13" i="25"/>
  <c r="C13" i="25"/>
  <c r="B13" i="25"/>
  <c r="A13" i="25"/>
  <c r="T12" i="25"/>
  <c r="W12" i="25" s="1"/>
  <c r="O12" i="25"/>
  <c r="V12" i="25" s="1"/>
  <c r="J12" i="25"/>
  <c r="U12" i="25" s="1"/>
  <c r="D12" i="25"/>
  <c r="C12" i="25"/>
  <c r="B12" i="25"/>
  <c r="A12" i="25" s="1"/>
  <c r="T11" i="25"/>
  <c r="O11" i="25"/>
  <c r="J11" i="25"/>
  <c r="U11" i="25" s="1"/>
  <c r="D11" i="25"/>
  <c r="C11" i="25"/>
  <c r="B11" i="25"/>
  <c r="A11" i="25" s="1"/>
  <c r="T10" i="25"/>
  <c r="O10" i="25"/>
  <c r="J10" i="25"/>
  <c r="U10" i="25" s="1"/>
  <c r="D10" i="25"/>
  <c r="C10" i="25"/>
  <c r="B10" i="25"/>
  <c r="A10" i="25" s="1"/>
  <c r="T9" i="25"/>
  <c r="O9" i="25"/>
  <c r="V9" i="25" s="1"/>
  <c r="J9" i="25"/>
  <c r="D9" i="25"/>
  <c r="C9" i="25"/>
  <c r="B9" i="25"/>
  <c r="A9" i="25" s="1"/>
  <c r="T8" i="25"/>
  <c r="O8" i="25"/>
  <c r="J8" i="25"/>
  <c r="U8" i="25" s="1"/>
  <c r="D8" i="25"/>
  <c r="C8" i="25"/>
  <c r="B8" i="25"/>
  <c r="A8" i="25" s="1"/>
  <c r="T7" i="25"/>
  <c r="O7" i="25"/>
  <c r="J7" i="25"/>
  <c r="D7" i="25"/>
  <c r="C7" i="25"/>
  <c r="B7" i="25"/>
  <c r="A7" i="25" s="1"/>
  <c r="T6" i="25"/>
  <c r="O6" i="25"/>
  <c r="V6" i="25" s="1"/>
  <c r="J6" i="25"/>
  <c r="U6" i="25" s="1"/>
  <c r="D6" i="25"/>
  <c r="C6" i="25"/>
  <c r="B6" i="25"/>
  <c r="A6" i="25"/>
  <c r="T5" i="25"/>
  <c r="W5" i="25" s="1"/>
  <c r="O5" i="25"/>
  <c r="J5" i="25"/>
  <c r="D5" i="25"/>
  <c r="C5" i="25"/>
  <c r="B5" i="25"/>
  <c r="A5" i="25"/>
  <c r="T4" i="25"/>
  <c r="O4" i="25"/>
  <c r="V4" i="25" s="1"/>
  <c r="J4" i="25"/>
  <c r="W3" i="25"/>
  <c r="V3" i="25"/>
  <c r="U3" i="25"/>
  <c r="W2" i="25"/>
  <c r="V2" i="25"/>
  <c r="U2" i="25"/>
  <c r="BO1" i="25"/>
  <c r="AT1" i="25"/>
  <c r="Y1" i="25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 s="1"/>
  <c r="T15" i="22"/>
  <c r="O15" i="22"/>
  <c r="J15" i="22"/>
  <c r="U15" i="22" s="1"/>
  <c r="D15" i="22"/>
  <c r="C15" i="22"/>
  <c r="B15" i="22"/>
  <c r="A15" i="22"/>
  <c r="T14" i="22"/>
  <c r="O14" i="22"/>
  <c r="J14" i="22"/>
  <c r="U14" i="22" s="1"/>
  <c r="D14" i="22"/>
  <c r="C14" i="22"/>
  <c r="B14" i="22"/>
  <c r="A14" i="22" s="1"/>
  <c r="T13" i="22"/>
  <c r="O13" i="22"/>
  <c r="J13" i="22"/>
  <c r="D13" i="22"/>
  <c r="C13" i="22"/>
  <c r="B13" i="22"/>
  <c r="A13" i="22" s="1"/>
  <c r="T12" i="22"/>
  <c r="O12" i="22"/>
  <c r="V12" i="22" s="1"/>
  <c r="J12" i="22"/>
  <c r="D12" i="22"/>
  <c r="C12" i="22"/>
  <c r="B12" i="22"/>
  <c r="A12" i="22" s="1"/>
  <c r="T11" i="22"/>
  <c r="W11" i="22" s="1"/>
  <c r="O11" i="22"/>
  <c r="V11" i="22" s="1"/>
  <c r="J11" i="22"/>
  <c r="U11" i="22" s="1"/>
  <c r="D11" i="22"/>
  <c r="C11" i="22"/>
  <c r="B11" i="22"/>
  <c r="A11" i="22" s="1"/>
  <c r="T10" i="22"/>
  <c r="O10" i="22"/>
  <c r="V10" i="22" s="1"/>
  <c r="J10" i="22"/>
  <c r="D10" i="22"/>
  <c r="C10" i="22"/>
  <c r="B10" i="22"/>
  <c r="A10" i="22" s="1"/>
  <c r="T9" i="22"/>
  <c r="O9" i="22"/>
  <c r="J9" i="22"/>
  <c r="U9" i="22" s="1"/>
  <c r="D9" i="22"/>
  <c r="C9" i="22"/>
  <c r="B9" i="22"/>
  <c r="A9" i="22" s="1"/>
  <c r="D8" i="22"/>
  <c r="C8" i="22"/>
  <c r="D7" i="22"/>
  <c r="D6" i="22"/>
  <c r="C6" i="22"/>
  <c r="C7" i="22" s="1"/>
  <c r="O5" i="22"/>
  <c r="J5" i="22"/>
  <c r="D5" i="22"/>
  <c r="C5" i="22"/>
  <c r="B5" i="22"/>
  <c r="B6" i="22" s="1"/>
  <c r="T4" i="22"/>
  <c r="O4" i="22"/>
  <c r="J4" i="22"/>
  <c r="W3" i="22"/>
  <c r="V3" i="22"/>
  <c r="U3" i="22"/>
  <c r="W2" i="22"/>
  <c r="V2" i="22"/>
  <c r="U2" i="22"/>
  <c r="BO1" i="22"/>
  <c r="AT1" i="22"/>
  <c r="Y1" i="22"/>
  <c r="J6" i="26" l="1"/>
  <c r="U5" i="26"/>
  <c r="V6" i="26"/>
  <c r="O7" i="26"/>
  <c r="W5" i="26"/>
  <c r="B9" i="26"/>
  <c r="A9" i="26" s="1"/>
  <c r="V5" i="26"/>
  <c r="T7" i="26"/>
  <c r="W6" i="26"/>
  <c r="V11" i="25"/>
  <c r="W11" i="25"/>
  <c r="V10" i="25"/>
  <c r="W10" i="25"/>
  <c r="U9" i="25"/>
  <c r="W9" i="25"/>
  <c r="V8" i="25"/>
  <c r="W8" i="25"/>
  <c r="U7" i="25"/>
  <c r="V7" i="25"/>
  <c r="W7" i="25"/>
  <c r="W6" i="25"/>
  <c r="U5" i="25"/>
  <c r="V5" i="25"/>
  <c r="W4" i="25"/>
  <c r="U4" i="25"/>
  <c r="V15" i="22"/>
  <c r="W15" i="22"/>
  <c r="V14" i="22"/>
  <c r="W14" i="22"/>
  <c r="V13" i="22"/>
  <c r="W13" i="22"/>
  <c r="U13" i="22"/>
  <c r="W12" i="22"/>
  <c r="U12" i="22"/>
  <c r="U10" i="22"/>
  <c r="W10" i="22"/>
  <c r="V9" i="22"/>
  <c r="W9" i="22"/>
  <c r="A5" i="22"/>
  <c r="W4" i="22"/>
  <c r="U4" i="22"/>
  <c r="A6" i="22"/>
  <c r="B7" i="22"/>
  <c r="V4" i="22"/>
  <c r="T5" i="22"/>
  <c r="V5" i="22" s="1"/>
  <c r="J6" i="22"/>
  <c r="O6" i="22"/>
  <c r="T8" i="26" l="1"/>
  <c r="U6" i="26"/>
  <c r="J7" i="26"/>
  <c r="W7" i="26" s="1"/>
  <c r="B10" i="26"/>
  <c r="O8" i="26"/>
  <c r="V7" i="26"/>
  <c r="O7" i="22"/>
  <c r="J7" i="22"/>
  <c r="B8" i="22"/>
  <c r="T6" i="22"/>
  <c r="V6" i="22" s="1"/>
  <c r="W5" i="22"/>
  <c r="U5" i="22"/>
  <c r="A7" i="22"/>
  <c r="T9" i="26" l="1"/>
  <c r="O9" i="26"/>
  <c r="B11" i="26"/>
  <c r="A10" i="26"/>
  <c r="U7" i="26"/>
  <c r="J8" i="26"/>
  <c r="W8" i="26" s="1"/>
  <c r="A8" i="22"/>
  <c r="U6" i="22"/>
  <c r="W6" i="22"/>
  <c r="T7" i="22"/>
  <c r="U7" i="22"/>
  <c r="J8" i="22"/>
  <c r="O8" i="22"/>
  <c r="V7" i="22"/>
  <c r="A11" i="26" l="1"/>
  <c r="V8" i="26"/>
  <c r="T10" i="26"/>
  <c r="U8" i="26"/>
  <c r="J9" i="26"/>
  <c r="W9" i="26" s="1"/>
  <c r="V9" i="26"/>
  <c r="O10" i="26"/>
  <c r="W7" i="22"/>
  <c r="T8" i="22"/>
  <c r="W8" i="22" s="1"/>
  <c r="V8" i="22"/>
  <c r="T11" i="26" l="1"/>
  <c r="W10" i="26"/>
  <c r="O11" i="26"/>
  <c r="U9" i="26"/>
  <c r="J10" i="26"/>
  <c r="U8" i="22"/>
  <c r="W11" i="26" l="1"/>
  <c r="V11" i="26"/>
  <c r="U10" i="26"/>
  <c r="J11" i="26"/>
  <c r="U11" i="26" s="1"/>
  <c r="V10" i="26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D11" i="21"/>
  <c r="C11" i="21"/>
  <c r="D10" i="21"/>
  <c r="C10" i="21"/>
  <c r="D9" i="21"/>
  <c r="D8" i="21"/>
  <c r="C8" i="21"/>
  <c r="C9" i="21" s="1"/>
  <c r="D7" i="21"/>
  <c r="C7" i="21"/>
  <c r="B6" i="21"/>
  <c r="A6" i="21" s="1"/>
  <c r="D5" i="21"/>
  <c r="D6" i="21" s="1"/>
  <c r="C5" i="21"/>
  <c r="C6" i="21" s="1"/>
  <c r="B5" i="21"/>
  <c r="A5" i="21"/>
  <c r="T4" i="21"/>
  <c r="W4" i="21" s="1"/>
  <c r="O4" i="21"/>
  <c r="J4" i="2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O11" i="20"/>
  <c r="V11" i="20" s="1"/>
  <c r="J11" i="20"/>
  <c r="D11" i="20"/>
  <c r="C11" i="20"/>
  <c r="B11" i="20"/>
  <c r="A11" i="20" s="1"/>
  <c r="T10" i="20"/>
  <c r="O10" i="20"/>
  <c r="J10" i="20"/>
  <c r="D10" i="20"/>
  <c r="C10" i="20"/>
  <c r="B10" i="20"/>
  <c r="A10" i="20" s="1"/>
  <c r="D9" i="20"/>
  <c r="C9" i="20"/>
  <c r="D8" i="20"/>
  <c r="C8" i="20"/>
  <c r="D7" i="20"/>
  <c r="C7" i="20"/>
  <c r="D6" i="20"/>
  <c r="C6" i="20"/>
  <c r="B6" i="20"/>
  <c r="B7" i="20" s="1"/>
  <c r="T5" i="20"/>
  <c r="D5" i="20"/>
  <c r="C5" i="20"/>
  <c r="B5" i="20"/>
  <c r="A5" i="20" s="1"/>
  <c r="T4" i="20"/>
  <c r="O4" i="20"/>
  <c r="O5" i="20" s="1"/>
  <c r="J4" i="20"/>
  <c r="W3" i="20"/>
  <c r="V3" i="20"/>
  <c r="U3" i="20"/>
  <c r="W2" i="20"/>
  <c r="V2" i="20"/>
  <c r="U2" i="20"/>
  <c r="BO1" i="20"/>
  <c r="AT1" i="20"/>
  <c r="Y1" i="20"/>
  <c r="U4" i="21" l="1"/>
  <c r="V4" i="21"/>
  <c r="J5" i="21"/>
  <c r="O5" i="21"/>
  <c r="B7" i="21"/>
  <c r="A7" i="21" s="1"/>
  <c r="T5" i="21"/>
  <c r="U11" i="20"/>
  <c r="W11" i="20"/>
  <c r="W10" i="20"/>
  <c r="U10" i="20"/>
  <c r="V10" i="20"/>
  <c r="A6" i="20"/>
  <c r="W4" i="20"/>
  <c r="U4" i="20"/>
  <c r="V4" i="20"/>
  <c r="B8" i="20"/>
  <c r="O6" i="20"/>
  <c r="J5" i="20"/>
  <c r="A7" i="20"/>
  <c r="T6" i="20"/>
  <c r="W3" i="19"/>
  <c r="V3" i="19"/>
  <c r="U3" i="19"/>
  <c r="W5" i="21" l="1"/>
  <c r="T6" i="21"/>
  <c r="V5" i="21"/>
  <c r="O6" i="21"/>
  <c r="B8" i="21"/>
  <c r="U5" i="21"/>
  <c r="J6" i="21"/>
  <c r="U5" i="20"/>
  <c r="J6" i="20"/>
  <c r="W5" i="20"/>
  <c r="B9" i="20"/>
  <c r="A8" i="20"/>
  <c r="T7" i="20"/>
  <c r="O7" i="20"/>
  <c r="V5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B9" i="21" l="1"/>
  <c r="U6" i="21"/>
  <c r="J7" i="21"/>
  <c r="A8" i="21"/>
  <c r="V6" i="21"/>
  <c r="O7" i="21"/>
  <c r="T7" i="21"/>
  <c r="W6" i="21"/>
  <c r="A9" i="20"/>
  <c r="U6" i="20"/>
  <c r="J7" i="20"/>
  <c r="V6" i="20"/>
  <c r="T8" i="20"/>
  <c r="W6" i="20"/>
  <c r="V7" i="20"/>
  <c r="O8" i="20"/>
  <c r="U9" i="19"/>
  <c r="V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A9" i="21" l="1"/>
  <c r="U7" i="21"/>
  <c r="J8" i="21"/>
  <c r="A10" i="21"/>
  <c r="B10" i="21"/>
  <c r="W7" i="21"/>
  <c r="T8" i="21"/>
  <c r="O8" i="21"/>
  <c r="V7" i="21"/>
  <c r="U7" i="20"/>
  <c r="J8" i="20"/>
  <c r="V8" i="20" s="1"/>
  <c r="O9" i="20"/>
  <c r="T9" i="20"/>
  <c r="W7" i="20"/>
  <c r="W5" i="19"/>
  <c r="V5" i="19"/>
  <c r="U5" i="19"/>
  <c r="U8" i="21" l="1"/>
  <c r="J9" i="21"/>
  <c r="V8" i="21"/>
  <c r="O9" i="21"/>
  <c r="W8" i="21"/>
  <c r="T9" i="21"/>
  <c r="B11" i="21"/>
  <c r="A11" i="21" s="1"/>
  <c r="U8" i="20"/>
  <c r="J9" i="20"/>
  <c r="W9" i="20" s="1"/>
  <c r="W8" i="20"/>
  <c r="U9" i="21" l="1"/>
  <c r="J10" i="21"/>
  <c r="W9" i="21"/>
  <c r="T10" i="21"/>
  <c r="V9" i="21"/>
  <c r="O10" i="21"/>
  <c r="U9" i="20"/>
  <c r="V9" i="20"/>
  <c r="U10" i="21" l="1"/>
  <c r="J11" i="21"/>
  <c r="U11" i="21" s="1"/>
  <c r="V10" i="21"/>
  <c r="O11" i="21"/>
  <c r="T11" i="21"/>
  <c r="W11" i="21" s="1"/>
  <c r="W10" i="21"/>
  <c r="V11" i="21" l="1"/>
</calcChain>
</file>

<file path=xl/sharedStrings.xml><?xml version="1.0" encoding="utf-8"?>
<sst xmlns="http://schemas.openxmlformats.org/spreadsheetml/2006/main" count="1090" uniqueCount="219">
  <si>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</si>
  <si>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</si>
  <si>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</si>
  <si>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</si>
  <si>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</si>
  <si>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</si>
  <si>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</si>
  <si>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</si>
  <si>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</si>
  <si>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</si>
  <si>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</si>
  <si>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</si>
  <si>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</si>
  <si>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</si>
  <si>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</si>
  <si>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</si>
  <si>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</si>
  <si>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</si>
  <si>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</si>
  <si>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</si>
  <si>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</si>
  <si>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</si>
  <si>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</si>
  <si>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</si>
  <si>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</si>
  <si>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</si>
  <si>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</si>
  <si>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</si>
  <si>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</si>
  <si>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</si>
  <si>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</si>
  <si>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</si>
  <si>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</si>
  <si>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</si>
  <si>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</si>
  <si>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</si>
  <si>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</si>
  <si>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</si>
  <si>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</si>
  <si>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</si>
  <si>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</si>
  <si>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</si>
  <si>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</si>
  <si>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</si>
  <si>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</si>
  <si>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</si>
  <si>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</si>
  <si>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</si>
  <si>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</si>
  <si>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</si>
  <si>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</si>
  <si>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</si>
  <si>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</si>
  <si>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</si>
  <si>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</si>
  <si>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</si>
  <si>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</si>
  <si>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</si>
  <si>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</si>
  <si>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</si>
  <si>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</si>
  <si>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</si>
  <si>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</si>
  <si>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</si>
  <si>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</si>
  <si>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</si>
  <si>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</si>
  <si>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</si>
  <si>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</si>
  <si>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</si>
  <si>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</si>
  <si>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</si>
  <si>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</si>
  <si>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</si>
  <si>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</si>
  <si>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</si>
  <si>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</si>
  <si>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</si>
  <si>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</si>
  <si>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</si>
  <si>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</si>
  <si>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</si>
  <si>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</si>
  <si>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</si>
  <si>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</si>
  <si>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</si>
  <si>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</si>
  <si>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</si>
  <si>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</si>
  <si>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</si>
  <si>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</si>
  <si>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</si>
  <si>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</si>
  <si>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</si>
  <si>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</si>
  <si>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</si>
  <si>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</si>
  <si>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</si>
  <si>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</si>
  <si>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</si>
  <si>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</si>
  <si>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</si>
  <si>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</si>
  <si>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</si>
  <si>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</si>
  <si>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</si>
  <si>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</si>
  <si>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</si>
  <si>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</si>
  <si>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</si>
  <si>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</si>
  <si>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</si>
  <si>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</si>
  <si>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</si>
  <si>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</si>
  <si>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</si>
  <si>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</si>
  <si>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</si>
  <si>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</si>
  <si>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</si>
  <si>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</si>
  <si>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</si>
  <si>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</si>
  <si>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</si>
  <si>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</si>
  <si>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</si>
  <si>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</si>
  <si>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</si>
  <si>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</si>
  <si>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</si>
  <si>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</si>
  <si>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</si>
  <si>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</si>
  <si>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</si>
  <si>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</si>
  <si>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</si>
  <si>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</si>
  <si>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</si>
  <si>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</si>
  <si>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</si>
  <si>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</si>
  <si>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</si>
  <si>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</si>
  <si>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</si>
  <si>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</si>
  <si>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</si>
  <si>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</si>
  <si>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</si>
  <si>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</si>
  <si>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</si>
  <si>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</si>
  <si>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</si>
  <si>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</si>
  <si>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</si>
  <si>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</si>
  <si>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</si>
  <si>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</si>
  <si>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</si>
  <si>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</si>
  <si>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</si>
  <si>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</si>
  <si>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</si>
  <si>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</si>
  <si>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</si>
  <si>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</si>
  <si>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</si>
  <si>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</si>
  <si>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</si>
  <si>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</si>
  <si>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</si>
  <si>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</si>
  <si>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</si>
  <si>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</si>
  <si>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</si>
  <si>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</si>
  <si>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</si>
  <si>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</si>
  <si>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</si>
  <si>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</si>
  <si>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</si>
  <si>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</si>
  <si>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</si>
  <si>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</si>
  <si>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</si>
  <si>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</si>
  <si>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</si>
  <si>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</si>
  <si>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</si>
  <si>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</si>
  <si>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</si>
  <si>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</si>
  <si>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</si>
  <si>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だいち</t>
    <phoneticPr fontId="1"/>
  </si>
  <si>
    <t>ただ</t>
  </si>
  <si>
    <t>ただ</t>
    <phoneticPr fontId="1"/>
  </si>
  <si>
    <t>れんたろう</t>
  </si>
  <si>
    <t>れんたろう</t>
    <phoneticPr fontId="1"/>
  </si>
  <si>
    <t>ただ</t>
    <phoneticPr fontId="1"/>
  </si>
  <si>
    <t>ロン</t>
  </si>
  <si>
    <t>放銃</t>
  </si>
  <si>
    <t>01</t>
  </si>
  <si>
    <t>ツモ支払</t>
  </si>
  <si>
    <t>ツモ</t>
  </si>
  <si>
    <t>*</t>
  </si>
  <si>
    <t>52</t>
  </si>
  <si>
    <t>02</t>
  </si>
  <si>
    <t>れんたろう</t>
    <phoneticPr fontId="1"/>
  </si>
  <si>
    <t>チョンボ</t>
  </si>
  <si>
    <t>りくと</t>
  </si>
  <si>
    <t>りくと</t>
    <phoneticPr fontId="1"/>
  </si>
  <si>
    <t>だいち</t>
    <phoneticPr fontId="1"/>
  </si>
  <si>
    <t>N</t>
  </si>
  <si>
    <t>T</t>
  </si>
  <si>
    <t>流局</t>
    <phoneticPr fontId="1"/>
  </si>
  <si>
    <t>りくと</t>
    <phoneticPr fontId="1"/>
  </si>
  <si>
    <t>まっつん</t>
  </si>
  <si>
    <t>まっつん</t>
    <phoneticPr fontId="1"/>
  </si>
  <si>
    <t>たかの</t>
  </si>
  <si>
    <t>たかの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</si>
</sst>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3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196</v>
      </c>
      <c r="L1" s="73"/>
      <c r="M1" s="73"/>
      <c r="N1" s="74"/>
      <c r="O1" s="75"/>
      <c r="P1" s="72" t="s">
        <v>197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れんたろう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/>
      <c r="G4" s="9"/>
      <c r="H4" s="9"/>
      <c r="I4" s="48"/>
      <c r="J4" s="21">
        <f>IF(COUNTA($F4,$K4,$P4)&gt;0,J3+SUM(G4:I4),"")</f>
        <v>35000</v>
      </c>
      <c r="K4" s="8" t="s">
        <v>198</v>
      </c>
      <c r="L4" s="9">
        <v>7700</v>
      </c>
      <c r="M4" s="9"/>
      <c r="N4" s="48">
        <v>0</v>
      </c>
      <c r="O4" s="21">
        <f>IF(COUNTA($F4,$K4,$P4)&gt;0,O3+SUM(L4:N4),"")</f>
        <v>42700</v>
      </c>
      <c r="P4" s="8" t="s">
        <v>199</v>
      </c>
      <c r="Q4" s="9">
        <v>-7700</v>
      </c>
      <c r="R4" s="9"/>
      <c r="S4" s="48">
        <v>0</v>
      </c>
      <c r="T4" s="21">
        <f>IF(COUNTA($F4,$K4,$P4)&gt;0,T3+SUM(Q4:S4),"")</f>
        <v>27300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17.7</v>
      </c>
      <c r="W4" s="55">
        <f>IF($T4="","",ROUND(($T4-$T$3)/1000,1)+(_xlfn.RANK.AVG($T4,($J4,$O4,$T4),1)-2)*10)</f>
        <v>-17.7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4</v>
      </c>
      <c r="AY4" s="30">
        <v>30</v>
      </c>
      <c r="AZ4" s="40" t="s">
        <v>200</v>
      </c>
      <c r="BA4" s="41" t="s">
        <v>83</v>
      </c>
      <c r="BB4" s="41" t="s">
        <v>79</v>
      </c>
      <c r="BC4" s="41" t="s">
        <v>80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201</v>
      </c>
      <c r="G5" s="9">
        <v>-1300</v>
      </c>
      <c r="H5" s="9"/>
      <c r="I5" s="48">
        <v>0</v>
      </c>
      <c r="J5" s="21">
        <f t="shared" ref="J5:J30" si="2">IF(COUNTA($F5,$K5,$P5)&gt;0,J4+SUM(G5:I5),"")</f>
        <v>33700</v>
      </c>
      <c r="K5" s="8" t="s">
        <v>201</v>
      </c>
      <c r="L5" s="9">
        <v>-800</v>
      </c>
      <c r="M5" s="9"/>
      <c r="N5" s="48">
        <v>0</v>
      </c>
      <c r="O5" s="21">
        <f t="shared" ref="O5:O30" si="3">IF(COUNTA($F5,$K5,$P5)&gt;0,O4+SUM(L5:N5),"")</f>
        <v>41900</v>
      </c>
      <c r="P5" s="8" t="s">
        <v>202</v>
      </c>
      <c r="Q5" s="9">
        <v>2100</v>
      </c>
      <c r="R5" s="9"/>
      <c r="S5" s="48">
        <v>0</v>
      </c>
      <c r="T5" s="21">
        <f t="shared" ref="T5:T30" si="4">IF(COUNTA($F5,$K5,$P5)&gt;0,T4+SUM(Q5:S5),"")</f>
        <v>29400</v>
      </c>
      <c r="U5" s="53">
        <f>IF($J5="","",ROUND(($J5-$J$3)/1000,1)+(_xlfn.RANK.AVG($J5,($J5,$O5,$T5),1)-2)*10)</f>
        <v>-1.3</v>
      </c>
      <c r="V5" s="54">
        <f>IF($O5="","",ROUND(($O5-$O$3)/1000,1)+(_xlfn.RANK.AVG($O5,($J5,$O5,$T5),1)-2)*10)</f>
        <v>16.899999999999999</v>
      </c>
      <c r="W5" s="55">
        <f>IF($T5="","",ROUND(($T5-$T$3)/1000,1)+(_xlfn.RANK.AVG($T5,($J5,$O5,$T5),1)-2)*10)</f>
        <v>-15.6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2</v>
      </c>
      <c r="BT5" s="30">
        <v>30</v>
      </c>
      <c r="BU5" s="40" t="s">
        <v>86</v>
      </c>
      <c r="BV5" s="41" t="s">
        <v>79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/>
      <c r="G6" s="9"/>
      <c r="H6" s="9"/>
      <c r="I6" s="48"/>
      <c r="J6" s="21">
        <f t="shared" si="2"/>
        <v>33700</v>
      </c>
      <c r="K6" s="8" t="s">
        <v>199</v>
      </c>
      <c r="L6" s="9">
        <v>-3200</v>
      </c>
      <c r="M6" s="9"/>
      <c r="N6" s="48">
        <v>0</v>
      </c>
      <c r="O6" s="21">
        <f t="shared" si="3"/>
        <v>38700</v>
      </c>
      <c r="P6" s="8" t="s">
        <v>198</v>
      </c>
      <c r="Q6" s="9">
        <v>3200</v>
      </c>
      <c r="R6" s="9"/>
      <c r="S6" s="48">
        <v>0</v>
      </c>
      <c r="T6" s="21">
        <f t="shared" si="4"/>
        <v>32600</v>
      </c>
      <c r="U6" s="53">
        <f>IF($J6="","",ROUND(($J6-$J$3)/1000,1)+(_xlfn.RANK.AVG($J6,($J6,$O6,$T6),1)-2)*10)</f>
        <v>-1.3</v>
      </c>
      <c r="V6" s="54">
        <f>IF($O6="","",ROUND(($O6-$O$3)/1000,1)+(_xlfn.RANK.AVG($O6,($J6,$O6,$T6),1)-2)*10)</f>
        <v>13.7</v>
      </c>
      <c r="W6" s="55">
        <f>IF($T6="","",ROUND(($T6-$T$3)/1000,1)+(_xlfn.RANK.AVG($T6,($J6,$O6,$T6),1)-2)*10)</f>
        <v>-12.4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2</v>
      </c>
      <c r="BT6" s="30">
        <v>50</v>
      </c>
      <c r="BU6" s="40" t="s">
        <v>85</v>
      </c>
      <c r="BV6" s="41" t="s">
        <v>84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201</v>
      </c>
      <c r="G7" s="9">
        <v>-3000</v>
      </c>
      <c r="H7" s="9"/>
      <c r="I7" s="48">
        <v>0</v>
      </c>
      <c r="J7" s="21">
        <f t="shared" si="2"/>
        <v>30700</v>
      </c>
      <c r="K7" s="8" t="s">
        <v>202</v>
      </c>
      <c r="L7" s="9">
        <v>8000</v>
      </c>
      <c r="M7" s="9"/>
      <c r="N7" s="48">
        <v>0</v>
      </c>
      <c r="O7" s="21">
        <f t="shared" si="3"/>
        <v>46700</v>
      </c>
      <c r="P7" s="8" t="s">
        <v>201</v>
      </c>
      <c r="Q7" s="9">
        <v>-5000</v>
      </c>
      <c r="R7" s="9"/>
      <c r="S7" s="48">
        <v>0</v>
      </c>
      <c r="T7" s="21">
        <f t="shared" si="4"/>
        <v>27600</v>
      </c>
      <c r="U7" s="53">
        <f>IF($J7="","",ROUND(($J7-$J$3)/1000,1)+(_xlfn.RANK.AVG($J7,($J7,$O7,$T7),1)-2)*10)</f>
        <v>-4.3</v>
      </c>
      <c r="V7" s="54">
        <f>IF($O7="","",ROUND(($O7-$O$3)/1000,1)+(_xlfn.RANK.AVG($O7,($J7,$O7,$T7),1)-2)*10)</f>
        <v>21.7</v>
      </c>
      <c r="W7" s="55">
        <f>IF($T7="","",ROUND(($T7-$T$3)/1000,1)+(_xlfn.RANK.AVG($T7,($J7,$O7,$T7),1)-2)*10)</f>
        <v>-17.399999999999999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5</v>
      </c>
      <c r="AY7" s="30" t="s">
        <v>203</v>
      </c>
      <c r="AZ7" s="40" t="s">
        <v>82</v>
      </c>
      <c r="BA7" s="41" t="s">
        <v>204</v>
      </c>
      <c r="BB7" s="41" t="s">
        <v>86</v>
      </c>
      <c r="BC7" s="41" t="s">
        <v>79</v>
      </c>
      <c r="BD7" s="41" t="s">
        <v>79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199</v>
      </c>
      <c r="G8" s="9">
        <v>-5200</v>
      </c>
      <c r="H8" s="9"/>
      <c r="I8" s="48">
        <v>0</v>
      </c>
      <c r="J8" s="21">
        <f t="shared" si="2"/>
        <v>25500</v>
      </c>
      <c r="K8" s="8"/>
      <c r="L8" s="9"/>
      <c r="M8" s="9"/>
      <c r="N8" s="48"/>
      <c r="O8" s="21">
        <f t="shared" si="3"/>
        <v>46700</v>
      </c>
      <c r="P8" s="8" t="s">
        <v>198</v>
      </c>
      <c r="Q8" s="9">
        <v>5200</v>
      </c>
      <c r="R8" s="9"/>
      <c r="S8" s="48">
        <v>0</v>
      </c>
      <c r="T8" s="21">
        <f t="shared" si="4"/>
        <v>32800</v>
      </c>
      <c r="U8" s="53">
        <f>IF($J8="","",ROUND(($J8-$J$3)/1000,1)+(_xlfn.RANK.AVG($J8,($J8,$O8,$T8),1)-2)*10)</f>
        <v>-19.5</v>
      </c>
      <c r="V8" s="54">
        <f>IF($O8="","",ROUND(($O8-$O$3)/1000,1)+(_xlfn.RANK.AVG($O8,($J8,$O8,$T8),1)-2)*10)</f>
        <v>21.7</v>
      </c>
      <c r="W8" s="55">
        <f>IF($T8="","",ROUND(($T8-$T$3)/1000,1)+(_xlfn.RANK.AVG($T8,($J8,$O8,$T8),1)-2)*10)</f>
        <v>-2.2000000000000002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3</v>
      </c>
      <c r="BT8" s="30">
        <v>40</v>
      </c>
      <c r="BU8" s="40" t="s">
        <v>200</v>
      </c>
      <c r="BV8" s="41" t="s">
        <v>79</v>
      </c>
      <c r="BW8" s="41" t="s">
        <v>205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198</v>
      </c>
      <c r="G9" s="9">
        <v>8000</v>
      </c>
      <c r="H9" s="9"/>
      <c r="I9" s="48">
        <v>0</v>
      </c>
      <c r="J9" s="21">
        <f t="shared" si="2"/>
        <v>33500</v>
      </c>
      <c r="K9" s="8"/>
      <c r="L9" s="9"/>
      <c r="M9" s="9"/>
      <c r="N9" s="48"/>
      <c r="O9" s="21">
        <f t="shared" si="3"/>
        <v>46700</v>
      </c>
      <c r="P9" s="8" t="s">
        <v>199</v>
      </c>
      <c r="Q9" s="9">
        <v>-8000</v>
      </c>
      <c r="R9" s="9"/>
      <c r="S9" s="48">
        <v>0</v>
      </c>
      <c r="T9" s="21">
        <f t="shared" si="4"/>
        <v>24800</v>
      </c>
      <c r="U9" s="53">
        <f>IF($J9="","",ROUND(($J9-$J$3)/1000,1)+(_xlfn.RANK.AVG($J9,($J9,$O9,$T9),1)-2)*10)</f>
        <v>-1.5</v>
      </c>
      <c r="V9" s="54">
        <f>IF($O9="","",ROUND(($O9-$O$3)/1000,1)+(_xlfn.RANK.AVG($O9,($J9,$O9,$T9),1)-2)*10)</f>
        <v>21.7</v>
      </c>
      <c r="W9" s="55">
        <f>IF($T9="","",ROUND(($T9-$T$3)/1000,1)+(_xlfn.RANK.AVG($T9,($J9,$O9,$T9),1)-2)*10)</f>
        <v>-20.2</v>
      </c>
      <c r="Y9" s="8"/>
      <c r="Z9" s="34"/>
      <c r="AA9" s="26">
        <v>1</v>
      </c>
      <c r="AB9" s="26"/>
      <c r="AC9" s="26">
        <v>4</v>
      </c>
      <c r="AD9" s="30">
        <v>40</v>
      </c>
      <c r="AE9" s="40" t="s">
        <v>200</v>
      </c>
      <c r="AF9" s="41" t="s">
        <v>205</v>
      </c>
      <c r="AG9" s="41" t="s">
        <v>86</v>
      </c>
      <c r="AH9" s="41" t="s">
        <v>79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B3B59DD6-7F1F-4B6C-92C3-07AB561CE5CD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41E84-0390-40F0-8F33-431E4A2D02D9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194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206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だいち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201</v>
      </c>
      <c r="G4" s="9">
        <v>-3000</v>
      </c>
      <c r="H4" s="9">
        <v>-1000</v>
      </c>
      <c r="I4" s="48">
        <v>0</v>
      </c>
      <c r="J4" s="21">
        <f>IF(COUNTA($F4,$K4,$P4)&gt;0,J3+SUM(G4:I4),"")</f>
        <v>31000</v>
      </c>
      <c r="K4" s="8" t="s">
        <v>201</v>
      </c>
      <c r="L4" s="9">
        <v>-5000</v>
      </c>
      <c r="M4" s="9"/>
      <c r="N4" s="48">
        <v>0</v>
      </c>
      <c r="O4" s="21">
        <f>IF(COUNTA($F4,$K4,$P4)&gt;0,O3+SUM(L4:N4),"")</f>
        <v>30000</v>
      </c>
      <c r="P4" s="8" t="s">
        <v>202</v>
      </c>
      <c r="Q4" s="9">
        <v>8000</v>
      </c>
      <c r="R4" s="9">
        <v>1000</v>
      </c>
      <c r="S4" s="48">
        <v>0</v>
      </c>
      <c r="T4" s="21">
        <f>IF(COUNTA($F4,$K4,$P4)&gt;0,T3+SUM(Q4:S4),"")</f>
        <v>44000</v>
      </c>
      <c r="U4" s="53">
        <f>IF($J4="","",ROUND(($J4-$J$3)/1000,1)+(_xlfn.RANK.AVG($J4,($J4,$O4,$T4),1)-2)*10)</f>
        <v>-4</v>
      </c>
      <c r="V4" s="54">
        <f>IF($O4="","",ROUND(($O4-$O$3)/1000,1)+(_xlfn.RANK.AVG($O4,($J4,$O4,$T4),1)-2)*10)</f>
        <v>-15</v>
      </c>
      <c r="W4" s="55">
        <f>IF($T4="","",ROUND(($T4-$T$3)/1000,1)+(_xlfn.RANK.AVG($T4,($J4,$O4,$T4),1)-2)*10)</f>
        <v>19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5</v>
      </c>
      <c r="BT4" s="30" t="s">
        <v>203</v>
      </c>
      <c r="BU4" s="40" t="s">
        <v>86</v>
      </c>
      <c r="BV4" s="41" t="s">
        <v>86</v>
      </c>
      <c r="BW4" s="41" t="s">
        <v>204</v>
      </c>
      <c r="BX4" s="41" t="s">
        <v>79</v>
      </c>
      <c r="BY4" s="41" t="s">
        <v>79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207</v>
      </c>
      <c r="G5" s="9">
        <v>-8000</v>
      </c>
      <c r="H5" s="9"/>
      <c r="I5" s="48"/>
      <c r="J5" s="21">
        <f t="shared" ref="J5:J30" si="2">IF(COUNTA($F5,$K5,$P5)&gt;0,J4+SUM(G5:I5),"")</f>
        <v>23000</v>
      </c>
      <c r="K5" s="8" t="s">
        <v>207</v>
      </c>
      <c r="L5" s="9">
        <v>3000</v>
      </c>
      <c r="M5" s="9"/>
      <c r="N5" s="48"/>
      <c r="O5" s="21">
        <f t="shared" ref="O5:O30" si="3">IF(COUNTA($F5,$K5,$P5)&gt;0,O4+SUM(L5:N5),"")</f>
        <v>33000</v>
      </c>
      <c r="P5" s="8" t="s">
        <v>207</v>
      </c>
      <c r="Q5" s="9">
        <v>5000</v>
      </c>
      <c r="R5" s="9"/>
      <c r="S5" s="48"/>
      <c r="T5" s="21">
        <f t="shared" ref="T5:T30" si="4">IF(COUNTA($F5,$K5,$P5)&gt;0,T4+SUM(Q5:S5),"")</f>
        <v>49000</v>
      </c>
      <c r="U5" s="53">
        <f>IF($J5="","",ROUND(($J5-$J$3)/1000,1)+(_xlfn.RANK.AVG($J5,($J5,$O5,$T5),1)-2)*10)</f>
        <v>-22</v>
      </c>
      <c r="V5" s="54">
        <f>IF($O5="","",ROUND(($O5-$O$3)/1000,1)+(_xlfn.RANK.AVG($O5,($J5,$O5,$T5),1)-2)*10)</f>
        <v>-2</v>
      </c>
      <c r="W5" s="55">
        <f>IF($T5="","",ROUND(($T5-$T$3)/1000,1)+(_xlfn.RANK.AVG($T5,($J5,$O5,$T5),1)-2)*10)</f>
        <v>24</v>
      </c>
      <c r="Y5" s="8"/>
      <c r="Z5" s="34">
        <v>1</v>
      </c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202</v>
      </c>
      <c r="G6" s="9">
        <v>16000</v>
      </c>
      <c r="H6" s="9">
        <v>1000</v>
      </c>
      <c r="I6" s="48">
        <v>0</v>
      </c>
      <c r="J6" s="21">
        <f t="shared" si="2"/>
        <v>40000</v>
      </c>
      <c r="K6" s="8" t="s">
        <v>201</v>
      </c>
      <c r="L6" s="9">
        <v>-6000</v>
      </c>
      <c r="M6" s="9"/>
      <c r="N6" s="48">
        <v>0</v>
      </c>
      <c r="O6" s="21">
        <f t="shared" si="3"/>
        <v>27000</v>
      </c>
      <c r="P6" s="8" t="s">
        <v>201</v>
      </c>
      <c r="Q6" s="9">
        <v>-10000</v>
      </c>
      <c r="R6" s="9">
        <v>-1000</v>
      </c>
      <c r="S6" s="48">
        <v>0</v>
      </c>
      <c r="T6" s="21">
        <f t="shared" si="4"/>
        <v>38000</v>
      </c>
      <c r="U6" s="53">
        <f>IF($J6="","",ROUND(($J6-$J$3)/1000,1)+(_xlfn.RANK.AVG($J6,($J6,$O6,$T6),1)-2)*10)</f>
        <v>15</v>
      </c>
      <c r="V6" s="54">
        <f>IF($O6="","",ROUND(($O6-$O$3)/1000,1)+(_xlfn.RANK.AVG($O6,($J6,$O6,$T6),1)-2)*10)</f>
        <v>-18</v>
      </c>
      <c r="W6" s="55">
        <f>IF($T6="","",ROUND(($T6-$T$3)/1000,1)+(_xlfn.RANK.AVG($T6,($J6,$O6,$T6),1)-2)*10)</f>
        <v>3</v>
      </c>
      <c r="Y6" s="8"/>
      <c r="Z6" s="34"/>
      <c r="AA6" s="26">
        <v>1</v>
      </c>
      <c r="AB6" s="26"/>
      <c r="AC6" s="26">
        <v>9</v>
      </c>
      <c r="AD6" s="30" t="s">
        <v>203</v>
      </c>
      <c r="AE6" s="40" t="s">
        <v>200</v>
      </c>
      <c r="AF6" s="41" t="s">
        <v>82</v>
      </c>
      <c r="AG6" s="41" t="s">
        <v>80</v>
      </c>
      <c r="AH6" s="41" t="s">
        <v>106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199</v>
      </c>
      <c r="G7" s="9">
        <v>-16000</v>
      </c>
      <c r="H7" s="9">
        <v>-1000</v>
      </c>
      <c r="I7" s="48">
        <v>0</v>
      </c>
      <c r="J7" s="21">
        <f t="shared" si="2"/>
        <v>23000</v>
      </c>
      <c r="K7" s="8" t="s">
        <v>198</v>
      </c>
      <c r="L7" s="9">
        <v>16000</v>
      </c>
      <c r="M7" s="9">
        <v>2000</v>
      </c>
      <c r="N7" s="48">
        <v>0</v>
      </c>
      <c r="O7" s="21">
        <f t="shared" si="3"/>
        <v>45000</v>
      </c>
      <c r="P7" s="8"/>
      <c r="Q7" s="9"/>
      <c r="R7" s="9">
        <v>-1000</v>
      </c>
      <c r="S7" s="48"/>
      <c r="T7" s="21">
        <f t="shared" si="4"/>
        <v>37000</v>
      </c>
      <c r="U7" s="53">
        <f>IF($J7="","",ROUND(($J7-$J$3)/1000,1)+(_xlfn.RANK.AVG($J7,($J7,$O7,$T7),1)-2)*10)</f>
        <v>-22</v>
      </c>
      <c r="V7" s="54">
        <f>IF($O7="","",ROUND(($O7-$O$3)/1000,1)+(_xlfn.RANK.AVG($O7,($J7,$O7,$T7),1)-2)*10)</f>
        <v>20</v>
      </c>
      <c r="W7" s="55">
        <f>IF($T7="","",ROUND(($T7-$T$3)/1000,1)+(_xlfn.RANK.AVG($T7,($J7,$O7,$T7),1)-2)*10)</f>
        <v>2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10</v>
      </c>
      <c r="AY7" s="30" t="s">
        <v>203</v>
      </c>
      <c r="AZ7" s="40" t="s">
        <v>200</v>
      </c>
      <c r="BA7" s="41" t="s">
        <v>104</v>
      </c>
      <c r="BB7" s="41" t="s">
        <v>101</v>
      </c>
      <c r="BC7" s="41" t="s">
        <v>79</v>
      </c>
      <c r="BD7" s="41" t="s">
        <v>79</v>
      </c>
      <c r="BE7" s="41" t="s">
        <v>79</v>
      </c>
      <c r="BF7" s="41" t="s">
        <v>79</v>
      </c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201</v>
      </c>
      <c r="G8" s="9">
        <v>-6000</v>
      </c>
      <c r="H8" s="9"/>
      <c r="I8" s="48">
        <v>0</v>
      </c>
      <c r="J8" s="21">
        <f t="shared" si="2"/>
        <v>17000</v>
      </c>
      <c r="K8" s="8" t="s">
        <v>202</v>
      </c>
      <c r="L8" s="9">
        <v>12000</v>
      </c>
      <c r="M8" s="9"/>
      <c r="N8" s="48">
        <v>0</v>
      </c>
      <c r="O8" s="21">
        <f t="shared" si="3"/>
        <v>57000</v>
      </c>
      <c r="P8" s="8" t="s">
        <v>201</v>
      </c>
      <c r="Q8" s="9">
        <v>-6000</v>
      </c>
      <c r="R8" s="9"/>
      <c r="S8" s="48">
        <v>0</v>
      </c>
      <c r="T8" s="21">
        <f t="shared" si="4"/>
        <v>31000</v>
      </c>
      <c r="U8" s="53">
        <f>IF($J8="","",ROUND(($J8-$J$3)/1000,1)+(_xlfn.RANK.AVG($J8,($J8,$O8,$T8),1)-2)*10)</f>
        <v>-28</v>
      </c>
      <c r="V8" s="54">
        <f>IF($O8="","",ROUND(($O8-$O$3)/1000,1)+(_xlfn.RANK.AVG($O8,($J8,$O8,$T8),1)-2)*10)</f>
        <v>32</v>
      </c>
      <c r="W8" s="55">
        <f>IF($T8="","",ROUND(($T8-$T$3)/1000,1)+(_xlfn.RANK.AVG($T8,($J8,$O8,$T8),1)-2)*10)</f>
        <v>-4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5</v>
      </c>
      <c r="AY8" s="30" t="s">
        <v>203</v>
      </c>
      <c r="AZ8" s="40" t="s">
        <v>106</v>
      </c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191</v>
      </c>
      <c r="F9" s="8" t="s">
        <v>198</v>
      </c>
      <c r="G9" s="9">
        <v>8000</v>
      </c>
      <c r="H9" s="9"/>
      <c r="I9" s="48">
        <v>1000</v>
      </c>
      <c r="J9" s="21">
        <f t="shared" si="2"/>
        <v>26000</v>
      </c>
      <c r="K9" s="8" t="s">
        <v>199</v>
      </c>
      <c r="L9" s="9">
        <v>-8000</v>
      </c>
      <c r="M9" s="9"/>
      <c r="N9" s="48">
        <v>-1000</v>
      </c>
      <c r="O9" s="21">
        <f t="shared" si="3"/>
        <v>48000</v>
      </c>
      <c r="P9" s="8"/>
      <c r="Q9" s="9"/>
      <c r="R9" s="9"/>
      <c r="S9" s="48"/>
      <c r="T9" s="21">
        <f t="shared" si="4"/>
        <v>31000</v>
      </c>
      <c r="U9" s="53">
        <f>IF($J9="","",ROUND(($J9-$J$3)/1000,1)+(_xlfn.RANK.AVG($J9,($J9,$O9,$T9),1)-2)*10)</f>
        <v>-19</v>
      </c>
      <c r="V9" s="54">
        <f>IF($O9="","",ROUND(($O9-$O$3)/1000,1)+(_xlfn.RANK.AVG($O9,($J9,$O9,$T9),1)-2)*10)</f>
        <v>23</v>
      </c>
      <c r="W9" s="55">
        <f>IF($T9="","",ROUND(($T9-$T$3)/1000,1)+(_xlfn.RANK.AVG($T9,($J9,$O9,$T9),1)-2)*10)</f>
        <v>-4</v>
      </c>
      <c r="Y9" s="8"/>
      <c r="Z9" s="34"/>
      <c r="AA9" s="26">
        <v>1</v>
      </c>
      <c r="AB9" s="26"/>
      <c r="AC9" s="26">
        <v>5</v>
      </c>
      <c r="AD9" s="30" t="s">
        <v>203</v>
      </c>
      <c r="AE9" s="40" t="s">
        <v>200</v>
      </c>
      <c r="AF9" s="41" t="s">
        <v>92</v>
      </c>
      <c r="AG9" s="41" t="s">
        <v>79</v>
      </c>
      <c r="AH9" s="41" t="s">
        <v>86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195</v>
      </c>
      <c r="F10" s="8" t="s">
        <v>201</v>
      </c>
      <c r="G10" s="9">
        <v>-3000</v>
      </c>
      <c r="H10" s="9"/>
      <c r="I10" s="48">
        <v>0</v>
      </c>
      <c r="J10" s="21">
        <f t="shared" si="2"/>
        <v>23000</v>
      </c>
      <c r="K10" s="8" t="s">
        <v>202</v>
      </c>
      <c r="L10" s="9">
        <v>8000</v>
      </c>
      <c r="M10" s="9"/>
      <c r="N10" s="48">
        <v>0</v>
      </c>
      <c r="O10" s="21">
        <f t="shared" si="3"/>
        <v>56000</v>
      </c>
      <c r="P10" s="8" t="s">
        <v>201</v>
      </c>
      <c r="Q10" s="9">
        <v>-5000</v>
      </c>
      <c r="R10" s="9"/>
      <c r="S10" s="48">
        <v>0</v>
      </c>
      <c r="T10" s="21">
        <f t="shared" si="4"/>
        <v>26000</v>
      </c>
      <c r="U10" s="53">
        <f>IF($J10="","",ROUND(($J10-$J$3)/1000,1)+(_xlfn.RANK.AVG($J10,($J10,$O10,$T10),1)-2)*10)</f>
        <v>-22</v>
      </c>
      <c r="V10" s="54">
        <f>IF($O10="","",ROUND(($O10-$O$3)/1000,1)+(_xlfn.RANK.AVG($O10,($J10,$O10,$T10),1)-2)*10)</f>
        <v>31</v>
      </c>
      <c r="W10" s="55">
        <f>IF($T10="","",ROUND(($T10-$T$3)/1000,1)+(_xlfn.RANK.AVG($T10,($J10,$O10,$T10),1)-2)*10)</f>
        <v>-9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5</v>
      </c>
      <c r="AY10" s="30" t="s">
        <v>203</v>
      </c>
      <c r="AZ10" s="40" t="s">
        <v>200</v>
      </c>
      <c r="BA10" s="41" t="s">
        <v>82</v>
      </c>
      <c r="BB10" s="41" t="s">
        <v>205</v>
      </c>
      <c r="BC10" s="41" t="s">
        <v>204</v>
      </c>
      <c r="BD10" s="41" t="s">
        <v>204</v>
      </c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193</v>
      </c>
      <c r="F11" s="8" t="s">
        <v>199</v>
      </c>
      <c r="G11" s="9">
        <v>-8000</v>
      </c>
      <c r="H11" s="9"/>
      <c r="I11" s="48">
        <v>0</v>
      </c>
      <c r="J11" s="21">
        <f t="shared" si="2"/>
        <v>15000</v>
      </c>
      <c r="K11" s="8"/>
      <c r="L11" s="9"/>
      <c r="M11" s="9"/>
      <c r="N11" s="48"/>
      <c r="O11" s="21">
        <f t="shared" si="3"/>
        <v>56000</v>
      </c>
      <c r="P11" s="8" t="s">
        <v>198</v>
      </c>
      <c r="Q11" s="9">
        <v>8000</v>
      </c>
      <c r="R11" s="9"/>
      <c r="S11" s="48">
        <v>0</v>
      </c>
      <c r="T11" s="21">
        <f t="shared" si="4"/>
        <v>34000</v>
      </c>
      <c r="U11" s="53">
        <f>IF($J11="","",ROUND(($J11-$J$3)/1000,1)+(_xlfn.RANK.AVG($J11,($J11,$O11,$T11),1)-2)*10)</f>
        <v>-30</v>
      </c>
      <c r="V11" s="54">
        <f>IF($O11="","",ROUND(($O11-$O$3)/1000,1)+(_xlfn.RANK.AVG($O11,($J11,$O11,$T11),1)-2)*10)</f>
        <v>31</v>
      </c>
      <c r="W11" s="55">
        <f>IF($T11="","",ROUND(($T11-$T$3)/1000,1)+(_xlfn.RANK.AVG($T11,($J11,$O11,$T11),1)-2)*10)</f>
        <v>-1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4</v>
      </c>
      <c r="BT11" s="30">
        <v>40</v>
      </c>
      <c r="BU11" s="40" t="s">
        <v>84</v>
      </c>
      <c r="BV11" s="41" t="s">
        <v>104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showInputMessage="1" showErrorMessage="1" sqref="K4:K30 P4:P30 F4:F30" xr:uid="{FC9E4F08-6932-4928-9B03-11A362C0E0DC}">
      <formula1>"ロン,ツモ,放銃,ツモ支払,流局,チョンボ"</formula1>
    </dataValidation>
    <dataValidation type="list" allowBlank="1" showInputMessage="1" showErrorMessage="1" sqref="E4:E30" xr:uid="{DBF41D1A-FBCC-4094-A479-781839BC93FD}">
      <formula1>$U$2:$W$2</formula1>
    </dataValidation>
    <dataValidation type="list" allowBlank="1" showInputMessage="1" sqref="F1:T1" xr:uid="{F728E37F-FCFB-4F88-95ED-31D84E5C35B8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0C978-1217-4652-99C0-3452A0F39260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196</v>
      </c>
      <c r="G1" s="73"/>
      <c r="H1" s="73"/>
      <c r="I1" s="74"/>
      <c r="J1" s="75"/>
      <c r="K1" s="72" t="s">
        <v>209</v>
      </c>
      <c r="L1" s="73"/>
      <c r="M1" s="73"/>
      <c r="N1" s="74"/>
      <c r="O1" s="75"/>
      <c r="P1" s="72" t="s">
        <v>210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りくと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れんたろう</v>
      </c>
      <c r="V2" s="69" t="str">
        <f>$K$1</f>
        <v>りくと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201</v>
      </c>
      <c r="G4" s="9">
        <v>-5000</v>
      </c>
      <c r="H4" s="9"/>
      <c r="I4" s="48">
        <v>0</v>
      </c>
      <c r="J4" s="21">
        <f>IF(COUNTA($F4,$K4,$P4)&gt;0,J3+SUM(G4:I4),"")</f>
        <v>30000</v>
      </c>
      <c r="K4" s="8" t="s">
        <v>201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202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IF($J4="","",ROUND(($J4-$J$3)/1000,1)+(_xlfn.RANK.AVG($J4,($J4,$O4,$T4),1)-2)*10)</f>
        <v>-15</v>
      </c>
      <c r="V4" s="54">
        <f>IF($O4="","",ROUND(($O4-$O$3)/1000,1)+(_xlfn.RANK.AVG($O4,($J4,$O4,$T4),1)-2)*10)</f>
        <v>-3</v>
      </c>
      <c r="W4" s="55">
        <f>IF($T4="","",ROUND(($T4-$T$3)/1000,1)+(_xlfn.RANK.AVG($T4,($J4,$O4,$T4),1)-2)*10)</f>
        <v>18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203</v>
      </c>
      <c r="BU4" s="40" t="s">
        <v>200</v>
      </c>
      <c r="BV4" s="41" t="s">
        <v>83</v>
      </c>
      <c r="BW4" s="41" t="s">
        <v>85</v>
      </c>
      <c r="BX4" s="41" t="s">
        <v>82</v>
      </c>
      <c r="BY4" s="41" t="s">
        <v>204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208</v>
      </c>
      <c r="F5" s="8" t="s">
        <v>213</v>
      </c>
      <c r="G5" s="9">
        <v>-1500</v>
      </c>
      <c r="H5" s="9"/>
      <c r="I5" s="48"/>
      <c r="J5" s="21">
        <f t="shared" ref="J5:J30" si="2">IF(COUNTA($F5,$K5,$P5)&gt;0,J4+SUM(G5:I5),"")</f>
        <v>28500</v>
      </c>
      <c r="K5" s="8" t="s">
        <v>213</v>
      </c>
      <c r="L5" s="9">
        <v>3000</v>
      </c>
      <c r="M5" s="9">
        <v>-1000</v>
      </c>
      <c r="N5" s="48"/>
      <c r="O5" s="21">
        <f t="shared" ref="O5:O30" si="3">IF(COUNTA($F5,$K5,$P5)&gt;0,O4+SUM(L5:N5),"")</f>
        <v>34000</v>
      </c>
      <c r="P5" s="8" t="s">
        <v>213</v>
      </c>
      <c r="Q5" s="9">
        <v>-1500</v>
      </c>
      <c r="R5" s="9"/>
      <c r="S5" s="48"/>
      <c r="T5" s="21">
        <f t="shared" ref="T5:T30" si="4">IF(COUNTA($F5,$K5,$P5)&gt;0,T4+SUM(Q5:S5),"")</f>
        <v>41500</v>
      </c>
      <c r="U5" s="53">
        <f>IF($J5="","",ROUND(($J5-$J$3)/1000,1)+(_xlfn.RANK.AVG($J5,($J5,$O5,$T5),1)-2)*10)</f>
        <v>-16.5</v>
      </c>
      <c r="V5" s="54">
        <f>IF($O5="","",ROUND(($O5-$O$3)/1000,1)+(_xlfn.RANK.AVG($O5,($J5,$O5,$T5),1)-2)*10)</f>
        <v>-1</v>
      </c>
      <c r="W5" s="55">
        <f>IF($T5="","",ROUND(($T5-$T$3)/1000,1)+(_xlfn.RANK.AVG($T5,($J5,$O5,$T5),1)-2)*10)</f>
        <v>16.5</v>
      </c>
      <c r="Y5" s="8" t="s">
        <v>211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212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211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">
        <v>208</v>
      </c>
      <c r="F6" s="8" t="s">
        <v>199</v>
      </c>
      <c r="G6" s="9">
        <v>-24000</v>
      </c>
      <c r="H6" s="9"/>
      <c r="I6" s="48">
        <v>-1000</v>
      </c>
      <c r="J6" s="21">
        <f t="shared" si="2"/>
        <v>3500</v>
      </c>
      <c r="K6" s="8" t="s">
        <v>198</v>
      </c>
      <c r="L6" s="9">
        <v>24000</v>
      </c>
      <c r="M6" s="9">
        <v>1000</v>
      </c>
      <c r="N6" s="48">
        <v>1000</v>
      </c>
      <c r="O6" s="21">
        <f t="shared" si="3"/>
        <v>60000</v>
      </c>
      <c r="P6" s="8"/>
      <c r="Q6" s="9"/>
      <c r="R6" s="9"/>
      <c r="S6" s="48"/>
      <c r="T6" s="21">
        <f t="shared" si="4"/>
        <v>41500</v>
      </c>
      <c r="U6" s="53">
        <f>IF($J6="","",ROUND(($J6-$J$3)/1000,1)+(_xlfn.RANK.AVG($J6,($J6,$O6,$T6),1)-2)*10)</f>
        <v>-41.5</v>
      </c>
      <c r="V6" s="54">
        <f>IF($O6="","",ROUND(($O6-$O$3)/1000,1)+(_xlfn.RANK.AVG($O6,($J6,$O6,$T6),1)-2)*10)</f>
        <v>35</v>
      </c>
      <c r="W6" s="55">
        <f>IF($T6="","",ROUND(($T6-$T$3)/1000,1)+(_xlfn.RANK.AVG($T6,($J6,$O6,$T6),1)-2)*10)</f>
        <v>6.5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8</v>
      </c>
      <c r="AY6" s="30" t="s">
        <v>203</v>
      </c>
      <c r="AZ6" s="40" t="s">
        <v>200</v>
      </c>
      <c r="BA6" s="41" t="s">
        <v>82</v>
      </c>
      <c r="BB6" s="41" t="s">
        <v>80</v>
      </c>
      <c r="BC6" s="41" t="s">
        <v>80</v>
      </c>
      <c r="BD6" s="41" t="s">
        <v>98</v>
      </c>
      <c r="BE6" s="41" t="s">
        <v>96</v>
      </c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208</v>
      </c>
      <c r="F7" s="8" t="s">
        <v>201</v>
      </c>
      <c r="G7" s="9">
        <v>-1500</v>
      </c>
      <c r="H7" s="9"/>
      <c r="I7" s="48">
        <v>-1000</v>
      </c>
      <c r="J7" s="21">
        <f t="shared" si="2"/>
        <v>1000</v>
      </c>
      <c r="K7" s="8" t="s">
        <v>201</v>
      </c>
      <c r="L7" s="9">
        <v>-2500</v>
      </c>
      <c r="M7" s="9"/>
      <c r="N7" s="48">
        <v>-1000</v>
      </c>
      <c r="O7" s="21">
        <f t="shared" si="3"/>
        <v>56500</v>
      </c>
      <c r="P7" s="8" t="s">
        <v>202</v>
      </c>
      <c r="Q7" s="9">
        <v>4000</v>
      </c>
      <c r="R7" s="9"/>
      <c r="S7" s="48">
        <v>2000</v>
      </c>
      <c r="T7" s="21">
        <f t="shared" si="4"/>
        <v>47500</v>
      </c>
      <c r="U7" s="53">
        <f>IF($J7="","",ROUND(($J7-$J$3)/1000,1)+(_xlfn.RANK.AVG($J7,($J7,$O7,$T7),1)-2)*10)</f>
        <v>-44</v>
      </c>
      <c r="V7" s="54">
        <f>IF($O7="","",ROUND(($O7-$O$3)/1000,1)+(_xlfn.RANK.AVG($O7,($J7,$O7,$T7),1)-2)*10)</f>
        <v>31.5</v>
      </c>
      <c r="W7" s="55">
        <f>IF($T7="","",ROUND(($T7-$T$3)/1000,1)+(_xlfn.RANK.AVG($T7,($J7,$O7,$T7),1)-2)*10)</f>
        <v>12.5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3</v>
      </c>
      <c r="BT7" s="30">
        <v>30</v>
      </c>
      <c r="BU7" s="40" t="s">
        <v>82</v>
      </c>
      <c r="BV7" s="41" t="s">
        <v>79</v>
      </c>
      <c r="BW7" s="41" t="s">
        <v>204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201</v>
      </c>
      <c r="G8" s="9">
        <v>-12000</v>
      </c>
      <c r="H8" s="9"/>
      <c r="I8" s="48">
        <v>0</v>
      </c>
      <c r="J8" s="21">
        <f t="shared" si="2"/>
        <v>-11000</v>
      </c>
      <c r="K8" s="8" t="s">
        <v>201</v>
      </c>
      <c r="L8" s="9">
        <v>-12000</v>
      </c>
      <c r="M8" s="9"/>
      <c r="N8" s="48">
        <v>0</v>
      </c>
      <c r="O8" s="21">
        <f t="shared" si="3"/>
        <v>44500</v>
      </c>
      <c r="P8" s="8" t="s">
        <v>202</v>
      </c>
      <c r="Q8" s="9">
        <v>24000</v>
      </c>
      <c r="R8" s="9"/>
      <c r="S8" s="48">
        <v>0</v>
      </c>
      <c r="T8" s="21">
        <f t="shared" si="4"/>
        <v>71500</v>
      </c>
      <c r="U8" s="53">
        <f>IF($J8="","",ROUND(($J8-$J$3)/1000,1)+(_xlfn.RANK.AVG($J8,($J8,$O8,$T8),1)-2)*10)</f>
        <v>-56</v>
      </c>
      <c r="V8" s="54">
        <f>IF($O8="","",ROUND(($O8-$O$3)/1000,1)+(_xlfn.RANK.AVG($O8,($J8,$O8,$T8),1)-2)*10)</f>
        <v>9.5</v>
      </c>
      <c r="W8" s="55">
        <f>IF($T8="","",ROUND(($T8-$T$3)/1000,1)+(_xlfn.RANK.AVG($T8,($J8,$O8,$T8),1)-2)*10)</f>
        <v>46.5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10</v>
      </c>
      <c r="BT8" s="30" t="s">
        <v>203</v>
      </c>
      <c r="BU8" s="40" t="s">
        <v>104</v>
      </c>
      <c r="BV8" s="41" t="s">
        <v>86</v>
      </c>
      <c r="BW8" s="41" t="s">
        <v>86</v>
      </c>
      <c r="BX8" s="41" t="s">
        <v>86</v>
      </c>
      <c r="BY8" s="41" t="s">
        <v>86</v>
      </c>
      <c r="BZ8" s="41" t="s">
        <v>98</v>
      </c>
      <c r="CA8" s="41" t="s">
        <v>100</v>
      </c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qref="F1:T1" xr:uid="{821AB323-F739-4A93-99D4-1BC1CC4EB229}">
      <formula1>"たかの,だいち,ただ,りくと,れんたろう,まっつん,のり,ぱぱ,ほたに,いっしー,ともき,たか,ゆう,"</formula1>
    </dataValidation>
    <dataValidation type="list" allowBlank="1" showInputMessage="1" showErrorMessage="1" sqref="E4:E30" xr:uid="{8A07E030-6501-4DA6-87E4-8743A1B4840A}">
      <formula1>$U$2:$W$2</formula1>
    </dataValidation>
    <dataValidation type="list" showInputMessage="1" showErrorMessage="1" sqref="K4:K30 P4:P30 F4:F30" xr:uid="{20300C34-178F-460B-BF93-5C56D6FB10FB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BF793-764F-44BA-A761-9EEE02423351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196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214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りくと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れんたろう</v>
      </c>
      <c r="V2" s="69" t="str">
        <f>$K$1</f>
        <v>だいち</v>
      </c>
      <c r="W2" s="16" t="str">
        <f>$P$1</f>
        <v>りくと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201</v>
      </c>
      <c r="G4" s="9">
        <v>-2000</v>
      </c>
      <c r="H4" s="9"/>
      <c r="I4" s="48">
        <v>0</v>
      </c>
      <c r="J4" s="21">
        <f>IF(COUNTA($F4,$K4,$P4)&gt;0,J3+SUM(G4:I4),"")</f>
        <v>33000</v>
      </c>
      <c r="K4" s="8" t="s">
        <v>202</v>
      </c>
      <c r="L4" s="9">
        <v>4000</v>
      </c>
      <c r="M4" s="9">
        <v>1000</v>
      </c>
      <c r="N4" s="48">
        <v>0</v>
      </c>
      <c r="O4" s="21">
        <f>IF(COUNTA($F4,$K4,$P4)&gt;0,O3+SUM(L4:N4),"")</f>
        <v>40000</v>
      </c>
      <c r="P4" s="8" t="s">
        <v>201</v>
      </c>
      <c r="Q4" s="9">
        <v>-2000</v>
      </c>
      <c r="R4" s="9">
        <v>-1000</v>
      </c>
      <c r="S4" s="48">
        <v>0</v>
      </c>
      <c r="T4" s="21">
        <f>IF(COUNTA($F4,$K4,$P4)&gt;0,T3+SUM(Q4:S4),"")</f>
        <v>32000</v>
      </c>
      <c r="U4" s="53">
        <f>IF($J4="","",ROUND(($J4-$J$3)/1000,1)+(_xlfn.RANK.AVG($J4,($J4,$O4,$T4),1)-2)*10)</f>
        <v>-2</v>
      </c>
      <c r="V4" s="54">
        <f>IF($O4="","",ROUND(($O4-$O$3)/1000,1)+(_xlfn.RANK.AVG($O4,($J4,$O4,$T4),1)-2)*10)</f>
        <v>15</v>
      </c>
      <c r="W4" s="55">
        <f>IF($T4="","",ROUND(($T4-$T$3)/1000,1)+(_xlfn.RANK.AVG($T4,($J4,$O4,$T4),1)-2)*10)</f>
        <v>-13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2</v>
      </c>
      <c r="AY4" s="30">
        <v>40</v>
      </c>
      <c r="AZ4" s="40" t="s">
        <v>104</v>
      </c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202</v>
      </c>
      <c r="G5" s="9">
        <v>4000</v>
      </c>
      <c r="H5" s="9"/>
      <c r="I5" s="48">
        <v>1000</v>
      </c>
      <c r="J5" s="21">
        <f t="shared" ref="J5:J30" si="2">IF(COUNTA($F5,$K5,$P5)&gt;0,J4+SUM(G5:I5),"")</f>
        <v>38000</v>
      </c>
      <c r="K5" s="8" t="s">
        <v>201</v>
      </c>
      <c r="L5" s="9">
        <v>-2500</v>
      </c>
      <c r="M5" s="9"/>
      <c r="N5" s="48">
        <v>-500</v>
      </c>
      <c r="O5" s="21">
        <f t="shared" ref="O5:O30" si="3">IF(COUNTA($F5,$K5,$P5)&gt;0,O4+SUM(L5:N5),"")</f>
        <v>37000</v>
      </c>
      <c r="P5" s="8" t="s">
        <v>201</v>
      </c>
      <c r="Q5" s="9">
        <v>-1500</v>
      </c>
      <c r="R5" s="9"/>
      <c r="S5" s="48">
        <v>-500</v>
      </c>
      <c r="T5" s="21">
        <f t="shared" ref="T5:T30" si="4">IF(COUNTA($F5,$K5,$P5)&gt;0,T4+SUM(Q5:S5),"")</f>
        <v>30000</v>
      </c>
      <c r="U5" s="53">
        <f>IF($J5="","",ROUND(($J5-$J$3)/1000,1)+(_xlfn.RANK.AVG($J5,($J5,$O5,$T5),1)-2)*10)</f>
        <v>13</v>
      </c>
      <c r="V5" s="54">
        <f>IF($O5="","",ROUND(($O5-$O$3)/1000,1)+(_xlfn.RANK.AVG($O5,($J5,$O5,$T5),1)-2)*10)</f>
        <v>2</v>
      </c>
      <c r="W5" s="55">
        <f>IF($T5="","",ROUND(($T5-$T$3)/1000,1)+(_xlfn.RANK.AVG($T5,($J5,$O5,$T5),1)-2)*10)</f>
        <v>-15</v>
      </c>
      <c r="Y5" s="8"/>
      <c r="Z5" s="34"/>
      <c r="AA5" s="26">
        <v>1</v>
      </c>
      <c r="AB5" s="26"/>
      <c r="AC5" s="26">
        <v>3</v>
      </c>
      <c r="AD5" s="30">
        <v>30</v>
      </c>
      <c r="AE5" s="40" t="s">
        <v>200</v>
      </c>
      <c r="AF5" s="41" t="s">
        <v>82</v>
      </c>
      <c r="AG5" s="41" t="s">
        <v>204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208</v>
      </c>
      <c r="F6" s="8" t="s">
        <v>201</v>
      </c>
      <c r="G6" s="9">
        <v>-3900</v>
      </c>
      <c r="H6" s="9">
        <v>-1000</v>
      </c>
      <c r="I6" s="48">
        <v>0</v>
      </c>
      <c r="J6" s="21">
        <f t="shared" si="2"/>
        <v>33100</v>
      </c>
      <c r="K6" s="8" t="s">
        <v>201</v>
      </c>
      <c r="L6" s="9">
        <v>-3900</v>
      </c>
      <c r="M6" s="9"/>
      <c r="N6" s="48">
        <v>0</v>
      </c>
      <c r="O6" s="21">
        <f t="shared" si="3"/>
        <v>33100</v>
      </c>
      <c r="P6" s="8" t="s">
        <v>202</v>
      </c>
      <c r="Q6" s="9">
        <v>7800</v>
      </c>
      <c r="R6" s="9">
        <v>1000</v>
      </c>
      <c r="S6" s="48">
        <v>0</v>
      </c>
      <c r="T6" s="21">
        <f t="shared" si="4"/>
        <v>38800</v>
      </c>
      <c r="U6" s="53">
        <f>IF($J6="","",ROUND(($J6-$J$3)/1000,1)+(_xlfn.RANK.AVG($J6,($J6,$O6,$T6),1)-2)*10)</f>
        <v>-6.9</v>
      </c>
      <c r="V6" s="54">
        <f>IF($O6="","",ROUND(($O6-$O$3)/1000,1)+(_xlfn.RANK.AVG($O6,($J6,$O6,$T6),1)-2)*10)</f>
        <v>-6.9</v>
      </c>
      <c r="W6" s="55">
        <f>IF($T6="","",ROUND(($T6-$T$3)/1000,1)+(_xlfn.RANK.AVG($T6,($J6,$O6,$T6),1)-2)*10)</f>
        <v>13.8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4</v>
      </c>
      <c r="BT6" s="30">
        <v>20</v>
      </c>
      <c r="BU6" s="40" t="s">
        <v>82</v>
      </c>
      <c r="BV6" s="41" t="s">
        <v>83</v>
      </c>
      <c r="BW6" s="41" t="s">
        <v>204</v>
      </c>
      <c r="BX6" s="41" t="s">
        <v>79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208</v>
      </c>
      <c r="F7" s="8" t="s">
        <v>201</v>
      </c>
      <c r="G7" s="9">
        <v>-6000</v>
      </c>
      <c r="H7" s="9"/>
      <c r="I7" s="48">
        <v>-500</v>
      </c>
      <c r="J7" s="21">
        <f t="shared" si="2"/>
        <v>26600</v>
      </c>
      <c r="K7" s="8" t="s">
        <v>201</v>
      </c>
      <c r="L7" s="9">
        <v>-6000</v>
      </c>
      <c r="M7" s="9"/>
      <c r="N7" s="48">
        <v>-500</v>
      </c>
      <c r="O7" s="21">
        <f t="shared" si="3"/>
        <v>26600</v>
      </c>
      <c r="P7" s="8" t="s">
        <v>202</v>
      </c>
      <c r="Q7" s="9">
        <v>12000</v>
      </c>
      <c r="R7" s="9"/>
      <c r="S7" s="48">
        <v>1000</v>
      </c>
      <c r="T7" s="21">
        <f t="shared" si="4"/>
        <v>51800</v>
      </c>
      <c r="U7" s="53">
        <f>IF($J7="","",ROUND(($J7-$J$3)/1000,1)+(_xlfn.RANK.AVG($J7,($J7,$O7,$T7),1)-2)*10)</f>
        <v>-13.4</v>
      </c>
      <c r="V7" s="54">
        <f>IF($O7="","",ROUND(($O7-$O$3)/1000,1)+(_xlfn.RANK.AVG($O7,($J7,$O7,$T7),1)-2)*10)</f>
        <v>-13.4</v>
      </c>
      <c r="W7" s="55">
        <f>IF($T7="","",ROUND(($T7-$T$3)/1000,1)+(_xlfn.RANK.AVG($T7,($J7,$O7,$T7),1)-2)*10)</f>
        <v>26.8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5</v>
      </c>
      <c r="BT7" s="30" t="s">
        <v>203</v>
      </c>
      <c r="BU7" s="40" t="s">
        <v>200</v>
      </c>
      <c r="BV7" s="41" t="s">
        <v>82</v>
      </c>
      <c r="BW7" s="41" t="s">
        <v>204</v>
      </c>
      <c r="BX7" s="41" t="s">
        <v>80</v>
      </c>
      <c r="BY7" s="41" t="s">
        <v>80</v>
      </c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">
        <v>208</v>
      </c>
      <c r="F8" s="8" t="s">
        <v>213</v>
      </c>
      <c r="G8" s="9">
        <v>3000</v>
      </c>
      <c r="H8" s="9"/>
      <c r="I8" s="48"/>
      <c r="J8" s="21">
        <f t="shared" si="2"/>
        <v>29600</v>
      </c>
      <c r="K8" s="8" t="s">
        <v>213</v>
      </c>
      <c r="L8" s="9">
        <v>-1500</v>
      </c>
      <c r="M8" s="9"/>
      <c r="N8" s="48"/>
      <c r="O8" s="21">
        <f t="shared" si="3"/>
        <v>25100</v>
      </c>
      <c r="P8" s="8" t="s">
        <v>213</v>
      </c>
      <c r="Q8" s="9">
        <v>-1500</v>
      </c>
      <c r="R8" s="9"/>
      <c r="S8" s="48"/>
      <c r="T8" s="21">
        <f t="shared" si="4"/>
        <v>50300</v>
      </c>
      <c r="U8" s="53">
        <f>IF($J8="","",ROUND(($J8-$J$3)/1000,1)+(_xlfn.RANK.AVG($J8,($J8,$O8,$T8),1)-2)*10)</f>
        <v>-5.4</v>
      </c>
      <c r="V8" s="54">
        <f>IF($O8="","",ROUND(($O8-$O$3)/1000,1)+(_xlfn.RANK.AVG($O8,($J8,$O8,$T8),1)-2)*10)</f>
        <v>-19.899999999999999</v>
      </c>
      <c r="W8" s="55">
        <f>IF($T8="","",ROUND(($T8-$T$3)/1000,1)+(_xlfn.RANK.AVG($T8,($J8,$O8,$T8),1)-2)*10)</f>
        <v>25.3</v>
      </c>
      <c r="Y8" s="8" t="s">
        <v>212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211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211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3</v>
      </c>
      <c r="D9" s="18">
        <f t="shared" si="1"/>
        <v>0</v>
      </c>
      <c r="E9" s="4" t="s">
        <v>195</v>
      </c>
      <c r="F9" s="8" t="s">
        <v>213</v>
      </c>
      <c r="G9" s="9">
        <v>1500</v>
      </c>
      <c r="H9" s="9"/>
      <c r="I9" s="48"/>
      <c r="J9" s="21">
        <f t="shared" si="2"/>
        <v>31100</v>
      </c>
      <c r="K9" s="8" t="s">
        <v>213</v>
      </c>
      <c r="L9" s="9">
        <v>1500</v>
      </c>
      <c r="M9" s="9"/>
      <c r="N9" s="48"/>
      <c r="O9" s="21">
        <f t="shared" si="3"/>
        <v>26600</v>
      </c>
      <c r="P9" s="8" t="s">
        <v>213</v>
      </c>
      <c r="Q9" s="9">
        <v>-3000</v>
      </c>
      <c r="R9" s="9"/>
      <c r="S9" s="48"/>
      <c r="T9" s="21">
        <f t="shared" si="4"/>
        <v>47300</v>
      </c>
      <c r="U9" s="53">
        <f>IF($J9="","",ROUND(($J9-$J$3)/1000,1)+(_xlfn.RANK.AVG($J9,($J9,$O9,$T9),1)-2)*10)</f>
        <v>-3.9</v>
      </c>
      <c r="V9" s="54">
        <f>IF($O9="","",ROUND(($O9-$O$3)/1000,1)+(_xlfn.RANK.AVG($O9,($J9,$O9,$T9),1)-2)*10)</f>
        <v>-18.399999999999999</v>
      </c>
      <c r="W9" s="55">
        <f>IF($T9="","",ROUND(($T9-$T$3)/1000,1)+(_xlfn.RANK.AVG($T9,($J9,$O9,$T9),1)-2)*10)</f>
        <v>22.3</v>
      </c>
      <c r="Y9" s="8" t="s">
        <v>212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212</v>
      </c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211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4</v>
      </c>
      <c r="D10" s="18">
        <f t="shared" si="1"/>
        <v>0</v>
      </c>
      <c r="E10" s="4" t="s">
        <v>195</v>
      </c>
      <c r="F10" s="8" t="s">
        <v>199</v>
      </c>
      <c r="G10" s="9">
        <v>-5200</v>
      </c>
      <c r="H10" s="9"/>
      <c r="I10" s="48">
        <v>-4000</v>
      </c>
      <c r="J10" s="21">
        <f t="shared" si="2"/>
        <v>21900</v>
      </c>
      <c r="K10" s="8" t="s">
        <v>198</v>
      </c>
      <c r="L10" s="9">
        <v>5200</v>
      </c>
      <c r="M10" s="9"/>
      <c r="N10" s="48">
        <v>4000</v>
      </c>
      <c r="O10" s="21">
        <f t="shared" si="3"/>
        <v>35800</v>
      </c>
      <c r="P10" s="8"/>
      <c r="Q10" s="9"/>
      <c r="R10" s="9"/>
      <c r="S10" s="48"/>
      <c r="T10" s="21">
        <f t="shared" si="4"/>
        <v>47300</v>
      </c>
      <c r="U10" s="53">
        <f>IF($J10="","",ROUND(($J10-$J$3)/1000,1)+(_xlfn.RANK.AVG($J10,($J10,$O10,$T10),1)-2)*10)</f>
        <v>-23.1</v>
      </c>
      <c r="V10" s="54">
        <f>IF($O10="","",ROUND(($O10-$O$3)/1000,1)+(_xlfn.RANK.AVG($O10,($J10,$O10,$T10),1)-2)*10)</f>
        <v>0.8</v>
      </c>
      <c r="W10" s="55">
        <f>IF($T10="","",ROUND(($T10-$T$3)/1000,1)+(_xlfn.RANK.AVG($T10,($J10,$O10,$T10),1)-2)*10)</f>
        <v>22.3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3</v>
      </c>
      <c r="AY10" s="30">
        <v>40</v>
      </c>
      <c r="AZ10" s="40" t="s">
        <v>104</v>
      </c>
      <c r="BA10" s="41" t="s">
        <v>86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191</v>
      </c>
      <c r="F11" s="8"/>
      <c r="G11" s="9"/>
      <c r="H11" s="9"/>
      <c r="I11" s="48"/>
      <c r="J11" s="21">
        <f t="shared" si="2"/>
        <v>21900</v>
      </c>
      <c r="K11" s="8" t="s">
        <v>198</v>
      </c>
      <c r="L11" s="9">
        <v>2000</v>
      </c>
      <c r="M11" s="9"/>
      <c r="N11" s="48">
        <v>0</v>
      </c>
      <c r="O11" s="21">
        <f t="shared" si="3"/>
        <v>37800</v>
      </c>
      <c r="P11" s="8" t="s">
        <v>199</v>
      </c>
      <c r="Q11" s="9">
        <v>-2000</v>
      </c>
      <c r="R11" s="9"/>
      <c r="S11" s="48">
        <v>0</v>
      </c>
      <c r="T11" s="21">
        <f t="shared" si="4"/>
        <v>45300</v>
      </c>
      <c r="U11" s="53">
        <f>IF($J11="","",ROUND(($J11-$J$3)/1000,1)+(_xlfn.RANK.AVG($J11,($J11,$O11,$T11),1)-2)*10)</f>
        <v>-23.1</v>
      </c>
      <c r="V11" s="54">
        <f>IF($O11="","",ROUND(($O11-$O$3)/1000,1)+(_xlfn.RANK.AVG($O11,($J11,$O11,$T11),1)-2)*10)</f>
        <v>2.8</v>
      </c>
      <c r="W11" s="55">
        <f>IF($T11="","",ROUND(($T11-$T$3)/1000,1)+(_xlfn.RANK.AVG($T11,($J11,$O11,$T11),1)-2)*10)</f>
        <v>20.3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1</v>
      </c>
      <c r="AY11" s="30">
        <v>40</v>
      </c>
      <c r="AZ11" s="40" t="s">
        <v>84</v>
      </c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1</v>
      </c>
      <c r="C12" s="18">
        <f t="shared" si="6"/>
        <v>1</v>
      </c>
      <c r="D12" s="18">
        <f t="shared" si="1"/>
        <v>0</v>
      </c>
      <c r="E12" s="4" t="s">
        <v>191</v>
      </c>
      <c r="F12" s="8" t="s">
        <v>201</v>
      </c>
      <c r="G12" s="9">
        <v>-1100</v>
      </c>
      <c r="H12" s="9"/>
      <c r="I12" s="48">
        <v>-500</v>
      </c>
      <c r="J12" s="21">
        <f t="shared" si="2"/>
        <v>20300</v>
      </c>
      <c r="K12" s="8" t="s">
        <v>201</v>
      </c>
      <c r="L12" s="9">
        <v>-1700</v>
      </c>
      <c r="M12" s="9">
        <v>-1000</v>
      </c>
      <c r="N12" s="48">
        <v>-500</v>
      </c>
      <c r="O12" s="21">
        <f t="shared" si="3"/>
        <v>34600</v>
      </c>
      <c r="P12" s="8" t="s">
        <v>202</v>
      </c>
      <c r="Q12" s="9">
        <v>2800</v>
      </c>
      <c r="R12" s="9">
        <v>1000</v>
      </c>
      <c r="S12" s="48">
        <v>1000</v>
      </c>
      <c r="T12" s="21">
        <f t="shared" si="4"/>
        <v>50100</v>
      </c>
      <c r="U12" s="53">
        <f>IF($J12="","",ROUND(($J12-$J$3)/1000,1)+(_xlfn.RANK.AVG($J12,($J12,$O12,$T12),1)-2)*10)</f>
        <v>-24.7</v>
      </c>
      <c r="V12" s="54">
        <f>IF($O12="","",ROUND(($O12-$O$3)/1000,1)+(_xlfn.RANK.AVG($O12,($J12,$O12,$T12),1)-2)*10)</f>
        <v>-0.4</v>
      </c>
      <c r="W12" s="55">
        <f>IF($T12="","",ROUND(($T12-$T$3)/1000,1)+(_xlfn.RANK.AVG($T12,($J12,$O12,$T12),1)-2)*10)</f>
        <v>25.1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>
        <v>3</v>
      </c>
      <c r="BT12" s="30">
        <v>20</v>
      </c>
      <c r="BU12" s="40" t="s">
        <v>82</v>
      </c>
      <c r="BV12" s="41" t="s">
        <v>83</v>
      </c>
      <c r="BW12" s="41" t="s">
        <v>204</v>
      </c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">
        <v>208</v>
      </c>
      <c r="F13" s="8" t="s">
        <v>202</v>
      </c>
      <c r="G13" s="9">
        <v>4000</v>
      </c>
      <c r="H13" s="9"/>
      <c r="I13" s="48">
        <v>0</v>
      </c>
      <c r="J13" s="21">
        <f t="shared" si="2"/>
        <v>24300</v>
      </c>
      <c r="K13" s="8" t="s">
        <v>201</v>
      </c>
      <c r="L13" s="9">
        <v>-1500</v>
      </c>
      <c r="M13" s="9"/>
      <c r="N13" s="48">
        <v>0</v>
      </c>
      <c r="O13" s="21">
        <f t="shared" si="3"/>
        <v>33100</v>
      </c>
      <c r="P13" s="8" t="s">
        <v>201</v>
      </c>
      <c r="Q13" s="9">
        <v>-2500</v>
      </c>
      <c r="R13" s="9"/>
      <c r="S13" s="48">
        <v>0</v>
      </c>
      <c r="T13" s="21">
        <f t="shared" si="4"/>
        <v>47600</v>
      </c>
      <c r="U13" s="53">
        <f>IF($J13="","",ROUND(($J13-$J$3)/1000,1)+(_xlfn.RANK.AVG($J13,($J13,$O13,$T13),1)-2)*10)</f>
        <v>-20.7</v>
      </c>
      <c r="V13" s="54">
        <f>IF($O13="","",ROUND(($O13-$O$3)/1000,1)+(_xlfn.RANK.AVG($O13,($J13,$O13,$T13),1)-2)*10)</f>
        <v>-1.9</v>
      </c>
      <c r="W13" s="55">
        <f>IF($T13="","",ROUND(($T13-$T$3)/1000,1)+(_xlfn.RANK.AVG($T13,($J13,$O13,$T13),1)-2)*10)</f>
        <v>22.6</v>
      </c>
      <c r="Y13" s="8"/>
      <c r="Z13" s="34"/>
      <c r="AA13" s="26"/>
      <c r="AB13" s="26"/>
      <c r="AC13" s="26">
        <v>3</v>
      </c>
      <c r="AD13" s="30">
        <v>30</v>
      </c>
      <c r="AE13" s="40" t="s">
        <v>82</v>
      </c>
      <c r="AF13" s="41" t="s">
        <v>84</v>
      </c>
      <c r="AG13" s="41" t="s">
        <v>204</v>
      </c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195</v>
      </c>
      <c r="F14" s="8" t="s">
        <v>198</v>
      </c>
      <c r="G14" s="9">
        <v>3900</v>
      </c>
      <c r="H14" s="9"/>
      <c r="I14" s="48">
        <v>0</v>
      </c>
      <c r="J14" s="21">
        <f t="shared" si="2"/>
        <v>28200</v>
      </c>
      <c r="K14" s="8" t="s">
        <v>199</v>
      </c>
      <c r="L14" s="9">
        <v>-3900</v>
      </c>
      <c r="M14" s="9"/>
      <c r="N14" s="48">
        <v>0</v>
      </c>
      <c r="O14" s="21">
        <f t="shared" si="3"/>
        <v>29200</v>
      </c>
      <c r="P14" s="8"/>
      <c r="Q14" s="9"/>
      <c r="R14" s="9"/>
      <c r="S14" s="48"/>
      <c r="T14" s="21">
        <f t="shared" si="4"/>
        <v>47600</v>
      </c>
      <c r="U14" s="53">
        <f>IF($J14="","",ROUND(($J14-$J$3)/1000,1)+(_xlfn.RANK.AVG($J14,($J14,$O14,$T14),1)-2)*10)</f>
        <v>-16.8</v>
      </c>
      <c r="V14" s="54">
        <f>IF($O14="","",ROUND(($O14-$O$3)/1000,1)+(_xlfn.RANK.AVG($O14,($J14,$O14,$T14),1)-2)*10)</f>
        <v>-5.8</v>
      </c>
      <c r="W14" s="55">
        <f>IF($T14="","",ROUND(($T14-$T$3)/1000,1)+(_xlfn.RANK.AVG($T14,($J14,$O14,$T14),1)-2)*10)</f>
        <v>22.6</v>
      </c>
      <c r="Y14" s="8"/>
      <c r="Z14" s="34"/>
      <c r="AA14" s="26">
        <v>1</v>
      </c>
      <c r="AB14" s="26"/>
      <c r="AC14" s="26">
        <v>2</v>
      </c>
      <c r="AD14" s="30">
        <v>40</v>
      </c>
      <c r="AE14" s="40" t="s">
        <v>200</v>
      </c>
      <c r="AF14" s="41" t="s">
        <v>80</v>
      </c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>南</v>
      </c>
      <c r="B15" s="18">
        <f t="shared" si="5"/>
        <v>3</v>
      </c>
      <c r="C15" s="18">
        <f t="shared" si="6"/>
        <v>1</v>
      </c>
      <c r="D15" s="18">
        <f t="shared" si="1"/>
        <v>0</v>
      </c>
      <c r="E15" s="4" t="s">
        <v>195</v>
      </c>
      <c r="F15" s="8" t="s">
        <v>201</v>
      </c>
      <c r="G15" s="9">
        <v>-5000</v>
      </c>
      <c r="H15" s="9"/>
      <c r="I15" s="48">
        <v>-500</v>
      </c>
      <c r="J15" s="21">
        <f t="shared" si="2"/>
        <v>22700</v>
      </c>
      <c r="K15" s="8" t="s">
        <v>202</v>
      </c>
      <c r="L15" s="9">
        <v>8000</v>
      </c>
      <c r="M15" s="9"/>
      <c r="N15" s="48">
        <v>1000</v>
      </c>
      <c r="O15" s="21">
        <f t="shared" si="3"/>
        <v>38200</v>
      </c>
      <c r="P15" s="8" t="s">
        <v>201</v>
      </c>
      <c r="Q15" s="9">
        <v>-3000</v>
      </c>
      <c r="R15" s="9"/>
      <c r="S15" s="48">
        <v>-500</v>
      </c>
      <c r="T15" s="21">
        <f t="shared" si="4"/>
        <v>44100</v>
      </c>
      <c r="U15" s="53">
        <f>IF($J15="","",ROUND(($J15-$J$3)/1000,1)+(_xlfn.RANK.AVG($J15,($J15,$O15,$T15),1)-2)*10)</f>
        <v>-22.3</v>
      </c>
      <c r="V15" s="54">
        <f>IF($O15="","",ROUND(($O15-$O$3)/1000,1)+(_xlfn.RANK.AVG($O15,($J15,$O15,$T15),1)-2)*10)</f>
        <v>3.2</v>
      </c>
      <c r="W15" s="55">
        <f>IF($T15="","",ROUND(($T15-$T$3)/1000,1)+(_xlfn.RANK.AVG($T15,($J15,$O15,$T15),1)-2)*10)</f>
        <v>19.100000000000001</v>
      </c>
      <c r="Y15" s="8"/>
      <c r="Z15" s="34"/>
      <c r="AA15" s="26"/>
      <c r="AB15" s="26">
        <v>1</v>
      </c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>
        <v>1</v>
      </c>
      <c r="AW15" s="26"/>
      <c r="AX15" s="26">
        <v>5</v>
      </c>
      <c r="AY15" s="30" t="s">
        <v>203</v>
      </c>
      <c r="AZ15" s="40" t="s">
        <v>200</v>
      </c>
      <c r="BA15" s="41" t="s">
        <v>82</v>
      </c>
      <c r="BB15" s="41" t="s">
        <v>79</v>
      </c>
      <c r="BC15" s="41" t="s">
        <v>80</v>
      </c>
      <c r="BD15" s="41" t="s">
        <v>205</v>
      </c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showInputMessage="1" showErrorMessage="1" sqref="K4:K30 P4:P30 F4:F30" xr:uid="{FBBEC473-9296-4B85-9ADD-A47A087C06A6}">
      <formula1>"ロン,ツモ,放銃,ツモ支払,流局,チョンボ"</formula1>
    </dataValidation>
    <dataValidation type="list" allowBlank="1" showInputMessage="1" showErrorMessage="1" sqref="E4:E30" xr:uid="{13952D99-8B5E-4FAE-9625-1EFF2399F024}">
      <formula1>$U$2:$W$2</formula1>
    </dataValidation>
    <dataValidation type="list" allowBlank="1" showInputMessage="1" sqref="F1:T1" xr:uid="{97E5F5A0-AA61-4948-B6B7-BFC892D0D959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CF7F2-2FDC-4C4D-869A-5E3F7627F448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216</v>
      </c>
      <c r="G1" s="73"/>
      <c r="H1" s="73"/>
      <c r="I1" s="74"/>
      <c r="J1" s="75"/>
      <c r="K1" s="72" t="s">
        <v>218</v>
      </c>
      <c r="L1" s="73"/>
      <c r="M1" s="73"/>
      <c r="N1" s="74"/>
      <c r="O1" s="75"/>
      <c r="P1" s="72" t="s">
        <v>197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たかの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たかの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213</v>
      </c>
      <c r="G4" s="9">
        <v>0</v>
      </c>
      <c r="H4" s="9"/>
      <c r="I4" s="48"/>
      <c r="J4" s="21">
        <f>IF(COUNTA($F4,$K4,$P4)&gt;0,J3+SUM(G4:I4),"")</f>
        <v>35000</v>
      </c>
      <c r="K4" s="8" t="s">
        <v>213</v>
      </c>
      <c r="L4" s="9">
        <v>0</v>
      </c>
      <c r="M4" s="9"/>
      <c r="N4" s="48"/>
      <c r="O4" s="21">
        <f>IF(COUNTA($F4,$K4,$P4)&gt;0,O3+SUM(L4:N4),"")</f>
        <v>35000</v>
      </c>
      <c r="P4" s="8" t="s">
        <v>213</v>
      </c>
      <c r="Q4" s="9">
        <v>0</v>
      </c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0</v>
      </c>
      <c r="Y4" s="8" t="s">
        <v>212</v>
      </c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212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212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201</v>
      </c>
      <c r="G5" s="9">
        <v>-3000</v>
      </c>
      <c r="H5" s="9"/>
      <c r="I5" s="48">
        <v>-500</v>
      </c>
      <c r="J5" s="21">
        <f t="shared" ref="J5:J30" si="2">IF(COUNTA($F5,$K5,$P5)&gt;0,J4+SUM(G5:I5),"")</f>
        <v>31500</v>
      </c>
      <c r="K5" s="8" t="s">
        <v>201</v>
      </c>
      <c r="L5" s="9">
        <v>-3000</v>
      </c>
      <c r="M5" s="9"/>
      <c r="N5" s="48">
        <v>-500</v>
      </c>
      <c r="O5" s="21">
        <f t="shared" ref="O5:O30" si="3">IF(COUNTA($F5,$K5,$P5)&gt;0,O4+SUM(L5:N5),"")</f>
        <v>31500</v>
      </c>
      <c r="P5" s="8" t="s">
        <v>202</v>
      </c>
      <c r="Q5" s="9">
        <v>6000</v>
      </c>
      <c r="R5" s="9"/>
      <c r="S5" s="48">
        <v>1000</v>
      </c>
      <c r="T5" s="21">
        <f t="shared" ref="T5:T30" si="4">IF(COUNTA($F5,$K5,$P5)&gt;0,T4+SUM(Q5:S5),"")</f>
        <v>42000</v>
      </c>
      <c r="U5" s="53">
        <f>IF($J5="","",ROUND(($J5-$J$3)/1000,1)+(_xlfn.RANK.AVG($J5,($J5,$O5,$T5),1)-2)*10)</f>
        <v>-8.5</v>
      </c>
      <c r="V5" s="54">
        <f>IF($O5="","",ROUND(($O5-$O$3)/1000,1)+(_xlfn.RANK.AVG($O5,($J5,$O5,$T5),1)-2)*10)</f>
        <v>-8.5</v>
      </c>
      <c r="W5" s="55">
        <f>IF($T5="","",ROUND(($T5-$T$3)/1000,1)+(_xlfn.RANK.AVG($T5,($J5,$O5,$T5),1)-2)*10)</f>
        <v>17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3</v>
      </c>
      <c r="BT5" s="30">
        <v>30</v>
      </c>
      <c r="BU5" s="40" t="s">
        <v>82</v>
      </c>
      <c r="BV5" s="41" t="s">
        <v>86</v>
      </c>
      <c r="BW5" s="41" t="s">
        <v>204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193</v>
      </c>
      <c r="F6" s="8" t="s">
        <v>201</v>
      </c>
      <c r="G6" s="9">
        <v>-2000</v>
      </c>
      <c r="H6" s="9"/>
      <c r="I6" s="48">
        <v>-1000</v>
      </c>
      <c r="J6" s="21">
        <f t="shared" si="2"/>
        <v>28500</v>
      </c>
      <c r="K6" s="8" t="s">
        <v>201</v>
      </c>
      <c r="L6" s="9">
        <v>-2000</v>
      </c>
      <c r="M6" s="9"/>
      <c r="N6" s="48">
        <v>-1000</v>
      </c>
      <c r="O6" s="21">
        <f t="shared" si="3"/>
        <v>28500</v>
      </c>
      <c r="P6" s="8" t="s">
        <v>202</v>
      </c>
      <c r="Q6" s="9">
        <v>4000</v>
      </c>
      <c r="R6" s="9"/>
      <c r="S6" s="48">
        <v>2000</v>
      </c>
      <c r="T6" s="21">
        <f t="shared" si="4"/>
        <v>48000</v>
      </c>
      <c r="U6" s="53">
        <f>IF($J6="","",ROUND(($J6-$J$3)/1000,1)+(_xlfn.RANK.AVG($J6,($J6,$O6,$T6),1)-2)*10)</f>
        <v>-11.5</v>
      </c>
      <c r="V6" s="54">
        <f>IF($O6="","",ROUND(($O6-$O$3)/1000,1)+(_xlfn.RANK.AVG($O6,($J6,$O6,$T6),1)-2)*10)</f>
        <v>-11.5</v>
      </c>
      <c r="W6" s="55">
        <f>IF($T6="","",ROUND(($T6-$T$3)/1000,1)+(_xlfn.RANK.AVG($T6,($J6,$O6,$T6),1)-2)*10)</f>
        <v>23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3</v>
      </c>
      <c r="BT6" s="30">
        <v>20</v>
      </c>
      <c r="BU6" s="40" t="s">
        <v>82</v>
      </c>
      <c r="BV6" s="41" t="s">
        <v>83</v>
      </c>
      <c r="BW6" s="41" t="s">
        <v>204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193</v>
      </c>
      <c r="F7" s="8"/>
      <c r="G7" s="9"/>
      <c r="H7" s="9"/>
      <c r="I7" s="48"/>
      <c r="J7" s="21">
        <f t="shared" si="2"/>
        <v>28500</v>
      </c>
      <c r="K7" s="8" t="s">
        <v>199</v>
      </c>
      <c r="L7" s="9">
        <v>-2900</v>
      </c>
      <c r="M7" s="9"/>
      <c r="N7" s="48">
        <v>-3000</v>
      </c>
      <c r="O7" s="21">
        <f t="shared" si="3"/>
        <v>22600</v>
      </c>
      <c r="P7" s="8" t="s">
        <v>198</v>
      </c>
      <c r="Q7" s="9">
        <v>2900</v>
      </c>
      <c r="R7" s="9"/>
      <c r="S7" s="48">
        <v>3000</v>
      </c>
      <c r="T7" s="21">
        <f t="shared" si="4"/>
        <v>53900</v>
      </c>
      <c r="U7" s="53">
        <f>IF($J7="","",ROUND(($J7-$J$3)/1000,1)+(_xlfn.RANK.AVG($J7,($J7,$O7,$T7),1)-2)*10)</f>
        <v>-6.5</v>
      </c>
      <c r="V7" s="54">
        <f>IF($O7="","",ROUND(($O7-$O$3)/1000,1)+(_xlfn.RANK.AVG($O7,($J7,$O7,$T7),1)-2)*10)</f>
        <v>-22.4</v>
      </c>
      <c r="W7" s="55">
        <f>IF($T7="","",ROUND(($T7-$T$3)/1000,1)+(_xlfn.RANK.AVG($T7,($J7,$O7,$T7),1)-2)*10)</f>
        <v>28.9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2</v>
      </c>
      <c r="BT7" s="30">
        <v>30</v>
      </c>
      <c r="BU7" s="40" t="s">
        <v>83</v>
      </c>
      <c r="BV7" s="41" t="s">
        <v>204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1</v>
      </c>
      <c r="C8" s="18">
        <f t="shared" si="6"/>
        <v>4</v>
      </c>
      <c r="D8" s="18">
        <f t="shared" si="1"/>
        <v>0</v>
      </c>
      <c r="E8" s="4" t="s">
        <v>193</v>
      </c>
      <c r="F8" s="8" t="s">
        <v>199</v>
      </c>
      <c r="G8" s="9">
        <v>-5800</v>
      </c>
      <c r="H8" s="9"/>
      <c r="I8" s="48">
        <v>-4000</v>
      </c>
      <c r="J8" s="21">
        <f t="shared" si="2"/>
        <v>18700</v>
      </c>
      <c r="K8" s="8"/>
      <c r="L8" s="9"/>
      <c r="M8" s="9"/>
      <c r="N8" s="48"/>
      <c r="O8" s="21">
        <f t="shared" si="3"/>
        <v>22600</v>
      </c>
      <c r="P8" s="8" t="s">
        <v>198</v>
      </c>
      <c r="Q8" s="9">
        <v>5800</v>
      </c>
      <c r="R8" s="9"/>
      <c r="S8" s="48">
        <v>4000</v>
      </c>
      <c r="T8" s="21">
        <f t="shared" si="4"/>
        <v>63700</v>
      </c>
      <c r="U8" s="53">
        <f>IF($J8="","",ROUND(($J8-$J$3)/1000,1)+(_xlfn.RANK.AVG($J8,($J8,$O8,$T8),1)-2)*10)</f>
        <v>-26.3</v>
      </c>
      <c r="V8" s="54">
        <f>IF($O8="","",ROUND(($O8-$O$3)/1000,1)+(_xlfn.RANK.AVG($O8,($J8,$O8,$T8),1)-2)*10)</f>
        <v>-12.4</v>
      </c>
      <c r="W8" s="55">
        <f>IF($T8="","",ROUND(($T8-$T$3)/1000,1)+(_xlfn.RANK.AVG($T8,($J8,$O8,$T8),1)-2)*10)</f>
        <v>38.700000000000003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3</v>
      </c>
      <c r="BT8" s="30">
        <v>30</v>
      </c>
      <c r="BU8" s="40" t="s">
        <v>83</v>
      </c>
      <c r="BV8" s="41" t="s">
        <v>79</v>
      </c>
      <c r="BW8" s="41" t="s">
        <v>79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1</v>
      </c>
      <c r="C9" s="18">
        <f t="shared" si="6"/>
        <v>5</v>
      </c>
      <c r="D9" s="18">
        <f t="shared" si="1"/>
        <v>0</v>
      </c>
      <c r="E9" s="4" t="s">
        <v>193</v>
      </c>
      <c r="F9" s="8" t="s">
        <v>199</v>
      </c>
      <c r="G9" s="9">
        <v>-8000</v>
      </c>
      <c r="H9" s="9"/>
      <c r="I9" s="48">
        <v>-5000</v>
      </c>
      <c r="J9" s="21">
        <f t="shared" si="2"/>
        <v>5700</v>
      </c>
      <c r="K9" s="8" t="s">
        <v>198</v>
      </c>
      <c r="L9" s="9">
        <v>8000</v>
      </c>
      <c r="M9" s="9"/>
      <c r="N9" s="48">
        <v>5000</v>
      </c>
      <c r="O9" s="21">
        <f t="shared" si="3"/>
        <v>35600</v>
      </c>
      <c r="P9" s="8"/>
      <c r="Q9" s="9"/>
      <c r="R9" s="9"/>
      <c r="S9" s="48"/>
      <c r="T9" s="21">
        <f t="shared" si="4"/>
        <v>63700</v>
      </c>
      <c r="U9" s="53">
        <f>IF($J9="","",ROUND(($J9-$J$3)/1000,1)+(_xlfn.RANK.AVG($J9,($J9,$O9,$T9),1)-2)*10)</f>
        <v>-39.299999999999997</v>
      </c>
      <c r="V9" s="54">
        <f>IF($O9="","",ROUND(($O9-$O$3)/1000,1)+(_xlfn.RANK.AVG($O9,($J9,$O9,$T9),1)-2)*10)</f>
        <v>0.6</v>
      </c>
      <c r="W9" s="55">
        <f>IF($T9="","",ROUND(($T9-$T$3)/1000,1)+(_xlfn.RANK.AVG($T9,($J9,$O9,$T9),1)-2)*10)</f>
        <v>38.700000000000003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5</v>
      </c>
      <c r="AY9" s="30" t="s">
        <v>203</v>
      </c>
      <c r="AZ9" s="40" t="s">
        <v>104</v>
      </c>
      <c r="BA9" s="41" t="s">
        <v>86</v>
      </c>
      <c r="BB9" s="41" t="s">
        <v>79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215</v>
      </c>
      <c r="F10" s="8" t="s">
        <v>201</v>
      </c>
      <c r="G10" s="9">
        <v>-1300</v>
      </c>
      <c r="H10" s="9"/>
      <c r="I10" s="48">
        <v>0</v>
      </c>
      <c r="J10" s="21">
        <f t="shared" si="2"/>
        <v>4400</v>
      </c>
      <c r="K10" s="8" t="s">
        <v>201</v>
      </c>
      <c r="L10" s="9">
        <v>-800</v>
      </c>
      <c r="M10" s="9"/>
      <c r="N10" s="48">
        <v>0</v>
      </c>
      <c r="O10" s="21">
        <f t="shared" si="3"/>
        <v>34800</v>
      </c>
      <c r="P10" s="8" t="s">
        <v>202</v>
      </c>
      <c r="Q10" s="9">
        <v>2100</v>
      </c>
      <c r="R10" s="9"/>
      <c r="S10" s="48">
        <v>0</v>
      </c>
      <c r="T10" s="21">
        <f t="shared" si="4"/>
        <v>65800</v>
      </c>
      <c r="U10" s="53">
        <f>IF($J10="","",ROUND(($J10-$J$3)/1000,1)+(_xlfn.RANK.AVG($J10,($J10,$O10,$T10),1)-2)*10)</f>
        <v>-40.6</v>
      </c>
      <c r="V10" s="54">
        <f>IF($O10="","",ROUND(($O10-$O$3)/1000,1)+(_xlfn.RANK.AVG($O10,($J10,$O10,$T10),1)-2)*10)</f>
        <v>-0.2</v>
      </c>
      <c r="W10" s="55">
        <f>IF($T10="","",ROUND(($T10-$T$3)/1000,1)+(_xlfn.RANK.AVG($T10,($J10,$O10,$T10),1)-2)*10)</f>
        <v>40.799999999999997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2</v>
      </c>
      <c r="BT10" s="30">
        <v>30</v>
      </c>
      <c r="BU10" s="40" t="s">
        <v>86</v>
      </c>
      <c r="BV10" s="41" t="s">
        <v>204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東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217</v>
      </c>
      <c r="F11" s="8" t="s">
        <v>199</v>
      </c>
      <c r="G11" s="9">
        <v>-8000</v>
      </c>
      <c r="H11" s="9"/>
      <c r="I11" s="48">
        <v>0</v>
      </c>
      <c r="J11" s="21">
        <f t="shared" si="2"/>
        <v>-3600</v>
      </c>
      <c r="K11" s="8"/>
      <c r="L11" s="9"/>
      <c r="M11" s="9"/>
      <c r="N11" s="48"/>
      <c r="O11" s="21">
        <f t="shared" si="3"/>
        <v>34800</v>
      </c>
      <c r="P11" s="8" t="s">
        <v>198</v>
      </c>
      <c r="Q11" s="9">
        <v>8000</v>
      </c>
      <c r="R11" s="9"/>
      <c r="S11" s="48">
        <v>0</v>
      </c>
      <c r="T11" s="21">
        <f t="shared" si="4"/>
        <v>73800</v>
      </c>
      <c r="U11" s="53">
        <f>IF($J11="","",ROUND(($J11-$J$3)/1000,1)+(_xlfn.RANK.AVG($J11,($J11,$O11,$T11),1)-2)*10)</f>
        <v>-48.6</v>
      </c>
      <c r="V11" s="54">
        <f>IF($O11="","",ROUND(($O11-$O$3)/1000,1)+(_xlfn.RANK.AVG($O11,($J11,$O11,$T11),1)-2)*10)</f>
        <v>-0.2</v>
      </c>
      <c r="W11" s="55">
        <f>IF($T11="","",ROUND(($T11-$T$3)/1000,1)+(_xlfn.RANK.AVG($T11,($J11,$O11,$T11),1)-2)*10)</f>
        <v>48.8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4</v>
      </c>
      <c r="BT11" s="30">
        <v>40</v>
      </c>
      <c r="BU11" s="40" t="s">
        <v>86</v>
      </c>
      <c r="BV11" s="41" t="s">
        <v>86</v>
      </c>
      <c r="BW11" s="41" t="s">
        <v>79</v>
      </c>
      <c r="BX11" s="41" t="s">
        <v>79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showInputMessage="1" showErrorMessage="1" sqref="K4:K30 P4:P30 F4:F30" xr:uid="{20597485-5066-4263-BCB5-DB6CDCC021B1}">
      <formula1>"ロン,ツモ,放銃,ツモ支払,流局,チョンボ"</formula1>
    </dataValidation>
    <dataValidation type="list" allowBlank="1" showInputMessage="1" showErrorMessage="1" sqref="E4:E30" xr:uid="{A3F74D18-DC80-46E8-8494-C46DB30181B7}">
      <formula1>$U$2:$W$2</formula1>
    </dataValidation>
    <dataValidation type="list" allowBlank="1" showInputMessage="1" sqref="F1:T1" xr:uid="{7D87DB30-A0BF-4509-87F7-1B9C5C65BCCE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99B5D-9031-4FC0-BE95-5F6382C825B6}">
  <sheetPr codeName="Sheet16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216</v>
      </c>
      <c r="G1" s="73"/>
      <c r="H1" s="73"/>
      <c r="I1" s="74"/>
      <c r="J1" s="75"/>
      <c r="K1" s="72" t="s">
        <v>218</v>
      </c>
      <c r="L1" s="73"/>
      <c r="M1" s="73"/>
      <c r="N1" s="74"/>
      <c r="O1" s="75"/>
      <c r="P1" s="72" t="s">
        <v>197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たかの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たかの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215</v>
      </c>
      <c r="F4" s="8" t="s">
        <v>199</v>
      </c>
      <c r="G4" s="9">
        <v>-12000</v>
      </c>
      <c r="H4" s="9"/>
      <c r="I4" s="48">
        <v>0</v>
      </c>
      <c r="J4" s="21">
        <f>IF(COUNTA($F4,$K4,$P4)&gt;0,J3+SUM(G4:I4),"")</f>
        <v>23000</v>
      </c>
      <c r="K4" s="8" t="s">
        <v>198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-22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0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6</v>
      </c>
      <c r="AY4" s="30" t="s">
        <v>203</v>
      </c>
      <c r="AZ4" s="40" t="s">
        <v>86</v>
      </c>
      <c r="BA4" s="41" t="s">
        <v>86</v>
      </c>
      <c r="BB4" s="41" t="s">
        <v>86</v>
      </c>
      <c r="BC4" s="41" t="s">
        <v>93</v>
      </c>
      <c r="BD4" s="41" t="s">
        <v>104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217</v>
      </c>
      <c r="F5" s="8" t="s">
        <v>201</v>
      </c>
      <c r="G5" s="9">
        <v>-3000</v>
      </c>
      <c r="H5" s="9"/>
      <c r="I5" s="48">
        <v>0</v>
      </c>
      <c r="J5" s="21">
        <f t="shared" ref="J5:J30" si="2">IF(COUNTA($F5,$K5,$P5)&gt;0,J4+SUM(G5:I5),"")</f>
        <v>20000</v>
      </c>
      <c r="K5" s="8" t="s">
        <v>201</v>
      </c>
      <c r="L5" s="9">
        <v>-5000</v>
      </c>
      <c r="M5" s="9"/>
      <c r="N5" s="48">
        <v>0</v>
      </c>
      <c r="O5" s="21">
        <f t="shared" ref="O5:O30" si="3">IF(COUNTA($F5,$K5,$P5)&gt;0,O4+SUM(L5:N5),"")</f>
        <v>42000</v>
      </c>
      <c r="P5" s="8" t="s">
        <v>202</v>
      </c>
      <c r="Q5" s="9">
        <v>8000</v>
      </c>
      <c r="R5" s="9"/>
      <c r="S5" s="48">
        <v>0</v>
      </c>
      <c r="T5" s="21">
        <f t="shared" ref="T5:T30" si="4">IF(COUNTA($F5,$K5,$P5)&gt;0,T4+SUM(Q5:S5),"")</f>
        <v>43000</v>
      </c>
      <c r="U5" s="53">
        <f>IF($J5="","",ROUND(($J5-$J$3)/1000,1)+(_xlfn.RANK.AVG($J5,($J5,$O5,$T5),1)-2)*10)</f>
        <v>-25</v>
      </c>
      <c r="V5" s="54">
        <f>IF($O5="","",ROUND(($O5-$O$3)/1000,1)+(_xlfn.RANK.AVG($O5,($J5,$O5,$T5),1)-2)*10)</f>
        <v>7</v>
      </c>
      <c r="W5" s="55">
        <f>IF($T5="","",ROUND(($T5-$T$3)/1000,1)+(_xlfn.RANK.AVG($T5,($J5,$O5,$T5),1)-2)*10)</f>
        <v>18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5</v>
      </c>
      <c r="BT5" s="30" t="s">
        <v>203</v>
      </c>
      <c r="BU5" s="40" t="s">
        <v>106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202</v>
      </c>
      <c r="G6" s="9">
        <v>7700</v>
      </c>
      <c r="H6" s="9">
        <v>1000</v>
      </c>
      <c r="I6" s="48">
        <v>0</v>
      </c>
      <c r="J6" s="21">
        <f t="shared" si="2"/>
        <v>28700</v>
      </c>
      <c r="K6" s="8" t="s">
        <v>201</v>
      </c>
      <c r="L6" s="9">
        <v>-2900</v>
      </c>
      <c r="M6" s="9">
        <v>-1000</v>
      </c>
      <c r="N6" s="48">
        <v>0</v>
      </c>
      <c r="O6" s="21">
        <f t="shared" si="3"/>
        <v>38100</v>
      </c>
      <c r="P6" s="8" t="s">
        <v>201</v>
      </c>
      <c r="Q6" s="9">
        <v>-4800</v>
      </c>
      <c r="R6" s="9"/>
      <c r="S6" s="48">
        <v>0</v>
      </c>
      <c r="T6" s="21">
        <f t="shared" si="4"/>
        <v>38200</v>
      </c>
      <c r="U6" s="53">
        <f>IF($J6="","",ROUND(($J6-$J$3)/1000,1)+(_xlfn.RANK.AVG($J6,($J6,$O6,$T6),1)-2)*10)</f>
        <v>-16.3</v>
      </c>
      <c r="V6" s="54">
        <f>IF($O6="","",ROUND(($O6-$O$3)/1000,1)+(_xlfn.RANK.AVG($O6,($J6,$O6,$T6),1)-2)*10)</f>
        <v>3.1</v>
      </c>
      <c r="W6" s="55">
        <f>IF($T6="","",ROUND(($T6-$T$3)/1000,1)+(_xlfn.RANK.AVG($T6,($J6,$O6,$T6),1)-2)*10)</f>
        <v>13.2</v>
      </c>
      <c r="Y6" s="8"/>
      <c r="Z6" s="34"/>
      <c r="AA6" s="26">
        <v>1</v>
      </c>
      <c r="AB6" s="26"/>
      <c r="AC6" s="26">
        <v>4</v>
      </c>
      <c r="AD6" s="30">
        <v>30</v>
      </c>
      <c r="AE6" s="40" t="s">
        <v>200</v>
      </c>
      <c r="AF6" s="41" t="s">
        <v>82</v>
      </c>
      <c r="AG6" s="41" t="s">
        <v>79</v>
      </c>
      <c r="AH6" s="41" t="s">
        <v>79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215</v>
      </c>
      <c r="F7" s="8" t="s">
        <v>201</v>
      </c>
      <c r="G7" s="9">
        <v>-3300</v>
      </c>
      <c r="H7" s="9"/>
      <c r="I7" s="48">
        <v>0</v>
      </c>
      <c r="J7" s="21">
        <f t="shared" si="2"/>
        <v>25400</v>
      </c>
      <c r="K7" s="8" t="s">
        <v>202</v>
      </c>
      <c r="L7" s="9">
        <v>5300</v>
      </c>
      <c r="M7" s="9"/>
      <c r="N7" s="48">
        <v>0</v>
      </c>
      <c r="O7" s="21">
        <f t="shared" si="3"/>
        <v>43400</v>
      </c>
      <c r="P7" s="8" t="s">
        <v>201</v>
      </c>
      <c r="Q7" s="9">
        <v>-2000</v>
      </c>
      <c r="R7" s="9"/>
      <c r="S7" s="48">
        <v>0</v>
      </c>
      <c r="T7" s="21">
        <f t="shared" si="4"/>
        <v>36200</v>
      </c>
      <c r="U7" s="53">
        <f>IF($J7="","",ROUND(($J7-$J$3)/1000,1)+(_xlfn.RANK.AVG($J7,($J7,$O7,$T7),1)-2)*10)</f>
        <v>-19.600000000000001</v>
      </c>
      <c r="V7" s="54">
        <f>IF($O7="","",ROUND(($O7-$O$3)/1000,1)+(_xlfn.RANK.AVG($O7,($J7,$O7,$T7),1)-2)*10)</f>
        <v>18.399999999999999</v>
      </c>
      <c r="W7" s="55">
        <f>IF($T7="","",ROUND(($T7-$T$3)/1000,1)+(_xlfn.RANK.AVG($T7,($J7,$O7,$T7),1)-2)*10)</f>
        <v>1.2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3</v>
      </c>
      <c r="AY7" s="30">
        <v>40</v>
      </c>
      <c r="AZ7" s="40" t="s">
        <v>98</v>
      </c>
      <c r="BA7" s="41" t="s">
        <v>86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217</v>
      </c>
      <c r="F8" s="8" t="s">
        <v>201</v>
      </c>
      <c r="G8" s="9">
        <v>-600</v>
      </c>
      <c r="H8" s="9"/>
      <c r="I8" s="48">
        <v>0</v>
      </c>
      <c r="J8" s="21">
        <f t="shared" si="2"/>
        <v>24800</v>
      </c>
      <c r="K8" s="8" t="s">
        <v>201</v>
      </c>
      <c r="L8" s="9">
        <v>-900</v>
      </c>
      <c r="M8" s="9"/>
      <c r="N8" s="48">
        <v>0</v>
      </c>
      <c r="O8" s="21">
        <f t="shared" si="3"/>
        <v>42500</v>
      </c>
      <c r="P8" s="8" t="s">
        <v>202</v>
      </c>
      <c r="Q8" s="9">
        <v>1500</v>
      </c>
      <c r="R8" s="9"/>
      <c r="S8" s="48">
        <v>0</v>
      </c>
      <c r="T8" s="21">
        <f t="shared" si="4"/>
        <v>37700</v>
      </c>
      <c r="U8" s="53">
        <f>IF($J8="","",ROUND(($J8-$J$3)/1000,1)+(_xlfn.RANK.AVG($J8,($J8,$O8,$T8),1)-2)*10)</f>
        <v>-20.2</v>
      </c>
      <c r="V8" s="54">
        <f>IF($O8="","",ROUND(($O8-$O$3)/1000,1)+(_xlfn.RANK.AVG($O8,($J8,$O8,$T8),1)-2)*10)</f>
        <v>17.5</v>
      </c>
      <c r="W8" s="55">
        <f>IF($T8="","",ROUND(($T8-$T$3)/1000,1)+(_xlfn.RANK.AVG($T8,($J8,$O8,$T8),1)-2)*10)</f>
        <v>2.7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1</v>
      </c>
      <c r="BT8" s="30">
        <v>40</v>
      </c>
      <c r="BU8" s="40" t="s">
        <v>93</v>
      </c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201</v>
      </c>
      <c r="G9" s="9">
        <v>-9000</v>
      </c>
      <c r="H9" s="9"/>
      <c r="I9" s="48">
        <v>0</v>
      </c>
      <c r="J9" s="21">
        <f t="shared" si="2"/>
        <v>15800</v>
      </c>
      <c r="K9" s="8" t="s">
        <v>201</v>
      </c>
      <c r="L9" s="9">
        <v>-9000</v>
      </c>
      <c r="M9" s="9"/>
      <c r="N9" s="48">
        <v>0</v>
      </c>
      <c r="O9" s="21">
        <f t="shared" si="3"/>
        <v>33500</v>
      </c>
      <c r="P9" s="8" t="s">
        <v>202</v>
      </c>
      <c r="Q9" s="9">
        <v>18000</v>
      </c>
      <c r="R9" s="9"/>
      <c r="S9" s="48">
        <v>0</v>
      </c>
      <c r="T9" s="21">
        <f t="shared" si="4"/>
        <v>55700</v>
      </c>
      <c r="U9" s="53">
        <f>IF($J9="","",ROUND(($J9-$J$3)/1000,1)+(_xlfn.RANK.AVG($J9,($J9,$O9,$T9),1)-2)*10)</f>
        <v>-29.2</v>
      </c>
      <c r="V9" s="54">
        <f>IF($O9="","",ROUND(($O9-$O$3)/1000,1)+(_xlfn.RANK.AVG($O9,($J9,$O9,$T9),1)-2)*10)</f>
        <v>-1.5</v>
      </c>
      <c r="W9" s="55">
        <f>IF($T9="","",ROUND(($T9-$T$3)/1000,1)+(_xlfn.RANK.AVG($T9,($J9,$O9,$T9),1)-2)*10)</f>
        <v>30.7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6</v>
      </c>
      <c r="BT9" s="30" t="s">
        <v>203</v>
      </c>
      <c r="BU9" s="40" t="s">
        <v>200</v>
      </c>
      <c r="BV9" s="41" t="s">
        <v>82</v>
      </c>
      <c r="BW9" s="41" t="s">
        <v>204</v>
      </c>
      <c r="BX9" s="41" t="s">
        <v>204</v>
      </c>
      <c r="BY9" s="41" t="s">
        <v>80</v>
      </c>
      <c r="BZ9" s="41" t="s">
        <v>80</v>
      </c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">
        <v>193</v>
      </c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2CB7952D-49AC-425A-86CE-E02EAEE622C9}">
      <formula1>"たかの,だいち,ただ,りくと,れんたろう,まっつん,のり,ぱぱ,ほたに,いっしー,ともき,たか,ゆう,"</formula1>
    </dataValidation>
    <dataValidation type="list" allowBlank="1" showInputMessage="1" showErrorMessage="1" sqref="E4:E30" xr:uid="{1BC37C91-13A1-45A0-8FB4-ECE103240931}">
      <formula1>$U$2:$W$2</formula1>
    </dataValidation>
    <dataValidation type="list" showInputMessage="1" showErrorMessage="1" sqref="K4:K30 P4:P30 F4:F30" xr:uid="{430A56B2-29E6-4431-ABAD-EAD38CE550DA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Sheet1</vt:lpstr>
      <vt:lpstr>Sheet2</vt:lpstr>
      <vt:lpstr>Sheet3</vt:lpstr>
      <vt:lpstr>Sheet4</vt:lpstr>
      <vt:lpstr>Sheet6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2020-01-05T15:29:33Z</dcterms:modified>
</cp:coreProperties>
</file>