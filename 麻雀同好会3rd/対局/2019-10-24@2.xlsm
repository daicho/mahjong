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A3EF813A-2117-419C-A5C4-7B35EE464830}" xr6:coauthVersionLast="41" xr6:coauthVersionMax="41" xr10:uidLastSave="{00000000-0000-0000-0000-000000000000}"/>
  <bookViews>
    <workbookView xWindow="45" yWindow="3360" windowWidth="21600" windowHeight="11835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9" i="21"/>
  <c r="D10" i="21" s="1"/>
  <c r="D11" i="21" s="1"/>
  <c r="D8" i="21"/>
  <c r="C8" i="21"/>
  <c r="C9" i="21" s="1"/>
  <c r="C10" i="21" s="1"/>
  <c r="C11" i="21" s="1"/>
  <c r="D7" i="21"/>
  <c r="D6" i="21"/>
  <c r="C6" i="21"/>
  <c r="C7" i="21" s="1"/>
  <c r="B6" i="21"/>
  <c r="B7" i="21" s="1"/>
  <c r="J5" i="21"/>
  <c r="D5" i="21"/>
  <c r="C5" i="21"/>
  <c r="B5" i="21"/>
  <c r="A6" i="21" s="1"/>
  <c r="A5" i="2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5" i="21" l="1"/>
  <c r="A7" i="21"/>
  <c r="B8" i="21"/>
  <c r="A8" i="21" s="1"/>
  <c r="O5" i="21"/>
  <c r="T5" i="21"/>
  <c r="J6" i="21"/>
  <c r="W4" i="20"/>
  <c r="B7" i="20"/>
  <c r="U4" i="20"/>
  <c r="V4" i="20"/>
  <c r="T5" i="20"/>
  <c r="V5" i="20" s="1"/>
  <c r="J6" i="20"/>
  <c r="O6" i="20"/>
  <c r="A5" i="20"/>
  <c r="A6" i="20"/>
  <c r="W3" i="19"/>
  <c r="V3" i="19"/>
  <c r="U3" i="19"/>
  <c r="U6" i="21" l="1"/>
  <c r="J7" i="21"/>
  <c r="V5" i="21"/>
  <c r="O6" i="21"/>
  <c r="W5" i="21"/>
  <c r="T6" i="21"/>
  <c r="B9" i="21"/>
  <c r="A9" i="21"/>
  <c r="O7" i="20"/>
  <c r="J7" i="20"/>
  <c r="W5" i="20"/>
  <c r="T6" i="20"/>
  <c r="U6" i="20" s="1"/>
  <c r="B8" i="20"/>
  <c r="A8" i="20" s="1"/>
  <c r="A7" i="20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W7" i="19" s="1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1" l="1"/>
  <c r="A10" i="21" s="1"/>
  <c r="W6" i="21"/>
  <c r="T7" i="21"/>
  <c r="V6" i="21"/>
  <c r="O7" i="21"/>
  <c r="U7" i="21"/>
  <c r="J8" i="21"/>
  <c r="V6" i="20"/>
  <c r="B9" i="20"/>
  <c r="W6" i="20"/>
  <c r="T7" i="20"/>
  <c r="U7" i="20" s="1"/>
  <c r="J8" i="20"/>
  <c r="O8" i="20"/>
  <c r="W11" i="19"/>
  <c r="V11" i="19"/>
  <c r="V10" i="19"/>
  <c r="U10" i="19"/>
  <c r="W10" i="19"/>
  <c r="U9" i="19"/>
  <c r="V9" i="19"/>
  <c r="W8" i="19"/>
  <c r="U8" i="19"/>
  <c r="V8" i="19"/>
  <c r="U7" i="19"/>
  <c r="U6" i="19"/>
  <c r="V6" i="19"/>
  <c r="W6" i="19"/>
  <c r="U4" i="19"/>
  <c r="V4" i="19"/>
  <c r="T5" i="19"/>
  <c r="W4" i="19"/>
  <c r="J5" i="19"/>
  <c r="O5" i="19"/>
  <c r="B11" i="21" l="1"/>
  <c r="A11" i="21" s="1"/>
  <c r="J9" i="21"/>
  <c r="O8" i="21"/>
  <c r="V7" i="21"/>
  <c r="T8" i="21"/>
  <c r="W7" i="21"/>
  <c r="V7" i="20"/>
  <c r="V8" i="20"/>
  <c r="O9" i="20"/>
  <c r="J9" i="20"/>
  <c r="U8" i="20"/>
  <c r="W7" i="20"/>
  <c r="T8" i="20"/>
  <c r="B10" i="20"/>
  <c r="A10" i="20" s="1"/>
  <c r="A9" i="20"/>
  <c r="W5" i="19"/>
  <c r="V5" i="19"/>
  <c r="U5" i="19"/>
  <c r="W8" i="21" l="1"/>
  <c r="T9" i="21"/>
  <c r="V8" i="21"/>
  <c r="O9" i="21"/>
  <c r="U8" i="21"/>
  <c r="U9" i="21"/>
  <c r="J10" i="21"/>
  <c r="B11" i="20"/>
  <c r="A11" i="20" s="1"/>
  <c r="W8" i="20"/>
  <c r="T9" i="20"/>
  <c r="U9" i="20"/>
  <c r="J10" i="20"/>
  <c r="V9" i="20"/>
  <c r="O10" i="20"/>
  <c r="U10" i="21" l="1"/>
  <c r="J11" i="21"/>
  <c r="V9" i="21"/>
  <c r="O10" i="21"/>
  <c r="W9" i="21"/>
  <c r="T10" i="21"/>
  <c r="O11" i="20"/>
  <c r="J11" i="20"/>
  <c r="W9" i="20"/>
  <c r="T10" i="20"/>
  <c r="U10" i="20" s="1"/>
  <c r="W10" i="21" l="1"/>
  <c r="T11" i="21"/>
  <c r="W11" i="21" s="1"/>
  <c r="V10" i="21"/>
  <c r="O11" i="21"/>
  <c r="V11" i="21" s="1"/>
  <c r="U11" i="21"/>
  <c r="W10" i="20"/>
  <c r="T11" i="20"/>
  <c r="U11" i="20"/>
  <c r="V11" i="20"/>
  <c r="V10" i="20"/>
  <c r="W11" i="20" l="1"/>
</calcChain>
</file>

<file path=xl/sharedStrings.xml><?xml version="1.0" encoding="utf-8"?>
<sst xmlns="http://schemas.openxmlformats.org/spreadsheetml/2006/main" count="743" uniqueCount="214">
  <si>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</si>
  <si>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</si>
  <si>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</si>
  <si>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</si>
  <si>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</si>
  <si>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</si>
  <si>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</si>
  <si>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</si>
  <si>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</si>
  <si>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</si>
  <si>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</si>
  <si>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</si>
  <si>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</si>
  <si>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</si>
  <si>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</si>
  <si>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</si>
  <si>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</si>
  <si>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</si>
  <si>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</si>
  <si>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</si>
  <si>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</si>
  <si>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</si>
  <si>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</si>
  <si>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</si>
  <si>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</si>
  <si>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</si>
  <si>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</si>
  <si>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</si>
  <si>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</si>
  <si>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</si>
  <si>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</si>
  <si>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</si>
  <si>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</si>
  <si>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</si>
  <si>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</si>
  <si>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</si>
  <si>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</si>
  <si>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</si>
  <si>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</si>
  <si>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</si>
  <si>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</si>
  <si>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</si>
  <si>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</si>
  <si>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</si>
  <si>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</si>
  <si>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</si>
  <si>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</si>
  <si>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</si>
  <si>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</si>
  <si>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</si>
  <si>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</si>
  <si>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</si>
  <si>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</si>
  <si>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</si>
  <si>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</si>
  <si>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</si>
  <si>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</si>
  <si>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</si>
  <si>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</si>
  <si>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</si>
  <si>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</si>
  <si>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</si>
  <si>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</si>
  <si>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</si>
  <si>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</si>
  <si>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</si>
  <si>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</si>
  <si>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</si>
  <si>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</si>
  <si>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</si>
  <si>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</si>
  <si>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</si>
  <si>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</si>
  <si>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</si>
  <si>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</si>
  <si>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</si>
  <si>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</si>
  <si>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</si>
  <si>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</si>
  <si>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</si>
  <si>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</si>
  <si>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</si>
  <si>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</si>
  <si>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</si>
  <si>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</si>
  <si>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</si>
  <si>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</si>
  <si>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</si>
  <si>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</si>
  <si>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</si>
  <si>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</si>
  <si>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</si>
  <si>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</si>
  <si>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</si>
  <si>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</si>
  <si>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</si>
  <si>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</si>
  <si>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</si>
  <si>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</si>
  <si>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</si>
  <si>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</si>
  <si>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</si>
  <si>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</si>
  <si>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</si>
  <si>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</si>
  <si>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</si>
  <si>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</si>
  <si>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</si>
  <si>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</si>
  <si>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</si>
  <si>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</si>
  <si>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</si>
  <si>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</si>
  <si>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</si>
  <si>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</si>
  <si>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</si>
  <si>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</si>
  <si>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</si>
  <si>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</si>
  <si>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</si>
  <si>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</si>
  <si>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</si>
  <si>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</si>
  <si>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</si>
  <si>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</si>
  <si>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</si>
  <si>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</si>
  <si>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</si>
  <si>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</si>
  <si>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</si>
  <si>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</si>
  <si>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</si>
  <si>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</si>
  <si>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</si>
  <si>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</si>
  <si>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</si>
  <si>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</si>
  <si>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</si>
  <si>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</si>
  <si>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</si>
  <si>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</si>
  <si>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</si>
  <si>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</si>
  <si>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</si>
  <si>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</si>
  <si>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</si>
  <si>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</si>
  <si>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</si>
  <si>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</si>
  <si>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</si>
  <si>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</si>
  <si>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</si>
  <si>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</si>
  <si>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</si>
  <si>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</si>
  <si>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</si>
  <si>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</si>
  <si>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</si>
  <si>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</si>
  <si>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</si>
  <si>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</si>
  <si>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</si>
  <si>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</si>
  <si>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</si>
  <si>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</si>
  <si>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</si>
  <si>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</si>
  <si>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</si>
  <si>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</si>
  <si>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</si>
  <si>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</si>
  <si>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</si>
  <si>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</si>
  <si>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</si>
  <si>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</si>
  <si>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</si>
  <si>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</si>
  <si>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</si>
  <si>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</si>
  <si>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</si>
  <si>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</si>
  <si>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</si>
  <si>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</si>
  <si>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</si>
  <si>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</si>
  <si>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</si>
  <si>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</si>
  <si>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</si>
  <si>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</si>
  <si>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</si>
  <si>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</si>
  <si>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</si>
  <si>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</si>
  <si>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</si>
  <si>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</si>
  <si>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ただ</t>
  </si>
  <si>
    <t>ただ</t>
    <phoneticPr fontId="1"/>
  </si>
  <si>
    <t>ロン</t>
  </si>
  <si>
    <t>放銃</t>
  </si>
  <si>
    <t>01</t>
  </si>
  <si>
    <t>ツモ支払</t>
  </si>
  <si>
    <t>ツモ</t>
  </si>
  <si>
    <t>*</t>
  </si>
  <si>
    <t>T</t>
  </si>
  <si>
    <t>流局</t>
    <phoneticPr fontId="1"/>
  </si>
  <si>
    <t>51</t>
  </si>
  <si>
    <t>02</t>
  </si>
  <si>
    <t>のり</t>
  </si>
  <si>
    <t>のり</t>
    <phoneticPr fontId="1"/>
  </si>
  <si>
    <t>まっつん</t>
  </si>
  <si>
    <t>まっつん</t>
    <phoneticPr fontId="1"/>
  </si>
  <si>
    <t>52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</si>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</sst>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="64" zoomScaleNormal="64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>
        <v>-1000</v>
      </c>
      <c r="I5" s="48"/>
      <c r="J5" s="21">
        <f t="shared" ref="J5:J30" si="2">IF(COUNTA($F5,$K5,$P5)&gt;0,J4+SUM(G5:I5),"")</f>
        <v>36000</v>
      </c>
      <c r="K5" s="8" t="s">
        <v>197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42700</v>
      </c>
      <c r="P5" s="8" t="s">
        <v>198</v>
      </c>
      <c r="Q5" s="9">
        <v>-7700</v>
      </c>
      <c r="R5" s="9"/>
      <c r="S5" s="48">
        <v>-1000</v>
      </c>
      <c r="T5" s="21">
        <f t="shared" ref="T5:T30" si="4">IF(COUNTA($F5,$K5,$P5)&gt;0,T4+SUM(Q5:S5),"")</f>
        <v>26300</v>
      </c>
      <c r="U5" s="53">
        <f>IF($J5="","",ROUND(($J5-$J$3)/1000,1)+(_xlfn.RANK.AVG($J5,($J5,$O5,$T5),1)-2)*10)</f>
        <v>1</v>
      </c>
      <c r="V5" s="54">
        <f>IF($O5="","",ROUND(($O5-$O$3)/1000,1)+(_xlfn.RANK.AVG($O5,($J5,$O5,$T5),1)-2)*10)</f>
        <v>17.7</v>
      </c>
      <c r="W5" s="55">
        <f>IF($T5="","",ROUND(($T5-$T$3)/1000,1)+(_xlfn.RANK.AVG($T5,($J5,$O5,$T5),1)-2)*10)</f>
        <v>-18.7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199</v>
      </c>
      <c r="BA5" s="41" t="s">
        <v>83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-6000</v>
      </c>
      <c r="H6" s="9"/>
      <c r="I6" s="48">
        <v>0</v>
      </c>
      <c r="J6" s="21">
        <f t="shared" si="2"/>
        <v>30000</v>
      </c>
      <c r="K6" s="8" t="s">
        <v>200</v>
      </c>
      <c r="L6" s="9">
        <v>-10000</v>
      </c>
      <c r="M6" s="9"/>
      <c r="N6" s="48">
        <v>0</v>
      </c>
      <c r="O6" s="21">
        <f t="shared" si="3"/>
        <v>32700</v>
      </c>
      <c r="P6" s="8" t="s">
        <v>201</v>
      </c>
      <c r="Q6" s="9">
        <v>16000</v>
      </c>
      <c r="R6" s="9"/>
      <c r="S6" s="48">
        <v>0</v>
      </c>
      <c r="T6" s="21">
        <f t="shared" si="4"/>
        <v>42300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-2.2999999999999998</v>
      </c>
      <c r="W6" s="55">
        <f>IF($T6="","",ROUND(($T6-$T$3)/1000,1)+(_xlfn.RANK.AVG($T6,($J6,$O6,$T6),1)-2)*10)</f>
        <v>17.3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8</v>
      </c>
      <c r="BT6" s="30" t="s">
        <v>202</v>
      </c>
      <c r="BU6" s="40" t="s">
        <v>104</v>
      </c>
      <c r="BV6" s="41" t="s">
        <v>86</v>
      </c>
      <c r="BW6" s="41" t="s">
        <v>86</v>
      </c>
      <c r="BX6" s="41" t="s">
        <v>82</v>
      </c>
      <c r="BY6" s="41" t="s">
        <v>96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-12000</v>
      </c>
      <c r="H7" s="9"/>
      <c r="I7" s="48">
        <v>0</v>
      </c>
      <c r="J7" s="21">
        <f t="shared" si="2"/>
        <v>18000</v>
      </c>
      <c r="K7" s="8" t="s">
        <v>197</v>
      </c>
      <c r="L7" s="9">
        <v>12000</v>
      </c>
      <c r="M7" s="9"/>
      <c r="N7" s="48">
        <v>0</v>
      </c>
      <c r="O7" s="21">
        <f t="shared" si="3"/>
        <v>44700</v>
      </c>
      <c r="P7" s="8"/>
      <c r="Q7" s="9"/>
      <c r="R7" s="9"/>
      <c r="S7" s="48"/>
      <c r="T7" s="21">
        <f t="shared" si="4"/>
        <v>42300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19.7</v>
      </c>
      <c r="W7" s="55">
        <f>IF($T7="","",ROUND(($T7-$T$3)/1000,1)+(_xlfn.RANK.AVG($T7,($J7,$O7,$T7),1)-2)*10)</f>
        <v>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199</v>
      </c>
      <c r="BA7" s="41" t="s">
        <v>84</v>
      </c>
      <c r="BB7" s="41" t="s">
        <v>104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-2500</v>
      </c>
      <c r="H8" s="9"/>
      <c r="I8" s="48">
        <v>0</v>
      </c>
      <c r="J8" s="21">
        <f t="shared" si="2"/>
        <v>15500</v>
      </c>
      <c r="K8" s="8" t="s">
        <v>200</v>
      </c>
      <c r="L8" s="9">
        <v>-1500</v>
      </c>
      <c r="M8" s="9"/>
      <c r="N8" s="48">
        <v>0</v>
      </c>
      <c r="O8" s="21">
        <f t="shared" si="3"/>
        <v>43200</v>
      </c>
      <c r="P8" s="8" t="s">
        <v>201</v>
      </c>
      <c r="Q8" s="9">
        <v>4000</v>
      </c>
      <c r="R8" s="9"/>
      <c r="S8" s="48">
        <v>0</v>
      </c>
      <c r="T8" s="21">
        <f t="shared" si="4"/>
        <v>46300</v>
      </c>
      <c r="U8" s="53">
        <f>IF($J8="","",ROUND(($J8-$J$3)/1000,1)+(_xlfn.RANK.AVG($J8,($J8,$O8,$T8),1)-2)*10)</f>
        <v>-29.5</v>
      </c>
      <c r="V8" s="54">
        <f>IF($O8="","",ROUND(($O8-$O$3)/1000,1)+(_xlfn.RANK.AVG($O8,($J8,$O8,$T8),1)-2)*10)</f>
        <v>8.1999999999999993</v>
      </c>
      <c r="W8" s="55">
        <f>IF($T8="","",ROUND(($T8-$T$3)/1000,1)+(_xlfn.RANK.AVG($T8,($J8,$O8,$T8),1)-2)*10)</f>
        <v>21.3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199</v>
      </c>
      <c r="BV8" s="41" t="s">
        <v>82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0</v>
      </c>
      <c r="H9" s="9">
        <v>-1000</v>
      </c>
      <c r="I9" s="48"/>
      <c r="J9" s="21">
        <f t="shared" si="2"/>
        <v>14500</v>
      </c>
      <c r="K9" s="8" t="s">
        <v>204</v>
      </c>
      <c r="L9" s="9">
        <v>0</v>
      </c>
      <c r="M9" s="9"/>
      <c r="N9" s="48"/>
      <c r="O9" s="21">
        <f t="shared" si="3"/>
        <v>43200</v>
      </c>
      <c r="P9" s="8" t="s">
        <v>204</v>
      </c>
      <c r="Q9" s="9">
        <v>0</v>
      </c>
      <c r="R9" s="9"/>
      <c r="S9" s="48"/>
      <c r="T9" s="21">
        <f t="shared" si="4"/>
        <v>46300</v>
      </c>
      <c r="U9" s="53">
        <f>IF($J9="","",ROUND(($J9-$J$3)/1000,1)+(_xlfn.RANK.AVG($J9,($J9,$O9,$T9),1)-2)*10)</f>
        <v>-30.5</v>
      </c>
      <c r="V9" s="54">
        <f>IF($O9="","",ROUND(($O9-$O$3)/1000,1)+(_xlfn.RANK.AVG($O9,($J9,$O9,$T9),1)-2)*10)</f>
        <v>8.1999999999999993</v>
      </c>
      <c r="W9" s="55">
        <f>IF($T9="","",ROUND(($T9-$T$3)/1000,1)+(_xlfn.RANK.AVG($T9,($J9,$O9,$T9),1)-2)*10)</f>
        <v>21.3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193</v>
      </c>
      <c r="F10" s="8" t="s">
        <v>200</v>
      </c>
      <c r="G10" s="9">
        <v>-600</v>
      </c>
      <c r="H10" s="9"/>
      <c r="I10" s="48">
        <v>-500</v>
      </c>
      <c r="J10" s="21">
        <f t="shared" si="2"/>
        <v>13400</v>
      </c>
      <c r="K10" s="8" t="s">
        <v>200</v>
      </c>
      <c r="L10" s="9">
        <v>-900</v>
      </c>
      <c r="M10" s="9"/>
      <c r="N10" s="48">
        <v>-500</v>
      </c>
      <c r="O10" s="21">
        <f t="shared" si="3"/>
        <v>41800</v>
      </c>
      <c r="P10" s="8" t="s">
        <v>201</v>
      </c>
      <c r="Q10" s="9">
        <v>1500</v>
      </c>
      <c r="R10" s="9">
        <v>1000</v>
      </c>
      <c r="S10" s="48">
        <v>1000</v>
      </c>
      <c r="T10" s="21">
        <f t="shared" si="4"/>
        <v>49800</v>
      </c>
      <c r="U10" s="53">
        <f>IF($J10="","",ROUND(($J10-$J$3)/1000,1)+(_xlfn.RANK.AVG($J10,($J10,$O10,$T10),1)-2)*10)</f>
        <v>-31.6</v>
      </c>
      <c r="V10" s="54">
        <f>IF($O10="","",ROUND(($O10-$O$3)/1000,1)+(_xlfn.RANK.AVG($O10,($J10,$O10,$T10),1)-2)*10)</f>
        <v>6.8</v>
      </c>
      <c r="W10" s="55">
        <f>IF($T10="","",ROUND(($T10-$T$3)/1000,1)+(_xlfn.RANK.AVG($T10,($J10,$O10,$T10),1)-2)*10)</f>
        <v>24.8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40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200</v>
      </c>
      <c r="G11" s="9">
        <v>-4500</v>
      </c>
      <c r="H11" s="9"/>
      <c r="I11" s="48">
        <v>0</v>
      </c>
      <c r="J11" s="21">
        <f t="shared" si="2"/>
        <v>8900</v>
      </c>
      <c r="K11" s="8" t="s">
        <v>201</v>
      </c>
      <c r="L11" s="9">
        <v>12000</v>
      </c>
      <c r="M11" s="9"/>
      <c r="N11" s="48">
        <v>0</v>
      </c>
      <c r="O11" s="21">
        <f t="shared" si="3"/>
        <v>53800</v>
      </c>
      <c r="P11" s="8" t="s">
        <v>200</v>
      </c>
      <c r="Q11" s="9">
        <v>-7500</v>
      </c>
      <c r="R11" s="9"/>
      <c r="S11" s="48">
        <v>0</v>
      </c>
      <c r="T11" s="21">
        <f t="shared" si="4"/>
        <v>42300</v>
      </c>
      <c r="U11" s="53">
        <f>IF($J11="","",ROUND(($J11-$J$3)/1000,1)+(_xlfn.RANK.AVG($J11,($J11,$O11,$T11),1)-2)*10)</f>
        <v>-36.1</v>
      </c>
      <c r="V11" s="54">
        <f>IF($O11="","",ROUND(($O11-$O$3)/1000,1)+(_xlfn.RANK.AVG($O11,($J11,$O11,$T11),1)-2)*10)</f>
        <v>28.8</v>
      </c>
      <c r="W11" s="55">
        <f>IF($T11="","",ROUND(($T11-$T$3)/1000,1)+(_xlfn.RANK.AVG($T11,($J11,$O11,$T11),1)-2)*10)</f>
        <v>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202</v>
      </c>
      <c r="AZ11" s="40" t="s">
        <v>205</v>
      </c>
      <c r="BA11" s="41" t="s">
        <v>82</v>
      </c>
      <c r="BB11" s="41" t="s">
        <v>206</v>
      </c>
      <c r="BC11" s="41" t="s">
        <v>83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44A9795-A2F9-47F6-80C3-33088B5A6C6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AE287-DF70-4EBC-BEA5-6BBCCDCC8643}">
  <sheetPr codeName="Sheet11">
    <pageSetUpPr fitToPage="1"/>
  </sheetPr>
  <dimension ref="A1:CI30"/>
  <sheetViews>
    <sheetView zoomScale="64" zoomScaleNormal="64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のり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201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200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/>
      <c r="AC4" s="26">
        <v>5</v>
      </c>
      <c r="AD4" s="30" t="s">
        <v>202</v>
      </c>
      <c r="AE4" s="40" t="s">
        <v>82</v>
      </c>
      <c r="AF4" s="41" t="s">
        <v>211</v>
      </c>
      <c r="AG4" s="41" t="s">
        <v>102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200</v>
      </c>
      <c r="G5" s="9">
        <v>-7500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201</v>
      </c>
      <c r="L5" s="9">
        <v>12000</v>
      </c>
      <c r="M5" s="9"/>
      <c r="N5" s="48">
        <v>1000</v>
      </c>
      <c r="O5" s="21">
        <f t="shared" ref="O5:O30" si="3">IF(COUNTA($F5,$K5,$P5)&gt;0,O4+SUM(L5:N5),"")</f>
        <v>42000</v>
      </c>
      <c r="P5" s="8" t="s">
        <v>200</v>
      </c>
      <c r="Q5" s="9">
        <v>-4500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202</v>
      </c>
      <c r="AZ5" s="40" t="s">
        <v>86</v>
      </c>
      <c r="BA5" s="41" t="s">
        <v>86</v>
      </c>
      <c r="BB5" s="41" t="s">
        <v>211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213</v>
      </c>
      <c r="G6" s="9">
        <v>3000</v>
      </c>
      <c r="H6" s="9">
        <v>-1000</v>
      </c>
      <c r="I6" s="48"/>
      <c r="J6" s="21">
        <f t="shared" si="2"/>
        <v>41000</v>
      </c>
      <c r="K6" s="8" t="s">
        <v>213</v>
      </c>
      <c r="L6" s="9">
        <v>-1500</v>
      </c>
      <c r="M6" s="9"/>
      <c r="N6" s="48"/>
      <c r="O6" s="21">
        <f t="shared" si="3"/>
        <v>40500</v>
      </c>
      <c r="P6" s="8" t="s">
        <v>213</v>
      </c>
      <c r="Q6" s="9">
        <v>-1500</v>
      </c>
      <c r="R6" s="9"/>
      <c r="S6" s="48"/>
      <c r="T6" s="21">
        <f t="shared" si="4"/>
        <v>22500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5.5</v>
      </c>
      <c r="W6" s="55">
        <f>IF($T6="","",ROUND(($T6-$T$3)/1000,1)+(_xlfn.RANK.AVG($T6,($J6,$O6,$T6),1)-2)*10)</f>
        <v>-22.5</v>
      </c>
      <c r="Y6" s="8" t="s">
        <v>203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212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212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197</v>
      </c>
      <c r="G7" s="9">
        <v>2600</v>
      </c>
      <c r="H7" s="9">
        <v>1000</v>
      </c>
      <c r="I7" s="48">
        <v>1000</v>
      </c>
      <c r="J7" s="21">
        <f t="shared" si="2"/>
        <v>45600</v>
      </c>
      <c r="K7" s="8" t="s">
        <v>198</v>
      </c>
      <c r="L7" s="9">
        <v>-2600</v>
      </c>
      <c r="M7" s="9"/>
      <c r="N7" s="48">
        <v>-1000</v>
      </c>
      <c r="O7" s="21">
        <f t="shared" si="3"/>
        <v>36900</v>
      </c>
      <c r="P7" s="8"/>
      <c r="Q7" s="9"/>
      <c r="R7" s="9"/>
      <c r="S7" s="48"/>
      <c r="T7" s="21">
        <f t="shared" si="4"/>
        <v>22500</v>
      </c>
      <c r="U7" s="53">
        <f>IF($J7="","",ROUND(($J7-$J$3)/1000,1)+(_xlfn.RANK.AVG($J7,($J7,$O7,$T7),1)-2)*10)</f>
        <v>20.6</v>
      </c>
      <c r="V7" s="54">
        <f>IF($O7="","",ROUND(($O7-$O$3)/1000,1)+(_xlfn.RANK.AVG($O7,($J7,$O7,$T7),1)-2)*10)</f>
        <v>1.9</v>
      </c>
      <c r="W7" s="55">
        <f>IF($T7="","",ROUND(($T7-$T$3)/1000,1)+(_xlfn.RANK.AVG($T7,($J7,$O7,$T7),1)-2)*10)</f>
        <v>-22.5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197</v>
      </c>
      <c r="G8" s="9">
        <v>2900</v>
      </c>
      <c r="H8" s="9">
        <v>1000</v>
      </c>
      <c r="I8" s="48">
        <v>0</v>
      </c>
      <c r="J8" s="21">
        <f t="shared" si="2"/>
        <v>49500</v>
      </c>
      <c r="K8" s="8" t="s">
        <v>198</v>
      </c>
      <c r="L8" s="9">
        <v>-2900</v>
      </c>
      <c r="M8" s="9">
        <v>-1000</v>
      </c>
      <c r="N8" s="48">
        <v>0</v>
      </c>
      <c r="O8" s="21">
        <f t="shared" si="3"/>
        <v>33000</v>
      </c>
      <c r="P8" s="8"/>
      <c r="Q8" s="9"/>
      <c r="R8" s="9"/>
      <c r="S8" s="48"/>
      <c r="T8" s="21">
        <f t="shared" si="4"/>
        <v>22500</v>
      </c>
      <c r="U8" s="53">
        <f>IF($J8="","",ROUND(($J8-$J$3)/1000,1)+(_xlfn.RANK.AVG($J8,($J8,$O8,$T8),1)-2)*10)</f>
        <v>24.5</v>
      </c>
      <c r="V8" s="54">
        <f>IF($O8="","",ROUND(($O8-$O$3)/1000,1)+(_xlfn.RANK.AVG($O8,($J8,$O8,$T8),1)-2)*10)</f>
        <v>-2</v>
      </c>
      <c r="W8" s="55">
        <f>IF($T8="","",ROUND(($T8-$T$3)/1000,1)+(_xlfn.RANK.AVG($T8,($J8,$O8,$T8),1)-2)*10)</f>
        <v>-22.5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199</v>
      </c>
      <c r="AF8" s="41" t="s">
        <v>83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209</v>
      </c>
      <c r="F9" s="8" t="s">
        <v>213</v>
      </c>
      <c r="G9" s="9">
        <v>-1500</v>
      </c>
      <c r="H9" s="9"/>
      <c r="I9" s="48"/>
      <c r="J9" s="21">
        <f t="shared" si="2"/>
        <v>48000</v>
      </c>
      <c r="K9" s="8" t="s">
        <v>213</v>
      </c>
      <c r="L9" s="9">
        <v>-1500</v>
      </c>
      <c r="M9" s="9"/>
      <c r="N9" s="48"/>
      <c r="O9" s="21">
        <f t="shared" si="3"/>
        <v>31500</v>
      </c>
      <c r="P9" s="8" t="s">
        <v>213</v>
      </c>
      <c r="Q9" s="9">
        <v>3000</v>
      </c>
      <c r="R9" s="9">
        <v>-1000</v>
      </c>
      <c r="S9" s="48"/>
      <c r="T9" s="21">
        <f t="shared" si="4"/>
        <v>24500</v>
      </c>
      <c r="U9" s="53">
        <f>IF($J9="","",ROUND(($J9-$J$3)/1000,1)+(_xlfn.RANK.AVG($J9,($J9,$O9,$T9),1)-2)*10)</f>
        <v>23</v>
      </c>
      <c r="V9" s="54">
        <f>IF($O9="","",ROUND(($O9-$O$3)/1000,1)+(_xlfn.RANK.AVG($O9,($J9,$O9,$T9),1)-2)*10)</f>
        <v>-3.5</v>
      </c>
      <c r="W9" s="55">
        <f>IF($T9="","",ROUND(($T9-$T$3)/1000,1)+(_xlfn.RANK.AVG($T9,($J9,$O9,$T9),1)-2)*10)</f>
        <v>-20.5</v>
      </c>
      <c r="Y9" s="8" t="s">
        <v>212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212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207</v>
      </c>
      <c r="F10" s="8" t="s">
        <v>213</v>
      </c>
      <c r="G10" s="9">
        <v>-1500</v>
      </c>
      <c r="H10" s="9"/>
      <c r="I10" s="48"/>
      <c r="J10" s="21">
        <f t="shared" si="2"/>
        <v>46500</v>
      </c>
      <c r="K10" s="8" t="s">
        <v>213</v>
      </c>
      <c r="L10" s="9">
        <v>-1500</v>
      </c>
      <c r="M10" s="9"/>
      <c r="N10" s="48"/>
      <c r="O10" s="21">
        <f t="shared" si="3"/>
        <v>30000</v>
      </c>
      <c r="P10" s="8" t="s">
        <v>213</v>
      </c>
      <c r="Q10" s="9">
        <v>3000</v>
      </c>
      <c r="R10" s="9">
        <v>-1000</v>
      </c>
      <c r="S10" s="48"/>
      <c r="T10" s="21">
        <f t="shared" si="4"/>
        <v>26500</v>
      </c>
      <c r="U10" s="53">
        <f>IF($J10="","",ROUND(($J10-$J$3)/1000,1)+(_xlfn.RANK.AVG($J10,($J10,$O10,$T10),1)-2)*10)</f>
        <v>21.5</v>
      </c>
      <c r="V10" s="54">
        <f>IF($O10="","",ROUND(($O10-$O$3)/1000,1)+(_xlfn.RANK.AVG($O10,($J10,$O10,$T10),1)-2)*10)</f>
        <v>-5</v>
      </c>
      <c r="W10" s="55">
        <f>IF($T10="","",ROUND(($T10-$T$3)/1000,1)+(_xlfn.RANK.AVG($T10,($J10,$O10,$T10),1)-2)*10)</f>
        <v>-18.5</v>
      </c>
      <c r="Y10" s="8" t="s">
        <v>212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212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3</v>
      </c>
      <c r="D11" s="18">
        <f t="shared" si="1"/>
        <v>2</v>
      </c>
      <c r="E11" s="4" t="s">
        <v>195</v>
      </c>
      <c r="F11" s="8" t="s">
        <v>200</v>
      </c>
      <c r="G11" s="9">
        <v>-12000</v>
      </c>
      <c r="H11" s="9">
        <v>-1000</v>
      </c>
      <c r="I11" s="48">
        <v>-1500</v>
      </c>
      <c r="J11" s="21">
        <f t="shared" si="2"/>
        <v>32000</v>
      </c>
      <c r="K11" s="8" t="s">
        <v>200</v>
      </c>
      <c r="L11" s="9">
        <v>-12000</v>
      </c>
      <c r="M11" s="9"/>
      <c r="N11" s="48">
        <v>-1500</v>
      </c>
      <c r="O11" s="21">
        <f t="shared" si="3"/>
        <v>16500</v>
      </c>
      <c r="P11" s="8" t="s">
        <v>201</v>
      </c>
      <c r="Q11" s="9">
        <v>24000</v>
      </c>
      <c r="R11" s="9">
        <v>3000</v>
      </c>
      <c r="S11" s="48">
        <v>3000</v>
      </c>
      <c r="T11" s="21">
        <f t="shared" si="4"/>
        <v>56500</v>
      </c>
      <c r="U11" s="53">
        <f>IF($J11="","",ROUND(($J11-$J$3)/1000,1)+(_xlfn.RANK.AVG($J11,($J11,$O11,$T11),1)-2)*10)</f>
        <v>-3</v>
      </c>
      <c r="V11" s="54">
        <f>IF($O11="","",ROUND(($O11-$O$3)/1000,1)+(_xlfn.RANK.AVG($O11,($J11,$O11,$T11),1)-2)*10)</f>
        <v>-28.5</v>
      </c>
      <c r="W11" s="55">
        <f>IF($T11="","",ROUND(($T11-$T$3)/1000,1)+(_xlfn.RANK.AVG($T11,($J11,$O11,$T11),1)-2)*10)</f>
        <v>31.5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202</v>
      </c>
      <c r="BU11" s="40" t="s">
        <v>199</v>
      </c>
      <c r="BV11" s="41" t="s">
        <v>82</v>
      </c>
      <c r="BW11" s="41" t="s">
        <v>206</v>
      </c>
      <c r="BX11" s="41" t="s">
        <v>92</v>
      </c>
      <c r="BY11" s="41" t="s">
        <v>79</v>
      </c>
      <c r="BZ11" s="41" t="s">
        <v>80</v>
      </c>
      <c r="CA11" s="41" t="s">
        <v>83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CE3A47B-4ACB-452F-914D-6F4012D2ACF9}">
      <formula1>"たかの,だいち,ただ,りくと,れんたろう,まっつん,のり,ぱぱ,ほたに,いっしー,"</formula1>
    </dataValidation>
    <dataValidation type="list" showInputMessage="1" showErrorMessage="1" sqref="K4:K30 P4:P30 F4:F30" xr:uid="{11ACAFA6-ED53-4F89-BE57-50AF068EFB9B}">
      <formula1>"ロン,ツモ,放銃,ツモ支払,流局,チョンボ"</formula1>
    </dataValidation>
    <dataValidation type="list" allowBlank="1" showInputMessage="1" showErrorMessage="1" sqref="E4:E30" xr:uid="{C229D5ED-207D-4DF8-8B8C-EF9D3953D0E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2EBF-E32A-4E84-B092-DA8146E1D355}">
  <sheetPr codeName="Sheet12">
    <pageSetUpPr fitToPage="1"/>
  </sheetPr>
  <dimension ref="A1:CI30"/>
  <sheetViews>
    <sheetView tabSelected="1" zoomScale="64" zoomScaleNormal="64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のり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7B61EF4-2294-490A-8AD2-41FF09B43B02}">
      <formula1>$U$2:$W$2</formula1>
    </dataValidation>
    <dataValidation type="list" showInputMessage="1" showErrorMessage="1" sqref="K4:K30 P4:P30 F4:F30" xr:uid="{AFC3869D-3430-4F20-8D9D-F1500E2C6BA8}">
      <formula1>"ロン,ツモ,放銃,ツモ支払,流局,チョンボ"</formula1>
    </dataValidation>
    <dataValidation type="list" allowBlank="1" showInputMessage="1" sqref="F1:T1" xr:uid="{B620434A-BE9B-4342-ACEE-8F077C04427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2019-10-24T10:37:00Z</dcterms:modified>
</cp:coreProperties>
</file>