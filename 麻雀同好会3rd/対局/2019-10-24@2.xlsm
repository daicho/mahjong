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B5AAA2AD-76C3-4AB6-A338-D70871FF2282}" xr6:coauthVersionLast="41" xr6:coauthVersionMax="41" xr10:uidLastSave="{00000000-0000-0000-0000-000000000000}"/>
  <bookViews>
    <workbookView xWindow="-120" yWindow="-120" windowWidth="20730" windowHeight="11310" xr2:uid="{4CDB34E1-560F-4998-ABAB-D6F7F2862621}"/>
  </bookViews>
  <sheets>
    <sheet name="Sheet1" sheetId="19" r:id="rId1"/>
    <sheet name="Sheet2" sheetId="20" r:id="rId2"/>
    <sheet name="役一覧" sheetId="15" state="hidden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0" l="1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T12" i="20"/>
  <c r="W12" i="20" s="1"/>
  <c r="O12" i="20"/>
  <c r="V12" i="20" s="1"/>
  <c r="J12" i="20"/>
  <c r="U12" i="20" s="1"/>
  <c r="D12" i="20"/>
  <c r="C12" i="20"/>
  <c r="B12" i="20"/>
  <c r="A12" i="20" s="1"/>
  <c r="D11" i="20"/>
  <c r="C11" i="20"/>
  <c r="D10" i="20"/>
  <c r="C10" i="20"/>
  <c r="D9" i="20"/>
  <c r="C9" i="20"/>
  <c r="D8" i="20"/>
  <c r="C8" i="20"/>
  <c r="D7" i="20"/>
  <c r="C7" i="20"/>
  <c r="D6" i="20"/>
  <c r="C6" i="20"/>
  <c r="O5" i="20"/>
  <c r="J5" i="20"/>
  <c r="D5" i="20"/>
  <c r="C5" i="20"/>
  <c r="B5" i="20"/>
  <c r="B6" i="20" s="1"/>
  <c r="T4" i="20"/>
  <c r="O4" i="20"/>
  <c r="J4" i="20"/>
  <c r="W3" i="20"/>
  <c r="V3" i="20"/>
  <c r="U3" i="20"/>
  <c r="W2" i="20"/>
  <c r="V2" i="20"/>
  <c r="U2" i="20"/>
  <c r="BO1" i="20"/>
  <c r="AT1" i="20"/>
  <c r="Y1" i="20"/>
  <c r="W4" i="20" l="1"/>
  <c r="B7" i="20"/>
  <c r="U4" i="20"/>
  <c r="V4" i="20"/>
  <c r="T5" i="20"/>
  <c r="V5" i="20" s="1"/>
  <c r="J6" i="20"/>
  <c r="O6" i="20"/>
  <c r="A5" i="20"/>
  <c r="A6" i="20"/>
  <c r="W3" i="19"/>
  <c r="V3" i="19"/>
  <c r="U3" i="19"/>
  <c r="O7" i="20" l="1"/>
  <c r="J7" i="20"/>
  <c r="W5" i="20"/>
  <c r="T6" i="20"/>
  <c r="U6" i="20" s="1"/>
  <c r="B8" i="20"/>
  <c r="A8" i="20" s="1"/>
  <c r="A7" i="20"/>
  <c r="U5" i="20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O11" i="19"/>
  <c r="J11" i="19"/>
  <c r="U11" i="19" s="1"/>
  <c r="D11" i="19"/>
  <c r="C11" i="19"/>
  <c r="B11" i="19"/>
  <c r="A11" i="19"/>
  <c r="T10" i="19"/>
  <c r="O10" i="19"/>
  <c r="J10" i="19"/>
  <c r="D10" i="19"/>
  <c r="C10" i="19"/>
  <c r="B10" i="19"/>
  <c r="A10" i="19" s="1"/>
  <c r="T9" i="19"/>
  <c r="W9" i="19" s="1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W7" i="19" s="1"/>
  <c r="O7" i="19"/>
  <c r="V7" i="19" s="1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6" i="20" l="1"/>
  <c r="B9" i="20"/>
  <c r="W6" i="20"/>
  <c r="T7" i="20"/>
  <c r="U7" i="20" s="1"/>
  <c r="J8" i="20"/>
  <c r="O8" i="20"/>
  <c r="W11" i="19"/>
  <c r="V11" i="19"/>
  <c r="V10" i="19"/>
  <c r="U10" i="19"/>
  <c r="W10" i="19"/>
  <c r="U9" i="19"/>
  <c r="V9" i="19"/>
  <c r="W8" i="19"/>
  <c r="U8" i="19"/>
  <c r="V8" i="19"/>
  <c r="U7" i="19"/>
  <c r="U6" i="19"/>
  <c r="V6" i="19"/>
  <c r="W6" i="19"/>
  <c r="U4" i="19"/>
  <c r="V4" i="19"/>
  <c r="T5" i="19"/>
  <c r="W4" i="19"/>
  <c r="J5" i="19"/>
  <c r="O5" i="19"/>
  <c r="V7" i="20" l="1"/>
  <c r="V8" i="20"/>
  <c r="O9" i="20"/>
  <c r="J9" i="20"/>
  <c r="U8" i="20"/>
  <c r="W7" i="20"/>
  <c r="T8" i="20"/>
  <c r="B10" i="20"/>
  <c r="A10" i="20" s="1"/>
  <c r="A9" i="20"/>
  <c r="W5" i="19"/>
  <c r="V5" i="19"/>
  <c r="U5" i="19"/>
  <c r="B11" i="20" l="1"/>
  <c r="A11" i="20" s="1"/>
  <c r="W8" i="20"/>
  <c r="T9" i="20"/>
  <c r="U9" i="20"/>
  <c r="J10" i="20"/>
  <c r="V9" i="20"/>
  <c r="O10" i="20"/>
  <c r="O11" i="20" l="1"/>
  <c r="J11" i="20"/>
  <c r="W9" i="20"/>
  <c r="T10" i="20"/>
  <c r="U10" i="20" s="1"/>
  <c r="W10" i="20" l="1"/>
  <c r="T11" i="20"/>
  <c r="U11" i="20"/>
  <c r="V11" i="20"/>
  <c r="V10" i="20"/>
  <c r="W11" i="20" l="1"/>
</calcChain>
</file>

<file path=xl/sharedStrings.xml><?xml version="1.0" encoding="utf-8"?>
<sst xmlns="http://schemas.openxmlformats.org/spreadsheetml/2006/main" count="697" uniqueCount="214">
  <si>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</si>
  <si>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</si>
  <si>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</si>
  <si>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</si>
  <si>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</si>
  <si>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</si>
  <si>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</si>
  <si>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</si>
  <si>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</si>
  <si>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</si>
  <si>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</si>
  <si>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</si>
  <si>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</si>
  <si>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</si>
  <si>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</si>
  <si>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</si>
  <si>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</si>
  <si>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</si>
  <si>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</si>
  <si>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</si>
  <si>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</si>
  <si>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</si>
  <si>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</si>
  <si>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</si>
  <si>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</si>
  <si>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</si>
  <si>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</si>
  <si>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</si>
  <si>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</si>
  <si>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</si>
  <si>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</si>
  <si>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</si>
  <si>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</si>
  <si>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</si>
  <si>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</si>
  <si>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</si>
  <si>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</si>
  <si>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</si>
  <si>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</si>
  <si>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</si>
  <si>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</si>
  <si>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</si>
  <si>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</si>
  <si>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</si>
  <si>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</si>
  <si>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</si>
  <si>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</si>
  <si>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</si>
  <si>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</si>
  <si>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</si>
  <si>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</si>
  <si>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</si>
  <si>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</si>
  <si>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</si>
  <si>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</si>
  <si>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</si>
  <si>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</si>
  <si>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</si>
  <si>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</si>
  <si>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</si>
  <si>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</si>
  <si>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</si>
  <si>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</si>
  <si>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</si>
  <si>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</si>
  <si>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</si>
  <si>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</si>
  <si>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</si>
  <si>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</si>
  <si>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</si>
  <si>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</si>
  <si>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</si>
  <si>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</si>
  <si>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</si>
  <si>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</si>
  <si>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</si>
  <si>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</si>
  <si>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</si>
  <si>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</si>
  <si>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</si>
  <si>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</si>
  <si>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</si>
  <si>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</si>
  <si>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</si>
  <si>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</si>
  <si>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</si>
  <si>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</si>
  <si>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</si>
  <si>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</si>
  <si>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</si>
  <si>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</si>
  <si>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</si>
  <si>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</si>
  <si>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</si>
  <si>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</si>
  <si>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</si>
  <si>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</si>
  <si>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</si>
  <si>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</si>
  <si>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</si>
  <si>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</si>
  <si>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</si>
  <si>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</si>
  <si>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</si>
  <si>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</si>
  <si>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</si>
  <si>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</si>
  <si>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</si>
  <si>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</si>
  <si>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</si>
  <si>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</si>
  <si>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</si>
  <si>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</si>
  <si>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</si>
  <si>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</si>
  <si>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</si>
  <si>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</si>
  <si>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</si>
  <si>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</si>
  <si>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</si>
  <si>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</si>
  <si>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</si>
  <si>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</si>
  <si>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</si>
  <si>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</si>
  <si>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</si>
  <si>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</si>
  <si>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</si>
  <si>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</si>
  <si>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</si>
  <si>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</si>
  <si>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</si>
  <si>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</si>
  <si>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</si>
  <si>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</si>
  <si>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</si>
  <si>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</si>
  <si>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</si>
  <si>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</si>
  <si>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</si>
  <si>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</si>
  <si>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</si>
  <si>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</si>
  <si>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</si>
  <si>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</si>
  <si>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</si>
  <si>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</si>
  <si>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</si>
  <si>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</si>
  <si>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</si>
  <si>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</si>
  <si>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</si>
  <si>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</si>
  <si>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</si>
  <si>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</si>
  <si>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</si>
  <si>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</si>
  <si>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</si>
  <si>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</si>
  <si>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</si>
  <si>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</si>
  <si>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</si>
  <si>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</si>
  <si>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</si>
  <si>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</si>
  <si>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</si>
  <si>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</si>
  <si>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</si>
  <si>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</si>
  <si>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</si>
  <si>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</si>
  <si>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</si>
  <si>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</si>
  <si>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</si>
  <si>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</si>
  <si>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</si>
  <si>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</si>
  <si>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</si>
  <si>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</si>
  <si>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</si>
  <si>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</si>
  <si>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</si>
  <si>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</si>
  <si>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</si>
  <si>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</si>
  <si>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</si>
  <si>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</si>
  <si>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</si>
  <si>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</si>
  <si>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</si>
  <si>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</si>
  <si>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たかの</t>
  </si>
  <si>
    <t>たかの</t>
    <phoneticPr fontId="1"/>
  </si>
  <si>
    <t>れんたろう</t>
  </si>
  <si>
    <t>れんたろう</t>
    <phoneticPr fontId="1"/>
  </si>
  <si>
    <t>ただ</t>
  </si>
  <si>
    <t>ただ</t>
    <phoneticPr fontId="1"/>
  </si>
  <si>
    <t>ロン</t>
  </si>
  <si>
    <t>放銃</t>
  </si>
  <si>
    <t>01</t>
  </si>
  <si>
    <t>ツモ支払</t>
  </si>
  <si>
    <t>ツモ</t>
  </si>
  <si>
    <t>*</t>
  </si>
  <si>
    <t>T</t>
  </si>
  <si>
    <t>流局</t>
    <phoneticPr fontId="1"/>
  </si>
  <si>
    <t>51</t>
  </si>
  <si>
    <t>02</t>
  </si>
  <si>
    <t>のり</t>
  </si>
  <si>
    <t>のり</t>
    <phoneticPr fontId="1"/>
  </si>
  <si>
    <t>まっつん</t>
  </si>
  <si>
    <t>まっつん</t>
    <phoneticPr fontId="1"/>
  </si>
  <si>
    <t>52</t>
  </si>
  <si>
    <t>N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</si>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</sst>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1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="64" zoomScaleNormal="64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192</v>
      </c>
      <c r="G1" s="73"/>
      <c r="H1" s="73"/>
      <c r="I1" s="74"/>
      <c r="J1" s="75"/>
      <c r="K1" s="72" t="s">
        <v>194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たかの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たかの</v>
      </c>
      <c r="V2" s="64" t="str">
        <f>$K$1</f>
        <v>れんたろう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2000</v>
      </c>
      <c r="H4" s="9"/>
      <c r="I4" s="48">
        <v>0</v>
      </c>
      <c r="J4" s="21">
        <f>IF(COUNTA($F4,$K4,$P4)&gt;0,J3+SUM(G4:I4),"")</f>
        <v>37000</v>
      </c>
      <c r="K4" s="8" t="s">
        <v>198</v>
      </c>
      <c r="L4" s="9">
        <v>-2000</v>
      </c>
      <c r="M4" s="9"/>
      <c r="N4" s="48">
        <v>0</v>
      </c>
      <c r="O4" s="21">
        <f>IF(COUNTA($F4,$K4,$P4)&gt;0,O3+SUM(L4:N4),"")</f>
        <v>33000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12</v>
      </c>
      <c r="V4" s="54">
        <f>IF($O4="","",ROUND(($O4-$O$3)/1000,1)+(_xlfn.RANK.AVG($O4,($J4,$O4,$T4),1)-2)*10)</f>
        <v>-12</v>
      </c>
      <c r="W4" s="55">
        <f>IF($T4="","",ROUND(($T4-$T$3)/1000,1)+(_xlfn.RANK.AVG($T4,($J4,$O4,$T4),1)-2)*10)</f>
        <v>0</v>
      </c>
      <c r="Y4" s="8"/>
      <c r="Z4" s="34"/>
      <c r="AA4" s="26"/>
      <c r="AB4" s="26"/>
      <c r="AC4" s="26">
        <v>1</v>
      </c>
      <c r="AD4" s="30">
        <v>40</v>
      </c>
      <c r="AE4" s="40" t="s">
        <v>86</v>
      </c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191</v>
      </c>
      <c r="F5" s="8"/>
      <c r="G5" s="9"/>
      <c r="H5" s="9">
        <v>-1000</v>
      </c>
      <c r="I5" s="48"/>
      <c r="J5" s="21">
        <f t="shared" ref="J5:J30" si="2">IF(COUNTA($F5,$K5,$P5)&gt;0,J4+SUM(G5:I5),"")</f>
        <v>36000</v>
      </c>
      <c r="K5" s="8" t="s">
        <v>197</v>
      </c>
      <c r="L5" s="9">
        <v>7700</v>
      </c>
      <c r="M5" s="9">
        <v>1000</v>
      </c>
      <c r="N5" s="48">
        <v>1000</v>
      </c>
      <c r="O5" s="21">
        <f t="shared" ref="O5:O30" si="3">IF(COUNTA($F5,$K5,$P5)&gt;0,O4+SUM(L5:N5),"")</f>
        <v>42700</v>
      </c>
      <c r="P5" s="8" t="s">
        <v>198</v>
      </c>
      <c r="Q5" s="9">
        <v>-7700</v>
      </c>
      <c r="R5" s="9"/>
      <c r="S5" s="48">
        <v>-1000</v>
      </c>
      <c r="T5" s="21">
        <f t="shared" ref="T5:T30" si="4">IF(COUNTA($F5,$K5,$P5)&gt;0,T4+SUM(Q5:S5),"")</f>
        <v>26300</v>
      </c>
      <c r="U5" s="53">
        <f>IF($J5="","",ROUND(($J5-$J$3)/1000,1)+(_xlfn.RANK.AVG($J5,($J5,$O5,$T5),1)-2)*10)</f>
        <v>1</v>
      </c>
      <c r="V5" s="54">
        <f>IF($O5="","",ROUND(($O5-$O$3)/1000,1)+(_xlfn.RANK.AVG($O5,($J5,$O5,$T5),1)-2)*10)</f>
        <v>17.7</v>
      </c>
      <c r="W5" s="55">
        <f>IF($T5="","",ROUND(($T5-$T$3)/1000,1)+(_xlfn.RANK.AVG($T5,($J5,$O5,$T5),1)-2)*10)</f>
        <v>-18.7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4</v>
      </c>
      <c r="AY5" s="30">
        <v>30</v>
      </c>
      <c r="AZ5" s="40" t="s">
        <v>199</v>
      </c>
      <c r="BA5" s="41" t="s">
        <v>83</v>
      </c>
      <c r="BB5" s="41" t="s">
        <v>79</v>
      </c>
      <c r="BC5" s="41" t="s">
        <v>79</v>
      </c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193</v>
      </c>
      <c r="F6" s="8" t="s">
        <v>200</v>
      </c>
      <c r="G6" s="9">
        <v>-6000</v>
      </c>
      <c r="H6" s="9"/>
      <c r="I6" s="48">
        <v>0</v>
      </c>
      <c r="J6" s="21">
        <f t="shared" si="2"/>
        <v>30000</v>
      </c>
      <c r="K6" s="8" t="s">
        <v>200</v>
      </c>
      <c r="L6" s="9">
        <v>-10000</v>
      </c>
      <c r="M6" s="9"/>
      <c r="N6" s="48">
        <v>0</v>
      </c>
      <c r="O6" s="21">
        <f t="shared" si="3"/>
        <v>32700</v>
      </c>
      <c r="P6" s="8" t="s">
        <v>201</v>
      </c>
      <c r="Q6" s="9">
        <v>16000</v>
      </c>
      <c r="R6" s="9"/>
      <c r="S6" s="48">
        <v>0</v>
      </c>
      <c r="T6" s="21">
        <f t="shared" si="4"/>
        <v>42300</v>
      </c>
      <c r="U6" s="53">
        <f>IF($J6="","",ROUND(($J6-$J$3)/1000,1)+(_xlfn.RANK.AVG($J6,($J6,$O6,$T6),1)-2)*10)</f>
        <v>-15</v>
      </c>
      <c r="V6" s="54">
        <f>IF($O6="","",ROUND(($O6-$O$3)/1000,1)+(_xlfn.RANK.AVG($O6,($J6,$O6,$T6),1)-2)*10)</f>
        <v>-2.2999999999999998</v>
      </c>
      <c r="W6" s="55">
        <f>IF($T6="","",ROUND(($T6-$T$3)/1000,1)+(_xlfn.RANK.AVG($T6,($J6,$O6,$T6),1)-2)*10)</f>
        <v>17.3</v>
      </c>
      <c r="Y6" s="8"/>
      <c r="Z6" s="34"/>
      <c r="AA6" s="26"/>
      <c r="AB6" s="26">
        <v>1</v>
      </c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>
        <v>8</v>
      </c>
      <c r="BT6" s="30" t="s">
        <v>202</v>
      </c>
      <c r="BU6" s="40" t="s">
        <v>104</v>
      </c>
      <c r="BV6" s="41" t="s">
        <v>86</v>
      </c>
      <c r="BW6" s="41" t="s">
        <v>86</v>
      </c>
      <c r="BX6" s="41" t="s">
        <v>82</v>
      </c>
      <c r="BY6" s="41" t="s">
        <v>96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-12000</v>
      </c>
      <c r="H7" s="9"/>
      <c r="I7" s="48">
        <v>0</v>
      </c>
      <c r="J7" s="21">
        <f t="shared" si="2"/>
        <v>18000</v>
      </c>
      <c r="K7" s="8" t="s">
        <v>197</v>
      </c>
      <c r="L7" s="9">
        <v>12000</v>
      </c>
      <c r="M7" s="9"/>
      <c r="N7" s="48">
        <v>0</v>
      </c>
      <c r="O7" s="21">
        <f t="shared" si="3"/>
        <v>44700</v>
      </c>
      <c r="P7" s="8"/>
      <c r="Q7" s="9"/>
      <c r="R7" s="9"/>
      <c r="S7" s="48"/>
      <c r="T7" s="21">
        <f t="shared" si="4"/>
        <v>42300</v>
      </c>
      <c r="U7" s="53">
        <f>IF($J7="","",ROUND(($J7-$J$3)/1000,1)+(_xlfn.RANK.AVG($J7,($J7,$O7,$T7),1)-2)*10)</f>
        <v>-27</v>
      </c>
      <c r="V7" s="54">
        <f>IF($O7="","",ROUND(($O7-$O$3)/1000,1)+(_xlfn.RANK.AVG($O7,($J7,$O7,$T7),1)-2)*10)</f>
        <v>19.7</v>
      </c>
      <c r="W7" s="55">
        <f>IF($T7="","",ROUND(($T7-$T$3)/1000,1)+(_xlfn.RANK.AVG($T7,($J7,$O7,$T7),1)-2)*10)</f>
        <v>7.3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7</v>
      </c>
      <c r="AY7" s="30" t="s">
        <v>202</v>
      </c>
      <c r="AZ7" s="40" t="s">
        <v>199</v>
      </c>
      <c r="BA7" s="41" t="s">
        <v>84</v>
      </c>
      <c r="BB7" s="41" t="s">
        <v>104</v>
      </c>
      <c r="BC7" s="41" t="s">
        <v>79</v>
      </c>
      <c r="BD7" s="41" t="s">
        <v>79</v>
      </c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200</v>
      </c>
      <c r="G8" s="9">
        <v>-2500</v>
      </c>
      <c r="H8" s="9"/>
      <c r="I8" s="48">
        <v>0</v>
      </c>
      <c r="J8" s="21">
        <f t="shared" si="2"/>
        <v>15500</v>
      </c>
      <c r="K8" s="8" t="s">
        <v>200</v>
      </c>
      <c r="L8" s="9">
        <v>-1500</v>
      </c>
      <c r="M8" s="9"/>
      <c r="N8" s="48">
        <v>0</v>
      </c>
      <c r="O8" s="21">
        <f t="shared" si="3"/>
        <v>43200</v>
      </c>
      <c r="P8" s="8" t="s">
        <v>201</v>
      </c>
      <c r="Q8" s="9">
        <v>4000</v>
      </c>
      <c r="R8" s="9"/>
      <c r="S8" s="48">
        <v>0</v>
      </c>
      <c r="T8" s="21">
        <f t="shared" si="4"/>
        <v>46300</v>
      </c>
      <c r="U8" s="53">
        <f>IF($J8="","",ROUND(($J8-$J$3)/1000,1)+(_xlfn.RANK.AVG($J8,($J8,$O8,$T8),1)-2)*10)</f>
        <v>-29.5</v>
      </c>
      <c r="V8" s="54">
        <f>IF($O8="","",ROUND(($O8-$O$3)/1000,1)+(_xlfn.RANK.AVG($O8,($J8,$O8,$T8),1)-2)*10)</f>
        <v>8.1999999999999993</v>
      </c>
      <c r="W8" s="55">
        <f>IF($T8="","",ROUND(($T8-$T$3)/1000,1)+(_xlfn.RANK.AVG($T8,($J8,$O8,$T8),1)-2)*10)</f>
        <v>21.3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3</v>
      </c>
      <c r="BT8" s="30">
        <v>30</v>
      </c>
      <c r="BU8" s="40" t="s">
        <v>199</v>
      </c>
      <c r="BV8" s="41" t="s">
        <v>82</v>
      </c>
      <c r="BW8" s="41" t="s">
        <v>79</v>
      </c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204</v>
      </c>
      <c r="G9" s="9">
        <v>0</v>
      </c>
      <c r="H9" s="9">
        <v>-1000</v>
      </c>
      <c r="I9" s="48"/>
      <c r="J9" s="21">
        <f t="shared" si="2"/>
        <v>14500</v>
      </c>
      <c r="K9" s="8" t="s">
        <v>204</v>
      </c>
      <c r="L9" s="9">
        <v>0</v>
      </c>
      <c r="M9" s="9"/>
      <c r="N9" s="48"/>
      <c r="O9" s="21">
        <f t="shared" si="3"/>
        <v>43200</v>
      </c>
      <c r="P9" s="8" t="s">
        <v>204</v>
      </c>
      <c r="Q9" s="9">
        <v>0</v>
      </c>
      <c r="R9" s="9"/>
      <c r="S9" s="48"/>
      <c r="T9" s="21">
        <f t="shared" si="4"/>
        <v>46300</v>
      </c>
      <c r="U9" s="53">
        <f>IF($J9="","",ROUND(($J9-$J$3)/1000,1)+(_xlfn.RANK.AVG($J9,($J9,$O9,$T9),1)-2)*10)</f>
        <v>-30.5</v>
      </c>
      <c r="V9" s="54">
        <f>IF($O9="","",ROUND(($O9-$O$3)/1000,1)+(_xlfn.RANK.AVG($O9,($J9,$O9,$T9),1)-2)*10)</f>
        <v>8.1999999999999993</v>
      </c>
      <c r="W9" s="55">
        <f>IF($T9="","",ROUND(($T9-$T$3)/1000,1)+(_xlfn.RANK.AVG($T9,($J9,$O9,$T9),1)-2)*10)</f>
        <v>21.3</v>
      </c>
      <c r="Y9" s="8" t="s">
        <v>203</v>
      </c>
      <c r="Z9" s="34"/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203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1</v>
      </c>
      <c r="E10" s="4" t="s">
        <v>193</v>
      </c>
      <c r="F10" s="8" t="s">
        <v>200</v>
      </c>
      <c r="G10" s="9">
        <v>-600</v>
      </c>
      <c r="H10" s="9"/>
      <c r="I10" s="48">
        <v>-500</v>
      </c>
      <c r="J10" s="21">
        <f t="shared" si="2"/>
        <v>13400</v>
      </c>
      <c r="K10" s="8" t="s">
        <v>200</v>
      </c>
      <c r="L10" s="9">
        <v>-900</v>
      </c>
      <c r="M10" s="9"/>
      <c r="N10" s="48">
        <v>-500</v>
      </c>
      <c r="O10" s="21">
        <f t="shared" si="3"/>
        <v>41800</v>
      </c>
      <c r="P10" s="8" t="s">
        <v>201</v>
      </c>
      <c r="Q10" s="9">
        <v>1500</v>
      </c>
      <c r="R10" s="9">
        <v>1000</v>
      </c>
      <c r="S10" s="48">
        <v>1000</v>
      </c>
      <c r="T10" s="21">
        <f t="shared" si="4"/>
        <v>49800</v>
      </c>
      <c r="U10" s="53">
        <f>IF($J10="","",ROUND(($J10-$J$3)/1000,1)+(_xlfn.RANK.AVG($J10,($J10,$O10,$T10),1)-2)*10)</f>
        <v>-31.6</v>
      </c>
      <c r="V10" s="54">
        <f>IF($O10="","",ROUND(($O10-$O$3)/1000,1)+(_xlfn.RANK.AVG($O10,($J10,$O10,$T10),1)-2)*10)</f>
        <v>6.8</v>
      </c>
      <c r="W10" s="55">
        <f>IF($T10="","",ROUND(($T10-$T$3)/1000,1)+(_xlfn.RANK.AVG($T10,($J10,$O10,$T10),1)-2)*10)</f>
        <v>24.8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>
        <v>1</v>
      </c>
      <c r="BT10" s="30">
        <v>40</v>
      </c>
      <c r="BU10" s="40" t="s">
        <v>86</v>
      </c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195</v>
      </c>
      <c r="F11" s="8" t="s">
        <v>200</v>
      </c>
      <c r="G11" s="9">
        <v>-4500</v>
      </c>
      <c r="H11" s="9"/>
      <c r="I11" s="48">
        <v>0</v>
      </c>
      <c r="J11" s="21">
        <f t="shared" si="2"/>
        <v>8900</v>
      </c>
      <c r="K11" s="8" t="s">
        <v>201</v>
      </c>
      <c r="L11" s="9">
        <v>12000</v>
      </c>
      <c r="M11" s="9"/>
      <c r="N11" s="48">
        <v>0</v>
      </c>
      <c r="O11" s="21">
        <f t="shared" si="3"/>
        <v>53800</v>
      </c>
      <c r="P11" s="8" t="s">
        <v>200</v>
      </c>
      <c r="Q11" s="9">
        <v>-7500</v>
      </c>
      <c r="R11" s="9"/>
      <c r="S11" s="48">
        <v>0</v>
      </c>
      <c r="T11" s="21">
        <f t="shared" si="4"/>
        <v>42300</v>
      </c>
      <c r="U11" s="53">
        <f>IF($J11="","",ROUND(($J11-$J$3)/1000,1)+(_xlfn.RANK.AVG($J11,($J11,$O11,$T11),1)-2)*10)</f>
        <v>-36.1</v>
      </c>
      <c r="V11" s="54">
        <f>IF($O11="","",ROUND(($O11-$O$3)/1000,1)+(_xlfn.RANK.AVG($O11,($J11,$O11,$T11),1)-2)*10)</f>
        <v>28.8</v>
      </c>
      <c r="W11" s="55">
        <f>IF($T11="","",ROUND(($T11-$T$3)/1000,1)+(_xlfn.RANK.AVG($T11,($J11,$O11,$T11),1)-2)*10)</f>
        <v>7.3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6</v>
      </c>
      <c r="AY11" s="30" t="s">
        <v>202</v>
      </c>
      <c r="AZ11" s="40" t="s">
        <v>205</v>
      </c>
      <c r="BA11" s="41" t="s">
        <v>82</v>
      </c>
      <c r="BB11" s="41" t="s">
        <v>206</v>
      </c>
      <c r="BC11" s="41" t="s">
        <v>83</v>
      </c>
      <c r="BD11" s="41" t="s">
        <v>79</v>
      </c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F44A9795-A2F9-47F6-80C3-33088B5A6C6A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BAE287-DF70-4EBC-BEA5-6BBCCDCC8643}">
  <sheetPr codeName="Sheet11">
    <pageSetUpPr fitToPage="1"/>
  </sheetPr>
  <dimension ref="A1:CI30"/>
  <sheetViews>
    <sheetView zoomScale="64" zoomScaleNormal="64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210</v>
      </c>
      <c r="G1" s="73"/>
      <c r="H1" s="73"/>
      <c r="I1" s="74"/>
      <c r="J1" s="75"/>
      <c r="K1" s="72" t="s">
        <v>208</v>
      </c>
      <c r="L1" s="73"/>
      <c r="M1" s="73"/>
      <c r="N1" s="74"/>
      <c r="O1" s="75"/>
      <c r="P1" s="72" t="s">
        <v>196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まっつん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のり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ただ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9" t="str">
        <f>$F$1</f>
        <v>まっつん</v>
      </c>
      <c r="V2" s="70" t="str">
        <f>$K$1</f>
        <v>のり</v>
      </c>
      <c r="W2" s="16" t="str">
        <f>$P$1</f>
        <v>ただ</v>
      </c>
      <c r="Y2" s="65" t="s">
        <v>23</v>
      </c>
      <c r="Z2" s="68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68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68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201</v>
      </c>
      <c r="G4" s="9">
        <v>12000</v>
      </c>
      <c r="H4" s="9"/>
      <c r="I4" s="48">
        <v>0</v>
      </c>
      <c r="J4" s="21">
        <f>IF(COUNTA($F4,$K4,$P4)&gt;0,J3+SUM(G4:I4),"")</f>
        <v>47000</v>
      </c>
      <c r="K4" s="8" t="s">
        <v>200</v>
      </c>
      <c r="L4" s="9">
        <v>-6000</v>
      </c>
      <c r="M4" s="9"/>
      <c r="N4" s="48">
        <v>0</v>
      </c>
      <c r="O4" s="21">
        <f>IF(COUNTA($F4,$K4,$P4)&gt;0,O3+SUM(L4:N4),"")</f>
        <v>29000</v>
      </c>
      <c r="P4" s="8" t="s">
        <v>200</v>
      </c>
      <c r="Q4" s="9">
        <v>-6000</v>
      </c>
      <c r="R4" s="9"/>
      <c r="S4" s="48">
        <v>0</v>
      </c>
      <c r="T4" s="21">
        <f>IF(COUNTA($F4,$K4,$P4)&gt;0,T3+SUM(Q4:S4),"")</f>
        <v>29000</v>
      </c>
      <c r="U4" s="53">
        <f>IF($J4="","",ROUND(($J4-$J$3)/1000,1)+(_xlfn.RANK.AVG($J4,($J4,$O4,$T4),1)-2)*10)</f>
        <v>22</v>
      </c>
      <c r="V4" s="54">
        <f>IF($O4="","",ROUND(($O4-$O$3)/1000,1)+(_xlfn.RANK.AVG($O4,($J4,$O4,$T4),1)-2)*10)</f>
        <v>-11</v>
      </c>
      <c r="W4" s="55">
        <f>IF($T4="","",ROUND(($T4-$T$3)/1000,1)+(_xlfn.RANK.AVG($T4,($J4,$O4,$T4),1)-2)*10)</f>
        <v>-11</v>
      </c>
      <c r="Y4" s="8"/>
      <c r="Z4" s="34"/>
      <c r="AA4" s="26"/>
      <c r="AB4" s="26"/>
      <c r="AC4" s="26">
        <v>5</v>
      </c>
      <c r="AD4" s="30" t="s">
        <v>202</v>
      </c>
      <c r="AE4" s="40" t="s">
        <v>82</v>
      </c>
      <c r="AF4" s="41" t="s">
        <v>211</v>
      </c>
      <c r="AG4" s="41" t="s">
        <v>102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200</v>
      </c>
      <c r="G5" s="9">
        <v>-7500</v>
      </c>
      <c r="H5" s="9"/>
      <c r="I5" s="48">
        <v>-500</v>
      </c>
      <c r="J5" s="21">
        <f t="shared" ref="J5:J30" si="2">IF(COUNTA($F5,$K5,$P5)&gt;0,J4+SUM(G5:I5),"")</f>
        <v>39000</v>
      </c>
      <c r="K5" s="8" t="s">
        <v>201</v>
      </c>
      <c r="L5" s="9">
        <v>12000</v>
      </c>
      <c r="M5" s="9"/>
      <c r="N5" s="48">
        <v>1000</v>
      </c>
      <c r="O5" s="21">
        <f t="shared" ref="O5:O30" si="3">IF(COUNTA($F5,$K5,$P5)&gt;0,O4+SUM(L5:N5),"")</f>
        <v>42000</v>
      </c>
      <c r="P5" s="8" t="s">
        <v>200</v>
      </c>
      <c r="Q5" s="9">
        <v>-4500</v>
      </c>
      <c r="R5" s="9"/>
      <c r="S5" s="48">
        <v>-500</v>
      </c>
      <c r="T5" s="21">
        <f t="shared" ref="T5:T30" si="4">IF(COUNTA($F5,$K5,$P5)&gt;0,T4+SUM(Q5:S5),"")</f>
        <v>24000</v>
      </c>
      <c r="U5" s="53">
        <f>IF($J5="","",ROUND(($J5-$J$3)/1000,1)+(_xlfn.RANK.AVG($J5,($J5,$O5,$T5),1)-2)*10)</f>
        <v>4</v>
      </c>
      <c r="V5" s="54">
        <f>IF($O5="","",ROUND(($O5-$O$3)/1000,1)+(_xlfn.RANK.AVG($O5,($J5,$O5,$T5),1)-2)*10)</f>
        <v>17</v>
      </c>
      <c r="W5" s="55">
        <f>IF($T5="","",ROUND(($T5-$T$3)/1000,1)+(_xlfn.RANK.AVG($T5,($J5,$O5,$T5),1)-2)*10)</f>
        <v>-21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6</v>
      </c>
      <c r="AY5" s="30" t="s">
        <v>202</v>
      </c>
      <c r="AZ5" s="40" t="s">
        <v>86</v>
      </c>
      <c r="BA5" s="41" t="s">
        <v>86</v>
      </c>
      <c r="BB5" s="41" t="s">
        <v>211</v>
      </c>
      <c r="BC5" s="41" t="s">
        <v>79</v>
      </c>
      <c r="BD5" s="41" t="s">
        <v>79</v>
      </c>
      <c r="BE5" s="41" t="s">
        <v>79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207</v>
      </c>
      <c r="F6" s="8" t="s">
        <v>213</v>
      </c>
      <c r="G6" s="9">
        <v>3000</v>
      </c>
      <c r="H6" s="9">
        <v>-1000</v>
      </c>
      <c r="I6" s="48"/>
      <c r="J6" s="21">
        <f t="shared" si="2"/>
        <v>41000</v>
      </c>
      <c r="K6" s="8" t="s">
        <v>213</v>
      </c>
      <c r="L6" s="9">
        <v>-1500</v>
      </c>
      <c r="M6" s="9"/>
      <c r="N6" s="48"/>
      <c r="O6" s="21">
        <f t="shared" si="3"/>
        <v>40500</v>
      </c>
      <c r="P6" s="8" t="s">
        <v>213</v>
      </c>
      <c r="Q6" s="9">
        <v>-1500</v>
      </c>
      <c r="R6" s="9"/>
      <c r="S6" s="48"/>
      <c r="T6" s="21">
        <f t="shared" si="4"/>
        <v>22500</v>
      </c>
      <c r="U6" s="53">
        <f>IF($J6="","",ROUND(($J6-$J$3)/1000,1)+(_xlfn.RANK.AVG($J6,($J6,$O6,$T6),1)-2)*10)</f>
        <v>16</v>
      </c>
      <c r="V6" s="54">
        <f>IF($O6="","",ROUND(($O6-$O$3)/1000,1)+(_xlfn.RANK.AVG($O6,($J6,$O6,$T6),1)-2)*10)</f>
        <v>5.5</v>
      </c>
      <c r="W6" s="55">
        <f>IF($T6="","",ROUND(($T6-$T$3)/1000,1)+(_xlfn.RANK.AVG($T6,($J6,$O6,$T6),1)-2)*10)</f>
        <v>-22.5</v>
      </c>
      <c r="Y6" s="8" t="s">
        <v>203</v>
      </c>
      <c r="Z6" s="34"/>
      <c r="AA6" s="26">
        <v>1</v>
      </c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212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212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1</v>
      </c>
      <c r="E7" s="4" t="s">
        <v>195</v>
      </c>
      <c r="F7" s="8" t="s">
        <v>197</v>
      </c>
      <c r="G7" s="9">
        <v>2600</v>
      </c>
      <c r="H7" s="9">
        <v>1000</v>
      </c>
      <c r="I7" s="48">
        <v>1000</v>
      </c>
      <c r="J7" s="21">
        <f t="shared" si="2"/>
        <v>45600</v>
      </c>
      <c r="K7" s="8" t="s">
        <v>198</v>
      </c>
      <c r="L7" s="9">
        <v>-2600</v>
      </c>
      <c r="M7" s="9"/>
      <c r="N7" s="48">
        <v>-1000</v>
      </c>
      <c r="O7" s="21">
        <f t="shared" si="3"/>
        <v>36900</v>
      </c>
      <c r="P7" s="8"/>
      <c r="Q7" s="9"/>
      <c r="R7" s="9"/>
      <c r="S7" s="48"/>
      <c r="T7" s="21">
        <f t="shared" si="4"/>
        <v>22500</v>
      </c>
      <c r="U7" s="53">
        <f>IF($J7="","",ROUND(($J7-$J$3)/1000,1)+(_xlfn.RANK.AVG($J7,($J7,$O7,$T7),1)-2)*10)</f>
        <v>20.6</v>
      </c>
      <c r="V7" s="54">
        <f>IF($O7="","",ROUND(($O7-$O$3)/1000,1)+(_xlfn.RANK.AVG($O7,($J7,$O7,$T7),1)-2)*10)</f>
        <v>1.9</v>
      </c>
      <c r="W7" s="55">
        <f>IF($T7="","",ROUND(($T7-$T$3)/1000,1)+(_xlfn.RANK.AVG($T7,($J7,$O7,$T7),1)-2)*10)</f>
        <v>-22.5</v>
      </c>
      <c r="Y7" s="8"/>
      <c r="Z7" s="34"/>
      <c r="AA7" s="26"/>
      <c r="AB7" s="26">
        <v>1</v>
      </c>
      <c r="AC7" s="26">
        <v>2</v>
      </c>
      <c r="AD7" s="30">
        <v>40</v>
      </c>
      <c r="AE7" s="40" t="s">
        <v>86</v>
      </c>
      <c r="AF7" s="41" t="s">
        <v>86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209</v>
      </c>
      <c r="F8" s="8" t="s">
        <v>197</v>
      </c>
      <c r="G8" s="9">
        <v>2900</v>
      </c>
      <c r="H8" s="9">
        <v>1000</v>
      </c>
      <c r="I8" s="48">
        <v>0</v>
      </c>
      <c r="J8" s="21">
        <f t="shared" si="2"/>
        <v>49500</v>
      </c>
      <c r="K8" s="8" t="s">
        <v>198</v>
      </c>
      <c r="L8" s="9">
        <v>-2900</v>
      </c>
      <c r="M8" s="9">
        <v>-1000</v>
      </c>
      <c r="N8" s="48">
        <v>0</v>
      </c>
      <c r="O8" s="21">
        <f t="shared" si="3"/>
        <v>33000</v>
      </c>
      <c r="P8" s="8"/>
      <c r="Q8" s="9"/>
      <c r="R8" s="9"/>
      <c r="S8" s="48"/>
      <c r="T8" s="21">
        <f t="shared" si="4"/>
        <v>22500</v>
      </c>
      <c r="U8" s="53">
        <f>IF($J8="","",ROUND(($J8-$J$3)/1000,1)+(_xlfn.RANK.AVG($J8,($J8,$O8,$T8),1)-2)*10)</f>
        <v>24.5</v>
      </c>
      <c r="V8" s="54">
        <f>IF($O8="","",ROUND(($O8-$O$3)/1000,1)+(_xlfn.RANK.AVG($O8,($J8,$O8,$T8),1)-2)*10)</f>
        <v>-2</v>
      </c>
      <c r="W8" s="55">
        <f>IF($T8="","",ROUND(($T8-$T$3)/1000,1)+(_xlfn.RANK.AVG($T8,($J8,$O8,$T8),1)-2)*10)</f>
        <v>-22.5</v>
      </c>
      <c r="Y8" s="8"/>
      <c r="Z8" s="34"/>
      <c r="AA8" s="26">
        <v>1</v>
      </c>
      <c r="AB8" s="26"/>
      <c r="AC8" s="26">
        <v>2</v>
      </c>
      <c r="AD8" s="30">
        <v>30</v>
      </c>
      <c r="AE8" s="40" t="s">
        <v>199</v>
      </c>
      <c r="AF8" s="41" t="s">
        <v>83</v>
      </c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1</v>
      </c>
      <c r="D9" s="18">
        <f t="shared" si="1"/>
        <v>0</v>
      </c>
      <c r="E9" s="4" t="s">
        <v>209</v>
      </c>
      <c r="F9" s="8" t="s">
        <v>213</v>
      </c>
      <c r="G9" s="9">
        <v>-1500</v>
      </c>
      <c r="H9" s="9"/>
      <c r="I9" s="48"/>
      <c r="J9" s="21">
        <f t="shared" si="2"/>
        <v>48000</v>
      </c>
      <c r="K9" s="8" t="s">
        <v>213</v>
      </c>
      <c r="L9" s="9">
        <v>-1500</v>
      </c>
      <c r="M9" s="9"/>
      <c r="N9" s="48"/>
      <c r="O9" s="21">
        <f t="shared" si="3"/>
        <v>31500</v>
      </c>
      <c r="P9" s="8" t="s">
        <v>213</v>
      </c>
      <c r="Q9" s="9">
        <v>3000</v>
      </c>
      <c r="R9" s="9">
        <v>-1000</v>
      </c>
      <c r="S9" s="48"/>
      <c r="T9" s="21">
        <f t="shared" si="4"/>
        <v>24500</v>
      </c>
      <c r="U9" s="53">
        <f>IF($J9="","",ROUND(($J9-$J$3)/1000,1)+(_xlfn.RANK.AVG($J9,($J9,$O9,$T9),1)-2)*10)</f>
        <v>23</v>
      </c>
      <c r="V9" s="54">
        <f>IF($O9="","",ROUND(($O9-$O$3)/1000,1)+(_xlfn.RANK.AVG($O9,($J9,$O9,$T9),1)-2)*10)</f>
        <v>-3.5</v>
      </c>
      <c r="W9" s="55">
        <f>IF($T9="","",ROUND(($T9-$T$3)/1000,1)+(_xlfn.RANK.AVG($T9,($J9,$O9,$T9),1)-2)*10)</f>
        <v>-20.5</v>
      </c>
      <c r="Y9" s="8" t="s">
        <v>212</v>
      </c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 t="s">
        <v>212</v>
      </c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 t="s">
        <v>203</v>
      </c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2</v>
      </c>
      <c r="D10" s="18">
        <f t="shared" si="1"/>
        <v>1</v>
      </c>
      <c r="E10" s="4" t="s">
        <v>207</v>
      </c>
      <c r="F10" s="8" t="s">
        <v>213</v>
      </c>
      <c r="G10" s="9">
        <v>-1500</v>
      </c>
      <c r="H10" s="9"/>
      <c r="I10" s="48"/>
      <c r="J10" s="21">
        <f t="shared" si="2"/>
        <v>46500</v>
      </c>
      <c r="K10" s="8" t="s">
        <v>213</v>
      </c>
      <c r="L10" s="9">
        <v>-1500</v>
      </c>
      <c r="M10" s="9"/>
      <c r="N10" s="48"/>
      <c r="O10" s="21">
        <f t="shared" si="3"/>
        <v>30000</v>
      </c>
      <c r="P10" s="8" t="s">
        <v>213</v>
      </c>
      <c r="Q10" s="9">
        <v>3000</v>
      </c>
      <c r="R10" s="9">
        <v>-1000</v>
      </c>
      <c r="S10" s="48"/>
      <c r="T10" s="21">
        <f t="shared" si="4"/>
        <v>26500</v>
      </c>
      <c r="U10" s="53">
        <f>IF($J10="","",ROUND(($J10-$J$3)/1000,1)+(_xlfn.RANK.AVG($J10,($J10,$O10,$T10),1)-2)*10)</f>
        <v>21.5</v>
      </c>
      <c r="V10" s="54">
        <f>IF($O10="","",ROUND(($O10-$O$3)/1000,1)+(_xlfn.RANK.AVG($O10,($J10,$O10,$T10),1)-2)*10)</f>
        <v>-5</v>
      </c>
      <c r="W10" s="55">
        <f>IF($T10="","",ROUND(($T10-$T$3)/1000,1)+(_xlfn.RANK.AVG($T10,($J10,$O10,$T10),1)-2)*10)</f>
        <v>-18.5</v>
      </c>
      <c r="Y10" s="8" t="s">
        <v>212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212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203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3</v>
      </c>
      <c r="D11" s="18">
        <f t="shared" si="1"/>
        <v>2</v>
      </c>
      <c r="E11" s="4" t="s">
        <v>195</v>
      </c>
      <c r="F11" s="8" t="s">
        <v>200</v>
      </c>
      <c r="G11" s="9">
        <v>-12000</v>
      </c>
      <c r="H11" s="9">
        <v>-1000</v>
      </c>
      <c r="I11" s="48">
        <v>-1500</v>
      </c>
      <c r="J11" s="21">
        <f t="shared" si="2"/>
        <v>32000</v>
      </c>
      <c r="K11" s="8" t="s">
        <v>200</v>
      </c>
      <c r="L11" s="9">
        <v>-12000</v>
      </c>
      <c r="M11" s="9"/>
      <c r="N11" s="48">
        <v>-1500</v>
      </c>
      <c r="O11" s="21">
        <f t="shared" si="3"/>
        <v>16500</v>
      </c>
      <c r="P11" s="8" t="s">
        <v>201</v>
      </c>
      <c r="Q11" s="9">
        <v>24000</v>
      </c>
      <c r="R11" s="9">
        <v>3000</v>
      </c>
      <c r="S11" s="48">
        <v>3000</v>
      </c>
      <c r="T11" s="21">
        <f t="shared" si="4"/>
        <v>56500</v>
      </c>
      <c r="U11" s="53">
        <f>IF($J11="","",ROUND(($J11-$J$3)/1000,1)+(_xlfn.RANK.AVG($J11,($J11,$O11,$T11),1)-2)*10)</f>
        <v>-3</v>
      </c>
      <c r="V11" s="54">
        <f>IF($O11="","",ROUND(($O11-$O$3)/1000,1)+(_xlfn.RANK.AVG($O11,($J11,$O11,$T11),1)-2)*10)</f>
        <v>-28.5</v>
      </c>
      <c r="W11" s="55">
        <f>IF($T11="","",ROUND(($T11-$T$3)/1000,1)+(_xlfn.RANK.AVG($T11,($J11,$O11,$T11),1)-2)*10)</f>
        <v>31.5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>
        <v>1</v>
      </c>
      <c r="BR11" s="26"/>
      <c r="BS11" s="26">
        <v>8</v>
      </c>
      <c r="BT11" s="30" t="s">
        <v>202</v>
      </c>
      <c r="BU11" s="40" t="s">
        <v>199</v>
      </c>
      <c r="BV11" s="41" t="s">
        <v>82</v>
      </c>
      <c r="BW11" s="41" t="s">
        <v>206</v>
      </c>
      <c r="BX11" s="41" t="s">
        <v>92</v>
      </c>
      <c r="BY11" s="41" t="s">
        <v>79</v>
      </c>
      <c r="BZ11" s="41" t="s">
        <v>80</v>
      </c>
      <c r="CA11" s="41" t="s">
        <v>83</v>
      </c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qref="F1:T1" xr:uid="{5CE3A47B-4ACB-452F-914D-6F4012D2ACF9}">
      <formula1>"たかの,だいち,ただ,りくと,れんたろう,まっつん,のり,ぱぱ,ほたに,いっしー,"</formula1>
    </dataValidation>
    <dataValidation type="list" showInputMessage="1" showErrorMessage="1" sqref="K4:K30 P4:P30 F4:F30" xr:uid="{11ACAFA6-ED53-4F89-BE57-50AF068EFB9B}">
      <formula1>"ロン,ツモ,放銃,ツモ支払,流局,チョンボ"</formula1>
    </dataValidation>
    <dataValidation type="list" allowBlank="1" showInputMessage="1" showErrorMessage="1" sqref="E4:E30" xr:uid="{C229D5ED-207D-4DF8-8B8C-EF9D3953D0ED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2019-10-24T15:31:50Z</dcterms:modified>
</cp:coreProperties>
</file>