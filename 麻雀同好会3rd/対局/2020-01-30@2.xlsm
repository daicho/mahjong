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対局\"/>
    </mc:Choice>
  </mc:AlternateContent>
  <xr:revisionPtr revIDLastSave="0" documentId="13_ncr:1_{1E743D98-E518-4393-9A1E-0A7B2526DC71}" xr6:coauthVersionLast="44" xr6:coauthVersionMax="44" xr10:uidLastSave="{00000000-0000-0000-0000-000000000000}"/>
  <bookViews>
    <workbookView xWindow="-108" yWindow="-108" windowWidth="23256" windowHeight="12720" xr2:uid="{4CDB34E1-560F-4998-ABAB-D6F7F2862621}"/>
  </bookViews>
  <sheets>
    <sheet name="Sheet1" sheetId="19" r:id="rId1"/>
    <sheet name="Sheet2" sheetId="21" r:id="rId2"/>
    <sheet name="役一覧" sheetId="15" state="hidden" r:id="rId3"/>
    <sheet name="点数表(親ロン)" sheetId="4" state="hidden" r:id="rId4"/>
    <sheet name="点数表(親ツモ)" sheetId="9" state="hidden" r:id="rId5"/>
    <sheet name="点数表(子→親)" sheetId="7" state="hidden" r:id="rId6"/>
    <sheet name="点数表(子ロン)" sheetId="3" state="hidden" r:id="rId7"/>
    <sheet name="点数表(子ツモ)" sheetId="10" state="hidden" r:id="rId8"/>
    <sheet name="点数表(子→子)" sheetId="5" state="hidden" r:id="rId9"/>
    <sheet name="点数表(親→子)" sheetId="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T30" i="21" l="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/>
  <c r="T15" i="21"/>
  <c r="W15" i="21" s="1"/>
  <c r="O15" i="21"/>
  <c r="V15" i="21" s="1"/>
  <c r="J15" i="21"/>
  <c r="U15" i="21" s="1"/>
  <c r="D15" i="21"/>
  <c r="C15" i="21"/>
  <c r="B15" i="21"/>
  <c r="A15" i="21"/>
  <c r="T14" i="21"/>
  <c r="W14" i="21" s="1"/>
  <c r="O14" i="21"/>
  <c r="V14" i="21" s="1"/>
  <c r="J14" i="21"/>
  <c r="U14" i="21" s="1"/>
  <c r="D14" i="21"/>
  <c r="C14" i="21"/>
  <c r="B14" i="21"/>
  <c r="A14" i="21"/>
  <c r="T13" i="21"/>
  <c r="W13" i="21" s="1"/>
  <c r="O13" i="21"/>
  <c r="V13" i="21" s="1"/>
  <c r="J13" i="21"/>
  <c r="U13" i="21" s="1"/>
  <c r="D13" i="21"/>
  <c r="C13" i="21"/>
  <c r="B13" i="21"/>
  <c r="A13" i="21"/>
  <c r="T12" i="21"/>
  <c r="W12" i="21" s="1"/>
  <c r="O12" i="21"/>
  <c r="V12" i="21" s="1"/>
  <c r="J12" i="21"/>
  <c r="U12" i="21" s="1"/>
  <c r="D12" i="21"/>
  <c r="C12" i="21"/>
  <c r="B12" i="21"/>
  <c r="A12" i="21"/>
  <c r="T11" i="21"/>
  <c r="W11" i="21" s="1"/>
  <c r="O11" i="21"/>
  <c r="V11" i="21" s="1"/>
  <c r="J11" i="21"/>
  <c r="U11" i="21" s="1"/>
  <c r="D11" i="21"/>
  <c r="C11" i="21"/>
  <c r="B11" i="21"/>
  <c r="A11" i="21"/>
  <c r="T10" i="21"/>
  <c r="W10" i="21" s="1"/>
  <c r="O10" i="21"/>
  <c r="V10" i="21" s="1"/>
  <c r="J10" i="21"/>
  <c r="U10" i="21" s="1"/>
  <c r="D10" i="21"/>
  <c r="C10" i="21"/>
  <c r="B10" i="21"/>
  <c r="A10" i="21" s="1"/>
  <c r="T9" i="21"/>
  <c r="O9" i="21"/>
  <c r="J9" i="21"/>
  <c r="D9" i="21"/>
  <c r="C9" i="21"/>
  <c r="B9" i="21"/>
  <c r="A9" i="21" s="1"/>
  <c r="T8" i="21"/>
  <c r="O8" i="21"/>
  <c r="J8" i="21"/>
  <c r="U8" i="21" s="1"/>
  <c r="D8" i="21"/>
  <c r="C8" i="21"/>
  <c r="B8" i="21"/>
  <c r="A8" i="21"/>
  <c r="T7" i="21"/>
  <c r="O7" i="21"/>
  <c r="J7" i="21"/>
  <c r="D7" i="21"/>
  <c r="C7" i="21"/>
  <c r="B7" i="21"/>
  <c r="A7" i="21" s="1"/>
  <c r="T6" i="21"/>
  <c r="O6" i="21"/>
  <c r="J6" i="21"/>
  <c r="D6" i="21"/>
  <c r="C6" i="21"/>
  <c r="B6" i="21"/>
  <c r="A6" i="21"/>
  <c r="T5" i="21"/>
  <c r="O5" i="21"/>
  <c r="J5" i="21"/>
  <c r="D5" i="21"/>
  <c r="C5" i="21"/>
  <c r="B5" i="21"/>
  <c r="A5" i="21" s="1"/>
  <c r="T4" i="21"/>
  <c r="O4" i="21"/>
  <c r="J4" i="21"/>
  <c r="W3" i="21"/>
  <c r="V3" i="21"/>
  <c r="U3" i="21"/>
  <c r="W2" i="21"/>
  <c r="V2" i="21"/>
  <c r="U2" i="21"/>
  <c r="BO1" i="21"/>
  <c r="AT1" i="21"/>
  <c r="Y1" i="21"/>
  <c r="V9" i="21" l="1"/>
  <c r="U9" i="21"/>
  <c r="W9" i="21"/>
  <c r="W8" i="21"/>
  <c r="V8" i="21"/>
  <c r="W7" i="21"/>
  <c r="U7" i="21"/>
  <c r="V7" i="21"/>
  <c r="V6" i="21"/>
  <c r="W6" i="21"/>
  <c r="U6" i="21"/>
  <c r="V5" i="21"/>
  <c r="W5" i="21"/>
  <c r="U5" i="21"/>
  <c r="V4" i="21"/>
  <c r="W4" i="21"/>
  <c r="U4" i="21"/>
  <c r="E4" i="19"/>
  <c r="W3" i="19" l="1"/>
  <c r="V3" i="19"/>
  <c r="U3" i="19"/>
  <c r="T30" i="19" l="1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W11" i="19" s="1"/>
  <c r="O11" i="19"/>
  <c r="V11" i="19" s="1"/>
  <c r="J11" i="19"/>
  <c r="U11" i="19" s="1"/>
  <c r="D11" i="19"/>
  <c r="C11" i="19"/>
  <c r="B11" i="19"/>
  <c r="A11" i="19" s="1"/>
  <c r="T10" i="19"/>
  <c r="O10" i="19"/>
  <c r="J10" i="19"/>
  <c r="U10" i="19" s="1"/>
  <c r="D10" i="19"/>
  <c r="C10" i="19"/>
  <c r="B10" i="19"/>
  <c r="A10" i="19" s="1"/>
  <c r="T9" i="19"/>
  <c r="O9" i="19"/>
  <c r="V9" i="19" s="1"/>
  <c r="J9" i="19"/>
  <c r="U9" i="19" s="1"/>
  <c r="D9" i="19"/>
  <c r="C9" i="19"/>
  <c r="B9" i="19"/>
  <c r="A9" i="19" s="1"/>
  <c r="T8" i="19"/>
  <c r="W8" i="19" s="1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D6" i="19"/>
  <c r="C6" i="19"/>
  <c r="B6" i="19"/>
  <c r="A6" i="19"/>
  <c r="D5" i="19"/>
  <c r="C5" i="19"/>
  <c r="B5" i="19"/>
  <c r="A5" i="19" s="1"/>
  <c r="T4" i="19"/>
  <c r="O4" i="19"/>
  <c r="J4" i="19"/>
  <c r="W2" i="19"/>
  <c r="V2" i="19"/>
  <c r="U2" i="19"/>
  <c r="BO1" i="19"/>
  <c r="AT1" i="19"/>
  <c r="Y1" i="19"/>
  <c r="U6" i="19" l="1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W5" i="19" l="1"/>
  <c r="V5" i="19"/>
  <c r="U5" i="19"/>
</calcChain>
</file>

<file path=xl/sharedStrings.xml><?xml version="1.0" encoding="utf-8"?>
<sst xmlns="http://schemas.openxmlformats.org/spreadsheetml/2006/main" count="649" uniqueCount="208">
  <si>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</si>
  <si>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</si>
  <si>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</si>
  <si>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</si>
  <si>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</si>
  <si>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</si>
  <si>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</si>
  <si>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</si>
  <si>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</si>
  <si>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</si>
  <si>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</si>
  <si>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</si>
  <si>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</si>
  <si>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</si>
  <si>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</si>
  <si>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</si>
  <si>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</si>
  <si>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</si>
  <si>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</si>
  <si>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</si>
  <si>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</si>
  <si>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</si>
  <si>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</si>
  <si>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</si>
  <si>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</si>
  <si>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</si>
  <si>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</si>
  <si>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</si>
  <si>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</si>
  <si>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</si>
  <si>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</si>
  <si>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</si>
  <si>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</si>
  <si>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</si>
  <si>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</si>
  <si>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</si>
  <si>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</si>
  <si>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</si>
  <si>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</si>
  <si>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</si>
  <si>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</si>
  <si>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</si>
  <si>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</si>
  <si>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</si>
  <si>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</si>
  <si>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</si>
  <si>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</si>
  <si>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</si>
  <si>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</si>
  <si>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</si>
  <si>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</si>
  <si>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</si>
  <si>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</si>
  <si>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</si>
  <si>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</si>
  <si>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</si>
  <si>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</si>
  <si>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</si>
  <si>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</si>
  <si>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</si>
  <si>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</si>
  <si>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</si>
  <si>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</si>
  <si>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</si>
  <si>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</si>
  <si>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</si>
  <si>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</si>
  <si>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</si>
  <si>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</si>
  <si>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</si>
  <si>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</si>
  <si>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</si>
  <si>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</si>
  <si>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</si>
  <si>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</si>
  <si>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</si>
  <si>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</si>
  <si>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</si>
  <si>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</si>
  <si>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</si>
  <si>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</si>
  <si>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</si>
  <si>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</si>
  <si>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</si>
  <si>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</si>
  <si>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</si>
  <si>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</si>
  <si>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</si>
  <si>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</si>
  <si>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</si>
  <si>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</si>
  <si>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</si>
  <si>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</si>
  <si>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</si>
  <si>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</si>
  <si>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</si>
  <si>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</si>
  <si>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</si>
  <si>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</si>
  <si>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</si>
  <si>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</si>
  <si>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</si>
  <si>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</si>
  <si>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</si>
  <si>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</si>
  <si>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</si>
  <si>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</si>
  <si>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</si>
  <si>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</si>
  <si>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</si>
  <si>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</si>
  <si>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</si>
  <si>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</si>
  <si>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</si>
  <si>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</si>
  <si>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</si>
  <si>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</si>
  <si>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</si>
  <si>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</si>
  <si>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</si>
  <si>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</si>
  <si>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</si>
  <si>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</si>
  <si>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</si>
  <si>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</si>
  <si>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</si>
  <si>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</si>
  <si>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</si>
  <si>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</si>
  <si>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</si>
  <si>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</si>
  <si>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</si>
  <si>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</si>
  <si>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</si>
  <si>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</si>
  <si>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</si>
  <si>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</si>
  <si>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</si>
  <si>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</si>
  <si>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</si>
  <si>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</si>
  <si>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</si>
  <si>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</si>
  <si>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</si>
  <si>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</si>
  <si>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</si>
  <si>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</si>
  <si>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</si>
  <si>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</si>
  <si>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</si>
  <si>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</si>
  <si>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</si>
  <si>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</si>
  <si>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</si>
  <si>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</si>
  <si>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</si>
  <si>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</si>
  <si>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</si>
  <si>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</si>
  <si>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</si>
  <si>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</si>
  <si>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</si>
  <si>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</si>
  <si>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</si>
  <si>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</si>
  <si>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</si>
  <si>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</si>
  <si>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</si>
  <si>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</si>
  <si>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</si>
  <si>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</si>
  <si>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</si>
  <si>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</si>
  <si>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</si>
  <si>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</si>
  <si>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</si>
  <si>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</si>
  <si>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</si>
  <si>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</si>
  <si>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</si>
  <si>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</si>
  <si>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</si>
  <si>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</si>
  <si>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</si>
  <si>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</si>
  <si>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</si>
  <si>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</si>
  <si>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</si>
  <si>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</si>
  <si>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</si>
  <si>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</si>
  <si>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たか</t>
  </si>
  <si>
    <t>たか</t>
    <phoneticPr fontId="1"/>
  </si>
  <si>
    <t>のり</t>
  </si>
  <si>
    <t>のり</t>
    <phoneticPr fontId="1"/>
  </si>
  <si>
    <t>れんたろう</t>
  </si>
  <si>
    <t>れんたろう</t>
    <phoneticPr fontId="1"/>
  </si>
  <si>
    <t>ツモ支払</t>
  </si>
  <si>
    <t>ツモ</t>
  </si>
  <si>
    <t>*</t>
  </si>
  <si>
    <t>01</t>
  </si>
  <si>
    <t>52</t>
  </si>
  <si>
    <t>N</t>
  </si>
  <si>
    <t>T</t>
  </si>
  <si>
    <t>流局</t>
    <phoneticPr fontId="1"/>
  </si>
  <si>
    <t>放銃</t>
  </si>
  <si>
    <t>ロン</t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</si>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</sst>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1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192</v>
      </c>
      <c r="G1" s="72"/>
      <c r="H1" s="72"/>
      <c r="I1" s="73"/>
      <c r="J1" s="74"/>
      <c r="K1" s="71" t="s">
        <v>194</v>
      </c>
      <c r="L1" s="72"/>
      <c r="M1" s="72"/>
      <c r="N1" s="73"/>
      <c r="O1" s="74"/>
      <c r="P1" s="71" t="s">
        <v>196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たか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のり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れんたろう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5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たか</v>
      </c>
      <c r="V2" s="64" t="str">
        <f>$K$1</f>
        <v>のり</v>
      </c>
      <c r="W2" s="16" t="str">
        <f>$P$1</f>
        <v>れんたろう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F1</f>
        <v>たか</v>
      </c>
      <c r="F4" s="8" t="s">
        <v>197</v>
      </c>
      <c r="G4" s="9">
        <v>-7500</v>
      </c>
      <c r="H4" s="9"/>
      <c r="I4" s="48">
        <v>0</v>
      </c>
      <c r="J4" s="21">
        <f>IF(COUNTA($F4,$K4,$P4)&gt;0,J3+SUM(G4:I4),"")</f>
        <v>27500</v>
      </c>
      <c r="K4" s="8" t="s">
        <v>197</v>
      </c>
      <c r="L4" s="9">
        <v>-4500</v>
      </c>
      <c r="M4" s="9">
        <v>-1000</v>
      </c>
      <c r="N4" s="48">
        <v>0</v>
      </c>
      <c r="O4" s="21">
        <f>IF(COUNTA($F4,$K4,$P4)&gt;0,O3+SUM(L4:N4),"")</f>
        <v>29500</v>
      </c>
      <c r="P4" s="8" t="s">
        <v>198</v>
      </c>
      <c r="Q4" s="9">
        <v>12000</v>
      </c>
      <c r="R4" s="9">
        <v>1000</v>
      </c>
      <c r="S4" s="48">
        <v>0</v>
      </c>
      <c r="T4" s="21">
        <f>IF(COUNTA($F4,$K4,$P4)&gt;0,T3+SUM(Q4:S4),"")</f>
        <v>48000</v>
      </c>
      <c r="U4" s="53">
        <f>IF($J4="","",ROUND(($J4-$J$3)/1000,1)+(_xlfn.RANK.AVG($J4,($J4,$O4,$T4),1)-2)*10)</f>
        <v>-17.5</v>
      </c>
      <c r="V4" s="54">
        <f>IF($O4="","",ROUND(($O4-$O$3)/1000,1)+(_xlfn.RANK.AVG($O4,($J4,$O4,$T4),1)-2)*10)</f>
        <v>-5.5</v>
      </c>
      <c r="W4" s="55">
        <f>IF($T4="","",ROUND(($T4-$T$3)/1000,1)+(_xlfn.RANK.AVG($T4,($J4,$O4,$T4),1)-2)*10)</f>
        <v>23</v>
      </c>
      <c r="Y4" s="8"/>
      <c r="Z4" s="34"/>
      <c r="AA4" s="26"/>
      <c r="AB4" s="26">
        <v>1</v>
      </c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>
        <v>6</v>
      </c>
      <c r="BT4" s="30" t="s">
        <v>199</v>
      </c>
      <c r="BU4" s="40" t="s">
        <v>200</v>
      </c>
      <c r="BV4" s="41" t="s">
        <v>82</v>
      </c>
      <c r="BW4" s="41" t="s">
        <v>201</v>
      </c>
      <c r="BX4" s="41" t="s">
        <v>201</v>
      </c>
      <c r="BY4" s="41" t="s">
        <v>96</v>
      </c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193</v>
      </c>
      <c r="F5" s="8" t="s">
        <v>204</v>
      </c>
      <c r="G5" s="9">
        <v>-1500</v>
      </c>
      <c r="H5" s="9"/>
      <c r="I5" s="48"/>
      <c r="J5" s="21">
        <f t="shared" ref="J5:J30" si="2">IF(COUNTA($F5,$K5,$P5)&gt;0,J4+SUM(G5:I5),"")</f>
        <v>26000</v>
      </c>
      <c r="K5" s="8" t="s">
        <v>204</v>
      </c>
      <c r="L5" s="9">
        <v>3000</v>
      </c>
      <c r="M5" s="9">
        <v>-1000</v>
      </c>
      <c r="N5" s="48"/>
      <c r="O5" s="21">
        <f t="shared" ref="O5:O30" si="3">IF(COUNTA($F5,$K5,$P5)&gt;0,O4+SUM(L5:N5),"")</f>
        <v>31500</v>
      </c>
      <c r="P5" s="8" t="s">
        <v>204</v>
      </c>
      <c r="Q5" s="9">
        <v>-1500</v>
      </c>
      <c r="R5" s="9"/>
      <c r="S5" s="48"/>
      <c r="T5" s="21">
        <f t="shared" ref="T5:T30" si="4">IF(COUNTA($F5,$K5,$P5)&gt;0,T4+SUM(Q5:S5),"")</f>
        <v>46500</v>
      </c>
      <c r="U5" s="53">
        <f>IF($J5="","",ROUND(($J5-$J$3)/1000,1)+(_xlfn.RANK.AVG($J5,($J5,$O5,$T5),1)-2)*10)</f>
        <v>-19</v>
      </c>
      <c r="V5" s="54">
        <f>IF($O5="","",ROUND(($O5-$O$3)/1000,1)+(_xlfn.RANK.AVG($O5,($J5,$O5,$T5),1)-2)*10)</f>
        <v>-3.5</v>
      </c>
      <c r="W5" s="55">
        <f>IF($T5="","",ROUND(($T5-$T$3)/1000,1)+(_xlfn.RANK.AVG($T5,($J5,$O5,$T5),1)-2)*10)</f>
        <v>21.5</v>
      </c>
      <c r="Y5" s="8" t="s">
        <v>202</v>
      </c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 t="s">
        <v>203</v>
      </c>
      <c r="AU5" s="34"/>
      <c r="AV5" s="26">
        <v>1</v>
      </c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 t="s">
        <v>202</v>
      </c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1</v>
      </c>
      <c r="E6" s="4" t="s">
        <v>193</v>
      </c>
      <c r="F6" s="8" t="s">
        <v>205</v>
      </c>
      <c r="G6" s="9">
        <v>-32000</v>
      </c>
      <c r="H6" s="9"/>
      <c r="I6" s="48">
        <v>-1000</v>
      </c>
      <c r="J6" s="21">
        <f t="shared" si="2"/>
        <v>-7000</v>
      </c>
      <c r="K6" s="8"/>
      <c r="L6" s="9"/>
      <c r="M6" s="9"/>
      <c r="N6" s="48"/>
      <c r="O6" s="21">
        <f t="shared" si="3"/>
        <v>31500</v>
      </c>
      <c r="P6" s="8" t="s">
        <v>206</v>
      </c>
      <c r="Q6" s="9">
        <v>32000</v>
      </c>
      <c r="R6" s="9">
        <v>1000</v>
      </c>
      <c r="S6" s="48">
        <v>1000</v>
      </c>
      <c r="T6" s="21">
        <f t="shared" si="4"/>
        <v>80500</v>
      </c>
      <c r="U6" s="53">
        <f>IF($J6="","",ROUND(($J6-$J$3)/1000,1)+(_xlfn.RANK.AVG($J6,($J6,$O6,$T6),1)-2)*10)</f>
        <v>-52</v>
      </c>
      <c r="V6" s="54">
        <f>IF($O6="","",ROUND(($O6-$O$3)/1000,1)+(_xlfn.RANK.AVG($O6,($J6,$O6,$T6),1)-2)*10)</f>
        <v>-3.5</v>
      </c>
      <c r="W6" s="55">
        <f>IF($T6="","",ROUND(($T6-$T$3)/1000,1)+(_xlfn.RANK.AVG($T6,($J6,$O6,$T6),1)-2)*10)</f>
        <v>55.5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>
        <v>13</v>
      </c>
      <c r="BT6" s="30" t="s">
        <v>199</v>
      </c>
      <c r="BU6" s="40" t="s">
        <v>110</v>
      </c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/>
      </c>
      <c r="B7" s="18" t="str">
        <f t="shared" si="5"/>
        <v/>
      </c>
      <c r="C7" s="18" t="str">
        <f t="shared" si="6"/>
        <v/>
      </c>
      <c r="D7" s="18" t="str">
        <f t="shared" si="1"/>
        <v/>
      </c>
      <c r="E7" s="4"/>
      <c r="F7" s="8"/>
      <c r="G7" s="9"/>
      <c r="H7" s="9"/>
      <c r="I7" s="48"/>
      <c r="J7" s="21" t="str">
        <f t="shared" si="2"/>
        <v/>
      </c>
      <c r="K7" s="8"/>
      <c r="L7" s="9"/>
      <c r="M7" s="9"/>
      <c r="N7" s="48"/>
      <c r="O7" s="21" t="str">
        <f t="shared" si="3"/>
        <v/>
      </c>
      <c r="P7" s="8"/>
      <c r="Q7" s="9"/>
      <c r="R7" s="9"/>
      <c r="S7" s="48"/>
      <c r="T7" s="21" t="str">
        <f t="shared" si="4"/>
        <v/>
      </c>
      <c r="U7" s="53" t="str">
        <f>IF($J7="","",ROUND(($J7-$J$3)/1000,1)+(_xlfn.RANK.AVG($J7,($J7,$O7,$T7),1)-2)*10)</f>
        <v/>
      </c>
      <c r="V7" s="54" t="str">
        <f>IF($O7="","",ROUND(($O7-$O$3)/1000,1)+(_xlfn.RANK.AVG($O7,($J7,$O7,$T7),1)-2)*10)</f>
        <v/>
      </c>
      <c r="W7" s="55" t="str">
        <f>IF($T7="","",ROUND(($T7-$T$3)/1000,1)+(_xlfn.RANK.AVG($T7,($J7,$O7,$T7),1)-2)*10)</f>
        <v/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/>
      </c>
      <c r="B8" s="18" t="str">
        <f t="shared" si="5"/>
        <v/>
      </c>
      <c r="C8" s="18" t="str">
        <f t="shared" si="6"/>
        <v/>
      </c>
      <c r="D8" s="18" t="str">
        <f t="shared" si="1"/>
        <v/>
      </c>
      <c r="E8" s="4"/>
      <c r="F8" s="8"/>
      <c r="G8" s="9"/>
      <c r="H8" s="9"/>
      <c r="I8" s="48"/>
      <c r="J8" s="21" t="str">
        <f t="shared" si="2"/>
        <v/>
      </c>
      <c r="K8" s="8"/>
      <c r="L8" s="9"/>
      <c r="M8" s="9"/>
      <c r="N8" s="48"/>
      <c r="O8" s="21" t="str">
        <f t="shared" si="3"/>
        <v/>
      </c>
      <c r="P8" s="8"/>
      <c r="Q8" s="9"/>
      <c r="R8" s="9"/>
      <c r="S8" s="48"/>
      <c r="T8" s="21" t="str">
        <f t="shared" si="4"/>
        <v/>
      </c>
      <c r="U8" s="53" t="str">
        <f>IF($J8="","",ROUND(($J8-$J$3)/1000,1)+(_xlfn.RANK.AVG($J8,($J8,$O8,$T8),1)-2)*10)</f>
        <v/>
      </c>
      <c r="V8" s="54" t="str">
        <f>IF($O8="","",ROUND(($O8-$O$3)/1000,1)+(_xlfn.RANK.AVG($O8,($J8,$O8,$T8),1)-2)*10)</f>
        <v/>
      </c>
      <c r="W8" s="55" t="str">
        <f>IF($T8="","",ROUND(($T8-$T$3)/1000,1)+(_xlfn.RANK.AVG($T8,($J8,$O8,$T8),1)-2)*10)</f>
        <v/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1"/>
        <v/>
      </c>
      <c r="E9" s="4"/>
      <c r="F9" s="8"/>
      <c r="G9" s="9"/>
      <c r="H9" s="9"/>
      <c r="I9" s="48"/>
      <c r="J9" s="21" t="str">
        <f t="shared" si="2"/>
        <v/>
      </c>
      <c r="K9" s="8"/>
      <c r="L9" s="9"/>
      <c r="M9" s="9"/>
      <c r="N9" s="48"/>
      <c r="O9" s="21" t="str">
        <f t="shared" si="3"/>
        <v/>
      </c>
      <c r="P9" s="8"/>
      <c r="Q9" s="9"/>
      <c r="R9" s="9"/>
      <c r="S9" s="48"/>
      <c r="T9" s="21" t="str">
        <f t="shared" si="4"/>
        <v/>
      </c>
      <c r="U9" s="53" t="str">
        <f>IF($J9="","",ROUND(($J9-$J$3)/1000,1)+(_xlfn.RANK.AVG($J9,($J9,$O9,$T9),1)-2)*10)</f>
        <v/>
      </c>
      <c r="V9" s="54" t="str">
        <f>IF($O9="","",ROUND(($O9-$O$3)/1000,1)+(_xlfn.RANK.AVG($O9,($J9,$O9,$T9),1)-2)*10)</f>
        <v/>
      </c>
      <c r="W9" s="55" t="str">
        <f>IF($T9="","",ROUND(($T9-$T$3)/1000,1)+(_xlfn.RANK.AVG($T9,($J9,$O9,$T9),1)-2)*10)</f>
        <v/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IF($J10="","",ROUND(($J10-$J$3)/1000,1)+(_xlfn.RANK.AVG($J10,($J10,$O10,$T10),1)-2)*10)</f>
        <v/>
      </c>
      <c r="V10" s="54" t="str">
        <f>IF($O10="","",ROUND(($O10-$O$3)/1000,1)+(_xlfn.RANK.AVG($O10,($J10,$O10,$T10),1)-2)*10)</f>
        <v/>
      </c>
      <c r="W10" s="55" t="str">
        <f>IF($T10="","",ROUND(($T10-$T$3)/1000,1)+(_xlfn.RANK.AVG($T10,($J10,$O10,$T10),1)-2)*10)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B24028A2-35CB-43DA-BAE8-D472F9AA1B5B}">
      <formula1>"たかの,だいち,ただ,りくと,れんたろう,まっつん,のり,ぱぱ,ほたに,いっしー,ともき,たか,ゆう,"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5E2815-6EB6-4EFE-8852-794DD0F42593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192</v>
      </c>
      <c r="G1" s="72"/>
      <c r="H1" s="72"/>
      <c r="I1" s="73"/>
      <c r="J1" s="74"/>
      <c r="K1" s="71" t="s">
        <v>194</v>
      </c>
      <c r="L1" s="72"/>
      <c r="M1" s="72"/>
      <c r="N1" s="73"/>
      <c r="O1" s="74"/>
      <c r="P1" s="71" t="s">
        <v>196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たか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のり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れんたろう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5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たか</v>
      </c>
      <c r="V2" s="69" t="str">
        <f>$K$1</f>
        <v>のり</v>
      </c>
      <c r="W2" s="16" t="str">
        <f>$P$1</f>
        <v>れんたろう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">
        <v>191</v>
      </c>
      <c r="F4" s="8" t="s">
        <v>207</v>
      </c>
      <c r="G4" s="9">
        <v>1500</v>
      </c>
      <c r="H4" s="9">
        <v>-1000</v>
      </c>
      <c r="I4" s="48"/>
      <c r="J4" s="21">
        <f>IF(COUNTA($F4,$K4,$P4)&gt;0,J3+SUM(G4:I4),"")</f>
        <v>35500</v>
      </c>
      <c r="K4" s="8" t="s">
        <v>207</v>
      </c>
      <c r="L4" s="9">
        <v>-3000</v>
      </c>
      <c r="M4" s="9"/>
      <c r="N4" s="48"/>
      <c r="O4" s="21">
        <f>IF(COUNTA($F4,$K4,$P4)&gt;0,O3+SUM(L4:N4),"")</f>
        <v>32000</v>
      </c>
      <c r="P4" s="8" t="s">
        <v>207</v>
      </c>
      <c r="Q4" s="9">
        <v>1500</v>
      </c>
      <c r="R4" s="9">
        <v>-1000</v>
      </c>
      <c r="S4" s="48"/>
      <c r="T4" s="21">
        <f>IF(COUNTA($F4,$K4,$P4)&gt;0,T3+SUM(Q4:S4),"")</f>
        <v>35500</v>
      </c>
      <c r="U4" s="53">
        <f>IF($J4="","",ROUND(($J4-$J$3)/1000,1)+(_xlfn.RANK.AVG($J4,($J4,$O4,$T4),1)-2)*10)</f>
        <v>5.5</v>
      </c>
      <c r="V4" s="54">
        <f>IF($O4="","",ROUND(($O4-$O$3)/1000,1)+(_xlfn.RANK.AVG($O4,($J4,$O4,$T4),1)-2)*10)</f>
        <v>-13</v>
      </c>
      <c r="W4" s="55">
        <f>IF($T4="","",ROUND(($T4-$T$3)/1000,1)+(_xlfn.RANK.AVG($T4,($J4,$O4,$T4),1)-2)*10)</f>
        <v>5.5</v>
      </c>
      <c r="Y4" s="8" t="s">
        <v>203</v>
      </c>
      <c r="Z4" s="34"/>
      <c r="AA4" s="26">
        <v>1</v>
      </c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 t="s">
        <v>202</v>
      </c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 t="s">
        <v>203</v>
      </c>
      <c r="BP4" s="34"/>
      <c r="BQ4" s="26">
        <v>1</v>
      </c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2</v>
      </c>
      <c r="E5" s="4" t="s">
        <v>191</v>
      </c>
      <c r="F5" s="8"/>
      <c r="G5" s="9"/>
      <c r="H5" s="9"/>
      <c r="I5" s="48"/>
      <c r="J5" s="21">
        <f t="shared" ref="J5:J30" si="2">IF(COUNTA($F5,$K5,$P5)&gt;0,J4+SUM(G5:I5),"")</f>
        <v>35500</v>
      </c>
      <c r="K5" s="8" t="s">
        <v>205</v>
      </c>
      <c r="L5" s="9">
        <v>-24000</v>
      </c>
      <c r="M5" s="9"/>
      <c r="N5" s="48">
        <v>-1000</v>
      </c>
      <c r="O5" s="21">
        <f t="shared" ref="O5:O30" si="3">IF(COUNTA($F5,$K5,$P5)&gt;0,O4+SUM(L5:N5),"")</f>
        <v>7000</v>
      </c>
      <c r="P5" s="8" t="s">
        <v>206</v>
      </c>
      <c r="Q5" s="9">
        <v>24000</v>
      </c>
      <c r="R5" s="9">
        <v>2000</v>
      </c>
      <c r="S5" s="48">
        <v>1000</v>
      </c>
      <c r="T5" s="21">
        <f t="shared" ref="T5:T30" si="4">IF(COUNTA($F5,$K5,$P5)&gt;0,T4+SUM(Q5:S5),"")</f>
        <v>62500</v>
      </c>
      <c r="U5" s="53">
        <f>IF($J5="","",ROUND(($J5-$J$3)/1000,1)+(_xlfn.RANK.AVG($J5,($J5,$O5,$T5),1)-2)*10)</f>
        <v>0.5</v>
      </c>
      <c r="V5" s="54">
        <f>IF($O5="","",ROUND(($O5-$O$3)/1000,1)+(_xlfn.RANK.AVG($O5,($J5,$O5,$T5),1)-2)*10)</f>
        <v>-38</v>
      </c>
      <c r="W5" s="55">
        <f>IF($T5="","",ROUND(($T5-$T$3)/1000,1)+(_xlfn.RANK.AVG($T5,($J5,$O5,$T5),1)-2)*10)</f>
        <v>37.5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11</v>
      </c>
      <c r="BT5" s="30" t="s">
        <v>199</v>
      </c>
      <c r="BU5" s="40" t="s">
        <v>200</v>
      </c>
      <c r="BV5" s="41" t="s">
        <v>201</v>
      </c>
      <c r="BW5" s="41" t="s">
        <v>80</v>
      </c>
      <c r="BX5" s="41" t="s">
        <v>80</v>
      </c>
      <c r="BY5" s="41" t="s">
        <v>79</v>
      </c>
      <c r="BZ5" s="41" t="s">
        <v>79</v>
      </c>
      <c r="CA5" s="41" t="s">
        <v>79</v>
      </c>
      <c r="CB5" s="41" t="s">
        <v>104</v>
      </c>
      <c r="CC5" s="41" t="s">
        <v>84</v>
      </c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193</v>
      </c>
      <c r="F6" s="8"/>
      <c r="G6" s="9"/>
      <c r="H6" s="9"/>
      <c r="I6" s="48"/>
      <c r="J6" s="21">
        <f t="shared" si="2"/>
        <v>35500</v>
      </c>
      <c r="K6" s="8" t="s">
        <v>206</v>
      </c>
      <c r="L6" s="9">
        <v>12000</v>
      </c>
      <c r="M6" s="9"/>
      <c r="N6" s="48">
        <v>0</v>
      </c>
      <c r="O6" s="21">
        <f t="shared" si="3"/>
        <v>19000</v>
      </c>
      <c r="P6" s="8" t="s">
        <v>205</v>
      </c>
      <c r="Q6" s="9">
        <v>-12000</v>
      </c>
      <c r="R6" s="9"/>
      <c r="S6" s="48">
        <v>0</v>
      </c>
      <c r="T6" s="21">
        <f t="shared" si="4"/>
        <v>50500</v>
      </c>
      <c r="U6" s="53">
        <f>IF($J6="","",ROUND(($J6-$J$3)/1000,1)+(_xlfn.RANK.AVG($J6,($J6,$O6,$T6),1)-2)*10)</f>
        <v>0.5</v>
      </c>
      <c r="V6" s="54">
        <f>IF($O6="","",ROUND(($O6-$O$3)/1000,1)+(_xlfn.RANK.AVG($O6,($J6,$O6,$T6),1)-2)*10)</f>
        <v>-26</v>
      </c>
      <c r="W6" s="55">
        <f>IF($T6="","",ROUND(($T6-$T$3)/1000,1)+(_xlfn.RANK.AVG($T6,($J6,$O6,$T6),1)-2)*10)</f>
        <v>25.5</v>
      </c>
      <c r="Y6" s="8"/>
      <c r="Z6" s="34"/>
      <c r="AA6" s="26"/>
      <c r="AB6" s="26">
        <v>1</v>
      </c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4</v>
      </c>
      <c r="AY6" s="30">
        <v>40</v>
      </c>
      <c r="AZ6" s="40" t="s">
        <v>200</v>
      </c>
      <c r="BA6" s="41" t="s">
        <v>86</v>
      </c>
      <c r="BB6" s="41" t="s">
        <v>201</v>
      </c>
      <c r="BC6" s="41" t="s">
        <v>79</v>
      </c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2</v>
      </c>
      <c r="C7" s="18">
        <f t="shared" si="6"/>
        <v>1</v>
      </c>
      <c r="D7" s="18">
        <f t="shared" si="1"/>
        <v>0</v>
      </c>
      <c r="E7" s="4" t="s">
        <v>193</v>
      </c>
      <c r="F7" s="8" t="s">
        <v>197</v>
      </c>
      <c r="G7" s="9">
        <v>-6000</v>
      </c>
      <c r="H7" s="9"/>
      <c r="I7" s="48">
        <v>-500</v>
      </c>
      <c r="J7" s="21">
        <f t="shared" si="2"/>
        <v>29000</v>
      </c>
      <c r="K7" s="8" t="s">
        <v>198</v>
      </c>
      <c r="L7" s="9">
        <v>12000</v>
      </c>
      <c r="M7" s="9"/>
      <c r="N7" s="48">
        <v>1000</v>
      </c>
      <c r="O7" s="21">
        <f t="shared" si="3"/>
        <v>32000</v>
      </c>
      <c r="P7" s="8" t="s">
        <v>197</v>
      </c>
      <c r="Q7" s="9">
        <v>-6000</v>
      </c>
      <c r="R7" s="9"/>
      <c r="S7" s="48">
        <v>-500</v>
      </c>
      <c r="T7" s="21">
        <f t="shared" si="4"/>
        <v>44000</v>
      </c>
      <c r="U7" s="53">
        <f>IF($J7="","",ROUND(($J7-$J$3)/1000,1)+(_xlfn.RANK.AVG($J7,($J7,$O7,$T7),1)-2)*10)</f>
        <v>-16</v>
      </c>
      <c r="V7" s="54">
        <f>IF($O7="","",ROUND(($O7-$O$3)/1000,1)+(_xlfn.RANK.AVG($O7,($J7,$O7,$T7),1)-2)*10)</f>
        <v>-3</v>
      </c>
      <c r="W7" s="55">
        <f>IF($T7="","",ROUND(($T7-$T$3)/1000,1)+(_xlfn.RANK.AVG($T7,($J7,$O7,$T7),1)-2)*10)</f>
        <v>19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>
        <v>5</v>
      </c>
      <c r="AY7" s="30" t="s">
        <v>199</v>
      </c>
      <c r="AZ7" s="40" t="s">
        <v>104</v>
      </c>
      <c r="BA7" s="41" t="s">
        <v>86</v>
      </c>
      <c r="BB7" s="41" t="s">
        <v>86</v>
      </c>
      <c r="BC7" s="41" t="s">
        <v>87</v>
      </c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東</v>
      </c>
      <c r="B8" s="18">
        <f t="shared" si="5"/>
        <v>2</v>
      </c>
      <c r="C8" s="18">
        <f t="shared" si="6"/>
        <v>2</v>
      </c>
      <c r="D8" s="18">
        <f t="shared" si="1"/>
        <v>0</v>
      </c>
      <c r="E8" s="4" t="s">
        <v>193</v>
      </c>
      <c r="F8" s="8" t="s">
        <v>205</v>
      </c>
      <c r="G8" s="9">
        <v>-18000</v>
      </c>
      <c r="H8" s="9"/>
      <c r="I8" s="48">
        <v>-2000</v>
      </c>
      <c r="J8" s="21">
        <f t="shared" si="2"/>
        <v>9000</v>
      </c>
      <c r="K8" s="8" t="s">
        <v>206</v>
      </c>
      <c r="L8" s="9">
        <v>18000</v>
      </c>
      <c r="M8" s="9"/>
      <c r="N8" s="48">
        <v>2000</v>
      </c>
      <c r="O8" s="21">
        <f t="shared" si="3"/>
        <v>52000</v>
      </c>
      <c r="P8" s="8"/>
      <c r="Q8" s="9"/>
      <c r="R8" s="9"/>
      <c r="S8" s="48"/>
      <c r="T8" s="21">
        <f t="shared" si="4"/>
        <v>44000</v>
      </c>
      <c r="U8" s="53">
        <f>IF($J8="","",ROUND(($J8-$J$3)/1000,1)+(_xlfn.RANK.AVG($J8,($J8,$O8,$T8),1)-2)*10)</f>
        <v>-36</v>
      </c>
      <c r="V8" s="54">
        <f>IF($O8="","",ROUND(($O8-$O$3)/1000,1)+(_xlfn.RANK.AVG($O8,($J8,$O8,$T8),1)-2)*10)</f>
        <v>27</v>
      </c>
      <c r="W8" s="55">
        <f>IF($T8="","",ROUND(($T8-$T$3)/1000,1)+(_xlfn.RANK.AVG($T8,($J8,$O8,$T8),1)-2)*10)</f>
        <v>9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>
        <v>6</v>
      </c>
      <c r="AY8" s="30" t="s">
        <v>199</v>
      </c>
      <c r="AZ8" s="40" t="s">
        <v>201</v>
      </c>
      <c r="BA8" s="41" t="s">
        <v>201</v>
      </c>
      <c r="BB8" s="41" t="s">
        <v>86</v>
      </c>
      <c r="BC8" s="41" t="s">
        <v>79</v>
      </c>
      <c r="BD8" s="41" t="s">
        <v>79</v>
      </c>
      <c r="BE8" s="41" t="s">
        <v>79</v>
      </c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東</v>
      </c>
      <c r="B9" s="18">
        <f t="shared" si="5"/>
        <v>2</v>
      </c>
      <c r="C9" s="18">
        <f t="shared" si="6"/>
        <v>3</v>
      </c>
      <c r="D9" s="18">
        <f t="shared" si="1"/>
        <v>0</v>
      </c>
      <c r="E9" s="4" t="s">
        <v>193</v>
      </c>
      <c r="F9" s="8" t="s">
        <v>205</v>
      </c>
      <c r="G9" s="9">
        <v>-5200</v>
      </c>
      <c r="H9" s="9">
        <v>-1000</v>
      </c>
      <c r="I9" s="48">
        <v>-3000</v>
      </c>
      <c r="J9" s="21">
        <f t="shared" si="2"/>
        <v>-200</v>
      </c>
      <c r="K9" s="8"/>
      <c r="L9" s="9"/>
      <c r="M9" s="9"/>
      <c r="N9" s="48"/>
      <c r="O9" s="21">
        <f t="shared" si="3"/>
        <v>52000</v>
      </c>
      <c r="P9" s="8" t="s">
        <v>206</v>
      </c>
      <c r="Q9" s="9">
        <v>5200</v>
      </c>
      <c r="R9" s="9">
        <v>1000</v>
      </c>
      <c r="S9" s="48">
        <v>3000</v>
      </c>
      <c r="T9" s="21">
        <f t="shared" si="4"/>
        <v>53200</v>
      </c>
      <c r="U9" s="53">
        <f>IF($J9="","",ROUND(($J9-$J$3)/1000,1)+(_xlfn.RANK.AVG($J9,($J9,$O9,$T9),1)-2)*10)</f>
        <v>-45.2</v>
      </c>
      <c r="V9" s="54">
        <f>IF($O9="","",ROUND(($O9-$O$3)/1000,1)+(_xlfn.RANK.AVG($O9,($J9,$O9,$T9),1)-2)*10)</f>
        <v>17</v>
      </c>
      <c r="W9" s="55">
        <f>IF($T9="","",ROUND(($T9-$T$3)/1000,1)+(_xlfn.RANK.AVG($T9,($J9,$O9,$T9),1)-2)*10)</f>
        <v>28.2</v>
      </c>
      <c r="Y9" s="8"/>
      <c r="Z9" s="34"/>
      <c r="AA9" s="26">
        <v>1</v>
      </c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>
        <v>3</v>
      </c>
      <c r="BT9" s="30">
        <v>40</v>
      </c>
      <c r="BU9" s="40" t="s">
        <v>92</v>
      </c>
      <c r="BV9" s="41" t="s">
        <v>201</v>
      </c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東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">
        <v>195</v>
      </c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IF($J10="","",ROUND(($J10-$J$3)/1000,1)+(_xlfn.RANK.AVG($J10,($J10,$O10,$T10),1)-2)*10)</f>
        <v/>
      </c>
      <c r="V10" s="54" t="str">
        <f>IF($O10="","",ROUND(($O10-$O$3)/1000,1)+(_xlfn.RANK.AVG($O10,($J10,$O10,$T10),1)-2)*10)</f>
        <v/>
      </c>
      <c r="W10" s="55" t="str">
        <f>IF($T10="","",ROUND(($T10-$T$3)/1000,1)+(_xlfn.RANK.AVG($T10,($J10,$O10,$T10),1)-2)*10)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howErrorMessage="1" sqref="E4:E30" xr:uid="{A514F1B6-7E6E-4742-B1BC-5E74A141C98F}">
      <formula1>$U$2:$W$2</formula1>
    </dataValidation>
    <dataValidation type="list" showInputMessage="1" showErrorMessage="1" sqref="K4:K30 P4:P30 F4:F30" xr:uid="{2D0A9733-0496-4F2B-8CB8-AE2A9E5B7A75}">
      <formula1>"ロン,ツモ,放銃,ツモ支払,流局,チョンボ"</formula1>
    </dataValidation>
    <dataValidation type="list" allowBlank="1" showInputMessage="1" sqref="F1:T1" xr:uid="{8E459FB7-D11C-4017-9B48-E077D4A230DF}">
      <formula1>"だいち,れんたろう,ただ,りくと,まっつん,たかの,のり,ともき,ぱぱ,たか,"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" x14ac:dyDescent="0.45"/>
  <cols>
    <col min="1" max="1" width="9" style="36" customWidth="1"/>
    <col min="2" max="2" width="6.5" style="36" customWidth="1"/>
    <col min="3" max="3" width="19.19921875" style="15" bestFit="1" customWidth="1"/>
    <col min="4" max="5" width="6.5" style="15" customWidth="1"/>
  </cols>
  <sheetData>
    <row r="1" spans="1:5" x14ac:dyDescent="0.45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5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5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5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5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5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5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5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5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5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5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5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5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5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5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5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5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5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5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5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5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5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5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5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5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5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5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5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5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5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5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5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5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5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5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5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5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5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5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5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5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5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5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5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5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5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5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5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5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5">
      <c r="A50" s="36" t="s">
        <v>125</v>
      </c>
      <c r="C50" s="15" t="s">
        <v>75</v>
      </c>
      <c r="D50" s="15">
        <v>13</v>
      </c>
    </row>
    <row r="51" spans="1:5" x14ac:dyDescent="0.45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5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5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5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" x14ac:dyDescent="0.45"/>
  <cols>
    <col min="1" max="12" width="9" style="32"/>
    <col min="13" max="13" width="9" style="32" customWidth="1"/>
    <col min="14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E3" s="32">
        <v>3900</v>
      </c>
      <c r="F3" s="32">
        <v>7700</v>
      </c>
    </row>
    <row r="4" spans="1:13" x14ac:dyDescent="0.45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5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5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5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5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5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5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5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5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5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5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5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5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2020-01-31T16:16:23Z</dcterms:modified>
</cp:coreProperties>
</file>