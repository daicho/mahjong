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4E81F9BB-B193-4E56-B8CD-A49D2A17F2DE}" xr6:coauthVersionLast="44" xr6:coauthVersionMax="44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V10" i="21" s="1"/>
  <c r="J10" i="21"/>
  <c r="U10" i="21" s="1"/>
  <c r="D10" i="21"/>
  <c r="C10" i="21"/>
  <c r="B10" i="21"/>
  <c r="A10" i="21" s="1"/>
  <c r="T9" i="21"/>
  <c r="O9" i="21"/>
  <c r="J9" i="21"/>
  <c r="D9" i="21"/>
  <c r="C9" i="21"/>
  <c r="B9" i="21"/>
  <c r="A9" i="21" s="1"/>
  <c r="T8" i="21"/>
  <c r="O8" i="21"/>
  <c r="J8" i="21"/>
  <c r="U8" i="21" s="1"/>
  <c r="D8" i="21"/>
  <c r="C8" i="21"/>
  <c r="B8" i="21"/>
  <c r="A8" i="21"/>
  <c r="T7" i="21"/>
  <c r="O7" i="21"/>
  <c r="J7" i="21"/>
  <c r="D7" i="21"/>
  <c r="C7" i="21"/>
  <c r="B7" i="21"/>
  <c r="A7" i="21" s="1"/>
  <c r="T6" i="21"/>
  <c r="O6" i="21"/>
  <c r="J6" i="21"/>
  <c r="D6" i="21"/>
  <c r="C6" i="21"/>
  <c r="B6" i="21"/>
  <c r="A6" i="21"/>
  <c r="T5" i="21"/>
  <c r="O5" i="21"/>
  <c r="J5" i="21"/>
  <c r="D5" i="21"/>
  <c r="C5" i="21"/>
  <c r="B5" i="21"/>
  <c r="A5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V28" i="20"/>
  <c r="T28" i="20"/>
  <c r="W28" i="20" s="1"/>
  <c r="O28" i="20"/>
  <c r="J28" i="20"/>
  <c r="U28" i="20" s="1"/>
  <c r="D28" i="20"/>
  <c r="C28" i="20"/>
  <c r="B28" i="20"/>
  <c r="A28" i="20"/>
  <c r="U27" i="20"/>
  <c r="T27" i="20"/>
  <c r="W27" i="20" s="1"/>
  <c r="O27" i="20"/>
  <c r="V27" i="20" s="1"/>
  <c r="J27" i="20"/>
  <c r="D27" i="20"/>
  <c r="C27" i="20"/>
  <c r="B27" i="20"/>
  <c r="A27" i="20"/>
  <c r="W26" i="20"/>
  <c r="V26" i="20"/>
  <c r="T26" i="20"/>
  <c r="O26" i="20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U23" i="20"/>
  <c r="T23" i="20"/>
  <c r="W23" i="20" s="1"/>
  <c r="O23" i="20"/>
  <c r="V23" i="20" s="1"/>
  <c r="J23" i="20"/>
  <c r="D23" i="20"/>
  <c r="C23" i="20"/>
  <c r="B23" i="20"/>
  <c r="A23" i="20"/>
  <c r="W22" i="20"/>
  <c r="V22" i="20"/>
  <c r="T22" i="20"/>
  <c r="O22" i="20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W20" i="20"/>
  <c r="V20" i="20"/>
  <c r="T20" i="20"/>
  <c r="O20" i="20"/>
  <c r="J20" i="20"/>
  <c r="U20" i="20" s="1"/>
  <c r="D20" i="20"/>
  <c r="C20" i="20"/>
  <c r="B20" i="20"/>
  <c r="A20" i="20"/>
  <c r="U19" i="20"/>
  <c r="T19" i="20"/>
  <c r="W19" i="20" s="1"/>
  <c r="O19" i="20"/>
  <c r="V19" i="20" s="1"/>
  <c r="J19" i="20"/>
  <c r="D19" i="20"/>
  <c r="C19" i="20"/>
  <c r="B19" i="20"/>
  <c r="A19" i="20"/>
  <c r="W18" i="20"/>
  <c r="T18" i="20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V16" i="20"/>
  <c r="T16" i="20"/>
  <c r="W16" i="20" s="1"/>
  <c r="O16" i="20"/>
  <c r="J16" i="20"/>
  <c r="U16" i="20" s="1"/>
  <c r="D16" i="20"/>
  <c r="C16" i="20"/>
  <c r="B16" i="20"/>
  <c r="A16" i="20"/>
  <c r="U15" i="20"/>
  <c r="T15" i="20"/>
  <c r="W15" i="20" s="1"/>
  <c r="O15" i="20"/>
  <c r="V15" i="20" s="1"/>
  <c r="J15" i="20"/>
  <c r="D15" i="20"/>
  <c r="C15" i="20"/>
  <c r="B15" i="20"/>
  <c r="A15" i="20"/>
  <c r="W14" i="20"/>
  <c r="V14" i="20"/>
  <c r="T14" i="20"/>
  <c r="O14" i="20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/>
  <c r="U9" i="20"/>
  <c r="T9" i="20"/>
  <c r="W9" i="20" s="1"/>
  <c r="O9" i="20"/>
  <c r="V9" i="20" s="1"/>
  <c r="J9" i="20"/>
  <c r="D9" i="20"/>
  <c r="C9" i="20"/>
  <c r="B9" i="20"/>
  <c r="A9" i="20"/>
  <c r="T8" i="20"/>
  <c r="W8" i="20" s="1"/>
  <c r="O8" i="20"/>
  <c r="V8" i="20" s="1"/>
  <c r="J8" i="20"/>
  <c r="U8" i="20" s="1"/>
  <c r="D8" i="20"/>
  <c r="C8" i="20"/>
  <c r="B8" i="20"/>
  <c r="A8" i="20"/>
  <c r="U7" i="20"/>
  <c r="T7" i="20"/>
  <c r="W7" i="20" s="1"/>
  <c r="O7" i="20"/>
  <c r="V7" i="20" s="1"/>
  <c r="J7" i="20"/>
  <c r="D7" i="20"/>
  <c r="C7" i="20"/>
  <c r="B7" i="20"/>
  <c r="A7" i="20"/>
  <c r="T5" i="20"/>
  <c r="D5" i="20"/>
  <c r="D6" i="20" s="1"/>
  <c r="C5" i="20"/>
  <c r="C6" i="20" s="1"/>
  <c r="T4" i="20"/>
  <c r="O4" i="20"/>
  <c r="V4" i="20" s="1"/>
  <c r="J4" i="20"/>
  <c r="B5" i="20"/>
  <c r="W3" i="20"/>
  <c r="V3" i="20"/>
  <c r="U3" i="20"/>
  <c r="W2" i="20"/>
  <c r="V2" i="20"/>
  <c r="U2" i="20"/>
  <c r="BO1" i="20"/>
  <c r="AT1" i="20"/>
  <c r="Y1" i="20"/>
  <c r="V9" i="21" l="1"/>
  <c r="U9" i="21"/>
  <c r="W9" i="21"/>
  <c r="W8" i="21"/>
  <c r="V8" i="21"/>
  <c r="W7" i="21"/>
  <c r="U7" i="21"/>
  <c r="V7" i="21"/>
  <c r="V6" i="21"/>
  <c r="W6" i="21"/>
  <c r="U6" i="21"/>
  <c r="V5" i="21"/>
  <c r="W5" i="21"/>
  <c r="U5" i="21"/>
  <c r="V4" i="21"/>
  <c r="W4" i="21"/>
  <c r="U4" i="21"/>
  <c r="W4" i="20"/>
  <c r="W5" i="20"/>
  <c r="B6" i="20"/>
  <c r="A6" i="20" s="1"/>
  <c r="A5" i="20"/>
  <c r="J5" i="20"/>
  <c r="U4" i="20"/>
  <c r="O5" i="20"/>
  <c r="T6" i="20"/>
  <c r="E4" i="19"/>
  <c r="V5" i="20" l="1"/>
  <c r="O6" i="20"/>
  <c r="V6" i="20" s="1"/>
  <c r="U5" i="20"/>
  <c r="J6" i="20"/>
  <c r="W6" i="20" s="1"/>
  <c r="W3" i="19"/>
  <c r="V3" i="19"/>
  <c r="U3" i="19"/>
  <c r="U6" i="20" l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6" i="19" l="1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<sst xmlns="http://schemas.openxmlformats.org/spreadsheetml/2006/main" count="695" uniqueCount="208">
  <si>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</si>
  <si>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</si>
  <si>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</si>
  <si>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</si>
  <si>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</si>
  <si>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</si>
  <si>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</si>
  <si>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</si>
  <si>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</si>
  <si>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</si>
  <si>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</si>
  <si>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</si>
  <si>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</si>
  <si>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</si>
  <si>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</si>
  <si>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</si>
  <si>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</si>
  <si>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</si>
  <si>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</si>
  <si>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</si>
  <si>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</si>
  <si>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</si>
  <si>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</si>
  <si>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</si>
  <si>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</si>
  <si>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</si>
  <si>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</si>
  <si>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</si>
  <si>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</si>
  <si>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</si>
  <si>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</si>
  <si>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</si>
  <si>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</si>
  <si>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</si>
  <si>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</si>
  <si>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</si>
  <si>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</si>
  <si>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</si>
  <si>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</si>
  <si>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</si>
  <si>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</si>
  <si>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</si>
  <si>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</si>
  <si>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</si>
  <si>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</si>
  <si>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</si>
  <si>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</si>
  <si>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</si>
  <si>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</si>
  <si>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</si>
  <si>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</si>
  <si>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</si>
  <si>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</si>
  <si>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</si>
  <si>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</si>
  <si>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</si>
  <si>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</si>
  <si>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</si>
  <si>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</si>
  <si>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</si>
  <si>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</si>
  <si>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</si>
  <si>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</si>
  <si>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</si>
  <si>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</si>
  <si>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</si>
  <si>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</si>
  <si>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</si>
  <si>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</si>
  <si>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</si>
  <si>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</si>
  <si>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</si>
  <si>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</si>
  <si>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</si>
  <si>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</si>
  <si>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</si>
  <si>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</si>
  <si>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</si>
  <si>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</si>
  <si>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</si>
  <si>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</si>
  <si>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</si>
  <si>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</si>
  <si>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</si>
  <si>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</si>
  <si>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</si>
  <si>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</si>
  <si>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</si>
  <si>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</si>
  <si>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</si>
  <si>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</si>
  <si>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</si>
  <si>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</si>
  <si>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</si>
  <si>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</si>
  <si>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</si>
  <si>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</si>
  <si>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</si>
  <si>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</si>
  <si>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</si>
  <si>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</si>
  <si>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</si>
  <si>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</si>
  <si>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</si>
  <si>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</si>
  <si>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</si>
  <si>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</si>
  <si>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</si>
  <si>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</si>
  <si>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</si>
  <si>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</si>
  <si>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</si>
  <si>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</si>
  <si>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</si>
  <si>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</si>
  <si>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</si>
  <si>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</si>
  <si>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</si>
  <si>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</si>
  <si>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</si>
  <si>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</si>
  <si>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</si>
  <si>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</si>
  <si>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</si>
  <si>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</si>
  <si>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</si>
  <si>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</si>
  <si>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</si>
  <si>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</si>
  <si>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</si>
  <si>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</si>
  <si>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</si>
  <si>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</si>
  <si>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</si>
  <si>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</si>
  <si>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</si>
  <si>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</si>
  <si>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</si>
  <si>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</si>
  <si>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</si>
  <si>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</si>
  <si>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</si>
  <si>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</si>
  <si>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</si>
  <si>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</si>
  <si>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</si>
  <si>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</si>
  <si>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</si>
  <si>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</si>
  <si>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</si>
  <si>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</si>
  <si>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</si>
  <si>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</si>
  <si>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</si>
  <si>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</si>
  <si>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</si>
  <si>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</si>
  <si>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</si>
  <si>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</si>
  <si>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</si>
  <si>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</si>
  <si>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</si>
  <si>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</si>
  <si>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</si>
  <si>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</si>
  <si>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</si>
  <si>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</si>
  <si>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</si>
  <si>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</si>
  <si>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</si>
  <si>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</si>
  <si>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</si>
  <si>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</si>
  <si>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</si>
  <si>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</si>
  <si>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</si>
  <si>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</si>
  <si>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</si>
  <si>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</si>
  <si>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</si>
  <si>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</si>
  <si>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</si>
  <si>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</si>
  <si>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</si>
  <si>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</si>
  <si>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</si>
  <si>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</si>
  <si>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</si>
  <si>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</si>
  <si>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</si>
  <si>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</si>
  <si>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</t>
  </si>
  <si>
    <t>たか</t>
    <phoneticPr fontId="1"/>
  </si>
  <si>
    <t>のり</t>
  </si>
  <si>
    <t>のり</t>
    <phoneticPr fontId="1"/>
  </si>
  <si>
    <t>れんたろう</t>
  </si>
  <si>
    <t>れんたろう</t>
    <phoneticPr fontId="1"/>
  </si>
  <si>
    <t>ツモ支払</t>
  </si>
  <si>
    <t>ツモ</t>
  </si>
  <si>
    <t>*</t>
  </si>
  <si>
    <t>01</t>
  </si>
  <si>
    <t>52</t>
  </si>
  <si>
    <t>N</t>
  </si>
  <si>
    <t>T</t>
  </si>
  <si>
    <t>流局</t>
    <phoneticPr fontId="1"/>
  </si>
  <si>
    <t>放銃</t>
  </si>
  <si>
    <t>ロン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</si>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</sst>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</v>
      </c>
      <c r="V2" s="64" t="str">
        <f>$K$1</f>
        <v>のり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たか</v>
      </c>
      <c r="F4" s="8" t="s">
        <v>197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197</v>
      </c>
      <c r="L4" s="9">
        <v>-4500</v>
      </c>
      <c r="M4" s="9">
        <v>-1000</v>
      </c>
      <c r="N4" s="48">
        <v>0</v>
      </c>
      <c r="O4" s="21">
        <f>IF(COUNTA($F4,$K4,$P4)&gt;0,O3+SUM(L4:N4),"")</f>
        <v>29500</v>
      </c>
      <c r="P4" s="8" t="s">
        <v>198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-5.5</v>
      </c>
      <c r="W4" s="55">
        <f>IF($T4="","",ROUND(($T4-$T$3)/1000,1)+(_xlfn.RANK.AVG($T4,($J4,$O4,$T4),1)-2)*10)</f>
        <v>23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199</v>
      </c>
      <c r="BU4" s="40" t="s">
        <v>200</v>
      </c>
      <c r="BV4" s="41" t="s">
        <v>82</v>
      </c>
      <c r="BW4" s="41" t="s">
        <v>201</v>
      </c>
      <c r="BX4" s="41" t="s">
        <v>201</v>
      </c>
      <c r="BY4" s="41" t="s">
        <v>96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204</v>
      </c>
      <c r="G5" s="9">
        <v>-1500</v>
      </c>
      <c r="H5" s="9"/>
      <c r="I5" s="48"/>
      <c r="J5" s="21">
        <f t="shared" ref="J5:J30" si="2">IF(COUNTA($F5,$K5,$P5)&gt;0,J4+SUM(G5:I5),"")</f>
        <v>26000</v>
      </c>
      <c r="K5" s="8" t="s">
        <v>204</v>
      </c>
      <c r="L5" s="9">
        <v>3000</v>
      </c>
      <c r="M5" s="9">
        <v>-1000</v>
      </c>
      <c r="N5" s="48"/>
      <c r="O5" s="21">
        <f t="shared" ref="O5:O30" si="3">IF(COUNTA($F5,$K5,$P5)&gt;0,O4+SUM(L5:N5),"")</f>
        <v>31500</v>
      </c>
      <c r="P5" s="8" t="s">
        <v>204</v>
      </c>
      <c r="Q5" s="9">
        <v>-1500</v>
      </c>
      <c r="R5" s="9"/>
      <c r="S5" s="48"/>
      <c r="T5" s="21">
        <f t="shared" ref="T5:T30" si="4">IF(COUNTA($F5,$K5,$P5)&gt;0,T4+SUM(Q5:S5),"")</f>
        <v>46500</v>
      </c>
      <c r="U5" s="53">
        <f>IF($J5="","",ROUND(($J5-$J$3)/1000,1)+(_xlfn.RANK.AVG($J5,($J5,$O5,$T5),1)-2)*10)</f>
        <v>-19</v>
      </c>
      <c r="V5" s="54">
        <f>IF($O5="","",ROUND(($O5-$O$3)/1000,1)+(_xlfn.RANK.AVG($O5,($J5,$O5,$T5),1)-2)*10)</f>
        <v>-3.5</v>
      </c>
      <c r="W5" s="55">
        <f>IF($T5="","",ROUND(($T5-$T$3)/1000,1)+(_xlfn.RANK.AVG($T5,($J5,$O5,$T5),1)-2)*10)</f>
        <v>21.5</v>
      </c>
      <c r="Y5" s="8" t="s">
        <v>202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202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193</v>
      </c>
      <c r="F6" s="8" t="s">
        <v>205</v>
      </c>
      <c r="G6" s="9">
        <v>-32000</v>
      </c>
      <c r="H6" s="9"/>
      <c r="I6" s="48">
        <v>-1000</v>
      </c>
      <c r="J6" s="21">
        <f t="shared" si="2"/>
        <v>-7000</v>
      </c>
      <c r="K6" s="8"/>
      <c r="L6" s="9"/>
      <c r="M6" s="9"/>
      <c r="N6" s="48"/>
      <c r="O6" s="21">
        <f t="shared" si="3"/>
        <v>31500</v>
      </c>
      <c r="P6" s="8" t="s">
        <v>206</v>
      </c>
      <c r="Q6" s="9">
        <v>32000</v>
      </c>
      <c r="R6" s="9">
        <v>1000</v>
      </c>
      <c r="S6" s="48">
        <v>1000</v>
      </c>
      <c r="T6" s="21">
        <f t="shared" si="4"/>
        <v>80500</v>
      </c>
      <c r="U6" s="53">
        <f>IF($J6="","",ROUND(($J6-$J$3)/1000,1)+(_xlfn.RANK.AVG($J6,($J6,$O6,$T6),1)-2)*10)</f>
        <v>-52</v>
      </c>
      <c r="V6" s="54">
        <f>IF($O6="","",ROUND(($O6-$O$3)/1000,1)+(_xlfn.RANK.AVG($O6,($J6,$O6,$T6),1)-2)*10)</f>
        <v>-3.5</v>
      </c>
      <c r="W6" s="55">
        <f>IF($T6="","",ROUND(($T6-$T$3)/1000,1)+(_xlfn.RANK.AVG($T6,($J6,$O6,$T6),1)-2)*10)</f>
        <v>55.5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13</v>
      </c>
      <c r="BT6" s="30" t="s">
        <v>199</v>
      </c>
      <c r="BU6" s="40" t="s">
        <v>110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24028A2-35CB-43DA-BAE8-D472F9AA1B5B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035E4-8BF5-49D6-B6EE-543F6BF3BF2A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</v>
      </c>
      <c r="V2" s="69" t="str">
        <f>$K$1</f>
        <v>のり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F9703D41-F949-4748-8EBD-369489EBE6CB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82E58F69-A0F7-499E-9687-64026D61098A}">
      <formula1>"ロン,ツモ,放銃,ツモ支払,流局,チョンボ"</formula1>
    </dataValidation>
    <dataValidation type="list" allowBlank="1" showInputMessage="1" showErrorMessage="1" sqref="E4:E30" xr:uid="{59C1A415-A1C1-4ECC-8282-C9F75D14958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E2815-6EB6-4EFE-8852-794DD0F42593}">
  <sheetPr codeName="Sheet12">
    <pageSetUpPr fitToPage="1"/>
  </sheetPr>
  <dimension ref="A1:CI30"/>
  <sheetViews>
    <sheetView tabSelected="1" zoomScaleNormal="100" workbookViewId="0">
      <selection activeCell="A31" sqref="A31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</v>
      </c>
      <c r="V2" s="69" t="str">
        <f>$K$1</f>
        <v>のり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207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207</v>
      </c>
      <c r="L4" s="9">
        <v>-3000</v>
      </c>
      <c r="M4" s="9"/>
      <c r="N4" s="48"/>
      <c r="O4" s="21">
        <f>IF(COUNTA($F4,$K4,$P4)&gt;0,O3+SUM(L4:N4),"")</f>
        <v>32000</v>
      </c>
      <c r="P4" s="8" t="s">
        <v>207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5.5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5.5</v>
      </c>
      <c r="Y4" s="8" t="s">
        <v>203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35500</v>
      </c>
      <c r="K5" s="8" t="s">
        <v>205</v>
      </c>
      <c r="L5" s="9">
        <v>-24000</v>
      </c>
      <c r="M5" s="9"/>
      <c r="N5" s="48">
        <v>-1000</v>
      </c>
      <c r="O5" s="21">
        <f t="shared" ref="O5:O30" si="3">IF(COUNTA($F5,$K5,$P5)&gt;0,O4+SUM(L5:N5),"")</f>
        <v>7000</v>
      </c>
      <c r="P5" s="8" t="s">
        <v>206</v>
      </c>
      <c r="Q5" s="9">
        <v>24000</v>
      </c>
      <c r="R5" s="9">
        <v>2000</v>
      </c>
      <c r="S5" s="48">
        <v>1000</v>
      </c>
      <c r="T5" s="21">
        <f t="shared" ref="T5:T30" si="4">IF(COUNTA($F5,$K5,$P5)&gt;0,T4+SUM(Q5:S5),"")</f>
        <v>62500</v>
      </c>
      <c r="U5" s="53">
        <f>IF($J5="","",ROUND(($J5-$J$3)/1000,1)+(_xlfn.RANK.AVG($J5,($J5,$O5,$T5),1)-2)*10)</f>
        <v>0.5</v>
      </c>
      <c r="V5" s="54">
        <f>IF($O5="","",ROUND(($O5-$O$3)/1000,1)+(_xlfn.RANK.AVG($O5,($J5,$O5,$T5),1)-2)*10)</f>
        <v>-38</v>
      </c>
      <c r="W5" s="55">
        <f>IF($T5="","",ROUND(($T5-$T$3)/1000,1)+(_xlfn.RANK.AVG($T5,($J5,$O5,$T5),1)-2)*10)</f>
        <v>37.5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11</v>
      </c>
      <c r="BT5" s="30" t="s">
        <v>199</v>
      </c>
      <c r="BU5" s="40" t="s">
        <v>200</v>
      </c>
      <c r="BV5" s="41" t="s">
        <v>201</v>
      </c>
      <c r="BW5" s="41" t="s">
        <v>80</v>
      </c>
      <c r="BX5" s="41" t="s">
        <v>80</v>
      </c>
      <c r="BY5" s="41" t="s">
        <v>79</v>
      </c>
      <c r="BZ5" s="41" t="s">
        <v>79</v>
      </c>
      <c r="CA5" s="41" t="s">
        <v>79</v>
      </c>
      <c r="CB5" s="41" t="s">
        <v>104</v>
      </c>
      <c r="CC5" s="41" t="s">
        <v>84</v>
      </c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35500</v>
      </c>
      <c r="K6" s="8" t="s">
        <v>206</v>
      </c>
      <c r="L6" s="9">
        <v>12000</v>
      </c>
      <c r="M6" s="9"/>
      <c r="N6" s="48">
        <v>0</v>
      </c>
      <c r="O6" s="21">
        <f t="shared" si="3"/>
        <v>19000</v>
      </c>
      <c r="P6" s="8" t="s">
        <v>205</v>
      </c>
      <c r="Q6" s="9">
        <v>-12000</v>
      </c>
      <c r="R6" s="9"/>
      <c r="S6" s="48">
        <v>0</v>
      </c>
      <c r="T6" s="21">
        <f t="shared" si="4"/>
        <v>50500</v>
      </c>
      <c r="U6" s="53">
        <f>IF($J6="","",ROUND(($J6-$J$3)/1000,1)+(_xlfn.RANK.AVG($J6,($J6,$O6,$T6),1)-2)*10)</f>
        <v>0.5</v>
      </c>
      <c r="V6" s="54">
        <f>IF($O6="","",ROUND(($O6-$O$3)/1000,1)+(_xlfn.RANK.AVG($O6,($J6,$O6,$T6),1)-2)*10)</f>
        <v>-26</v>
      </c>
      <c r="W6" s="55">
        <f>IF($T6="","",ROUND(($T6-$T$3)/1000,1)+(_xlfn.RANK.AVG($T6,($J6,$O6,$T6),1)-2)*10)</f>
        <v>25.5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200</v>
      </c>
      <c r="BA6" s="41" t="s">
        <v>86</v>
      </c>
      <c r="BB6" s="41" t="s">
        <v>201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197</v>
      </c>
      <c r="G7" s="9">
        <v>-6000</v>
      </c>
      <c r="H7" s="9"/>
      <c r="I7" s="48">
        <v>-500</v>
      </c>
      <c r="J7" s="21">
        <f t="shared" si="2"/>
        <v>29000</v>
      </c>
      <c r="K7" s="8" t="s">
        <v>198</v>
      </c>
      <c r="L7" s="9">
        <v>12000</v>
      </c>
      <c r="M7" s="9"/>
      <c r="N7" s="48">
        <v>1000</v>
      </c>
      <c r="O7" s="21">
        <f t="shared" si="3"/>
        <v>32000</v>
      </c>
      <c r="P7" s="8" t="s">
        <v>197</v>
      </c>
      <c r="Q7" s="9">
        <v>-6000</v>
      </c>
      <c r="R7" s="9"/>
      <c r="S7" s="48">
        <v>-500</v>
      </c>
      <c r="T7" s="21">
        <f t="shared" si="4"/>
        <v>44000</v>
      </c>
      <c r="U7" s="53">
        <f>IF($J7="","",ROUND(($J7-$J$3)/1000,1)+(_xlfn.RANK.AVG($J7,($J7,$O7,$T7),1)-2)*10)</f>
        <v>-16</v>
      </c>
      <c r="V7" s="54">
        <f>IF($O7="","",ROUND(($O7-$O$3)/1000,1)+(_xlfn.RANK.AVG($O7,($J7,$O7,$T7),1)-2)*10)</f>
        <v>-3</v>
      </c>
      <c r="W7" s="55">
        <f>IF($T7="","",ROUND(($T7-$T$3)/1000,1)+(_xlfn.RANK.AVG($T7,($J7,$O7,$T7),1)-2)*10)</f>
        <v>19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5</v>
      </c>
      <c r="AY7" s="30" t="s">
        <v>199</v>
      </c>
      <c r="AZ7" s="40" t="s">
        <v>104</v>
      </c>
      <c r="BA7" s="41" t="s">
        <v>86</v>
      </c>
      <c r="BB7" s="41" t="s">
        <v>86</v>
      </c>
      <c r="BC7" s="41" t="s">
        <v>87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193</v>
      </c>
      <c r="F8" s="8" t="s">
        <v>205</v>
      </c>
      <c r="G8" s="9">
        <v>-18000</v>
      </c>
      <c r="H8" s="9"/>
      <c r="I8" s="48">
        <v>-2000</v>
      </c>
      <c r="J8" s="21">
        <f t="shared" si="2"/>
        <v>9000</v>
      </c>
      <c r="K8" s="8" t="s">
        <v>206</v>
      </c>
      <c r="L8" s="9">
        <v>18000</v>
      </c>
      <c r="M8" s="9"/>
      <c r="N8" s="48">
        <v>2000</v>
      </c>
      <c r="O8" s="21">
        <f t="shared" si="3"/>
        <v>52000</v>
      </c>
      <c r="P8" s="8"/>
      <c r="Q8" s="9"/>
      <c r="R8" s="9"/>
      <c r="S8" s="48"/>
      <c r="T8" s="21">
        <f t="shared" si="4"/>
        <v>44000</v>
      </c>
      <c r="U8" s="53">
        <f>IF($J8="","",ROUND(($J8-$J$3)/1000,1)+(_xlfn.RANK.AVG($J8,($J8,$O8,$T8),1)-2)*10)</f>
        <v>-36</v>
      </c>
      <c r="V8" s="54">
        <f>IF($O8="","",ROUND(($O8-$O$3)/1000,1)+(_xlfn.RANK.AVG($O8,($J8,$O8,$T8),1)-2)*10)</f>
        <v>27</v>
      </c>
      <c r="W8" s="55">
        <f>IF($T8="","",ROUND(($T8-$T$3)/1000,1)+(_xlfn.RANK.AVG($T8,($J8,$O8,$T8),1)-2)*10)</f>
        <v>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6</v>
      </c>
      <c r="AY8" s="30" t="s">
        <v>199</v>
      </c>
      <c r="AZ8" s="40" t="s">
        <v>201</v>
      </c>
      <c r="BA8" s="41" t="s">
        <v>201</v>
      </c>
      <c r="BB8" s="41" t="s">
        <v>86</v>
      </c>
      <c r="BC8" s="41" t="s">
        <v>79</v>
      </c>
      <c r="BD8" s="41" t="s">
        <v>79</v>
      </c>
      <c r="BE8" s="41" t="s">
        <v>79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">
        <v>193</v>
      </c>
      <c r="F9" s="8" t="s">
        <v>205</v>
      </c>
      <c r="G9" s="9">
        <v>-5200</v>
      </c>
      <c r="H9" s="9">
        <v>-1000</v>
      </c>
      <c r="I9" s="48">
        <v>-3000</v>
      </c>
      <c r="J9" s="21">
        <f t="shared" si="2"/>
        <v>-200</v>
      </c>
      <c r="K9" s="8"/>
      <c r="L9" s="9"/>
      <c r="M9" s="9"/>
      <c r="N9" s="48"/>
      <c r="O9" s="21">
        <f t="shared" si="3"/>
        <v>52000</v>
      </c>
      <c r="P9" s="8" t="s">
        <v>206</v>
      </c>
      <c r="Q9" s="9">
        <v>5200</v>
      </c>
      <c r="R9" s="9">
        <v>1000</v>
      </c>
      <c r="S9" s="48">
        <v>3000</v>
      </c>
      <c r="T9" s="21">
        <f t="shared" si="4"/>
        <v>53200</v>
      </c>
      <c r="U9" s="53">
        <f>IF($J9="","",ROUND(($J9-$J$3)/1000,1)+(_xlfn.RANK.AVG($J9,($J9,$O9,$T9),1)-2)*10)</f>
        <v>-45.2</v>
      </c>
      <c r="V9" s="54">
        <f>IF($O9="","",ROUND(($O9-$O$3)/1000,1)+(_xlfn.RANK.AVG($O9,($J9,$O9,$T9),1)-2)*10)</f>
        <v>17</v>
      </c>
      <c r="W9" s="55">
        <f>IF($T9="","",ROUND(($T9-$T$3)/1000,1)+(_xlfn.RANK.AVG($T9,($J9,$O9,$T9),1)-2)*10)</f>
        <v>28.2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40</v>
      </c>
      <c r="BU9" s="40" t="s">
        <v>92</v>
      </c>
      <c r="BV9" s="41" t="s">
        <v>201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A514F1B6-7E6E-4742-B1BC-5E74A141C98F}">
      <formula1>$U$2:$W$2</formula1>
    </dataValidation>
    <dataValidation type="list" showInputMessage="1" showErrorMessage="1" sqref="K4:K30 P4:P30 F4:F30" xr:uid="{2D0A9733-0496-4F2B-8CB8-AE2A9E5B7A75}">
      <formula1>"ロン,ツモ,放銃,ツモ支払,流局,チョンボ"</formula1>
    </dataValidation>
    <dataValidation type="list" allowBlank="1" showInputMessage="1" sqref="F1:T1" xr:uid="{8BBFCF5B-1670-4A82-90CC-93846F716398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2020-01-30T14:51:11Z</dcterms:modified>
</cp:coreProperties>
</file>