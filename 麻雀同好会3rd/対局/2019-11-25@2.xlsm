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0566C18-EC67-4644-9216-6E6EEA99288B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14" i="19" l="1"/>
  <c r="W14" i="19"/>
  <c r="U14" i="19"/>
  <c r="V13" i="19"/>
  <c r="W13" i="19"/>
  <c r="U13" i="19"/>
  <c r="W12" i="19"/>
  <c r="V12" i="19"/>
  <c r="W11" i="19"/>
  <c r="V11" i="19"/>
  <c r="U10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<sst xmlns="http://schemas.openxmlformats.org/spreadsheetml/2006/main" count="600" uniqueCount="204">
  <si>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</si>
  <si>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</si>
  <si>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</si>
  <si>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</si>
  <si>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</si>
  <si>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</si>
  <si>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</si>
  <si>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</si>
  <si>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</si>
  <si>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</si>
  <si>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</si>
  <si>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</si>
  <si>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</si>
  <si>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</si>
  <si>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</si>
  <si>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</si>
  <si>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</si>
  <si>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</si>
  <si>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</si>
  <si>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</si>
  <si>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</si>
  <si>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</si>
  <si>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</si>
  <si>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</si>
  <si>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</si>
  <si>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</si>
  <si>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</si>
  <si>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</si>
  <si>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</si>
  <si>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</si>
  <si>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</si>
  <si>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</si>
  <si>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</si>
  <si>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</si>
  <si>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</si>
  <si>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</si>
  <si>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</si>
  <si>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</si>
  <si>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</si>
  <si>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</si>
  <si>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</si>
  <si>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</si>
  <si>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</si>
  <si>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</si>
  <si>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</si>
  <si>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</si>
  <si>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</si>
  <si>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</si>
  <si>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</si>
  <si>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</si>
  <si>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</si>
  <si>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</si>
  <si>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</si>
  <si>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</si>
  <si>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</si>
  <si>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</si>
  <si>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</si>
  <si>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</si>
  <si>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</si>
  <si>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</si>
  <si>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</si>
  <si>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</si>
  <si>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</si>
  <si>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</si>
  <si>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</si>
  <si>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</si>
  <si>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</si>
  <si>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</si>
  <si>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</si>
  <si>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</si>
  <si>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</si>
  <si>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</si>
  <si>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</si>
  <si>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</si>
  <si>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</si>
  <si>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</si>
  <si>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</si>
  <si>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</si>
  <si>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</si>
  <si>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</si>
  <si>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</si>
  <si>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</si>
  <si>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</si>
  <si>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</si>
  <si>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</si>
  <si>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</si>
  <si>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</si>
  <si>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</si>
  <si>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</si>
  <si>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</si>
  <si>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</si>
  <si>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</si>
  <si>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</si>
  <si>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</si>
  <si>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</si>
  <si>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</si>
  <si>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</si>
  <si>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</si>
  <si>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</si>
  <si>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</si>
  <si>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</si>
  <si>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</si>
  <si>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</si>
  <si>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</si>
  <si>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</si>
  <si>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</si>
  <si>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</si>
  <si>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</si>
  <si>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</si>
  <si>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</si>
  <si>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</si>
  <si>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</si>
  <si>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</si>
  <si>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</si>
  <si>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</si>
  <si>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</si>
  <si>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</si>
  <si>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</si>
  <si>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</si>
  <si>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</si>
  <si>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</si>
  <si>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</si>
  <si>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</si>
  <si>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</si>
  <si>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</si>
  <si>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</si>
  <si>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</si>
  <si>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</si>
  <si>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</si>
  <si>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</si>
  <si>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</si>
  <si>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</si>
  <si>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</si>
  <si>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</si>
  <si>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</si>
  <si>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</si>
  <si>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</si>
  <si>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</si>
  <si>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</si>
  <si>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</si>
  <si>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</si>
  <si>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</si>
  <si>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</si>
  <si>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</si>
  <si>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</si>
  <si>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</si>
  <si>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</si>
  <si>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</si>
  <si>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</si>
  <si>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</si>
  <si>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</si>
  <si>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</si>
  <si>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</si>
  <si>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</si>
  <si>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</si>
  <si>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</si>
  <si>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</si>
  <si>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</si>
  <si>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</si>
  <si>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</si>
  <si>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</si>
  <si>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</si>
  <si>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</si>
  <si>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</si>
  <si>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</si>
  <si>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</si>
  <si>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</si>
  <si>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</si>
  <si>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</si>
  <si>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</si>
  <si>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</si>
  <si>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</si>
  <si>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</si>
  <si>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</si>
  <si>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</si>
  <si>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</si>
  <si>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</si>
  <si>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</si>
  <si>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</si>
  <si>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</si>
  <si>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</si>
  <si>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</si>
  <si>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</si>
  <si>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</si>
  <si>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</si>
  <si>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</si>
  <si>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</si>
  <si>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</si>
  <si>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</si>
  <si>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</si>
  <si>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</si>
  <si>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りくと</t>
  </si>
  <si>
    <t>りくと</t>
    <phoneticPr fontId="1"/>
  </si>
  <si>
    <t>だいち</t>
  </si>
  <si>
    <t>だいち</t>
    <phoneticPr fontId="1"/>
  </si>
  <si>
    <t>ただ</t>
  </si>
  <si>
    <t>ただ</t>
    <phoneticPr fontId="1"/>
  </si>
  <si>
    <t>ロン</t>
  </si>
  <si>
    <t>放銃</t>
  </si>
  <si>
    <t>52</t>
  </si>
  <si>
    <t>ツモ</t>
  </si>
  <si>
    <t>ツモ支払</t>
  </si>
  <si>
    <t>01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</si>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</sst>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B9" sqref="B9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196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192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りくと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201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86</v>
      </c>
      <c r="AF4" s="41" t="s">
        <v>86</v>
      </c>
      <c r="AG4" s="41" t="s">
        <v>199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201</v>
      </c>
      <c r="G5" s="9">
        <v>-1300</v>
      </c>
      <c r="H5" s="9"/>
      <c r="I5" s="48">
        <v>0</v>
      </c>
      <c r="J5" s="21">
        <f t="shared" ref="J5:J30" si="2">IF(COUNTA($F5,$K5,$P5)&gt;0,J4+SUM(G5:I5),"")</f>
        <v>41700</v>
      </c>
      <c r="K5" s="8" t="s">
        <v>201</v>
      </c>
      <c r="L5" s="9">
        <v>-800</v>
      </c>
      <c r="M5" s="9"/>
      <c r="N5" s="48">
        <v>0</v>
      </c>
      <c r="O5" s="21">
        <f t="shared" ref="O5:O30" si="3">IF(COUNTA($F5,$K5,$P5)&gt;0,O4+SUM(L5:N5),"")</f>
        <v>31200</v>
      </c>
      <c r="P5" s="8" t="s">
        <v>200</v>
      </c>
      <c r="Q5" s="9">
        <v>2100</v>
      </c>
      <c r="R5" s="9"/>
      <c r="S5" s="48">
        <v>0</v>
      </c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16.7</v>
      </c>
      <c r="V5" s="54">
        <f>IF($O5="","",ROUND(($O5-$O$3)/1000,1)+(_xlfn.RANK.AVG($O5,($J5,$O5,$T5),1)-2)*10)</f>
        <v>-13.8</v>
      </c>
      <c r="W5" s="55">
        <f>IF($T5="","",ROUND(($T5-$T$3)/1000,1)+(_xlfn.RANK.AVG($T5,($J5,$O5,$T5),1)-2)*10)</f>
        <v>-2.9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2</v>
      </c>
      <c r="BT5" s="30">
        <v>30</v>
      </c>
      <c r="BU5" s="40" t="s">
        <v>202</v>
      </c>
      <c r="BV5" s="41" t="s">
        <v>82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8000</v>
      </c>
      <c r="H6" s="9">
        <v>1000</v>
      </c>
      <c r="I6" s="48">
        <v>0</v>
      </c>
      <c r="J6" s="21">
        <f t="shared" si="2"/>
        <v>50700</v>
      </c>
      <c r="K6" s="8" t="s">
        <v>201</v>
      </c>
      <c r="L6" s="9">
        <v>-5000</v>
      </c>
      <c r="M6" s="9">
        <v>-1000</v>
      </c>
      <c r="N6" s="48">
        <v>0</v>
      </c>
      <c r="O6" s="21">
        <f t="shared" si="3"/>
        <v>25200</v>
      </c>
      <c r="P6" s="8" t="s">
        <v>201</v>
      </c>
      <c r="Q6" s="9">
        <v>-3000</v>
      </c>
      <c r="R6" s="9"/>
      <c r="S6" s="48">
        <v>0</v>
      </c>
      <c r="T6" s="21">
        <f t="shared" si="4"/>
        <v>29100</v>
      </c>
      <c r="U6" s="53">
        <f>IF($J6="","",ROUND(($J6-$J$3)/1000,1)+(_xlfn.RANK.AVG($J6,($J6,$O6,$T6),1)-2)*10)</f>
        <v>25.7</v>
      </c>
      <c r="V6" s="54">
        <f>IF($O6="","",ROUND(($O6-$O$3)/1000,1)+(_xlfn.RANK.AVG($O6,($J6,$O6,$T6),1)-2)*10)</f>
        <v>-19.8</v>
      </c>
      <c r="W6" s="55">
        <f>IF($T6="","",ROUND(($T6-$T$3)/1000,1)+(_xlfn.RANK.AVG($T6,($J6,$O6,$T6),1)-2)*10)</f>
        <v>-5.9</v>
      </c>
      <c r="Y6" s="8"/>
      <c r="Z6" s="34"/>
      <c r="AA6" s="26"/>
      <c r="AB6" s="26"/>
      <c r="AC6" s="26">
        <v>5</v>
      </c>
      <c r="AD6" s="30" t="s">
        <v>203</v>
      </c>
      <c r="AE6" s="40" t="s">
        <v>105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201</v>
      </c>
      <c r="G7" s="9">
        <v>-4800</v>
      </c>
      <c r="H7" s="9">
        <v>-1000</v>
      </c>
      <c r="I7" s="48">
        <v>0</v>
      </c>
      <c r="J7" s="21">
        <f t="shared" si="2"/>
        <v>44900</v>
      </c>
      <c r="K7" s="8" t="s">
        <v>201</v>
      </c>
      <c r="L7" s="9">
        <v>-4800</v>
      </c>
      <c r="M7" s="9"/>
      <c r="N7" s="48">
        <v>0</v>
      </c>
      <c r="O7" s="21">
        <f t="shared" si="3"/>
        <v>20400</v>
      </c>
      <c r="P7" s="8" t="s">
        <v>200</v>
      </c>
      <c r="Q7" s="9">
        <v>9600</v>
      </c>
      <c r="R7" s="9">
        <v>1000</v>
      </c>
      <c r="S7" s="48">
        <v>0</v>
      </c>
      <c r="T7" s="21">
        <f t="shared" si="4"/>
        <v>39700</v>
      </c>
      <c r="U7" s="53">
        <f>IF($J7="","",ROUND(($J7-$J$3)/1000,1)+(_xlfn.RANK.AVG($J7,($J7,$O7,$T7),1)-2)*10)</f>
        <v>19.899999999999999</v>
      </c>
      <c r="V7" s="54">
        <f>IF($O7="","",ROUND(($O7-$O$3)/1000,1)+(_xlfn.RANK.AVG($O7,($J7,$O7,$T7),1)-2)*10)</f>
        <v>-24.6</v>
      </c>
      <c r="W7" s="55">
        <f>IF($T7="","",ROUND(($T7-$T$3)/1000,1)+(_xlfn.RANK.AVG($T7,($J7,$O7,$T7),1)-2)*10)</f>
        <v>4.7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50</v>
      </c>
      <c r="BU7" s="40" t="s">
        <v>86</v>
      </c>
      <c r="BV7" s="41" t="s">
        <v>86</v>
      </c>
      <c r="BW7" s="41" t="s">
        <v>79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 t="s">
        <v>198</v>
      </c>
      <c r="G8" s="9">
        <v>-4800</v>
      </c>
      <c r="H8" s="9">
        <v>-1000</v>
      </c>
      <c r="I8" s="48">
        <v>-1000</v>
      </c>
      <c r="J8" s="21">
        <f t="shared" si="2"/>
        <v>38100</v>
      </c>
      <c r="K8" s="8"/>
      <c r="L8" s="9"/>
      <c r="M8" s="9"/>
      <c r="N8" s="48"/>
      <c r="O8" s="21">
        <f t="shared" si="3"/>
        <v>20400</v>
      </c>
      <c r="P8" s="8" t="s">
        <v>197</v>
      </c>
      <c r="Q8" s="9">
        <v>4800</v>
      </c>
      <c r="R8" s="9">
        <v>1000</v>
      </c>
      <c r="S8" s="48">
        <v>1000</v>
      </c>
      <c r="T8" s="21">
        <f t="shared" si="4"/>
        <v>46500</v>
      </c>
      <c r="U8" s="53">
        <f>IF($J8="","",ROUND(($J8-$J$3)/1000,1)+(_xlfn.RANK.AVG($J8,($J8,$O8,$T8),1)-2)*10)</f>
        <v>3.1</v>
      </c>
      <c r="V8" s="54">
        <f>IF($O8="","",ROUND(($O8-$O$3)/1000,1)+(_xlfn.RANK.AVG($O8,($J8,$O8,$T8),1)-2)*10)</f>
        <v>-24.6</v>
      </c>
      <c r="W8" s="55">
        <f>IF($T8="","",ROUND(($T8-$T$3)/1000,1)+(_xlfn.RANK.AVG($T8,($J8,$O8,$T8),1)-2)*10)</f>
        <v>21.5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3</v>
      </c>
      <c r="BT8" s="30">
        <v>25</v>
      </c>
      <c r="BU8" s="40" t="s">
        <v>101</v>
      </c>
      <c r="BV8" s="41" t="s">
        <v>199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38100</v>
      </c>
      <c r="K9" s="8" t="s">
        <v>198</v>
      </c>
      <c r="L9" s="9">
        <v>-18000</v>
      </c>
      <c r="M9" s="9"/>
      <c r="N9" s="48">
        <v>-2000</v>
      </c>
      <c r="O9" s="21">
        <f t="shared" si="3"/>
        <v>400</v>
      </c>
      <c r="P9" s="8" t="s">
        <v>197</v>
      </c>
      <c r="Q9" s="9">
        <v>18000</v>
      </c>
      <c r="R9" s="9"/>
      <c r="S9" s="48">
        <v>2000</v>
      </c>
      <c r="T9" s="21">
        <f t="shared" si="4"/>
        <v>66500</v>
      </c>
      <c r="U9" s="53">
        <f>IF($J9="","",ROUND(($J9-$J$3)/1000,1)+(_xlfn.RANK.AVG($J9,($J9,$O9,$T9),1)-2)*10)</f>
        <v>3.1</v>
      </c>
      <c r="V9" s="54">
        <f>IF($O9="","",ROUND(($O9-$O$3)/1000,1)+(_xlfn.RANK.AVG($O9,($J9,$O9,$T9),1)-2)*10)</f>
        <v>-44.6</v>
      </c>
      <c r="W9" s="55">
        <f>IF($T9="","",ROUND(($T9-$T$3)/1000,1)+(_xlfn.RANK.AVG($T9,($J9,$O9,$T9),1)-2)*10)</f>
        <v>41.5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6</v>
      </c>
      <c r="BT9" s="30" t="s">
        <v>203</v>
      </c>
      <c r="BU9" s="40" t="s">
        <v>104</v>
      </c>
      <c r="BV9" s="41" t="s">
        <v>86</v>
      </c>
      <c r="BW9" s="41" t="s">
        <v>79</v>
      </c>
      <c r="BX9" s="41" t="s">
        <v>79</v>
      </c>
      <c r="BY9" s="41" t="s">
        <v>199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3</v>
      </c>
      <c r="D10" s="18">
        <f t="shared" si="1"/>
        <v>0</v>
      </c>
      <c r="E10" s="4" t="s">
        <v>191</v>
      </c>
      <c r="F10" s="8" t="s">
        <v>201</v>
      </c>
      <c r="G10" s="9">
        <v>-1500</v>
      </c>
      <c r="H10" s="9"/>
      <c r="I10" s="48">
        <v>-1500</v>
      </c>
      <c r="J10" s="21">
        <f t="shared" si="2"/>
        <v>35100</v>
      </c>
      <c r="K10" s="8" t="s">
        <v>200</v>
      </c>
      <c r="L10" s="9">
        <v>4000</v>
      </c>
      <c r="M10" s="9">
        <v>1000</v>
      </c>
      <c r="N10" s="48">
        <v>3000</v>
      </c>
      <c r="O10" s="21">
        <f t="shared" si="3"/>
        <v>8400</v>
      </c>
      <c r="P10" s="8" t="s">
        <v>201</v>
      </c>
      <c r="Q10" s="9">
        <v>-2500</v>
      </c>
      <c r="R10" s="9">
        <v>-1000</v>
      </c>
      <c r="S10" s="48">
        <v>-1500</v>
      </c>
      <c r="T10" s="21">
        <f t="shared" si="4"/>
        <v>61500</v>
      </c>
      <c r="U10" s="53">
        <f>IF($J10="","",ROUND(($J10-$J$3)/1000,1)+(_xlfn.RANK.AVG($J10,($J10,$O10,$T10),1)-2)*10)</f>
        <v>0.1</v>
      </c>
      <c r="V10" s="54">
        <f>IF($O10="","",ROUND(($O10-$O$3)/1000,1)+(_xlfn.RANK.AVG($O10,($J10,$O10,$T10),1)-2)*10)</f>
        <v>-36.6</v>
      </c>
      <c r="W10" s="55">
        <f>IF($T10="","",ROUND(($T10-$T$3)/1000,1)+(_xlfn.RANK.AVG($T10,($J10,$O10,$T10),1)-2)*10)</f>
        <v>36.5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3</v>
      </c>
      <c r="AY10" s="30">
        <v>30</v>
      </c>
      <c r="AZ10" s="40" t="s">
        <v>82</v>
      </c>
      <c r="BA10" s="41" t="s">
        <v>199</v>
      </c>
      <c r="BB10" s="41" t="s">
        <v>199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197</v>
      </c>
      <c r="G11" s="9">
        <v>11600</v>
      </c>
      <c r="H11" s="9"/>
      <c r="I11" s="48">
        <v>0</v>
      </c>
      <c r="J11" s="21">
        <f t="shared" si="2"/>
        <v>46700</v>
      </c>
      <c r="K11" s="8"/>
      <c r="L11" s="9"/>
      <c r="M11" s="9"/>
      <c r="N11" s="48"/>
      <c r="O11" s="21">
        <f t="shared" si="3"/>
        <v>8400</v>
      </c>
      <c r="P11" s="8" t="s">
        <v>198</v>
      </c>
      <c r="Q11" s="9">
        <v>-11600</v>
      </c>
      <c r="R11" s="9"/>
      <c r="S11" s="48">
        <v>0</v>
      </c>
      <c r="T11" s="21">
        <f t="shared" si="4"/>
        <v>49900</v>
      </c>
      <c r="U11" s="53">
        <f>IF($J11="","",ROUND(($J11-$J$3)/1000,1)+(_xlfn.RANK.AVG($J11,($J11,$O11,$T11),1)-2)*10)</f>
        <v>11.7</v>
      </c>
      <c r="V11" s="54">
        <f>IF($O11="","",ROUND(($O11-$O$3)/1000,1)+(_xlfn.RANK.AVG($O11,($J11,$O11,$T11),1)-2)*10)</f>
        <v>-36.6</v>
      </c>
      <c r="W11" s="55">
        <f>IF($T11="","",ROUND(($T11-$T$3)/1000,1)+(_xlfn.RANK.AVG($T11,($J11,$O11,$T11),1)-2)*10)</f>
        <v>24.9</v>
      </c>
      <c r="Y11" s="8"/>
      <c r="Z11" s="34"/>
      <c r="AA11" s="26"/>
      <c r="AB11" s="26">
        <v>1</v>
      </c>
      <c r="AC11" s="26">
        <v>4</v>
      </c>
      <c r="AD11" s="30">
        <v>30</v>
      </c>
      <c r="AE11" s="40" t="s">
        <v>86</v>
      </c>
      <c r="AF11" s="41" t="s">
        <v>86</v>
      </c>
      <c r="AG11" s="41" t="s">
        <v>199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195</v>
      </c>
      <c r="F12" s="8" t="s">
        <v>197</v>
      </c>
      <c r="G12" s="9">
        <v>2900</v>
      </c>
      <c r="H12" s="9"/>
      <c r="I12" s="48">
        <v>1000</v>
      </c>
      <c r="J12" s="21">
        <f t="shared" si="2"/>
        <v>50600</v>
      </c>
      <c r="K12" s="8" t="s">
        <v>198</v>
      </c>
      <c r="L12" s="9">
        <v>-2900</v>
      </c>
      <c r="M12" s="9"/>
      <c r="N12" s="48">
        <v>-1000</v>
      </c>
      <c r="O12" s="21">
        <f t="shared" si="3"/>
        <v>4500</v>
      </c>
      <c r="P12" s="8"/>
      <c r="Q12" s="9"/>
      <c r="R12" s="9"/>
      <c r="S12" s="48"/>
      <c r="T12" s="21">
        <f t="shared" si="4"/>
        <v>49900</v>
      </c>
      <c r="U12" s="53">
        <f>IF($J12="","",ROUND(($J12-$J$3)/1000,1)+(_xlfn.RANK.AVG($J12,($J12,$O12,$T12),1)-2)*10)</f>
        <v>25.6</v>
      </c>
      <c r="V12" s="54">
        <f>IF($O12="","",ROUND(($O12-$O$3)/1000,1)+(_xlfn.RANK.AVG($O12,($J12,$O12,$T12),1)-2)*10)</f>
        <v>-40.5</v>
      </c>
      <c r="W12" s="55">
        <f>IF($T12="","",ROUND(($T12-$T$3)/1000,1)+(_xlfn.RANK.AVG($T12,($J12,$O12,$T12),1)-2)*10)</f>
        <v>14.9</v>
      </c>
      <c r="Y12" s="8"/>
      <c r="Z12" s="34"/>
      <c r="AA12" s="26"/>
      <c r="AB12" s="26">
        <v>1</v>
      </c>
      <c r="AC12" s="26">
        <v>2</v>
      </c>
      <c r="AD12" s="30">
        <v>30</v>
      </c>
      <c r="AE12" s="40" t="s">
        <v>86</v>
      </c>
      <c r="AF12" s="41" t="s">
        <v>199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195</v>
      </c>
      <c r="F13" s="8" t="s">
        <v>198</v>
      </c>
      <c r="G13" s="9">
        <v>-1000</v>
      </c>
      <c r="H13" s="9"/>
      <c r="I13" s="48">
        <v>-2000</v>
      </c>
      <c r="J13" s="21">
        <f t="shared" si="2"/>
        <v>47600</v>
      </c>
      <c r="K13" s="8" t="s">
        <v>197</v>
      </c>
      <c r="L13" s="9">
        <v>1000</v>
      </c>
      <c r="M13" s="9"/>
      <c r="N13" s="48">
        <v>2000</v>
      </c>
      <c r="O13" s="21">
        <f t="shared" si="3"/>
        <v>7500</v>
      </c>
      <c r="P13" s="8"/>
      <c r="Q13" s="9"/>
      <c r="R13" s="9"/>
      <c r="S13" s="48"/>
      <c r="T13" s="21">
        <f t="shared" si="4"/>
        <v>49900</v>
      </c>
      <c r="U13" s="53">
        <f>IF($J13="","",ROUND(($J13-$J$3)/1000,1)+(_xlfn.RANK.AVG($J13,($J13,$O13,$T13),1)-2)*10)</f>
        <v>12.6</v>
      </c>
      <c r="V13" s="54">
        <f>IF($O13="","",ROUND(($O13-$O$3)/1000,1)+(_xlfn.RANK.AVG($O13,($J13,$O13,$T13),1)-2)*10)</f>
        <v>-37.5</v>
      </c>
      <c r="W13" s="55">
        <f>IF($T13="","",ROUND(($T13-$T$3)/1000,1)+(_xlfn.RANK.AVG($T13,($J13,$O13,$T13),1)-2)*10)</f>
        <v>24.9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1</v>
      </c>
      <c r="AY13" s="30">
        <v>30</v>
      </c>
      <c r="AZ13" s="40" t="s">
        <v>86</v>
      </c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 t="s">
        <v>197</v>
      </c>
      <c r="G14" s="9">
        <v>3200</v>
      </c>
      <c r="H14" s="9">
        <v>1000</v>
      </c>
      <c r="I14" s="48">
        <v>0</v>
      </c>
      <c r="J14" s="21">
        <f t="shared" si="2"/>
        <v>51800</v>
      </c>
      <c r="K14" s="8" t="s">
        <v>198</v>
      </c>
      <c r="L14" s="9">
        <v>-3200</v>
      </c>
      <c r="M14" s="9">
        <v>-1000</v>
      </c>
      <c r="N14" s="48">
        <v>0</v>
      </c>
      <c r="O14" s="21">
        <f t="shared" si="3"/>
        <v>3300</v>
      </c>
      <c r="P14" s="8"/>
      <c r="Q14" s="9"/>
      <c r="R14" s="9"/>
      <c r="S14" s="48"/>
      <c r="T14" s="21">
        <f t="shared" si="4"/>
        <v>49900</v>
      </c>
      <c r="U14" s="53">
        <f>IF($J14="","",ROUND(($J14-$J$3)/1000,1)+(_xlfn.RANK.AVG($J14,($J14,$O14,$T14),1)-2)*10)</f>
        <v>26.8</v>
      </c>
      <c r="V14" s="54">
        <f>IF($O14="","",ROUND(($O14-$O$3)/1000,1)+(_xlfn.RANK.AVG($O14,($J14,$O14,$T14),1)-2)*10)</f>
        <v>-41.7</v>
      </c>
      <c r="W14" s="55">
        <f>IF($T14="","",ROUND(($T14-$T$3)/1000,1)+(_xlfn.RANK.AVG($T14,($J14,$O14,$T14),1)-2)*10)</f>
        <v>14.9</v>
      </c>
      <c r="Y14" s="8"/>
      <c r="Z14" s="34"/>
      <c r="AA14" s="26">
        <v>1</v>
      </c>
      <c r="AB14" s="26"/>
      <c r="AC14" s="26">
        <v>2</v>
      </c>
      <c r="AD14" s="30">
        <v>50</v>
      </c>
      <c r="AE14" s="40" t="s">
        <v>202</v>
      </c>
      <c r="AF14" s="41" t="s">
        <v>86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西</v>
      </c>
      <c r="B15" s="18">
        <f t="shared" si="5"/>
        <v>1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7EDFA26E-C497-4C0F-B020-3DAD194D6C0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2019-11-25T15:49:55Z</dcterms:modified>
</cp:coreProperties>
</file>