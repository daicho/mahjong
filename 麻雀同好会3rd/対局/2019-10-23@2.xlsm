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335E566-4155-44BD-BD5E-B372F8DAADC0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C13" i="21"/>
  <c r="D12" i="21"/>
  <c r="D13" i="21" s="1"/>
  <c r="C12" i="21"/>
  <c r="D11" i="21"/>
  <c r="C11" i="21"/>
  <c r="D10" i="21"/>
  <c r="C10" i="21"/>
  <c r="D9" i="21"/>
  <c r="C9" i="21"/>
  <c r="D8" i="21"/>
  <c r="C8" i="21"/>
  <c r="D6" i="21"/>
  <c r="D7" i="21" s="1"/>
  <c r="T5" i="21"/>
  <c r="O5" i="21"/>
  <c r="D5" i="21"/>
  <c r="C5" i="21"/>
  <c r="C6" i="21" s="1"/>
  <c r="C7" i="21" s="1"/>
  <c r="B5" i="21"/>
  <c r="B6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V5" i="21" l="1"/>
  <c r="W5" i="21"/>
  <c r="W4" i="21"/>
  <c r="V4" i="21"/>
  <c r="U4" i="21"/>
  <c r="U5" i="21"/>
  <c r="J6" i="21"/>
  <c r="B7" i="21"/>
  <c r="O6" i="21"/>
  <c r="A5" i="21"/>
  <c r="A6" i="21" s="1"/>
  <c r="T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V11" i="20" s="1"/>
  <c r="J11" i="20"/>
  <c r="D11" i="20"/>
  <c r="C11" i="20"/>
  <c r="B11" i="20"/>
  <c r="A11" i="20"/>
  <c r="T10" i="20"/>
  <c r="O10" i="20"/>
  <c r="J10" i="20"/>
  <c r="U10" i="20" s="1"/>
  <c r="D10" i="20"/>
  <c r="C10" i="20"/>
  <c r="B10" i="20"/>
  <c r="A10" i="20"/>
  <c r="T9" i="20"/>
  <c r="O9" i="20"/>
  <c r="J9" i="20"/>
  <c r="U9" i="20" s="1"/>
  <c r="D9" i="20"/>
  <c r="C9" i="20"/>
  <c r="B9" i="20"/>
  <c r="A9" i="20" s="1"/>
  <c r="D8" i="20"/>
  <c r="C8" i="20"/>
  <c r="D7" i="20"/>
  <c r="B7" i="20"/>
  <c r="B8" i="20" s="1"/>
  <c r="D6" i="20"/>
  <c r="B6" i="20"/>
  <c r="T5" i="20"/>
  <c r="O5" i="20"/>
  <c r="O6" i="20" s="1"/>
  <c r="D5" i="20"/>
  <c r="C5" i="20"/>
  <c r="C6" i="20" s="1"/>
  <c r="C7" i="20" s="1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7" i="21" l="1"/>
  <c r="V6" i="21"/>
  <c r="O7" i="21"/>
  <c r="B8" i="21"/>
  <c r="U6" i="21"/>
  <c r="J7" i="21"/>
  <c r="W6" i="21"/>
  <c r="T7" i="21"/>
  <c r="V13" i="20"/>
  <c r="W13" i="20"/>
  <c r="U13" i="20"/>
  <c r="W12" i="20"/>
  <c r="U12" i="20"/>
  <c r="V12" i="20"/>
  <c r="U11" i="20"/>
  <c r="W11" i="20"/>
  <c r="V10" i="20"/>
  <c r="W10" i="20"/>
  <c r="W9" i="20"/>
  <c r="V9" i="20"/>
  <c r="W5" i="20"/>
  <c r="V4" i="20"/>
  <c r="W4" i="20"/>
  <c r="U4" i="20"/>
  <c r="O7" i="20"/>
  <c r="A6" i="20"/>
  <c r="U5" i="20"/>
  <c r="J6" i="20"/>
  <c r="V6" i="20" s="1"/>
  <c r="A7" i="20"/>
  <c r="A8" i="20" s="1"/>
  <c r="V5" i="20"/>
  <c r="T6" i="20"/>
  <c r="W3" i="19"/>
  <c r="V3" i="19"/>
  <c r="U3" i="19"/>
  <c r="B9" i="21" l="1"/>
  <c r="O8" i="21"/>
  <c r="V7" i="21"/>
  <c r="W7" i="21"/>
  <c r="T8" i="21"/>
  <c r="J8" i="21"/>
  <c r="U7" i="21"/>
  <c r="A8" i="21"/>
  <c r="A9" i="21" s="1"/>
  <c r="U6" i="20"/>
  <c r="J7" i="20"/>
  <c r="T7" i="20"/>
  <c r="W6" i="20"/>
  <c r="O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10" i="21" l="1"/>
  <c r="V8" i="21"/>
  <c r="O9" i="21"/>
  <c r="U8" i="21"/>
  <c r="J9" i="21"/>
  <c r="W8" i="21"/>
  <c r="T9" i="21"/>
  <c r="V7" i="20"/>
  <c r="W7" i="20"/>
  <c r="T8" i="20"/>
  <c r="U7" i="20"/>
  <c r="J8" i="20"/>
  <c r="U8" i="20" s="1"/>
  <c r="V8" i="19"/>
  <c r="W8" i="19"/>
  <c r="U7" i="19"/>
  <c r="W7" i="19"/>
  <c r="V6" i="19"/>
  <c r="W6" i="19"/>
  <c r="U4" i="19"/>
  <c r="V4" i="19"/>
  <c r="T5" i="19"/>
  <c r="W4" i="19"/>
  <c r="J5" i="19"/>
  <c r="O5" i="19"/>
  <c r="B11" i="21" l="1"/>
  <c r="A10" i="21"/>
  <c r="W9" i="21"/>
  <c r="T10" i="21"/>
  <c r="U9" i="21"/>
  <c r="J10" i="21"/>
  <c r="V9" i="21"/>
  <c r="O10" i="21"/>
  <c r="V8" i="20"/>
  <c r="W8" i="20"/>
  <c r="W5" i="19"/>
  <c r="V5" i="19"/>
  <c r="U5" i="19"/>
  <c r="A11" i="21" l="1"/>
  <c r="V10" i="21"/>
  <c r="O11" i="21"/>
  <c r="B12" i="21"/>
  <c r="U10" i="21"/>
  <c r="J11" i="21"/>
  <c r="W10" i="21"/>
  <c r="T11" i="21"/>
  <c r="B13" i="21" l="1"/>
  <c r="A13" i="21"/>
  <c r="O12" i="21"/>
  <c r="V11" i="21"/>
  <c r="W11" i="21"/>
  <c r="T12" i="21"/>
  <c r="J12" i="21"/>
  <c r="U11" i="21"/>
  <c r="A12" i="21"/>
  <c r="V12" i="21" l="1"/>
  <c r="O13" i="21"/>
  <c r="U12" i="21"/>
  <c r="J13" i="21"/>
  <c r="W12" i="21"/>
  <c r="T13" i="21"/>
  <c r="W13" i="21" s="1"/>
  <c r="V13" i="21" l="1"/>
  <c r="U13" i="21"/>
</calcChain>
</file>

<file path=xl/sharedStrings.xml><?xml version="1.0" encoding="utf-8"?>
<sst xmlns="http://schemas.openxmlformats.org/spreadsheetml/2006/main" count="801" uniqueCount="215">
  <si>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</si>
  <si>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</si>
  <si>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</si>
  <si>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</si>
  <si>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</si>
  <si>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</si>
  <si>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</si>
  <si>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</si>
  <si>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</si>
  <si>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</si>
  <si>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</si>
  <si>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</si>
  <si>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</si>
  <si>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</si>
  <si>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</si>
  <si>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</si>
  <si>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</si>
  <si>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</si>
  <si>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</si>
  <si>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</si>
  <si>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</si>
  <si>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</si>
  <si>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</si>
  <si>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</si>
  <si>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</si>
  <si>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</si>
  <si>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</si>
  <si>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</si>
  <si>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</si>
  <si>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</si>
  <si>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</si>
  <si>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</si>
  <si>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</si>
  <si>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</si>
  <si>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</si>
  <si>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</si>
  <si>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</si>
  <si>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</si>
  <si>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</si>
  <si>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</si>
  <si>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</si>
  <si>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</si>
  <si>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</si>
  <si>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</si>
  <si>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</si>
  <si>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</si>
  <si>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</si>
  <si>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</si>
  <si>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</si>
  <si>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</si>
  <si>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</si>
  <si>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</si>
  <si>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</si>
  <si>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</si>
  <si>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</si>
  <si>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</si>
  <si>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</si>
  <si>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</si>
  <si>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</si>
  <si>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</si>
  <si>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</si>
  <si>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</si>
  <si>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</si>
  <si>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</si>
  <si>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</si>
  <si>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</si>
  <si>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</si>
  <si>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</si>
  <si>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</si>
  <si>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</si>
  <si>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</si>
  <si>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</si>
  <si>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</si>
  <si>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</si>
  <si>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</si>
  <si>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</si>
  <si>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</si>
  <si>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</si>
  <si>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</si>
  <si>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</si>
  <si>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</si>
  <si>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</si>
  <si>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</si>
  <si>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</si>
  <si>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</si>
  <si>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</si>
  <si>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</si>
  <si>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</si>
  <si>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</si>
  <si>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</si>
  <si>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</si>
  <si>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</si>
  <si>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</si>
  <si>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</si>
  <si>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</si>
  <si>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</si>
  <si>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</si>
  <si>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</si>
  <si>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</si>
  <si>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</si>
  <si>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</si>
  <si>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</si>
  <si>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</si>
  <si>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</si>
  <si>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</si>
  <si>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</si>
  <si>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</si>
  <si>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</si>
  <si>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</si>
  <si>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</si>
  <si>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</si>
  <si>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</si>
  <si>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</si>
  <si>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</si>
  <si>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</si>
  <si>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</si>
  <si>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</si>
  <si>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</si>
  <si>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</si>
  <si>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</si>
  <si>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</si>
  <si>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</si>
  <si>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</si>
  <si>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</si>
  <si>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</si>
  <si>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</si>
  <si>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</si>
  <si>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</si>
  <si>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</si>
  <si>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</si>
  <si>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</si>
  <si>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</si>
  <si>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</si>
  <si>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</si>
  <si>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</si>
  <si>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</si>
  <si>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</si>
  <si>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</si>
  <si>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</si>
  <si>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</si>
  <si>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</si>
  <si>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</si>
  <si>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</si>
  <si>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</si>
  <si>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</si>
  <si>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</si>
  <si>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</si>
  <si>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</si>
  <si>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</si>
  <si>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</si>
  <si>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</si>
  <si>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</si>
  <si>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</si>
  <si>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</si>
  <si>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</si>
  <si>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</si>
  <si>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</si>
  <si>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</si>
  <si>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</si>
  <si>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</si>
  <si>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</si>
  <si>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</si>
  <si>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</si>
  <si>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</si>
  <si>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</si>
  <si>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</si>
  <si>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</si>
  <si>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</si>
  <si>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</si>
  <si>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</si>
  <si>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</si>
  <si>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</si>
  <si>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</si>
  <si>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</si>
  <si>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</si>
  <si>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</si>
  <si>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</si>
  <si>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</si>
  <si>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</si>
  <si>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</si>
  <si>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</si>
  <si>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</si>
  <si>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</si>
  <si>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</si>
  <si>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</si>
  <si>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</si>
  <si>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</si>
  <si>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</si>
  <si>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</si>
  <si>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</si>
  <si>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</si>
  <si>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</si>
  <si>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</si>
  <si>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れんたろう</t>
  </si>
  <si>
    <t>れんたろう</t>
    <phoneticPr fontId="1"/>
  </si>
  <si>
    <t>ただ</t>
  </si>
  <si>
    <t>ただ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</si>
  <si>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</si>
  <si>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</si>
  <si>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</si>
  <si>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</si>
  <si>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</si>
  <si>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</si>
  <si>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</si>
  <si>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02</t>
  </si>
  <si>
    <t>T</t>
  </si>
  <si>
    <t>N</t>
  </si>
  <si>
    <t>流局</t>
    <phoneticPr fontId="1"/>
  </si>
  <si>
    <t>のり</t>
  </si>
  <si>
    <t>だいち</t>
  </si>
  <si>
    <t>まっつん</t>
  </si>
  <si>
    <t>まっつん</t>
    <phoneticPr fontId="1"/>
  </si>
  <si>
    <t>だいち</t>
    <phoneticPr fontId="1"/>
  </si>
  <si>
    <t>のり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</si>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</sst>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197</v>
      </c>
      <c r="L4" s="9">
        <v>18000</v>
      </c>
      <c r="M4" s="9">
        <v>2000</v>
      </c>
      <c r="N4" s="48">
        <v>0</v>
      </c>
      <c r="O4" s="21">
        <f>IF(COUNTA($F4,$K4,$P4)&gt;0,O3+SUM(L4:N4),"")</f>
        <v>55000</v>
      </c>
      <c r="P4" s="8" t="s">
        <v>198</v>
      </c>
      <c r="Q4" s="9">
        <v>-18000</v>
      </c>
      <c r="R4" s="9">
        <v>-1000</v>
      </c>
      <c r="S4" s="48">
        <v>0</v>
      </c>
      <c r="T4" s="21">
        <f>IF(COUNTA($F4,$K4,$P4)&gt;0,T3+SUM(Q4:S4),"")</f>
        <v>16000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30</v>
      </c>
      <c r="W4" s="55">
        <f>IF($T4="","",ROUND(($T4-$T$3)/1000,1)+(_xlfn.RANK.AVG($T4,($J4,$O4,$T4),1)-2)*10)</f>
        <v>-29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199</v>
      </c>
      <c r="AZ4" s="40" t="s">
        <v>200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79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-6000</v>
      </c>
      <c r="H5" s="9"/>
      <c r="I5" s="48">
        <v>-500</v>
      </c>
      <c r="J5" s="21">
        <f t="shared" ref="J5:J30" si="2">IF(COUNTA($F5,$K5,$P5)&gt;0,J4+SUM(G5:I5),"")</f>
        <v>27500</v>
      </c>
      <c r="K5" s="8" t="s">
        <v>202</v>
      </c>
      <c r="L5" s="9">
        <v>12000</v>
      </c>
      <c r="M5" s="9"/>
      <c r="N5" s="48">
        <v>1000</v>
      </c>
      <c r="O5" s="21">
        <f t="shared" ref="O5:O30" si="3">IF(COUNTA($F5,$K5,$P5)&gt;0,O4+SUM(L5:N5),"")</f>
        <v>68000</v>
      </c>
      <c r="P5" s="8" t="s">
        <v>201</v>
      </c>
      <c r="Q5" s="9">
        <v>-6000</v>
      </c>
      <c r="R5" s="9"/>
      <c r="S5" s="48">
        <v>-500</v>
      </c>
      <c r="T5" s="21">
        <f t="shared" ref="T5:T30" si="4">IF(COUNTA($F5,$K5,$P5)&gt;0,T4+SUM(Q5:S5),"")</f>
        <v>9500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43</v>
      </c>
      <c r="W5" s="55">
        <f>IF($T5="","",ROUND(($T5-$T$3)/1000,1)+(_xlfn.RANK.AVG($T5,($J5,$O5,$T5),1)-2)*10)</f>
        <v>-35.5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83</v>
      </c>
      <c r="BC5" s="41" t="s">
        <v>203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27500</v>
      </c>
      <c r="K6" s="8" t="s">
        <v>197</v>
      </c>
      <c r="L6" s="9">
        <v>3900</v>
      </c>
      <c r="M6" s="9"/>
      <c r="N6" s="48">
        <v>2000</v>
      </c>
      <c r="O6" s="21">
        <f t="shared" si="3"/>
        <v>73900</v>
      </c>
      <c r="P6" s="8" t="s">
        <v>198</v>
      </c>
      <c r="Q6" s="9">
        <v>-3900</v>
      </c>
      <c r="R6" s="9"/>
      <c r="S6" s="48">
        <v>-2000</v>
      </c>
      <c r="T6" s="21">
        <f t="shared" si="4"/>
        <v>3600</v>
      </c>
      <c r="U6" s="53">
        <f>IF($J6="","",ROUND(($J6-$J$3)/1000,1)+(_xlfn.RANK.AVG($J6,($J6,$O6,$T6),1)-2)*10)</f>
        <v>-7.5</v>
      </c>
      <c r="V6" s="54">
        <f>IF($O6="","",ROUND(($O6-$O$3)/1000,1)+(_xlfn.RANK.AVG($O6,($J6,$O6,$T6),1)-2)*10)</f>
        <v>48.9</v>
      </c>
      <c r="W6" s="55">
        <f>IF($T6="","",ROUND(($T6-$T$3)/1000,1)+(_xlfn.RANK.AVG($T6,($J6,$O6,$T6),1)-2)*10)</f>
        <v>-41.4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200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197</v>
      </c>
      <c r="G7" s="9">
        <v>3900</v>
      </c>
      <c r="H7" s="9"/>
      <c r="I7" s="48">
        <v>3000</v>
      </c>
      <c r="J7" s="21">
        <f t="shared" si="2"/>
        <v>34400</v>
      </c>
      <c r="K7" s="8" t="s">
        <v>198</v>
      </c>
      <c r="L7" s="9">
        <v>-3900</v>
      </c>
      <c r="M7" s="9"/>
      <c r="N7" s="48">
        <v>-3000</v>
      </c>
      <c r="O7" s="21">
        <f t="shared" si="3"/>
        <v>67000</v>
      </c>
      <c r="P7" s="8"/>
      <c r="Q7" s="9"/>
      <c r="R7" s="9"/>
      <c r="S7" s="48"/>
      <c r="T7" s="21">
        <f t="shared" si="4"/>
        <v>3600</v>
      </c>
      <c r="U7" s="53">
        <f>IF($J7="","",ROUND(($J7-$J$3)/1000,1)+(_xlfn.RANK.AVG($J7,($J7,$O7,$T7),1)-2)*10)</f>
        <v>-0.6</v>
      </c>
      <c r="V7" s="54">
        <f>IF($O7="","",ROUND(($O7-$O$3)/1000,1)+(_xlfn.RANK.AVG($O7,($J7,$O7,$T7),1)-2)*10)</f>
        <v>42</v>
      </c>
      <c r="W7" s="55">
        <f>IF($T7="","",ROUND(($T7-$T$3)/1000,1)+(_xlfn.RANK.AVG($T7,($J7,$O7,$T7),1)-2)*10)</f>
        <v>-41.4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12000</v>
      </c>
      <c r="H8" s="9"/>
      <c r="I8" s="48">
        <v>0</v>
      </c>
      <c r="J8" s="21">
        <f t="shared" si="2"/>
        <v>46400</v>
      </c>
      <c r="K8" s="8"/>
      <c r="L8" s="9"/>
      <c r="M8" s="9"/>
      <c r="N8" s="48"/>
      <c r="O8" s="21">
        <f t="shared" si="3"/>
        <v>67000</v>
      </c>
      <c r="P8" s="8" t="s">
        <v>198</v>
      </c>
      <c r="Q8" s="9">
        <v>-12000</v>
      </c>
      <c r="R8" s="9"/>
      <c r="S8" s="48">
        <v>0</v>
      </c>
      <c r="T8" s="21">
        <f t="shared" si="4"/>
        <v>-8400</v>
      </c>
      <c r="U8" s="53">
        <f>IF($J8="","",ROUND(($J8-$J$3)/1000,1)+(_xlfn.RANK.AVG($J8,($J8,$O8,$T8),1)-2)*10)</f>
        <v>11.4</v>
      </c>
      <c r="V8" s="54">
        <f>IF($O8="","",ROUND(($O8-$O$3)/1000,1)+(_xlfn.RANK.AVG($O8,($J8,$O8,$T8),1)-2)*10)</f>
        <v>42</v>
      </c>
      <c r="W8" s="55">
        <f>IF($T8="","",ROUND(($T8-$T$3)/1000,1)+(_xlfn.RANK.AVG($T8,($J8,$O8,$T8),1)-2)*10)</f>
        <v>-53.4</v>
      </c>
      <c r="Y8" s="8"/>
      <c r="Z8" s="34"/>
      <c r="AA8" s="26"/>
      <c r="AB8" s="26"/>
      <c r="AC8" s="26">
        <v>7</v>
      </c>
      <c r="AD8" s="30" t="s">
        <v>199</v>
      </c>
      <c r="AE8" s="40" t="s">
        <v>84</v>
      </c>
      <c r="AF8" s="41" t="s">
        <v>106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0661CF4-EF16-4AB2-A772-7876B407426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A70D8-4E23-450E-8C07-36E55FF113B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-15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79</v>
      </c>
      <c r="AH4" s="41" t="s">
        <v>203</v>
      </c>
      <c r="AI4" s="41" t="s">
        <v>204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11600</v>
      </c>
      <c r="H5" s="9"/>
      <c r="I5" s="48">
        <v>0</v>
      </c>
      <c r="J5" s="21">
        <f t="shared" ref="J5:J30" si="2">IF(COUNTA($F5,$K5,$P5)&gt;0,J4+SUM(G5:I5),"")</f>
        <v>54600</v>
      </c>
      <c r="K5" s="8" t="s">
        <v>201</v>
      </c>
      <c r="L5" s="9">
        <v>-5800</v>
      </c>
      <c r="M5" s="9"/>
      <c r="N5" s="48">
        <v>0</v>
      </c>
      <c r="O5" s="21">
        <f t="shared" ref="O5:O30" si="3">IF(COUNTA($F5,$K5,$P5)&gt;0,O4+SUM(L5:N5),"")</f>
        <v>26200</v>
      </c>
      <c r="P5" s="8" t="s">
        <v>201</v>
      </c>
      <c r="Q5" s="9">
        <v>-5800</v>
      </c>
      <c r="R5" s="9"/>
      <c r="S5" s="48">
        <v>0</v>
      </c>
      <c r="T5" s="21">
        <f t="shared" ref="T5:T30" si="4">IF(COUNTA($F5,$K5,$P5)&gt;0,T4+SUM(Q5:S5),"")</f>
        <v>24200</v>
      </c>
      <c r="U5" s="53">
        <f>IF($J5="","",ROUND(($J5-$J$3)/1000,1)+(_xlfn.RANK.AVG($J5,($J5,$O5,$T5),1)-2)*10)</f>
        <v>29.6</v>
      </c>
      <c r="V5" s="54">
        <f>IF($O5="","",ROUND(($O5-$O$3)/1000,1)+(_xlfn.RANK.AVG($O5,($J5,$O5,$T5),1)-2)*10)</f>
        <v>-8.8000000000000007</v>
      </c>
      <c r="W5" s="55">
        <f>IF($T5="","",ROUND(($T5-$T$3)/1000,1)+(_xlfn.RANK.AVG($T5,($J5,$O5,$T5),1)-2)*10)</f>
        <v>-20.8</v>
      </c>
      <c r="Y5" s="8"/>
      <c r="Z5" s="34"/>
      <c r="AA5" s="26"/>
      <c r="AB5" s="26"/>
      <c r="AC5" s="26">
        <v>4</v>
      </c>
      <c r="AD5" s="30">
        <v>30</v>
      </c>
      <c r="AE5" s="40" t="s">
        <v>82</v>
      </c>
      <c r="AF5" s="41" t="s">
        <v>84</v>
      </c>
      <c r="AG5" s="41" t="s">
        <v>203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207</v>
      </c>
      <c r="G6" s="9">
        <v>-3000</v>
      </c>
      <c r="H6" s="9"/>
      <c r="I6" s="48"/>
      <c r="J6" s="21">
        <f t="shared" si="2"/>
        <v>51600</v>
      </c>
      <c r="K6" s="8" t="s">
        <v>207</v>
      </c>
      <c r="L6" s="9">
        <v>1500</v>
      </c>
      <c r="M6" s="9">
        <v>-1000</v>
      </c>
      <c r="N6" s="48"/>
      <c r="O6" s="21">
        <f t="shared" si="3"/>
        <v>26700</v>
      </c>
      <c r="P6" s="8" t="s">
        <v>207</v>
      </c>
      <c r="Q6" s="9">
        <v>1500</v>
      </c>
      <c r="R6" s="9">
        <v>-1000</v>
      </c>
      <c r="S6" s="48"/>
      <c r="T6" s="21">
        <f t="shared" si="4"/>
        <v>24700</v>
      </c>
      <c r="U6" s="53">
        <f>IF($J6="","",ROUND(($J6-$J$3)/1000,1)+(_xlfn.RANK.AVG($J6,($J6,$O6,$T6),1)-2)*10)</f>
        <v>26.6</v>
      </c>
      <c r="V6" s="54">
        <f>IF($O6="","",ROUND(($O6-$O$3)/1000,1)+(_xlfn.RANK.AVG($O6,($J6,$O6,$T6),1)-2)*10)</f>
        <v>-8.3000000000000007</v>
      </c>
      <c r="W6" s="55">
        <f>IF($T6="","",ROUND(($T6-$T$3)/1000,1)+(_xlfn.RANK.AVG($T6,($J6,$O6,$T6),1)-2)*10)</f>
        <v>-20.3</v>
      </c>
      <c r="Y6" s="8" t="s">
        <v>206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2</v>
      </c>
      <c r="E7" s="4" t="s">
        <v>193</v>
      </c>
      <c r="F7" s="8" t="s">
        <v>201</v>
      </c>
      <c r="G7" s="9">
        <v>-4500</v>
      </c>
      <c r="H7" s="9"/>
      <c r="I7" s="48">
        <v>-1000</v>
      </c>
      <c r="J7" s="21">
        <f t="shared" si="2"/>
        <v>46100</v>
      </c>
      <c r="K7" s="8" t="s">
        <v>201</v>
      </c>
      <c r="L7" s="9">
        <v>-7500</v>
      </c>
      <c r="M7" s="9"/>
      <c r="N7" s="48">
        <v>-1000</v>
      </c>
      <c r="O7" s="21">
        <f t="shared" si="3"/>
        <v>18200</v>
      </c>
      <c r="P7" s="8" t="s">
        <v>202</v>
      </c>
      <c r="Q7" s="9">
        <v>12000</v>
      </c>
      <c r="R7" s="9">
        <v>2000</v>
      </c>
      <c r="S7" s="48">
        <v>2000</v>
      </c>
      <c r="T7" s="21">
        <f t="shared" si="4"/>
        <v>40700</v>
      </c>
      <c r="U7" s="53">
        <f>IF($J7="","",ROUND(($J7-$J$3)/1000,1)+(_xlfn.RANK.AVG($J7,($J7,$O7,$T7),1)-2)*10)</f>
        <v>21.1</v>
      </c>
      <c r="V7" s="54">
        <f>IF($O7="","",ROUND(($O7-$O$3)/1000,1)+(_xlfn.RANK.AVG($O7,($J7,$O7,$T7),1)-2)*10)</f>
        <v>-26.8</v>
      </c>
      <c r="W7" s="55">
        <f>IF($T7="","",ROUND(($T7-$T$3)/1000,1)+(_xlfn.RANK.AVG($T7,($J7,$O7,$T7),1)-2)*10)</f>
        <v>5.7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200</v>
      </c>
      <c r="BV7" s="41" t="s">
        <v>203</v>
      </c>
      <c r="BW7" s="41" t="s">
        <v>79</v>
      </c>
      <c r="BX7" s="41" t="s">
        <v>79</v>
      </c>
      <c r="BY7" s="41" t="s">
        <v>101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46100</v>
      </c>
      <c r="K8" s="8" t="s">
        <v>198</v>
      </c>
      <c r="L8" s="9">
        <v>-12000</v>
      </c>
      <c r="M8" s="9"/>
      <c r="N8" s="48">
        <v>0</v>
      </c>
      <c r="O8" s="21">
        <f t="shared" si="3"/>
        <v>6200</v>
      </c>
      <c r="P8" s="8" t="s">
        <v>197</v>
      </c>
      <c r="Q8" s="9">
        <v>12000</v>
      </c>
      <c r="R8" s="9"/>
      <c r="S8" s="48">
        <v>0</v>
      </c>
      <c r="T8" s="21">
        <f t="shared" si="4"/>
        <v>52700</v>
      </c>
      <c r="U8" s="53">
        <f>IF($J8="","",ROUND(($J8-$J$3)/1000,1)+(_xlfn.RANK.AVG($J8,($J8,$O8,$T8),1)-2)*10)</f>
        <v>11.1</v>
      </c>
      <c r="V8" s="54">
        <f>IF($O8="","",ROUND(($O8-$O$3)/1000,1)+(_xlfn.RANK.AVG($O8,($J8,$O8,$T8),1)-2)*10)</f>
        <v>-38.799999999999997</v>
      </c>
      <c r="W8" s="55">
        <f>IF($T8="","",ROUND(($T8-$T$3)/1000,1)+(_xlfn.RANK.AVG($T8,($J8,$O8,$T8),1)-2)*10)</f>
        <v>27.7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199</v>
      </c>
      <c r="BU8" s="40" t="s">
        <v>101</v>
      </c>
      <c r="BV8" s="41" t="s">
        <v>203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46100</v>
      </c>
      <c r="K9" s="8" t="s">
        <v>197</v>
      </c>
      <c r="L9" s="9">
        <v>16000</v>
      </c>
      <c r="M9" s="9">
        <v>1000</v>
      </c>
      <c r="N9" s="48">
        <v>1000</v>
      </c>
      <c r="O9" s="21">
        <f t="shared" si="3"/>
        <v>24200</v>
      </c>
      <c r="P9" s="8" t="s">
        <v>198</v>
      </c>
      <c r="Q9" s="9">
        <v>-16000</v>
      </c>
      <c r="R9" s="9">
        <v>-1000</v>
      </c>
      <c r="S9" s="48">
        <v>-1000</v>
      </c>
      <c r="T9" s="21">
        <f t="shared" si="4"/>
        <v>34700</v>
      </c>
      <c r="U9" s="53">
        <f>IF($J9="","",ROUND(($J9-$J$3)/1000,1)+(_xlfn.RANK.AVG($J9,($J9,$O9,$T9),1)-2)*10)</f>
        <v>21.1</v>
      </c>
      <c r="V9" s="54">
        <f>IF($O9="","",ROUND(($O9-$O$3)/1000,1)+(_xlfn.RANK.AVG($O9,($J9,$O9,$T9),1)-2)*10)</f>
        <v>-20.8</v>
      </c>
      <c r="W9" s="55">
        <f>IF($T9="","",ROUND(($T9-$T$3)/1000,1)+(_xlfn.RANK.AVG($T9,($J9,$O9,$T9),1)-2)*10)</f>
        <v>-0.3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8</v>
      </c>
      <c r="AY9" s="30" t="s">
        <v>199</v>
      </c>
      <c r="AZ9" s="40" t="s">
        <v>79</v>
      </c>
      <c r="BA9" s="41" t="s">
        <v>79</v>
      </c>
      <c r="BB9" s="41" t="s">
        <v>79</v>
      </c>
      <c r="BC9" s="41" t="s">
        <v>86</v>
      </c>
      <c r="BD9" s="41" t="s">
        <v>86</v>
      </c>
      <c r="BE9" s="41" t="s">
        <v>203</v>
      </c>
      <c r="BF9" s="41" t="s">
        <v>104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5800</v>
      </c>
      <c r="H10" s="9"/>
      <c r="I10" s="48">
        <v>0</v>
      </c>
      <c r="J10" s="21">
        <f t="shared" si="2"/>
        <v>51900</v>
      </c>
      <c r="K10" s="8" t="s">
        <v>198</v>
      </c>
      <c r="L10" s="9">
        <v>-5800</v>
      </c>
      <c r="M10" s="9"/>
      <c r="N10" s="48">
        <v>0</v>
      </c>
      <c r="O10" s="21">
        <f t="shared" si="3"/>
        <v>18400</v>
      </c>
      <c r="P10" s="8"/>
      <c r="Q10" s="9"/>
      <c r="R10" s="9"/>
      <c r="S10" s="48"/>
      <c r="T10" s="21">
        <f t="shared" si="4"/>
        <v>34700</v>
      </c>
      <c r="U10" s="53">
        <f>IF($J10="","",ROUND(($J10-$J$3)/1000,1)+(_xlfn.RANK.AVG($J10,($J10,$O10,$T10),1)-2)*10)</f>
        <v>26.9</v>
      </c>
      <c r="V10" s="54">
        <f>IF($O10="","",ROUND(($O10-$O$3)/1000,1)+(_xlfn.RANK.AVG($O10,($J10,$O10,$T10),1)-2)*10)</f>
        <v>-26.6</v>
      </c>
      <c r="W10" s="55">
        <f>IF($T10="","",ROUND(($T10-$T$3)/1000,1)+(_xlfn.RANK.AVG($T10,($J10,$O10,$T10),1)-2)*10)</f>
        <v>-0.3</v>
      </c>
      <c r="Y10" s="8"/>
      <c r="Z10" s="34"/>
      <c r="AA10" s="26"/>
      <c r="AB10" s="26"/>
      <c r="AC10" s="26">
        <v>3</v>
      </c>
      <c r="AD10" s="30">
        <v>30</v>
      </c>
      <c r="AE10" s="40" t="s">
        <v>83</v>
      </c>
      <c r="AF10" s="41" t="s">
        <v>79</v>
      </c>
      <c r="AG10" s="41" t="s">
        <v>203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201</v>
      </c>
      <c r="G11" s="9">
        <v>-7500</v>
      </c>
      <c r="H11" s="9"/>
      <c r="I11" s="48">
        <v>-500</v>
      </c>
      <c r="J11" s="21">
        <f t="shared" si="2"/>
        <v>43900</v>
      </c>
      <c r="K11" s="8" t="s">
        <v>201</v>
      </c>
      <c r="L11" s="9">
        <v>-4500</v>
      </c>
      <c r="M11" s="9"/>
      <c r="N11" s="48">
        <v>-500</v>
      </c>
      <c r="O11" s="21">
        <f t="shared" si="3"/>
        <v>13400</v>
      </c>
      <c r="P11" s="8" t="s">
        <v>202</v>
      </c>
      <c r="Q11" s="9">
        <v>12000</v>
      </c>
      <c r="R11" s="9"/>
      <c r="S11" s="48">
        <v>1000</v>
      </c>
      <c r="T11" s="21">
        <f t="shared" si="4"/>
        <v>47700</v>
      </c>
      <c r="U11" s="53">
        <f>IF($J11="","",ROUND(($J11-$J$3)/1000,1)+(_xlfn.RANK.AVG($J11,($J11,$O11,$T11),1)-2)*10)</f>
        <v>8.9</v>
      </c>
      <c r="V11" s="54">
        <f>IF($O11="","",ROUND(($O11-$O$3)/1000,1)+(_xlfn.RANK.AVG($O11,($J11,$O11,$T11),1)-2)*10)</f>
        <v>-31.6</v>
      </c>
      <c r="W11" s="55">
        <f>IF($T11="","",ROUND(($T11-$T$3)/1000,1)+(_xlfn.RANK.AVG($T11,($J11,$O11,$T11),1)-2)*10)</f>
        <v>22.7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199</v>
      </c>
      <c r="BU11" s="40" t="s">
        <v>200</v>
      </c>
      <c r="BV11" s="41" t="s">
        <v>82</v>
      </c>
      <c r="BW11" s="41" t="s">
        <v>85</v>
      </c>
      <c r="BX11" s="41" t="s">
        <v>79</v>
      </c>
      <c r="BY11" s="41" t="s">
        <v>203</v>
      </c>
      <c r="BZ11" s="41" t="s">
        <v>80</v>
      </c>
      <c r="CA11" s="41" t="s">
        <v>80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207</v>
      </c>
      <c r="G12" s="9">
        <v>0</v>
      </c>
      <c r="H12" s="9"/>
      <c r="I12" s="48"/>
      <c r="J12" s="21">
        <f t="shared" si="2"/>
        <v>43900</v>
      </c>
      <c r="K12" s="8" t="s">
        <v>207</v>
      </c>
      <c r="L12" s="9">
        <v>0</v>
      </c>
      <c r="M12" s="9"/>
      <c r="N12" s="48"/>
      <c r="O12" s="21">
        <f t="shared" si="3"/>
        <v>13400</v>
      </c>
      <c r="P12" s="8" t="s">
        <v>207</v>
      </c>
      <c r="Q12" s="9">
        <v>0</v>
      </c>
      <c r="R12" s="9">
        <v>-1000</v>
      </c>
      <c r="S12" s="48"/>
      <c r="T12" s="21">
        <f t="shared" si="4"/>
        <v>46700</v>
      </c>
      <c r="U12" s="53">
        <f>IF($J12="","",ROUND(($J12-$J$3)/1000,1)+(_xlfn.RANK.AVG($J12,($J12,$O12,$T12),1)-2)*10)</f>
        <v>8.9</v>
      </c>
      <c r="V12" s="54">
        <f>IF($O12="","",ROUND(($O12-$O$3)/1000,1)+(_xlfn.RANK.AVG($O12,($J12,$O12,$T12),1)-2)*10)</f>
        <v>-31.6</v>
      </c>
      <c r="W12" s="55">
        <f>IF($T12="","",ROUND(($T12-$T$3)/1000,1)+(_xlfn.RANK.AVG($T12,($J12,$O12,$T12),1)-2)*10)</f>
        <v>21.7</v>
      </c>
      <c r="Y12" s="8" t="s">
        <v>205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193</v>
      </c>
      <c r="F13" s="8" t="s">
        <v>197</v>
      </c>
      <c r="G13" s="9">
        <v>1300</v>
      </c>
      <c r="H13" s="9">
        <v>1000</v>
      </c>
      <c r="I13" s="48">
        <v>1000</v>
      </c>
      <c r="J13" s="21">
        <f t="shared" si="2"/>
        <v>47200</v>
      </c>
      <c r="K13" s="8"/>
      <c r="L13" s="9"/>
      <c r="M13" s="9"/>
      <c r="N13" s="48"/>
      <c r="O13" s="21">
        <f t="shared" si="3"/>
        <v>13400</v>
      </c>
      <c r="P13" s="8" t="s">
        <v>198</v>
      </c>
      <c r="Q13" s="9">
        <v>-1300</v>
      </c>
      <c r="R13" s="9"/>
      <c r="S13" s="48">
        <v>-1000</v>
      </c>
      <c r="T13" s="21">
        <f t="shared" si="4"/>
        <v>44400</v>
      </c>
      <c r="U13" s="53">
        <f>IF($J13="","",ROUND(($J13-$J$3)/1000,1)+(_xlfn.RANK.AVG($J13,($J13,$O13,$T13),1)-2)*10)</f>
        <v>22.2</v>
      </c>
      <c r="V13" s="54">
        <f>IF($O13="","",ROUND(($O13-$O$3)/1000,1)+(_xlfn.RANK.AVG($O13,($J13,$O13,$T13),1)-2)*10)</f>
        <v>-31.6</v>
      </c>
      <c r="W13" s="55">
        <f>IF($T13="","",ROUND(($T13-$T$3)/1000,1)+(_xlfn.RANK.AVG($T13,($J13,$O13,$T13),1)-2)*10)</f>
        <v>9.4</v>
      </c>
      <c r="Y13" s="8"/>
      <c r="Z13" s="34"/>
      <c r="AA13" s="26"/>
      <c r="AB13" s="26">
        <v>1</v>
      </c>
      <c r="AC13" s="26">
        <v>1</v>
      </c>
      <c r="AD13" s="30">
        <v>40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B7EA2DE9-6B56-45E9-A439-40359882D1CE}">
      <formula1>"ロン,ツモ,放銃,ツモ支払,流局,チョンボ"</formula1>
    </dataValidation>
    <dataValidation type="list" allowBlank="1" showInputMessage="1" showErrorMessage="1" sqref="E4:E30" xr:uid="{17C4859D-438D-4BAE-94DA-BEDA7F641522}">
      <formula1>$U$2:$W$2</formula1>
    </dataValidation>
    <dataValidation type="list" allowBlank="1" showInputMessage="1" sqref="F1:T1" xr:uid="{A73451FD-F827-4AA5-B3F3-2C852D0D1D1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73E4-5789-40FE-805A-44C03E0CBF71}">
  <sheetPr codeName="Sheet12">
    <pageSetUpPr fitToPage="1"/>
  </sheetPr>
  <dimension ref="A1:CI30"/>
  <sheetViews>
    <sheetView topLeftCell="B1" zoomScaleNormal="100" workbookViewId="0">
      <selection activeCell="B1" sqref="B1:B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212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のり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だいち</v>
      </c>
      <c r="W2" s="16" t="str">
        <f>$P$1</f>
        <v>のり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201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202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201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-4.5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-17.5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199</v>
      </c>
      <c r="AZ4" s="40" t="s">
        <v>200</v>
      </c>
      <c r="BA4" s="41" t="s">
        <v>82</v>
      </c>
      <c r="BB4" s="41" t="s">
        <v>204</v>
      </c>
      <c r="BC4" s="41" t="s">
        <v>83</v>
      </c>
      <c r="BD4" s="41" t="s">
        <v>85</v>
      </c>
      <c r="BE4" s="41" t="s">
        <v>84</v>
      </c>
      <c r="BF4" s="41" t="s">
        <v>79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197</v>
      </c>
      <c r="G5" s="9">
        <v>11600</v>
      </c>
      <c r="H5" s="9"/>
      <c r="I5" s="48">
        <v>0</v>
      </c>
      <c r="J5" s="21">
        <f t="shared" ref="J5:J30" si="2">IF(COUNTA($F5,$K5,$P5)&gt;0,J4+SUM(G5:I5),"")</f>
        <v>42100</v>
      </c>
      <c r="K5" s="8" t="s">
        <v>198</v>
      </c>
      <c r="L5" s="9">
        <v>-11600</v>
      </c>
      <c r="M5" s="9"/>
      <c r="N5" s="48">
        <v>0</v>
      </c>
      <c r="O5" s="21">
        <f t="shared" ref="O5:O30" si="3">IF(COUNTA($F5,$K5,$P5)&gt;0,O4+SUM(L5:N5),"")</f>
        <v>35400</v>
      </c>
      <c r="P5" s="8"/>
      <c r="Q5" s="9"/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17.100000000000001</v>
      </c>
      <c r="V5" s="54">
        <f>IF($O5="","",ROUND(($O5-$O$3)/1000,1)+(_xlfn.RANK.AVG($O5,($J5,$O5,$T5),1)-2)*10)</f>
        <v>0.4</v>
      </c>
      <c r="W5" s="55">
        <f>IF($T5="","",ROUND(($T5-$T$3)/1000,1)+(_xlfn.RANK.AVG($T5,($J5,$O5,$T5),1)-2)*10)</f>
        <v>-17.5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86</v>
      </c>
      <c r="AG5" s="41" t="s">
        <v>86</v>
      </c>
      <c r="AH5" s="41" t="s">
        <v>93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210</v>
      </c>
      <c r="F6" s="8" t="s">
        <v>201</v>
      </c>
      <c r="G6" s="9">
        <v>-20000</v>
      </c>
      <c r="H6" s="9"/>
      <c r="I6" s="48">
        <v>-500</v>
      </c>
      <c r="J6" s="21">
        <f t="shared" si="2"/>
        <v>21600</v>
      </c>
      <c r="K6" s="8" t="s">
        <v>201</v>
      </c>
      <c r="L6" s="9">
        <v>-12000</v>
      </c>
      <c r="M6" s="9"/>
      <c r="N6" s="48">
        <v>-500</v>
      </c>
      <c r="O6" s="21">
        <f t="shared" si="3"/>
        <v>22900</v>
      </c>
      <c r="P6" s="8" t="s">
        <v>202</v>
      </c>
      <c r="Q6" s="9">
        <v>32000</v>
      </c>
      <c r="R6" s="9"/>
      <c r="S6" s="48">
        <v>1000</v>
      </c>
      <c r="T6" s="21">
        <f t="shared" si="4"/>
        <v>60500</v>
      </c>
      <c r="U6" s="53">
        <f>IF($J6="","",ROUND(($J6-$J$3)/1000,1)+(_xlfn.RANK.AVG($J6,($J6,$O6,$T6),1)-2)*10)</f>
        <v>-23.4</v>
      </c>
      <c r="V6" s="54">
        <f>IF($O6="","",ROUND(($O6-$O$3)/1000,1)+(_xlfn.RANK.AVG($O6,($J6,$O6,$T6),1)-2)*10)</f>
        <v>-12.1</v>
      </c>
      <c r="W6" s="55">
        <f>IF($T6="","",ROUND(($T6-$T$3)/1000,1)+(_xlfn.RANK.AVG($T6,($J6,$O6,$T6),1)-2)*10)</f>
        <v>35.5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13</v>
      </c>
      <c r="BT6" s="30" t="s">
        <v>199</v>
      </c>
      <c r="BU6" s="40" t="s">
        <v>110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202</v>
      </c>
      <c r="G7" s="9">
        <v>12000</v>
      </c>
      <c r="H7" s="9"/>
      <c r="I7" s="48">
        <v>0</v>
      </c>
      <c r="J7" s="21">
        <f t="shared" si="2"/>
        <v>33600</v>
      </c>
      <c r="K7" s="8" t="s">
        <v>201</v>
      </c>
      <c r="L7" s="9">
        <v>-7500</v>
      </c>
      <c r="M7" s="9"/>
      <c r="N7" s="48">
        <v>0</v>
      </c>
      <c r="O7" s="21">
        <f t="shared" si="3"/>
        <v>15400</v>
      </c>
      <c r="P7" s="8" t="s">
        <v>201</v>
      </c>
      <c r="Q7" s="9">
        <v>-4500</v>
      </c>
      <c r="R7" s="9"/>
      <c r="S7" s="48">
        <v>0</v>
      </c>
      <c r="T7" s="21">
        <f t="shared" si="4"/>
        <v>56000</v>
      </c>
      <c r="U7" s="53">
        <f>IF($J7="","",ROUND(($J7-$J$3)/1000,1)+(_xlfn.RANK.AVG($J7,($J7,$O7,$T7),1)-2)*10)</f>
        <v>-1.4</v>
      </c>
      <c r="V7" s="54">
        <f>IF($O7="","",ROUND(($O7-$O$3)/1000,1)+(_xlfn.RANK.AVG($O7,($J7,$O7,$T7),1)-2)*10)</f>
        <v>-29.6</v>
      </c>
      <c r="W7" s="55">
        <f>IF($T7="","",ROUND(($T7-$T$3)/1000,1)+(_xlfn.RANK.AVG($T7,($J7,$O7,$T7),1)-2)*10)</f>
        <v>31</v>
      </c>
      <c r="Y7" s="8"/>
      <c r="Z7" s="34"/>
      <c r="AA7" s="26">
        <v>1</v>
      </c>
      <c r="AB7" s="26"/>
      <c r="AC7" s="26">
        <v>6</v>
      </c>
      <c r="AD7" s="30" t="s">
        <v>199</v>
      </c>
      <c r="AE7" s="40" t="s">
        <v>214</v>
      </c>
      <c r="AF7" s="41" t="s">
        <v>200</v>
      </c>
      <c r="AG7" s="41" t="s">
        <v>87</v>
      </c>
      <c r="AH7" s="41" t="s">
        <v>79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197</v>
      </c>
      <c r="G8" s="9">
        <v>12000</v>
      </c>
      <c r="H8" s="9"/>
      <c r="I8" s="48">
        <v>0</v>
      </c>
      <c r="J8" s="21">
        <f t="shared" si="2"/>
        <v>45600</v>
      </c>
      <c r="K8" s="8"/>
      <c r="L8" s="9"/>
      <c r="M8" s="9"/>
      <c r="N8" s="48"/>
      <c r="O8" s="21">
        <f t="shared" si="3"/>
        <v>15400</v>
      </c>
      <c r="P8" s="8" t="s">
        <v>198</v>
      </c>
      <c r="Q8" s="9">
        <v>-12000</v>
      </c>
      <c r="R8" s="9"/>
      <c r="S8" s="48">
        <v>0</v>
      </c>
      <c r="T8" s="21">
        <f t="shared" si="4"/>
        <v>44000</v>
      </c>
      <c r="U8" s="53">
        <f>IF($J8="","",ROUND(($J8-$J$3)/1000,1)+(_xlfn.RANK.AVG($J8,($J8,$O8,$T8),1)-2)*10)</f>
        <v>20.6</v>
      </c>
      <c r="V8" s="54">
        <f>IF($O8="","",ROUND(($O8-$O$3)/1000,1)+(_xlfn.RANK.AVG($O8,($J8,$O8,$T8),1)-2)*10)</f>
        <v>-29.6</v>
      </c>
      <c r="W8" s="55">
        <f>IF($T8="","",ROUND(($T8-$T$3)/1000,1)+(_xlfn.RANK.AVG($T8,($J8,$O8,$T8),1)-2)*10)</f>
        <v>9</v>
      </c>
      <c r="Y8" s="8"/>
      <c r="Z8" s="34"/>
      <c r="AA8" s="26">
        <v>1</v>
      </c>
      <c r="AB8" s="26"/>
      <c r="AC8" s="26">
        <v>7</v>
      </c>
      <c r="AD8" s="30" t="s">
        <v>199</v>
      </c>
      <c r="AE8" s="40" t="s">
        <v>200</v>
      </c>
      <c r="AF8" s="41" t="s">
        <v>83</v>
      </c>
      <c r="AG8" s="41" t="s">
        <v>84</v>
      </c>
      <c r="AH8" s="41" t="s">
        <v>203</v>
      </c>
      <c r="AI8" s="41" t="s">
        <v>79</v>
      </c>
      <c r="AJ8" s="41" t="s">
        <v>80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210</v>
      </c>
      <c r="F9" s="8"/>
      <c r="G9" s="9"/>
      <c r="H9" s="9"/>
      <c r="I9" s="48"/>
      <c r="J9" s="21">
        <f t="shared" si="2"/>
        <v>45600</v>
      </c>
      <c r="K9" s="8" t="s">
        <v>197</v>
      </c>
      <c r="L9" s="9">
        <v>2600</v>
      </c>
      <c r="M9" s="9"/>
      <c r="N9" s="48">
        <v>0</v>
      </c>
      <c r="O9" s="21">
        <f t="shared" si="3"/>
        <v>18000</v>
      </c>
      <c r="P9" s="8" t="s">
        <v>198</v>
      </c>
      <c r="Q9" s="9">
        <v>-2600</v>
      </c>
      <c r="R9" s="9"/>
      <c r="S9" s="48">
        <v>0</v>
      </c>
      <c r="T9" s="21">
        <f t="shared" si="4"/>
        <v>41400</v>
      </c>
      <c r="U9" s="53">
        <f>IF($J9="","",ROUND(($J9-$J$3)/1000,1)+(_xlfn.RANK.AVG($J9,($J9,$O9,$T9),1)-2)*10)</f>
        <v>20.6</v>
      </c>
      <c r="V9" s="54">
        <f>IF($O9="","",ROUND(($O9-$O$3)/1000,1)+(_xlfn.RANK.AVG($O9,($J9,$O9,$T9),1)-2)*10)</f>
        <v>-27</v>
      </c>
      <c r="W9" s="55">
        <f>IF($T9="","",ROUND(($T9-$T$3)/1000,1)+(_xlfn.RANK.AVG($T9,($J9,$O9,$T9),1)-2)*10)</f>
        <v>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40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201</v>
      </c>
      <c r="G10" s="9">
        <v>-1500</v>
      </c>
      <c r="H10" s="9"/>
      <c r="I10" s="48">
        <v>0</v>
      </c>
      <c r="J10" s="21">
        <f t="shared" si="2"/>
        <v>44100</v>
      </c>
      <c r="K10" s="8" t="s">
        <v>201</v>
      </c>
      <c r="L10" s="9">
        <v>-2500</v>
      </c>
      <c r="M10" s="9"/>
      <c r="N10" s="48">
        <v>0</v>
      </c>
      <c r="O10" s="21">
        <f t="shared" si="3"/>
        <v>15500</v>
      </c>
      <c r="P10" s="8" t="s">
        <v>202</v>
      </c>
      <c r="Q10" s="9">
        <v>4000</v>
      </c>
      <c r="R10" s="9"/>
      <c r="S10" s="48">
        <v>0</v>
      </c>
      <c r="T10" s="21">
        <f t="shared" si="4"/>
        <v>45400</v>
      </c>
      <c r="U10" s="53">
        <f>IF($J10="","",ROUND(($J10-$J$3)/1000,1)+(_xlfn.RANK.AVG($J10,($J10,$O10,$T10),1)-2)*10)</f>
        <v>9.1</v>
      </c>
      <c r="V10" s="54">
        <f>IF($O10="","",ROUND(($O10-$O$3)/1000,1)+(_xlfn.RANK.AVG($O10,($J10,$O10,$T10),1)-2)*10)</f>
        <v>-29.5</v>
      </c>
      <c r="W10" s="55">
        <f>IF($T10="","",ROUND(($T10-$T$3)/1000,1)+(_xlfn.RANK.AVG($T10,($J10,$O10,$T10),1)-2)*10)</f>
        <v>20.399999999999999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200</v>
      </c>
      <c r="BV10" s="41" t="s">
        <v>82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208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37A9605-7A93-44D5-AB61-BB179083F816}">
      <formula1>"たかの,だいち,ただ,りくと,れんたろう,まっつん,のり,ぱぱ,ほたに,いっしー,"</formula1>
    </dataValidation>
    <dataValidation type="list" allowBlank="1" showInputMessage="1" showErrorMessage="1" sqref="E4:E30" xr:uid="{3795D5E0-B5C1-45EA-A3B7-2D36DFD30F98}">
      <formula1>$U$2:$W$2</formula1>
    </dataValidation>
    <dataValidation type="list" showInputMessage="1" showErrorMessage="1" sqref="K4:K30 P4:P30 F4:F30" xr:uid="{063E1036-341C-4B39-9DDC-20B48C77BDB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2019-10-23T14:25:35Z</dcterms:modified>
</cp:coreProperties>
</file>