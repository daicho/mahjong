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D4340E0-C1DB-4167-82C0-C9AD5D5DD367}" xr6:coauthVersionLast="41" xr6:coauthVersionMax="41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D11" i="22"/>
  <c r="C11" i="22"/>
  <c r="B11" i="22"/>
  <c r="A11" i="22" s="1"/>
  <c r="T10" i="22"/>
  <c r="O10" i="22"/>
  <c r="J10" i="22"/>
  <c r="U10" i="22" s="1"/>
  <c r="D10" i="22"/>
  <c r="C10" i="22"/>
  <c r="B10" i="22"/>
  <c r="A10" i="22" s="1"/>
  <c r="D9" i="22"/>
  <c r="C9" i="22"/>
  <c r="D8" i="22"/>
  <c r="C8" i="22"/>
  <c r="D7" i="22"/>
  <c r="C7" i="22"/>
  <c r="D6" i="22"/>
  <c r="C6" i="22"/>
  <c r="T5" i="22"/>
  <c r="T6" i="22" s="1"/>
  <c r="O5" i="22"/>
  <c r="D5" i="22"/>
  <c r="T4" i="22"/>
  <c r="O4" i="22"/>
  <c r="V4" i="22" s="1"/>
  <c r="J4" i="22"/>
  <c r="E4" i="22"/>
  <c r="B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C6" i="21"/>
  <c r="D5" i="21"/>
  <c r="C5" i="21"/>
  <c r="T4" i="21"/>
  <c r="O4" i="21"/>
  <c r="O5" i="21" s="1"/>
  <c r="J4" i="21"/>
  <c r="E4" i="21"/>
  <c r="B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0" i="20"/>
  <c r="D11" i="20" s="1"/>
  <c r="C9" i="20"/>
  <c r="C10" i="20" s="1"/>
  <c r="C11" i="20" s="1"/>
  <c r="D8" i="20"/>
  <c r="D9" i="20" s="1"/>
  <c r="C8" i="20"/>
  <c r="C7" i="20"/>
  <c r="D6" i="20"/>
  <c r="D7" i="20" s="1"/>
  <c r="C6" i="20"/>
  <c r="T5" i="20"/>
  <c r="O5" i="20"/>
  <c r="D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W11" i="22" l="1"/>
  <c r="U11" i="22"/>
  <c r="V11" i="22"/>
  <c r="V10" i="22"/>
  <c r="W10" i="22"/>
  <c r="W4" i="22"/>
  <c r="U4" i="22"/>
  <c r="A5" i="22"/>
  <c r="B6" i="22"/>
  <c r="T7" i="22"/>
  <c r="C5" i="22"/>
  <c r="J5" i="22"/>
  <c r="V5" i="22" s="1"/>
  <c r="O6" i="22"/>
  <c r="W4" i="21"/>
  <c r="V4" i="21"/>
  <c r="B6" i="21"/>
  <c r="A5" i="21"/>
  <c r="O6" i="21"/>
  <c r="J5" i="21"/>
  <c r="U4" i="21"/>
  <c r="T5" i="21"/>
  <c r="V4" i="20"/>
  <c r="W4" i="20"/>
  <c r="U4" i="20"/>
  <c r="B6" i="20"/>
  <c r="A6" i="20" s="1"/>
  <c r="A5" i="20"/>
  <c r="C5" i="20"/>
  <c r="J5" i="20"/>
  <c r="V5" i="20" s="1"/>
  <c r="O6" i="20"/>
  <c r="T6" i="20"/>
  <c r="E4" i="19"/>
  <c r="A6" i="22" l="1"/>
  <c r="O7" i="22"/>
  <c r="W5" i="22"/>
  <c r="U5" i="22"/>
  <c r="J6" i="22"/>
  <c r="V6" i="22" s="1"/>
  <c r="T8" i="22"/>
  <c r="B7" i="22"/>
  <c r="A7" i="22" s="1"/>
  <c r="V5" i="21"/>
  <c r="B7" i="21"/>
  <c r="W5" i="21"/>
  <c r="T6" i="21"/>
  <c r="O7" i="21"/>
  <c r="A6" i="21"/>
  <c r="U5" i="21"/>
  <c r="J6" i="21"/>
  <c r="V6" i="21" s="1"/>
  <c r="B7" i="20"/>
  <c r="A7" i="20" s="1"/>
  <c r="T7" i="20"/>
  <c r="O7" i="20"/>
  <c r="U5" i="20"/>
  <c r="J6" i="20"/>
  <c r="V6" i="20" s="1"/>
  <c r="W5" i="20"/>
  <c r="W3" i="19"/>
  <c r="V3" i="19"/>
  <c r="U3" i="19"/>
  <c r="B8" i="22" l="1"/>
  <c r="A8" i="22" s="1"/>
  <c r="O8" i="22"/>
  <c r="T9" i="22"/>
  <c r="U6" i="22"/>
  <c r="J7" i="22"/>
  <c r="W6" i="22"/>
  <c r="U6" i="21"/>
  <c r="J7" i="21"/>
  <c r="O8" i="21"/>
  <c r="W6" i="21"/>
  <c r="T7" i="21"/>
  <c r="B8" i="21"/>
  <c r="A7" i="21"/>
  <c r="B8" i="20"/>
  <c r="A8" i="20" s="1"/>
  <c r="U6" i="20"/>
  <c r="J7" i="20"/>
  <c r="W7" i="20"/>
  <c r="T8" i="20"/>
  <c r="V7" i="20"/>
  <c r="O8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2" l="1"/>
  <c r="A9" i="22" s="1"/>
  <c r="J8" i="22"/>
  <c r="U7" i="22"/>
  <c r="W7" i="22"/>
  <c r="O9" i="22"/>
  <c r="V7" i="22"/>
  <c r="W7" i="21"/>
  <c r="T8" i="21"/>
  <c r="O9" i="21"/>
  <c r="B9" i="21"/>
  <c r="V7" i="21"/>
  <c r="U7" i="21"/>
  <c r="J8" i="21"/>
  <c r="V8" i="21" s="1"/>
  <c r="A8" i="21"/>
  <c r="B9" i="20"/>
  <c r="A9" i="20" s="1"/>
  <c r="O9" i="20"/>
  <c r="T9" i="20"/>
  <c r="J8" i="20"/>
  <c r="V8" i="20" s="1"/>
  <c r="U7" i="20"/>
  <c r="W12" i="19"/>
  <c r="V12" i="19"/>
  <c r="V11" i="19"/>
  <c r="W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2" l="1"/>
  <c r="J9" i="22"/>
  <c r="V9" i="22" s="1"/>
  <c r="W8" i="22"/>
  <c r="V8" i="22"/>
  <c r="A9" i="21"/>
  <c r="U8" i="21"/>
  <c r="J9" i="21"/>
  <c r="W8" i="21"/>
  <c r="T9" i="21"/>
  <c r="B10" i="21"/>
  <c r="A10" i="21" s="1"/>
  <c r="O10" i="21"/>
  <c r="B10" i="20"/>
  <c r="A10" i="20" s="1"/>
  <c r="U8" i="20"/>
  <c r="J9" i="20"/>
  <c r="T10" i="20"/>
  <c r="W9" i="20"/>
  <c r="W8" i="20"/>
  <c r="V9" i="20"/>
  <c r="O10" i="20"/>
  <c r="W5" i="19"/>
  <c r="V5" i="19"/>
  <c r="U5" i="19"/>
  <c r="U9" i="22" l="1"/>
  <c r="W9" i="22"/>
  <c r="U9" i="21"/>
  <c r="J10" i="21"/>
  <c r="U10" i="21" s="1"/>
  <c r="V9" i="21"/>
  <c r="W9" i="21"/>
  <c r="T10" i="21"/>
  <c r="W10" i="21" s="1"/>
  <c r="B11" i="20"/>
  <c r="A11" i="20" s="1"/>
  <c r="O11" i="20"/>
  <c r="T11" i="20"/>
  <c r="W10" i="20"/>
  <c r="U9" i="20"/>
  <c r="J10" i="20"/>
  <c r="V10" i="21" l="1"/>
  <c r="B12" i="20"/>
  <c r="A12" i="20"/>
  <c r="U10" i="20"/>
  <c r="J11" i="20"/>
  <c r="V11" i="20"/>
  <c r="O12" i="20"/>
  <c r="W11" i="20"/>
  <c r="T12" i="20"/>
  <c r="V10" i="20"/>
  <c r="W12" i="20" l="1"/>
  <c r="V12" i="20"/>
  <c r="U11" i="20"/>
  <c r="J12" i="20"/>
  <c r="U12" i="20" s="1"/>
</calcChain>
</file>

<file path=xl/sharedStrings.xml><?xml version="1.0" encoding="utf-8"?>
<sst xmlns="http://schemas.openxmlformats.org/spreadsheetml/2006/main" count="880" uniqueCount="211">
  <si>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</si>
  <si>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</si>
  <si>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</si>
  <si>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</si>
  <si>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</si>
  <si>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</si>
  <si>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</si>
  <si>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</si>
  <si>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</si>
  <si>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</si>
  <si>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</si>
  <si>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</si>
  <si>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</si>
  <si>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</si>
  <si>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</si>
  <si>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</si>
  <si>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</si>
  <si>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</si>
  <si>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</si>
  <si>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</si>
  <si>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</si>
  <si>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</si>
  <si>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</si>
  <si>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</si>
  <si>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</si>
  <si>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</si>
  <si>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</si>
  <si>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</si>
  <si>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</si>
  <si>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</si>
  <si>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</si>
  <si>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</si>
  <si>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</si>
  <si>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</si>
  <si>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</si>
  <si>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</si>
  <si>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</si>
  <si>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</si>
  <si>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</si>
  <si>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</si>
  <si>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</si>
  <si>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</si>
  <si>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</si>
  <si>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</si>
  <si>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</si>
  <si>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</si>
  <si>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</si>
  <si>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</si>
  <si>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</si>
  <si>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</si>
  <si>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</si>
  <si>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</si>
  <si>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</si>
  <si>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</si>
  <si>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</si>
  <si>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</si>
  <si>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</si>
  <si>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</si>
  <si>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</si>
  <si>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</si>
  <si>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</si>
  <si>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</si>
  <si>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</si>
  <si>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</si>
  <si>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</si>
  <si>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</si>
  <si>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</si>
  <si>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</si>
  <si>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</si>
  <si>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</si>
  <si>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</si>
  <si>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</si>
  <si>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</si>
  <si>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</si>
  <si>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</si>
  <si>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</si>
  <si>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</si>
  <si>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</si>
  <si>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</si>
  <si>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</si>
  <si>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</si>
  <si>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</si>
  <si>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</si>
  <si>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</si>
  <si>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</si>
  <si>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</si>
  <si>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</si>
  <si>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</si>
  <si>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</si>
  <si>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</si>
  <si>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</si>
  <si>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</si>
  <si>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</si>
  <si>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</si>
  <si>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</si>
  <si>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</si>
  <si>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</si>
  <si>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</si>
  <si>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</si>
  <si>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</si>
  <si>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</si>
  <si>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</si>
  <si>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</si>
  <si>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</si>
  <si>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</si>
  <si>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</si>
  <si>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</si>
  <si>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</si>
  <si>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</si>
  <si>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</si>
  <si>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</si>
  <si>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</si>
  <si>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</si>
  <si>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</si>
  <si>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</si>
  <si>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</si>
  <si>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</si>
  <si>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</si>
  <si>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</si>
  <si>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</si>
  <si>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</si>
  <si>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</si>
  <si>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</si>
  <si>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</si>
  <si>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</si>
  <si>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</si>
  <si>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</si>
  <si>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</si>
  <si>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</si>
  <si>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</si>
  <si>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</si>
  <si>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</si>
  <si>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</si>
  <si>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</si>
  <si>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</si>
  <si>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</si>
  <si>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</si>
  <si>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</si>
  <si>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</si>
  <si>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</si>
  <si>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</si>
  <si>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</si>
  <si>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</si>
  <si>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</si>
  <si>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</si>
  <si>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</si>
  <si>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</si>
  <si>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</si>
  <si>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</si>
  <si>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</si>
  <si>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</si>
  <si>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</si>
  <si>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</si>
  <si>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</si>
  <si>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</si>
  <si>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</si>
  <si>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</si>
  <si>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</si>
  <si>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</si>
  <si>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</si>
  <si>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</si>
  <si>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</si>
  <si>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</si>
  <si>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</si>
  <si>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</si>
  <si>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</si>
  <si>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</si>
  <si>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</si>
  <si>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</si>
  <si>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</si>
  <si>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</si>
  <si>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</si>
  <si>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</si>
  <si>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</si>
  <si>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</si>
  <si>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</si>
  <si>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</si>
  <si>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</si>
  <si>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</si>
  <si>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</si>
  <si>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</si>
  <si>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</si>
  <si>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</si>
  <si>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</si>
  <si>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</si>
  <si>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</si>
  <si>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</si>
  <si>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</si>
  <si>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</si>
  <si>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</si>
  <si>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</si>
  <si>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</si>
  <si>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</si>
  <si>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まっつん</t>
  </si>
  <si>
    <t>まっつん</t>
    <phoneticPr fontId="1"/>
  </si>
  <si>
    <t>だいち</t>
  </si>
  <si>
    <t>だいち</t>
    <phoneticPr fontId="1"/>
  </si>
  <si>
    <t>ツモ支払</t>
  </si>
  <si>
    <t>ツモ</t>
  </si>
  <si>
    <t>01</t>
  </si>
  <si>
    <t>T</t>
  </si>
  <si>
    <t>流局</t>
    <phoneticPr fontId="1"/>
  </si>
  <si>
    <t>*</t>
  </si>
  <si>
    <t>52</t>
  </si>
  <si>
    <t>N</t>
  </si>
  <si>
    <t>ロン</t>
  </si>
  <si>
    <t>放銃</t>
  </si>
  <si>
    <t>51</t>
  </si>
  <si>
    <t>02</t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</si>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</sst>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197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198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197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37900</v>
      </c>
      <c r="K5" s="8" t="s">
        <v>197</v>
      </c>
      <c r="L5" s="9">
        <v>-4800</v>
      </c>
      <c r="M5" s="9"/>
      <c r="N5" s="48">
        <v>0</v>
      </c>
      <c r="O5" s="21">
        <f t="shared" ref="O5:O30" si="3">IF(COUNTA($F5,$K5,$P5)&gt;0,O4+SUM(L5:N5),"")</f>
        <v>37900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29200</v>
      </c>
      <c r="U5" s="53">
        <f>IF($J5="","",ROUND(($J5-$J$3)/1000,1)+(_xlfn.RANK.AVG($J5,($J5,$O5,$T5),1)-2)*10)</f>
        <v>7.9</v>
      </c>
      <c r="V5" s="54">
        <f>IF($O5="","",ROUND(($O5-$O$3)/1000,1)+(_xlfn.RANK.AVG($O5,($J5,$O5,$T5),1)-2)*10)</f>
        <v>7.9</v>
      </c>
      <c r="W5" s="55">
        <f>IF($T5="","",ROUND(($T5-$T$3)/1000,1)+(_xlfn.RANK.AVG($T5,($J5,$O5,$T5),1)-2)*10)</f>
        <v>-15.8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199</v>
      </c>
      <c r="AF5" s="41" t="s">
        <v>82</v>
      </c>
      <c r="AG5" s="41" t="s">
        <v>86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0</v>
      </c>
      <c r="H6" s="9"/>
      <c r="I6" s="48"/>
      <c r="J6" s="21">
        <f t="shared" si="2"/>
        <v>37900</v>
      </c>
      <c r="K6" s="8" t="s">
        <v>201</v>
      </c>
      <c r="L6" s="9">
        <v>0</v>
      </c>
      <c r="M6" s="9"/>
      <c r="N6" s="48"/>
      <c r="O6" s="21">
        <f t="shared" si="3"/>
        <v>37900</v>
      </c>
      <c r="P6" s="8" t="s">
        <v>201</v>
      </c>
      <c r="Q6" s="9">
        <v>0</v>
      </c>
      <c r="R6" s="9"/>
      <c r="S6" s="48"/>
      <c r="T6" s="21">
        <f t="shared" si="4"/>
        <v>29200</v>
      </c>
      <c r="U6" s="53">
        <f>IF($J6="","",ROUND(($J6-$J$3)/1000,1)+(_xlfn.RANK.AVG($J6,($J6,$O6,$T6),1)-2)*10)</f>
        <v>7.9</v>
      </c>
      <c r="V6" s="54">
        <f>IF($O6="","",ROUND(($O6-$O$3)/1000,1)+(_xlfn.RANK.AVG($O6,($J6,$O6,$T6),1)-2)*10)</f>
        <v>7.9</v>
      </c>
      <c r="W6" s="55">
        <f>IF($T6="","",ROUND(($T6-$T$3)/1000,1)+(_xlfn.RANK.AVG($T6,($J6,$O6,$T6),1)-2)*10)</f>
        <v>-15.8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-4500</v>
      </c>
      <c r="H7" s="9"/>
      <c r="I7" s="48">
        <v>-500</v>
      </c>
      <c r="J7" s="21">
        <f t="shared" si="2"/>
        <v>32900</v>
      </c>
      <c r="K7" s="8" t="s">
        <v>198</v>
      </c>
      <c r="L7" s="9">
        <v>12000</v>
      </c>
      <c r="M7" s="9"/>
      <c r="N7" s="48">
        <v>1000</v>
      </c>
      <c r="O7" s="21">
        <f t="shared" si="3"/>
        <v>50900</v>
      </c>
      <c r="P7" s="8" t="s">
        <v>197</v>
      </c>
      <c r="Q7" s="9">
        <v>-7500</v>
      </c>
      <c r="R7" s="9"/>
      <c r="S7" s="48">
        <v>-500</v>
      </c>
      <c r="T7" s="21">
        <f t="shared" si="4"/>
        <v>21200</v>
      </c>
      <c r="U7" s="53">
        <f>IF($J7="","",ROUND(($J7-$J$3)/1000,1)+(_xlfn.RANK.AVG($J7,($J7,$O7,$T7),1)-2)*10)</f>
        <v>-2.1</v>
      </c>
      <c r="V7" s="54">
        <f>IF($O7="","",ROUND(($O7-$O$3)/1000,1)+(_xlfn.RANK.AVG($O7,($J7,$O7,$T7),1)-2)*10)</f>
        <v>25.9</v>
      </c>
      <c r="W7" s="55">
        <f>IF($T7="","",ROUND(($T7-$T$3)/1000,1)+(_xlfn.RANK.AVG($T7,($J7,$O7,$T7),1)-2)*10)</f>
        <v>-23.8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82</v>
      </c>
      <c r="BA7" s="41" t="s">
        <v>199</v>
      </c>
      <c r="BB7" s="41" t="s">
        <v>82</v>
      </c>
      <c r="BC7" s="41" t="s">
        <v>203</v>
      </c>
      <c r="BD7" s="41" t="s">
        <v>203</v>
      </c>
      <c r="BE7" s="41" t="s">
        <v>101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1500</v>
      </c>
      <c r="H8" s="9"/>
      <c r="I8" s="48"/>
      <c r="J8" s="21">
        <f t="shared" si="2"/>
        <v>34400</v>
      </c>
      <c r="K8" s="8" t="s">
        <v>201</v>
      </c>
      <c r="L8" s="9">
        <v>-3000</v>
      </c>
      <c r="M8" s="9"/>
      <c r="N8" s="48"/>
      <c r="O8" s="21">
        <f t="shared" si="3"/>
        <v>47900</v>
      </c>
      <c r="P8" s="8" t="s">
        <v>201</v>
      </c>
      <c r="Q8" s="9">
        <v>1500</v>
      </c>
      <c r="R8" s="9"/>
      <c r="S8" s="48"/>
      <c r="T8" s="21">
        <f t="shared" si="4"/>
        <v>22700</v>
      </c>
      <c r="U8" s="53">
        <f>IF($J8="","",ROUND(($J8-$J$3)/1000,1)+(_xlfn.RANK.AVG($J8,($J8,$O8,$T8),1)-2)*10)</f>
        <v>-0.6</v>
      </c>
      <c r="V8" s="54">
        <f>IF($O8="","",ROUND(($O8-$O$3)/1000,1)+(_xlfn.RANK.AVG($O8,($J8,$O8,$T8),1)-2)*10)</f>
        <v>22.9</v>
      </c>
      <c r="W8" s="55">
        <f>IF($T8="","",ROUND(($T8-$T$3)/1000,1)+(_xlfn.RANK.AVG($T8,($J8,$O8,$T8),1)-2)*10)</f>
        <v>-22.3</v>
      </c>
      <c r="Y8" s="8" t="s">
        <v>200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205</v>
      </c>
      <c r="G9" s="9">
        <v>3900</v>
      </c>
      <c r="H9" s="9"/>
      <c r="I9" s="48">
        <v>1000</v>
      </c>
      <c r="J9" s="21">
        <f t="shared" si="2"/>
        <v>39300</v>
      </c>
      <c r="K9" s="8" t="s">
        <v>206</v>
      </c>
      <c r="L9" s="9">
        <v>-3900</v>
      </c>
      <c r="M9" s="9"/>
      <c r="N9" s="48">
        <v>-1000</v>
      </c>
      <c r="O9" s="21">
        <f t="shared" si="3"/>
        <v>43000</v>
      </c>
      <c r="P9" s="8"/>
      <c r="Q9" s="9"/>
      <c r="R9" s="9"/>
      <c r="S9" s="48"/>
      <c r="T9" s="21">
        <f t="shared" si="4"/>
        <v>22700</v>
      </c>
      <c r="U9" s="53">
        <f>IF($J9="","",ROUND(($J9-$J$3)/1000,1)+(_xlfn.RANK.AVG($J9,($J9,$O9,$T9),1)-2)*10)</f>
        <v>4.3</v>
      </c>
      <c r="V9" s="54">
        <f>IF($O9="","",ROUND(($O9-$O$3)/1000,1)+(_xlfn.RANK.AVG($O9,($J9,$O9,$T9),1)-2)*10)</f>
        <v>18</v>
      </c>
      <c r="W9" s="55">
        <f>IF($T9="","",ROUND(($T9-$T$3)/1000,1)+(_xlfn.RANK.AVG($T9,($J9,$O9,$T9),1)-2)*10)</f>
        <v>-22.3</v>
      </c>
      <c r="Y9" s="8"/>
      <c r="Z9" s="34"/>
      <c r="AA9" s="26"/>
      <c r="AB9" s="26">
        <v>1</v>
      </c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201</v>
      </c>
      <c r="G10" s="9">
        <v>-3000</v>
      </c>
      <c r="H10" s="9"/>
      <c r="I10" s="48"/>
      <c r="J10" s="21">
        <f t="shared" si="2"/>
        <v>36300</v>
      </c>
      <c r="K10" s="8" t="s">
        <v>201</v>
      </c>
      <c r="L10" s="9">
        <v>1500</v>
      </c>
      <c r="M10" s="9">
        <v>-1000</v>
      </c>
      <c r="N10" s="48"/>
      <c r="O10" s="21">
        <f t="shared" si="3"/>
        <v>43500</v>
      </c>
      <c r="P10" s="8" t="s">
        <v>201</v>
      </c>
      <c r="Q10" s="9">
        <v>1500</v>
      </c>
      <c r="R10" s="9">
        <v>-1000</v>
      </c>
      <c r="S10" s="48"/>
      <c r="T10" s="21">
        <f t="shared" si="4"/>
        <v>23200</v>
      </c>
      <c r="U10" s="53">
        <f>IF($J10="","",ROUND(($J10-$J$3)/1000,1)+(_xlfn.RANK.AVG($J10,($J10,$O10,$T10),1)-2)*10)</f>
        <v>1.3</v>
      </c>
      <c r="V10" s="54">
        <f>IF($O10="","",ROUND(($O10-$O$3)/1000,1)+(_xlfn.RANK.AVG($O10,($J10,$O10,$T10),1)-2)*10)</f>
        <v>18.5</v>
      </c>
      <c r="W10" s="55">
        <f>IF($T10="","",ROUND(($T10-$T$3)/1000,1)+(_xlfn.RANK.AVG($T10,($J10,$O10,$T10),1)-2)*10)</f>
        <v>-21.8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200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2</v>
      </c>
      <c r="E11" s="4" t="s">
        <v>193</v>
      </c>
      <c r="F11" s="8" t="s">
        <v>206</v>
      </c>
      <c r="G11" s="9">
        <v>-16000</v>
      </c>
      <c r="H11" s="9">
        <v>-1000</v>
      </c>
      <c r="I11" s="48">
        <v>-3000</v>
      </c>
      <c r="J11" s="21">
        <f t="shared" si="2"/>
        <v>16300</v>
      </c>
      <c r="K11" s="8"/>
      <c r="L11" s="9"/>
      <c r="M11" s="9"/>
      <c r="N11" s="48"/>
      <c r="O11" s="21">
        <f t="shared" si="3"/>
        <v>43500</v>
      </c>
      <c r="P11" s="8" t="s">
        <v>205</v>
      </c>
      <c r="Q11" s="9">
        <v>16000</v>
      </c>
      <c r="R11" s="9">
        <v>3000</v>
      </c>
      <c r="S11" s="48">
        <v>3000</v>
      </c>
      <c r="T11" s="21">
        <f t="shared" si="4"/>
        <v>45200</v>
      </c>
      <c r="U11" s="53">
        <f>IF($J11="","",ROUND(($J11-$J$3)/1000,1)+(_xlfn.RANK.AVG($J11,($J11,$O11,$T11),1)-2)*10)</f>
        <v>-28.7</v>
      </c>
      <c r="V11" s="54">
        <f>IF($O11="","",ROUND(($O11-$O$3)/1000,1)+(_xlfn.RANK.AVG($O11,($J11,$O11,$T11),1)-2)*10)</f>
        <v>8.5</v>
      </c>
      <c r="W11" s="55">
        <f>IF($T11="","",ROUND(($T11-$T$3)/1000,1)+(_xlfn.RANK.AVG($T11,($J11,$O11,$T11),1)-2)*10)</f>
        <v>20.2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202</v>
      </c>
      <c r="BU11" s="40" t="s">
        <v>207</v>
      </c>
      <c r="BV11" s="41" t="s">
        <v>102</v>
      </c>
      <c r="BW11" s="41" t="s">
        <v>203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16300</v>
      </c>
      <c r="K12" s="8" t="s">
        <v>206</v>
      </c>
      <c r="L12" s="9">
        <v>-7700</v>
      </c>
      <c r="M12" s="9"/>
      <c r="N12" s="48">
        <v>0</v>
      </c>
      <c r="O12" s="21">
        <f t="shared" si="3"/>
        <v>35800</v>
      </c>
      <c r="P12" s="8" t="s">
        <v>205</v>
      </c>
      <c r="Q12" s="9">
        <v>7700</v>
      </c>
      <c r="R12" s="9"/>
      <c r="S12" s="48">
        <v>0</v>
      </c>
      <c r="T12" s="21">
        <f t="shared" si="4"/>
        <v>52900</v>
      </c>
      <c r="U12" s="53">
        <f>IF($J12="","",ROUND(($J12-$J$3)/1000,1)+(_xlfn.RANK.AVG($J12,($J12,$O12,$T12),1)-2)*10)</f>
        <v>-28.7</v>
      </c>
      <c r="V12" s="54">
        <f>IF($O12="","",ROUND(($O12-$O$3)/1000,1)+(_xlfn.RANK.AVG($O12,($J12,$O12,$T12),1)-2)*10)</f>
        <v>0.8</v>
      </c>
      <c r="W12" s="55">
        <f>IF($T12="","",ROUND(($T12-$T$3)/1000,1)+(_xlfn.RANK.AVG($T12,($J12,$O12,$T12),1)-2)*10)</f>
        <v>27.9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86</v>
      </c>
      <c r="BV12" s="41" t="s">
        <v>79</v>
      </c>
      <c r="BW12" s="41" t="s">
        <v>203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204CB1B-CD22-4383-8F75-78CF59FFE787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58EB-6480-467B-A473-7A76AA450A6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79</v>
      </c>
      <c r="BB4" s="41" t="s">
        <v>79</v>
      </c>
      <c r="BC4" s="41" t="s">
        <v>203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206</v>
      </c>
      <c r="G5" s="9">
        <v>-18000</v>
      </c>
      <c r="H5" s="9"/>
      <c r="I5" s="48">
        <v>0</v>
      </c>
      <c r="J5" s="21">
        <f t="shared" ref="J5:J30" si="2">IF(COUNTA($F5,$K5,$P5)&gt;0,J4+SUM(G5:I5),"")</f>
        <v>12000</v>
      </c>
      <c r="K5" s="8" t="s">
        <v>205</v>
      </c>
      <c r="L5" s="9">
        <v>18000</v>
      </c>
      <c r="M5" s="9"/>
      <c r="N5" s="48">
        <v>0</v>
      </c>
      <c r="O5" s="21">
        <f t="shared" ref="O5:O30" si="3">IF(COUNTA($F5,$K5,$P5)&gt;0,O4+SUM(L5:N5),"")</f>
        <v>61000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-33</v>
      </c>
      <c r="V5" s="54">
        <f>IF($O5="","",ROUND(($O5-$O$3)/1000,1)+(_xlfn.RANK.AVG($O5,($J5,$O5,$T5),1)-2)*10)</f>
        <v>36</v>
      </c>
      <c r="W5" s="55">
        <f>IF($T5="","",ROUND(($T5-$T$3)/1000,1)+(_xlfn.RANK.AVG($T5,($J5,$O5,$T5),1)-2)*10)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202</v>
      </c>
      <c r="AZ5" s="40" t="s">
        <v>199</v>
      </c>
      <c r="BA5" s="41" t="s">
        <v>208</v>
      </c>
      <c r="BB5" s="41" t="s">
        <v>92</v>
      </c>
      <c r="BC5" s="41" t="s">
        <v>203</v>
      </c>
      <c r="BD5" s="41" t="s">
        <v>203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2100</v>
      </c>
      <c r="H6" s="9"/>
      <c r="I6" s="48">
        <v>1000</v>
      </c>
      <c r="J6" s="21">
        <f t="shared" si="2"/>
        <v>15100</v>
      </c>
      <c r="K6" s="8" t="s">
        <v>197</v>
      </c>
      <c r="L6" s="9">
        <v>-1300</v>
      </c>
      <c r="M6" s="9"/>
      <c r="N6" s="48">
        <v>-500</v>
      </c>
      <c r="O6" s="21">
        <f t="shared" si="3"/>
        <v>59200</v>
      </c>
      <c r="P6" s="8" t="s">
        <v>197</v>
      </c>
      <c r="Q6" s="9">
        <v>-800</v>
      </c>
      <c r="R6" s="9"/>
      <c r="S6" s="48">
        <v>-500</v>
      </c>
      <c r="T6" s="21">
        <f t="shared" si="4"/>
        <v>30700</v>
      </c>
      <c r="U6" s="53">
        <f>IF($J6="","",ROUND(($J6-$J$3)/1000,1)+(_xlfn.RANK.AVG($J6,($J6,$O6,$T6),1)-2)*10)</f>
        <v>-29.9</v>
      </c>
      <c r="V6" s="54">
        <f>IF($O6="","",ROUND(($O6-$O$3)/1000,1)+(_xlfn.RANK.AVG($O6,($J6,$O6,$T6),1)-2)*10)</f>
        <v>34.200000000000003</v>
      </c>
      <c r="W6" s="55">
        <f>IF($T6="","",ROUND(($T6-$T$3)/1000,1)+(_xlfn.RANK.AVG($T6,($J6,$O6,$T6),1)-2)*10)</f>
        <v>-4.3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>
        <v>1000</v>
      </c>
      <c r="I7" s="48">
        <v>0</v>
      </c>
      <c r="J7" s="21">
        <f t="shared" si="2"/>
        <v>24100</v>
      </c>
      <c r="K7" s="8" t="s">
        <v>197</v>
      </c>
      <c r="L7" s="9">
        <v>-3000</v>
      </c>
      <c r="M7" s="9">
        <v>-1000</v>
      </c>
      <c r="N7" s="48">
        <v>0</v>
      </c>
      <c r="O7" s="21">
        <f t="shared" si="3"/>
        <v>55200</v>
      </c>
      <c r="P7" s="8" t="s">
        <v>197</v>
      </c>
      <c r="Q7" s="9">
        <v>-5000</v>
      </c>
      <c r="R7" s="9"/>
      <c r="S7" s="48">
        <v>0</v>
      </c>
      <c r="T7" s="21">
        <f t="shared" si="4"/>
        <v>25700</v>
      </c>
      <c r="U7" s="53">
        <f>IF($J7="","",ROUND(($J7-$J$3)/1000,1)+(_xlfn.RANK.AVG($J7,($J7,$O7,$T7),1)-2)*10)</f>
        <v>-20.9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-9.3000000000000007</v>
      </c>
      <c r="Y7" s="8"/>
      <c r="Z7" s="34"/>
      <c r="AA7" s="26"/>
      <c r="AB7" s="26"/>
      <c r="AC7" s="26">
        <v>5</v>
      </c>
      <c r="AD7" s="30" t="s">
        <v>202</v>
      </c>
      <c r="AE7" s="40" t="s">
        <v>82</v>
      </c>
      <c r="AF7" s="41" t="s">
        <v>85</v>
      </c>
      <c r="AG7" s="41" t="s">
        <v>96</v>
      </c>
      <c r="AH7" s="41" t="s">
        <v>203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206</v>
      </c>
      <c r="G8" s="9">
        <v>-1600</v>
      </c>
      <c r="H8" s="9"/>
      <c r="I8" s="48">
        <v>0</v>
      </c>
      <c r="J8" s="21">
        <f t="shared" si="2"/>
        <v>22500</v>
      </c>
      <c r="K8" s="8" t="s">
        <v>205</v>
      </c>
      <c r="L8" s="9">
        <v>1600</v>
      </c>
      <c r="M8" s="9"/>
      <c r="N8" s="48">
        <v>0</v>
      </c>
      <c r="O8" s="21">
        <f t="shared" si="3"/>
        <v>56800</v>
      </c>
      <c r="P8" s="8"/>
      <c r="Q8" s="9"/>
      <c r="R8" s="9"/>
      <c r="S8" s="48"/>
      <c r="T8" s="21">
        <f t="shared" si="4"/>
        <v>25700</v>
      </c>
      <c r="U8" s="53">
        <f>IF($J8="","",ROUND(($J8-$J$3)/1000,1)+(_xlfn.RANK.AVG($J8,($J8,$O8,$T8),1)-2)*10)</f>
        <v>-22.5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-9.3000000000000007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50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206</v>
      </c>
      <c r="G9" s="9">
        <v>-16000</v>
      </c>
      <c r="H9" s="9"/>
      <c r="I9" s="48">
        <v>0</v>
      </c>
      <c r="J9" s="21">
        <f t="shared" si="2"/>
        <v>6500</v>
      </c>
      <c r="K9" s="8"/>
      <c r="L9" s="9"/>
      <c r="M9" s="9"/>
      <c r="N9" s="48"/>
      <c r="O9" s="21">
        <f t="shared" si="3"/>
        <v>56800</v>
      </c>
      <c r="P9" s="8" t="s">
        <v>205</v>
      </c>
      <c r="Q9" s="9">
        <v>16000</v>
      </c>
      <c r="R9" s="9"/>
      <c r="S9" s="48">
        <v>0</v>
      </c>
      <c r="T9" s="21">
        <f t="shared" si="4"/>
        <v>41700</v>
      </c>
      <c r="U9" s="53">
        <f>IF($J9="","",ROUND(($J9-$J$3)/1000,1)+(_xlfn.RANK.AVG($J9,($J9,$O9,$T9),1)-2)*10)</f>
        <v>-38.5</v>
      </c>
      <c r="V9" s="54">
        <f>IF($O9="","",ROUND(($O9-$O$3)/1000,1)+(_xlfn.RANK.AVG($O9,($J9,$O9,$T9),1)-2)*10)</f>
        <v>31.8</v>
      </c>
      <c r="W9" s="55">
        <f>IF($T9="","",ROUND(($T9-$T$3)/1000,1)+(_xlfn.RANK.AVG($T9,($J9,$O9,$T9),1)-2)*10)</f>
        <v>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202</v>
      </c>
      <c r="BU9" s="40" t="s">
        <v>199</v>
      </c>
      <c r="BV9" s="41" t="s">
        <v>82</v>
      </c>
      <c r="BW9" s="41" t="s">
        <v>83</v>
      </c>
      <c r="BX9" s="41" t="s">
        <v>203</v>
      </c>
      <c r="BY9" s="41" t="s">
        <v>203</v>
      </c>
      <c r="BZ9" s="41" t="s">
        <v>79</v>
      </c>
      <c r="CA9" s="41" t="s">
        <v>79</v>
      </c>
      <c r="CB9" s="41" t="s">
        <v>208</v>
      </c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-4500</v>
      </c>
      <c r="H10" s="9">
        <v>-1000</v>
      </c>
      <c r="I10" s="48">
        <v>0</v>
      </c>
      <c r="J10" s="21">
        <f t="shared" si="2"/>
        <v>1000</v>
      </c>
      <c r="K10" s="8" t="s">
        <v>198</v>
      </c>
      <c r="L10" s="9">
        <v>12000</v>
      </c>
      <c r="M10" s="9">
        <v>1000</v>
      </c>
      <c r="N10" s="48">
        <v>0</v>
      </c>
      <c r="O10" s="21">
        <f t="shared" si="3"/>
        <v>69800</v>
      </c>
      <c r="P10" s="8" t="s">
        <v>197</v>
      </c>
      <c r="Q10" s="9">
        <v>-7500</v>
      </c>
      <c r="R10" s="9"/>
      <c r="S10" s="48">
        <v>0</v>
      </c>
      <c r="T10" s="21">
        <f t="shared" si="4"/>
        <v>34200</v>
      </c>
      <c r="U10" s="53">
        <f>IF($J10="","",ROUND(($J10-$J$3)/1000,1)+(_xlfn.RANK.AVG($J10,($J10,$O10,$T10),1)-2)*10)</f>
        <v>-44</v>
      </c>
      <c r="V10" s="54">
        <f>IF($O10="","",ROUND(($O10-$O$3)/1000,1)+(_xlfn.RANK.AVG($O10,($J10,$O10,$T10),1)-2)*10)</f>
        <v>44.8</v>
      </c>
      <c r="W10" s="55">
        <f>IF($T10="","",ROUND(($T10-$T$3)/1000,1)+(_xlfn.RANK.AVG($T10,($J10,$O10,$T10),1)-2)*10)</f>
        <v>-0.8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202</v>
      </c>
      <c r="AZ10" s="40" t="s">
        <v>199</v>
      </c>
      <c r="BA10" s="41" t="s">
        <v>82</v>
      </c>
      <c r="BB10" s="41" t="s">
        <v>79</v>
      </c>
      <c r="BC10" s="41" t="s">
        <v>79</v>
      </c>
      <c r="BD10" s="41" t="s">
        <v>203</v>
      </c>
      <c r="BE10" s="41" t="s">
        <v>203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36DBDC6-EE05-420B-B3FE-6B6886614C7C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EE9652E2-CCDC-40D2-825C-A5EF6CC2C8A4}">
      <formula1>"ロン,ツモ,放銃,ツモ支払,流局,チョンボ"</formula1>
    </dataValidation>
    <dataValidation type="list" allowBlank="1" showInputMessage="1" showErrorMessage="1" sqref="E4:E30" xr:uid="{5DE0ABAC-4977-4372-B458-40568F5E7A4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18C2-EE05-40CF-A4B1-ADC408D6CBF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206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202</v>
      </c>
      <c r="BU4" s="40" t="s">
        <v>86</v>
      </c>
      <c r="BV4" s="41" t="s">
        <v>86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198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197</v>
      </c>
      <c r="L5" s="9">
        <v>-2500</v>
      </c>
      <c r="M5" s="9"/>
      <c r="N5" s="48">
        <v>0</v>
      </c>
      <c r="O5" s="21">
        <f t="shared" ref="O5:O30" si="3">IF(COUNTA($F5,$K5,$P5)&gt;0,O4+SUM(L5:N5),"")</f>
        <v>24500</v>
      </c>
      <c r="P5" s="8" t="s">
        <v>197</v>
      </c>
      <c r="Q5" s="9">
        <v>-1500</v>
      </c>
      <c r="R5" s="9"/>
      <c r="S5" s="48">
        <v>0</v>
      </c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-20.5</v>
      </c>
      <c r="W5" s="55">
        <f>IF($T5="","",ROUND(($T5-$T$3)/1000,1)+(_xlfn.RANK.AVG($T5,($J5,$O5,$T5),1)-2)*10)</f>
        <v>16.5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199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2800</v>
      </c>
      <c r="H6" s="9"/>
      <c r="I6" s="48">
        <v>0</v>
      </c>
      <c r="J6" s="21">
        <f t="shared" si="2"/>
        <v>41800</v>
      </c>
      <c r="K6" s="8" t="s">
        <v>197</v>
      </c>
      <c r="L6" s="9">
        <v>-1100</v>
      </c>
      <c r="M6" s="9"/>
      <c r="N6" s="48">
        <v>0</v>
      </c>
      <c r="O6" s="21">
        <f t="shared" si="3"/>
        <v>23400</v>
      </c>
      <c r="P6" s="8" t="s">
        <v>197</v>
      </c>
      <c r="Q6" s="9">
        <v>-1700</v>
      </c>
      <c r="R6" s="9"/>
      <c r="S6" s="48">
        <v>0</v>
      </c>
      <c r="T6" s="21">
        <f t="shared" si="4"/>
        <v>39800</v>
      </c>
      <c r="U6" s="53">
        <f>IF($J6="","",ROUND(($J6-$J$3)/1000,1)+(_xlfn.RANK.AVG($J6,($J6,$O6,$T6),1)-2)*10)</f>
        <v>16.8</v>
      </c>
      <c r="V6" s="54">
        <f>IF($O6="","",ROUND(($O6-$O$3)/1000,1)+(_xlfn.RANK.AVG($O6,($J6,$O6,$T6),1)-2)*10)</f>
        <v>-21.6</v>
      </c>
      <c r="W6" s="55">
        <f>IF($T6="","",ROUND(($T6-$T$3)/1000,1)+(_xlfn.RANK.AVG($T6,($J6,$O6,$T6),1)-2)*10)</f>
        <v>4.8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-20000</v>
      </c>
      <c r="H7" s="9"/>
      <c r="I7" s="48">
        <v>0</v>
      </c>
      <c r="J7" s="21">
        <f t="shared" si="2"/>
        <v>21800</v>
      </c>
      <c r="K7" s="8" t="s">
        <v>197</v>
      </c>
      <c r="L7" s="9">
        <v>-12000</v>
      </c>
      <c r="M7" s="9"/>
      <c r="N7" s="48">
        <v>0</v>
      </c>
      <c r="O7" s="21">
        <f t="shared" si="3"/>
        <v>11400</v>
      </c>
      <c r="P7" s="8" t="s">
        <v>198</v>
      </c>
      <c r="Q7" s="9">
        <v>32000</v>
      </c>
      <c r="R7" s="9"/>
      <c r="S7" s="48">
        <v>0</v>
      </c>
      <c r="T7" s="21">
        <f t="shared" si="4"/>
        <v>71800</v>
      </c>
      <c r="U7" s="53">
        <f>IF($J7="","",ROUND(($J7-$J$3)/1000,1)+(_xlfn.RANK.AVG($J7,($J7,$O7,$T7),1)-2)*10)</f>
        <v>-13.2</v>
      </c>
      <c r="V7" s="54">
        <f>IF($O7="","",ROUND(($O7-$O$3)/1000,1)+(_xlfn.RANK.AVG($O7,($J7,$O7,$T7),1)-2)*10)</f>
        <v>-33.6</v>
      </c>
      <c r="W7" s="55">
        <f>IF($T7="","",ROUND(($T7-$T$3)/1000,1)+(_xlfn.RANK.AVG($T7,($J7,$O7,$T7),1)-2)*10)</f>
        <v>46.8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202</v>
      </c>
      <c r="BU7" s="40" t="s">
        <v>107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205</v>
      </c>
      <c r="G8" s="9">
        <v>3900</v>
      </c>
      <c r="H8" s="9"/>
      <c r="I8" s="48">
        <v>0</v>
      </c>
      <c r="J8" s="21">
        <f t="shared" si="2"/>
        <v>25700</v>
      </c>
      <c r="K8" s="8" t="s">
        <v>206</v>
      </c>
      <c r="L8" s="9">
        <v>-3900</v>
      </c>
      <c r="M8" s="9"/>
      <c r="N8" s="48">
        <v>0</v>
      </c>
      <c r="O8" s="21">
        <f t="shared" si="3"/>
        <v>7500</v>
      </c>
      <c r="P8" s="8"/>
      <c r="Q8" s="9"/>
      <c r="R8" s="9"/>
      <c r="S8" s="48"/>
      <c r="T8" s="21">
        <f t="shared" si="4"/>
        <v>71800</v>
      </c>
      <c r="U8" s="53">
        <f>IF($J8="","",ROUND(($J8-$J$3)/1000,1)+(_xlfn.RANK.AVG($J8,($J8,$O8,$T8),1)-2)*10)</f>
        <v>-9.3000000000000007</v>
      </c>
      <c r="V8" s="54">
        <f>IF($O8="","",ROUND(($O8-$O$3)/1000,1)+(_xlfn.RANK.AVG($O8,($J8,$O8,$T8),1)-2)*10)</f>
        <v>-37.5</v>
      </c>
      <c r="W8" s="55">
        <f>IF($T8="","",ROUND(($T8-$T$3)/1000,1)+(_xlfn.RANK.AVG($T8,($J8,$O8,$T8),1)-2)*10)</f>
        <v>46.8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104</v>
      </c>
      <c r="AF8" s="41" t="s">
        <v>203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206</v>
      </c>
      <c r="G9" s="9">
        <v>-9600</v>
      </c>
      <c r="H9" s="9"/>
      <c r="I9" s="48">
        <v>0</v>
      </c>
      <c r="J9" s="21">
        <f t="shared" si="2"/>
        <v>16100</v>
      </c>
      <c r="K9" s="8"/>
      <c r="L9" s="9"/>
      <c r="M9" s="9"/>
      <c r="N9" s="48"/>
      <c r="O9" s="21">
        <f t="shared" si="3"/>
        <v>7500</v>
      </c>
      <c r="P9" s="8" t="s">
        <v>205</v>
      </c>
      <c r="Q9" s="9">
        <v>9600</v>
      </c>
      <c r="R9" s="9"/>
      <c r="S9" s="48">
        <v>0</v>
      </c>
      <c r="T9" s="21">
        <f t="shared" si="4"/>
        <v>81400</v>
      </c>
      <c r="U9" s="53">
        <f>IF($J9="","",ROUND(($J9-$J$3)/1000,1)+(_xlfn.RANK.AVG($J9,($J9,$O9,$T9),1)-2)*10)</f>
        <v>-18.899999999999999</v>
      </c>
      <c r="V9" s="54">
        <f>IF($O9="","",ROUND(($O9-$O$3)/1000,1)+(_xlfn.RANK.AVG($O9,($J9,$O9,$T9),1)-2)*10)</f>
        <v>-37.5</v>
      </c>
      <c r="W9" s="55">
        <f>IF($T9="","",ROUND(($T9-$T$3)/1000,1)+(_xlfn.RANK.AVG($T9,($J9,$O9,$T9),1)-2)*10)</f>
        <v>56.4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50</v>
      </c>
      <c r="BU9" s="40" t="s">
        <v>199</v>
      </c>
      <c r="BV9" s="41" t="s">
        <v>203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65055C27-5C51-4DB6-B1B4-9AFF7D870C94}">
      <formula1>$U$2:$W$2</formula1>
    </dataValidation>
    <dataValidation type="list" showInputMessage="1" showErrorMessage="1" sqref="K4:K30 P4:P30 F4:F30" xr:uid="{706B5241-F5C3-42A8-99F6-56C493EFA151}">
      <formula1>"ロン,ツモ,放銃,ツモ支払,流局,チョンボ"</formula1>
    </dataValidation>
    <dataValidation type="list" allowBlank="1" showInputMessage="1" sqref="F1:T1" xr:uid="{6DC64DB8-A198-4866-BC30-F91E55C1E21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FD84-D964-4C54-B843-398B7752825A}">
  <sheetPr codeName="Sheet13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ただ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205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 t="s">
        <v>206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-12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1500</v>
      </c>
      <c r="H5" s="9"/>
      <c r="I5" s="48">
        <v>0</v>
      </c>
      <c r="J5" s="21">
        <f t="shared" ref="J5:J30" si="2">IF(COUNTA($F5,$K5,$P5)&gt;0,J4+SUM(G5:I5),"")</f>
        <v>36500</v>
      </c>
      <c r="K5" s="8" t="s">
        <v>197</v>
      </c>
      <c r="L5" s="9">
        <v>-900</v>
      </c>
      <c r="M5" s="9"/>
      <c r="N5" s="48">
        <v>0</v>
      </c>
      <c r="O5" s="21">
        <f t="shared" ref="O5:O30" si="3">IF(COUNTA($F5,$K5,$P5)&gt;0,O4+SUM(L5:N5),"")</f>
        <v>36100</v>
      </c>
      <c r="P5" s="8" t="s">
        <v>197</v>
      </c>
      <c r="Q5" s="9">
        <v>-600</v>
      </c>
      <c r="R5" s="9"/>
      <c r="S5" s="48">
        <v>0</v>
      </c>
      <c r="T5" s="21">
        <f t="shared" ref="T5:T30" si="4">IF(COUNTA($F5,$K5,$P5)&gt;0,T4+SUM(Q5:S5),"")</f>
        <v>32400</v>
      </c>
      <c r="U5" s="53">
        <f>IF($J5="","",ROUND(($J5-$J$3)/1000,1)+(_xlfn.RANK.AVG($J5,($J5,$O5,$T5),1)-2)*10)</f>
        <v>11.5</v>
      </c>
      <c r="V5" s="54">
        <f>IF($O5="","",ROUND(($O5-$O$3)/1000,1)+(_xlfn.RANK.AVG($O5,($J5,$O5,$T5),1)-2)*10)</f>
        <v>1.1000000000000001</v>
      </c>
      <c r="W5" s="55">
        <f>IF($T5="","",ROUND(($T5-$T$3)/1000,1)+(_xlfn.RANK.AVG($T5,($J5,$O5,$T5),1)-2)*10)</f>
        <v>-12.6</v>
      </c>
      <c r="Y5" s="8"/>
      <c r="Z5" s="34"/>
      <c r="AA5" s="26"/>
      <c r="AB5" s="26"/>
      <c r="AC5" s="26">
        <v>2</v>
      </c>
      <c r="AD5" s="30">
        <v>20</v>
      </c>
      <c r="AE5" s="40" t="s">
        <v>82</v>
      </c>
      <c r="AF5" s="41" t="s">
        <v>83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206</v>
      </c>
      <c r="G6" s="9">
        <v>-2900</v>
      </c>
      <c r="H6" s="9"/>
      <c r="I6" s="48">
        <v>0</v>
      </c>
      <c r="J6" s="21">
        <f t="shared" si="2"/>
        <v>33600</v>
      </c>
      <c r="K6" s="8"/>
      <c r="L6" s="9"/>
      <c r="M6" s="9"/>
      <c r="N6" s="48"/>
      <c r="O6" s="21">
        <f t="shared" si="3"/>
        <v>36100</v>
      </c>
      <c r="P6" s="8" t="s">
        <v>205</v>
      </c>
      <c r="Q6" s="9">
        <v>2900</v>
      </c>
      <c r="R6" s="9"/>
      <c r="S6" s="48">
        <v>0</v>
      </c>
      <c r="T6" s="21">
        <f t="shared" si="4"/>
        <v>35300</v>
      </c>
      <c r="U6" s="53">
        <f>IF($J6="","",ROUND(($J6-$J$3)/1000,1)+(_xlfn.RANK.AVG($J6,($J6,$O6,$T6),1)-2)*10)</f>
        <v>-11.4</v>
      </c>
      <c r="V6" s="54">
        <f>IF($O6="","",ROUND(($O6-$O$3)/1000,1)+(_xlfn.RANK.AVG($O6,($J6,$O6,$T6),1)-2)*10)</f>
        <v>11.1</v>
      </c>
      <c r="W6" s="55">
        <f>IF($T6="","",ROUND(($T6-$T$3)/1000,1)+(_xlfn.RANK.AVG($T6,($J6,$O6,$T6),1)-2)*10)</f>
        <v>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85</v>
      </c>
      <c r="BV6" s="41" t="s">
        <v>83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209</v>
      </c>
      <c r="F7" s="8"/>
      <c r="G7" s="9"/>
      <c r="H7" s="9"/>
      <c r="I7" s="48"/>
      <c r="J7" s="21">
        <f t="shared" si="2"/>
        <v>33600</v>
      </c>
      <c r="K7" s="8" t="s">
        <v>205</v>
      </c>
      <c r="L7" s="9">
        <v>8000</v>
      </c>
      <c r="M7" s="9"/>
      <c r="N7" s="48">
        <v>1000</v>
      </c>
      <c r="O7" s="21">
        <f t="shared" si="3"/>
        <v>45100</v>
      </c>
      <c r="P7" s="8" t="s">
        <v>206</v>
      </c>
      <c r="Q7" s="9">
        <v>-8000</v>
      </c>
      <c r="R7" s="9"/>
      <c r="S7" s="48">
        <v>-1000</v>
      </c>
      <c r="T7" s="21">
        <f t="shared" si="4"/>
        <v>26300</v>
      </c>
      <c r="U7" s="53">
        <f>IF($J7="","",ROUND(($J7-$J$3)/1000,1)+(_xlfn.RANK.AVG($J7,($J7,$O7,$T7),1)-2)*10)</f>
        <v>-1.4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-18.7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202</v>
      </c>
      <c r="AZ7" s="40" t="s">
        <v>92</v>
      </c>
      <c r="BA7" s="41" t="s">
        <v>79</v>
      </c>
      <c r="BB7" s="41" t="s">
        <v>79</v>
      </c>
      <c r="BC7" s="41" t="s">
        <v>203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33600</v>
      </c>
      <c r="K8" s="8" t="s">
        <v>205</v>
      </c>
      <c r="L8" s="9">
        <v>1300</v>
      </c>
      <c r="M8" s="9"/>
      <c r="N8" s="48">
        <v>0</v>
      </c>
      <c r="O8" s="21">
        <f t="shared" si="3"/>
        <v>46400</v>
      </c>
      <c r="P8" s="8" t="s">
        <v>206</v>
      </c>
      <c r="Q8" s="9">
        <v>-1300</v>
      </c>
      <c r="R8" s="9"/>
      <c r="S8" s="48">
        <v>0</v>
      </c>
      <c r="T8" s="21">
        <f t="shared" si="4"/>
        <v>25000</v>
      </c>
      <c r="U8" s="53">
        <f>IF($J8="","",ROUND(($J8-$J$3)/1000,1)+(_xlfn.RANK.AVG($J8,($J8,$O8,$T8),1)-2)*10)</f>
        <v>-1.4</v>
      </c>
      <c r="V8" s="54">
        <f>IF($O8="","",ROUND(($O8-$O$3)/1000,1)+(_xlfn.RANK.AVG($O8,($J8,$O8,$T8),1)-2)*10)</f>
        <v>21.4</v>
      </c>
      <c r="W8" s="55">
        <f>IF($T8="","",ROUND(($T8-$T$3)/1000,1)+(_xlfn.RANK.AVG($T8,($J8,$O8,$T8),1)-2)*10)</f>
        <v>-20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40</v>
      </c>
      <c r="AZ8" s="40" t="s">
        <v>85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206</v>
      </c>
      <c r="G9" s="9">
        <v>-3900</v>
      </c>
      <c r="H9" s="9"/>
      <c r="I9" s="48">
        <v>0</v>
      </c>
      <c r="J9" s="21">
        <f t="shared" si="2"/>
        <v>29700</v>
      </c>
      <c r="K9" s="8" t="s">
        <v>205</v>
      </c>
      <c r="L9" s="9">
        <v>3900</v>
      </c>
      <c r="M9" s="9"/>
      <c r="N9" s="48">
        <v>0</v>
      </c>
      <c r="O9" s="21">
        <f t="shared" si="3"/>
        <v>50300</v>
      </c>
      <c r="P9" s="8"/>
      <c r="Q9" s="9"/>
      <c r="R9" s="9"/>
      <c r="S9" s="48"/>
      <c r="T9" s="21">
        <f t="shared" si="4"/>
        <v>25000</v>
      </c>
      <c r="U9" s="53">
        <f>IF($J9="","",ROUND(($J9-$J$3)/1000,1)+(_xlfn.RANK.AVG($J9,($J9,$O9,$T9),1)-2)*10)</f>
        <v>-5.3</v>
      </c>
      <c r="V9" s="54">
        <f>IF($O9="","",ROUND(($O9-$O$3)/1000,1)+(_xlfn.RANK.AVG($O9,($J9,$O9,$T9),1)-2)*10)</f>
        <v>25.3</v>
      </c>
      <c r="W9" s="55">
        <f>IF($T9="","",ROUND(($T9-$T$3)/1000,1)+(_xlfn.RANK.AVG($T9,($J9,$O9,$T9),1)-2)*10)</f>
        <v>-20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86</v>
      </c>
      <c r="BA9" s="41" t="s">
        <v>203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201</v>
      </c>
      <c r="G10" s="9">
        <v>1500</v>
      </c>
      <c r="H10" s="9"/>
      <c r="I10" s="48"/>
      <c r="J10" s="21">
        <f t="shared" si="2"/>
        <v>31200</v>
      </c>
      <c r="K10" s="8" t="s">
        <v>201</v>
      </c>
      <c r="L10" s="9">
        <v>-3000</v>
      </c>
      <c r="M10" s="9"/>
      <c r="N10" s="48"/>
      <c r="O10" s="21">
        <f t="shared" si="3"/>
        <v>47300</v>
      </c>
      <c r="P10" s="8" t="s">
        <v>201</v>
      </c>
      <c r="Q10" s="9">
        <v>1500</v>
      </c>
      <c r="R10" s="9">
        <v>-1000</v>
      </c>
      <c r="S10" s="48"/>
      <c r="T10" s="21">
        <f t="shared" si="4"/>
        <v>25500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22.3</v>
      </c>
      <c r="W10" s="55">
        <f>IF($T10="","",ROUND(($T10-$T$3)/1000,1)+(_xlfn.RANK.AVG($T10,($J10,$O10,$T10),1)-2)*10)</f>
        <v>-19.5</v>
      </c>
      <c r="Y10" s="8" t="s">
        <v>200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200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209</v>
      </c>
      <c r="F11" s="8" t="s">
        <v>205</v>
      </c>
      <c r="G11" s="9">
        <v>12000</v>
      </c>
      <c r="H11" s="9">
        <v>2000</v>
      </c>
      <c r="I11" s="48">
        <v>2000</v>
      </c>
      <c r="J11" s="21">
        <f t="shared" si="2"/>
        <v>47200</v>
      </c>
      <c r="K11" s="8"/>
      <c r="L11" s="9"/>
      <c r="M11" s="9"/>
      <c r="N11" s="48"/>
      <c r="O11" s="21">
        <f t="shared" si="3"/>
        <v>47300</v>
      </c>
      <c r="P11" s="8" t="s">
        <v>206</v>
      </c>
      <c r="Q11" s="9">
        <v>-12000</v>
      </c>
      <c r="R11" s="9">
        <v>-1000</v>
      </c>
      <c r="S11" s="48">
        <v>-2000</v>
      </c>
      <c r="T11" s="21">
        <f t="shared" si="4"/>
        <v>10500</v>
      </c>
      <c r="U11" s="53">
        <f>IF($J11="","",ROUND(($J11-$J$3)/1000,1)+(_xlfn.RANK.AVG($J11,($J11,$O11,$T11),1)-2)*10)</f>
        <v>12.2</v>
      </c>
      <c r="V11" s="54">
        <f>IF($O11="","",ROUND(($O11-$O$3)/1000,1)+(_xlfn.RANK.AVG($O11,($J11,$O11,$T11),1)-2)*10)</f>
        <v>22.3</v>
      </c>
      <c r="W11" s="55">
        <f>IF($T11="","",ROUND(($T11-$T$3)/1000,1)+(_xlfn.RANK.AVG($T11,($J11,$O11,$T11),1)-2)*10)</f>
        <v>-34.5</v>
      </c>
      <c r="Y11" s="8"/>
      <c r="Z11" s="34"/>
      <c r="AA11" s="26"/>
      <c r="AB11" s="26"/>
      <c r="AC11" s="26">
        <v>7</v>
      </c>
      <c r="AD11" s="30" t="s">
        <v>202</v>
      </c>
      <c r="AE11" s="40" t="s">
        <v>104</v>
      </c>
      <c r="AF11" s="41" t="s">
        <v>203</v>
      </c>
      <c r="AG11" s="41" t="s">
        <v>79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2A2B7B8-DA62-4669-A7A0-1A21609AEBB9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45E35F48-B77A-4959-A95B-71A3AA04D33D}">
      <formula1>"ロン,ツモ,放銃,ツモ支払,流局,チョンボ"</formula1>
    </dataValidation>
    <dataValidation type="list" allowBlank="1" showInputMessage="1" showErrorMessage="1" sqref="E4:E30" xr:uid="{EB5B2905-5D62-4D12-B332-05D284AC8A6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2020-01-16T15:07:38Z</dcterms:modified>
</cp:coreProperties>
</file>