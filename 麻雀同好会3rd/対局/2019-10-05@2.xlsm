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対局\"/>
    </mc:Choice>
  </mc:AlternateContent>
  <xr:revisionPtr revIDLastSave="0" documentId="13_ncr:1_{C2614771-2EAC-497C-880D-DDD1BE31F6EE}" xr6:coauthVersionLast="41" xr6:coauthVersionMax="41" xr10:uidLastSave="{00000000-0000-0000-0000-000000000000}"/>
  <bookViews>
    <workbookView xWindow="-120" yWindow="-120" windowWidth="29040" windowHeight="1644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D11" i="22"/>
  <c r="C11" i="22"/>
  <c r="D10" i="22"/>
  <c r="D9" i="22"/>
  <c r="D8" i="22"/>
  <c r="D7" i="22"/>
  <c r="D6" i="22"/>
  <c r="C6" i="22"/>
  <c r="C7" i="22" s="1"/>
  <c r="C8" i="22" s="1"/>
  <c r="C9" i="22" s="1"/>
  <c r="C10" i="22" s="1"/>
  <c r="B6" i="22"/>
  <c r="A6" i="22" s="1"/>
  <c r="J5" i="22"/>
  <c r="D5" i="22"/>
  <c r="C5" i="22"/>
  <c r="B5" i="22"/>
  <c r="A5" i="22"/>
  <c r="T4" i="22"/>
  <c r="O4" i="22"/>
  <c r="J4" i="22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D10" i="21"/>
  <c r="D11" i="21" s="1"/>
  <c r="C10" i="21"/>
  <c r="C11" i="21" s="1"/>
  <c r="D9" i="21"/>
  <c r="D7" i="21"/>
  <c r="D8" i="21" s="1"/>
  <c r="D6" i="21"/>
  <c r="C6" i="21"/>
  <c r="C7" i="21" s="1"/>
  <c r="C8" i="21" s="1"/>
  <c r="C9" i="21" s="1"/>
  <c r="O5" i="21"/>
  <c r="O6" i="21" s="1"/>
  <c r="J5" i="21"/>
  <c r="D5" i="21"/>
  <c r="C5" i="21"/>
  <c r="B5" i="21"/>
  <c r="B6" i="21" s="1"/>
  <c r="T4" i="21"/>
  <c r="O4" i="21"/>
  <c r="J4" i="21"/>
  <c r="W3" i="21"/>
  <c r="V3" i="21"/>
  <c r="U3" i="21"/>
  <c r="W2" i="21"/>
  <c r="V2" i="21"/>
  <c r="U2" i="21"/>
  <c r="BO1" i="21"/>
  <c r="AT1" i="21"/>
  <c r="Y1" i="21"/>
  <c r="W4" i="22" l="1"/>
  <c r="V4" i="22"/>
  <c r="U4" i="22"/>
  <c r="O5" i="22"/>
  <c r="B7" i="22"/>
  <c r="T5" i="22"/>
  <c r="U5" i="22" s="1"/>
  <c r="J6" i="22"/>
  <c r="A5" i="21"/>
  <c r="W4" i="21"/>
  <c r="B7" i="21"/>
  <c r="O7" i="21"/>
  <c r="U4" i="21"/>
  <c r="V4" i="21"/>
  <c r="T5" i="21"/>
  <c r="V5" i="21" s="1"/>
  <c r="J6" i="21"/>
  <c r="A6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3" i="20"/>
  <c r="C13" i="20"/>
  <c r="D11" i="20"/>
  <c r="D12" i="20" s="1"/>
  <c r="D10" i="20"/>
  <c r="C10" i="20"/>
  <c r="C11" i="20" s="1"/>
  <c r="C12" i="20" s="1"/>
  <c r="D9" i="20"/>
  <c r="C9" i="20"/>
  <c r="D8" i="20"/>
  <c r="C8" i="20"/>
  <c r="B6" i="20"/>
  <c r="A6" i="20" s="1"/>
  <c r="D5" i="20"/>
  <c r="D6" i="20" s="1"/>
  <c r="D7" i="20" s="1"/>
  <c r="C5" i="20"/>
  <c r="C6" i="20" s="1"/>
  <c r="C7" i="20" s="1"/>
  <c r="B5" i="20"/>
  <c r="A5" i="20" s="1"/>
  <c r="T4" i="20"/>
  <c r="O4" i="20"/>
  <c r="V4" i="20" s="1"/>
  <c r="J4" i="20"/>
  <c r="U4" i="20" s="1"/>
  <c r="W3" i="20"/>
  <c r="V3" i="20"/>
  <c r="U3" i="20"/>
  <c r="W2" i="20"/>
  <c r="V2" i="20"/>
  <c r="U2" i="20"/>
  <c r="BO1" i="20"/>
  <c r="AT1" i="20"/>
  <c r="Y1" i="20"/>
  <c r="J7" i="22" l="1"/>
  <c r="W5" i="22"/>
  <c r="T6" i="22"/>
  <c r="A7" i="22"/>
  <c r="B8" i="22"/>
  <c r="A8" i="22" s="1"/>
  <c r="V5" i="22"/>
  <c r="O6" i="22"/>
  <c r="U6" i="22" s="1"/>
  <c r="B8" i="21"/>
  <c r="A8" i="21" s="1"/>
  <c r="W5" i="21"/>
  <c r="T6" i="21"/>
  <c r="J7" i="21"/>
  <c r="U6" i="21"/>
  <c r="O8" i="21"/>
  <c r="V6" i="21"/>
  <c r="U5" i="21"/>
  <c r="A7" i="21"/>
  <c r="W4" i="20"/>
  <c r="J5" i="20"/>
  <c r="O5" i="20"/>
  <c r="B7" i="20"/>
  <c r="T5" i="20"/>
  <c r="W3" i="19"/>
  <c r="V3" i="19"/>
  <c r="U3" i="19"/>
  <c r="V6" i="22" l="1"/>
  <c r="O7" i="22"/>
  <c r="B9" i="22"/>
  <c r="A9" i="22" s="1"/>
  <c r="W6" i="22"/>
  <c r="T7" i="22"/>
  <c r="J8" i="22"/>
  <c r="O9" i="21"/>
  <c r="J8" i="21"/>
  <c r="W6" i="21"/>
  <c r="T7" i="21"/>
  <c r="U7" i="21" s="1"/>
  <c r="B9" i="21"/>
  <c r="A9" i="21" s="1"/>
  <c r="W5" i="20"/>
  <c r="T6" i="20"/>
  <c r="B8" i="20"/>
  <c r="A7" i="20"/>
  <c r="V5" i="20"/>
  <c r="O6" i="20"/>
  <c r="U5" i="20"/>
  <c r="J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V13" i="19" s="1"/>
  <c r="J13" i="19"/>
  <c r="D13" i="19"/>
  <c r="C13" i="19"/>
  <c r="B13" i="19"/>
  <c r="A13" i="19" s="1"/>
  <c r="T12" i="19"/>
  <c r="O12" i="19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V8" i="19" s="1"/>
  <c r="J8" i="19"/>
  <c r="U8" i="19" s="1"/>
  <c r="D8" i="19"/>
  <c r="C8" i="19"/>
  <c r="B8" i="19"/>
  <c r="A8" i="19" s="1"/>
  <c r="T7" i="19"/>
  <c r="W7" i="19" s="1"/>
  <c r="O7" i="19"/>
  <c r="J7" i="19"/>
  <c r="D7" i="19"/>
  <c r="C7" i="19"/>
  <c r="B7" i="19"/>
  <c r="A7" i="19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V4" i="19" s="1"/>
  <c r="J4" i="19"/>
  <c r="U4" i="19" s="1"/>
  <c r="W2" i="19"/>
  <c r="V2" i="19"/>
  <c r="U2" i="19"/>
  <c r="BO1" i="19"/>
  <c r="AT1" i="19"/>
  <c r="Y1" i="19"/>
  <c r="J9" i="22" l="1"/>
  <c r="O8" i="22"/>
  <c r="U8" i="22" s="1"/>
  <c r="V7" i="22"/>
  <c r="U7" i="22"/>
  <c r="W7" i="22"/>
  <c r="T8" i="22"/>
  <c r="B10" i="22"/>
  <c r="A10" i="22" s="1"/>
  <c r="J9" i="21"/>
  <c r="O10" i="21"/>
  <c r="T8" i="21"/>
  <c r="W7" i="21"/>
  <c r="V7" i="21"/>
  <c r="B10" i="21"/>
  <c r="A10" i="21" s="1"/>
  <c r="A8" i="20"/>
  <c r="U6" i="20"/>
  <c r="J7" i="20"/>
  <c r="V6" i="20"/>
  <c r="O7" i="20"/>
  <c r="B9" i="20"/>
  <c r="A9" i="20" s="1"/>
  <c r="T7" i="20"/>
  <c r="W6" i="20"/>
  <c r="W13" i="19"/>
  <c r="U13" i="19"/>
  <c r="U12" i="19"/>
  <c r="W12" i="19"/>
  <c r="V12" i="19"/>
  <c r="U11" i="19"/>
  <c r="W11" i="19"/>
  <c r="V11" i="19"/>
  <c r="V10" i="19"/>
  <c r="W10" i="19"/>
  <c r="V9" i="19"/>
  <c r="U9" i="19"/>
  <c r="W9" i="19"/>
  <c r="W8" i="19"/>
  <c r="U7" i="19"/>
  <c r="V7" i="19"/>
  <c r="W6" i="19"/>
  <c r="U6" i="19"/>
  <c r="V6" i="19"/>
  <c r="T5" i="19"/>
  <c r="W4" i="19"/>
  <c r="J5" i="19"/>
  <c r="O5" i="19"/>
  <c r="V5" i="19" s="1"/>
  <c r="B11" i="22" l="1"/>
  <c r="A11" i="22" s="1"/>
  <c r="J10" i="22"/>
  <c r="W8" i="22"/>
  <c r="T9" i="22"/>
  <c r="V8" i="22"/>
  <c r="O9" i="22"/>
  <c r="B11" i="21"/>
  <c r="A11" i="21" s="1"/>
  <c r="J10" i="21"/>
  <c r="W8" i="21"/>
  <c r="T9" i="21"/>
  <c r="U9" i="21" s="1"/>
  <c r="O11" i="21"/>
  <c r="V9" i="21"/>
  <c r="V8" i="21"/>
  <c r="U8" i="21"/>
  <c r="B10" i="20"/>
  <c r="A10" i="20" s="1"/>
  <c r="W7" i="20"/>
  <c r="T8" i="20"/>
  <c r="O8" i="20"/>
  <c r="V7" i="20"/>
  <c r="J8" i="20"/>
  <c r="U7" i="20"/>
  <c r="W5" i="19"/>
  <c r="U5" i="19"/>
  <c r="V9" i="22" l="1"/>
  <c r="O10" i="22"/>
  <c r="W9" i="22"/>
  <c r="T10" i="22"/>
  <c r="J11" i="22"/>
  <c r="U9" i="22"/>
  <c r="W9" i="21"/>
  <c r="T10" i="21"/>
  <c r="U10" i="21"/>
  <c r="J11" i="21"/>
  <c r="U8" i="20"/>
  <c r="J9" i="20"/>
  <c r="V8" i="20"/>
  <c r="O9" i="20"/>
  <c r="W8" i="20"/>
  <c r="T9" i="20"/>
  <c r="B11" i="20"/>
  <c r="U11" i="22" l="1"/>
  <c r="W10" i="22"/>
  <c r="T11" i="22"/>
  <c r="V10" i="22"/>
  <c r="O11" i="22"/>
  <c r="V11" i="22" s="1"/>
  <c r="U10" i="22"/>
  <c r="W10" i="21"/>
  <c r="T11" i="21"/>
  <c r="U11" i="21" s="1"/>
  <c r="V10" i="21"/>
  <c r="B12" i="20"/>
  <c r="W9" i="20"/>
  <c r="T10" i="20"/>
  <c r="A11" i="20"/>
  <c r="V9" i="20"/>
  <c r="O10" i="20"/>
  <c r="U9" i="20"/>
  <c r="J10" i="20"/>
  <c r="W11" i="22" l="1"/>
  <c r="W11" i="21"/>
  <c r="V11" i="21"/>
  <c r="V10" i="20"/>
  <c r="O11" i="20"/>
  <c r="B13" i="20"/>
  <c r="A12" i="20"/>
  <c r="T11" i="20"/>
  <c r="W10" i="20"/>
  <c r="U10" i="20"/>
  <c r="J11" i="20"/>
  <c r="A13" i="20" l="1"/>
  <c r="J12" i="20"/>
  <c r="U11" i="20"/>
  <c r="W11" i="20"/>
  <c r="T12" i="20"/>
  <c r="O12" i="20"/>
  <c r="V11" i="20"/>
  <c r="U12" i="20" l="1"/>
  <c r="J13" i="20"/>
  <c r="V12" i="20"/>
  <c r="O13" i="20"/>
  <c r="V13" i="20" s="1"/>
  <c r="W12" i="20"/>
  <c r="T13" i="20"/>
  <c r="W13" i="20" l="1"/>
  <c r="U13" i="20"/>
</calcChain>
</file>

<file path=xl/sharedStrings.xml><?xml version="1.0" encoding="utf-8"?>
<sst xmlns="http://schemas.openxmlformats.org/spreadsheetml/2006/main" count="902" uniqueCount="211">
  <si>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</si>
  <si>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</si>
  <si>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</si>
  <si>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</si>
  <si>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</si>
  <si>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</si>
  <si>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</si>
  <si>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</si>
  <si>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</si>
  <si>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</si>
  <si>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</si>
  <si>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</si>
  <si>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</si>
  <si>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</si>
  <si>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</si>
  <si>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</si>
  <si>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</si>
  <si>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</si>
  <si>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</si>
  <si>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</si>
  <si>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</si>
  <si>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</si>
  <si>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</si>
  <si>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</si>
  <si>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</si>
  <si>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</si>
  <si>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</si>
  <si>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</si>
  <si>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</si>
  <si>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</si>
  <si>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</si>
  <si>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</si>
  <si>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</si>
  <si>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</si>
  <si>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</si>
  <si>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</si>
  <si>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</si>
  <si>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</si>
  <si>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</si>
  <si>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</si>
  <si>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</si>
  <si>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</si>
  <si>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</si>
  <si>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</si>
  <si>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</si>
  <si>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</si>
  <si>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</si>
  <si>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</si>
  <si>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</si>
  <si>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</si>
  <si>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</si>
  <si>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</si>
  <si>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</si>
  <si>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</si>
  <si>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</si>
  <si>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</si>
  <si>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</si>
  <si>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</si>
  <si>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</si>
  <si>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</si>
  <si>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</si>
  <si>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</si>
  <si>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</si>
  <si>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</si>
  <si>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</si>
  <si>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</si>
  <si>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</si>
  <si>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</si>
  <si>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</si>
  <si>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</si>
  <si>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</si>
  <si>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</si>
  <si>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</si>
  <si>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</si>
  <si>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</si>
  <si>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</si>
  <si>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</si>
  <si>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</si>
  <si>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</si>
  <si>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</si>
  <si>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</si>
  <si>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</si>
  <si>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</si>
  <si>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</si>
  <si>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</si>
  <si>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</si>
  <si>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</si>
  <si>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</si>
  <si>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</si>
  <si>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</si>
  <si>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</si>
  <si>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</si>
  <si>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</si>
  <si>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</si>
  <si>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</si>
  <si>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</si>
  <si>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</si>
  <si>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</si>
  <si>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</si>
  <si>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</si>
  <si>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</si>
  <si>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</si>
  <si>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</si>
  <si>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</si>
  <si>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</si>
  <si>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</si>
  <si>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</si>
  <si>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</si>
  <si>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</si>
  <si>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</si>
  <si>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</si>
  <si>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</si>
  <si>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</si>
  <si>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</si>
  <si>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</si>
  <si>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</si>
  <si>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</si>
  <si>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</si>
  <si>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</si>
  <si>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</si>
  <si>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</si>
  <si>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</si>
  <si>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</si>
  <si>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</si>
  <si>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</si>
  <si>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</si>
  <si>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</si>
  <si>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</si>
  <si>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</si>
  <si>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</si>
  <si>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</si>
  <si>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</si>
  <si>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</si>
  <si>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</si>
  <si>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</si>
  <si>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</si>
  <si>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</si>
  <si>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</si>
  <si>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</si>
  <si>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</si>
  <si>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</si>
  <si>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</si>
  <si>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</si>
  <si>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</si>
  <si>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</si>
  <si>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</si>
  <si>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</si>
  <si>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</si>
  <si>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</si>
  <si>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</si>
  <si>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</si>
  <si>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</si>
  <si>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</si>
  <si>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</si>
  <si>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</si>
  <si>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</si>
  <si>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</si>
  <si>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</si>
  <si>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</si>
  <si>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</si>
  <si>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</si>
  <si>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</si>
  <si>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</si>
  <si>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</si>
  <si>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</si>
  <si>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</si>
  <si>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</si>
  <si>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</si>
  <si>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</si>
  <si>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</si>
  <si>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</si>
  <si>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</si>
  <si>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</si>
  <si>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</si>
  <si>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</si>
  <si>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</si>
  <si>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</si>
  <si>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</si>
  <si>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</si>
  <si>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</si>
  <si>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</si>
  <si>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</si>
  <si>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</si>
  <si>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</si>
  <si>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</si>
  <si>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</si>
  <si>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</si>
  <si>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</si>
  <si>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</si>
  <si>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</si>
  <si>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親</t>
    <phoneticPr fontId="1"/>
  </si>
  <si>
    <t>まっつん</t>
  </si>
  <si>
    <t>まっつん</t>
    <phoneticPr fontId="1"/>
  </si>
  <si>
    <t>ただ</t>
  </si>
  <si>
    <t>ただ</t>
    <phoneticPr fontId="1"/>
  </si>
  <si>
    <t>のり</t>
  </si>
  <si>
    <t>のり</t>
    <phoneticPr fontId="1"/>
  </si>
  <si>
    <t>N</t>
  </si>
  <si>
    <t>T</t>
  </si>
  <si>
    <t>流局</t>
    <phoneticPr fontId="1"/>
  </si>
  <si>
    <t>放銃</t>
  </si>
  <si>
    <t>ロン</t>
  </si>
  <si>
    <t>01</t>
  </si>
  <si>
    <t>52</t>
  </si>
  <si>
    <t>*</t>
  </si>
  <si>
    <t>02</t>
  </si>
  <si>
    <t>ツモ支払</t>
  </si>
  <si>
    <t>ツモ</t>
  </si>
  <si>
    <t>流局</t>
    <phoneticPr fontId="1"/>
  </si>
  <si>
    <t>れんたろう</t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</si>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</sst>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20</v>
      </c>
      <c r="E1" s="87" t="s">
        <v>190</v>
      </c>
      <c r="F1" s="78" t="s">
        <v>196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194</v>
      </c>
      <c r="Q1" s="79"/>
      <c r="R1" s="79"/>
      <c r="S1" s="80"/>
      <c r="T1" s="81"/>
      <c r="U1" s="78" t="s">
        <v>5</v>
      </c>
      <c r="V1" s="79"/>
      <c r="W1" s="81"/>
      <c r="Y1" s="78" t="str">
        <f>F1</f>
        <v>のり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まっつん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4</v>
      </c>
      <c r="G2" s="2" t="s">
        <v>7</v>
      </c>
      <c r="H2" s="2" t="s">
        <v>21</v>
      </c>
      <c r="I2" s="46" t="s">
        <v>1</v>
      </c>
      <c r="J2" s="6" t="s">
        <v>3</v>
      </c>
      <c r="K2" s="1" t="s">
        <v>4</v>
      </c>
      <c r="L2" s="2" t="s">
        <v>8</v>
      </c>
      <c r="M2" s="2" t="s">
        <v>21</v>
      </c>
      <c r="N2" s="46" t="s">
        <v>6</v>
      </c>
      <c r="O2" s="6" t="s">
        <v>3</v>
      </c>
      <c r="P2" s="1" t="s">
        <v>4</v>
      </c>
      <c r="Q2" s="2" t="s">
        <v>8</v>
      </c>
      <c r="R2" s="2" t="s">
        <v>21</v>
      </c>
      <c r="S2" s="46" t="s">
        <v>6</v>
      </c>
      <c r="T2" s="6" t="s">
        <v>3</v>
      </c>
      <c r="U2" s="63" t="str">
        <f>$F$1</f>
        <v>のり</v>
      </c>
      <c r="V2" s="64" t="str">
        <f>$K$1</f>
        <v>まっつん</v>
      </c>
      <c r="W2" s="16" t="str">
        <f>$P$1</f>
        <v>ただ</v>
      </c>
      <c r="Y2" s="59" t="s">
        <v>22</v>
      </c>
      <c r="Z2" s="60" t="s">
        <v>25</v>
      </c>
      <c r="AA2" s="61" t="s">
        <v>23</v>
      </c>
      <c r="AB2" s="61" t="s">
        <v>126</v>
      </c>
      <c r="AC2" s="61" t="s">
        <v>17</v>
      </c>
      <c r="AD2" s="62" t="s">
        <v>18</v>
      </c>
      <c r="AE2" s="77" t="s">
        <v>19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22</v>
      </c>
      <c r="AU2" s="60" t="s">
        <v>25</v>
      </c>
      <c r="AV2" s="61" t="s">
        <v>23</v>
      </c>
      <c r="AW2" s="61" t="s">
        <v>127</v>
      </c>
      <c r="AX2" s="61" t="s">
        <v>17</v>
      </c>
      <c r="AY2" s="62" t="s">
        <v>18</v>
      </c>
      <c r="AZ2" s="77" t="s">
        <v>19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22</v>
      </c>
      <c r="BP2" s="60" t="s">
        <v>25</v>
      </c>
      <c r="BQ2" s="61" t="s">
        <v>23</v>
      </c>
      <c r="BR2" s="61" t="s">
        <v>127</v>
      </c>
      <c r="BS2" s="61" t="s">
        <v>17</v>
      </c>
      <c r="BT2" s="62" t="s">
        <v>18</v>
      </c>
      <c r="BU2" s="77" t="s">
        <v>19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132</v>
      </c>
      <c r="B4" s="18">
        <v>1</v>
      </c>
      <c r="C4" s="18">
        <v>0</v>
      </c>
      <c r="D4" s="18">
        <v>0</v>
      </c>
      <c r="E4" s="4" t="s">
        <v>191</v>
      </c>
      <c r="F4" s="8" t="s">
        <v>199</v>
      </c>
      <c r="G4" s="9">
        <v>-3000</v>
      </c>
      <c r="H4" s="9"/>
      <c r="I4" s="48"/>
      <c r="J4" s="21">
        <f>IF(COUNTA($F4,$K4,$P4)&gt;0,J3+SUM(G4:I4),"")</f>
        <v>32000</v>
      </c>
      <c r="K4" s="8" t="s">
        <v>199</v>
      </c>
      <c r="L4" s="9">
        <v>1500</v>
      </c>
      <c r="M4" s="9"/>
      <c r="N4" s="48"/>
      <c r="O4" s="21">
        <f>IF(COUNTA($F4,$K4,$P4)&gt;0,O3+SUM(L4:N4),"")</f>
        <v>36500</v>
      </c>
      <c r="P4" s="8" t="s">
        <v>199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IF($J4="","",ROUND(($J4-$J$3)/1000,1)+(_xlfn.RANK.AVG($J4,($J4,$O4,$T4),1)-2)*10)</f>
        <v>-13</v>
      </c>
      <c r="V4" s="54">
        <f>IF($O4="","",ROUND(($O4-$O$3)/1000,1)+(_xlfn.RANK.AVG($O4,($J4,$O4,$T4),1)-2)*10)</f>
        <v>6.5</v>
      </c>
      <c r="W4" s="55">
        <f>IF($T4="","",ROUND(($T4-$T$3)/1000,1)+(_xlfn.RANK.AVG($T4,($J4,$O4,$T4),1)-2)*10)</f>
        <v>6.5</v>
      </c>
      <c r="Y4" s="8" t="s">
        <v>197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198</v>
      </c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198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199</v>
      </c>
      <c r="G5" s="9">
        <v>-3000</v>
      </c>
      <c r="H5" s="9"/>
      <c r="I5" s="48"/>
      <c r="J5" s="21">
        <f t="shared" ref="J5:J30" si="2">IF(COUNTA($F5,$K5,$P5)&gt;0,J4+SUM(G5:I5),"")</f>
        <v>29000</v>
      </c>
      <c r="K5" s="8" t="s">
        <v>199</v>
      </c>
      <c r="L5" s="9">
        <v>1500</v>
      </c>
      <c r="M5" s="9">
        <v>-1000</v>
      </c>
      <c r="N5" s="48"/>
      <c r="O5" s="21">
        <f t="shared" ref="O5:O30" si="3">IF(COUNTA($F5,$K5,$P5)&gt;0,O4+SUM(L5:N5),"")</f>
        <v>37000</v>
      </c>
      <c r="P5" s="8" t="s">
        <v>199</v>
      </c>
      <c r="Q5" s="9">
        <v>1500</v>
      </c>
      <c r="R5" s="9">
        <v>-1000</v>
      </c>
      <c r="S5" s="48"/>
      <c r="T5" s="21">
        <f t="shared" ref="T5:T30" si="4">IF(COUNTA($F5,$K5,$P5)&gt;0,T4+SUM(Q5:S5),"")</f>
        <v>37000</v>
      </c>
      <c r="U5" s="53">
        <f>IF($J5="","",ROUND(($J5-$J$3)/1000,1)+(_xlfn.RANK.AVG($J5,($J5,$O5,$T5),1)-2)*10)</f>
        <v>-16</v>
      </c>
      <c r="V5" s="54">
        <f>IF($O5="","",ROUND(($O5-$O$3)/1000,1)+(_xlfn.RANK.AVG($O5,($J5,$O5,$T5),1)-2)*10)</f>
        <v>7</v>
      </c>
      <c r="W5" s="55">
        <f>IF($T5="","",ROUND(($T5-$T$3)/1000,1)+(_xlfn.RANK.AVG($T5,($J5,$O5,$T5),1)-2)*10)</f>
        <v>7</v>
      </c>
      <c r="Y5" s="8" t="s">
        <v>197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198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198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2</v>
      </c>
      <c r="E6" s="4" t="s">
        <v>191</v>
      </c>
      <c r="F6" s="8" t="s">
        <v>199</v>
      </c>
      <c r="G6" s="9">
        <v>-1500</v>
      </c>
      <c r="H6" s="9"/>
      <c r="I6" s="48"/>
      <c r="J6" s="21">
        <f t="shared" si="2"/>
        <v>27500</v>
      </c>
      <c r="K6" s="8" t="s">
        <v>199</v>
      </c>
      <c r="L6" s="9">
        <v>3000</v>
      </c>
      <c r="M6" s="9">
        <v>-1000</v>
      </c>
      <c r="N6" s="48"/>
      <c r="O6" s="21">
        <f t="shared" si="3"/>
        <v>39000</v>
      </c>
      <c r="P6" s="8" t="s">
        <v>199</v>
      </c>
      <c r="Q6" s="9">
        <v>-1500</v>
      </c>
      <c r="R6" s="9"/>
      <c r="S6" s="48"/>
      <c r="T6" s="21">
        <f t="shared" si="4"/>
        <v>35500</v>
      </c>
      <c r="U6" s="53">
        <f>IF($J6="","",ROUND(($J6-$J$3)/1000,1)+(_xlfn.RANK.AVG($J6,($J6,$O6,$T6),1)-2)*10)</f>
        <v>-17.5</v>
      </c>
      <c r="V6" s="54">
        <f>IF($O6="","",ROUND(($O6-$O$3)/1000,1)+(_xlfn.RANK.AVG($O6,($J6,$O6,$T6),1)-2)*10)</f>
        <v>14</v>
      </c>
      <c r="W6" s="55">
        <f>IF($T6="","",ROUND(($T6-$T$3)/1000,1)+(_xlfn.RANK.AVG($T6,($J6,$O6,$T6),1)-2)*10)</f>
        <v>0.5</v>
      </c>
      <c r="Y6" s="8" t="s">
        <v>197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198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197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3</v>
      </c>
      <c r="E7" s="4" t="s">
        <v>191</v>
      </c>
      <c r="F7" s="8" t="s">
        <v>200</v>
      </c>
      <c r="G7" s="9">
        <v>-8000</v>
      </c>
      <c r="H7" s="9"/>
      <c r="I7" s="48">
        <v>-3000</v>
      </c>
      <c r="J7" s="21">
        <f t="shared" si="2"/>
        <v>16500</v>
      </c>
      <c r="K7" s="8"/>
      <c r="L7" s="9"/>
      <c r="M7" s="9"/>
      <c r="N7" s="48"/>
      <c r="O7" s="21">
        <f t="shared" si="3"/>
        <v>39000</v>
      </c>
      <c r="P7" s="8" t="s">
        <v>201</v>
      </c>
      <c r="Q7" s="9">
        <v>8000</v>
      </c>
      <c r="R7" s="9">
        <v>3000</v>
      </c>
      <c r="S7" s="48">
        <v>3000</v>
      </c>
      <c r="T7" s="21">
        <f t="shared" si="4"/>
        <v>49500</v>
      </c>
      <c r="U7" s="53">
        <f>IF($J7="","",ROUND(($J7-$J$3)/1000,1)+(_xlfn.RANK.AVG($J7,($J7,$O7,$T7),1)-2)*10)</f>
        <v>-28.5</v>
      </c>
      <c r="V7" s="54">
        <f>IF($O7="","",ROUND(($O7-$O$3)/1000,1)+(_xlfn.RANK.AVG($O7,($J7,$O7,$T7),1)-2)*10)</f>
        <v>4</v>
      </c>
      <c r="W7" s="55">
        <f>IF($T7="","",ROUND(($T7-$T$3)/1000,1)+(_xlfn.RANK.AVG($T7,($J7,$O7,$T7),1)-2)*10)</f>
        <v>24.5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40</v>
      </c>
      <c r="BU7" s="40" t="s">
        <v>202</v>
      </c>
      <c r="BV7" s="41" t="s">
        <v>78</v>
      </c>
      <c r="BW7" s="41" t="s">
        <v>203</v>
      </c>
      <c r="BX7" s="41" t="s">
        <v>79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/>
      <c r="G8" s="9"/>
      <c r="H8" s="9">
        <v>-1000</v>
      </c>
      <c r="I8" s="48"/>
      <c r="J8" s="21">
        <f t="shared" si="2"/>
        <v>15500</v>
      </c>
      <c r="K8" s="8" t="s">
        <v>201</v>
      </c>
      <c r="L8" s="9">
        <v>8000</v>
      </c>
      <c r="M8" s="9">
        <v>2000</v>
      </c>
      <c r="N8" s="48">
        <v>0</v>
      </c>
      <c r="O8" s="21">
        <f t="shared" si="3"/>
        <v>49000</v>
      </c>
      <c r="P8" s="8" t="s">
        <v>200</v>
      </c>
      <c r="Q8" s="9">
        <v>-8000</v>
      </c>
      <c r="R8" s="9">
        <v>-1000</v>
      </c>
      <c r="S8" s="48">
        <v>0</v>
      </c>
      <c r="T8" s="21">
        <f t="shared" si="4"/>
        <v>40500</v>
      </c>
      <c r="U8" s="53">
        <f>IF($J8="","",ROUND(($J8-$J$3)/1000,1)+(_xlfn.RANK.AVG($J8,($J8,$O8,$T8),1)-2)*10)</f>
        <v>-29.5</v>
      </c>
      <c r="V8" s="54">
        <f>IF($O8="","",ROUND(($O8-$O$3)/1000,1)+(_xlfn.RANK.AVG($O8,($J8,$O8,$T8),1)-2)*10)</f>
        <v>24</v>
      </c>
      <c r="W8" s="55">
        <f>IF($T8="","",ROUND(($T8-$T$3)/1000,1)+(_xlfn.RANK.AVG($T8,($J8,$O8,$T8),1)-2)*10)</f>
        <v>5.5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40</v>
      </c>
      <c r="AZ8" s="40" t="s">
        <v>202</v>
      </c>
      <c r="BA8" s="41" t="s">
        <v>78</v>
      </c>
      <c r="BB8" s="41" t="s">
        <v>79</v>
      </c>
      <c r="BC8" s="41" t="s">
        <v>203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200</v>
      </c>
      <c r="G9" s="9">
        <v>-12000</v>
      </c>
      <c r="H9" s="9">
        <v>-1000</v>
      </c>
      <c r="I9" s="48">
        <v>0</v>
      </c>
      <c r="J9" s="21">
        <f t="shared" si="2"/>
        <v>2500</v>
      </c>
      <c r="K9" s="8" t="s">
        <v>201</v>
      </c>
      <c r="L9" s="9">
        <v>12000</v>
      </c>
      <c r="M9" s="9">
        <v>1000</v>
      </c>
      <c r="N9" s="48">
        <v>0</v>
      </c>
      <c r="O9" s="21">
        <f t="shared" si="3"/>
        <v>62000</v>
      </c>
      <c r="P9" s="8"/>
      <c r="Q9" s="9"/>
      <c r="R9" s="9"/>
      <c r="S9" s="48"/>
      <c r="T9" s="21">
        <f t="shared" si="4"/>
        <v>40500</v>
      </c>
      <c r="U9" s="53">
        <f>IF($J9="","",ROUND(($J9-$J$3)/1000,1)+(_xlfn.RANK.AVG($J9,($J9,$O9,$T9),1)-2)*10)</f>
        <v>-42.5</v>
      </c>
      <c r="V9" s="54">
        <f>IF($O9="","",ROUND(($O9-$O$3)/1000,1)+(_xlfn.RANK.AVG($O9,($J9,$O9,$T9),1)-2)*10)</f>
        <v>37</v>
      </c>
      <c r="W9" s="55">
        <f>IF($T9="","",ROUND(($T9-$T$3)/1000,1)+(_xlfn.RANK.AVG($T9,($J9,$O9,$T9),1)-2)*10)</f>
        <v>5.5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6</v>
      </c>
      <c r="AY9" s="30" t="s">
        <v>204</v>
      </c>
      <c r="AZ9" s="40" t="s">
        <v>202</v>
      </c>
      <c r="BA9" s="41" t="s">
        <v>78</v>
      </c>
      <c r="BB9" s="41" t="s">
        <v>78</v>
      </c>
      <c r="BC9" s="41" t="s">
        <v>78</v>
      </c>
      <c r="BD9" s="41" t="s">
        <v>85</v>
      </c>
      <c r="BE9" s="41" t="s">
        <v>205</v>
      </c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191</v>
      </c>
      <c r="F10" s="8"/>
      <c r="G10" s="9"/>
      <c r="H10" s="9"/>
      <c r="I10" s="48"/>
      <c r="J10" s="21">
        <f t="shared" si="2"/>
        <v>2500</v>
      </c>
      <c r="K10" s="8" t="s">
        <v>201</v>
      </c>
      <c r="L10" s="9">
        <v>2900</v>
      </c>
      <c r="M10" s="9"/>
      <c r="N10" s="48">
        <v>0</v>
      </c>
      <c r="O10" s="21">
        <f t="shared" si="3"/>
        <v>64900</v>
      </c>
      <c r="P10" s="8" t="s">
        <v>200</v>
      </c>
      <c r="Q10" s="9">
        <v>-2900</v>
      </c>
      <c r="R10" s="9"/>
      <c r="S10" s="48">
        <v>0</v>
      </c>
      <c r="T10" s="21">
        <f t="shared" si="4"/>
        <v>37600</v>
      </c>
      <c r="U10" s="53">
        <f>IF($J10="","",ROUND(($J10-$J$3)/1000,1)+(_xlfn.RANK.AVG($J10,($J10,$O10,$T10),1)-2)*10)</f>
        <v>-42.5</v>
      </c>
      <c r="V10" s="54">
        <f>IF($O10="","",ROUND(($O10-$O$3)/1000,1)+(_xlfn.RANK.AVG($O10,($J10,$O10,$T10),1)-2)*10)</f>
        <v>39.9</v>
      </c>
      <c r="W10" s="55">
        <f>IF($T10="","",ROUND(($T10-$T$3)/1000,1)+(_xlfn.RANK.AVG($T10,($J10,$O10,$T10),1)-2)*10)</f>
        <v>2.6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2</v>
      </c>
      <c r="AY10" s="30">
        <v>30</v>
      </c>
      <c r="AZ10" s="40" t="s">
        <v>85</v>
      </c>
      <c r="BA10" s="41" t="s">
        <v>203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191</v>
      </c>
      <c r="F11" s="8" t="s">
        <v>199</v>
      </c>
      <c r="G11" s="9">
        <v>1500</v>
      </c>
      <c r="H11" s="9">
        <v>-1000</v>
      </c>
      <c r="I11" s="48"/>
      <c r="J11" s="21">
        <f t="shared" si="2"/>
        <v>3000</v>
      </c>
      <c r="K11" s="8" t="s">
        <v>199</v>
      </c>
      <c r="L11" s="9">
        <v>-3000</v>
      </c>
      <c r="M11" s="9"/>
      <c r="N11" s="48"/>
      <c r="O11" s="21">
        <f t="shared" si="3"/>
        <v>61900</v>
      </c>
      <c r="P11" s="8" t="s">
        <v>199</v>
      </c>
      <c r="Q11" s="9">
        <v>1500</v>
      </c>
      <c r="R11" s="9"/>
      <c r="S11" s="48"/>
      <c r="T11" s="21">
        <f t="shared" si="4"/>
        <v>39100</v>
      </c>
      <c r="U11" s="53">
        <f>IF($J11="","",ROUND(($J11-$J$3)/1000,1)+(_xlfn.RANK.AVG($J11,($J11,$O11,$T11),1)-2)*10)</f>
        <v>-42</v>
      </c>
      <c r="V11" s="54">
        <f>IF($O11="","",ROUND(($O11-$O$3)/1000,1)+(_xlfn.RANK.AVG($O11,($J11,$O11,$T11),1)-2)*10)</f>
        <v>36.9</v>
      </c>
      <c r="W11" s="55">
        <f>IF($T11="","",ROUND(($T11-$T$3)/1000,1)+(_xlfn.RANK.AVG($T11,($J11,$O11,$T11),1)-2)*10)</f>
        <v>4.0999999999999996</v>
      </c>
      <c r="Y11" s="8" t="s">
        <v>198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197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198</v>
      </c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1</v>
      </c>
      <c r="E12" s="4" t="s">
        <v>193</v>
      </c>
      <c r="F12" s="8" t="s">
        <v>206</v>
      </c>
      <c r="G12" s="9">
        <v>-800</v>
      </c>
      <c r="H12" s="9"/>
      <c r="I12" s="48">
        <v>-1000</v>
      </c>
      <c r="J12" s="21">
        <f t="shared" si="2"/>
        <v>1200</v>
      </c>
      <c r="K12" s="8" t="s">
        <v>207</v>
      </c>
      <c r="L12" s="9">
        <v>2100</v>
      </c>
      <c r="M12" s="9">
        <v>1000</v>
      </c>
      <c r="N12" s="48">
        <v>2000</v>
      </c>
      <c r="O12" s="21">
        <f t="shared" si="3"/>
        <v>67000</v>
      </c>
      <c r="P12" s="8" t="s">
        <v>206</v>
      </c>
      <c r="Q12" s="9">
        <v>-1300</v>
      </c>
      <c r="R12" s="9"/>
      <c r="S12" s="48">
        <v>-1000</v>
      </c>
      <c r="T12" s="21">
        <f t="shared" si="4"/>
        <v>36800</v>
      </c>
      <c r="U12" s="53">
        <f>IF($J12="","",ROUND(($J12-$J$3)/1000,1)+(_xlfn.RANK.AVG($J12,($J12,$O12,$T12),1)-2)*10)</f>
        <v>-43.8</v>
      </c>
      <c r="V12" s="54">
        <f>IF($O12="","",ROUND(($O12-$O$3)/1000,1)+(_xlfn.RANK.AVG($O12,($J12,$O12,$T12),1)-2)*10)</f>
        <v>42</v>
      </c>
      <c r="W12" s="55">
        <f>IF($T12="","",ROUND(($T12-$T$3)/1000,1)+(_xlfn.RANK.AVG($T12,($J12,$O12,$T12),1)-2)*10)</f>
        <v>1.8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2</v>
      </c>
      <c r="AY12" s="30">
        <v>30</v>
      </c>
      <c r="AZ12" s="40" t="s">
        <v>202</v>
      </c>
      <c r="BA12" s="41" t="s">
        <v>81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195</v>
      </c>
      <c r="F13" s="8"/>
      <c r="G13" s="9"/>
      <c r="H13" s="9"/>
      <c r="I13" s="48"/>
      <c r="J13" s="21">
        <f t="shared" si="2"/>
        <v>1200</v>
      </c>
      <c r="K13" s="8" t="s">
        <v>201</v>
      </c>
      <c r="L13" s="9">
        <v>8000</v>
      </c>
      <c r="M13" s="9"/>
      <c r="N13" s="48">
        <v>0</v>
      </c>
      <c r="O13" s="21">
        <f t="shared" si="3"/>
        <v>75000</v>
      </c>
      <c r="P13" s="8" t="s">
        <v>200</v>
      </c>
      <c r="Q13" s="9">
        <v>-8000</v>
      </c>
      <c r="R13" s="9"/>
      <c r="S13" s="48">
        <v>0</v>
      </c>
      <c r="T13" s="21">
        <f t="shared" si="4"/>
        <v>28800</v>
      </c>
      <c r="U13" s="53">
        <f>IF($J13="","",ROUND(($J13-$J$3)/1000,1)+(_xlfn.RANK.AVG($J13,($J13,$O13,$T13),1)-2)*10)</f>
        <v>-43.8</v>
      </c>
      <c r="V13" s="54">
        <f>IF($O13="","",ROUND(($O13-$O$3)/1000,1)+(_xlfn.RANK.AVG($O13,($J13,$O13,$T13),1)-2)*10)</f>
        <v>50</v>
      </c>
      <c r="W13" s="55">
        <f>IF($T13="","",ROUND(($T13-$T$3)/1000,1)+(_xlfn.RANK.AVG($T13,($J13,$O13,$T13),1)-2)*10)</f>
        <v>-6.2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>
        <v>4</v>
      </c>
      <c r="AY13" s="30">
        <v>40</v>
      </c>
      <c r="AZ13" s="40" t="s">
        <v>85</v>
      </c>
      <c r="BA13" s="41" t="s">
        <v>85</v>
      </c>
      <c r="BB13" s="41" t="s">
        <v>85</v>
      </c>
      <c r="BC13" s="41" t="s">
        <v>81</v>
      </c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222D0F83-3F5B-4BB5-A8B4-96F4599E3D2F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88A75-2578-41FB-9A35-21CC3E529A31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20</v>
      </c>
      <c r="E1" s="87" t="s">
        <v>190</v>
      </c>
      <c r="F1" s="78" t="s">
        <v>196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194</v>
      </c>
      <c r="Q1" s="79"/>
      <c r="R1" s="79"/>
      <c r="S1" s="80"/>
      <c r="T1" s="81"/>
      <c r="U1" s="78" t="s">
        <v>5</v>
      </c>
      <c r="V1" s="79"/>
      <c r="W1" s="81"/>
      <c r="Y1" s="78" t="str">
        <f>F1</f>
        <v>のり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まっつん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4</v>
      </c>
      <c r="G2" s="2" t="s">
        <v>7</v>
      </c>
      <c r="H2" s="2" t="s">
        <v>21</v>
      </c>
      <c r="I2" s="46" t="s">
        <v>1</v>
      </c>
      <c r="J2" s="6" t="s">
        <v>3</v>
      </c>
      <c r="K2" s="1" t="s">
        <v>4</v>
      </c>
      <c r="L2" s="2" t="s">
        <v>8</v>
      </c>
      <c r="M2" s="2" t="s">
        <v>21</v>
      </c>
      <c r="N2" s="46" t="s">
        <v>6</v>
      </c>
      <c r="O2" s="6" t="s">
        <v>3</v>
      </c>
      <c r="P2" s="1" t="s">
        <v>4</v>
      </c>
      <c r="Q2" s="2" t="s">
        <v>8</v>
      </c>
      <c r="R2" s="2" t="s">
        <v>21</v>
      </c>
      <c r="S2" s="46" t="s">
        <v>6</v>
      </c>
      <c r="T2" s="6" t="s">
        <v>3</v>
      </c>
      <c r="U2" s="69" t="str">
        <f>$F$1</f>
        <v>のり</v>
      </c>
      <c r="V2" s="70" t="str">
        <f>$K$1</f>
        <v>まっつん</v>
      </c>
      <c r="W2" s="16" t="str">
        <f>$P$1</f>
        <v>ただ</v>
      </c>
      <c r="Y2" s="65" t="s">
        <v>22</v>
      </c>
      <c r="Z2" s="68" t="s">
        <v>25</v>
      </c>
      <c r="AA2" s="66" t="s">
        <v>23</v>
      </c>
      <c r="AB2" s="66" t="s">
        <v>126</v>
      </c>
      <c r="AC2" s="66" t="s">
        <v>17</v>
      </c>
      <c r="AD2" s="67" t="s">
        <v>18</v>
      </c>
      <c r="AE2" s="77" t="s">
        <v>19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22</v>
      </c>
      <c r="AU2" s="68" t="s">
        <v>25</v>
      </c>
      <c r="AV2" s="66" t="s">
        <v>23</v>
      </c>
      <c r="AW2" s="66" t="s">
        <v>127</v>
      </c>
      <c r="AX2" s="66" t="s">
        <v>17</v>
      </c>
      <c r="AY2" s="67" t="s">
        <v>18</v>
      </c>
      <c r="AZ2" s="77" t="s">
        <v>19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22</v>
      </c>
      <c r="BP2" s="68" t="s">
        <v>25</v>
      </c>
      <c r="BQ2" s="66" t="s">
        <v>23</v>
      </c>
      <c r="BR2" s="66" t="s">
        <v>127</v>
      </c>
      <c r="BS2" s="66" t="s">
        <v>17</v>
      </c>
      <c r="BT2" s="67" t="s">
        <v>18</v>
      </c>
      <c r="BU2" s="77" t="s">
        <v>19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132</v>
      </c>
      <c r="B4" s="18">
        <v>1</v>
      </c>
      <c r="C4" s="18">
        <v>0</v>
      </c>
      <c r="D4" s="18">
        <v>0</v>
      </c>
      <c r="E4" s="4" t="s">
        <v>193</v>
      </c>
      <c r="F4" s="8" t="s">
        <v>200</v>
      </c>
      <c r="G4" s="9">
        <v>-3900</v>
      </c>
      <c r="H4" s="9"/>
      <c r="I4" s="48">
        <v>0</v>
      </c>
      <c r="J4" s="21">
        <f>IF(COUNTA($F4,$K4,$P4)&gt;0,J3+SUM(G4:I4),"")</f>
        <v>31100</v>
      </c>
      <c r="K4" s="8" t="s">
        <v>201</v>
      </c>
      <c r="L4" s="9">
        <v>3900</v>
      </c>
      <c r="M4" s="9"/>
      <c r="N4" s="48">
        <v>0</v>
      </c>
      <c r="O4" s="21">
        <f>IF(COUNTA($F4,$K4,$P4)&gt;0,O3+SUM(L4:N4),"")</f>
        <v>38900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-13.9</v>
      </c>
      <c r="V4" s="54">
        <f>IF($O4="","",ROUND(($O4-$O$3)/1000,1)+(_xlfn.RANK.AVG($O4,($J4,$O4,$T4),1)-2)*10)</f>
        <v>13.9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3</v>
      </c>
      <c r="AY4" s="30">
        <v>30</v>
      </c>
      <c r="AZ4" s="40" t="s">
        <v>203</v>
      </c>
      <c r="BA4" s="41" t="s">
        <v>203</v>
      </c>
      <c r="BB4" s="41" t="s">
        <v>85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206</v>
      </c>
      <c r="G5" s="9">
        <v>-5000</v>
      </c>
      <c r="H5" s="9"/>
      <c r="I5" s="48">
        <v>0</v>
      </c>
      <c r="J5" s="21">
        <f t="shared" ref="J5:J30" si="2">IF(COUNTA($F5,$K5,$P5)&gt;0,J4+SUM(G5:I5),"")</f>
        <v>26100</v>
      </c>
      <c r="K5" s="8" t="s">
        <v>207</v>
      </c>
      <c r="L5" s="9">
        <v>8000</v>
      </c>
      <c r="M5" s="9"/>
      <c r="N5" s="48">
        <v>0</v>
      </c>
      <c r="O5" s="21">
        <f t="shared" ref="O5:O30" si="3">IF(COUNTA($F5,$K5,$P5)&gt;0,O4+SUM(L5:N5),"")</f>
        <v>46900</v>
      </c>
      <c r="P5" s="8" t="s">
        <v>206</v>
      </c>
      <c r="Q5" s="9">
        <v>-3000</v>
      </c>
      <c r="R5" s="9"/>
      <c r="S5" s="48">
        <v>0</v>
      </c>
      <c r="T5" s="21">
        <f t="shared" ref="T5:T30" si="4">IF(COUNTA($F5,$K5,$P5)&gt;0,T4+SUM(Q5:S5),"")</f>
        <v>32000</v>
      </c>
      <c r="U5" s="53">
        <f>IF($J5="","",ROUND(($J5-$J$3)/1000,1)+(_xlfn.RANK.AVG($J5,($J5,$O5,$T5),1)-2)*10)</f>
        <v>-18.899999999999999</v>
      </c>
      <c r="V5" s="54">
        <f>IF($O5="","",ROUND(($O5-$O$3)/1000,1)+(_xlfn.RANK.AVG($O5,($J5,$O5,$T5),1)-2)*10)</f>
        <v>21.9</v>
      </c>
      <c r="W5" s="55">
        <f>IF($T5="","",ROUND(($T5-$T$3)/1000,1)+(_xlfn.RANK.AVG($T5,($J5,$O5,$T5),1)-2)*10)</f>
        <v>-3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204</v>
      </c>
      <c r="AZ5" s="40" t="s">
        <v>202</v>
      </c>
      <c r="BA5" s="41" t="s">
        <v>81</v>
      </c>
      <c r="BB5" s="41" t="s">
        <v>82</v>
      </c>
      <c r="BC5" s="41" t="s">
        <v>81</v>
      </c>
      <c r="BD5" s="41" t="s">
        <v>83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206</v>
      </c>
      <c r="G6" s="9">
        <v>-3000</v>
      </c>
      <c r="H6" s="9"/>
      <c r="I6" s="48">
        <v>0</v>
      </c>
      <c r="J6" s="21">
        <f t="shared" si="2"/>
        <v>23100</v>
      </c>
      <c r="K6" s="8" t="s">
        <v>207</v>
      </c>
      <c r="L6" s="9">
        <v>6000</v>
      </c>
      <c r="M6" s="9"/>
      <c r="N6" s="48">
        <v>0</v>
      </c>
      <c r="O6" s="21">
        <f t="shared" si="3"/>
        <v>52900</v>
      </c>
      <c r="P6" s="8" t="s">
        <v>206</v>
      </c>
      <c r="Q6" s="9">
        <v>-3000</v>
      </c>
      <c r="R6" s="9"/>
      <c r="S6" s="48">
        <v>0</v>
      </c>
      <c r="T6" s="21">
        <f t="shared" si="4"/>
        <v>29000</v>
      </c>
      <c r="U6" s="53">
        <f>IF($J6="","",ROUND(($J6-$J$3)/1000,1)+(_xlfn.RANK.AVG($J6,($J6,$O6,$T6),1)-2)*10)</f>
        <v>-21.9</v>
      </c>
      <c r="V6" s="54">
        <f>IF($O6="","",ROUND(($O6-$O$3)/1000,1)+(_xlfn.RANK.AVG($O6,($J6,$O6,$T6),1)-2)*10)</f>
        <v>27.9</v>
      </c>
      <c r="W6" s="55">
        <f>IF($T6="","",ROUND(($T6-$T$3)/1000,1)+(_xlfn.RANK.AVG($T6,($J6,$O6,$T6),1)-2)*10)</f>
        <v>-6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30</v>
      </c>
      <c r="AZ6" s="40" t="s">
        <v>202</v>
      </c>
      <c r="BA6" s="41" t="s">
        <v>81</v>
      </c>
      <c r="BB6" s="41" t="s">
        <v>78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208</v>
      </c>
      <c r="G7" s="9">
        <v>-1500</v>
      </c>
      <c r="H7" s="9"/>
      <c r="I7" s="48"/>
      <c r="J7" s="21">
        <f t="shared" si="2"/>
        <v>21600</v>
      </c>
      <c r="K7" s="8" t="s">
        <v>208</v>
      </c>
      <c r="L7" s="9">
        <v>-1500</v>
      </c>
      <c r="M7" s="9"/>
      <c r="N7" s="48"/>
      <c r="O7" s="21">
        <f t="shared" si="3"/>
        <v>51400</v>
      </c>
      <c r="P7" s="8" t="s">
        <v>208</v>
      </c>
      <c r="Q7" s="9">
        <v>3000</v>
      </c>
      <c r="R7" s="9">
        <v>-1000</v>
      </c>
      <c r="S7" s="48"/>
      <c r="T7" s="21">
        <f t="shared" si="4"/>
        <v>31000</v>
      </c>
      <c r="U7" s="53">
        <f>IF($J7="","",ROUND(($J7-$J$3)/1000,1)+(_xlfn.RANK.AVG($J7,($J7,$O7,$T7),1)-2)*10)</f>
        <v>-23.4</v>
      </c>
      <c r="V7" s="54">
        <f>IF($O7="","",ROUND(($O7-$O$3)/1000,1)+(_xlfn.RANK.AVG($O7,($J7,$O7,$T7),1)-2)*10)</f>
        <v>26.4</v>
      </c>
      <c r="W7" s="55">
        <f>IF($T7="","",ROUND(($T7-$T$3)/1000,1)+(_xlfn.RANK.AVG($T7,($J7,$O7,$T7),1)-2)*10)</f>
        <v>-4</v>
      </c>
      <c r="Y7" s="8" t="s">
        <v>197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197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198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2</v>
      </c>
      <c r="D8" s="18">
        <f t="shared" si="1"/>
        <v>1</v>
      </c>
      <c r="E8" s="4" t="s">
        <v>193</v>
      </c>
      <c r="F8" s="8" t="s">
        <v>200</v>
      </c>
      <c r="G8" s="9">
        <v>-3900</v>
      </c>
      <c r="H8" s="9"/>
      <c r="I8" s="48">
        <v>-2000</v>
      </c>
      <c r="J8" s="21">
        <f t="shared" si="2"/>
        <v>15700</v>
      </c>
      <c r="K8" s="8"/>
      <c r="L8" s="9"/>
      <c r="M8" s="9">
        <v>-1000</v>
      </c>
      <c r="N8" s="48"/>
      <c r="O8" s="21">
        <f t="shared" si="3"/>
        <v>50400</v>
      </c>
      <c r="P8" s="8" t="s">
        <v>201</v>
      </c>
      <c r="Q8" s="9">
        <v>3900</v>
      </c>
      <c r="R8" s="9">
        <v>2000</v>
      </c>
      <c r="S8" s="48">
        <v>2000</v>
      </c>
      <c r="T8" s="21">
        <f t="shared" si="4"/>
        <v>38900</v>
      </c>
      <c r="U8" s="53">
        <f>IF($J8="","",ROUND(($J8-$J$3)/1000,1)+(_xlfn.RANK.AVG($J8,($J8,$O8,$T8),1)-2)*10)</f>
        <v>-29.3</v>
      </c>
      <c r="V8" s="54">
        <f>IF($O8="","",ROUND(($O8-$O$3)/1000,1)+(_xlfn.RANK.AVG($O8,($J8,$O8,$T8),1)-2)*10)</f>
        <v>25.4</v>
      </c>
      <c r="W8" s="55">
        <f>IF($T8="","",ROUND(($T8-$T$3)/1000,1)+(_xlfn.RANK.AVG($T8,($J8,$O8,$T8),1)-2)*10)</f>
        <v>3.9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2</v>
      </c>
      <c r="BT8" s="30">
        <v>40</v>
      </c>
      <c r="BU8" s="40" t="s">
        <v>202</v>
      </c>
      <c r="BV8" s="41" t="s">
        <v>79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3</v>
      </c>
      <c r="D9" s="18">
        <f t="shared" si="1"/>
        <v>0</v>
      </c>
      <c r="E9" s="4" t="s">
        <v>193</v>
      </c>
      <c r="F9" s="8"/>
      <c r="G9" s="9"/>
      <c r="H9" s="9">
        <v>-1000</v>
      </c>
      <c r="I9" s="48"/>
      <c r="J9" s="21">
        <f t="shared" si="2"/>
        <v>14700</v>
      </c>
      <c r="K9" s="8" t="s">
        <v>201</v>
      </c>
      <c r="L9" s="9">
        <v>7700</v>
      </c>
      <c r="M9" s="9">
        <v>1000</v>
      </c>
      <c r="N9" s="48">
        <v>3000</v>
      </c>
      <c r="O9" s="21">
        <f t="shared" si="3"/>
        <v>62100</v>
      </c>
      <c r="P9" s="8" t="s">
        <v>200</v>
      </c>
      <c r="Q9" s="9">
        <v>-7700</v>
      </c>
      <c r="R9" s="9"/>
      <c r="S9" s="48">
        <v>-3000</v>
      </c>
      <c r="T9" s="21">
        <f t="shared" si="4"/>
        <v>28200</v>
      </c>
      <c r="U9" s="53">
        <f>IF($J9="","",ROUND(($J9-$J$3)/1000,1)+(_xlfn.RANK.AVG($J9,($J9,$O9,$T9),1)-2)*10)</f>
        <v>-30.3</v>
      </c>
      <c r="V9" s="54">
        <f>IF($O9="","",ROUND(($O9-$O$3)/1000,1)+(_xlfn.RANK.AVG($O9,($J9,$O9,$T9),1)-2)*10)</f>
        <v>37.1</v>
      </c>
      <c r="W9" s="55">
        <f>IF($T9="","",ROUND(($T9-$T$3)/1000,1)+(_xlfn.RANK.AVG($T9,($J9,$O9,$T9),1)-2)*10)</f>
        <v>-6.8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4</v>
      </c>
      <c r="AY9" s="30">
        <v>30</v>
      </c>
      <c r="AZ9" s="40" t="s">
        <v>85</v>
      </c>
      <c r="BA9" s="41" t="s">
        <v>78</v>
      </c>
      <c r="BB9" s="41" t="s">
        <v>78</v>
      </c>
      <c r="BC9" s="41" t="s">
        <v>203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208</v>
      </c>
      <c r="G10" s="9">
        <v>-1500</v>
      </c>
      <c r="H10" s="9"/>
      <c r="I10" s="48"/>
      <c r="J10" s="21">
        <f t="shared" si="2"/>
        <v>13200</v>
      </c>
      <c r="K10" s="8" t="s">
        <v>208</v>
      </c>
      <c r="L10" s="9">
        <v>-1500</v>
      </c>
      <c r="M10" s="9"/>
      <c r="N10" s="48"/>
      <c r="O10" s="21">
        <f t="shared" si="3"/>
        <v>60600</v>
      </c>
      <c r="P10" s="8" t="s">
        <v>208</v>
      </c>
      <c r="Q10" s="9">
        <v>3000</v>
      </c>
      <c r="R10" s="9"/>
      <c r="S10" s="48"/>
      <c r="T10" s="21">
        <f t="shared" si="4"/>
        <v>31200</v>
      </c>
      <c r="U10" s="53">
        <f>IF($J10="","",ROUND(($J10-$J$3)/1000,1)+(_xlfn.RANK.AVG($J10,($J10,$O10,$T10),1)-2)*10)</f>
        <v>-31.8</v>
      </c>
      <c r="V10" s="54">
        <f>IF($O10="","",ROUND(($O10-$O$3)/1000,1)+(_xlfn.RANK.AVG($O10,($J10,$O10,$T10),1)-2)*10)</f>
        <v>35.6</v>
      </c>
      <c r="W10" s="55">
        <f>IF($T10="","",ROUND(($T10-$T$3)/1000,1)+(_xlfn.RANK.AVG($T10,($J10,$O10,$T10),1)-2)*10)</f>
        <v>-3.8</v>
      </c>
      <c r="Y10" s="8" t="s">
        <v>197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197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198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191</v>
      </c>
      <c r="F11" s="8" t="s">
        <v>206</v>
      </c>
      <c r="G11" s="9">
        <v>-3000</v>
      </c>
      <c r="H11" s="9"/>
      <c r="I11" s="48">
        <v>-500</v>
      </c>
      <c r="J11" s="21">
        <f t="shared" si="2"/>
        <v>9700</v>
      </c>
      <c r="K11" s="8" t="s">
        <v>207</v>
      </c>
      <c r="L11" s="9">
        <v>6000</v>
      </c>
      <c r="M11" s="9"/>
      <c r="N11" s="48">
        <v>1000</v>
      </c>
      <c r="O11" s="21">
        <f t="shared" si="3"/>
        <v>67600</v>
      </c>
      <c r="P11" s="8" t="s">
        <v>206</v>
      </c>
      <c r="Q11" s="9">
        <v>-3000</v>
      </c>
      <c r="R11" s="9"/>
      <c r="S11" s="48">
        <v>-500</v>
      </c>
      <c r="T11" s="21">
        <f t="shared" si="4"/>
        <v>27700</v>
      </c>
      <c r="U11" s="53">
        <f>IF($J11="","",ROUND(($J11-$J$3)/1000,1)+(_xlfn.RANK.AVG($J11,($J11,$O11,$T11),1)-2)*10)</f>
        <v>-35.299999999999997</v>
      </c>
      <c r="V11" s="54">
        <f>IF($O11="","",ROUND(($O11-$O$3)/1000,1)+(_xlfn.RANK.AVG($O11,($J11,$O11,$T11),1)-2)*10)</f>
        <v>42.6</v>
      </c>
      <c r="W11" s="55">
        <f>IF($T11="","",ROUND(($T11-$T$3)/1000,1)+(_xlfn.RANK.AVG($T11,($J11,$O11,$T11),1)-2)*10)</f>
        <v>-7.3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3</v>
      </c>
      <c r="AY11" s="30">
        <v>30</v>
      </c>
      <c r="AZ11" s="40" t="s">
        <v>203</v>
      </c>
      <c r="BA11" s="41" t="s">
        <v>78</v>
      </c>
      <c r="BB11" s="41" t="s">
        <v>85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showInputMessage="1" showErrorMessage="1" sqref="K4:K30 P4:P30 F4:F30" xr:uid="{5BBE0C66-E404-4713-B78D-17B32DB296D9}">
      <formula1>"ロン,ツモ,放銃,ツモ支払,流局,チョンボ"</formula1>
    </dataValidation>
    <dataValidation type="list" allowBlank="1" showInputMessage="1" showErrorMessage="1" sqref="E4:E30" xr:uid="{CEDA61CB-2351-47CE-80C3-D865C9EEC3CE}">
      <formula1>$U$2:$W$2</formula1>
    </dataValidation>
    <dataValidation type="list" allowBlank="1" showInputMessage="1" sqref="F1:T1" xr:uid="{37C63A72-8FD9-410C-B710-2AD705978435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D9A54-B240-4100-BAB4-68B863C2FBFF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20</v>
      </c>
      <c r="E1" s="87" t="s">
        <v>190</v>
      </c>
      <c r="F1" s="78" t="s">
        <v>196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210</v>
      </c>
      <c r="Q1" s="79"/>
      <c r="R1" s="79"/>
      <c r="S1" s="80"/>
      <c r="T1" s="81"/>
      <c r="U1" s="78" t="s">
        <v>5</v>
      </c>
      <c r="V1" s="79"/>
      <c r="W1" s="81"/>
      <c r="Y1" s="78" t="str">
        <f>F1</f>
        <v>のり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まっつん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4</v>
      </c>
      <c r="G2" s="2" t="s">
        <v>7</v>
      </c>
      <c r="H2" s="2" t="s">
        <v>21</v>
      </c>
      <c r="I2" s="46" t="s">
        <v>1</v>
      </c>
      <c r="J2" s="6" t="s">
        <v>3</v>
      </c>
      <c r="K2" s="1" t="s">
        <v>4</v>
      </c>
      <c r="L2" s="2" t="s">
        <v>8</v>
      </c>
      <c r="M2" s="2" t="s">
        <v>21</v>
      </c>
      <c r="N2" s="46" t="s">
        <v>6</v>
      </c>
      <c r="O2" s="6" t="s">
        <v>3</v>
      </c>
      <c r="P2" s="1" t="s">
        <v>4</v>
      </c>
      <c r="Q2" s="2" t="s">
        <v>8</v>
      </c>
      <c r="R2" s="2" t="s">
        <v>21</v>
      </c>
      <c r="S2" s="46" t="s">
        <v>6</v>
      </c>
      <c r="T2" s="6" t="s">
        <v>3</v>
      </c>
      <c r="U2" s="74" t="str">
        <f>$F$1</f>
        <v>のり</v>
      </c>
      <c r="V2" s="75" t="str">
        <f>$K$1</f>
        <v>まっつん</v>
      </c>
      <c r="W2" s="16" t="str">
        <f>$P$1</f>
        <v>れんたろう</v>
      </c>
      <c r="Y2" s="71" t="s">
        <v>22</v>
      </c>
      <c r="Z2" s="76" t="s">
        <v>25</v>
      </c>
      <c r="AA2" s="72" t="s">
        <v>23</v>
      </c>
      <c r="AB2" s="72" t="s">
        <v>126</v>
      </c>
      <c r="AC2" s="72" t="s">
        <v>17</v>
      </c>
      <c r="AD2" s="73" t="s">
        <v>18</v>
      </c>
      <c r="AE2" s="77" t="s">
        <v>19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22</v>
      </c>
      <c r="AU2" s="76" t="s">
        <v>25</v>
      </c>
      <c r="AV2" s="72" t="s">
        <v>23</v>
      </c>
      <c r="AW2" s="72" t="s">
        <v>127</v>
      </c>
      <c r="AX2" s="72" t="s">
        <v>17</v>
      </c>
      <c r="AY2" s="73" t="s">
        <v>18</v>
      </c>
      <c r="AZ2" s="77" t="s">
        <v>19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22</v>
      </c>
      <c r="BP2" s="76" t="s">
        <v>25</v>
      </c>
      <c r="BQ2" s="72" t="s">
        <v>23</v>
      </c>
      <c r="BR2" s="72" t="s">
        <v>127</v>
      </c>
      <c r="BS2" s="72" t="s">
        <v>17</v>
      </c>
      <c r="BT2" s="73" t="s">
        <v>18</v>
      </c>
      <c r="BU2" s="77" t="s">
        <v>19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132</v>
      </c>
      <c r="B4" s="18">
        <v>1</v>
      </c>
      <c r="C4" s="18">
        <v>0</v>
      </c>
      <c r="D4" s="18">
        <v>0</v>
      </c>
      <c r="E4" s="4" t="s">
        <v>209</v>
      </c>
      <c r="F4" s="8" t="s">
        <v>206</v>
      </c>
      <c r="G4" s="9">
        <v>-2000</v>
      </c>
      <c r="H4" s="9">
        <v>-1000</v>
      </c>
      <c r="I4" s="48">
        <v>0</v>
      </c>
      <c r="J4" s="21">
        <f>IF(COUNTA($F4,$K4,$P4)&gt;0,J3+SUM(G4:I4),"")</f>
        <v>32000</v>
      </c>
      <c r="K4" s="8" t="s">
        <v>206</v>
      </c>
      <c r="L4" s="9">
        <v>-2000</v>
      </c>
      <c r="M4" s="9"/>
      <c r="N4" s="48">
        <v>0</v>
      </c>
      <c r="O4" s="21">
        <f>IF(COUNTA($F4,$K4,$P4)&gt;0,O3+SUM(L4:N4),"")</f>
        <v>33000</v>
      </c>
      <c r="P4" s="8" t="s">
        <v>207</v>
      </c>
      <c r="Q4" s="9">
        <v>4000</v>
      </c>
      <c r="R4" s="9">
        <v>1000</v>
      </c>
      <c r="S4" s="48">
        <v>0</v>
      </c>
      <c r="T4" s="21">
        <f>IF(COUNTA($F4,$K4,$P4)&gt;0,T3+SUM(Q4:S4),"")</f>
        <v>40000</v>
      </c>
      <c r="U4" s="53">
        <f>IF($J4="","",ROUND(($J4-$J$3)/1000,1)+(_xlfn.RANK.AVG($J4,($J4,$O4,$T4),1)-2)*10)</f>
        <v>-13</v>
      </c>
      <c r="V4" s="54">
        <f>IF($O4="","",ROUND(($O4-$O$3)/1000,1)+(_xlfn.RANK.AVG($O4,($J4,$O4,$T4),1)-2)*10)</f>
        <v>-2</v>
      </c>
      <c r="W4" s="55">
        <f>IF($T4="","",ROUND(($T4-$T$3)/1000,1)+(_xlfn.RANK.AVG($T4,($J4,$O4,$T4),1)-2)*10)</f>
        <v>15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3</v>
      </c>
      <c r="BT4" s="30">
        <v>20</v>
      </c>
      <c r="BU4" s="40" t="s">
        <v>81</v>
      </c>
      <c r="BV4" s="41" t="s">
        <v>82</v>
      </c>
      <c r="BW4" s="41" t="s">
        <v>203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209</v>
      </c>
      <c r="F5" s="8" t="s">
        <v>200</v>
      </c>
      <c r="G5" s="9">
        <v>-7700</v>
      </c>
      <c r="H5" s="9"/>
      <c r="I5" s="48">
        <v>-1000</v>
      </c>
      <c r="J5" s="21">
        <f t="shared" ref="J5:J30" si="2">IF(COUNTA($F5,$K5,$P5)&gt;0,J4+SUM(G5:I5),"")</f>
        <v>23300</v>
      </c>
      <c r="K5" s="8" t="s">
        <v>201</v>
      </c>
      <c r="L5" s="9">
        <v>7700</v>
      </c>
      <c r="M5" s="9"/>
      <c r="N5" s="48">
        <v>1000</v>
      </c>
      <c r="O5" s="21">
        <f t="shared" ref="O5:O30" si="3">IF(COUNTA($F5,$K5,$P5)&gt;0,O4+SUM(L5:N5),"")</f>
        <v>41700</v>
      </c>
      <c r="P5" s="8"/>
      <c r="Q5" s="9"/>
      <c r="R5" s="9"/>
      <c r="S5" s="48"/>
      <c r="T5" s="21">
        <f t="shared" ref="T5:T30" si="4">IF(COUNTA($F5,$K5,$P5)&gt;0,T4+SUM(Q5:S5),"")</f>
        <v>40000</v>
      </c>
      <c r="U5" s="53">
        <f>IF($J5="","",ROUND(($J5-$J$3)/1000,1)+(_xlfn.RANK.AVG($J5,($J5,$O5,$T5),1)-2)*10)</f>
        <v>-21.7</v>
      </c>
      <c r="V5" s="54">
        <f>IF($O5="","",ROUND(($O5-$O$3)/1000,1)+(_xlfn.RANK.AVG($O5,($J5,$O5,$T5),1)-2)*10)</f>
        <v>16.7</v>
      </c>
      <c r="W5" s="55">
        <f>IF($T5="","",ROUND(($T5-$T$3)/1000,1)+(_xlfn.RANK.AVG($T5,($J5,$O5,$T5),1)-2)*10)</f>
        <v>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4</v>
      </c>
      <c r="AY5" s="30">
        <v>30</v>
      </c>
      <c r="AZ5" s="40" t="s">
        <v>103</v>
      </c>
      <c r="BA5" s="41" t="s">
        <v>85</v>
      </c>
      <c r="BB5" s="41" t="s">
        <v>203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201</v>
      </c>
      <c r="G6" s="9">
        <v>2900</v>
      </c>
      <c r="H6" s="9">
        <v>1000</v>
      </c>
      <c r="I6" s="48">
        <v>0</v>
      </c>
      <c r="J6" s="21">
        <f t="shared" si="2"/>
        <v>27200</v>
      </c>
      <c r="K6" s="8" t="s">
        <v>200</v>
      </c>
      <c r="L6" s="9">
        <v>-2900</v>
      </c>
      <c r="M6" s="9">
        <v>-1000</v>
      </c>
      <c r="N6" s="48">
        <v>0</v>
      </c>
      <c r="O6" s="21">
        <f t="shared" si="3"/>
        <v>37800</v>
      </c>
      <c r="P6" s="8"/>
      <c r="Q6" s="9"/>
      <c r="R6" s="9"/>
      <c r="S6" s="48"/>
      <c r="T6" s="21">
        <f t="shared" si="4"/>
        <v>40000</v>
      </c>
      <c r="U6" s="53">
        <f>IF($J6="","",ROUND(($J6-$J$3)/1000,1)+(_xlfn.RANK.AVG($J6,($J6,$O6,$T6),1)-2)*10)</f>
        <v>-17.8</v>
      </c>
      <c r="V6" s="54">
        <f>IF($O6="","",ROUND(($O6-$O$3)/1000,1)+(_xlfn.RANK.AVG($O6,($J6,$O6,$T6),1)-2)*10)</f>
        <v>2.8</v>
      </c>
      <c r="W6" s="55">
        <f>IF($T6="","",ROUND(($T6-$T$3)/1000,1)+(_xlfn.RANK.AVG($T6,($J6,$O6,$T6),1)-2)*10)</f>
        <v>15</v>
      </c>
      <c r="Y6" s="8"/>
      <c r="Z6" s="34"/>
      <c r="AA6" s="26"/>
      <c r="AB6" s="26">
        <v>1</v>
      </c>
      <c r="AC6" s="26">
        <v>2</v>
      </c>
      <c r="AD6" s="30">
        <v>30</v>
      </c>
      <c r="AE6" s="40" t="s">
        <v>78</v>
      </c>
      <c r="AF6" s="41" t="s">
        <v>85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201</v>
      </c>
      <c r="G7" s="9">
        <v>18000</v>
      </c>
      <c r="H7" s="9">
        <v>2000</v>
      </c>
      <c r="I7" s="48">
        <v>1000</v>
      </c>
      <c r="J7" s="21">
        <f t="shared" si="2"/>
        <v>48200</v>
      </c>
      <c r="K7" s="8"/>
      <c r="L7" s="9"/>
      <c r="M7" s="9">
        <v>-1000</v>
      </c>
      <c r="N7" s="48"/>
      <c r="O7" s="21">
        <f t="shared" si="3"/>
        <v>36800</v>
      </c>
      <c r="P7" s="8" t="s">
        <v>200</v>
      </c>
      <c r="Q7" s="9">
        <v>-18000</v>
      </c>
      <c r="R7" s="9">
        <v>-1000</v>
      </c>
      <c r="S7" s="48">
        <v>-1000</v>
      </c>
      <c r="T7" s="21">
        <f t="shared" si="4"/>
        <v>20000</v>
      </c>
      <c r="U7" s="53">
        <f>IF($J7="","",ROUND(($J7-$J$3)/1000,1)+(_xlfn.RANK.AVG($J7,($J7,$O7,$T7),1)-2)*10)</f>
        <v>23.2</v>
      </c>
      <c r="V7" s="54">
        <f>IF($O7="","",ROUND(($O7-$O$3)/1000,1)+(_xlfn.RANK.AVG($O7,($J7,$O7,$T7),1)-2)*10)</f>
        <v>1.8</v>
      </c>
      <c r="W7" s="55">
        <f>IF($T7="","",ROUND(($T7-$T$3)/1000,1)+(_xlfn.RANK.AVG($T7,($J7,$O7,$T7),1)-2)*10)</f>
        <v>-25</v>
      </c>
      <c r="Y7" s="8"/>
      <c r="Z7" s="34"/>
      <c r="AA7" s="26">
        <v>1</v>
      </c>
      <c r="AB7" s="26"/>
      <c r="AC7" s="26">
        <v>7</v>
      </c>
      <c r="AD7" s="30" t="s">
        <v>204</v>
      </c>
      <c r="AE7" s="40" t="s">
        <v>202</v>
      </c>
      <c r="AF7" s="41" t="s">
        <v>203</v>
      </c>
      <c r="AG7" s="41" t="s">
        <v>79</v>
      </c>
      <c r="AH7" s="41" t="s">
        <v>78</v>
      </c>
      <c r="AI7" s="41" t="s">
        <v>78</v>
      </c>
      <c r="AJ7" s="41" t="s">
        <v>79</v>
      </c>
      <c r="AK7" s="41" t="s">
        <v>203</v>
      </c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195</v>
      </c>
      <c r="F8" s="8" t="s">
        <v>201</v>
      </c>
      <c r="G8" s="9">
        <v>2900</v>
      </c>
      <c r="H8" s="9"/>
      <c r="I8" s="48">
        <v>2000</v>
      </c>
      <c r="J8" s="21">
        <f t="shared" si="2"/>
        <v>53100</v>
      </c>
      <c r="K8" s="8"/>
      <c r="L8" s="9"/>
      <c r="M8" s="9"/>
      <c r="N8" s="48"/>
      <c r="O8" s="21">
        <f t="shared" si="3"/>
        <v>36800</v>
      </c>
      <c r="P8" s="8" t="s">
        <v>200</v>
      </c>
      <c r="Q8" s="9">
        <v>-2900</v>
      </c>
      <c r="R8" s="9"/>
      <c r="S8" s="48">
        <v>-2000</v>
      </c>
      <c r="T8" s="21">
        <f t="shared" si="4"/>
        <v>15100</v>
      </c>
      <c r="U8" s="53">
        <f>IF($J8="","",ROUND(($J8-$J$3)/1000,1)+(_xlfn.RANK.AVG($J8,($J8,$O8,$T8),1)-2)*10)</f>
        <v>28.1</v>
      </c>
      <c r="V8" s="54">
        <f>IF($O8="","",ROUND(($O8-$O$3)/1000,1)+(_xlfn.RANK.AVG($O8,($J8,$O8,$T8),1)-2)*10)</f>
        <v>1.8</v>
      </c>
      <c r="W8" s="55">
        <f>IF($T8="","",ROUND(($T8-$T$3)/1000,1)+(_xlfn.RANK.AVG($T8,($J8,$O8,$T8),1)-2)*10)</f>
        <v>-29.9</v>
      </c>
      <c r="Y8" s="8"/>
      <c r="Z8" s="34"/>
      <c r="AA8" s="26"/>
      <c r="AB8" s="26">
        <v>1</v>
      </c>
      <c r="AC8" s="26">
        <v>2</v>
      </c>
      <c r="AD8" s="30">
        <v>30</v>
      </c>
      <c r="AE8" s="40" t="s">
        <v>78</v>
      </c>
      <c r="AF8" s="41" t="s">
        <v>85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3</v>
      </c>
      <c r="D9" s="18">
        <f t="shared" si="1"/>
        <v>0</v>
      </c>
      <c r="E9" s="4" t="s">
        <v>195</v>
      </c>
      <c r="F9" s="8" t="s">
        <v>207</v>
      </c>
      <c r="G9" s="9">
        <v>24000</v>
      </c>
      <c r="H9" s="9"/>
      <c r="I9" s="48">
        <v>3000</v>
      </c>
      <c r="J9" s="21">
        <f t="shared" si="2"/>
        <v>80100</v>
      </c>
      <c r="K9" s="8" t="s">
        <v>206</v>
      </c>
      <c r="L9" s="9">
        <v>-12000</v>
      </c>
      <c r="M9" s="9"/>
      <c r="N9" s="48">
        <v>-1500</v>
      </c>
      <c r="O9" s="21">
        <f t="shared" si="3"/>
        <v>23300</v>
      </c>
      <c r="P9" s="8" t="s">
        <v>206</v>
      </c>
      <c r="Q9" s="9">
        <v>-12000</v>
      </c>
      <c r="R9" s="9"/>
      <c r="S9" s="48">
        <v>-1500</v>
      </c>
      <c r="T9" s="21">
        <f t="shared" si="4"/>
        <v>1600</v>
      </c>
      <c r="U9" s="53">
        <f>IF($J9="","",ROUND(($J9-$J$3)/1000,1)+(_xlfn.RANK.AVG($J9,($J9,$O9,$T9),1)-2)*10)</f>
        <v>55.1</v>
      </c>
      <c r="V9" s="54">
        <f>IF($O9="","",ROUND(($O9-$O$3)/1000,1)+(_xlfn.RANK.AVG($O9,($J9,$O9,$T9),1)-2)*10)</f>
        <v>-11.7</v>
      </c>
      <c r="W9" s="55">
        <f>IF($T9="","",ROUND(($T9-$T$3)/1000,1)+(_xlfn.RANK.AVG($T9,($J9,$O9,$T9),1)-2)*10)</f>
        <v>-43.4</v>
      </c>
      <c r="Y9" s="8"/>
      <c r="Z9" s="34"/>
      <c r="AA9" s="26"/>
      <c r="AB9" s="26">
        <v>1</v>
      </c>
      <c r="AC9" s="26">
        <v>8</v>
      </c>
      <c r="AD9" s="30" t="s">
        <v>204</v>
      </c>
      <c r="AE9" s="40" t="s">
        <v>78</v>
      </c>
      <c r="AF9" s="41" t="s">
        <v>78</v>
      </c>
      <c r="AG9" s="41" t="s">
        <v>78</v>
      </c>
      <c r="AH9" s="41" t="s">
        <v>85</v>
      </c>
      <c r="AI9" s="41" t="s">
        <v>95</v>
      </c>
      <c r="AJ9" s="41" t="s">
        <v>97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2</v>
      </c>
      <c r="C10" s="18">
        <f t="shared" si="6"/>
        <v>4</v>
      </c>
      <c r="D10" s="18">
        <f t="shared" si="1"/>
        <v>0</v>
      </c>
      <c r="E10" s="4" t="s">
        <v>195</v>
      </c>
      <c r="F10" s="8" t="s">
        <v>200</v>
      </c>
      <c r="G10" s="9">
        <v>-8000</v>
      </c>
      <c r="H10" s="9"/>
      <c r="I10" s="48">
        <v>-4000</v>
      </c>
      <c r="J10" s="21">
        <f t="shared" si="2"/>
        <v>68100</v>
      </c>
      <c r="K10" s="8" t="s">
        <v>201</v>
      </c>
      <c r="L10" s="9">
        <v>8000</v>
      </c>
      <c r="M10" s="9">
        <v>1000</v>
      </c>
      <c r="N10" s="48">
        <v>4000</v>
      </c>
      <c r="O10" s="21">
        <f t="shared" si="3"/>
        <v>36300</v>
      </c>
      <c r="P10" s="8"/>
      <c r="Q10" s="9"/>
      <c r="R10" s="9">
        <v>-1000</v>
      </c>
      <c r="S10" s="48"/>
      <c r="T10" s="21">
        <f t="shared" si="4"/>
        <v>600</v>
      </c>
      <c r="U10" s="53">
        <f>IF($J10="","",ROUND(($J10-$J$3)/1000,1)+(_xlfn.RANK.AVG($J10,($J10,$O10,$T10),1)-2)*10)</f>
        <v>43.1</v>
      </c>
      <c r="V10" s="54">
        <f>IF($O10="","",ROUND(($O10-$O$3)/1000,1)+(_xlfn.RANK.AVG($O10,($J10,$O10,$T10),1)-2)*10)</f>
        <v>1.3</v>
      </c>
      <c r="W10" s="55">
        <f>IF($T10="","",ROUND(($T10-$T$3)/1000,1)+(_xlfn.RANK.AVG($T10,($J10,$O10,$T10),1)-2)*10)</f>
        <v>-44.4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5</v>
      </c>
      <c r="AY10" s="30" t="s">
        <v>204</v>
      </c>
      <c r="AZ10" s="40" t="s">
        <v>97</v>
      </c>
      <c r="BA10" s="41" t="s">
        <v>85</v>
      </c>
      <c r="BB10" s="41" t="s">
        <v>78</v>
      </c>
      <c r="BC10" s="41" t="s">
        <v>78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207</v>
      </c>
      <c r="G11" s="9">
        <v>16000</v>
      </c>
      <c r="H11" s="9">
        <v>1000</v>
      </c>
      <c r="I11" s="48">
        <v>0</v>
      </c>
      <c r="J11" s="21">
        <f t="shared" si="2"/>
        <v>85100</v>
      </c>
      <c r="K11" s="8" t="s">
        <v>206</v>
      </c>
      <c r="L11" s="9">
        <v>-10000</v>
      </c>
      <c r="M11" s="9">
        <v>-1000</v>
      </c>
      <c r="N11" s="48">
        <v>0</v>
      </c>
      <c r="O11" s="21">
        <f t="shared" si="3"/>
        <v>25300</v>
      </c>
      <c r="P11" s="8" t="s">
        <v>206</v>
      </c>
      <c r="Q11" s="9">
        <v>-6000</v>
      </c>
      <c r="R11" s="9"/>
      <c r="S11" s="48">
        <v>0</v>
      </c>
      <c r="T11" s="21">
        <f t="shared" si="4"/>
        <v>-5400</v>
      </c>
      <c r="U11" s="53">
        <f>IF($J11="","",ROUND(($J11-$J$3)/1000,1)+(_xlfn.RANK.AVG($J11,($J11,$O11,$T11),1)-2)*10)</f>
        <v>60.1</v>
      </c>
      <c r="V11" s="54">
        <f>IF($O11="","",ROUND(($O11-$O$3)/1000,1)+(_xlfn.RANK.AVG($O11,($J11,$O11,$T11),1)-2)*10)</f>
        <v>-9.6999999999999993</v>
      </c>
      <c r="W11" s="55">
        <f>IF($T11="","",ROUND(($T11-$T$3)/1000,1)+(_xlfn.RANK.AVG($T11,($J11,$O11,$T11),1)-2)*10)</f>
        <v>-50.4</v>
      </c>
      <c r="Y11" s="8"/>
      <c r="Z11" s="34"/>
      <c r="AA11" s="26">
        <v>1</v>
      </c>
      <c r="AB11" s="26"/>
      <c r="AC11" s="26">
        <v>8</v>
      </c>
      <c r="AD11" s="30" t="s">
        <v>204</v>
      </c>
      <c r="AE11" s="40" t="s">
        <v>202</v>
      </c>
      <c r="AF11" s="41" t="s">
        <v>81</v>
      </c>
      <c r="AG11" s="41" t="s">
        <v>78</v>
      </c>
      <c r="AH11" s="41" t="s">
        <v>78</v>
      </c>
      <c r="AI11" s="41" t="s">
        <v>78</v>
      </c>
      <c r="AJ11" s="41" t="s">
        <v>78</v>
      </c>
      <c r="AK11" s="41" t="s">
        <v>100</v>
      </c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3FEF57D9-97DB-48FF-849A-DFB53F3B74F7}">
      <formula1>"たかの,だいち,ただ,りくと,れんたろう,まっつん,のり,ぱぱ,ほたに,"</formula1>
    </dataValidation>
    <dataValidation type="list" allowBlank="1" showInputMessage="1" showErrorMessage="1" sqref="E4:E30" xr:uid="{38DF3732-9198-4618-9F78-C1AA49B5AD95}">
      <formula1>$U$2:$W$2</formula1>
    </dataValidation>
    <dataValidation type="list" showInputMessage="1" showErrorMessage="1" sqref="K4:K30 P4:P30 F4:F30" xr:uid="{8A6FC08C-8961-460F-9958-38DD40390D2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07820-2D86-47FB-AAD0-2953ABE8BBDB}">
  <sheetPr codeName="Sheet13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20</v>
      </c>
      <c r="E1" s="87" t="s">
        <v>190</v>
      </c>
      <c r="F1" s="78" t="s">
        <v>196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210</v>
      </c>
      <c r="Q1" s="79"/>
      <c r="R1" s="79"/>
      <c r="S1" s="80"/>
      <c r="T1" s="81"/>
      <c r="U1" s="78" t="s">
        <v>5</v>
      </c>
      <c r="V1" s="79"/>
      <c r="W1" s="81"/>
      <c r="Y1" s="78" t="str">
        <f>F1</f>
        <v>のり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まっつん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4</v>
      </c>
      <c r="G2" s="2" t="s">
        <v>7</v>
      </c>
      <c r="H2" s="2" t="s">
        <v>21</v>
      </c>
      <c r="I2" s="46" t="s">
        <v>1</v>
      </c>
      <c r="J2" s="6" t="s">
        <v>3</v>
      </c>
      <c r="K2" s="1" t="s">
        <v>4</v>
      </c>
      <c r="L2" s="2" t="s">
        <v>8</v>
      </c>
      <c r="M2" s="2" t="s">
        <v>21</v>
      </c>
      <c r="N2" s="46" t="s">
        <v>6</v>
      </c>
      <c r="O2" s="6" t="s">
        <v>3</v>
      </c>
      <c r="P2" s="1" t="s">
        <v>4</v>
      </c>
      <c r="Q2" s="2" t="s">
        <v>8</v>
      </c>
      <c r="R2" s="2" t="s">
        <v>21</v>
      </c>
      <c r="S2" s="46" t="s">
        <v>6</v>
      </c>
      <c r="T2" s="6" t="s">
        <v>3</v>
      </c>
      <c r="U2" s="74" t="str">
        <f>$F$1</f>
        <v>のり</v>
      </c>
      <c r="V2" s="75" t="str">
        <f>$K$1</f>
        <v>まっつん</v>
      </c>
      <c r="W2" s="16" t="str">
        <f>$P$1</f>
        <v>れんたろう</v>
      </c>
      <c r="Y2" s="71" t="s">
        <v>22</v>
      </c>
      <c r="Z2" s="76" t="s">
        <v>25</v>
      </c>
      <c r="AA2" s="72" t="s">
        <v>23</v>
      </c>
      <c r="AB2" s="72" t="s">
        <v>126</v>
      </c>
      <c r="AC2" s="72" t="s">
        <v>17</v>
      </c>
      <c r="AD2" s="73" t="s">
        <v>18</v>
      </c>
      <c r="AE2" s="77" t="s">
        <v>19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22</v>
      </c>
      <c r="AU2" s="76" t="s">
        <v>25</v>
      </c>
      <c r="AV2" s="72" t="s">
        <v>23</v>
      </c>
      <c r="AW2" s="72" t="s">
        <v>127</v>
      </c>
      <c r="AX2" s="72" t="s">
        <v>17</v>
      </c>
      <c r="AY2" s="73" t="s">
        <v>18</v>
      </c>
      <c r="AZ2" s="77" t="s">
        <v>19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22</v>
      </c>
      <c r="BP2" s="76" t="s">
        <v>25</v>
      </c>
      <c r="BQ2" s="72" t="s">
        <v>23</v>
      </c>
      <c r="BR2" s="72" t="s">
        <v>127</v>
      </c>
      <c r="BS2" s="72" t="s">
        <v>17</v>
      </c>
      <c r="BT2" s="73" t="s">
        <v>18</v>
      </c>
      <c r="BU2" s="77" t="s">
        <v>19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132</v>
      </c>
      <c r="B4" s="18">
        <v>1</v>
      </c>
      <c r="C4" s="18">
        <v>0</v>
      </c>
      <c r="D4" s="18">
        <v>0</v>
      </c>
      <c r="E4" s="4" t="s">
        <v>195</v>
      </c>
      <c r="F4" s="8" t="s">
        <v>207</v>
      </c>
      <c r="G4" s="9">
        <v>3000</v>
      </c>
      <c r="H4" s="9">
        <v>1000</v>
      </c>
      <c r="I4" s="48">
        <v>0</v>
      </c>
      <c r="J4" s="21">
        <f>IF(COUNTA($F4,$K4,$P4)&gt;0,J3+SUM(G4:I4),"")</f>
        <v>39000</v>
      </c>
      <c r="K4" s="8" t="s">
        <v>206</v>
      </c>
      <c r="L4" s="9">
        <v>-1500</v>
      </c>
      <c r="M4" s="9">
        <v>-1000</v>
      </c>
      <c r="N4" s="48">
        <v>0</v>
      </c>
      <c r="O4" s="21">
        <f>IF(COUNTA($F4,$K4,$P4)&gt;0,O3+SUM(L4:N4),"")</f>
        <v>32500</v>
      </c>
      <c r="P4" s="8" t="s">
        <v>206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IF($J4="","",ROUND(($J4-$J$3)/1000,1)+(_xlfn.RANK.AVG($J4,($J4,$O4,$T4),1)-2)*10)</f>
        <v>14</v>
      </c>
      <c r="V4" s="54">
        <f>IF($O4="","",ROUND(($O4-$O$3)/1000,1)+(_xlfn.RANK.AVG($O4,($J4,$O4,$T4),1)-2)*10)</f>
        <v>-12.5</v>
      </c>
      <c r="W4" s="55">
        <f>IF($T4="","",ROUND(($T4-$T$3)/1000,1)+(_xlfn.RANK.AVG($T4,($J4,$O4,$T4),1)-2)*10)</f>
        <v>-1.5</v>
      </c>
      <c r="Y4" s="8"/>
      <c r="Z4" s="34"/>
      <c r="AA4" s="26"/>
      <c r="AB4" s="26">
        <v>1</v>
      </c>
      <c r="AC4" s="26">
        <v>2</v>
      </c>
      <c r="AD4" s="30">
        <v>30</v>
      </c>
      <c r="AE4" s="40" t="s">
        <v>85</v>
      </c>
      <c r="AF4" s="41" t="s">
        <v>203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199</v>
      </c>
      <c r="G5" s="9">
        <v>-1500</v>
      </c>
      <c r="H5" s="9"/>
      <c r="I5" s="48"/>
      <c r="J5" s="21">
        <f t="shared" ref="J5:J30" si="2">IF(COUNTA($F5,$K5,$P5)&gt;0,J4+SUM(G5:I5),"")</f>
        <v>37500</v>
      </c>
      <c r="K5" s="8" t="s">
        <v>199</v>
      </c>
      <c r="L5" s="9">
        <v>-1500</v>
      </c>
      <c r="M5" s="9"/>
      <c r="N5" s="48"/>
      <c r="O5" s="21">
        <f t="shared" ref="O5:O30" si="3">IF(COUNTA($F5,$K5,$P5)&gt;0,O4+SUM(L5:N5),"")</f>
        <v>31000</v>
      </c>
      <c r="P5" s="8" t="s">
        <v>199</v>
      </c>
      <c r="Q5" s="9">
        <v>3000</v>
      </c>
      <c r="R5" s="9"/>
      <c r="S5" s="48"/>
      <c r="T5" s="21">
        <f t="shared" ref="T5:T30" si="4">IF(COUNTA($F5,$K5,$P5)&gt;0,T4+SUM(Q5:S5),"")</f>
        <v>36500</v>
      </c>
      <c r="U5" s="53">
        <f>IF($J5="","",ROUND(($J5-$J$3)/1000,1)+(_xlfn.RANK.AVG($J5,($J5,$O5,$T5),1)-2)*10)</f>
        <v>12.5</v>
      </c>
      <c r="V5" s="54">
        <f>IF($O5="","",ROUND(($O5-$O$3)/1000,1)+(_xlfn.RANK.AVG($O5,($J5,$O5,$T5),1)-2)*10)</f>
        <v>-14</v>
      </c>
      <c r="W5" s="55">
        <f>IF($T5="","",ROUND(($T5-$T$3)/1000,1)+(_xlfn.RANK.AVG($T5,($J5,$O5,$T5),1)-2)*10)</f>
        <v>1.5</v>
      </c>
      <c r="Y5" s="8" t="s">
        <v>197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197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198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200</v>
      </c>
      <c r="G6" s="9">
        <v>-18000</v>
      </c>
      <c r="H6" s="9"/>
      <c r="I6" s="48">
        <v>-2000</v>
      </c>
      <c r="J6" s="21">
        <f t="shared" si="2"/>
        <v>17500</v>
      </c>
      <c r="K6" s="8" t="s">
        <v>201</v>
      </c>
      <c r="L6" s="9">
        <v>18000</v>
      </c>
      <c r="M6" s="9"/>
      <c r="N6" s="48">
        <v>2000</v>
      </c>
      <c r="O6" s="21">
        <f t="shared" si="3"/>
        <v>51000</v>
      </c>
      <c r="P6" s="8"/>
      <c r="Q6" s="9"/>
      <c r="R6" s="9"/>
      <c r="S6" s="48"/>
      <c r="T6" s="21">
        <f t="shared" si="4"/>
        <v>36500</v>
      </c>
      <c r="U6" s="53">
        <f>IF($J6="","",ROUND(($J6-$J$3)/1000,1)+(_xlfn.RANK.AVG($J6,($J6,$O6,$T6),1)-2)*10)</f>
        <v>-27.5</v>
      </c>
      <c r="V6" s="54">
        <f>IF($O6="","",ROUND(($O6-$O$3)/1000,1)+(_xlfn.RANK.AVG($O6,($J6,$O6,$T6),1)-2)*10)</f>
        <v>26</v>
      </c>
      <c r="W6" s="55">
        <f>IF($T6="","",ROUND(($T6-$T$3)/1000,1)+(_xlfn.RANK.AVG($T6,($J6,$O6,$T6),1)-2)*10)</f>
        <v>1.5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7</v>
      </c>
      <c r="AY6" s="30" t="s">
        <v>204</v>
      </c>
      <c r="AZ6" s="40" t="s">
        <v>78</v>
      </c>
      <c r="BA6" s="41" t="s">
        <v>78</v>
      </c>
      <c r="BB6" s="41" t="s">
        <v>78</v>
      </c>
      <c r="BC6" s="41" t="s">
        <v>85</v>
      </c>
      <c r="BD6" s="41" t="s">
        <v>85</v>
      </c>
      <c r="BE6" s="41" t="s">
        <v>85</v>
      </c>
      <c r="BF6" s="41" t="s">
        <v>92</v>
      </c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0</v>
      </c>
      <c r="E7" s="4" t="s">
        <v>191</v>
      </c>
      <c r="F7" s="8"/>
      <c r="G7" s="9"/>
      <c r="H7" s="9">
        <v>-1000</v>
      </c>
      <c r="I7" s="48"/>
      <c r="J7" s="21">
        <f t="shared" si="2"/>
        <v>16500</v>
      </c>
      <c r="K7" s="8" t="s">
        <v>200</v>
      </c>
      <c r="L7" s="9">
        <v>-7700</v>
      </c>
      <c r="M7" s="9">
        <v>-1000</v>
      </c>
      <c r="N7" s="48">
        <v>-3000</v>
      </c>
      <c r="O7" s="21">
        <f t="shared" si="3"/>
        <v>39300</v>
      </c>
      <c r="P7" s="8" t="s">
        <v>201</v>
      </c>
      <c r="Q7" s="9">
        <v>7700</v>
      </c>
      <c r="R7" s="9">
        <v>2000</v>
      </c>
      <c r="S7" s="48">
        <v>3000</v>
      </c>
      <c r="T7" s="21">
        <f t="shared" si="4"/>
        <v>49200</v>
      </c>
      <c r="U7" s="53">
        <f>IF($J7="","",ROUND(($J7-$J$3)/1000,1)+(_xlfn.RANK.AVG($J7,($J7,$O7,$T7),1)-2)*10)</f>
        <v>-28.5</v>
      </c>
      <c r="V7" s="54">
        <f>IF($O7="","",ROUND(($O7-$O$3)/1000,1)+(_xlfn.RANK.AVG($O7,($J7,$O7,$T7),1)-2)*10)</f>
        <v>4.3</v>
      </c>
      <c r="W7" s="55">
        <f>IF($T7="","",ROUND(($T7-$T$3)/1000,1)+(_xlfn.RANK.AVG($T7,($J7,$O7,$T7),1)-2)*10)</f>
        <v>24.2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4</v>
      </c>
      <c r="BT7" s="30">
        <v>30</v>
      </c>
      <c r="BU7" s="40" t="s">
        <v>85</v>
      </c>
      <c r="BV7" s="41" t="s">
        <v>85</v>
      </c>
      <c r="BW7" s="41" t="s">
        <v>103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209</v>
      </c>
      <c r="F8" s="8" t="s">
        <v>207</v>
      </c>
      <c r="G8" s="9">
        <v>6400</v>
      </c>
      <c r="H8" s="9">
        <v>1000</v>
      </c>
      <c r="I8" s="48">
        <v>0</v>
      </c>
      <c r="J8" s="21">
        <f t="shared" si="2"/>
        <v>23900</v>
      </c>
      <c r="K8" s="8" t="s">
        <v>206</v>
      </c>
      <c r="L8" s="9">
        <v>-2400</v>
      </c>
      <c r="M8" s="9">
        <v>-1000</v>
      </c>
      <c r="N8" s="48">
        <v>0</v>
      </c>
      <c r="O8" s="21">
        <f t="shared" si="3"/>
        <v>35900</v>
      </c>
      <c r="P8" s="8" t="s">
        <v>206</v>
      </c>
      <c r="Q8" s="9">
        <v>-4000</v>
      </c>
      <c r="R8" s="9"/>
      <c r="S8" s="48">
        <v>0</v>
      </c>
      <c r="T8" s="21">
        <f t="shared" si="4"/>
        <v>45200</v>
      </c>
      <c r="U8" s="53">
        <f>IF($J8="","",ROUND(($J8-$J$3)/1000,1)+(_xlfn.RANK.AVG($J8,($J8,$O8,$T8),1)-2)*10)</f>
        <v>-21.1</v>
      </c>
      <c r="V8" s="54">
        <f>IF($O8="","",ROUND(($O8-$O$3)/1000,1)+(_xlfn.RANK.AVG($O8,($J8,$O8,$T8),1)-2)*10)</f>
        <v>0.9</v>
      </c>
      <c r="W8" s="55">
        <f>IF($T8="","",ROUND(($T8-$T$3)/1000,1)+(_xlfn.RANK.AVG($T8,($J8,$O8,$T8),1)-2)*10)</f>
        <v>20.2</v>
      </c>
      <c r="Y8" s="8"/>
      <c r="Z8" s="34"/>
      <c r="AA8" s="26">
        <v>1</v>
      </c>
      <c r="AB8" s="26"/>
      <c r="AC8" s="26">
        <v>4</v>
      </c>
      <c r="AD8" s="30">
        <v>25</v>
      </c>
      <c r="AE8" s="40" t="s">
        <v>202</v>
      </c>
      <c r="AF8" s="41" t="s">
        <v>81</v>
      </c>
      <c r="AG8" s="41" t="s">
        <v>100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200</v>
      </c>
      <c r="G9" s="9">
        <v>-32000</v>
      </c>
      <c r="H9" s="9"/>
      <c r="I9" s="48">
        <v>0</v>
      </c>
      <c r="J9" s="21">
        <f t="shared" si="2"/>
        <v>-8100</v>
      </c>
      <c r="K9" s="8"/>
      <c r="L9" s="9"/>
      <c r="M9" s="9">
        <v>-1000</v>
      </c>
      <c r="N9" s="48"/>
      <c r="O9" s="21">
        <f t="shared" si="3"/>
        <v>34900</v>
      </c>
      <c r="P9" s="8" t="s">
        <v>201</v>
      </c>
      <c r="Q9" s="9">
        <v>32000</v>
      </c>
      <c r="R9" s="9">
        <v>1000</v>
      </c>
      <c r="S9" s="48">
        <v>0</v>
      </c>
      <c r="T9" s="21">
        <f t="shared" si="4"/>
        <v>78200</v>
      </c>
      <c r="U9" s="53">
        <f>IF($J9="","",ROUND(($J9-$J$3)/1000,1)+(_xlfn.RANK.AVG($J9,($J9,$O9,$T9),1)-2)*10)</f>
        <v>-53.1</v>
      </c>
      <c r="V9" s="54">
        <f>IF($O9="","",ROUND(($O9-$O$3)/1000,1)+(_xlfn.RANK.AVG($O9,($J9,$O9,$T9),1)-2)*10)</f>
        <v>-0.1</v>
      </c>
      <c r="W9" s="55">
        <f>IF($T9="","",ROUND(($T9-$T$3)/1000,1)+(_xlfn.RANK.AVG($T9,($J9,$O9,$T9),1)-2)*10)</f>
        <v>53.2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13</v>
      </c>
      <c r="BT9" s="30" t="s">
        <v>204</v>
      </c>
      <c r="BU9" s="40" t="s">
        <v>106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191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598AB06F-51F5-436B-A841-ACC29B67ACA3}">
      <formula1>"ロン,ツモ,放銃,ツモ支払,流局,チョンボ"</formula1>
    </dataValidation>
    <dataValidation type="list" allowBlank="1" showInputMessage="1" showErrorMessage="1" sqref="E4:E30" xr:uid="{34B7CD0D-5EC7-4D10-B5DF-5446F006102A}">
      <formula1>$U$2:$W$2</formula1>
    </dataValidation>
    <dataValidation type="list" allowBlank="1" showInputMessage="1" sqref="F1:T1" xr:uid="{97199B34-332D-4F14-B8FA-ACC612E96147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26</v>
      </c>
      <c r="B1" s="36" t="s">
        <v>137</v>
      </c>
      <c r="C1" s="15" t="s">
        <v>27</v>
      </c>
      <c r="D1" s="15" t="s">
        <v>28</v>
      </c>
      <c r="E1" s="15" t="s">
        <v>29</v>
      </c>
    </row>
    <row r="2" spans="1:5" x14ac:dyDescent="0.4">
      <c r="A2" s="36" t="s">
        <v>76</v>
      </c>
      <c r="B2" s="36" t="s">
        <v>138</v>
      </c>
      <c r="C2" s="15" t="s">
        <v>131</v>
      </c>
      <c r="D2" s="15">
        <v>1</v>
      </c>
    </row>
    <row r="3" spans="1:5" x14ac:dyDescent="0.4">
      <c r="A3" s="36" t="s">
        <v>77</v>
      </c>
      <c r="B3" s="36" t="s">
        <v>147</v>
      </c>
      <c r="C3" s="15" t="s">
        <v>30</v>
      </c>
      <c r="D3" s="15">
        <v>1</v>
      </c>
    </row>
    <row r="4" spans="1:5" x14ac:dyDescent="0.4">
      <c r="A4" s="36" t="s">
        <v>78</v>
      </c>
      <c r="B4" s="36" t="s">
        <v>140</v>
      </c>
      <c r="C4" s="15" t="s">
        <v>31</v>
      </c>
      <c r="D4" s="15">
        <v>1</v>
      </c>
      <c r="E4" s="15">
        <v>1</v>
      </c>
    </row>
    <row r="5" spans="1:5" x14ac:dyDescent="0.4">
      <c r="A5" s="36" t="s">
        <v>79</v>
      </c>
      <c r="B5" s="36" t="s">
        <v>141</v>
      </c>
      <c r="C5" s="15" t="s">
        <v>32</v>
      </c>
      <c r="D5" s="15">
        <v>1</v>
      </c>
    </row>
    <row r="6" spans="1:5" x14ac:dyDescent="0.4">
      <c r="A6" s="36" t="s">
        <v>80</v>
      </c>
      <c r="C6" s="15" t="s">
        <v>33</v>
      </c>
      <c r="D6" s="15">
        <v>1</v>
      </c>
      <c r="E6" s="15">
        <v>1</v>
      </c>
    </row>
    <row r="7" spans="1:5" x14ac:dyDescent="0.4">
      <c r="A7" s="36" t="s">
        <v>81</v>
      </c>
      <c r="B7" s="36" t="s">
        <v>139</v>
      </c>
      <c r="C7" s="15" t="s">
        <v>34</v>
      </c>
      <c r="D7" s="15">
        <v>1</v>
      </c>
    </row>
    <row r="8" spans="1:5" x14ac:dyDescent="0.4">
      <c r="A8" s="36" t="s">
        <v>82</v>
      </c>
      <c r="B8" s="36" t="s">
        <v>143</v>
      </c>
      <c r="C8" s="15" t="s">
        <v>35</v>
      </c>
      <c r="D8" s="15">
        <v>1</v>
      </c>
    </row>
    <row r="9" spans="1:5" x14ac:dyDescent="0.4">
      <c r="A9" s="36" t="s">
        <v>83</v>
      </c>
      <c r="B9" s="36" t="s">
        <v>145</v>
      </c>
      <c r="C9" s="15" t="s">
        <v>36</v>
      </c>
      <c r="D9" s="15">
        <v>1</v>
      </c>
    </row>
    <row r="10" spans="1:5" x14ac:dyDescent="0.4">
      <c r="A10" s="36" t="s">
        <v>84</v>
      </c>
      <c r="B10" s="36" t="s">
        <v>144</v>
      </c>
      <c r="C10" s="15" t="s">
        <v>128</v>
      </c>
      <c r="D10" s="15">
        <v>1</v>
      </c>
      <c r="E10" s="15">
        <v>1</v>
      </c>
    </row>
    <row r="11" spans="1:5" x14ac:dyDescent="0.4">
      <c r="A11" s="36" t="s">
        <v>85</v>
      </c>
      <c r="B11" s="36" t="s">
        <v>146</v>
      </c>
      <c r="C11" s="15" t="s">
        <v>37</v>
      </c>
      <c r="D11" s="15">
        <v>1</v>
      </c>
      <c r="E11" s="15">
        <v>1</v>
      </c>
    </row>
    <row r="12" spans="1:5" x14ac:dyDescent="0.4">
      <c r="A12" s="36" t="s">
        <v>86</v>
      </c>
      <c r="B12" s="36" t="s">
        <v>158</v>
      </c>
      <c r="C12" s="15" t="s">
        <v>38</v>
      </c>
      <c r="D12" s="15">
        <v>1</v>
      </c>
      <c r="E12" s="15">
        <v>1</v>
      </c>
    </row>
    <row r="13" spans="1:5" x14ac:dyDescent="0.4">
      <c r="A13" s="36" t="s">
        <v>87</v>
      </c>
      <c r="B13" s="36" t="s">
        <v>159</v>
      </c>
      <c r="C13" s="15" t="s">
        <v>39</v>
      </c>
      <c r="D13" s="15">
        <v>1</v>
      </c>
      <c r="E13" s="15">
        <v>1</v>
      </c>
    </row>
    <row r="14" spans="1:5" x14ac:dyDescent="0.4">
      <c r="A14" s="36" t="s">
        <v>88</v>
      </c>
      <c r="B14" s="36" t="s">
        <v>160</v>
      </c>
      <c r="C14" s="15" t="s">
        <v>40</v>
      </c>
      <c r="D14" s="15">
        <v>1</v>
      </c>
      <c r="E14" s="15">
        <v>1</v>
      </c>
    </row>
    <row r="15" spans="1:5" x14ac:dyDescent="0.4">
      <c r="A15" s="36" t="s">
        <v>89</v>
      </c>
      <c r="B15" s="36" t="s">
        <v>161</v>
      </c>
      <c r="C15" s="15" t="s">
        <v>41</v>
      </c>
      <c r="D15" s="15">
        <v>1</v>
      </c>
      <c r="E15" s="15">
        <v>1</v>
      </c>
    </row>
    <row r="16" spans="1:5" x14ac:dyDescent="0.4">
      <c r="A16" s="36" t="s">
        <v>90</v>
      </c>
      <c r="B16" s="36" t="s">
        <v>156</v>
      </c>
      <c r="C16" s="15" t="s">
        <v>42</v>
      </c>
      <c r="D16" s="15">
        <v>2</v>
      </c>
    </row>
    <row r="17" spans="1:5" x14ac:dyDescent="0.4">
      <c r="A17" s="36" t="s">
        <v>91</v>
      </c>
      <c r="B17" s="36" t="s">
        <v>148</v>
      </c>
      <c r="C17" s="15" t="s">
        <v>43</v>
      </c>
      <c r="D17" s="15">
        <v>2</v>
      </c>
      <c r="E17" s="15">
        <v>1</v>
      </c>
    </row>
    <row r="18" spans="1:5" x14ac:dyDescent="0.4">
      <c r="A18" s="36" t="s">
        <v>92</v>
      </c>
      <c r="B18" s="36" t="s">
        <v>154</v>
      </c>
      <c r="C18" s="15" t="s">
        <v>130</v>
      </c>
      <c r="D18" s="15">
        <v>2</v>
      </c>
      <c r="E18" s="15">
        <v>1</v>
      </c>
    </row>
    <row r="19" spans="1:5" x14ac:dyDescent="0.4">
      <c r="A19" s="36" t="s">
        <v>93</v>
      </c>
      <c r="C19" s="15" t="s">
        <v>44</v>
      </c>
      <c r="D19" s="15">
        <v>2</v>
      </c>
      <c r="E19" s="15">
        <v>1</v>
      </c>
    </row>
    <row r="20" spans="1:5" x14ac:dyDescent="0.4">
      <c r="A20" s="36" t="s">
        <v>94</v>
      </c>
      <c r="B20" s="36" t="s">
        <v>164</v>
      </c>
      <c r="C20" s="15" t="s">
        <v>45</v>
      </c>
      <c r="D20" s="15">
        <v>2</v>
      </c>
      <c r="E20" s="15">
        <v>2</v>
      </c>
    </row>
    <row r="21" spans="1:5" x14ac:dyDescent="0.4">
      <c r="A21" s="36" t="s">
        <v>95</v>
      </c>
      <c r="B21" s="36" t="s">
        <v>150</v>
      </c>
      <c r="C21" s="15" t="s">
        <v>46</v>
      </c>
      <c r="D21" s="15">
        <v>2</v>
      </c>
      <c r="E21" s="15">
        <v>2</v>
      </c>
    </row>
    <row r="22" spans="1:5" x14ac:dyDescent="0.4">
      <c r="A22" s="36" t="s">
        <v>96</v>
      </c>
      <c r="B22" s="36" t="s">
        <v>165</v>
      </c>
      <c r="C22" s="15" t="s">
        <v>47</v>
      </c>
      <c r="D22" s="15">
        <v>2</v>
      </c>
      <c r="E22" s="15">
        <v>2</v>
      </c>
    </row>
    <row r="23" spans="1:5" x14ac:dyDescent="0.4">
      <c r="A23" s="36" t="s">
        <v>97</v>
      </c>
      <c r="B23" s="36" t="s">
        <v>149</v>
      </c>
      <c r="C23" s="15" t="s">
        <v>48</v>
      </c>
      <c r="D23" s="15">
        <v>2</v>
      </c>
      <c r="E23" s="15">
        <v>2</v>
      </c>
    </row>
    <row r="24" spans="1:5" x14ac:dyDescent="0.4">
      <c r="A24" s="36" t="s">
        <v>98</v>
      </c>
      <c r="B24" s="36" t="s">
        <v>166</v>
      </c>
      <c r="C24" s="15" t="s">
        <v>49</v>
      </c>
      <c r="D24" s="15">
        <v>2</v>
      </c>
      <c r="E24" s="15">
        <v>2</v>
      </c>
    </row>
    <row r="25" spans="1:5" x14ac:dyDescent="0.4">
      <c r="A25" s="36" t="s">
        <v>99</v>
      </c>
      <c r="B25" s="36" t="s">
        <v>167</v>
      </c>
      <c r="C25" s="15" t="s">
        <v>50</v>
      </c>
      <c r="D25" s="15">
        <v>2</v>
      </c>
      <c r="E25" s="15">
        <v>2</v>
      </c>
    </row>
    <row r="26" spans="1:5" x14ac:dyDescent="0.4">
      <c r="A26" s="36" t="s">
        <v>100</v>
      </c>
      <c r="B26" s="36" t="s">
        <v>153</v>
      </c>
      <c r="C26" s="15" t="s">
        <v>51</v>
      </c>
      <c r="D26" s="15">
        <v>2</v>
      </c>
    </row>
    <row r="27" spans="1:5" x14ac:dyDescent="0.4">
      <c r="A27" s="36" t="s">
        <v>101</v>
      </c>
      <c r="B27" s="36" t="s">
        <v>163</v>
      </c>
      <c r="C27" s="15" t="s">
        <v>52</v>
      </c>
      <c r="D27" s="15">
        <v>3</v>
      </c>
    </row>
    <row r="28" spans="1:5" x14ac:dyDescent="0.4">
      <c r="A28" s="36" t="s">
        <v>102</v>
      </c>
      <c r="B28" s="36" t="s">
        <v>155</v>
      </c>
      <c r="C28" s="15" t="s">
        <v>129</v>
      </c>
      <c r="D28" s="15">
        <v>3</v>
      </c>
      <c r="E28" s="15">
        <v>2</v>
      </c>
    </row>
    <row r="29" spans="1:5" x14ac:dyDescent="0.4">
      <c r="A29" s="36" t="s">
        <v>103</v>
      </c>
      <c r="B29" s="36" t="s">
        <v>151</v>
      </c>
      <c r="C29" s="15" t="s">
        <v>53</v>
      </c>
      <c r="D29" s="15">
        <v>3</v>
      </c>
      <c r="E29" s="15">
        <v>2</v>
      </c>
    </row>
    <row r="30" spans="1:5" x14ac:dyDescent="0.4">
      <c r="A30" s="36" t="s">
        <v>104</v>
      </c>
      <c r="B30" s="36" t="s">
        <v>162</v>
      </c>
      <c r="C30" s="15" t="s">
        <v>54</v>
      </c>
      <c r="D30" s="15">
        <v>5</v>
      </c>
      <c r="E30" s="15">
        <v>5</v>
      </c>
    </row>
    <row r="31" spans="1:5" x14ac:dyDescent="0.4">
      <c r="A31" s="36" t="s">
        <v>105</v>
      </c>
      <c r="B31" s="36" t="s">
        <v>152</v>
      </c>
      <c r="C31" s="15" t="s">
        <v>55</v>
      </c>
      <c r="D31" s="15">
        <v>6</v>
      </c>
      <c r="E31" s="15">
        <v>5</v>
      </c>
    </row>
    <row r="32" spans="1:5" x14ac:dyDescent="0.4">
      <c r="A32" s="36" t="s">
        <v>106</v>
      </c>
      <c r="B32" s="36" t="s">
        <v>168</v>
      </c>
      <c r="C32" s="15" t="s">
        <v>56</v>
      </c>
      <c r="D32" s="15">
        <v>13</v>
      </c>
    </row>
    <row r="33" spans="1:5" x14ac:dyDescent="0.4">
      <c r="A33" s="36" t="s">
        <v>107</v>
      </c>
      <c r="B33" s="36" t="s">
        <v>169</v>
      </c>
      <c r="C33" s="15" t="s">
        <v>57</v>
      </c>
      <c r="D33" s="15">
        <v>13</v>
      </c>
    </row>
    <row r="34" spans="1:5" x14ac:dyDescent="0.4">
      <c r="A34" s="36" t="s">
        <v>108</v>
      </c>
      <c r="B34" s="36" t="s">
        <v>170</v>
      </c>
      <c r="C34" s="15" t="s">
        <v>58</v>
      </c>
      <c r="D34" s="15">
        <v>13</v>
      </c>
      <c r="E34" s="15">
        <v>13</v>
      </c>
    </row>
    <row r="35" spans="1:5" x14ac:dyDescent="0.4">
      <c r="A35" s="36" t="s">
        <v>109</v>
      </c>
      <c r="B35" s="36" t="s">
        <v>171</v>
      </c>
      <c r="C35" s="15" t="s">
        <v>59</v>
      </c>
      <c r="D35" s="15">
        <v>13</v>
      </c>
      <c r="E35" s="15">
        <v>13</v>
      </c>
    </row>
    <row r="36" spans="1:5" x14ac:dyDescent="0.4">
      <c r="A36" s="36" t="s">
        <v>110</v>
      </c>
      <c r="B36" s="36" t="s">
        <v>172</v>
      </c>
      <c r="C36" s="15" t="s">
        <v>60</v>
      </c>
      <c r="D36" s="15">
        <v>26</v>
      </c>
      <c r="E36" s="15">
        <v>26</v>
      </c>
    </row>
    <row r="37" spans="1:5" x14ac:dyDescent="0.4">
      <c r="A37" s="36" t="s">
        <v>111</v>
      </c>
      <c r="B37" s="36" t="s">
        <v>173</v>
      </c>
      <c r="C37" s="15" t="s">
        <v>61</v>
      </c>
      <c r="D37" s="15">
        <v>13</v>
      </c>
      <c r="E37" s="15">
        <v>13</v>
      </c>
    </row>
    <row r="38" spans="1:5" x14ac:dyDescent="0.4">
      <c r="A38" s="36" t="s">
        <v>112</v>
      </c>
      <c r="B38" s="36" t="s">
        <v>174</v>
      </c>
      <c r="C38" s="15" t="s">
        <v>62</v>
      </c>
      <c r="D38" s="15">
        <v>13</v>
      </c>
      <c r="E38" s="15">
        <v>13</v>
      </c>
    </row>
    <row r="39" spans="1:5" x14ac:dyDescent="0.4">
      <c r="A39" s="36" t="s">
        <v>113</v>
      </c>
      <c r="B39" s="36" t="s">
        <v>175</v>
      </c>
      <c r="C39" s="15" t="s">
        <v>63</v>
      </c>
      <c r="D39" s="15">
        <v>13</v>
      </c>
      <c r="E39" s="15">
        <v>13</v>
      </c>
    </row>
    <row r="40" spans="1:5" x14ac:dyDescent="0.4">
      <c r="A40" s="36" t="s">
        <v>114</v>
      </c>
      <c r="B40" s="36" t="s">
        <v>176</v>
      </c>
      <c r="C40" s="15" t="s">
        <v>64</v>
      </c>
      <c r="D40" s="15">
        <v>13</v>
      </c>
      <c r="E40" s="15">
        <v>13</v>
      </c>
    </row>
    <row r="41" spans="1:5" x14ac:dyDescent="0.4">
      <c r="A41" s="36" t="s">
        <v>115</v>
      </c>
      <c r="B41" s="36" t="s">
        <v>177</v>
      </c>
      <c r="C41" s="15" t="s">
        <v>65</v>
      </c>
      <c r="D41" s="15">
        <v>13</v>
      </c>
    </row>
    <row r="42" spans="1:5" x14ac:dyDescent="0.4">
      <c r="A42" s="36" t="s">
        <v>116</v>
      </c>
      <c r="B42" s="36" t="s">
        <v>178</v>
      </c>
      <c r="C42" s="15" t="s">
        <v>66</v>
      </c>
      <c r="D42" s="15">
        <v>13</v>
      </c>
    </row>
    <row r="43" spans="1:5" x14ac:dyDescent="0.4">
      <c r="A43" s="36" t="s">
        <v>117</v>
      </c>
      <c r="B43" s="36" t="s">
        <v>179</v>
      </c>
      <c r="C43" s="15" t="s">
        <v>67</v>
      </c>
      <c r="D43" s="15">
        <v>13</v>
      </c>
    </row>
    <row r="44" spans="1:5" x14ac:dyDescent="0.4">
      <c r="A44" s="36" t="s">
        <v>118</v>
      </c>
      <c r="B44" s="36" t="s">
        <v>180</v>
      </c>
      <c r="C44" s="15" t="s">
        <v>68</v>
      </c>
      <c r="D44" s="15">
        <v>13</v>
      </c>
    </row>
    <row r="45" spans="1:5" x14ac:dyDescent="0.4">
      <c r="A45" s="36" t="s">
        <v>119</v>
      </c>
      <c r="B45" s="36" t="s">
        <v>181</v>
      </c>
      <c r="C45" s="15" t="s">
        <v>69</v>
      </c>
      <c r="D45" s="15">
        <v>26</v>
      </c>
    </row>
    <row r="46" spans="1:5" x14ac:dyDescent="0.4">
      <c r="A46" s="36" t="s">
        <v>120</v>
      </c>
      <c r="B46" s="36" t="s">
        <v>182</v>
      </c>
      <c r="C46" s="15" t="s">
        <v>70</v>
      </c>
      <c r="D46" s="15">
        <v>26</v>
      </c>
    </row>
    <row r="47" spans="1:5" x14ac:dyDescent="0.4">
      <c r="A47" s="36" t="s">
        <v>121</v>
      </c>
      <c r="B47" s="36" t="s">
        <v>183</v>
      </c>
      <c r="C47" s="15" t="s">
        <v>71</v>
      </c>
      <c r="D47" s="15">
        <v>26</v>
      </c>
    </row>
    <row r="48" spans="1:5" x14ac:dyDescent="0.4">
      <c r="A48" s="36" t="s">
        <v>122</v>
      </c>
      <c r="B48" s="36" t="s">
        <v>184</v>
      </c>
      <c r="C48" s="15" t="s">
        <v>72</v>
      </c>
      <c r="D48" s="15">
        <v>13</v>
      </c>
    </row>
    <row r="49" spans="1:5" x14ac:dyDescent="0.4">
      <c r="A49" s="36" t="s">
        <v>123</v>
      </c>
      <c r="B49" s="36" t="s">
        <v>185</v>
      </c>
      <c r="C49" s="15" t="s">
        <v>73</v>
      </c>
      <c r="D49" s="15">
        <v>13</v>
      </c>
    </row>
    <row r="50" spans="1:5" x14ac:dyDescent="0.4">
      <c r="A50" s="36" t="s">
        <v>124</v>
      </c>
      <c r="C50" s="15" t="s">
        <v>74</v>
      </c>
      <c r="D50" s="15">
        <v>13</v>
      </c>
    </row>
    <row r="51" spans="1:5" x14ac:dyDescent="0.4">
      <c r="A51" s="36" t="s">
        <v>125</v>
      </c>
      <c r="B51" s="36" t="s">
        <v>186</v>
      </c>
      <c r="C51" s="15" t="s">
        <v>75</v>
      </c>
      <c r="D51" s="15">
        <v>13</v>
      </c>
    </row>
    <row r="52" spans="1:5" x14ac:dyDescent="0.4">
      <c r="A52" s="36" t="s">
        <v>133</v>
      </c>
      <c r="B52" s="36" t="s">
        <v>157</v>
      </c>
      <c r="C52" s="15" t="s">
        <v>134</v>
      </c>
      <c r="D52" s="15">
        <v>2</v>
      </c>
    </row>
    <row r="53" spans="1:5" x14ac:dyDescent="0.4">
      <c r="A53" s="36" t="s">
        <v>135</v>
      </c>
      <c r="B53" s="36" t="s">
        <v>142</v>
      </c>
      <c r="C53" s="15" t="s">
        <v>136</v>
      </c>
      <c r="D53" s="15">
        <v>1</v>
      </c>
      <c r="E53" s="15">
        <v>1</v>
      </c>
    </row>
    <row r="54" spans="1:5" x14ac:dyDescent="0.4">
      <c r="A54" s="36" t="s">
        <v>187</v>
      </c>
      <c r="B54" s="36" t="s">
        <v>188</v>
      </c>
      <c r="C54" s="15" t="s">
        <v>189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10</v>
      </c>
      <c r="H1" s="15" t="s">
        <v>11</v>
      </c>
      <c r="I1" s="15" t="s">
        <v>12</v>
      </c>
      <c r="J1" s="15" t="s">
        <v>13</v>
      </c>
      <c r="K1" s="15" t="s">
        <v>14</v>
      </c>
      <c r="L1" s="15" t="s">
        <v>15</v>
      </c>
      <c r="M1" s="15" t="s">
        <v>16</v>
      </c>
    </row>
    <row r="2" spans="1:13" x14ac:dyDescent="0.4">
      <c r="A2" s="15" t="s">
        <v>24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10</v>
      </c>
      <c r="H1" s="15" t="s">
        <v>11</v>
      </c>
      <c r="I1" s="15" t="s">
        <v>12</v>
      </c>
      <c r="J1" s="15" t="s">
        <v>13</v>
      </c>
      <c r="K1" s="15" t="s">
        <v>14</v>
      </c>
      <c r="L1" s="15" t="s">
        <v>15</v>
      </c>
      <c r="M1" s="15" t="s">
        <v>16</v>
      </c>
    </row>
    <row r="2" spans="1:13" x14ac:dyDescent="0.4">
      <c r="A2" s="15" t="s">
        <v>24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9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9</v>
      </c>
      <c r="D4" s="32" t="s">
        <v>9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9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10</v>
      </c>
      <c r="H1" s="15" t="s">
        <v>11</v>
      </c>
      <c r="I1" s="15" t="s">
        <v>12</v>
      </c>
      <c r="J1" s="15" t="s">
        <v>13</v>
      </c>
      <c r="K1" s="15" t="s">
        <v>14</v>
      </c>
      <c r="L1" s="15" t="s">
        <v>15</v>
      </c>
      <c r="M1" s="15" t="s">
        <v>16</v>
      </c>
    </row>
    <row r="2" spans="1:13" x14ac:dyDescent="0.4">
      <c r="A2" s="15" t="s">
        <v>24</v>
      </c>
      <c r="B2" s="32">
        <v>0</v>
      </c>
      <c r="C2" s="32" t="s">
        <v>9</v>
      </c>
      <c r="D2" s="32" t="s">
        <v>9</v>
      </c>
      <c r="E2" s="32" t="s">
        <v>9</v>
      </c>
      <c r="F2" s="32" t="s">
        <v>9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9</v>
      </c>
      <c r="D3" s="32">
        <v>-1100</v>
      </c>
      <c r="E3" s="32">
        <v>-2000</v>
      </c>
      <c r="F3" s="32">
        <v>-3900</v>
      </c>
      <c r="G3" s="32" t="s">
        <v>9</v>
      </c>
      <c r="H3" s="32" t="s">
        <v>9</v>
      </c>
      <c r="I3" s="32" t="s">
        <v>9</v>
      </c>
      <c r="J3" s="32" t="s">
        <v>9</v>
      </c>
      <c r="K3" s="32" t="s">
        <v>9</v>
      </c>
      <c r="L3" s="32" t="s">
        <v>9</v>
      </c>
      <c r="M3" s="32" t="s">
        <v>9</v>
      </c>
    </row>
    <row r="4" spans="1:13" x14ac:dyDescent="0.4">
      <c r="A4" s="15">
        <v>25</v>
      </c>
      <c r="C4" s="32" t="s">
        <v>9</v>
      </c>
      <c r="D4" s="32" t="s">
        <v>9</v>
      </c>
      <c r="E4" s="32">
        <v>-2400</v>
      </c>
      <c r="F4" s="32">
        <v>-4800</v>
      </c>
      <c r="G4" s="32" t="s">
        <v>9</v>
      </c>
      <c r="H4" s="32" t="s">
        <v>9</v>
      </c>
      <c r="I4" s="32" t="s">
        <v>9</v>
      </c>
      <c r="J4" s="32" t="s">
        <v>9</v>
      </c>
      <c r="K4" s="32" t="s">
        <v>9</v>
      </c>
      <c r="L4" s="32" t="s">
        <v>9</v>
      </c>
      <c r="M4" s="32" t="s">
        <v>9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9</v>
      </c>
      <c r="H5" s="32" t="s">
        <v>9</v>
      </c>
      <c r="I5" s="32" t="s">
        <v>9</v>
      </c>
      <c r="J5" s="32" t="s">
        <v>9</v>
      </c>
      <c r="K5" s="32" t="s">
        <v>9</v>
      </c>
      <c r="L5" s="32" t="s">
        <v>9</v>
      </c>
      <c r="M5" s="32" t="s">
        <v>9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9</v>
      </c>
      <c r="H6" s="32" t="s">
        <v>9</v>
      </c>
      <c r="I6" s="32" t="s">
        <v>9</v>
      </c>
      <c r="J6" s="32" t="s">
        <v>9</v>
      </c>
      <c r="K6" s="32" t="s">
        <v>9</v>
      </c>
      <c r="L6" s="32" t="s">
        <v>9</v>
      </c>
      <c r="M6" s="32" t="s">
        <v>9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9</v>
      </c>
      <c r="H7" s="32" t="s">
        <v>9</v>
      </c>
      <c r="I7" s="32" t="s">
        <v>9</v>
      </c>
      <c r="J7" s="32" t="s">
        <v>9</v>
      </c>
      <c r="K7" s="32" t="s">
        <v>9</v>
      </c>
      <c r="L7" s="32" t="s">
        <v>9</v>
      </c>
      <c r="M7" s="32" t="s">
        <v>9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9</v>
      </c>
      <c r="H8" s="32" t="s">
        <v>9</v>
      </c>
      <c r="I8" s="32" t="s">
        <v>9</v>
      </c>
      <c r="J8" s="32" t="s">
        <v>9</v>
      </c>
      <c r="K8" s="32" t="s">
        <v>9</v>
      </c>
      <c r="L8" s="32" t="s">
        <v>9</v>
      </c>
      <c r="M8" s="32" t="s">
        <v>9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9</v>
      </c>
      <c r="H9" s="32" t="s">
        <v>9</v>
      </c>
      <c r="I9" s="32" t="s">
        <v>9</v>
      </c>
      <c r="J9" s="32" t="s">
        <v>9</v>
      </c>
      <c r="K9" s="32" t="s">
        <v>9</v>
      </c>
      <c r="L9" s="32" t="s">
        <v>9</v>
      </c>
      <c r="M9" s="32" t="s">
        <v>9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9</v>
      </c>
      <c r="H10" s="32" t="s">
        <v>9</v>
      </c>
      <c r="I10" s="32" t="s">
        <v>9</v>
      </c>
      <c r="J10" s="32" t="s">
        <v>9</v>
      </c>
      <c r="K10" s="32" t="s">
        <v>9</v>
      </c>
      <c r="L10" s="32" t="s">
        <v>9</v>
      </c>
      <c r="M10" s="32" t="s">
        <v>9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9</v>
      </c>
      <c r="H11" s="32" t="s">
        <v>9</v>
      </c>
      <c r="I11" s="32" t="s">
        <v>9</v>
      </c>
      <c r="J11" s="32" t="s">
        <v>9</v>
      </c>
      <c r="K11" s="32" t="s">
        <v>9</v>
      </c>
      <c r="L11" s="32" t="s">
        <v>9</v>
      </c>
      <c r="M11" s="32" t="s">
        <v>9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9</v>
      </c>
      <c r="H12" s="32" t="s">
        <v>9</v>
      </c>
      <c r="I12" s="32" t="s">
        <v>9</v>
      </c>
      <c r="J12" s="32" t="s">
        <v>9</v>
      </c>
      <c r="K12" s="32" t="s">
        <v>9</v>
      </c>
      <c r="L12" s="32" t="s">
        <v>9</v>
      </c>
      <c r="M12" s="32" t="s">
        <v>9</v>
      </c>
    </row>
    <row r="13" spans="1:13" x14ac:dyDescent="0.4">
      <c r="A13" s="15">
        <v>110</v>
      </c>
      <c r="C13" s="32" t="s">
        <v>9</v>
      </c>
      <c r="D13" s="32">
        <v>-5400</v>
      </c>
      <c r="E13" s="32">
        <v>-6000</v>
      </c>
      <c r="F13" s="32">
        <v>-6000</v>
      </c>
      <c r="G13" s="32" t="s">
        <v>9</v>
      </c>
      <c r="H13" s="32" t="s">
        <v>9</v>
      </c>
      <c r="I13" s="32" t="s">
        <v>9</v>
      </c>
      <c r="J13" s="32" t="s">
        <v>9</v>
      </c>
      <c r="K13" s="32" t="s">
        <v>9</v>
      </c>
      <c r="L13" s="32" t="s">
        <v>9</v>
      </c>
      <c r="M13" s="32" t="s">
        <v>9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10</v>
      </c>
      <c r="H1" s="15" t="s">
        <v>11</v>
      </c>
      <c r="I1" s="15" t="s">
        <v>12</v>
      </c>
      <c r="J1" s="15" t="s">
        <v>13</v>
      </c>
      <c r="K1" s="15" t="s">
        <v>14</v>
      </c>
      <c r="L1" s="15" t="s">
        <v>15</v>
      </c>
      <c r="M1" s="15" t="s">
        <v>16</v>
      </c>
    </row>
    <row r="2" spans="1:13" x14ac:dyDescent="0.4">
      <c r="A2" s="15" t="s">
        <v>24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9</v>
      </c>
      <c r="D3" s="32" t="s">
        <v>9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9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9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10</v>
      </c>
      <c r="H1" s="15" t="s">
        <v>11</v>
      </c>
      <c r="I1" s="15" t="s">
        <v>12</v>
      </c>
      <c r="J1" s="15" t="s">
        <v>13</v>
      </c>
      <c r="K1" s="15" t="s">
        <v>14</v>
      </c>
      <c r="L1" s="15" t="s">
        <v>15</v>
      </c>
      <c r="M1" s="15" t="s">
        <v>16</v>
      </c>
    </row>
    <row r="2" spans="1:13" x14ac:dyDescent="0.4">
      <c r="A2" s="15" t="s">
        <v>24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9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9</v>
      </c>
      <c r="D4" s="32" t="s">
        <v>9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9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10</v>
      </c>
      <c r="H1" s="15" t="s">
        <v>11</v>
      </c>
      <c r="I1" s="15" t="s">
        <v>12</v>
      </c>
      <c r="J1" s="15" t="s">
        <v>13</v>
      </c>
      <c r="K1" s="15" t="s">
        <v>14</v>
      </c>
      <c r="L1" s="15" t="s">
        <v>15</v>
      </c>
      <c r="M1" s="15" t="s">
        <v>16</v>
      </c>
    </row>
    <row r="2" spans="1:13" x14ac:dyDescent="0.4">
      <c r="A2" s="15" t="s">
        <v>24</v>
      </c>
      <c r="B2" s="32">
        <v>0</v>
      </c>
      <c r="C2" s="32" t="s">
        <v>9</v>
      </c>
      <c r="D2" s="32" t="s">
        <v>9</v>
      </c>
      <c r="E2" s="32" t="s">
        <v>9</v>
      </c>
      <c r="F2" s="32" t="s">
        <v>9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9</v>
      </c>
      <c r="D3" s="32">
        <v>-600</v>
      </c>
      <c r="E3" s="32">
        <v>-1100</v>
      </c>
      <c r="F3" s="32">
        <v>-2000</v>
      </c>
      <c r="G3" s="32" t="s">
        <v>9</v>
      </c>
      <c r="H3" s="32" t="s">
        <v>9</v>
      </c>
      <c r="I3" s="32" t="s">
        <v>9</v>
      </c>
      <c r="J3" s="32" t="s">
        <v>9</v>
      </c>
      <c r="K3" s="32" t="s">
        <v>9</v>
      </c>
      <c r="L3" s="32" t="s">
        <v>9</v>
      </c>
      <c r="M3" s="32" t="s">
        <v>9</v>
      </c>
    </row>
    <row r="4" spans="1:13" x14ac:dyDescent="0.4">
      <c r="A4" s="15">
        <v>25</v>
      </c>
      <c r="C4" s="32" t="s">
        <v>9</v>
      </c>
      <c r="D4" s="32" t="s">
        <v>9</v>
      </c>
      <c r="E4" s="32">
        <v>-1200</v>
      </c>
      <c r="F4" s="32">
        <v>-2400</v>
      </c>
      <c r="G4" s="32" t="s">
        <v>9</v>
      </c>
      <c r="H4" s="32" t="s">
        <v>9</v>
      </c>
      <c r="I4" s="32" t="s">
        <v>9</v>
      </c>
      <c r="J4" s="32" t="s">
        <v>9</v>
      </c>
      <c r="K4" s="32" t="s">
        <v>9</v>
      </c>
      <c r="L4" s="32" t="s">
        <v>9</v>
      </c>
      <c r="M4" s="32" t="s">
        <v>9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9</v>
      </c>
      <c r="H5" s="32" t="s">
        <v>9</v>
      </c>
      <c r="I5" s="32" t="s">
        <v>9</v>
      </c>
      <c r="J5" s="32" t="s">
        <v>9</v>
      </c>
      <c r="K5" s="32" t="s">
        <v>9</v>
      </c>
      <c r="L5" s="32" t="s">
        <v>9</v>
      </c>
      <c r="M5" s="32" t="s">
        <v>9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9</v>
      </c>
      <c r="H6" s="32" t="s">
        <v>9</v>
      </c>
      <c r="I6" s="32" t="s">
        <v>9</v>
      </c>
      <c r="J6" s="32" t="s">
        <v>9</v>
      </c>
      <c r="K6" s="32" t="s">
        <v>9</v>
      </c>
      <c r="L6" s="32" t="s">
        <v>9</v>
      </c>
      <c r="M6" s="32" t="s">
        <v>9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9</v>
      </c>
      <c r="H7" s="32" t="s">
        <v>9</v>
      </c>
      <c r="I7" s="32" t="s">
        <v>9</v>
      </c>
      <c r="J7" s="32" t="s">
        <v>9</v>
      </c>
      <c r="K7" s="32" t="s">
        <v>9</v>
      </c>
      <c r="L7" s="32" t="s">
        <v>9</v>
      </c>
      <c r="M7" s="32" t="s">
        <v>9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9</v>
      </c>
      <c r="H8" s="32" t="s">
        <v>9</v>
      </c>
      <c r="I8" s="32" t="s">
        <v>9</v>
      </c>
      <c r="J8" s="32" t="s">
        <v>9</v>
      </c>
      <c r="K8" s="32" t="s">
        <v>9</v>
      </c>
      <c r="L8" s="32" t="s">
        <v>9</v>
      </c>
      <c r="M8" s="32" t="s">
        <v>9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9</v>
      </c>
      <c r="H9" s="32" t="s">
        <v>9</v>
      </c>
      <c r="I9" s="32" t="s">
        <v>9</v>
      </c>
      <c r="J9" s="32" t="s">
        <v>9</v>
      </c>
      <c r="K9" s="32" t="s">
        <v>9</v>
      </c>
      <c r="L9" s="32" t="s">
        <v>9</v>
      </c>
      <c r="M9" s="32" t="s">
        <v>9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9</v>
      </c>
      <c r="H10" s="32" t="s">
        <v>9</v>
      </c>
      <c r="I10" s="32" t="s">
        <v>9</v>
      </c>
      <c r="J10" s="32" t="s">
        <v>9</v>
      </c>
      <c r="K10" s="32" t="s">
        <v>9</v>
      </c>
      <c r="L10" s="32" t="s">
        <v>9</v>
      </c>
      <c r="M10" s="32" t="s">
        <v>9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9</v>
      </c>
      <c r="H11" s="32" t="s">
        <v>9</v>
      </c>
      <c r="I11" s="32" t="s">
        <v>9</v>
      </c>
      <c r="J11" s="32" t="s">
        <v>9</v>
      </c>
      <c r="K11" s="32" t="s">
        <v>9</v>
      </c>
      <c r="L11" s="32" t="s">
        <v>9</v>
      </c>
      <c r="M11" s="32" t="s">
        <v>9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9</v>
      </c>
      <c r="H12" s="32" t="s">
        <v>9</v>
      </c>
      <c r="I12" s="32" t="s">
        <v>9</v>
      </c>
      <c r="J12" s="32" t="s">
        <v>9</v>
      </c>
      <c r="K12" s="32" t="s">
        <v>9</v>
      </c>
      <c r="L12" s="32" t="s">
        <v>9</v>
      </c>
      <c r="M12" s="32" t="s">
        <v>9</v>
      </c>
    </row>
    <row r="13" spans="1:13" x14ac:dyDescent="0.4">
      <c r="A13" s="15">
        <v>110</v>
      </c>
      <c r="C13" s="32" t="s">
        <v>9</v>
      </c>
      <c r="D13" s="32">
        <v>-2700</v>
      </c>
      <c r="E13" s="32">
        <v>-3000</v>
      </c>
      <c r="F13" s="32">
        <v>-3000</v>
      </c>
      <c r="G13" s="32" t="s">
        <v>9</v>
      </c>
      <c r="H13" s="32" t="s">
        <v>9</v>
      </c>
      <c r="I13" s="32" t="s">
        <v>9</v>
      </c>
      <c r="J13" s="32" t="s">
        <v>9</v>
      </c>
      <c r="K13" s="32" t="s">
        <v>9</v>
      </c>
      <c r="L13" s="32" t="s">
        <v>9</v>
      </c>
      <c r="M13" s="32" t="s">
        <v>9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10</v>
      </c>
      <c r="H1" s="15" t="s">
        <v>11</v>
      </c>
      <c r="I1" s="15" t="s">
        <v>12</v>
      </c>
      <c r="J1" s="15" t="s">
        <v>13</v>
      </c>
      <c r="K1" s="15" t="s">
        <v>14</v>
      </c>
      <c r="L1" s="15" t="s">
        <v>15</v>
      </c>
      <c r="M1" s="15" t="s">
        <v>16</v>
      </c>
    </row>
    <row r="2" spans="1:13" x14ac:dyDescent="0.4">
      <c r="A2" s="15" t="s">
        <v>24</v>
      </c>
      <c r="B2" s="32">
        <v>0</v>
      </c>
      <c r="C2" s="32" t="s">
        <v>9</v>
      </c>
      <c r="D2" s="32" t="s">
        <v>9</v>
      </c>
      <c r="E2" s="32" t="s">
        <v>9</v>
      </c>
      <c r="F2" s="32" t="s">
        <v>9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9</v>
      </c>
      <c r="D3" s="32">
        <v>-900</v>
      </c>
      <c r="E3" s="32">
        <v>-1700</v>
      </c>
      <c r="F3" s="32">
        <v>-3300</v>
      </c>
      <c r="G3" s="32" t="s">
        <v>9</v>
      </c>
      <c r="H3" s="32" t="s">
        <v>9</v>
      </c>
      <c r="I3" s="32" t="s">
        <v>9</v>
      </c>
      <c r="J3" s="32" t="s">
        <v>9</v>
      </c>
      <c r="K3" s="32" t="s">
        <v>9</v>
      </c>
      <c r="L3" s="32" t="s">
        <v>9</v>
      </c>
      <c r="M3" s="32" t="s">
        <v>9</v>
      </c>
    </row>
    <row r="4" spans="1:13" x14ac:dyDescent="0.4">
      <c r="A4" s="15">
        <v>25</v>
      </c>
      <c r="C4" s="32" t="s">
        <v>9</v>
      </c>
      <c r="D4" s="32" t="s">
        <v>9</v>
      </c>
      <c r="E4" s="32">
        <v>-2000</v>
      </c>
      <c r="F4" s="32">
        <v>-4000</v>
      </c>
      <c r="G4" s="32" t="s">
        <v>9</v>
      </c>
      <c r="H4" s="32" t="s">
        <v>9</v>
      </c>
      <c r="I4" s="32" t="s">
        <v>9</v>
      </c>
      <c r="J4" s="32" t="s">
        <v>9</v>
      </c>
      <c r="K4" s="32" t="s">
        <v>9</v>
      </c>
      <c r="L4" s="32" t="s">
        <v>9</v>
      </c>
      <c r="M4" s="32" t="s">
        <v>9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9</v>
      </c>
      <c r="H5" s="32" t="s">
        <v>9</v>
      </c>
      <c r="I5" s="32" t="s">
        <v>9</v>
      </c>
      <c r="J5" s="32" t="s">
        <v>9</v>
      </c>
      <c r="K5" s="32" t="s">
        <v>9</v>
      </c>
      <c r="L5" s="32" t="s">
        <v>9</v>
      </c>
      <c r="M5" s="32" t="s">
        <v>9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9</v>
      </c>
      <c r="H6" s="32" t="s">
        <v>9</v>
      </c>
      <c r="I6" s="32" t="s">
        <v>9</v>
      </c>
      <c r="J6" s="32" t="s">
        <v>9</v>
      </c>
      <c r="K6" s="32" t="s">
        <v>9</v>
      </c>
      <c r="L6" s="32" t="s">
        <v>9</v>
      </c>
      <c r="M6" s="32" t="s">
        <v>9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9</v>
      </c>
      <c r="H7" s="32" t="s">
        <v>9</v>
      </c>
      <c r="I7" s="32" t="s">
        <v>9</v>
      </c>
      <c r="J7" s="32" t="s">
        <v>9</v>
      </c>
      <c r="K7" s="32" t="s">
        <v>9</v>
      </c>
      <c r="L7" s="32" t="s">
        <v>9</v>
      </c>
      <c r="M7" s="32" t="s">
        <v>9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9</v>
      </c>
      <c r="H8" s="32" t="s">
        <v>9</v>
      </c>
      <c r="I8" s="32" t="s">
        <v>9</v>
      </c>
      <c r="J8" s="32" t="s">
        <v>9</v>
      </c>
      <c r="K8" s="32" t="s">
        <v>9</v>
      </c>
      <c r="L8" s="32" t="s">
        <v>9</v>
      </c>
      <c r="M8" s="32" t="s">
        <v>9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9</v>
      </c>
      <c r="H9" s="32" t="s">
        <v>9</v>
      </c>
      <c r="I9" s="32" t="s">
        <v>9</v>
      </c>
      <c r="J9" s="32" t="s">
        <v>9</v>
      </c>
      <c r="K9" s="32" t="s">
        <v>9</v>
      </c>
      <c r="L9" s="32" t="s">
        <v>9</v>
      </c>
      <c r="M9" s="32" t="s">
        <v>9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9</v>
      </c>
      <c r="H10" s="32" t="s">
        <v>9</v>
      </c>
      <c r="I10" s="32" t="s">
        <v>9</v>
      </c>
      <c r="J10" s="32" t="s">
        <v>9</v>
      </c>
      <c r="K10" s="32" t="s">
        <v>9</v>
      </c>
      <c r="L10" s="32" t="s">
        <v>9</v>
      </c>
      <c r="M10" s="32" t="s">
        <v>9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9</v>
      </c>
      <c r="H11" s="32" t="s">
        <v>9</v>
      </c>
      <c r="I11" s="32" t="s">
        <v>9</v>
      </c>
      <c r="J11" s="32" t="s">
        <v>9</v>
      </c>
      <c r="K11" s="32" t="s">
        <v>9</v>
      </c>
      <c r="L11" s="32" t="s">
        <v>9</v>
      </c>
      <c r="M11" s="32" t="s">
        <v>9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9</v>
      </c>
      <c r="H12" s="32" t="s">
        <v>9</v>
      </c>
      <c r="I12" s="32" t="s">
        <v>9</v>
      </c>
      <c r="J12" s="32" t="s">
        <v>9</v>
      </c>
      <c r="K12" s="32" t="s">
        <v>9</v>
      </c>
      <c r="L12" s="32" t="s">
        <v>9</v>
      </c>
      <c r="M12" s="32" t="s">
        <v>9</v>
      </c>
    </row>
    <row r="13" spans="1:13" x14ac:dyDescent="0.4">
      <c r="A13" s="15">
        <v>110</v>
      </c>
      <c r="C13" s="32" t="s">
        <v>9</v>
      </c>
      <c r="D13" s="32">
        <v>-4500</v>
      </c>
      <c r="E13" s="32">
        <v>-5000</v>
      </c>
      <c r="F13" s="32">
        <v>-5000</v>
      </c>
      <c r="G13" s="32" t="s">
        <v>9</v>
      </c>
      <c r="H13" s="32" t="s">
        <v>9</v>
      </c>
      <c r="I13" s="32" t="s">
        <v>9</v>
      </c>
      <c r="J13" s="32" t="s">
        <v>9</v>
      </c>
      <c r="K13" s="32" t="s">
        <v>9</v>
      </c>
      <c r="L13" s="32" t="s">
        <v>9</v>
      </c>
      <c r="M13" s="32" t="s">
        <v>9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2019-10-05T09:52:08Z</dcterms:modified>
</cp:coreProperties>
</file>