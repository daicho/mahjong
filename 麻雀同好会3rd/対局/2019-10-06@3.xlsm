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E9FDECE9-4119-478A-BBE6-4D74CC1462BB}" xr6:coauthVersionLast="41" xr6:coauthVersionMax="41" xr10:uidLastSave="{00000000-0000-0000-0000-000000000000}"/>
  <bookViews>
    <workbookView xWindow="-110" yWindow="-110" windowWidth="18220" windowHeight="116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V9" i="19" s="1"/>
  <c r="J9" i="19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W7" i="19" s="1"/>
  <c r="O7" i="19"/>
  <c r="V7" i="19" s="1"/>
  <c r="J7" i="19"/>
  <c r="U7" i="19" s="1"/>
  <c r="D7" i="19"/>
  <c r="C7" i="19"/>
  <c r="B7" i="19"/>
  <c r="A7" i="19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U4" i="19" s="1"/>
  <c r="W2" i="19"/>
  <c r="V2" i="19"/>
  <c r="U2" i="19"/>
  <c r="BO1" i="19"/>
  <c r="AT1" i="19"/>
  <c r="Y1" i="19"/>
  <c r="W9" i="19" l="1"/>
  <c r="U9" i="19"/>
  <c r="V6" i="19"/>
  <c r="W6" i="19"/>
  <c r="V4" i="19"/>
  <c r="T5" i="19"/>
  <c r="W5" i="19" s="1"/>
  <c r="W4" i="19"/>
  <c r="J5" i="19"/>
  <c r="U5" i="19" s="1"/>
  <c r="O5" i="19"/>
  <c r="V5" i="19" s="1"/>
</calcChain>
</file>

<file path=xl/sharedStrings.xml><?xml version="1.0" encoding="utf-8"?>
<sst xmlns="http://schemas.openxmlformats.org/spreadsheetml/2006/main" count="577" uniqueCount="204">
  <si>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</si>
  <si>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</si>
  <si>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</si>
  <si>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</si>
  <si>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</si>
  <si>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</si>
  <si>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</si>
  <si>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</si>
  <si>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</si>
  <si>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</si>
  <si>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</si>
  <si>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</si>
  <si>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</si>
  <si>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</si>
  <si>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</si>
  <si>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</si>
  <si>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</si>
  <si>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</si>
  <si>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</si>
  <si>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</si>
  <si>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</si>
  <si>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</si>
  <si>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</si>
  <si>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</si>
  <si>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</si>
  <si>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</si>
  <si>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</si>
  <si>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</si>
  <si>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</si>
  <si>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</si>
  <si>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</si>
  <si>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</si>
  <si>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</si>
  <si>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</si>
  <si>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</si>
  <si>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</si>
  <si>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</si>
  <si>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</si>
  <si>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</si>
  <si>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</si>
  <si>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</si>
  <si>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</si>
  <si>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</si>
  <si>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</si>
  <si>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</si>
  <si>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</si>
  <si>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</si>
  <si>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</si>
  <si>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</si>
  <si>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</si>
  <si>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</si>
  <si>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</si>
  <si>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</si>
  <si>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</si>
  <si>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</si>
  <si>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</si>
  <si>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</si>
  <si>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</si>
  <si>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</si>
  <si>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</si>
  <si>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</si>
  <si>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</si>
  <si>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</si>
  <si>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</si>
  <si>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</si>
  <si>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</si>
  <si>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</si>
  <si>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</si>
  <si>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</si>
  <si>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</si>
  <si>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</si>
  <si>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</si>
  <si>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</si>
  <si>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</si>
  <si>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</si>
  <si>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</si>
  <si>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</si>
  <si>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</si>
  <si>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</si>
  <si>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</si>
  <si>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</si>
  <si>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</si>
  <si>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</si>
  <si>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</si>
  <si>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</si>
  <si>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</si>
  <si>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</si>
  <si>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</si>
  <si>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</si>
  <si>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</si>
  <si>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</si>
  <si>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</si>
  <si>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</si>
  <si>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</si>
  <si>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</si>
  <si>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</si>
  <si>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</si>
  <si>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</si>
  <si>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</si>
  <si>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</si>
  <si>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</si>
  <si>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</si>
  <si>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</si>
  <si>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</si>
  <si>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</si>
  <si>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</si>
  <si>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</si>
  <si>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</si>
  <si>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</si>
  <si>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</si>
  <si>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</si>
  <si>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</si>
  <si>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</si>
  <si>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</si>
  <si>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</si>
  <si>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</si>
  <si>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</si>
  <si>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</si>
  <si>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</si>
  <si>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</si>
  <si>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</si>
  <si>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</si>
  <si>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</si>
  <si>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</si>
  <si>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</si>
  <si>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</si>
  <si>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</si>
  <si>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</si>
  <si>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</si>
  <si>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</si>
  <si>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</si>
  <si>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</si>
  <si>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</si>
  <si>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</si>
  <si>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</si>
  <si>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</si>
  <si>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</si>
  <si>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</si>
  <si>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</si>
  <si>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</si>
  <si>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</si>
  <si>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</si>
  <si>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</si>
  <si>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</si>
  <si>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</si>
  <si>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</si>
  <si>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</si>
  <si>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</si>
  <si>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</si>
  <si>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</si>
  <si>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</si>
  <si>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</si>
  <si>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</si>
  <si>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</si>
  <si>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</si>
  <si>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</si>
  <si>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</si>
  <si>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</si>
  <si>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</si>
  <si>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</si>
  <si>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</si>
  <si>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</si>
  <si>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</si>
  <si>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</si>
  <si>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</si>
  <si>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</si>
  <si>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</si>
  <si>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</si>
  <si>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</si>
  <si>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</si>
  <si>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</si>
  <si>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</si>
  <si>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</si>
  <si>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</si>
  <si>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</si>
  <si>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</si>
  <si>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</si>
  <si>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</si>
  <si>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</si>
  <si>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</si>
  <si>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</si>
  <si>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</si>
  <si>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</si>
  <si>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</si>
  <si>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</si>
  <si>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</si>
  <si>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</si>
  <si>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</si>
  <si>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</si>
  <si>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</si>
  <si>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</si>
  <si>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</si>
  <si>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ぱぱ</t>
  </si>
  <si>
    <t>まっつん</t>
  </si>
  <si>
    <t>ロン</t>
  </si>
  <si>
    <t>放銃</t>
  </si>
  <si>
    <t>52</t>
  </si>
  <si>
    <t>流局</t>
  </si>
  <si>
    <t>T</t>
  </si>
  <si>
    <t>N</t>
  </si>
  <si>
    <t>01</t>
  </si>
  <si>
    <t>ツモ支払</t>
  </si>
  <si>
    <t>ツモ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</si>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</sst>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J23" sqref="J23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ぱぱ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まっつん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2900</v>
      </c>
      <c r="M4" s="9"/>
      <c r="N4" s="48">
        <v>0</v>
      </c>
      <c r="O4" s="21">
        <f>IF(COUNTA($F4,$K4,$P4)&gt;0,O3+SUM(L4:N4),"")</f>
        <v>37900</v>
      </c>
      <c r="P4" s="8" t="s">
        <v>195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12.9</v>
      </c>
      <c r="W4" s="55">
        <f>IF($T4="","",ROUND(($T4-$T$3)/1000,1)+(_xlfn.RANK.AVG($T4,($J4,$O4,$T4),1)-2)*10)</f>
        <v>-12.9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196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197</v>
      </c>
      <c r="G5" s="9">
        <v>3000</v>
      </c>
      <c r="H5" s="9"/>
      <c r="I5" s="48"/>
      <c r="J5" s="21">
        <f t="shared" ref="J5:J30" si="2">IF(COUNTA($F5,$K5,$P5)&gt;0,J4+SUM(G5:I5),"")</f>
        <v>38000</v>
      </c>
      <c r="K5" s="8" t="s">
        <v>197</v>
      </c>
      <c r="L5" s="9">
        <v>-1500</v>
      </c>
      <c r="M5" s="9"/>
      <c r="N5" s="48"/>
      <c r="O5" s="21">
        <f t="shared" ref="O5:O30" si="3">IF(COUNTA($F5,$K5,$P5)&gt;0,O4+SUM(L5:N5),"")</f>
        <v>36400</v>
      </c>
      <c r="P5" s="8" t="s">
        <v>197</v>
      </c>
      <c r="Q5" s="9">
        <v>-1500</v>
      </c>
      <c r="R5" s="9"/>
      <c r="S5" s="48"/>
      <c r="T5" s="21">
        <f t="shared" ref="T5:T30" si="4">IF(COUNTA($F5,$K5,$P5)&gt;0,T4+SUM(Q5:S5),"")</f>
        <v>30600</v>
      </c>
      <c r="U5" s="53">
        <f>IF($J5="","",ROUND(($J5-$J$3)/1000,1)+(_xlfn.RANK.AVG($J5,($J5,$O5,$T5),1)-2)*10)</f>
        <v>13</v>
      </c>
      <c r="V5" s="54">
        <f>IF($O5="","",ROUND(($O5-$O$3)/1000,1)+(_xlfn.RANK.AVG($O5,($J5,$O5,$T5),1)-2)*10)</f>
        <v>1.4</v>
      </c>
      <c r="W5" s="55">
        <f>IF($T5="","",ROUND(($T5-$T$3)/1000,1)+(_xlfn.RANK.AVG($T5,($J5,$O5,$T5),1)-2)*10)</f>
        <v>-14.4</v>
      </c>
      <c r="Y5" s="8" t="s">
        <v>198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199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195</v>
      </c>
      <c r="G6" s="9">
        <v>-2000</v>
      </c>
      <c r="H6" s="9"/>
      <c r="I6" s="48">
        <v>-2000</v>
      </c>
      <c r="J6" s="21">
        <f t="shared" si="2"/>
        <v>34000</v>
      </c>
      <c r="K6" s="8" t="s">
        <v>194</v>
      </c>
      <c r="L6" s="9">
        <v>2000</v>
      </c>
      <c r="M6" s="9"/>
      <c r="N6" s="48">
        <v>2000</v>
      </c>
      <c r="O6" s="21">
        <f t="shared" si="3"/>
        <v>40400</v>
      </c>
      <c r="P6" s="8"/>
      <c r="Q6" s="9"/>
      <c r="R6" s="9"/>
      <c r="S6" s="48"/>
      <c r="T6" s="21">
        <f t="shared" si="4"/>
        <v>30600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15.4</v>
      </c>
      <c r="W6" s="55">
        <f>IF($T6="","",ROUND(($T6-$T$3)/1000,1)+(_xlfn.RANK.AVG($T6,($J6,$O6,$T6),1)-2)*10)</f>
        <v>-14.4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30</v>
      </c>
      <c r="AZ6" s="40" t="s">
        <v>200</v>
      </c>
      <c r="BA6" s="41" t="s">
        <v>83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-1300</v>
      </c>
      <c r="H7" s="9"/>
      <c r="I7" s="48">
        <v>0</v>
      </c>
      <c r="J7" s="21">
        <f t="shared" si="2"/>
        <v>32700</v>
      </c>
      <c r="K7" s="8" t="s">
        <v>201</v>
      </c>
      <c r="L7" s="9">
        <v>-800</v>
      </c>
      <c r="M7" s="9">
        <v>-1000</v>
      </c>
      <c r="N7" s="48">
        <v>0</v>
      </c>
      <c r="O7" s="21">
        <f t="shared" si="3"/>
        <v>38600</v>
      </c>
      <c r="P7" s="8" t="s">
        <v>202</v>
      </c>
      <c r="Q7" s="9">
        <v>2100</v>
      </c>
      <c r="R7" s="9">
        <v>1000</v>
      </c>
      <c r="S7" s="48">
        <v>0</v>
      </c>
      <c r="T7" s="21">
        <f t="shared" si="4"/>
        <v>33700</v>
      </c>
      <c r="U7" s="53">
        <f>IF($J7="","",ROUND(($J7-$J$3)/1000,1)+(_xlfn.RANK.AVG($J7,($J7,$O7,$T7),1)-2)*10)</f>
        <v>-12.3</v>
      </c>
      <c r="V7" s="54">
        <f>IF($O7="","",ROUND(($O7-$O$3)/1000,1)+(_xlfn.RANK.AVG($O7,($J7,$O7,$T7),1)-2)*10)</f>
        <v>13.6</v>
      </c>
      <c r="W7" s="55">
        <f>IF($T7="","",ROUND(($T7-$T$3)/1000,1)+(_xlfn.RANK.AVG($T7,($J7,$O7,$T7),1)-2)*10)</f>
        <v>-1.3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30</v>
      </c>
      <c r="BU7" s="40" t="s">
        <v>200</v>
      </c>
      <c r="BV7" s="41" t="s">
        <v>82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195</v>
      </c>
      <c r="G8" s="9">
        <v>-8000</v>
      </c>
      <c r="H8" s="9"/>
      <c r="I8" s="48">
        <v>0</v>
      </c>
      <c r="J8" s="21">
        <f t="shared" si="2"/>
        <v>24700</v>
      </c>
      <c r="K8" s="8"/>
      <c r="L8" s="9"/>
      <c r="M8" s="9"/>
      <c r="N8" s="48"/>
      <c r="O8" s="21">
        <f t="shared" si="3"/>
        <v>38600</v>
      </c>
      <c r="P8" s="8" t="s">
        <v>194</v>
      </c>
      <c r="Q8" s="9">
        <v>8000</v>
      </c>
      <c r="R8" s="9"/>
      <c r="S8" s="48">
        <v>0</v>
      </c>
      <c r="T8" s="21">
        <f t="shared" si="4"/>
        <v>41700</v>
      </c>
      <c r="U8" s="53">
        <f>IF($J8="","",ROUND(($J8-$J$3)/1000,1)+(_xlfn.RANK.AVG($J8,($J8,$O8,$T8),1)-2)*10)</f>
        <v>-20.3</v>
      </c>
      <c r="V8" s="54">
        <f>IF($O8="","",ROUND(($O8-$O$3)/1000,1)+(_xlfn.RANK.AVG($O8,($J8,$O8,$T8),1)-2)*10)</f>
        <v>3.6</v>
      </c>
      <c r="W8" s="55">
        <f>IF($T8="","",ROUND(($T8-$T$3)/1000,1)+(_xlfn.RANK.AVG($T8,($J8,$O8,$T8),1)-2)*10)</f>
        <v>16.7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203</v>
      </c>
      <c r="BU8" s="40" t="s">
        <v>86</v>
      </c>
      <c r="BV8" s="41" t="s">
        <v>79</v>
      </c>
      <c r="BW8" s="41" t="s">
        <v>79</v>
      </c>
      <c r="BX8" s="41" t="s">
        <v>79</v>
      </c>
      <c r="BY8" s="41" t="s">
        <v>196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-2900</v>
      </c>
      <c r="H9" s="9"/>
      <c r="I9" s="48">
        <v>0</v>
      </c>
      <c r="J9" s="21">
        <f t="shared" si="2"/>
        <v>21800</v>
      </c>
      <c r="K9" s="8" t="s">
        <v>202</v>
      </c>
      <c r="L9" s="9">
        <v>7700</v>
      </c>
      <c r="M9" s="9">
        <v>1000</v>
      </c>
      <c r="N9" s="48">
        <v>0</v>
      </c>
      <c r="O9" s="21">
        <f t="shared" si="3"/>
        <v>47300</v>
      </c>
      <c r="P9" s="8" t="s">
        <v>201</v>
      </c>
      <c r="Q9" s="9">
        <v>-4800</v>
      </c>
      <c r="R9" s="9">
        <v>-1000</v>
      </c>
      <c r="S9" s="48">
        <v>0</v>
      </c>
      <c r="T9" s="21">
        <f t="shared" si="4"/>
        <v>35900</v>
      </c>
      <c r="U9" s="53">
        <f>IF($J9="","",ROUND(($J9-$J$3)/1000,1)+(_xlfn.RANK.AVG($J9,($J9,$O9,$T9),1)-2)*10)</f>
        <v>-23.2</v>
      </c>
      <c r="V9" s="54">
        <f>IF($O9="","",ROUND(($O9-$O$3)/1000,1)+(_xlfn.RANK.AVG($O9,($J9,$O9,$T9),1)-2)*10)</f>
        <v>22.3</v>
      </c>
      <c r="W9" s="55">
        <f>IF($T9="","",ROUND(($T9-$T$3)/1000,1)+(_xlfn.RANK.AVG($T9,($J9,$O9,$T9),1)-2)*10)</f>
        <v>0.9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200</v>
      </c>
      <c r="BA9" s="41" t="s">
        <v>82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195</v>
      </c>
      <c r="G10" s="9">
        <v>-3900</v>
      </c>
      <c r="H10" s="9"/>
      <c r="I10" s="48">
        <v>0</v>
      </c>
      <c r="J10" s="21">
        <f t="shared" si="2"/>
        <v>17900</v>
      </c>
      <c r="K10" s="8"/>
      <c r="L10" s="9"/>
      <c r="M10" s="9">
        <v>-1000</v>
      </c>
      <c r="N10" s="48"/>
      <c r="O10" s="21">
        <f t="shared" si="3"/>
        <v>46300</v>
      </c>
      <c r="P10" s="8" t="s">
        <v>194</v>
      </c>
      <c r="Q10" s="9">
        <v>3900</v>
      </c>
      <c r="R10" s="9">
        <v>1000</v>
      </c>
      <c r="S10" s="48">
        <v>0</v>
      </c>
      <c r="T10" s="21">
        <f t="shared" si="4"/>
        <v>40800</v>
      </c>
      <c r="U10" s="53">
        <f>IF($J10="","",ROUND(($J10-$J$3)/1000,1)+(_xlfn.RANK.AVG($J10,($J10,$O10,$T10),1)-2)*10)</f>
        <v>-27.1</v>
      </c>
      <c r="V10" s="54">
        <f>IF($O10="","",ROUND(($O10-$O$3)/1000,1)+(_xlfn.RANK.AVG($O10,($J10,$O10,$T10),1)-2)*10)</f>
        <v>21.3</v>
      </c>
      <c r="W10" s="55">
        <f>IF($T10="","",ROUND(($T10-$T$3)/1000,1)+(_xlfn.RANK.AVG($T10,($J10,$O10,$T10),1)-2)*10)</f>
        <v>5.8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200</v>
      </c>
      <c r="BV10" s="41" t="s">
        <v>83</v>
      </c>
      <c r="BW10" s="41" t="s">
        <v>80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192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381985A-45F0-4FCD-8316-249326405B09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2019-10-06T14:38:44Z</dcterms:modified>
</cp:coreProperties>
</file>