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burdock\Documents\mahjong\麻雀同好会3rd\対局\"/>
    </mc:Choice>
  </mc:AlternateContent>
  <xr:revisionPtr revIDLastSave="0" documentId="13_ncr:1_{5EB8C779-75E0-4D3C-840B-8772B2292A64}" xr6:coauthVersionLast="41" xr6:coauthVersionMax="41" xr10:uidLastSave="{00000000-0000-0000-0000-000000000000}"/>
  <bookViews>
    <workbookView xWindow="-10770" yWindow="1575" windowWidth="21600" windowHeight="11835" activeTab="2" xr2:uid="{4CDB34E1-560F-4998-ABAB-D6F7F2862621}"/>
  </bookViews>
  <sheets>
    <sheet name="Sheet1" sheetId="19" r:id="rId1"/>
    <sheet name="Sheet2" sheetId="20" r:id="rId2"/>
    <sheet name="Sheet3" sheetId="21" r:id="rId3"/>
    <sheet name="役一覧" sheetId="15" state="hidden" r:id="rId4"/>
    <sheet name="点数表(親ロン)" sheetId="4" state="hidden" r:id="rId5"/>
    <sheet name="点数表(親ツモ)" sheetId="9" state="hidden" r:id="rId6"/>
    <sheet name="点数表(子→親)" sheetId="7" state="hidden" r:id="rId7"/>
    <sheet name="点数表(子ロン)" sheetId="3" state="hidden" r:id="rId8"/>
    <sheet name="点数表(子ツモ)" sheetId="10" state="hidden" r:id="rId9"/>
    <sheet name="点数表(子→子)" sheetId="5" state="hidden" r:id="rId10"/>
    <sheet name="点数表(親→子)" sheetId="6" state="hidden" r:id="rId1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T30" i="21" l="1"/>
  <c r="W30" i="21" s="1"/>
  <c r="O30" i="21"/>
  <c r="V30" i="21" s="1"/>
  <c r="J30" i="21"/>
  <c r="U30" i="21" s="1"/>
  <c r="D30" i="21"/>
  <c r="C30" i="21"/>
  <c r="B30" i="21"/>
  <c r="A30" i="21"/>
  <c r="T29" i="21"/>
  <c r="W29" i="21" s="1"/>
  <c r="O29" i="21"/>
  <c r="V29" i="21" s="1"/>
  <c r="J29" i="21"/>
  <c r="U29" i="21" s="1"/>
  <c r="D29" i="21"/>
  <c r="C29" i="21"/>
  <c r="B29" i="21"/>
  <c r="A29" i="21"/>
  <c r="T28" i="21"/>
  <c r="W28" i="21" s="1"/>
  <c r="O28" i="21"/>
  <c r="V28" i="21" s="1"/>
  <c r="J28" i="21"/>
  <c r="U28" i="21" s="1"/>
  <c r="D28" i="21"/>
  <c r="C28" i="21"/>
  <c r="B28" i="21"/>
  <c r="A28" i="21"/>
  <c r="T27" i="21"/>
  <c r="W27" i="21" s="1"/>
  <c r="O27" i="21"/>
  <c r="V27" i="21" s="1"/>
  <c r="J27" i="21"/>
  <c r="U27" i="21" s="1"/>
  <c r="D27" i="21"/>
  <c r="C27" i="21"/>
  <c r="B27" i="21"/>
  <c r="A27" i="21"/>
  <c r="T26" i="21"/>
  <c r="W26" i="21" s="1"/>
  <c r="O26" i="21"/>
  <c r="V26" i="21" s="1"/>
  <c r="J26" i="21"/>
  <c r="U26" i="21" s="1"/>
  <c r="D26" i="21"/>
  <c r="C26" i="21"/>
  <c r="B26" i="21"/>
  <c r="A26" i="21"/>
  <c r="T25" i="21"/>
  <c r="W25" i="21" s="1"/>
  <c r="O25" i="21"/>
  <c r="V25" i="21" s="1"/>
  <c r="J25" i="21"/>
  <c r="U25" i="21" s="1"/>
  <c r="D25" i="21"/>
  <c r="C25" i="21"/>
  <c r="B25" i="21"/>
  <c r="A25" i="21"/>
  <c r="T24" i="21"/>
  <c r="W24" i="21" s="1"/>
  <c r="O24" i="21"/>
  <c r="V24" i="21" s="1"/>
  <c r="J24" i="21"/>
  <c r="U24" i="21" s="1"/>
  <c r="D24" i="21"/>
  <c r="C24" i="21"/>
  <c r="B24" i="21"/>
  <c r="A24" i="21"/>
  <c r="T23" i="21"/>
  <c r="W23" i="21" s="1"/>
  <c r="O23" i="21"/>
  <c r="V23" i="21" s="1"/>
  <c r="J23" i="21"/>
  <c r="U23" i="21" s="1"/>
  <c r="D23" i="21"/>
  <c r="C23" i="21"/>
  <c r="B23" i="21"/>
  <c r="A23" i="21"/>
  <c r="T22" i="21"/>
  <c r="W22" i="21" s="1"/>
  <c r="O22" i="21"/>
  <c r="V22" i="21" s="1"/>
  <c r="J22" i="21"/>
  <c r="U22" i="21" s="1"/>
  <c r="D22" i="21"/>
  <c r="C22" i="21"/>
  <c r="B22" i="21"/>
  <c r="A22" i="21"/>
  <c r="T21" i="21"/>
  <c r="W21" i="21" s="1"/>
  <c r="O21" i="21"/>
  <c r="V21" i="21" s="1"/>
  <c r="J21" i="21"/>
  <c r="U21" i="21" s="1"/>
  <c r="D21" i="21"/>
  <c r="C21" i="21"/>
  <c r="B21" i="21"/>
  <c r="A21" i="21"/>
  <c r="T20" i="21"/>
  <c r="W20" i="21" s="1"/>
  <c r="O20" i="21"/>
  <c r="V20" i="21" s="1"/>
  <c r="J20" i="21"/>
  <c r="U20" i="21" s="1"/>
  <c r="D20" i="21"/>
  <c r="C20" i="21"/>
  <c r="B20" i="21"/>
  <c r="A20" i="21"/>
  <c r="T19" i="21"/>
  <c r="W19" i="21" s="1"/>
  <c r="O19" i="21"/>
  <c r="V19" i="21" s="1"/>
  <c r="J19" i="21"/>
  <c r="U19" i="21" s="1"/>
  <c r="D19" i="21"/>
  <c r="C19" i="21"/>
  <c r="B19" i="21"/>
  <c r="A19" i="21"/>
  <c r="T18" i="21"/>
  <c r="W18" i="21" s="1"/>
  <c r="O18" i="21"/>
  <c r="V18" i="21" s="1"/>
  <c r="J18" i="21"/>
  <c r="U18" i="21" s="1"/>
  <c r="D18" i="21"/>
  <c r="C18" i="21"/>
  <c r="B18" i="21"/>
  <c r="A18" i="21"/>
  <c r="T17" i="21"/>
  <c r="W17" i="21" s="1"/>
  <c r="O17" i="21"/>
  <c r="V17" i="21" s="1"/>
  <c r="J17" i="21"/>
  <c r="U17" i="21" s="1"/>
  <c r="D17" i="21"/>
  <c r="C17" i="21"/>
  <c r="B17" i="21"/>
  <c r="A17" i="21"/>
  <c r="T16" i="21"/>
  <c r="W16" i="21" s="1"/>
  <c r="O16" i="21"/>
  <c r="V16" i="21" s="1"/>
  <c r="J16" i="21"/>
  <c r="U16" i="21" s="1"/>
  <c r="D16" i="21"/>
  <c r="C16" i="21"/>
  <c r="B16" i="21"/>
  <c r="A16" i="21" s="1"/>
  <c r="T15" i="21"/>
  <c r="O15" i="21"/>
  <c r="J15" i="21"/>
  <c r="U15" i="21" s="1"/>
  <c r="D15" i="21"/>
  <c r="C15" i="21"/>
  <c r="B15" i="21"/>
  <c r="A15" i="21"/>
  <c r="T14" i="21"/>
  <c r="W14" i="21" s="1"/>
  <c r="O14" i="21"/>
  <c r="V14" i="21" s="1"/>
  <c r="J14" i="21"/>
  <c r="D14" i="21"/>
  <c r="C14" i="21"/>
  <c r="B14" i="21"/>
  <c r="A14" i="21" s="1"/>
  <c r="T13" i="21"/>
  <c r="O13" i="21"/>
  <c r="J13" i="21"/>
  <c r="D13" i="21"/>
  <c r="C13" i="21"/>
  <c r="B13" i="21"/>
  <c r="A13" i="21" s="1"/>
  <c r="T12" i="21"/>
  <c r="O12" i="21"/>
  <c r="J12" i="21"/>
  <c r="D12" i="21"/>
  <c r="C12" i="21"/>
  <c r="B12" i="21"/>
  <c r="A12" i="21"/>
  <c r="D11" i="21"/>
  <c r="C11" i="21"/>
  <c r="D10" i="21"/>
  <c r="C10" i="21"/>
  <c r="D9" i="21"/>
  <c r="C9" i="21"/>
  <c r="D8" i="21"/>
  <c r="D7" i="21"/>
  <c r="C7" i="21"/>
  <c r="C8" i="21" s="1"/>
  <c r="D6" i="21"/>
  <c r="C6" i="21"/>
  <c r="O5" i="21"/>
  <c r="J5" i="21"/>
  <c r="D5" i="21"/>
  <c r="C5" i="21"/>
  <c r="B5" i="21"/>
  <c r="B6" i="21" s="1"/>
  <c r="A5" i="21"/>
  <c r="T4" i="21"/>
  <c r="O4" i="21"/>
  <c r="J4" i="21"/>
  <c r="W3" i="21"/>
  <c r="V3" i="21"/>
  <c r="U3" i="21"/>
  <c r="W2" i="21"/>
  <c r="V2" i="21"/>
  <c r="U2" i="21"/>
  <c r="BO1" i="21"/>
  <c r="AT1" i="21"/>
  <c r="Y1" i="21"/>
  <c r="T30" i="20"/>
  <c r="W30" i="20" s="1"/>
  <c r="O30" i="20"/>
  <c r="V30" i="20" s="1"/>
  <c r="J30" i="20"/>
  <c r="U30" i="20" s="1"/>
  <c r="D30" i="20"/>
  <c r="C30" i="20"/>
  <c r="B30" i="20"/>
  <c r="A30" i="20"/>
  <c r="T29" i="20"/>
  <c r="W29" i="20" s="1"/>
  <c r="O29" i="20"/>
  <c r="V29" i="20" s="1"/>
  <c r="J29" i="20"/>
  <c r="U29" i="20" s="1"/>
  <c r="D29" i="20"/>
  <c r="C29" i="20"/>
  <c r="B29" i="20"/>
  <c r="A29" i="20"/>
  <c r="T28" i="20"/>
  <c r="W28" i="20" s="1"/>
  <c r="O28" i="20"/>
  <c r="V28" i="20" s="1"/>
  <c r="J28" i="20"/>
  <c r="U28" i="20" s="1"/>
  <c r="D28" i="20"/>
  <c r="C28" i="20"/>
  <c r="B28" i="20"/>
  <c r="A28" i="20"/>
  <c r="T27" i="20"/>
  <c r="W27" i="20" s="1"/>
  <c r="O27" i="20"/>
  <c r="V27" i="20" s="1"/>
  <c r="J27" i="20"/>
  <c r="U27" i="20" s="1"/>
  <c r="D27" i="20"/>
  <c r="C27" i="20"/>
  <c r="B27" i="20"/>
  <c r="A27" i="20"/>
  <c r="T26" i="20"/>
  <c r="W26" i="20" s="1"/>
  <c r="O26" i="20"/>
  <c r="V26" i="20" s="1"/>
  <c r="J26" i="20"/>
  <c r="U26" i="20" s="1"/>
  <c r="D26" i="20"/>
  <c r="C26" i="20"/>
  <c r="B26" i="20"/>
  <c r="A26" i="20"/>
  <c r="T25" i="20"/>
  <c r="W25" i="20" s="1"/>
  <c r="O25" i="20"/>
  <c r="V25" i="20" s="1"/>
  <c r="J25" i="20"/>
  <c r="U25" i="20" s="1"/>
  <c r="D25" i="20"/>
  <c r="C25" i="20"/>
  <c r="B25" i="20"/>
  <c r="A25" i="20"/>
  <c r="T24" i="20"/>
  <c r="W24" i="20" s="1"/>
  <c r="O24" i="20"/>
  <c r="V24" i="20" s="1"/>
  <c r="J24" i="20"/>
  <c r="U24" i="20" s="1"/>
  <c r="D24" i="20"/>
  <c r="C24" i="20"/>
  <c r="B24" i="20"/>
  <c r="A24" i="20"/>
  <c r="T23" i="20"/>
  <c r="W23" i="20" s="1"/>
  <c r="O23" i="20"/>
  <c r="V23" i="20" s="1"/>
  <c r="J23" i="20"/>
  <c r="U23" i="20" s="1"/>
  <c r="D23" i="20"/>
  <c r="C23" i="20"/>
  <c r="B23" i="20"/>
  <c r="A23" i="20"/>
  <c r="T22" i="20"/>
  <c r="W22" i="20" s="1"/>
  <c r="O22" i="20"/>
  <c r="V22" i="20" s="1"/>
  <c r="J22" i="20"/>
  <c r="U22" i="20" s="1"/>
  <c r="D22" i="20"/>
  <c r="C22" i="20"/>
  <c r="B22" i="20"/>
  <c r="A22" i="20"/>
  <c r="T21" i="20"/>
  <c r="W21" i="20" s="1"/>
  <c r="O21" i="20"/>
  <c r="V21" i="20" s="1"/>
  <c r="J21" i="20"/>
  <c r="U21" i="20" s="1"/>
  <c r="D21" i="20"/>
  <c r="C21" i="20"/>
  <c r="B21" i="20"/>
  <c r="A21" i="20"/>
  <c r="T20" i="20"/>
  <c r="W20" i="20" s="1"/>
  <c r="O20" i="20"/>
  <c r="V20" i="20" s="1"/>
  <c r="J20" i="20"/>
  <c r="U20" i="20" s="1"/>
  <c r="D20" i="20"/>
  <c r="C20" i="20"/>
  <c r="B20" i="20"/>
  <c r="A20" i="20"/>
  <c r="T19" i="20"/>
  <c r="W19" i="20" s="1"/>
  <c r="O19" i="20"/>
  <c r="V19" i="20" s="1"/>
  <c r="J19" i="20"/>
  <c r="U19" i="20" s="1"/>
  <c r="D19" i="20"/>
  <c r="C19" i="20"/>
  <c r="B19" i="20"/>
  <c r="A19" i="20"/>
  <c r="T18" i="20"/>
  <c r="W18" i="20" s="1"/>
  <c r="O18" i="20"/>
  <c r="V18" i="20" s="1"/>
  <c r="J18" i="20"/>
  <c r="U18" i="20" s="1"/>
  <c r="D18" i="20"/>
  <c r="C18" i="20"/>
  <c r="B18" i="20"/>
  <c r="A18" i="20"/>
  <c r="T17" i="20"/>
  <c r="W17" i="20" s="1"/>
  <c r="O17" i="20"/>
  <c r="V17" i="20" s="1"/>
  <c r="J17" i="20"/>
  <c r="U17" i="20" s="1"/>
  <c r="D17" i="20"/>
  <c r="C17" i="20"/>
  <c r="B17" i="20"/>
  <c r="A17" i="20"/>
  <c r="T16" i="20"/>
  <c r="W16" i="20" s="1"/>
  <c r="O16" i="20"/>
  <c r="V16" i="20" s="1"/>
  <c r="J16" i="20"/>
  <c r="U16" i="20" s="1"/>
  <c r="D16" i="20"/>
  <c r="C16" i="20"/>
  <c r="B16" i="20"/>
  <c r="A16" i="20"/>
  <c r="T15" i="20"/>
  <c r="W15" i="20" s="1"/>
  <c r="O15" i="20"/>
  <c r="V15" i="20" s="1"/>
  <c r="J15" i="20"/>
  <c r="U15" i="20" s="1"/>
  <c r="D15" i="20"/>
  <c r="C15" i="20"/>
  <c r="B15" i="20"/>
  <c r="A15" i="20"/>
  <c r="T14" i="20"/>
  <c r="W14" i="20" s="1"/>
  <c r="O14" i="20"/>
  <c r="V14" i="20" s="1"/>
  <c r="J14" i="20"/>
  <c r="U14" i="20" s="1"/>
  <c r="D14" i="20"/>
  <c r="C14" i="20"/>
  <c r="B14" i="20"/>
  <c r="A14" i="20"/>
  <c r="T13" i="20"/>
  <c r="W13" i="20" s="1"/>
  <c r="O13" i="20"/>
  <c r="V13" i="20" s="1"/>
  <c r="J13" i="20"/>
  <c r="U13" i="20" s="1"/>
  <c r="D13" i="20"/>
  <c r="C13" i="20"/>
  <c r="B13" i="20"/>
  <c r="A13" i="20"/>
  <c r="T12" i="20"/>
  <c r="W12" i="20" s="1"/>
  <c r="O12" i="20"/>
  <c r="V12" i="20" s="1"/>
  <c r="J12" i="20"/>
  <c r="U12" i="20" s="1"/>
  <c r="D12" i="20"/>
  <c r="C12" i="20"/>
  <c r="B12" i="20"/>
  <c r="A12" i="20"/>
  <c r="T11" i="20"/>
  <c r="O11" i="20"/>
  <c r="V11" i="20" s="1"/>
  <c r="J11" i="20"/>
  <c r="U11" i="20" s="1"/>
  <c r="D11" i="20"/>
  <c r="C11" i="20"/>
  <c r="B11" i="20"/>
  <c r="A11" i="20"/>
  <c r="D10" i="20"/>
  <c r="C10" i="20"/>
  <c r="D9" i="20"/>
  <c r="C9" i="20"/>
  <c r="D8" i="20"/>
  <c r="C8" i="20"/>
  <c r="D7" i="20"/>
  <c r="C7" i="20"/>
  <c r="D6" i="20"/>
  <c r="C6" i="20"/>
  <c r="O5" i="20"/>
  <c r="J5" i="20"/>
  <c r="D5" i="20"/>
  <c r="C5" i="20"/>
  <c r="B5" i="20"/>
  <c r="B6" i="20" s="1"/>
  <c r="A5" i="20"/>
  <c r="T4" i="20"/>
  <c r="O4" i="20"/>
  <c r="J4" i="20"/>
  <c r="W3" i="20"/>
  <c r="V3" i="20"/>
  <c r="U3" i="20"/>
  <c r="W2" i="20"/>
  <c r="V2" i="20"/>
  <c r="U2" i="20"/>
  <c r="BO1" i="20"/>
  <c r="AT1" i="20"/>
  <c r="Y1" i="20"/>
  <c r="V15" i="21" l="1"/>
  <c r="W15" i="21"/>
  <c r="U14" i="21"/>
  <c r="V13" i="21"/>
  <c r="W13" i="21"/>
  <c r="U13" i="21"/>
  <c r="V12" i="21"/>
  <c r="W12" i="21"/>
  <c r="U12" i="21"/>
  <c r="W4" i="21"/>
  <c r="U4" i="21"/>
  <c r="A6" i="21"/>
  <c r="B7" i="21"/>
  <c r="T5" i="21"/>
  <c r="J6" i="21"/>
  <c r="V4" i="21"/>
  <c r="O6" i="21"/>
  <c r="W11" i="20"/>
  <c r="W4" i="20"/>
  <c r="V4" i="20"/>
  <c r="A6" i="20"/>
  <c r="B7" i="20"/>
  <c r="A7" i="20"/>
  <c r="U4" i="20"/>
  <c r="T5" i="20"/>
  <c r="U5" i="20" s="1"/>
  <c r="J6" i="20"/>
  <c r="O6" i="20"/>
  <c r="W3" i="19"/>
  <c r="V3" i="19"/>
  <c r="U3" i="19"/>
  <c r="W5" i="21" l="1"/>
  <c r="T6" i="21"/>
  <c r="V6" i="21" s="1"/>
  <c r="V5" i="21"/>
  <c r="B8" i="21"/>
  <c r="A8" i="21" s="1"/>
  <c r="U6" i="21"/>
  <c r="J7" i="21"/>
  <c r="U5" i="21"/>
  <c r="A7" i="21"/>
  <c r="O7" i="21"/>
  <c r="J7" i="20"/>
  <c r="B8" i="20"/>
  <c r="A8" i="20" s="1"/>
  <c r="W5" i="20"/>
  <c r="T6" i="20"/>
  <c r="V6" i="20"/>
  <c r="O7" i="20"/>
  <c r="V5" i="20"/>
  <c r="T30" i="19"/>
  <c r="W30" i="19" s="1"/>
  <c r="O30" i="19"/>
  <c r="V30" i="19" s="1"/>
  <c r="J30" i="19"/>
  <c r="U30" i="19" s="1"/>
  <c r="D30" i="19"/>
  <c r="C30" i="19"/>
  <c r="B30" i="19"/>
  <c r="A30" i="19"/>
  <c r="T29" i="19"/>
  <c r="W29" i="19" s="1"/>
  <c r="O29" i="19"/>
  <c r="V29" i="19" s="1"/>
  <c r="J29" i="19"/>
  <c r="U29" i="19" s="1"/>
  <c r="D29" i="19"/>
  <c r="C29" i="19"/>
  <c r="B29" i="19"/>
  <c r="A29" i="19"/>
  <c r="T28" i="19"/>
  <c r="W28" i="19" s="1"/>
  <c r="O28" i="19"/>
  <c r="V28" i="19" s="1"/>
  <c r="J28" i="19"/>
  <c r="U28" i="19" s="1"/>
  <c r="D28" i="19"/>
  <c r="C28" i="19"/>
  <c r="B28" i="19"/>
  <c r="A28" i="19"/>
  <c r="T27" i="19"/>
  <c r="W27" i="19" s="1"/>
  <c r="O27" i="19"/>
  <c r="V27" i="19" s="1"/>
  <c r="J27" i="19"/>
  <c r="U27" i="19" s="1"/>
  <c r="D27" i="19"/>
  <c r="C27" i="19"/>
  <c r="B27" i="19"/>
  <c r="A27" i="19"/>
  <c r="T26" i="19"/>
  <c r="W26" i="19" s="1"/>
  <c r="O26" i="19"/>
  <c r="V26" i="19" s="1"/>
  <c r="J26" i="19"/>
  <c r="U26" i="19" s="1"/>
  <c r="D26" i="19"/>
  <c r="C26" i="19"/>
  <c r="B26" i="19"/>
  <c r="A26" i="19"/>
  <c r="T25" i="19"/>
  <c r="W25" i="19" s="1"/>
  <c r="O25" i="19"/>
  <c r="V25" i="19" s="1"/>
  <c r="J25" i="19"/>
  <c r="U25" i="19" s="1"/>
  <c r="D25" i="19"/>
  <c r="C25" i="19"/>
  <c r="B25" i="19"/>
  <c r="A25" i="19"/>
  <c r="T24" i="19"/>
  <c r="W24" i="19" s="1"/>
  <c r="O24" i="19"/>
  <c r="V24" i="19" s="1"/>
  <c r="J24" i="19"/>
  <c r="U24" i="19" s="1"/>
  <c r="D24" i="19"/>
  <c r="C24" i="19"/>
  <c r="B24" i="19"/>
  <c r="A24" i="19"/>
  <c r="T23" i="19"/>
  <c r="W23" i="19" s="1"/>
  <c r="O23" i="19"/>
  <c r="V23" i="19" s="1"/>
  <c r="J23" i="19"/>
  <c r="U23" i="19" s="1"/>
  <c r="D23" i="19"/>
  <c r="C23" i="19"/>
  <c r="B23" i="19"/>
  <c r="A23" i="19"/>
  <c r="T22" i="19"/>
  <c r="W22" i="19" s="1"/>
  <c r="O22" i="19"/>
  <c r="V22" i="19" s="1"/>
  <c r="J22" i="19"/>
  <c r="U22" i="19" s="1"/>
  <c r="D22" i="19"/>
  <c r="C22" i="19"/>
  <c r="B22" i="19"/>
  <c r="A22" i="19"/>
  <c r="T21" i="19"/>
  <c r="W21" i="19" s="1"/>
  <c r="O21" i="19"/>
  <c r="V21" i="19" s="1"/>
  <c r="J21" i="19"/>
  <c r="U21" i="19" s="1"/>
  <c r="D21" i="19"/>
  <c r="C21" i="19"/>
  <c r="B21" i="19"/>
  <c r="A21" i="19"/>
  <c r="T20" i="19"/>
  <c r="W20" i="19" s="1"/>
  <c r="O20" i="19"/>
  <c r="V20" i="19" s="1"/>
  <c r="J20" i="19"/>
  <c r="U20" i="19" s="1"/>
  <c r="D20" i="19"/>
  <c r="C20" i="19"/>
  <c r="B20" i="19"/>
  <c r="A20" i="19"/>
  <c r="T19" i="19"/>
  <c r="W19" i="19" s="1"/>
  <c r="O19" i="19"/>
  <c r="V19" i="19" s="1"/>
  <c r="J19" i="19"/>
  <c r="U19" i="19" s="1"/>
  <c r="D19" i="19"/>
  <c r="C19" i="19"/>
  <c r="B19" i="19"/>
  <c r="A19" i="19"/>
  <c r="T18" i="19"/>
  <c r="W18" i="19" s="1"/>
  <c r="O18" i="19"/>
  <c r="V18" i="19" s="1"/>
  <c r="J18" i="19"/>
  <c r="U18" i="19" s="1"/>
  <c r="D18" i="19"/>
  <c r="C18" i="19"/>
  <c r="B18" i="19"/>
  <c r="A18" i="19"/>
  <c r="T17" i="19"/>
  <c r="W17" i="19" s="1"/>
  <c r="O17" i="19"/>
  <c r="V17" i="19" s="1"/>
  <c r="J17" i="19"/>
  <c r="U17" i="19" s="1"/>
  <c r="D17" i="19"/>
  <c r="C17" i="19"/>
  <c r="B17" i="19"/>
  <c r="A17" i="19"/>
  <c r="T16" i="19"/>
  <c r="W16" i="19" s="1"/>
  <c r="O16" i="19"/>
  <c r="V16" i="19" s="1"/>
  <c r="J16" i="19"/>
  <c r="U16" i="19" s="1"/>
  <c r="D16" i="19"/>
  <c r="C16" i="19"/>
  <c r="B16" i="19"/>
  <c r="A16" i="19"/>
  <c r="T15" i="19"/>
  <c r="W15" i="19" s="1"/>
  <c r="O15" i="19"/>
  <c r="V15" i="19" s="1"/>
  <c r="J15" i="19"/>
  <c r="U15" i="19" s="1"/>
  <c r="D15" i="19"/>
  <c r="C15" i="19"/>
  <c r="B15" i="19"/>
  <c r="A15" i="19"/>
  <c r="T14" i="19"/>
  <c r="W14" i="19" s="1"/>
  <c r="O14" i="19"/>
  <c r="V14" i="19" s="1"/>
  <c r="J14" i="19"/>
  <c r="U14" i="19" s="1"/>
  <c r="D14" i="19"/>
  <c r="C14" i="19"/>
  <c r="B14" i="19"/>
  <c r="A14" i="19"/>
  <c r="T13" i="19"/>
  <c r="W13" i="19" s="1"/>
  <c r="O13" i="19"/>
  <c r="V13" i="19" s="1"/>
  <c r="J13" i="19"/>
  <c r="U13" i="19" s="1"/>
  <c r="D13" i="19"/>
  <c r="C13" i="19"/>
  <c r="B13" i="19"/>
  <c r="A13" i="19"/>
  <c r="T12" i="19"/>
  <c r="W12" i="19" s="1"/>
  <c r="O12" i="19"/>
  <c r="V12" i="19" s="1"/>
  <c r="J12" i="19"/>
  <c r="U12" i="19" s="1"/>
  <c r="D12" i="19"/>
  <c r="C12" i="19"/>
  <c r="B12" i="19"/>
  <c r="A12" i="19"/>
  <c r="T11" i="19"/>
  <c r="W11" i="19" s="1"/>
  <c r="O11" i="19"/>
  <c r="V11" i="19" s="1"/>
  <c r="J11" i="19"/>
  <c r="U11" i="19" s="1"/>
  <c r="D11" i="19"/>
  <c r="C11" i="19"/>
  <c r="B11" i="19"/>
  <c r="A11" i="19" s="1"/>
  <c r="T10" i="19"/>
  <c r="W10" i="19" s="1"/>
  <c r="O10" i="19"/>
  <c r="V10" i="19" s="1"/>
  <c r="J10" i="19"/>
  <c r="U10" i="19" s="1"/>
  <c r="D10" i="19"/>
  <c r="C10" i="19"/>
  <c r="B10" i="19"/>
  <c r="A10" i="19"/>
  <c r="T9" i="19"/>
  <c r="O9" i="19"/>
  <c r="J9" i="19"/>
  <c r="U9" i="19" s="1"/>
  <c r="D9" i="19"/>
  <c r="C9" i="19"/>
  <c r="B9" i="19"/>
  <c r="A9" i="19" s="1"/>
  <c r="T8" i="19"/>
  <c r="O8" i="19"/>
  <c r="J8" i="19"/>
  <c r="U8" i="19" s="1"/>
  <c r="D8" i="19"/>
  <c r="C8" i="19"/>
  <c r="B8" i="19"/>
  <c r="A8" i="19" s="1"/>
  <c r="T7" i="19"/>
  <c r="O7" i="19"/>
  <c r="J7" i="19"/>
  <c r="D7" i="19"/>
  <c r="C7" i="19"/>
  <c r="B7" i="19"/>
  <c r="A7" i="19" s="1"/>
  <c r="T6" i="19"/>
  <c r="O6" i="19"/>
  <c r="V6" i="19" s="1"/>
  <c r="J6" i="19"/>
  <c r="D6" i="19"/>
  <c r="C6" i="19"/>
  <c r="B6" i="19"/>
  <c r="A6" i="19" s="1"/>
  <c r="D5" i="19"/>
  <c r="C5" i="19"/>
  <c r="B5" i="19"/>
  <c r="A5" i="19" s="1"/>
  <c r="T4" i="19"/>
  <c r="O4" i="19"/>
  <c r="J4" i="19"/>
  <c r="W2" i="19"/>
  <c r="V2" i="19"/>
  <c r="U2" i="19"/>
  <c r="BO1" i="19"/>
  <c r="AT1" i="19"/>
  <c r="Y1" i="19"/>
  <c r="J8" i="21" l="1"/>
  <c r="B9" i="21"/>
  <c r="O8" i="21"/>
  <c r="W6" i="21"/>
  <c r="T7" i="21"/>
  <c r="V7" i="21" s="1"/>
  <c r="W6" i="20"/>
  <c r="T7" i="20"/>
  <c r="B9" i="20"/>
  <c r="A9" i="20" s="1"/>
  <c r="U7" i="20"/>
  <c r="J8" i="20"/>
  <c r="O8" i="20"/>
  <c r="V7" i="20"/>
  <c r="U6" i="20"/>
  <c r="V9" i="19"/>
  <c r="W9" i="19"/>
  <c r="W8" i="19"/>
  <c r="V8" i="19"/>
  <c r="V7" i="19"/>
  <c r="W7" i="19"/>
  <c r="U7" i="19"/>
  <c r="U6" i="19"/>
  <c r="W6" i="19"/>
  <c r="U4" i="19"/>
  <c r="V4" i="19"/>
  <c r="T5" i="19"/>
  <c r="W4" i="19"/>
  <c r="J5" i="19"/>
  <c r="O5" i="19"/>
  <c r="V5" i="19" s="1"/>
  <c r="T8" i="21" l="1"/>
  <c r="W7" i="21"/>
  <c r="V8" i="21"/>
  <c r="O9" i="21"/>
  <c r="B10" i="21"/>
  <c r="A9" i="21"/>
  <c r="A10" i="21" s="1"/>
  <c r="U8" i="21"/>
  <c r="J9" i="21"/>
  <c r="U7" i="21"/>
  <c r="J9" i="20"/>
  <c r="B10" i="20"/>
  <c r="A10" i="20" s="1"/>
  <c r="O9" i="20"/>
  <c r="T8" i="20"/>
  <c r="U8" i="20" s="1"/>
  <c r="W7" i="20"/>
  <c r="U5" i="19"/>
  <c r="W5" i="19"/>
  <c r="B11" i="21" l="1"/>
  <c r="A11" i="21" s="1"/>
  <c r="O10" i="21"/>
  <c r="J10" i="21"/>
  <c r="W8" i="21"/>
  <c r="T9" i="21"/>
  <c r="V9" i="21" s="1"/>
  <c r="V8" i="20"/>
  <c r="J10" i="20"/>
  <c r="W8" i="20"/>
  <c r="T9" i="20"/>
  <c r="U9" i="20" s="1"/>
  <c r="V9" i="20"/>
  <c r="O10" i="20"/>
  <c r="J11" i="21" l="1"/>
  <c r="U9" i="21"/>
  <c r="O11" i="21"/>
  <c r="W9" i="21"/>
  <c r="T10" i="21"/>
  <c r="U10" i="21" s="1"/>
  <c r="W9" i="20"/>
  <c r="T10" i="20"/>
  <c r="U10" i="20"/>
  <c r="W10" i="21" l="1"/>
  <c r="T11" i="21"/>
  <c r="V11" i="21" s="1"/>
  <c r="V10" i="21"/>
  <c r="U11" i="21"/>
  <c r="W10" i="20"/>
  <c r="V10" i="20"/>
  <c r="W11" i="21" l="1"/>
</calcChain>
</file>

<file path=xl/sharedStrings.xml><?xml version="1.0" encoding="utf-8"?>
<sst xmlns="http://schemas.openxmlformats.org/spreadsheetml/2006/main" count="807" uniqueCount="216">
  <si>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</si>
  <si>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</si>
  <si>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</si>
  <si>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</si>
  <si>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</si>
  <si>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</si>
  <si>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</si>
  <si>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</si>
  <si>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</si>
  <si>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</si>
  <si>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</si>
  <si>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</si>
  <si>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</si>
  <si>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</si>
  <si>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</si>
  <si>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</si>
  <si>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</si>
  <si>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</si>
  <si>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</si>
  <si>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</si>
  <si>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</si>
  <si>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</si>
  <si>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リーチ</t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</si>
  <si>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</si>
  <si>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</si>
  <si>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</si>
  <si>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</si>
  <si>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</si>
  <si>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</si>
  <si>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</si>
  <si>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</si>
  <si>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</si>
  <si>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</si>
  <si>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</si>
  <si>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</si>
  <si>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</si>
  <si>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</si>
  <si>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</si>
  <si>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</si>
  <si>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</si>
  <si>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</si>
  <si>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</si>
  <si>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</si>
  <si>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</si>
  <si>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</si>
  <si>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</si>
  <si>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</si>
  <si>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</si>
  <si>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</si>
  <si>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</si>
  <si>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</si>
  <si>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</si>
  <si>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</si>
  <si>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</si>
  <si>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</si>
  <si>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</si>
  <si>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</si>
  <si>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</si>
  <si>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</si>
  <si>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</si>
  <si>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</si>
  <si>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</si>
  <si>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</si>
  <si>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</si>
  <si>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</si>
  <si>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</si>
  <si>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</si>
  <si>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</si>
  <si>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</si>
  <si>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人和</t>
    <phoneticPr fontId="1"/>
  </si>
  <si>
    <t>国士無双十三面待ち</t>
    <phoneticPr fontId="1"/>
  </si>
  <si>
    <t>四暗刻単騎待ち</t>
    <rPh sb="5" eb="6">
      <t>マ</t>
    </rPh>
    <phoneticPr fontId="1"/>
  </si>
  <si>
    <t>純正九蓮宝燈</t>
    <phoneticPr fontId="1"/>
  </si>
  <si>
    <t>大車輪</t>
    <phoneticPr fontId="1"/>
  </si>
  <si>
    <t>大竹林</t>
    <phoneticPr fontId="1"/>
  </si>
  <si>
    <t>大数隣</t>
    <phoneticPr fontId="1"/>
  </si>
  <si>
    <t>八連荘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</si>
  <si>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</si>
  <si>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</si>
  <si>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</si>
  <si>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</si>
  <si>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</si>
  <si>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</si>
  <si>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</si>
  <si>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</si>
  <si>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</si>
  <si>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</si>
  <si>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</si>
  <si>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</si>
  <si>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</si>
  <si>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</si>
  <si>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</si>
  <si>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</si>
  <si>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</si>
  <si>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</si>
  <si>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</si>
  <si>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</si>
  <si>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</si>
  <si>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</si>
  <si>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</si>
  <si>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</si>
  <si>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</si>
  <si>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</si>
  <si>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</si>
  <si>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</si>
  <si>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</si>
  <si>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</si>
  <si>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</si>
  <si>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</si>
  <si>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</si>
  <si>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</si>
  <si>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</si>
  <si>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</si>
  <si>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</si>
  <si>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</si>
  <si>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</si>
  <si>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</si>
  <si>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</si>
  <si>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</si>
  <si>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</si>
  <si>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</si>
  <si>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</si>
  <si>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</si>
  <si>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</si>
  <si>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</si>
  <si>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</si>
  <si>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</si>
  <si>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</si>
  <si>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</si>
  <si>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</si>
  <si>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</si>
  <si>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</si>
  <si>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</si>
  <si>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</si>
  <si>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51</t>
    <phoneticPr fontId="1"/>
  </si>
  <si>
    <t>オープン立直</t>
    <rPh sb="4" eb="6">
      <t>リーチ</t>
    </rPh>
    <phoneticPr fontId="1"/>
  </si>
  <si>
    <t>52</t>
    <phoneticPr fontId="1"/>
  </si>
  <si>
    <t>赤ドラ</t>
    <rPh sb="0" eb="1">
      <t>アカ</t>
    </rPh>
    <phoneticPr fontId="1"/>
  </si>
  <si>
    <t>文字</t>
    <rPh sb="0" eb="2">
      <t>モジ</t>
    </rPh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</si>
  <si>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</si>
  <si>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</si>
  <si>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</si>
  <si>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</si>
  <si>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</si>
  <si>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</si>
  <si>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</si>
  <si>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</si>
  <si>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</si>
  <si>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</si>
  <si>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</si>
  <si>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</si>
  <si>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</si>
  <si>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</si>
  <si>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</si>
  <si>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</si>
  <si>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</si>
  <si>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</si>
  <si>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o</t>
    <phoneticPr fontId="1"/>
  </si>
  <si>
    <t>p</t>
    <phoneticPr fontId="1"/>
  </si>
  <si>
    <t>h</t>
    <phoneticPr fontId="1"/>
  </si>
  <si>
    <t>j</t>
    <phoneticPr fontId="1"/>
  </si>
  <si>
    <t>k</t>
    <phoneticPr fontId="1"/>
  </si>
  <si>
    <t>l</t>
    <phoneticPr fontId="1"/>
  </si>
  <si>
    <t>;</t>
    <phoneticPr fontId="1"/>
  </si>
  <si>
    <t>n</t>
    <phoneticPr fontId="1"/>
  </si>
  <si>
    <t>m</t>
    <phoneticPr fontId="1"/>
  </si>
  <si>
    <t>,</t>
    <phoneticPr fontId="1"/>
  </si>
  <si>
    <t>.</t>
    <phoneticPr fontId="1"/>
  </si>
  <si>
    <t>/</t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</si>
  <si>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</si>
  <si>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</si>
  <si>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</si>
  <si>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</si>
  <si>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</si>
  <si>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</si>
  <si>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</si>
  <si>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</si>
  <si>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</si>
  <si>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</si>
  <si>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</si>
  <si>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</si>
  <si>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</si>
  <si>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</si>
  <si>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</si>
  <si>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</si>
  <si>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</si>
  <si>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</si>
  <si>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P</t>
    <phoneticPr fontId="1"/>
  </si>
  <si>
    <t>53</t>
    <phoneticPr fontId="1"/>
  </si>
  <si>
    <t>O</t>
    <phoneticPr fontId="1"/>
  </si>
  <si>
    <t>十三不塔</t>
    <rPh sb="0" eb="4">
      <t>シー</t>
    </rPh>
    <phoneticPr fontId="1"/>
  </si>
  <si>
    <t>ぱぱ</t>
  </si>
  <si>
    <t>ぱぱ</t>
    <phoneticPr fontId="1"/>
  </si>
  <si>
    <t>だいち</t>
  </si>
  <si>
    <t>だいち</t>
    <phoneticPr fontId="1"/>
  </si>
  <si>
    <t>ただ</t>
  </si>
  <si>
    <t>ただ</t>
    <phoneticPr fontId="1"/>
  </si>
  <si>
    <t>ツモ支払</t>
  </si>
  <si>
    <t>ツモ</t>
  </si>
  <si>
    <t>01</t>
  </si>
  <si>
    <t>ロン</t>
  </si>
  <si>
    <t>放銃</t>
  </si>
  <si>
    <t>*</t>
  </si>
  <si>
    <t>52</t>
  </si>
  <si>
    <t>たかの</t>
  </si>
  <si>
    <t>たかの</t>
    <phoneticPr fontId="1"/>
  </si>
  <si>
    <t>りくと</t>
  </si>
  <si>
    <t>りくと</t>
    <phoneticPr fontId="1"/>
  </si>
  <si>
    <t>だいち</t>
    <phoneticPr fontId="1"/>
  </si>
  <si>
    <t>02</t>
  </si>
  <si>
    <t>まっつん</t>
  </si>
  <si>
    <t>まっつん</t>
    <phoneticPr fontId="1"/>
  </si>
  <si>
    <t>チョンボ</t>
  </si>
  <si>
    <t>T</t>
  </si>
  <si>
    <t>N</t>
  </si>
  <si>
    <t>流局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</si>
</sst>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83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0" xfId="0" applyAlignment="1">
      <alignment vertical="center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0" fontId="0" fillId="0" borderId="11" xfId="0" applyFill="1" applyBorder="1" applyAlignment="1">
      <alignment horizontal="center" vertical="center" shrinkToFit="1"/>
    </xf>
    <xf numFmtId="176" fontId="0" fillId="0" borderId="2" xfId="0" applyNumberFormat="1" applyFill="1" applyBorder="1" applyAlignment="1">
      <alignment vertical="center" shrinkToFit="1"/>
    </xf>
    <xf numFmtId="176" fontId="0" fillId="0" borderId="1" xfId="0" applyNumberFormat="1" applyFill="1" applyBorder="1" applyAlignment="1">
      <alignment vertical="center" shrinkToFit="1"/>
    </xf>
    <xf numFmtId="176" fontId="0" fillId="0" borderId="3" xfId="0" applyNumberFormat="1" applyFill="1" applyBorder="1" applyAlignment="1">
      <alignment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</cellXfs>
  <cellStyles count="1">
    <cellStyle name="標準" xfId="0" builtinId="0"/>
  </cellStyles>
  <dxfs count="15"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5F9845-6F10-427C-863A-AE6D6A6D0EA6}">
  <sheetPr codeName="Sheet10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75" t="s">
        <v>0</v>
      </c>
      <c r="B1" s="77" t="s">
        <v>2</v>
      </c>
      <c r="C1" s="77" t="s">
        <v>1</v>
      </c>
      <c r="D1" s="77" t="s">
        <v>21</v>
      </c>
      <c r="E1" s="79" t="s">
        <v>3</v>
      </c>
      <c r="F1" s="71" t="s">
        <v>192</v>
      </c>
      <c r="G1" s="72"/>
      <c r="H1" s="72"/>
      <c r="I1" s="73"/>
      <c r="J1" s="74"/>
      <c r="K1" s="71" t="s">
        <v>194</v>
      </c>
      <c r="L1" s="72"/>
      <c r="M1" s="72"/>
      <c r="N1" s="73"/>
      <c r="O1" s="74"/>
      <c r="P1" s="71" t="s">
        <v>196</v>
      </c>
      <c r="Q1" s="72"/>
      <c r="R1" s="72"/>
      <c r="S1" s="73"/>
      <c r="T1" s="74"/>
      <c r="U1" s="71" t="s">
        <v>6</v>
      </c>
      <c r="V1" s="72"/>
      <c r="W1" s="74"/>
      <c r="Y1" s="71" t="str">
        <f>F1</f>
        <v>ぱぱ</v>
      </c>
      <c r="Z1" s="82"/>
      <c r="AA1" s="72"/>
      <c r="AB1" s="72"/>
      <c r="AC1" s="72"/>
      <c r="AD1" s="72"/>
      <c r="AE1" s="72"/>
      <c r="AF1" s="72"/>
      <c r="AG1" s="72"/>
      <c r="AH1" s="72"/>
      <c r="AI1" s="72"/>
      <c r="AJ1" s="72"/>
      <c r="AK1" s="72"/>
      <c r="AL1" s="72"/>
      <c r="AM1" s="72"/>
      <c r="AN1" s="72"/>
      <c r="AO1" s="72"/>
      <c r="AP1" s="72"/>
      <c r="AQ1" s="72"/>
      <c r="AR1" s="72"/>
      <c r="AS1" s="74"/>
      <c r="AT1" s="71" t="str">
        <f>K1</f>
        <v>だいち</v>
      </c>
      <c r="AU1" s="82"/>
      <c r="AV1" s="72"/>
      <c r="AW1" s="72"/>
      <c r="AX1" s="72"/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  <c r="BM1" s="72"/>
      <c r="BN1" s="74"/>
      <c r="BO1" s="71" t="str">
        <f>P1</f>
        <v>ただ</v>
      </c>
      <c r="BP1" s="82"/>
      <c r="BQ1" s="72"/>
      <c r="BR1" s="72"/>
      <c r="BS1" s="72"/>
      <c r="BT1" s="72"/>
      <c r="BU1" s="72"/>
      <c r="BV1" s="72"/>
      <c r="BW1" s="72"/>
      <c r="BX1" s="72"/>
      <c r="BY1" s="72"/>
      <c r="BZ1" s="72"/>
      <c r="CA1" s="72"/>
      <c r="CB1" s="72"/>
      <c r="CC1" s="72"/>
      <c r="CD1" s="72"/>
      <c r="CE1" s="72"/>
      <c r="CF1" s="72"/>
      <c r="CG1" s="72"/>
      <c r="CH1" s="72"/>
      <c r="CI1" s="74"/>
    </row>
    <row r="2" spans="1:87" x14ac:dyDescent="0.4">
      <c r="A2" s="76"/>
      <c r="B2" s="78"/>
      <c r="C2" s="78"/>
      <c r="D2" s="78"/>
      <c r="E2" s="80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3" t="str">
        <f>$F$1</f>
        <v>ぱぱ</v>
      </c>
      <c r="V2" s="64" t="str">
        <f>$K$1</f>
        <v>だいち</v>
      </c>
      <c r="W2" s="16" t="str">
        <f>$P$1</f>
        <v>ただ</v>
      </c>
      <c r="Y2" s="59" t="s">
        <v>23</v>
      </c>
      <c r="Z2" s="60" t="s">
        <v>26</v>
      </c>
      <c r="AA2" s="61" t="s">
        <v>24</v>
      </c>
      <c r="AB2" s="61" t="s">
        <v>127</v>
      </c>
      <c r="AC2" s="61" t="s">
        <v>18</v>
      </c>
      <c r="AD2" s="62" t="s">
        <v>19</v>
      </c>
      <c r="AE2" s="81" t="s">
        <v>20</v>
      </c>
      <c r="AF2" s="81"/>
      <c r="AG2" s="81"/>
      <c r="AH2" s="81"/>
      <c r="AI2" s="81"/>
      <c r="AJ2" s="81"/>
      <c r="AK2" s="81"/>
      <c r="AL2" s="81"/>
      <c r="AM2" s="81"/>
      <c r="AN2" s="81"/>
      <c r="AO2" s="81"/>
      <c r="AP2" s="81"/>
      <c r="AQ2" s="81"/>
      <c r="AR2" s="81"/>
      <c r="AS2" s="81"/>
      <c r="AT2" s="59" t="s">
        <v>23</v>
      </c>
      <c r="AU2" s="60" t="s">
        <v>26</v>
      </c>
      <c r="AV2" s="61" t="s">
        <v>24</v>
      </c>
      <c r="AW2" s="61" t="s">
        <v>128</v>
      </c>
      <c r="AX2" s="61" t="s">
        <v>18</v>
      </c>
      <c r="AY2" s="62" t="s">
        <v>19</v>
      </c>
      <c r="AZ2" s="81" t="s">
        <v>20</v>
      </c>
      <c r="BA2" s="81"/>
      <c r="BB2" s="81"/>
      <c r="BC2" s="81"/>
      <c r="BD2" s="81"/>
      <c r="BE2" s="81"/>
      <c r="BF2" s="81"/>
      <c r="BG2" s="81"/>
      <c r="BH2" s="81"/>
      <c r="BI2" s="81"/>
      <c r="BJ2" s="81"/>
      <c r="BK2" s="81"/>
      <c r="BL2" s="81"/>
      <c r="BM2" s="81"/>
      <c r="BN2" s="81"/>
      <c r="BO2" s="59" t="s">
        <v>23</v>
      </c>
      <c r="BP2" s="60" t="s">
        <v>26</v>
      </c>
      <c r="BQ2" s="61" t="s">
        <v>24</v>
      </c>
      <c r="BR2" s="61" t="s">
        <v>128</v>
      </c>
      <c r="BS2" s="61" t="s">
        <v>18</v>
      </c>
      <c r="BT2" s="62" t="s">
        <v>19</v>
      </c>
      <c r="BU2" s="81" t="s">
        <v>20</v>
      </c>
      <c r="BV2" s="81"/>
      <c r="BW2" s="81"/>
      <c r="BX2" s="81"/>
      <c r="BY2" s="81"/>
      <c r="BZ2" s="81"/>
      <c r="CA2" s="81"/>
      <c r="CB2" s="81"/>
      <c r="CC2" s="81"/>
      <c r="CD2" s="81"/>
      <c r="CE2" s="81"/>
      <c r="CF2" s="81"/>
      <c r="CG2" s="81"/>
      <c r="CH2" s="81"/>
      <c r="CI2" s="81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191</v>
      </c>
      <c r="F4" s="8" t="s">
        <v>197</v>
      </c>
      <c r="G4" s="9">
        <v>-2500</v>
      </c>
      <c r="H4" s="9"/>
      <c r="I4" s="48">
        <v>0</v>
      </c>
      <c r="J4" s="21">
        <f>IF(COUNTA($F4,$K4,$P4)&gt;0,J3+SUM(G4:I4),"")</f>
        <v>32500</v>
      </c>
      <c r="K4" s="8" t="s">
        <v>198</v>
      </c>
      <c r="L4" s="9">
        <v>4000</v>
      </c>
      <c r="M4" s="9"/>
      <c r="N4" s="48">
        <v>0</v>
      </c>
      <c r="O4" s="21">
        <f>IF(COUNTA($F4,$K4,$P4)&gt;0,O3+SUM(L4:N4),"")</f>
        <v>39000</v>
      </c>
      <c r="P4" s="8" t="s">
        <v>197</v>
      </c>
      <c r="Q4" s="9">
        <v>-1500</v>
      </c>
      <c r="R4" s="9"/>
      <c r="S4" s="48">
        <v>0</v>
      </c>
      <c r="T4" s="21">
        <f>IF(COUNTA($F4,$K4,$P4)&gt;0,T3+SUM(Q4:S4),"")</f>
        <v>33500</v>
      </c>
      <c r="U4" s="53">
        <f>IF($J4="","",ROUND(($J4-$J$3)/1000,1)+(_xlfn.RANK.AVG($J4,($J4,$O4,$T4),1)-2)*10)</f>
        <v>-12.5</v>
      </c>
      <c r="V4" s="54">
        <f>IF($O4="","",ROUND(($O4-$O$3)/1000,1)+(_xlfn.RANK.AVG($O4,($J4,$O4,$T4),1)-2)*10)</f>
        <v>14</v>
      </c>
      <c r="W4" s="55">
        <f>IF($T4="","",ROUND(($T4-$T$3)/1000,1)+(_xlfn.RANK.AVG($T4,($J4,$O4,$T4),1)-2)*10)</f>
        <v>-1.5</v>
      </c>
      <c r="Y4" s="8"/>
      <c r="Z4" s="34"/>
      <c r="AA4" s="26"/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>
        <v>1</v>
      </c>
      <c r="AW4" s="26"/>
      <c r="AX4" s="26">
        <v>3</v>
      </c>
      <c r="AY4" s="30">
        <v>30</v>
      </c>
      <c r="AZ4" s="40" t="s">
        <v>199</v>
      </c>
      <c r="BA4" s="41" t="s">
        <v>82</v>
      </c>
      <c r="BB4" s="41" t="s">
        <v>80</v>
      </c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">
        <v>193</v>
      </c>
      <c r="F5" s="8" t="s">
        <v>197</v>
      </c>
      <c r="G5" s="9">
        <v>-3900</v>
      </c>
      <c r="H5" s="9"/>
      <c r="I5" s="48">
        <v>0</v>
      </c>
      <c r="J5" s="21">
        <f t="shared" ref="J5:J30" si="2">IF(COUNTA($F5,$K5,$P5)&gt;0,J4+SUM(G5:I5),"")</f>
        <v>28600</v>
      </c>
      <c r="K5" s="8" t="s">
        <v>198</v>
      </c>
      <c r="L5" s="9">
        <v>7800</v>
      </c>
      <c r="M5" s="9"/>
      <c r="N5" s="48">
        <v>0</v>
      </c>
      <c r="O5" s="21">
        <f t="shared" ref="O5:O30" si="3">IF(COUNTA($F5,$K5,$P5)&gt;0,O4+SUM(L5:N5),"")</f>
        <v>46800</v>
      </c>
      <c r="P5" s="8" t="s">
        <v>197</v>
      </c>
      <c r="Q5" s="9">
        <v>-3900</v>
      </c>
      <c r="R5" s="9"/>
      <c r="S5" s="48">
        <v>0</v>
      </c>
      <c r="T5" s="21">
        <f t="shared" ref="T5:T30" si="4">IF(COUNTA($F5,$K5,$P5)&gt;0,T4+SUM(Q5:S5),"")</f>
        <v>29600</v>
      </c>
      <c r="U5" s="53">
        <f>IF($J5="","",ROUND(($J5-$J$3)/1000,1)+(_xlfn.RANK.AVG($J5,($J5,$O5,$T5),1)-2)*10)</f>
        <v>-16.399999999999999</v>
      </c>
      <c r="V5" s="54">
        <f>IF($O5="","",ROUND(($O5-$O$3)/1000,1)+(_xlfn.RANK.AVG($O5,($J5,$O5,$T5),1)-2)*10)</f>
        <v>21.8</v>
      </c>
      <c r="W5" s="55">
        <f>IF($T5="","",ROUND(($T5-$T$3)/1000,1)+(_xlfn.RANK.AVG($T5,($J5,$O5,$T5),1)-2)*10)</f>
        <v>-5.4</v>
      </c>
      <c r="Y5" s="8"/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>
        <v>1</v>
      </c>
      <c r="AW5" s="26"/>
      <c r="AX5" s="26">
        <v>4</v>
      </c>
      <c r="AY5" s="30">
        <v>20</v>
      </c>
      <c r="AZ5" s="40" t="s">
        <v>199</v>
      </c>
      <c r="BA5" s="41" t="s">
        <v>82</v>
      </c>
      <c r="BB5" s="41" t="s">
        <v>83</v>
      </c>
      <c r="BC5" s="41" t="s">
        <v>80</v>
      </c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2</v>
      </c>
      <c r="C6" s="18">
        <f t="shared" ref="C6:C30" si="6">IF($E6="","",IF($F5="チョンボ",C5,IF(OR($E5=$E6,$F5="流局"),C5+1,0)))</f>
        <v>1</v>
      </c>
      <c r="D6" s="18">
        <f t="shared" si="1"/>
        <v>0</v>
      </c>
      <c r="E6" s="4" t="s">
        <v>193</v>
      </c>
      <c r="F6" s="8" t="s">
        <v>198</v>
      </c>
      <c r="G6" s="9">
        <v>2100</v>
      </c>
      <c r="H6" s="9"/>
      <c r="I6" s="48">
        <v>1000</v>
      </c>
      <c r="J6" s="21">
        <f t="shared" si="2"/>
        <v>31700</v>
      </c>
      <c r="K6" s="8" t="s">
        <v>197</v>
      </c>
      <c r="L6" s="9">
        <v>-1300</v>
      </c>
      <c r="M6" s="9"/>
      <c r="N6" s="48">
        <v>-500</v>
      </c>
      <c r="O6" s="21">
        <f t="shared" si="3"/>
        <v>45000</v>
      </c>
      <c r="P6" s="8" t="s">
        <v>197</v>
      </c>
      <c r="Q6" s="9">
        <v>-800</v>
      </c>
      <c r="R6" s="9"/>
      <c r="S6" s="48">
        <v>-500</v>
      </c>
      <c r="T6" s="21">
        <f t="shared" si="4"/>
        <v>28300</v>
      </c>
      <c r="U6" s="53">
        <f>IF($J6="","",ROUND(($J6-$J$3)/1000,1)+(_xlfn.RANK.AVG($J6,($J6,$O6,$T6),1)-2)*10)</f>
        <v>-3.3</v>
      </c>
      <c r="V6" s="54">
        <f>IF($O6="","",ROUND(($O6-$O$3)/1000,1)+(_xlfn.RANK.AVG($O6,($J6,$O6,$T6),1)-2)*10)</f>
        <v>20</v>
      </c>
      <c r="W6" s="55">
        <f>IF($T6="","",ROUND(($T6-$T$3)/1000,1)+(_xlfn.RANK.AVG($T6,($J6,$O6,$T6),1)-2)*10)</f>
        <v>-16.7</v>
      </c>
      <c r="Y6" s="8"/>
      <c r="Z6" s="34"/>
      <c r="AA6" s="26"/>
      <c r="AB6" s="26"/>
      <c r="AC6" s="26">
        <v>2</v>
      </c>
      <c r="AD6" s="30">
        <v>30</v>
      </c>
      <c r="AE6" s="40" t="s">
        <v>82</v>
      </c>
      <c r="AF6" s="41" t="s">
        <v>85</v>
      </c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東</v>
      </c>
      <c r="B7" s="18">
        <f t="shared" si="5"/>
        <v>3</v>
      </c>
      <c r="C7" s="18">
        <f t="shared" si="6"/>
        <v>0</v>
      </c>
      <c r="D7" s="18">
        <f t="shared" si="1"/>
        <v>0</v>
      </c>
      <c r="E7" s="4" t="s">
        <v>195</v>
      </c>
      <c r="F7" s="8" t="s">
        <v>200</v>
      </c>
      <c r="G7" s="9">
        <v>1300</v>
      </c>
      <c r="H7" s="9"/>
      <c r="I7" s="48">
        <v>0</v>
      </c>
      <c r="J7" s="21">
        <f t="shared" si="2"/>
        <v>33000</v>
      </c>
      <c r="K7" s="8"/>
      <c r="L7" s="9"/>
      <c r="M7" s="9"/>
      <c r="N7" s="48"/>
      <c r="O7" s="21">
        <f t="shared" si="3"/>
        <v>45000</v>
      </c>
      <c r="P7" s="8" t="s">
        <v>201</v>
      </c>
      <c r="Q7" s="9">
        <v>-1300</v>
      </c>
      <c r="R7" s="9"/>
      <c r="S7" s="48">
        <v>0</v>
      </c>
      <c r="T7" s="21">
        <f t="shared" si="4"/>
        <v>27000</v>
      </c>
      <c r="U7" s="53">
        <f>IF($J7="","",ROUND(($J7-$J$3)/1000,1)+(_xlfn.RANK.AVG($J7,($J7,$O7,$T7),1)-2)*10)</f>
        <v>-2</v>
      </c>
      <c r="V7" s="54">
        <f>IF($O7="","",ROUND(($O7-$O$3)/1000,1)+(_xlfn.RANK.AVG($O7,($J7,$O7,$T7),1)-2)*10)</f>
        <v>20</v>
      </c>
      <c r="W7" s="55">
        <f>IF($T7="","",ROUND(($T7-$T$3)/1000,1)+(_xlfn.RANK.AVG($T7,($J7,$O7,$T7),1)-2)*10)</f>
        <v>-18</v>
      </c>
      <c r="Y7" s="8"/>
      <c r="Z7" s="34"/>
      <c r="AA7" s="26">
        <v>1</v>
      </c>
      <c r="AB7" s="26"/>
      <c r="AC7" s="26">
        <v>1</v>
      </c>
      <c r="AD7" s="30">
        <v>40</v>
      </c>
      <c r="AE7" s="40" t="s">
        <v>199</v>
      </c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南</v>
      </c>
      <c r="B8" s="18">
        <f t="shared" si="5"/>
        <v>1</v>
      </c>
      <c r="C8" s="18">
        <f t="shared" si="6"/>
        <v>0</v>
      </c>
      <c r="D8" s="18">
        <f t="shared" si="1"/>
        <v>0</v>
      </c>
      <c r="E8" s="4" t="s">
        <v>191</v>
      </c>
      <c r="F8" s="8" t="s">
        <v>197</v>
      </c>
      <c r="G8" s="9">
        <v>-5000</v>
      </c>
      <c r="H8" s="9"/>
      <c r="I8" s="48">
        <v>0</v>
      </c>
      <c r="J8" s="21">
        <f t="shared" si="2"/>
        <v>28000</v>
      </c>
      <c r="K8" s="8" t="s">
        <v>198</v>
      </c>
      <c r="L8" s="9">
        <v>8000</v>
      </c>
      <c r="M8" s="9"/>
      <c r="N8" s="48">
        <v>0</v>
      </c>
      <c r="O8" s="21">
        <f t="shared" si="3"/>
        <v>53000</v>
      </c>
      <c r="P8" s="8" t="s">
        <v>197</v>
      </c>
      <c r="Q8" s="9">
        <v>-3000</v>
      </c>
      <c r="R8" s="9"/>
      <c r="S8" s="48">
        <v>0</v>
      </c>
      <c r="T8" s="21">
        <f t="shared" si="4"/>
        <v>24000</v>
      </c>
      <c r="U8" s="53">
        <f>IF($J8="","",ROUND(($J8-$J$3)/1000,1)+(_xlfn.RANK.AVG($J8,($J8,$O8,$T8),1)-2)*10)</f>
        <v>-7</v>
      </c>
      <c r="V8" s="54">
        <f>IF($O8="","",ROUND(($O8-$O$3)/1000,1)+(_xlfn.RANK.AVG($O8,($J8,$O8,$T8),1)-2)*10)</f>
        <v>28</v>
      </c>
      <c r="W8" s="55">
        <f>IF($T8="","",ROUND(($T8-$T$3)/1000,1)+(_xlfn.RANK.AVG($T8,($J8,$O8,$T8),1)-2)*10)</f>
        <v>-21</v>
      </c>
      <c r="Y8" s="8"/>
      <c r="Z8" s="34"/>
      <c r="AA8" s="26"/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>
        <v>1</v>
      </c>
      <c r="AW8" s="26"/>
      <c r="AX8" s="26">
        <v>5</v>
      </c>
      <c r="AY8" s="30" t="s">
        <v>202</v>
      </c>
      <c r="AZ8" s="40" t="s">
        <v>199</v>
      </c>
      <c r="BA8" s="41" t="s">
        <v>82</v>
      </c>
      <c r="BB8" s="41" t="s">
        <v>83</v>
      </c>
      <c r="BC8" s="41" t="s">
        <v>203</v>
      </c>
      <c r="BD8" s="41" t="s">
        <v>79</v>
      </c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南</v>
      </c>
      <c r="B9" s="18">
        <f t="shared" si="5"/>
        <v>2</v>
      </c>
      <c r="C9" s="18">
        <f t="shared" si="6"/>
        <v>0</v>
      </c>
      <c r="D9" s="18">
        <f t="shared" si="1"/>
        <v>0</v>
      </c>
      <c r="E9" s="4" t="s">
        <v>193</v>
      </c>
      <c r="F9" s="8" t="s">
        <v>198</v>
      </c>
      <c r="G9" s="9">
        <v>5300</v>
      </c>
      <c r="H9" s="9"/>
      <c r="I9" s="48">
        <v>0</v>
      </c>
      <c r="J9" s="21">
        <f t="shared" si="2"/>
        <v>33300</v>
      </c>
      <c r="K9" s="8" t="s">
        <v>197</v>
      </c>
      <c r="L9" s="9">
        <v>-3300</v>
      </c>
      <c r="M9" s="9"/>
      <c r="N9" s="48">
        <v>0</v>
      </c>
      <c r="O9" s="21">
        <f t="shared" si="3"/>
        <v>49700</v>
      </c>
      <c r="P9" s="8" t="s">
        <v>197</v>
      </c>
      <c r="Q9" s="9">
        <v>-2000</v>
      </c>
      <c r="R9" s="9"/>
      <c r="S9" s="48">
        <v>0</v>
      </c>
      <c r="T9" s="21">
        <f t="shared" si="4"/>
        <v>22000</v>
      </c>
      <c r="U9" s="53">
        <f>IF($J9="","",ROUND(($J9-$J$3)/1000,1)+(_xlfn.RANK.AVG($J9,($J9,$O9,$T9),1)-2)*10)</f>
        <v>-1.7</v>
      </c>
      <c r="V9" s="54">
        <f>IF($O9="","",ROUND(($O9-$O$3)/1000,1)+(_xlfn.RANK.AVG($O9,($J9,$O9,$T9),1)-2)*10)</f>
        <v>24.7</v>
      </c>
      <c r="W9" s="55">
        <f>IF($T9="","",ROUND(($T9-$T$3)/1000,1)+(_xlfn.RANK.AVG($T9,($J9,$O9,$T9),1)-2)*10)</f>
        <v>-23</v>
      </c>
      <c r="Y9" s="8"/>
      <c r="Z9" s="34"/>
      <c r="AA9" s="26">
        <v>1</v>
      </c>
      <c r="AB9" s="26"/>
      <c r="AC9" s="26">
        <v>4</v>
      </c>
      <c r="AD9" s="30">
        <v>20</v>
      </c>
      <c r="AE9" s="40" t="s">
        <v>199</v>
      </c>
      <c r="AF9" s="41" t="s">
        <v>82</v>
      </c>
      <c r="AG9" s="41" t="s">
        <v>85</v>
      </c>
      <c r="AH9" s="41" t="s">
        <v>83</v>
      </c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>南</v>
      </c>
      <c r="B10" s="18">
        <f t="shared" si="5"/>
        <v>3</v>
      </c>
      <c r="C10" s="18">
        <f t="shared" si="6"/>
        <v>0</v>
      </c>
      <c r="D10" s="18">
        <f t="shared" si="1"/>
        <v>0</v>
      </c>
      <c r="E10" s="4" t="s">
        <v>195</v>
      </c>
      <c r="F10" s="8"/>
      <c r="G10" s="9"/>
      <c r="H10" s="9"/>
      <c r="I10" s="48"/>
      <c r="J10" s="21">
        <f t="shared" si="2"/>
        <v>33300</v>
      </c>
      <c r="K10" s="8" t="s">
        <v>200</v>
      </c>
      <c r="L10" s="9">
        <v>1300</v>
      </c>
      <c r="M10" s="9"/>
      <c r="N10" s="48">
        <v>0</v>
      </c>
      <c r="O10" s="21">
        <f t="shared" si="3"/>
        <v>51000</v>
      </c>
      <c r="P10" s="8" t="s">
        <v>201</v>
      </c>
      <c r="Q10" s="9">
        <v>-1300</v>
      </c>
      <c r="R10" s="9"/>
      <c r="S10" s="48">
        <v>0</v>
      </c>
      <c r="T10" s="21">
        <f t="shared" si="4"/>
        <v>20700</v>
      </c>
      <c r="U10" s="53">
        <f>IF($J10="","",ROUND(($J10-$J$3)/1000,1)+(_xlfn.RANK.AVG($J10,($J10,$O10,$T10),1)-2)*10)</f>
        <v>-1.7</v>
      </c>
      <c r="V10" s="54">
        <f>IF($O10="","",ROUND(($O10-$O$3)/1000,1)+(_xlfn.RANK.AVG($O10,($J10,$O10,$T10),1)-2)*10)</f>
        <v>26</v>
      </c>
      <c r="W10" s="55">
        <f>IF($T10="","",ROUND(($T10-$T$3)/1000,1)+(_xlfn.RANK.AVG($T10,($J10,$O10,$T10),1)-2)*10)</f>
        <v>-24.3</v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>
        <v>1</v>
      </c>
      <c r="AY10" s="30">
        <v>40</v>
      </c>
      <c r="AZ10" s="40" t="s">
        <v>84</v>
      </c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/>
      </c>
      <c r="B11" s="18" t="str">
        <f t="shared" si="5"/>
        <v/>
      </c>
      <c r="C11" s="18" t="str">
        <f t="shared" si="6"/>
        <v/>
      </c>
      <c r="D11" s="18" t="str">
        <f t="shared" si="1"/>
        <v/>
      </c>
      <c r="E11" s="4"/>
      <c r="F11" s="8"/>
      <c r="G11" s="9"/>
      <c r="H11" s="9"/>
      <c r="I11" s="48"/>
      <c r="J11" s="21" t="str">
        <f t="shared" si="2"/>
        <v/>
      </c>
      <c r="K11" s="8"/>
      <c r="L11" s="9"/>
      <c r="M11" s="9"/>
      <c r="N11" s="48"/>
      <c r="O11" s="21" t="str">
        <f t="shared" si="3"/>
        <v/>
      </c>
      <c r="P11" s="8"/>
      <c r="Q11" s="9"/>
      <c r="R11" s="9"/>
      <c r="S11" s="48"/>
      <c r="T11" s="21" t="str">
        <f t="shared" si="4"/>
        <v/>
      </c>
      <c r="U11" s="53" t="str">
        <f>IF($J11="","",ROUND(($J11-$J$3)/1000,1)+(_xlfn.RANK.AVG($J11,($J11,$O11,$T11),1)-2)*10)</f>
        <v/>
      </c>
      <c r="V11" s="54" t="str">
        <f>IF($O11="","",ROUND(($O11-$O$3)/1000,1)+(_xlfn.RANK.AVG($O11,($J11,$O11,$T11),1)-2)*10)</f>
        <v/>
      </c>
      <c r="W11" s="55" t="str">
        <f>IF($T11="","",ROUND(($T11-$T$3)/1000,1)+(_xlfn.RANK.AVG($T11,($J11,$O11,$T11),1)-2)*10)</f>
        <v/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IF($J12="","",ROUND(($J12-$J$3)/1000,1)+(_xlfn.RANK.AVG($J12,($J12,$O12,$T12),1)-2)*10)</f>
        <v/>
      </c>
      <c r="V12" s="54" t="str">
        <f>IF($O12="","",ROUND(($O12-$O$3)/1000,1)+(_xlfn.RANK.AVG($O12,($J12,$O12,$T12),1)-2)*10)</f>
        <v/>
      </c>
      <c r="W12" s="55" t="str">
        <f>IF($T12="","",ROUND(($T12-$T$3)/1000,1)+(_xlfn.RANK.AVG($T12,($J12,$O12,$T12),1)-2)*10)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IF($J13="","",ROUND(($J13-$J$3)/1000,1)+(_xlfn.RANK.AVG($J13,($J13,$O13,$T13),1)-2)*10)</f>
        <v/>
      </c>
      <c r="V13" s="54" t="str">
        <f>IF($O13="","",ROUND(($O13-$O$3)/1000,1)+(_xlfn.RANK.AVG($O13,($J13,$O13,$T13),1)-2)*10)</f>
        <v/>
      </c>
      <c r="W13" s="55" t="str">
        <f>IF($T13="","",ROUND(($T13-$T$3)/1000,1)+(_xlfn.RANK.AVG($T13,($J13,$O13,$T13),1)-2)*10)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IF($J14="","",ROUND(($J14-$J$3)/1000,1)+(_xlfn.RANK.AVG($J14,($J14,$O14,$T14),1)-2)*10)</f>
        <v/>
      </c>
      <c r="V14" s="54" t="str">
        <f>IF($O14="","",ROUND(($O14-$O$3)/1000,1)+(_xlfn.RANK.AVG($O14,($J14,$O14,$T14),1)-2)*10)</f>
        <v/>
      </c>
      <c r="W14" s="55" t="str">
        <f>IF($T14="","",ROUND(($T14-$T$3)/1000,1)+(_xlfn.RANK.AVG($T14,($J14,$O14,$T14),1)-2)*10)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F1:J1"/>
    <mergeCell ref="A1:A2"/>
    <mergeCell ref="B1:B2"/>
    <mergeCell ref="C1:C2"/>
    <mergeCell ref="D1:D2"/>
    <mergeCell ref="E1:E2"/>
  </mergeCells>
  <phoneticPr fontId="1"/>
  <conditionalFormatting sqref="G4:G30 L4:L30 Q4:Q30">
    <cfRule type="expression" dxfId="14" priority="5">
      <formula>IF(G4&lt;&gt;"",SUM($G4:$I4,$L4:$N4,$Q4:$S4)-$D4*1000+$D5*1000)</formula>
    </cfRule>
  </conditionalFormatting>
  <conditionalFormatting sqref="F1:G1 I1:L1 S1:T1 N1:Q1">
    <cfRule type="duplicateValues" dxfId="13" priority="4"/>
  </conditionalFormatting>
  <conditionalFormatting sqref="H1">
    <cfRule type="duplicateValues" dxfId="12" priority="3"/>
  </conditionalFormatting>
  <conditionalFormatting sqref="R1">
    <cfRule type="duplicateValues" dxfId="11" priority="2"/>
  </conditionalFormatting>
  <conditionalFormatting sqref="M1">
    <cfRule type="duplicateValues" dxfId="10" priority="1"/>
  </conditionalFormatting>
  <dataValidations count="3">
    <dataValidation type="list" allowBlank="1" showInputMessage="1" showErrorMessage="1" sqref="E4:E30" xr:uid="{BF8CA265-F345-41C8-8991-DF06D58A08D3}">
      <formula1>$U$2:$W$2</formula1>
    </dataValidation>
    <dataValidation type="list" showInputMessage="1" showErrorMessage="1" sqref="K4:K30 P4:P30 F4:F30" xr:uid="{27C6B5CA-1184-4F9C-B6F2-A9CFCA054C78}">
      <formula1>"ロン,ツモ,放銃,ツモ支払,流局,チョンボ"</formula1>
    </dataValidation>
    <dataValidation type="list" allowBlank="1" showInputMessage="1" sqref="F1:T1" xr:uid="{3751B3D0-5EA6-45FF-9FC1-7ED43594B780}">
      <formula1>"たかの,だいち,ただ,りくと,れんたろう,まっつん,のり,ぱぱ,"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98D79B-CB62-4CBE-8BC9-71B8C3EFB307}">
  <sheetPr codeName="Sheet11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75" t="s">
        <v>0</v>
      </c>
      <c r="B1" s="77" t="s">
        <v>2</v>
      </c>
      <c r="C1" s="77" t="s">
        <v>1</v>
      </c>
      <c r="D1" s="77" t="s">
        <v>21</v>
      </c>
      <c r="E1" s="79" t="s">
        <v>3</v>
      </c>
      <c r="F1" s="71" t="s">
        <v>205</v>
      </c>
      <c r="G1" s="72"/>
      <c r="H1" s="72"/>
      <c r="I1" s="73"/>
      <c r="J1" s="74"/>
      <c r="K1" s="71" t="s">
        <v>207</v>
      </c>
      <c r="L1" s="72"/>
      <c r="M1" s="72"/>
      <c r="N1" s="73"/>
      <c r="O1" s="74"/>
      <c r="P1" s="71" t="s">
        <v>196</v>
      </c>
      <c r="Q1" s="72"/>
      <c r="R1" s="72"/>
      <c r="S1" s="73"/>
      <c r="T1" s="74"/>
      <c r="U1" s="71" t="s">
        <v>6</v>
      </c>
      <c r="V1" s="72"/>
      <c r="W1" s="74"/>
      <c r="Y1" s="71" t="str">
        <f>F1</f>
        <v>たかの</v>
      </c>
      <c r="Z1" s="82"/>
      <c r="AA1" s="72"/>
      <c r="AB1" s="72"/>
      <c r="AC1" s="72"/>
      <c r="AD1" s="72"/>
      <c r="AE1" s="72"/>
      <c r="AF1" s="72"/>
      <c r="AG1" s="72"/>
      <c r="AH1" s="72"/>
      <c r="AI1" s="72"/>
      <c r="AJ1" s="72"/>
      <c r="AK1" s="72"/>
      <c r="AL1" s="72"/>
      <c r="AM1" s="72"/>
      <c r="AN1" s="72"/>
      <c r="AO1" s="72"/>
      <c r="AP1" s="72"/>
      <c r="AQ1" s="72"/>
      <c r="AR1" s="72"/>
      <c r="AS1" s="74"/>
      <c r="AT1" s="71" t="str">
        <f>K1</f>
        <v>りくと</v>
      </c>
      <c r="AU1" s="82"/>
      <c r="AV1" s="72"/>
      <c r="AW1" s="72"/>
      <c r="AX1" s="72"/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  <c r="BM1" s="72"/>
      <c r="BN1" s="74"/>
      <c r="BO1" s="71" t="str">
        <f>P1</f>
        <v>ただ</v>
      </c>
      <c r="BP1" s="82"/>
      <c r="BQ1" s="72"/>
      <c r="BR1" s="72"/>
      <c r="BS1" s="72"/>
      <c r="BT1" s="72"/>
      <c r="BU1" s="72"/>
      <c r="BV1" s="72"/>
      <c r="BW1" s="72"/>
      <c r="BX1" s="72"/>
      <c r="BY1" s="72"/>
      <c r="BZ1" s="72"/>
      <c r="CA1" s="72"/>
      <c r="CB1" s="72"/>
      <c r="CC1" s="72"/>
      <c r="CD1" s="72"/>
      <c r="CE1" s="72"/>
      <c r="CF1" s="72"/>
      <c r="CG1" s="72"/>
      <c r="CH1" s="72"/>
      <c r="CI1" s="74"/>
    </row>
    <row r="2" spans="1:87" x14ac:dyDescent="0.4">
      <c r="A2" s="76"/>
      <c r="B2" s="78"/>
      <c r="C2" s="78"/>
      <c r="D2" s="78"/>
      <c r="E2" s="80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9" t="str">
        <f>$F$1</f>
        <v>たかの</v>
      </c>
      <c r="V2" s="70" t="str">
        <f>$K$1</f>
        <v>りくと</v>
      </c>
      <c r="W2" s="16" t="str">
        <f>$P$1</f>
        <v>ただ</v>
      </c>
      <c r="Y2" s="65" t="s">
        <v>23</v>
      </c>
      <c r="Z2" s="68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81" t="s">
        <v>20</v>
      </c>
      <c r="AF2" s="81"/>
      <c r="AG2" s="81"/>
      <c r="AH2" s="81"/>
      <c r="AI2" s="81"/>
      <c r="AJ2" s="81"/>
      <c r="AK2" s="81"/>
      <c r="AL2" s="81"/>
      <c r="AM2" s="81"/>
      <c r="AN2" s="81"/>
      <c r="AO2" s="81"/>
      <c r="AP2" s="81"/>
      <c r="AQ2" s="81"/>
      <c r="AR2" s="81"/>
      <c r="AS2" s="81"/>
      <c r="AT2" s="65" t="s">
        <v>23</v>
      </c>
      <c r="AU2" s="68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81" t="s">
        <v>20</v>
      </c>
      <c r="BA2" s="81"/>
      <c r="BB2" s="81"/>
      <c r="BC2" s="81"/>
      <c r="BD2" s="81"/>
      <c r="BE2" s="81"/>
      <c r="BF2" s="81"/>
      <c r="BG2" s="81"/>
      <c r="BH2" s="81"/>
      <c r="BI2" s="81"/>
      <c r="BJ2" s="81"/>
      <c r="BK2" s="81"/>
      <c r="BL2" s="81"/>
      <c r="BM2" s="81"/>
      <c r="BN2" s="81"/>
      <c r="BO2" s="65" t="s">
        <v>23</v>
      </c>
      <c r="BP2" s="68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81" t="s">
        <v>20</v>
      </c>
      <c r="BV2" s="81"/>
      <c r="BW2" s="81"/>
      <c r="BX2" s="81"/>
      <c r="BY2" s="81"/>
      <c r="BZ2" s="81"/>
      <c r="CA2" s="81"/>
      <c r="CB2" s="81"/>
      <c r="CC2" s="81"/>
      <c r="CD2" s="81"/>
      <c r="CE2" s="81"/>
      <c r="CF2" s="81"/>
      <c r="CG2" s="81"/>
      <c r="CH2" s="81"/>
      <c r="CI2" s="81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206</v>
      </c>
      <c r="F4" s="8" t="s">
        <v>201</v>
      </c>
      <c r="G4" s="9">
        <v>-2600</v>
      </c>
      <c r="H4" s="9"/>
      <c r="I4" s="48">
        <v>0</v>
      </c>
      <c r="J4" s="21">
        <f>IF(COUNTA($F4,$K4,$P4)&gt;0,J3+SUM(G4:I4),"")</f>
        <v>32400</v>
      </c>
      <c r="K4" s="8"/>
      <c r="L4" s="9"/>
      <c r="M4" s="9"/>
      <c r="N4" s="48"/>
      <c r="O4" s="21">
        <f>IF(COUNTA($F4,$K4,$P4)&gt;0,O3+SUM(L4:N4),"")</f>
        <v>35000</v>
      </c>
      <c r="P4" s="8" t="s">
        <v>200</v>
      </c>
      <c r="Q4" s="9">
        <v>2600</v>
      </c>
      <c r="R4" s="9"/>
      <c r="S4" s="48">
        <v>0</v>
      </c>
      <c r="T4" s="21">
        <f>IF(COUNTA($F4,$K4,$P4)&gt;0,T3+SUM(Q4:S4),"")</f>
        <v>37600</v>
      </c>
      <c r="U4" s="53">
        <f>IF($J4="","",ROUND(($J4-$J$3)/1000,1)+(_xlfn.RANK.AVG($J4,($J4,$O4,$T4),1)-2)*10)</f>
        <v>-12.6</v>
      </c>
      <c r="V4" s="54">
        <f>IF($O4="","",ROUND(($O4-$O$3)/1000,1)+(_xlfn.RANK.AVG($O4,($J4,$O4,$T4),1)-2)*10)</f>
        <v>0</v>
      </c>
      <c r="W4" s="55">
        <f>IF($T4="","",ROUND(($T4-$T$3)/1000,1)+(_xlfn.RANK.AVG($T4,($J4,$O4,$T4),1)-2)*10)</f>
        <v>12.6</v>
      </c>
      <c r="Y4" s="8"/>
      <c r="Z4" s="34"/>
      <c r="AA4" s="26"/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>
        <v>1</v>
      </c>
      <c r="BS4" s="26">
        <v>2</v>
      </c>
      <c r="BT4" s="30">
        <v>40</v>
      </c>
      <c r="BU4" s="40" t="s">
        <v>86</v>
      </c>
      <c r="BV4" s="41" t="s">
        <v>203</v>
      </c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">
        <v>195</v>
      </c>
      <c r="F5" s="8"/>
      <c r="G5" s="9"/>
      <c r="H5" s="9"/>
      <c r="I5" s="48"/>
      <c r="J5" s="21">
        <f t="shared" ref="J5:J30" si="2">IF(COUNTA($F5,$K5,$P5)&gt;0,J4+SUM(G5:I5),"")</f>
        <v>32400</v>
      </c>
      <c r="K5" s="8" t="s">
        <v>200</v>
      </c>
      <c r="L5" s="9">
        <v>12000</v>
      </c>
      <c r="M5" s="9"/>
      <c r="N5" s="48">
        <v>0</v>
      </c>
      <c r="O5" s="21">
        <f t="shared" ref="O5:O30" si="3">IF(COUNTA($F5,$K5,$P5)&gt;0,O4+SUM(L5:N5),"")</f>
        <v>47000</v>
      </c>
      <c r="P5" s="8" t="s">
        <v>201</v>
      </c>
      <c r="Q5" s="9">
        <v>-12000</v>
      </c>
      <c r="R5" s="9"/>
      <c r="S5" s="48">
        <v>0</v>
      </c>
      <c r="T5" s="21">
        <f t="shared" ref="T5:T30" si="4">IF(COUNTA($F5,$K5,$P5)&gt;0,T4+SUM(Q5:S5),"")</f>
        <v>25600</v>
      </c>
      <c r="U5" s="53">
        <f>IF($J5="","",ROUND(($J5-$J$3)/1000,1)+(_xlfn.RANK.AVG($J5,($J5,$O5,$T5),1)-2)*10)</f>
        <v>-2.6</v>
      </c>
      <c r="V5" s="54">
        <f>IF($O5="","",ROUND(($O5-$O$3)/1000,1)+(_xlfn.RANK.AVG($O5,($J5,$O5,$T5),1)-2)*10)</f>
        <v>22</v>
      </c>
      <c r="W5" s="55">
        <f>IF($T5="","",ROUND(($T5-$T$3)/1000,1)+(_xlfn.RANK.AVG($T5,($J5,$O5,$T5),1)-2)*10)</f>
        <v>-19.399999999999999</v>
      </c>
      <c r="Y5" s="8"/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>
        <v>1</v>
      </c>
      <c r="AX5" s="26">
        <v>6</v>
      </c>
      <c r="AY5" s="30" t="s">
        <v>202</v>
      </c>
      <c r="AZ5" s="40" t="s">
        <v>98</v>
      </c>
      <c r="BA5" s="41" t="s">
        <v>86</v>
      </c>
      <c r="BB5" s="41" t="s">
        <v>79</v>
      </c>
      <c r="BC5" s="41" t="s">
        <v>79</v>
      </c>
      <c r="BD5" s="41" t="s">
        <v>79</v>
      </c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>
        <v>1</v>
      </c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3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">
        <v>204</v>
      </c>
      <c r="F6" s="8"/>
      <c r="G6" s="9"/>
      <c r="H6" s="9">
        <v>-1000</v>
      </c>
      <c r="I6" s="48"/>
      <c r="J6" s="21">
        <f t="shared" si="2"/>
        <v>31400</v>
      </c>
      <c r="K6" s="8" t="s">
        <v>200</v>
      </c>
      <c r="L6" s="9">
        <v>2000</v>
      </c>
      <c r="M6" s="9">
        <v>1000</v>
      </c>
      <c r="N6" s="48">
        <v>0</v>
      </c>
      <c r="O6" s="21">
        <f t="shared" si="3"/>
        <v>50000</v>
      </c>
      <c r="P6" s="8" t="s">
        <v>201</v>
      </c>
      <c r="Q6" s="9">
        <v>-2000</v>
      </c>
      <c r="R6" s="9"/>
      <c r="S6" s="48">
        <v>0</v>
      </c>
      <c r="T6" s="21">
        <f t="shared" si="4"/>
        <v>23600</v>
      </c>
      <c r="U6" s="53">
        <f>IF($J6="","",ROUND(($J6-$J$3)/1000,1)+(_xlfn.RANK.AVG($J6,($J6,$O6,$T6),1)-2)*10)</f>
        <v>-3.6</v>
      </c>
      <c r="V6" s="54">
        <f>IF($O6="","",ROUND(($O6-$O$3)/1000,1)+(_xlfn.RANK.AVG($O6,($J6,$O6,$T6),1)-2)*10)</f>
        <v>25</v>
      </c>
      <c r="W6" s="55">
        <f>IF($T6="","",ROUND(($T6-$T$3)/1000,1)+(_xlfn.RANK.AVG($T6,($J6,$O6,$T6),1)-2)*10)</f>
        <v>-21.4</v>
      </c>
      <c r="Y6" s="8"/>
      <c r="Z6" s="34"/>
      <c r="AA6" s="26">
        <v>1</v>
      </c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>
        <v>1</v>
      </c>
      <c r="AW6" s="26"/>
      <c r="AX6" s="26">
        <v>2</v>
      </c>
      <c r="AY6" s="30">
        <v>30</v>
      </c>
      <c r="AZ6" s="40" t="s">
        <v>199</v>
      </c>
      <c r="BA6" s="41" t="s">
        <v>83</v>
      </c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南</v>
      </c>
      <c r="B7" s="18">
        <f t="shared" si="5"/>
        <v>1</v>
      </c>
      <c r="C7" s="18">
        <f t="shared" si="6"/>
        <v>0</v>
      </c>
      <c r="D7" s="18">
        <f t="shared" si="1"/>
        <v>0</v>
      </c>
      <c r="E7" s="4" t="s">
        <v>206</v>
      </c>
      <c r="F7" s="8" t="s">
        <v>201</v>
      </c>
      <c r="G7" s="9">
        <v>-2900</v>
      </c>
      <c r="H7" s="9"/>
      <c r="I7" s="48">
        <v>0</v>
      </c>
      <c r="J7" s="21">
        <f t="shared" si="2"/>
        <v>28500</v>
      </c>
      <c r="K7" s="8" t="s">
        <v>200</v>
      </c>
      <c r="L7" s="9">
        <v>2900</v>
      </c>
      <c r="M7" s="9"/>
      <c r="N7" s="48">
        <v>0</v>
      </c>
      <c r="O7" s="21">
        <f t="shared" si="3"/>
        <v>52900</v>
      </c>
      <c r="P7" s="8"/>
      <c r="Q7" s="9"/>
      <c r="R7" s="9"/>
      <c r="S7" s="48"/>
      <c r="T7" s="21">
        <f t="shared" si="4"/>
        <v>23600</v>
      </c>
      <c r="U7" s="53">
        <f>IF($J7="","",ROUND(($J7-$J$3)/1000,1)+(_xlfn.RANK.AVG($J7,($J7,$O7,$T7),1)-2)*10)</f>
        <v>-6.5</v>
      </c>
      <c r="V7" s="54">
        <f>IF($O7="","",ROUND(($O7-$O$3)/1000,1)+(_xlfn.RANK.AVG($O7,($J7,$O7,$T7),1)-2)*10)</f>
        <v>27.9</v>
      </c>
      <c r="W7" s="55">
        <f>IF($T7="","",ROUND(($T7-$T$3)/1000,1)+(_xlfn.RANK.AVG($T7,($J7,$O7,$T7),1)-2)*10)</f>
        <v>-21.4</v>
      </c>
      <c r="Y7" s="8"/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>
        <v>1</v>
      </c>
      <c r="AW7" s="26"/>
      <c r="AX7" s="26">
        <v>2</v>
      </c>
      <c r="AY7" s="30">
        <v>30</v>
      </c>
      <c r="AZ7" s="40" t="s">
        <v>199</v>
      </c>
      <c r="BA7" s="41" t="s">
        <v>83</v>
      </c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南</v>
      </c>
      <c r="B8" s="18">
        <f t="shared" si="5"/>
        <v>1</v>
      </c>
      <c r="C8" s="18">
        <f t="shared" si="6"/>
        <v>1</v>
      </c>
      <c r="D8" s="18">
        <f t="shared" si="1"/>
        <v>0</v>
      </c>
      <c r="E8" s="4" t="s">
        <v>206</v>
      </c>
      <c r="F8" s="8" t="s">
        <v>197</v>
      </c>
      <c r="G8" s="9">
        <v>-2000</v>
      </c>
      <c r="H8" s="9"/>
      <c r="I8" s="48">
        <v>-500</v>
      </c>
      <c r="J8" s="21">
        <f t="shared" si="2"/>
        <v>26000</v>
      </c>
      <c r="K8" s="8" t="s">
        <v>197</v>
      </c>
      <c r="L8" s="9">
        <v>-3300</v>
      </c>
      <c r="M8" s="9"/>
      <c r="N8" s="48">
        <v>-500</v>
      </c>
      <c r="O8" s="21">
        <f t="shared" si="3"/>
        <v>49100</v>
      </c>
      <c r="P8" s="8" t="s">
        <v>198</v>
      </c>
      <c r="Q8" s="9">
        <v>5300</v>
      </c>
      <c r="R8" s="9"/>
      <c r="S8" s="48">
        <v>1000</v>
      </c>
      <c r="T8" s="21">
        <f t="shared" si="4"/>
        <v>29900</v>
      </c>
      <c r="U8" s="53">
        <f>IF($J8="","",ROUND(($J8-$J$3)/1000,1)+(_xlfn.RANK.AVG($J8,($J8,$O8,$T8),1)-2)*10)</f>
        <v>-19</v>
      </c>
      <c r="V8" s="54">
        <f>IF($O8="","",ROUND(($O8-$O$3)/1000,1)+(_xlfn.RANK.AVG($O8,($J8,$O8,$T8),1)-2)*10)</f>
        <v>24.1</v>
      </c>
      <c r="W8" s="55">
        <f>IF($T8="","",ROUND(($T8-$T$3)/1000,1)+(_xlfn.RANK.AVG($T8,($J8,$O8,$T8),1)-2)*10)</f>
        <v>-5.0999999999999996</v>
      </c>
      <c r="Y8" s="8"/>
      <c r="Z8" s="34"/>
      <c r="AA8" s="26"/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>
        <v>1</v>
      </c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>
        <v>1</v>
      </c>
      <c r="BR8" s="26"/>
      <c r="BS8" s="26">
        <v>4</v>
      </c>
      <c r="BT8" s="30">
        <v>20</v>
      </c>
      <c r="BU8" s="40" t="s">
        <v>199</v>
      </c>
      <c r="BV8" s="41" t="s">
        <v>82</v>
      </c>
      <c r="BW8" s="41" t="s">
        <v>83</v>
      </c>
      <c r="BX8" s="41" t="s">
        <v>80</v>
      </c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南</v>
      </c>
      <c r="B9" s="18">
        <f t="shared" si="5"/>
        <v>2</v>
      </c>
      <c r="C9" s="18">
        <f t="shared" si="6"/>
        <v>0</v>
      </c>
      <c r="D9" s="18">
        <f t="shared" si="1"/>
        <v>0</v>
      </c>
      <c r="E9" s="4" t="s">
        <v>195</v>
      </c>
      <c r="F9" s="8" t="s">
        <v>201</v>
      </c>
      <c r="G9" s="9">
        <v>-11600</v>
      </c>
      <c r="H9" s="9"/>
      <c r="I9" s="48">
        <v>0</v>
      </c>
      <c r="J9" s="21">
        <f t="shared" si="2"/>
        <v>14400</v>
      </c>
      <c r="K9" s="8"/>
      <c r="L9" s="9"/>
      <c r="M9" s="9"/>
      <c r="N9" s="48"/>
      <c r="O9" s="21">
        <f t="shared" si="3"/>
        <v>49100</v>
      </c>
      <c r="P9" s="8" t="s">
        <v>200</v>
      </c>
      <c r="Q9" s="9">
        <v>11600</v>
      </c>
      <c r="R9" s="9"/>
      <c r="S9" s="48">
        <v>0</v>
      </c>
      <c r="T9" s="21">
        <f t="shared" si="4"/>
        <v>41500</v>
      </c>
      <c r="U9" s="53">
        <f>IF($J9="","",ROUND(($J9-$J$3)/1000,1)+(_xlfn.RANK.AVG($J9,($J9,$O9,$T9),1)-2)*10)</f>
        <v>-30.6</v>
      </c>
      <c r="V9" s="54">
        <f>IF($O9="","",ROUND(($O9-$O$3)/1000,1)+(_xlfn.RANK.AVG($O9,($J9,$O9,$T9),1)-2)*10)</f>
        <v>24.1</v>
      </c>
      <c r="W9" s="55">
        <f>IF($T9="","",ROUND(($T9-$T$3)/1000,1)+(_xlfn.RANK.AVG($T9,($J9,$O9,$T9),1)-2)*10)</f>
        <v>6.5</v>
      </c>
      <c r="Y9" s="8"/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>
        <v>1</v>
      </c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>
        <v>1</v>
      </c>
      <c r="BR9" s="26"/>
      <c r="BS9" s="26">
        <v>4</v>
      </c>
      <c r="BT9" s="30">
        <v>30</v>
      </c>
      <c r="BU9" s="40" t="s">
        <v>199</v>
      </c>
      <c r="BV9" s="41" t="s">
        <v>83</v>
      </c>
      <c r="BW9" s="41" t="s">
        <v>203</v>
      </c>
      <c r="BX9" s="41" t="s">
        <v>79</v>
      </c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>南</v>
      </c>
      <c r="B10" s="18">
        <f t="shared" si="5"/>
        <v>2</v>
      </c>
      <c r="C10" s="18">
        <f t="shared" si="6"/>
        <v>1</v>
      </c>
      <c r="D10" s="18">
        <f t="shared" si="1"/>
        <v>0</v>
      </c>
      <c r="E10" s="4" t="s">
        <v>195</v>
      </c>
      <c r="F10" s="8" t="s">
        <v>200</v>
      </c>
      <c r="G10" s="9">
        <v>3900</v>
      </c>
      <c r="H10" s="9"/>
      <c r="I10" s="48">
        <v>1000</v>
      </c>
      <c r="J10" s="21">
        <f t="shared" si="2"/>
        <v>19300</v>
      </c>
      <c r="K10" s="8" t="s">
        <v>201</v>
      </c>
      <c r="L10" s="9">
        <v>-3900</v>
      </c>
      <c r="M10" s="9"/>
      <c r="N10" s="48">
        <v>-1000</v>
      </c>
      <c r="O10" s="21">
        <f t="shared" si="3"/>
        <v>44200</v>
      </c>
      <c r="P10" s="8"/>
      <c r="Q10" s="9"/>
      <c r="R10" s="9"/>
      <c r="S10" s="48"/>
      <c r="T10" s="21">
        <f t="shared" si="4"/>
        <v>41500</v>
      </c>
      <c r="U10" s="53">
        <f>IF($J10="","",ROUND(($J10-$J$3)/1000,1)+(_xlfn.RANK.AVG($J10,($J10,$O10,$T10),1)-2)*10)</f>
        <v>-25.7</v>
      </c>
      <c r="V10" s="54">
        <f>IF($O10="","",ROUND(($O10-$O$3)/1000,1)+(_xlfn.RANK.AVG($O10,($J10,$O10,$T10),1)-2)*10)</f>
        <v>19.2</v>
      </c>
      <c r="W10" s="55">
        <f>IF($T10="","",ROUND(($T10-$T$3)/1000,1)+(_xlfn.RANK.AVG($T10,($J10,$O10,$T10),1)-2)*10)</f>
        <v>6.5</v>
      </c>
      <c r="Y10" s="8"/>
      <c r="Z10" s="34"/>
      <c r="AA10" s="26">
        <v>1</v>
      </c>
      <c r="AB10" s="26"/>
      <c r="AC10" s="26">
        <v>3</v>
      </c>
      <c r="AD10" s="30">
        <v>30</v>
      </c>
      <c r="AE10" s="40" t="s">
        <v>199</v>
      </c>
      <c r="AF10" s="41" t="s">
        <v>203</v>
      </c>
      <c r="AG10" s="41" t="s">
        <v>83</v>
      </c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>
        <v>1</v>
      </c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>南</v>
      </c>
      <c r="B11" s="18">
        <f t="shared" si="5"/>
        <v>3</v>
      </c>
      <c r="C11" s="18">
        <f t="shared" si="6"/>
        <v>0</v>
      </c>
      <c r="D11" s="18">
        <f t="shared" si="1"/>
        <v>0</v>
      </c>
      <c r="E11" s="4" t="s">
        <v>204</v>
      </c>
      <c r="F11" s="8" t="s">
        <v>197</v>
      </c>
      <c r="G11" s="9">
        <v>-2500</v>
      </c>
      <c r="H11" s="9"/>
      <c r="I11" s="48">
        <v>0</v>
      </c>
      <c r="J11" s="21">
        <f t="shared" si="2"/>
        <v>16800</v>
      </c>
      <c r="K11" s="8" t="s">
        <v>197</v>
      </c>
      <c r="L11" s="9">
        <v>-1500</v>
      </c>
      <c r="M11" s="9"/>
      <c r="N11" s="48">
        <v>0</v>
      </c>
      <c r="O11" s="21">
        <f t="shared" si="3"/>
        <v>42700</v>
      </c>
      <c r="P11" s="8" t="s">
        <v>198</v>
      </c>
      <c r="Q11" s="9">
        <v>4000</v>
      </c>
      <c r="R11" s="9"/>
      <c r="S11" s="48">
        <v>0</v>
      </c>
      <c r="T11" s="21">
        <f t="shared" si="4"/>
        <v>45500</v>
      </c>
      <c r="U11" s="53">
        <f>IF($J11="","",ROUND(($J11-$J$3)/1000,1)+(_xlfn.RANK.AVG($J11,($J11,$O11,$T11),1)-2)*10)</f>
        <v>-28.2</v>
      </c>
      <c r="V11" s="54">
        <f>IF($O11="","",ROUND(($O11-$O$3)/1000,1)+(_xlfn.RANK.AVG($O11,($J11,$O11,$T11),1)-2)*10)</f>
        <v>7.7</v>
      </c>
      <c r="W11" s="55">
        <f>IF($T11="","",ROUND(($T11-$T$3)/1000,1)+(_xlfn.RANK.AVG($T11,($J11,$O11,$T11),1)-2)*10)</f>
        <v>20.5</v>
      </c>
      <c r="Y11" s="8"/>
      <c r="Z11" s="34"/>
      <c r="AA11" s="26"/>
      <c r="AB11" s="26">
        <v>1</v>
      </c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>
        <v>1</v>
      </c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>
        <v>1</v>
      </c>
      <c r="BR11" s="26"/>
      <c r="BS11" s="26">
        <v>3</v>
      </c>
      <c r="BT11" s="30">
        <v>30</v>
      </c>
      <c r="BU11" s="40" t="s">
        <v>199</v>
      </c>
      <c r="BV11" s="41" t="s">
        <v>82</v>
      </c>
      <c r="BW11" s="41" t="s">
        <v>203</v>
      </c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IF($J12="","",ROUND(($J12-$J$3)/1000,1)+(_xlfn.RANK.AVG($J12,($J12,$O12,$T12),1)-2)*10)</f>
        <v/>
      </c>
      <c r="V12" s="54" t="str">
        <f>IF($O12="","",ROUND(($O12-$O$3)/1000,1)+(_xlfn.RANK.AVG($O12,($J12,$O12,$T12),1)-2)*10)</f>
        <v/>
      </c>
      <c r="W12" s="55" t="str">
        <f>IF($T12="","",ROUND(($T12-$T$3)/1000,1)+(_xlfn.RANK.AVG($T12,($J12,$O12,$T12),1)-2)*10)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IF($J13="","",ROUND(($J13-$J$3)/1000,1)+(_xlfn.RANK.AVG($J13,($J13,$O13,$T13),1)-2)*10)</f>
        <v/>
      </c>
      <c r="V13" s="54" t="str">
        <f>IF($O13="","",ROUND(($O13-$O$3)/1000,1)+(_xlfn.RANK.AVG($O13,($J13,$O13,$T13),1)-2)*10)</f>
        <v/>
      </c>
      <c r="W13" s="55" t="str">
        <f>IF($T13="","",ROUND(($T13-$T$3)/1000,1)+(_xlfn.RANK.AVG($T13,($J13,$O13,$T13),1)-2)*10)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IF($J14="","",ROUND(($J14-$J$3)/1000,1)+(_xlfn.RANK.AVG($J14,($J14,$O14,$T14),1)-2)*10)</f>
        <v/>
      </c>
      <c r="V14" s="54" t="str">
        <f>IF($O14="","",ROUND(($O14-$O$3)/1000,1)+(_xlfn.RANK.AVG($O14,($J14,$O14,$T14),1)-2)*10)</f>
        <v/>
      </c>
      <c r="W14" s="55" t="str">
        <f>IF($T14="","",ROUND(($T14-$T$3)/1000,1)+(_xlfn.RANK.AVG($T14,($J14,$O14,$T14),1)-2)*10)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9" priority="5">
      <formula>IF(G4&lt;&gt;"",SUM($G4:$I4,$L4:$N4,$Q4:$S4)-$D4*1000+$D5*1000)</formula>
    </cfRule>
  </conditionalFormatting>
  <conditionalFormatting sqref="F1:G1 I1:L1 S1:T1 N1:Q1">
    <cfRule type="duplicateValues" dxfId="8" priority="4"/>
  </conditionalFormatting>
  <conditionalFormatting sqref="H1">
    <cfRule type="duplicateValues" dxfId="7" priority="3"/>
  </conditionalFormatting>
  <conditionalFormatting sqref="R1">
    <cfRule type="duplicateValues" dxfId="6" priority="2"/>
  </conditionalFormatting>
  <conditionalFormatting sqref="M1">
    <cfRule type="duplicateValues" dxfId="5" priority="1"/>
  </conditionalFormatting>
  <dataValidations count="3">
    <dataValidation type="list" allowBlank="1" showInputMessage="1" sqref="F1:T1" xr:uid="{92C06966-E448-4BAE-B45A-900F806A93D8}">
      <formula1>"たかの,だいち,ただ,りくと,れんたろう,まっつん,のり,ぱぱ,"</formula1>
    </dataValidation>
    <dataValidation type="list" showInputMessage="1" showErrorMessage="1" sqref="K4:K30 P4:P30 F4:F30" xr:uid="{16C28B1C-A35C-4D19-8E1F-CCE689273EA7}">
      <formula1>"ロン,ツモ,放銃,ツモ支払,流局,チョンボ"</formula1>
    </dataValidation>
    <dataValidation type="list" allowBlank="1" showInputMessage="1" showErrorMessage="1" sqref="E4:E30" xr:uid="{625E38C8-947C-43CB-9820-5F53DCC3AE60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424D2C-0344-40A7-8406-CFC02E0E5153}">
  <sheetPr codeName="Sheet12">
    <pageSetUpPr fitToPage="1"/>
  </sheetPr>
  <dimension ref="A1:CI30"/>
  <sheetViews>
    <sheetView tabSelected="1" zoomScaleNormal="100" workbookViewId="0">
      <selection activeCell="L20" sqref="L20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75" t="s">
        <v>0</v>
      </c>
      <c r="B1" s="77" t="s">
        <v>2</v>
      </c>
      <c r="C1" s="77" t="s">
        <v>1</v>
      </c>
      <c r="D1" s="77" t="s">
        <v>21</v>
      </c>
      <c r="E1" s="79" t="s">
        <v>3</v>
      </c>
      <c r="F1" s="71" t="s">
        <v>205</v>
      </c>
      <c r="G1" s="72"/>
      <c r="H1" s="72"/>
      <c r="I1" s="73"/>
      <c r="J1" s="74"/>
      <c r="K1" s="71" t="s">
        <v>211</v>
      </c>
      <c r="L1" s="72"/>
      <c r="M1" s="72"/>
      <c r="N1" s="73"/>
      <c r="O1" s="74"/>
      <c r="P1" s="71" t="s">
        <v>208</v>
      </c>
      <c r="Q1" s="72"/>
      <c r="R1" s="72"/>
      <c r="S1" s="73"/>
      <c r="T1" s="74"/>
      <c r="U1" s="71" t="s">
        <v>6</v>
      </c>
      <c r="V1" s="72"/>
      <c r="W1" s="74"/>
      <c r="Y1" s="71" t="str">
        <f>F1</f>
        <v>たかの</v>
      </c>
      <c r="Z1" s="82"/>
      <c r="AA1" s="72"/>
      <c r="AB1" s="72"/>
      <c r="AC1" s="72"/>
      <c r="AD1" s="72"/>
      <c r="AE1" s="72"/>
      <c r="AF1" s="72"/>
      <c r="AG1" s="72"/>
      <c r="AH1" s="72"/>
      <c r="AI1" s="72"/>
      <c r="AJ1" s="72"/>
      <c r="AK1" s="72"/>
      <c r="AL1" s="72"/>
      <c r="AM1" s="72"/>
      <c r="AN1" s="72"/>
      <c r="AO1" s="72"/>
      <c r="AP1" s="72"/>
      <c r="AQ1" s="72"/>
      <c r="AR1" s="72"/>
      <c r="AS1" s="74"/>
      <c r="AT1" s="71" t="str">
        <f>K1</f>
        <v>まっつん</v>
      </c>
      <c r="AU1" s="82"/>
      <c r="AV1" s="72"/>
      <c r="AW1" s="72"/>
      <c r="AX1" s="72"/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  <c r="BM1" s="72"/>
      <c r="BN1" s="74"/>
      <c r="BO1" s="71" t="str">
        <f>P1</f>
        <v>だいち</v>
      </c>
      <c r="BP1" s="82"/>
      <c r="BQ1" s="72"/>
      <c r="BR1" s="72"/>
      <c r="BS1" s="72"/>
      <c r="BT1" s="72"/>
      <c r="BU1" s="72"/>
      <c r="BV1" s="72"/>
      <c r="BW1" s="72"/>
      <c r="BX1" s="72"/>
      <c r="BY1" s="72"/>
      <c r="BZ1" s="72"/>
      <c r="CA1" s="72"/>
      <c r="CB1" s="72"/>
      <c r="CC1" s="72"/>
      <c r="CD1" s="72"/>
      <c r="CE1" s="72"/>
      <c r="CF1" s="72"/>
      <c r="CG1" s="72"/>
      <c r="CH1" s="72"/>
      <c r="CI1" s="74"/>
    </row>
    <row r="2" spans="1:87" x14ac:dyDescent="0.4">
      <c r="A2" s="76"/>
      <c r="B2" s="78"/>
      <c r="C2" s="78"/>
      <c r="D2" s="78"/>
      <c r="E2" s="80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9" t="str">
        <f>$F$1</f>
        <v>たかの</v>
      </c>
      <c r="V2" s="70" t="str">
        <f>$K$1</f>
        <v>まっつん</v>
      </c>
      <c r="W2" s="16" t="str">
        <f>$P$1</f>
        <v>だいち</v>
      </c>
      <c r="Y2" s="65" t="s">
        <v>23</v>
      </c>
      <c r="Z2" s="68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81" t="s">
        <v>20</v>
      </c>
      <c r="AF2" s="81"/>
      <c r="AG2" s="81"/>
      <c r="AH2" s="81"/>
      <c r="AI2" s="81"/>
      <c r="AJ2" s="81"/>
      <c r="AK2" s="81"/>
      <c r="AL2" s="81"/>
      <c r="AM2" s="81"/>
      <c r="AN2" s="81"/>
      <c r="AO2" s="81"/>
      <c r="AP2" s="81"/>
      <c r="AQ2" s="81"/>
      <c r="AR2" s="81"/>
      <c r="AS2" s="81"/>
      <c r="AT2" s="65" t="s">
        <v>23</v>
      </c>
      <c r="AU2" s="68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81" t="s">
        <v>20</v>
      </c>
      <c r="BA2" s="81"/>
      <c r="BB2" s="81"/>
      <c r="BC2" s="81"/>
      <c r="BD2" s="81"/>
      <c r="BE2" s="81"/>
      <c r="BF2" s="81"/>
      <c r="BG2" s="81"/>
      <c r="BH2" s="81"/>
      <c r="BI2" s="81"/>
      <c r="BJ2" s="81"/>
      <c r="BK2" s="81"/>
      <c r="BL2" s="81"/>
      <c r="BM2" s="81"/>
      <c r="BN2" s="81"/>
      <c r="BO2" s="65" t="s">
        <v>23</v>
      </c>
      <c r="BP2" s="68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81" t="s">
        <v>20</v>
      </c>
      <c r="BV2" s="81"/>
      <c r="BW2" s="81"/>
      <c r="BX2" s="81"/>
      <c r="BY2" s="81"/>
      <c r="BZ2" s="81"/>
      <c r="CA2" s="81"/>
      <c r="CB2" s="81"/>
      <c r="CC2" s="81"/>
      <c r="CD2" s="81"/>
      <c r="CE2" s="81"/>
      <c r="CF2" s="81"/>
      <c r="CG2" s="81"/>
      <c r="CH2" s="81"/>
      <c r="CI2" s="81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193</v>
      </c>
      <c r="F4" s="8" t="s">
        <v>197</v>
      </c>
      <c r="G4" s="9">
        <v>-5800</v>
      </c>
      <c r="H4" s="9"/>
      <c r="I4" s="48">
        <v>0</v>
      </c>
      <c r="J4" s="21">
        <f>IF(COUNTA($F4,$K4,$P4)&gt;0,J3+SUM(G4:I4),"")</f>
        <v>29200</v>
      </c>
      <c r="K4" s="8" t="s">
        <v>197</v>
      </c>
      <c r="L4" s="9">
        <v>-5800</v>
      </c>
      <c r="M4" s="9"/>
      <c r="N4" s="48">
        <v>0</v>
      </c>
      <c r="O4" s="21">
        <f>IF(COUNTA($F4,$K4,$P4)&gt;0,O3+SUM(L4:N4),"")</f>
        <v>29200</v>
      </c>
      <c r="P4" s="8" t="s">
        <v>198</v>
      </c>
      <c r="Q4" s="9">
        <v>11600</v>
      </c>
      <c r="R4" s="9"/>
      <c r="S4" s="48">
        <v>0</v>
      </c>
      <c r="T4" s="21">
        <f>IF(COUNTA($F4,$K4,$P4)&gt;0,T3+SUM(Q4:S4),"")</f>
        <v>46600</v>
      </c>
      <c r="U4" s="53">
        <f>IF($J4="","",ROUND(($J4-$J$3)/1000,1)+(_xlfn.RANK.AVG($J4,($J4,$O4,$T4),1)-2)*10)</f>
        <v>-10.8</v>
      </c>
      <c r="V4" s="54">
        <f>IF($O4="","",ROUND(($O4-$O$3)/1000,1)+(_xlfn.RANK.AVG($O4,($J4,$O4,$T4),1)-2)*10)</f>
        <v>-10.8</v>
      </c>
      <c r="W4" s="55">
        <f>IF($T4="","",ROUND(($T4-$T$3)/1000,1)+(_xlfn.RANK.AVG($T4,($J4,$O4,$T4),1)-2)*10)</f>
        <v>21.6</v>
      </c>
      <c r="Y4" s="8"/>
      <c r="Z4" s="34"/>
      <c r="AA4" s="26"/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>
        <v>1</v>
      </c>
      <c r="BS4" s="26">
        <v>4</v>
      </c>
      <c r="BT4" s="30">
        <v>30</v>
      </c>
      <c r="BU4" s="40" t="s">
        <v>86</v>
      </c>
      <c r="BV4" s="41" t="s">
        <v>79</v>
      </c>
      <c r="BW4" s="41" t="s">
        <v>79</v>
      </c>
      <c r="BX4" s="41" t="s">
        <v>79</v>
      </c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1</v>
      </c>
      <c r="C5" s="18">
        <f>IF($E5="","",IF($F4="チョンボ",C4,IF(OR($E4=$E5,$F4="流局"),C4+1,0)))</f>
        <v>1</v>
      </c>
      <c r="D5" s="18">
        <f t="shared" ref="D5:D30" si="1">IF($E5="","",IF(OR($F4="流局",$F4="チョンボ"),D4+($H4+$M4+$R4)/-1000,0))</f>
        <v>0</v>
      </c>
      <c r="E5" s="4" t="s">
        <v>193</v>
      </c>
      <c r="F5" s="8" t="s">
        <v>201</v>
      </c>
      <c r="G5" s="9">
        <v>-18000</v>
      </c>
      <c r="H5" s="9"/>
      <c r="I5" s="48">
        <v>-1000</v>
      </c>
      <c r="J5" s="21">
        <f t="shared" ref="J5:J30" si="2">IF(COUNTA($F5,$K5,$P5)&gt;0,J4+SUM(G5:I5),"")</f>
        <v>10200</v>
      </c>
      <c r="K5" s="8"/>
      <c r="L5" s="9"/>
      <c r="M5" s="9"/>
      <c r="N5" s="48"/>
      <c r="O5" s="21">
        <f t="shared" ref="O5:O30" si="3">IF(COUNTA($F5,$K5,$P5)&gt;0,O4+SUM(L5:N5),"")</f>
        <v>29200</v>
      </c>
      <c r="P5" s="8" t="s">
        <v>200</v>
      </c>
      <c r="Q5" s="9">
        <v>18000</v>
      </c>
      <c r="R5" s="9"/>
      <c r="S5" s="48">
        <v>1000</v>
      </c>
      <c r="T5" s="21">
        <f t="shared" ref="T5:T30" si="4">IF(COUNTA($F5,$K5,$P5)&gt;0,T4+SUM(Q5:S5),"")</f>
        <v>65600</v>
      </c>
      <c r="U5" s="53">
        <f>IF($J5="","",ROUND(($J5-$J$3)/1000,1)+(_xlfn.RANK.AVG($J5,($J5,$O5,$T5),1)-2)*10)</f>
        <v>-34.799999999999997</v>
      </c>
      <c r="V5" s="54">
        <f>IF($O5="","",ROUND(($O5-$O$3)/1000,1)+(_xlfn.RANK.AVG($O5,($J5,$O5,$T5),1)-2)*10)</f>
        <v>-5.8</v>
      </c>
      <c r="W5" s="55">
        <f>IF($T5="","",ROUND(($T5-$T$3)/1000,1)+(_xlfn.RANK.AVG($T5,($J5,$O5,$T5),1)-2)*10)</f>
        <v>40.6</v>
      </c>
      <c r="Y5" s="8"/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>
        <v>1</v>
      </c>
      <c r="BR5" s="26"/>
      <c r="BS5" s="26">
        <v>6</v>
      </c>
      <c r="BT5" s="30" t="s">
        <v>202</v>
      </c>
      <c r="BU5" s="40" t="s">
        <v>199</v>
      </c>
      <c r="BV5" s="41" t="s">
        <v>209</v>
      </c>
      <c r="BW5" s="41" t="s">
        <v>80</v>
      </c>
      <c r="BX5" s="41" t="s">
        <v>80</v>
      </c>
      <c r="BY5" s="41" t="s">
        <v>80</v>
      </c>
      <c r="BZ5" s="41" t="s">
        <v>80</v>
      </c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1</v>
      </c>
      <c r="C6" s="18">
        <f t="shared" ref="C6:C30" si="6">IF($E6="","",IF($F5="チョンボ",C5,IF(OR($E5=$E6,$F5="流局"),C5+1,0)))</f>
        <v>2</v>
      </c>
      <c r="D6" s="18">
        <f t="shared" si="1"/>
        <v>0</v>
      </c>
      <c r="E6" s="4" t="s">
        <v>193</v>
      </c>
      <c r="F6" s="8" t="s">
        <v>197</v>
      </c>
      <c r="G6" s="9">
        <v>-2000</v>
      </c>
      <c r="H6" s="9"/>
      <c r="I6" s="48">
        <v>-1000</v>
      </c>
      <c r="J6" s="21">
        <f t="shared" si="2"/>
        <v>7200</v>
      </c>
      <c r="K6" s="8" t="s">
        <v>197</v>
      </c>
      <c r="L6" s="9">
        <v>-2000</v>
      </c>
      <c r="M6" s="9">
        <v>-1000</v>
      </c>
      <c r="N6" s="48">
        <v>-1000</v>
      </c>
      <c r="O6" s="21">
        <f t="shared" si="3"/>
        <v>25200</v>
      </c>
      <c r="P6" s="8" t="s">
        <v>198</v>
      </c>
      <c r="Q6" s="9">
        <v>4000</v>
      </c>
      <c r="R6" s="9">
        <v>1000</v>
      </c>
      <c r="S6" s="48">
        <v>2000</v>
      </c>
      <c r="T6" s="21">
        <f t="shared" si="4"/>
        <v>72600</v>
      </c>
      <c r="U6" s="53">
        <f>IF($J6="","",ROUND(($J6-$J$3)/1000,1)+(_xlfn.RANK.AVG($J6,($J6,$O6,$T6),1)-2)*10)</f>
        <v>-37.799999999999997</v>
      </c>
      <c r="V6" s="54">
        <f>IF($O6="","",ROUND(($O6-$O$3)/1000,1)+(_xlfn.RANK.AVG($O6,($J6,$O6,$T6),1)-2)*10)</f>
        <v>-9.8000000000000007</v>
      </c>
      <c r="W6" s="55">
        <f>IF($T6="","",ROUND(($T6-$T$3)/1000,1)+(_xlfn.RANK.AVG($T6,($J6,$O6,$T6),1)-2)*10)</f>
        <v>47.6</v>
      </c>
      <c r="Y6" s="8"/>
      <c r="Z6" s="34"/>
      <c r="AA6" s="26"/>
      <c r="AB6" s="26">
        <v>1</v>
      </c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>
        <v>1</v>
      </c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>
        <v>1</v>
      </c>
      <c r="BS6" s="26">
        <v>2</v>
      </c>
      <c r="BT6" s="30">
        <v>40</v>
      </c>
      <c r="BU6" s="40" t="s">
        <v>86</v>
      </c>
      <c r="BV6" s="41" t="s">
        <v>79</v>
      </c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東</v>
      </c>
      <c r="B7" s="18">
        <f t="shared" si="5"/>
        <v>1</v>
      </c>
      <c r="C7" s="18">
        <f t="shared" si="6"/>
        <v>3</v>
      </c>
      <c r="D7" s="18">
        <f t="shared" si="1"/>
        <v>0</v>
      </c>
      <c r="E7" s="4" t="s">
        <v>193</v>
      </c>
      <c r="F7" s="8" t="s">
        <v>198</v>
      </c>
      <c r="G7" s="9">
        <v>8000</v>
      </c>
      <c r="H7" s="9">
        <v>1000</v>
      </c>
      <c r="I7" s="48">
        <v>3000</v>
      </c>
      <c r="J7" s="21">
        <f t="shared" si="2"/>
        <v>19200</v>
      </c>
      <c r="K7" s="8" t="s">
        <v>197</v>
      </c>
      <c r="L7" s="9">
        <v>-3000</v>
      </c>
      <c r="M7" s="9"/>
      <c r="N7" s="48">
        <v>-1500</v>
      </c>
      <c r="O7" s="21">
        <f t="shared" si="3"/>
        <v>20700</v>
      </c>
      <c r="P7" s="8" t="s">
        <v>197</v>
      </c>
      <c r="Q7" s="9">
        <v>-5000</v>
      </c>
      <c r="R7" s="9">
        <v>-1000</v>
      </c>
      <c r="S7" s="48">
        <v>-1500</v>
      </c>
      <c r="T7" s="21">
        <f t="shared" si="4"/>
        <v>65100</v>
      </c>
      <c r="U7" s="53">
        <f>IF($J7="","",ROUND(($J7-$J$3)/1000,1)+(_xlfn.RANK.AVG($J7,($J7,$O7,$T7),1)-2)*10)</f>
        <v>-25.8</v>
      </c>
      <c r="V7" s="54">
        <f>IF($O7="","",ROUND(($O7-$O$3)/1000,1)+(_xlfn.RANK.AVG($O7,($J7,$O7,$T7),1)-2)*10)</f>
        <v>-14.3</v>
      </c>
      <c r="W7" s="55">
        <f>IF($T7="","",ROUND(($T7-$T$3)/1000,1)+(_xlfn.RANK.AVG($T7,($J7,$O7,$T7),1)-2)*10)</f>
        <v>40.1</v>
      </c>
      <c r="Y7" s="8"/>
      <c r="Z7" s="34"/>
      <c r="AA7" s="26">
        <v>1</v>
      </c>
      <c r="AB7" s="26"/>
      <c r="AC7" s="26">
        <v>5</v>
      </c>
      <c r="AD7" s="30" t="s">
        <v>202</v>
      </c>
      <c r="AE7" s="40" t="s">
        <v>199</v>
      </c>
      <c r="AF7" s="41" t="s">
        <v>82</v>
      </c>
      <c r="AG7" s="41" t="s">
        <v>86</v>
      </c>
      <c r="AH7" s="41" t="s">
        <v>80</v>
      </c>
      <c r="AI7" s="41" t="s">
        <v>209</v>
      </c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>
        <v>1</v>
      </c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東</v>
      </c>
      <c r="B8" s="18">
        <f t="shared" si="5"/>
        <v>2</v>
      </c>
      <c r="C8" s="18">
        <f t="shared" si="6"/>
        <v>0</v>
      </c>
      <c r="D8" s="18">
        <f t="shared" si="1"/>
        <v>0</v>
      </c>
      <c r="E8" s="4" t="s">
        <v>204</v>
      </c>
      <c r="F8" s="8" t="s">
        <v>200</v>
      </c>
      <c r="G8" s="9">
        <v>12000</v>
      </c>
      <c r="H8" s="9"/>
      <c r="I8" s="48">
        <v>0</v>
      </c>
      <c r="J8" s="21">
        <f t="shared" si="2"/>
        <v>31200</v>
      </c>
      <c r="K8" s="8" t="s">
        <v>201</v>
      </c>
      <c r="L8" s="9">
        <v>-12000</v>
      </c>
      <c r="M8" s="9"/>
      <c r="N8" s="48">
        <v>0</v>
      </c>
      <c r="O8" s="21">
        <f t="shared" si="3"/>
        <v>8700</v>
      </c>
      <c r="P8" s="8"/>
      <c r="Q8" s="9"/>
      <c r="R8" s="9"/>
      <c r="S8" s="48"/>
      <c r="T8" s="21">
        <f t="shared" si="4"/>
        <v>65100</v>
      </c>
      <c r="U8" s="53">
        <f>IF($J8="","",ROUND(($J8-$J$3)/1000,1)+(_xlfn.RANK.AVG($J8,($J8,$O8,$T8),1)-2)*10)</f>
        <v>-3.8</v>
      </c>
      <c r="V8" s="54">
        <f>IF($O8="","",ROUND(($O8-$O$3)/1000,1)+(_xlfn.RANK.AVG($O8,($J8,$O8,$T8),1)-2)*10)</f>
        <v>-36.299999999999997</v>
      </c>
      <c r="W8" s="55">
        <f>IF($T8="","",ROUND(($T8-$T$3)/1000,1)+(_xlfn.RANK.AVG($T8,($J8,$O8,$T8),1)-2)*10)</f>
        <v>40.1</v>
      </c>
      <c r="Y8" s="8"/>
      <c r="Z8" s="34"/>
      <c r="AA8" s="26"/>
      <c r="AB8" s="26">
        <v>1</v>
      </c>
      <c r="AC8" s="26">
        <v>5</v>
      </c>
      <c r="AD8" s="30" t="s">
        <v>202</v>
      </c>
      <c r="AE8" s="40" t="s">
        <v>203</v>
      </c>
      <c r="AF8" s="41" t="s">
        <v>98</v>
      </c>
      <c r="AG8" s="41" t="s">
        <v>86</v>
      </c>
      <c r="AH8" s="41" t="s">
        <v>86</v>
      </c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>
        <v>1</v>
      </c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東</v>
      </c>
      <c r="B9" s="18">
        <f t="shared" si="5"/>
        <v>2</v>
      </c>
      <c r="C9" s="18">
        <f t="shared" si="6"/>
        <v>1</v>
      </c>
      <c r="D9" s="18">
        <f t="shared" si="1"/>
        <v>0</v>
      </c>
      <c r="E9" s="4" t="s">
        <v>204</v>
      </c>
      <c r="F9" s="8" t="s">
        <v>197</v>
      </c>
      <c r="G9" s="9">
        <v>-1300</v>
      </c>
      <c r="H9" s="9"/>
      <c r="I9" s="48">
        <v>-500</v>
      </c>
      <c r="J9" s="21">
        <f t="shared" si="2"/>
        <v>29400</v>
      </c>
      <c r="K9" s="8" t="s">
        <v>197</v>
      </c>
      <c r="L9" s="9">
        <v>-800</v>
      </c>
      <c r="M9" s="9"/>
      <c r="N9" s="48">
        <v>-500</v>
      </c>
      <c r="O9" s="21">
        <f t="shared" si="3"/>
        <v>7400</v>
      </c>
      <c r="P9" s="8" t="s">
        <v>198</v>
      </c>
      <c r="Q9" s="9">
        <v>2100</v>
      </c>
      <c r="R9" s="9"/>
      <c r="S9" s="48">
        <v>1000</v>
      </c>
      <c r="T9" s="21">
        <f t="shared" si="4"/>
        <v>68200</v>
      </c>
      <c r="U9" s="53">
        <f>IF($J9="","",ROUND(($J9-$J$3)/1000,1)+(_xlfn.RANK.AVG($J9,($J9,$O9,$T9),1)-2)*10)</f>
        <v>-5.6</v>
      </c>
      <c r="V9" s="54">
        <f>IF($O9="","",ROUND(($O9-$O$3)/1000,1)+(_xlfn.RANK.AVG($O9,($J9,$O9,$T9),1)-2)*10)</f>
        <v>-37.6</v>
      </c>
      <c r="W9" s="55">
        <f>IF($T9="","",ROUND(($T9-$T$3)/1000,1)+(_xlfn.RANK.AVG($T9,($J9,$O9,$T9),1)-2)*10)</f>
        <v>43.2</v>
      </c>
      <c r="Y9" s="8"/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/>
      <c r="BS9" s="26">
        <v>2</v>
      </c>
      <c r="BT9" s="30">
        <v>30</v>
      </c>
      <c r="BU9" s="40" t="s">
        <v>82</v>
      </c>
      <c r="BV9" s="41" t="s">
        <v>203</v>
      </c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>東</v>
      </c>
      <c r="B10" s="18">
        <f t="shared" si="5"/>
        <v>3</v>
      </c>
      <c r="C10" s="18">
        <f t="shared" si="6"/>
        <v>0</v>
      </c>
      <c r="D10" s="18">
        <f t="shared" si="1"/>
        <v>0</v>
      </c>
      <c r="E10" s="4" t="s">
        <v>210</v>
      </c>
      <c r="F10" s="8" t="s">
        <v>212</v>
      </c>
      <c r="G10" s="9">
        <v>-8000</v>
      </c>
      <c r="H10" s="9">
        <v>-1000</v>
      </c>
      <c r="I10" s="48"/>
      <c r="J10" s="21">
        <f t="shared" si="2"/>
        <v>20400</v>
      </c>
      <c r="K10" s="8" t="s">
        <v>212</v>
      </c>
      <c r="L10" s="9">
        <v>5000</v>
      </c>
      <c r="M10" s="9"/>
      <c r="N10" s="48"/>
      <c r="O10" s="21">
        <f t="shared" si="3"/>
        <v>12400</v>
      </c>
      <c r="P10" s="8" t="s">
        <v>212</v>
      </c>
      <c r="Q10" s="9">
        <v>3000</v>
      </c>
      <c r="R10" s="9">
        <v>-1000</v>
      </c>
      <c r="S10" s="48"/>
      <c r="T10" s="21">
        <f t="shared" si="4"/>
        <v>70200</v>
      </c>
      <c r="U10" s="53">
        <f>IF($J10="","",ROUND(($J10-$J$3)/1000,1)+(_xlfn.RANK.AVG($J10,($J10,$O10,$T10),1)-2)*10)</f>
        <v>-14.6</v>
      </c>
      <c r="V10" s="54">
        <f>IF($O10="","",ROUND(($O10-$O$3)/1000,1)+(_xlfn.RANK.AVG($O10,($J10,$O10,$T10),1)-2)*10)</f>
        <v>-32.6</v>
      </c>
      <c r="W10" s="55">
        <f>IF($T10="","",ROUND(($T10-$T$3)/1000,1)+(_xlfn.RANK.AVG($T10,($J10,$O10,$T10),1)-2)*10)</f>
        <v>45.2</v>
      </c>
      <c r="Y10" s="8"/>
      <c r="Z10" s="34">
        <v>1</v>
      </c>
      <c r="AA10" s="26">
        <v>1</v>
      </c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>
        <v>1</v>
      </c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>東</v>
      </c>
      <c r="B11" s="18">
        <f t="shared" si="5"/>
        <v>3</v>
      </c>
      <c r="C11" s="18">
        <f t="shared" si="6"/>
        <v>0</v>
      </c>
      <c r="D11" s="18">
        <f t="shared" si="1"/>
        <v>2</v>
      </c>
      <c r="E11" s="4" t="s">
        <v>210</v>
      </c>
      <c r="F11" s="8" t="s">
        <v>215</v>
      </c>
      <c r="G11" s="9">
        <v>3000</v>
      </c>
      <c r="H11" s="9">
        <v>-1000</v>
      </c>
      <c r="I11" s="48"/>
      <c r="J11" s="21">
        <f t="shared" si="2"/>
        <v>22400</v>
      </c>
      <c r="K11" s="8" t="s">
        <v>215</v>
      </c>
      <c r="L11" s="9">
        <v>-1500</v>
      </c>
      <c r="M11" s="9"/>
      <c r="N11" s="48"/>
      <c r="O11" s="21">
        <f t="shared" si="3"/>
        <v>10900</v>
      </c>
      <c r="P11" s="8" t="s">
        <v>215</v>
      </c>
      <c r="Q11" s="9">
        <v>-1500</v>
      </c>
      <c r="R11" s="9"/>
      <c r="S11" s="48"/>
      <c r="T11" s="21">
        <f t="shared" si="4"/>
        <v>68700</v>
      </c>
      <c r="U11" s="53">
        <f>IF($J11="","",ROUND(($J11-$J$3)/1000,1)+(_xlfn.RANK.AVG($J11,($J11,$O11,$T11),1)-2)*10)</f>
        <v>-12.6</v>
      </c>
      <c r="V11" s="54">
        <f>IF($O11="","",ROUND(($O11-$O$3)/1000,1)+(_xlfn.RANK.AVG($O11,($J11,$O11,$T11),1)-2)*10)</f>
        <v>-34.1</v>
      </c>
      <c r="W11" s="55">
        <f>IF($T11="","",ROUND(($T11-$T$3)/1000,1)+(_xlfn.RANK.AVG($T11,($J11,$O11,$T11),1)-2)*10)</f>
        <v>43.7</v>
      </c>
      <c r="Y11" s="8" t="s">
        <v>213</v>
      </c>
      <c r="Z11" s="34"/>
      <c r="AA11" s="26">
        <v>1</v>
      </c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 t="s">
        <v>214</v>
      </c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 t="s">
        <v>214</v>
      </c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>南</v>
      </c>
      <c r="B12" s="18">
        <f t="shared" si="5"/>
        <v>1</v>
      </c>
      <c r="C12" s="18">
        <f t="shared" si="6"/>
        <v>1</v>
      </c>
      <c r="D12" s="18">
        <f t="shared" si="1"/>
        <v>3</v>
      </c>
      <c r="E12" s="4" t="s">
        <v>193</v>
      </c>
      <c r="F12" s="8" t="s">
        <v>201</v>
      </c>
      <c r="G12" s="9">
        <v>-9600</v>
      </c>
      <c r="H12" s="9"/>
      <c r="I12" s="48">
        <v>-1000</v>
      </c>
      <c r="J12" s="21">
        <f t="shared" si="2"/>
        <v>11800</v>
      </c>
      <c r="K12" s="8"/>
      <c r="L12" s="9"/>
      <c r="M12" s="9"/>
      <c r="N12" s="48"/>
      <c r="O12" s="21">
        <f t="shared" si="3"/>
        <v>10900</v>
      </c>
      <c r="P12" s="8" t="s">
        <v>200</v>
      </c>
      <c r="Q12" s="9">
        <v>9600</v>
      </c>
      <c r="R12" s="9">
        <v>3000</v>
      </c>
      <c r="S12" s="48">
        <v>1000</v>
      </c>
      <c r="T12" s="21">
        <f t="shared" si="4"/>
        <v>82300</v>
      </c>
      <c r="U12" s="53">
        <f>IF($J12="","",ROUND(($J12-$J$3)/1000,1)+(_xlfn.RANK.AVG($J12,($J12,$O12,$T12),1)-2)*10)</f>
        <v>-23.2</v>
      </c>
      <c r="V12" s="54">
        <f>IF($O12="","",ROUND(($O12-$O$3)/1000,1)+(_xlfn.RANK.AVG($O12,($J12,$O12,$T12),1)-2)*10)</f>
        <v>-34.1</v>
      </c>
      <c r="W12" s="55">
        <f>IF($T12="","",ROUND(($T12-$T$3)/1000,1)+(_xlfn.RANK.AVG($T12,($J12,$O12,$T12),1)-2)*10)</f>
        <v>57.3</v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>
        <v>1</v>
      </c>
      <c r="BR12" s="26"/>
      <c r="BS12" s="26">
        <v>4</v>
      </c>
      <c r="BT12" s="30">
        <v>25</v>
      </c>
      <c r="BU12" s="40" t="s">
        <v>91</v>
      </c>
      <c r="BV12" s="41" t="s">
        <v>101</v>
      </c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>南</v>
      </c>
      <c r="B13" s="18">
        <f t="shared" si="5"/>
        <v>1</v>
      </c>
      <c r="C13" s="18">
        <f t="shared" si="6"/>
        <v>2</v>
      </c>
      <c r="D13" s="18">
        <f t="shared" si="1"/>
        <v>0</v>
      </c>
      <c r="E13" s="4" t="s">
        <v>193</v>
      </c>
      <c r="F13" s="8" t="s">
        <v>198</v>
      </c>
      <c r="G13" s="9">
        <v>8000</v>
      </c>
      <c r="H13" s="9"/>
      <c r="I13" s="48">
        <v>2000</v>
      </c>
      <c r="J13" s="21">
        <f t="shared" si="2"/>
        <v>21800</v>
      </c>
      <c r="K13" s="8" t="s">
        <v>197</v>
      </c>
      <c r="L13" s="9">
        <v>-3000</v>
      </c>
      <c r="M13" s="9"/>
      <c r="N13" s="48">
        <v>-1000</v>
      </c>
      <c r="O13" s="21">
        <f t="shared" si="3"/>
        <v>6900</v>
      </c>
      <c r="P13" s="8" t="s">
        <v>197</v>
      </c>
      <c r="Q13" s="9">
        <v>-5000</v>
      </c>
      <c r="R13" s="9"/>
      <c r="S13" s="48">
        <v>-1000</v>
      </c>
      <c r="T13" s="21">
        <f t="shared" si="4"/>
        <v>76300</v>
      </c>
      <c r="U13" s="53">
        <f>IF($J13="","",ROUND(($J13-$J$3)/1000,1)+(_xlfn.RANK.AVG($J13,($J13,$O13,$T13),1)-2)*10)</f>
        <v>-13.2</v>
      </c>
      <c r="V13" s="54">
        <f>IF($O13="","",ROUND(($O13-$O$3)/1000,1)+(_xlfn.RANK.AVG($O13,($J13,$O13,$T13),1)-2)*10)</f>
        <v>-38.1</v>
      </c>
      <c r="W13" s="55">
        <f>IF($T13="","",ROUND(($T13-$T$3)/1000,1)+(_xlfn.RANK.AVG($T13,($J13,$O13,$T13),1)-2)*10)</f>
        <v>51.3</v>
      </c>
      <c r="Y13" s="8"/>
      <c r="Z13" s="34"/>
      <c r="AA13" s="26">
        <v>1</v>
      </c>
      <c r="AB13" s="26"/>
      <c r="AC13" s="26">
        <v>5</v>
      </c>
      <c r="AD13" s="30" t="s">
        <v>202</v>
      </c>
      <c r="AE13" s="40" t="s">
        <v>199</v>
      </c>
      <c r="AF13" s="41" t="s">
        <v>82</v>
      </c>
      <c r="AG13" s="41" t="s">
        <v>86</v>
      </c>
      <c r="AH13" s="41" t="s">
        <v>79</v>
      </c>
      <c r="AI13" s="41" t="s">
        <v>203</v>
      </c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>南</v>
      </c>
      <c r="B14" s="18">
        <f t="shared" si="5"/>
        <v>2</v>
      </c>
      <c r="C14" s="18">
        <f t="shared" si="6"/>
        <v>0</v>
      </c>
      <c r="D14" s="18">
        <f t="shared" si="1"/>
        <v>0</v>
      </c>
      <c r="E14" s="4" t="s">
        <v>204</v>
      </c>
      <c r="F14" s="8" t="s">
        <v>201</v>
      </c>
      <c r="G14" s="9">
        <v>-7700</v>
      </c>
      <c r="H14" s="9">
        <v>-1000</v>
      </c>
      <c r="I14" s="48">
        <v>0</v>
      </c>
      <c r="J14" s="21">
        <f t="shared" si="2"/>
        <v>13100</v>
      </c>
      <c r="K14" s="8"/>
      <c r="L14" s="9"/>
      <c r="M14" s="9"/>
      <c r="N14" s="48"/>
      <c r="O14" s="21">
        <f t="shared" si="3"/>
        <v>6900</v>
      </c>
      <c r="P14" s="8" t="s">
        <v>200</v>
      </c>
      <c r="Q14" s="9">
        <v>7700</v>
      </c>
      <c r="R14" s="9">
        <v>1000</v>
      </c>
      <c r="S14" s="48">
        <v>0</v>
      </c>
      <c r="T14" s="21">
        <f t="shared" si="4"/>
        <v>85000</v>
      </c>
      <c r="U14" s="53">
        <f>IF($J14="","",ROUND(($J14-$J$3)/1000,1)+(_xlfn.RANK.AVG($J14,($J14,$O14,$T14),1)-2)*10)</f>
        <v>-21.9</v>
      </c>
      <c r="V14" s="54">
        <f>IF($O14="","",ROUND(($O14-$O$3)/1000,1)+(_xlfn.RANK.AVG($O14,($J14,$O14,$T14),1)-2)*10)</f>
        <v>-38.1</v>
      </c>
      <c r="W14" s="55">
        <f>IF($T14="","",ROUND(($T14-$T$3)/1000,1)+(_xlfn.RANK.AVG($T14,($J14,$O14,$T14),1)-2)*10)</f>
        <v>60</v>
      </c>
      <c r="Y14" s="8"/>
      <c r="Z14" s="34"/>
      <c r="AA14" s="26">
        <v>1</v>
      </c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>
        <v>1</v>
      </c>
      <c r="BS14" s="26">
        <v>4</v>
      </c>
      <c r="BT14" s="30">
        <v>30</v>
      </c>
      <c r="BU14" s="40" t="s">
        <v>104</v>
      </c>
      <c r="BV14" s="41" t="s">
        <v>203</v>
      </c>
      <c r="BW14" s="41" t="s">
        <v>86</v>
      </c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>南</v>
      </c>
      <c r="B15" s="18">
        <f t="shared" si="5"/>
        <v>3</v>
      </c>
      <c r="C15" s="18">
        <f t="shared" si="6"/>
        <v>0</v>
      </c>
      <c r="D15" s="18">
        <f t="shared" si="1"/>
        <v>0</v>
      </c>
      <c r="E15" s="4" t="s">
        <v>210</v>
      </c>
      <c r="F15" s="8" t="s">
        <v>197</v>
      </c>
      <c r="G15" s="9">
        <v>-500</v>
      </c>
      <c r="H15" s="9"/>
      <c r="I15" s="48">
        <v>0</v>
      </c>
      <c r="J15" s="21">
        <f t="shared" si="2"/>
        <v>12600</v>
      </c>
      <c r="K15" s="8" t="s">
        <v>197</v>
      </c>
      <c r="L15" s="9">
        <v>-700</v>
      </c>
      <c r="M15" s="9"/>
      <c r="N15" s="48">
        <v>0</v>
      </c>
      <c r="O15" s="21">
        <f t="shared" si="3"/>
        <v>6200</v>
      </c>
      <c r="P15" s="8" t="s">
        <v>198</v>
      </c>
      <c r="Q15" s="9">
        <v>1200</v>
      </c>
      <c r="R15" s="9"/>
      <c r="S15" s="48">
        <v>0</v>
      </c>
      <c r="T15" s="21">
        <f t="shared" si="4"/>
        <v>86200</v>
      </c>
      <c r="U15" s="53">
        <f>IF($J15="","",ROUND(($J15-$J$3)/1000,1)+(_xlfn.RANK.AVG($J15,($J15,$O15,$T15),1)-2)*10)</f>
        <v>-22.4</v>
      </c>
      <c r="V15" s="54">
        <f>IF($O15="","",ROUND(($O15-$O$3)/1000,1)+(_xlfn.RANK.AVG($O15,($J15,$O15,$T15),1)-2)*10)</f>
        <v>-38.799999999999997</v>
      </c>
      <c r="W15" s="55">
        <f>IF($T15="","",ROUND(($T15-$T$3)/1000,1)+(_xlfn.RANK.AVG($T15,($J15,$O15,$T15),1)-2)*10)</f>
        <v>61.2</v>
      </c>
      <c r="Y15" s="8"/>
      <c r="Z15" s="34"/>
      <c r="AA15" s="26"/>
      <c r="AB15" s="26">
        <v>1</v>
      </c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>
        <v>1</v>
      </c>
      <c r="BS15" s="26">
        <v>1</v>
      </c>
      <c r="BT15" s="30">
        <v>30</v>
      </c>
      <c r="BU15" s="40" t="s">
        <v>85</v>
      </c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>西</v>
      </c>
      <c r="B16" s="18">
        <f t="shared" si="5"/>
        <v>1</v>
      </c>
      <c r="C16" s="18">
        <f t="shared" si="6"/>
        <v>0</v>
      </c>
      <c r="D16" s="18">
        <f t="shared" si="1"/>
        <v>0</v>
      </c>
      <c r="E16" s="4" t="s">
        <v>193</v>
      </c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4" priority="5">
      <formula>IF(G4&lt;&gt;"",SUM($G4:$I4,$L4:$N4,$Q4:$S4)-$D4*1000+$D5*1000)</formula>
    </cfRule>
  </conditionalFormatting>
  <conditionalFormatting sqref="F1:G1 I1:L1 S1:T1 N1:Q1">
    <cfRule type="duplicateValues" dxfId="3" priority="4"/>
  </conditionalFormatting>
  <conditionalFormatting sqref="H1">
    <cfRule type="duplicateValues" dxfId="2" priority="3"/>
  </conditionalFormatting>
  <conditionalFormatting sqref="R1">
    <cfRule type="duplicateValues" dxfId="1" priority="2"/>
  </conditionalFormatting>
  <conditionalFormatting sqref="M1">
    <cfRule type="duplicateValues" dxfId="0" priority="1"/>
  </conditionalFormatting>
  <dataValidations count="3">
    <dataValidation type="list" allowBlank="1" showInputMessage="1" showErrorMessage="1" sqref="E4:E30" xr:uid="{BAED4CFF-9771-4F88-97F6-ED70802A0CA5}">
      <formula1>$U$2:$W$2</formula1>
    </dataValidation>
    <dataValidation type="list" showInputMessage="1" showErrorMessage="1" sqref="K4:K30 P4:P30 F4:F30" xr:uid="{844C8EBA-6A98-4888-999E-272AE7F2A84A}">
      <formula1>"ロン,ツモ,放銃,ツモ支払,流局,チョンボ"</formula1>
    </dataValidation>
    <dataValidation type="list" allowBlank="1" showInputMessage="1" sqref="F1:T1" xr:uid="{091CB2D4-529F-4E76-8EC7-AC5076530D2A}">
      <formula1>"たかの,だいち,ただ,りくと,れんたろう,まっつん,のり,ぱぱ,"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E54"/>
  <sheetViews>
    <sheetView workbookViewId="0"/>
  </sheetViews>
  <sheetFormatPr defaultRowHeight="18.75" x14ac:dyDescent="0.4"/>
  <cols>
    <col min="1" max="1" width="9" style="36" customWidth="1"/>
    <col min="2" max="2" width="6.5" style="36" customWidth="1"/>
    <col min="3" max="3" width="19.25" style="15" bestFit="1" customWidth="1"/>
    <col min="4" max="5" width="6.5" style="15" customWidth="1"/>
  </cols>
  <sheetData>
    <row r="1" spans="1:5" x14ac:dyDescent="0.4">
      <c r="A1" s="36" t="s">
        <v>27</v>
      </c>
      <c r="B1" s="36" t="s">
        <v>138</v>
      </c>
      <c r="C1" s="15" t="s">
        <v>28</v>
      </c>
      <c r="D1" s="15" t="s">
        <v>29</v>
      </c>
      <c r="E1" s="15" t="s">
        <v>30</v>
      </c>
    </row>
    <row r="2" spans="1:5" x14ac:dyDescent="0.4">
      <c r="A2" s="36" t="s">
        <v>77</v>
      </c>
      <c r="B2" s="36" t="s">
        <v>139</v>
      </c>
      <c r="C2" s="15" t="s">
        <v>132</v>
      </c>
      <c r="D2" s="15">
        <v>1</v>
      </c>
    </row>
    <row r="3" spans="1:5" x14ac:dyDescent="0.4">
      <c r="A3" s="36" t="s">
        <v>78</v>
      </c>
      <c r="B3" s="36" t="s">
        <v>148</v>
      </c>
      <c r="C3" s="15" t="s">
        <v>31</v>
      </c>
      <c r="D3" s="15">
        <v>1</v>
      </c>
    </row>
    <row r="4" spans="1:5" x14ac:dyDescent="0.4">
      <c r="A4" s="36" t="s">
        <v>79</v>
      </c>
      <c r="B4" s="36" t="s">
        <v>141</v>
      </c>
      <c r="C4" s="15" t="s">
        <v>32</v>
      </c>
      <c r="D4" s="15">
        <v>1</v>
      </c>
      <c r="E4" s="15">
        <v>1</v>
      </c>
    </row>
    <row r="5" spans="1:5" x14ac:dyDescent="0.4">
      <c r="A5" s="36" t="s">
        <v>80</v>
      </c>
      <c r="B5" s="36" t="s">
        <v>142</v>
      </c>
      <c r="C5" s="15" t="s">
        <v>33</v>
      </c>
      <c r="D5" s="15">
        <v>1</v>
      </c>
    </row>
    <row r="6" spans="1:5" x14ac:dyDescent="0.4">
      <c r="A6" s="36" t="s">
        <v>81</v>
      </c>
      <c r="C6" s="15" t="s">
        <v>34</v>
      </c>
      <c r="D6" s="15">
        <v>1</v>
      </c>
      <c r="E6" s="15">
        <v>1</v>
      </c>
    </row>
    <row r="7" spans="1:5" x14ac:dyDescent="0.4">
      <c r="A7" s="36" t="s">
        <v>82</v>
      </c>
      <c r="B7" s="36" t="s">
        <v>140</v>
      </c>
      <c r="C7" s="15" t="s">
        <v>35</v>
      </c>
      <c r="D7" s="15">
        <v>1</v>
      </c>
    </row>
    <row r="8" spans="1:5" x14ac:dyDescent="0.4">
      <c r="A8" s="36" t="s">
        <v>83</v>
      </c>
      <c r="B8" s="36" t="s">
        <v>144</v>
      </c>
      <c r="C8" s="15" t="s">
        <v>36</v>
      </c>
      <c r="D8" s="15">
        <v>1</v>
      </c>
    </row>
    <row r="9" spans="1:5" x14ac:dyDescent="0.4">
      <c r="A9" s="36" t="s">
        <v>84</v>
      </c>
      <c r="B9" s="36" t="s">
        <v>146</v>
      </c>
      <c r="C9" s="15" t="s">
        <v>37</v>
      </c>
      <c r="D9" s="15">
        <v>1</v>
      </c>
    </row>
    <row r="10" spans="1:5" x14ac:dyDescent="0.4">
      <c r="A10" s="36" t="s">
        <v>85</v>
      </c>
      <c r="B10" s="36" t="s">
        <v>145</v>
      </c>
      <c r="C10" s="15" t="s">
        <v>129</v>
      </c>
      <c r="D10" s="15">
        <v>1</v>
      </c>
      <c r="E10" s="15">
        <v>1</v>
      </c>
    </row>
    <row r="11" spans="1:5" x14ac:dyDescent="0.4">
      <c r="A11" s="36" t="s">
        <v>86</v>
      </c>
      <c r="B11" s="36" t="s">
        <v>147</v>
      </c>
      <c r="C11" s="15" t="s">
        <v>38</v>
      </c>
      <c r="D11" s="15">
        <v>1</v>
      </c>
      <c r="E11" s="15">
        <v>1</v>
      </c>
    </row>
    <row r="12" spans="1:5" x14ac:dyDescent="0.4">
      <c r="A12" s="36" t="s">
        <v>87</v>
      </c>
      <c r="B12" s="36" t="s">
        <v>159</v>
      </c>
      <c r="C12" s="15" t="s">
        <v>39</v>
      </c>
      <c r="D12" s="15">
        <v>1</v>
      </c>
      <c r="E12" s="15">
        <v>1</v>
      </c>
    </row>
    <row r="13" spans="1:5" x14ac:dyDescent="0.4">
      <c r="A13" s="36" t="s">
        <v>88</v>
      </c>
      <c r="B13" s="36" t="s">
        <v>160</v>
      </c>
      <c r="C13" s="15" t="s">
        <v>40</v>
      </c>
      <c r="D13" s="15">
        <v>1</v>
      </c>
      <c r="E13" s="15">
        <v>1</v>
      </c>
    </row>
    <row r="14" spans="1:5" x14ac:dyDescent="0.4">
      <c r="A14" s="36" t="s">
        <v>89</v>
      </c>
      <c r="B14" s="36" t="s">
        <v>161</v>
      </c>
      <c r="C14" s="15" t="s">
        <v>41</v>
      </c>
      <c r="D14" s="15">
        <v>1</v>
      </c>
      <c r="E14" s="15">
        <v>1</v>
      </c>
    </row>
    <row r="15" spans="1:5" x14ac:dyDescent="0.4">
      <c r="A15" s="36" t="s">
        <v>90</v>
      </c>
      <c r="B15" s="36" t="s">
        <v>162</v>
      </c>
      <c r="C15" s="15" t="s">
        <v>42</v>
      </c>
      <c r="D15" s="15">
        <v>1</v>
      </c>
      <c r="E15" s="15">
        <v>1</v>
      </c>
    </row>
    <row r="16" spans="1:5" x14ac:dyDescent="0.4">
      <c r="A16" s="36" t="s">
        <v>91</v>
      </c>
      <c r="B16" s="36" t="s">
        <v>157</v>
      </c>
      <c r="C16" s="15" t="s">
        <v>43</v>
      </c>
      <c r="D16" s="15">
        <v>2</v>
      </c>
    </row>
    <row r="17" spans="1:5" x14ac:dyDescent="0.4">
      <c r="A17" s="36" t="s">
        <v>92</v>
      </c>
      <c r="B17" s="36" t="s">
        <v>149</v>
      </c>
      <c r="C17" s="15" t="s">
        <v>44</v>
      </c>
      <c r="D17" s="15">
        <v>2</v>
      </c>
      <c r="E17" s="15">
        <v>1</v>
      </c>
    </row>
    <row r="18" spans="1:5" x14ac:dyDescent="0.4">
      <c r="A18" s="36" t="s">
        <v>93</v>
      </c>
      <c r="B18" s="36" t="s">
        <v>155</v>
      </c>
      <c r="C18" s="15" t="s">
        <v>131</v>
      </c>
      <c r="D18" s="15">
        <v>2</v>
      </c>
      <c r="E18" s="15">
        <v>1</v>
      </c>
    </row>
    <row r="19" spans="1:5" x14ac:dyDescent="0.4">
      <c r="A19" s="36" t="s">
        <v>94</v>
      </c>
      <c r="C19" s="15" t="s">
        <v>45</v>
      </c>
      <c r="D19" s="15">
        <v>2</v>
      </c>
      <c r="E19" s="15">
        <v>1</v>
      </c>
    </row>
    <row r="20" spans="1:5" x14ac:dyDescent="0.4">
      <c r="A20" s="36" t="s">
        <v>95</v>
      </c>
      <c r="B20" s="36" t="s">
        <v>165</v>
      </c>
      <c r="C20" s="15" t="s">
        <v>46</v>
      </c>
      <c r="D20" s="15">
        <v>2</v>
      </c>
      <c r="E20" s="15">
        <v>2</v>
      </c>
    </row>
    <row r="21" spans="1:5" x14ac:dyDescent="0.4">
      <c r="A21" s="36" t="s">
        <v>96</v>
      </c>
      <c r="B21" s="36" t="s">
        <v>151</v>
      </c>
      <c r="C21" s="15" t="s">
        <v>47</v>
      </c>
      <c r="D21" s="15">
        <v>2</v>
      </c>
      <c r="E21" s="15">
        <v>2</v>
      </c>
    </row>
    <row r="22" spans="1:5" x14ac:dyDescent="0.4">
      <c r="A22" s="36" t="s">
        <v>97</v>
      </c>
      <c r="B22" s="36" t="s">
        <v>166</v>
      </c>
      <c r="C22" s="15" t="s">
        <v>48</v>
      </c>
      <c r="D22" s="15">
        <v>2</v>
      </c>
      <c r="E22" s="15">
        <v>2</v>
      </c>
    </row>
    <row r="23" spans="1:5" x14ac:dyDescent="0.4">
      <c r="A23" s="36" t="s">
        <v>98</v>
      </c>
      <c r="B23" s="36" t="s">
        <v>150</v>
      </c>
      <c r="C23" s="15" t="s">
        <v>49</v>
      </c>
      <c r="D23" s="15">
        <v>2</v>
      </c>
      <c r="E23" s="15">
        <v>2</v>
      </c>
    </row>
    <row r="24" spans="1:5" x14ac:dyDescent="0.4">
      <c r="A24" s="36" t="s">
        <v>99</v>
      </c>
      <c r="B24" s="36" t="s">
        <v>167</v>
      </c>
      <c r="C24" s="15" t="s">
        <v>50</v>
      </c>
      <c r="D24" s="15">
        <v>2</v>
      </c>
      <c r="E24" s="15">
        <v>2</v>
      </c>
    </row>
    <row r="25" spans="1:5" x14ac:dyDescent="0.4">
      <c r="A25" s="36" t="s">
        <v>100</v>
      </c>
      <c r="B25" s="36" t="s">
        <v>168</v>
      </c>
      <c r="C25" s="15" t="s">
        <v>51</v>
      </c>
      <c r="D25" s="15">
        <v>2</v>
      </c>
      <c r="E25" s="15">
        <v>2</v>
      </c>
    </row>
    <row r="26" spans="1:5" x14ac:dyDescent="0.4">
      <c r="A26" s="36" t="s">
        <v>101</v>
      </c>
      <c r="B26" s="36" t="s">
        <v>154</v>
      </c>
      <c r="C26" s="15" t="s">
        <v>52</v>
      </c>
      <c r="D26" s="15">
        <v>2</v>
      </c>
    </row>
    <row r="27" spans="1:5" x14ac:dyDescent="0.4">
      <c r="A27" s="36" t="s">
        <v>102</v>
      </c>
      <c r="B27" s="36" t="s">
        <v>164</v>
      </c>
      <c r="C27" s="15" t="s">
        <v>53</v>
      </c>
      <c r="D27" s="15">
        <v>3</v>
      </c>
    </row>
    <row r="28" spans="1:5" x14ac:dyDescent="0.4">
      <c r="A28" s="36" t="s">
        <v>103</v>
      </c>
      <c r="B28" s="36" t="s">
        <v>156</v>
      </c>
      <c r="C28" s="15" t="s">
        <v>130</v>
      </c>
      <c r="D28" s="15">
        <v>3</v>
      </c>
      <c r="E28" s="15">
        <v>2</v>
      </c>
    </row>
    <row r="29" spans="1:5" x14ac:dyDescent="0.4">
      <c r="A29" s="36" t="s">
        <v>104</v>
      </c>
      <c r="B29" s="36" t="s">
        <v>152</v>
      </c>
      <c r="C29" s="15" t="s">
        <v>54</v>
      </c>
      <c r="D29" s="15">
        <v>3</v>
      </c>
      <c r="E29" s="15">
        <v>2</v>
      </c>
    </row>
    <row r="30" spans="1:5" x14ac:dyDescent="0.4">
      <c r="A30" s="36" t="s">
        <v>105</v>
      </c>
      <c r="B30" s="36" t="s">
        <v>163</v>
      </c>
      <c r="C30" s="15" t="s">
        <v>55</v>
      </c>
      <c r="D30" s="15">
        <v>5</v>
      </c>
      <c r="E30" s="15">
        <v>5</v>
      </c>
    </row>
    <row r="31" spans="1:5" x14ac:dyDescent="0.4">
      <c r="A31" s="36" t="s">
        <v>106</v>
      </c>
      <c r="B31" s="36" t="s">
        <v>153</v>
      </c>
      <c r="C31" s="15" t="s">
        <v>56</v>
      </c>
      <c r="D31" s="15">
        <v>6</v>
      </c>
      <c r="E31" s="15">
        <v>5</v>
      </c>
    </row>
    <row r="32" spans="1:5" x14ac:dyDescent="0.4">
      <c r="A32" s="36" t="s">
        <v>107</v>
      </c>
      <c r="B32" s="36" t="s">
        <v>169</v>
      </c>
      <c r="C32" s="15" t="s">
        <v>57</v>
      </c>
      <c r="D32" s="15">
        <v>13</v>
      </c>
    </row>
    <row r="33" spans="1:5" x14ac:dyDescent="0.4">
      <c r="A33" s="36" t="s">
        <v>108</v>
      </c>
      <c r="B33" s="36" t="s">
        <v>170</v>
      </c>
      <c r="C33" s="15" t="s">
        <v>58</v>
      </c>
      <c r="D33" s="15">
        <v>13</v>
      </c>
    </row>
    <row r="34" spans="1:5" x14ac:dyDescent="0.4">
      <c r="A34" s="36" t="s">
        <v>109</v>
      </c>
      <c r="B34" s="36" t="s">
        <v>171</v>
      </c>
      <c r="C34" s="15" t="s">
        <v>59</v>
      </c>
      <c r="D34" s="15">
        <v>13</v>
      </c>
      <c r="E34" s="15">
        <v>13</v>
      </c>
    </row>
    <row r="35" spans="1:5" x14ac:dyDescent="0.4">
      <c r="A35" s="36" t="s">
        <v>110</v>
      </c>
      <c r="B35" s="36" t="s">
        <v>172</v>
      </c>
      <c r="C35" s="15" t="s">
        <v>60</v>
      </c>
      <c r="D35" s="15">
        <v>13</v>
      </c>
      <c r="E35" s="15">
        <v>13</v>
      </c>
    </row>
    <row r="36" spans="1:5" x14ac:dyDescent="0.4">
      <c r="A36" s="36" t="s">
        <v>111</v>
      </c>
      <c r="B36" s="36" t="s">
        <v>173</v>
      </c>
      <c r="C36" s="15" t="s">
        <v>61</v>
      </c>
      <c r="D36" s="15">
        <v>26</v>
      </c>
      <c r="E36" s="15">
        <v>26</v>
      </c>
    </row>
    <row r="37" spans="1:5" x14ac:dyDescent="0.4">
      <c r="A37" s="36" t="s">
        <v>112</v>
      </c>
      <c r="B37" s="36" t="s">
        <v>174</v>
      </c>
      <c r="C37" s="15" t="s">
        <v>62</v>
      </c>
      <c r="D37" s="15">
        <v>13</v>
      </c>
      <c r="E37" s="15">
        <v>13</v>
      </c>
    </row>
    <row r="38" spans="1:5" x14ac:dyDescent="0.4">
      <c r="A38" s="36" t="s">
        <v>113</v>
      </c>
      <c r="B38" s="36" t="s">
        <v>175</v>
      </c>
      <c r="C38" s="15" t="s">
        <v>63</v>
      </c>
      <c r="D38" s="15">
        <v>13</v>
      </c>
      <c r="E38" s="15">
        <v>13</v>
      </c>
    </row>
    <row r="39" spans="1:5" x14ac:dyDescent="0.4">
      <c r="A39" s="36" t="s">
        <v>114</v>
      </c>
      <c r="B39" s="36" t="s">
        <v>176</v>
      </c>
      <c r="C39" s="15" t="s">
        <v>64</v>
      </c>
      <c r="D39" s="15">
        <v>13</v>
      </c>
      <c r="E39" s="15">
        <v>13</v>
      </c>
    </row>
    <row r="40" spans="1:5" x14ac:dyDescent="0.4">
      <c r="A40" s="36" t="s">
        <v>115</v>
      </c>
      <c r="B40" s="36" t="s">
        <v>177</v>
      </c>
      <c r="C40" s="15" t="s">
        <v>65</v>
      </c>
      <c r="D40" s="15">
        <v>13</v>
      </c>
      <c r="E40" s="15">
        <v>13</v>
      </c>
    </row>
    <row r="41" spans="1:5" x14ac:dyDescent="0.4">
      <c r="A41" s="36" t="s">
        <v>116</v>
      </c>
      <c r="B41" s="36" t="s">
        <v>178</v>
      </c>
      <c r="C41" s="15" t="s">
        <v>66</v>
      </c>
      <c r="D41" s="15">
        <v>13</v>
      </c>
    </row>
    <row r="42" spans="1:5" x14ac:dyDescent="0.4">
      <c r="A42" s="36" t="s">
        <v>117</v>
      </c>
      <c r="B42" s="36" t="s">
        <v>179</v>
      </c>
      <c r="C42" s="15" t="s">
        <v>67</v>
      </c>
      <c r="D42" s="15">
        <v>13</v>
      </c>
    </row>
    <row r="43" spans="1:5" x14ac:dyDescent="0.4">
      <c r="A43" s="36" t="s">
        <v>118</v>
      </c>
      <c r="B43" s="36" t="s">
        <v>180</v>
      </c>
      <c r="C43" s="15" t="s">
        <v>68</v>
      </c>
      <c r="D43" s="15">
        <v>13</v>
      </c>
    </row>
    <row r="44" spans="1:5" x14ac:dyDescent="0.4">
      <c r="A44" s="36" t="s">
        <v>119</v>
      </c>
      <c r="B44" s="36" t="s">
        <v>181</v>
      </c>
      <c r="C44" s="15" t="s">
        <v>69</v>
      </c>
      <c r="D44" s="15">
        <v>13</v>
      </c>
    </row>
    <row r="45" spans="1:5" x14ac:dyDescent="0.4">
      <c r="A45" s="36" t="s">
        <v>120</v>
      </c>
      <c r="B45" s="36" t="s">
        <v>182</v>
      </c>
      <c r="C45" s="15" t="s">
        <v>70</v>
      </c>
      <c r="D45" s="15">
        <v>26</v>
      </c>
    </row>
    <row r="46" spans="1:5" x14ac:dyDescent="0.4">
      <c r="A46" s="36" t="s">
        <v>121</v>
      </c>
      <c r="B46" s="36" t="s">
        <v>183</v>
      </c>
      <c r="C46" s="15" t="s">
        <v>71</v>
      </c>
      <c r="D46" s="15">
        <v>26</v>
      </c>
    </row>
    <row r="47" spans="1:5" x14ac:dyDescent="0.4">
      <c r="A47" s="36" t="s">
        <v>122</v>
      </c>
      <c r="B47" s="36" t="s">
        <v>184</v>
      </c>
      <c r="C47" s="15" t="s">
        <v>72</v>
      </c>
      <c r="D47" s="15">
        <v>26</v>
      </c>
    </row>
    <row r="48" spans="1:5" x14ac:dyDescent="0.4">
      <c r="A48" s="36" t="s">
        <v>123</v>
      </c>
      <c r="B48" s="36" t="s">
        <v>185</v>
      </c>
      <c r="C48" s="15" t="s">
        <v>73</v>
      </c>
      <c r="D48" s="15">
        <v>13</v>
      </c>
    </row>
    <row r="49" spans="1:5" x14ac:dyDescent="0.4">
      <c r="A49" s="36" t="s">
        <v>124</v>
      </c>
      <c r="B49" s="36" t="s">
        <v>186</v>
      </c>
      <c r="C49" s="15" t="s">
        <v>74</v>
      </c>
      <c r="D49" s="15">
        <v>13</v>
      </c>
    </row>
    <row r="50" spans="1:5" x14ac:dyDescent="0.4">
      <c r="A50" s="36" t="s">
        <v>125</v>
      </c>
      <c r="C50" s="15" t="s">
        <v>75</v>
      </c>
      <c r="D50" s="15">
        <v>13</v>
      </c>
    </row>
    <row r="51" spans="1:5" x14ac:dyDescent="0.4">
      <c r="A51" s="36" t="s">
        <v>126</v>
      </c>
      <c r="B51" s="36" t="s">
        <v>187</v>
      </c>
      <c r="C51" s="15" t="s">
        <v>76</v>
      </c>
      <c r="D51" s="15">
        <v>13</v>
      </c>
    </row>
    <row r="52" spans="1:5" x14ac:dyDescent="0.4">
      <c r="A52" s="36" t="s">
        <v>134</v>
      </c>
      <c r="B52" s="36" t="s">
        <v>158</v>
      </c>
      <c r="C52" s="15" t="s">
        <v>135</v>
      </c>
      <c r="D52" s="15">
        <v>2</v>
      </c>
    </row>
    <row r="53" spans="1:5" x14ac:dyDescent="0.4">
      <c r="A53" s="36" t="s">
        <v>136</v>
      </c>
      <c r="B53" s="36" t="s">
        <v>143</v>
      </c>
      <c r="C53" s="15" t="s">
        <v>137</v>
      </c>
      <c r="D53" s="15">
        <v>1</v>
      </c>
      <c r="E53" s="15">
        <v>1</v>
      </c>
    </row>
    <row r="54" spans="1:5" x14ac:dyDescent="0.4">
      <c r="A54" s="36" t="s">
        <v>188</v>
      </c>
      <c r="B54" s="36" t="s">
        <v>189</v>
      </c>
      <c r="C54" s="15" t="s">
        <v>190</v>
      </c>
      <c r="D54" s="15">
        <v>13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E92F7-4681-462D-A9A8-ACAFA50BECCB}">
  <sheetPr codeName="Sheet4"/>
  <dimension ref="A1:M13"/>
  <sheetViews>
    <sheetView workbookViewId="0"/>
  </sheetViews>
  <sheetFormatPr defaultColWidth="9" defaultRowHeight="18.75" x14ac:dyDescent="0.4"/>
  <cols>
    <col min="1" max="12" width="9" style="32"/>
    <col min="13" max="13" width="9" style="32" customWidth="1"/>
    <col min="14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">
      <c r="A3" s="15">
        <v>20</v>
      </c>
      <c r="E3" s="32">
        <v>3900</v>
      </c>
      <c r="F3" s="32">
        <v>7700</v>
      </c>
    </row>
    <row r="4" spans="1:13" x14ac:dyDescent="0.4">
      <c r="A4" s="15">
        <v>25</v>
      </c>
      <c r="D4" s="32">
        <v>2400</v>
      </c>
      <c r="E4" s="32">
        <v>4800</v>
      </c>
      <c r="F4" s="32">
        <v>9600</v>
      </c>
    </row>
    <row r="5" spans="1:13" x14ac:dyDescent="0.4">
      <c r="A5" s="15">
        <v>30</v>
      </c>
      <c r="C5" s="32">
        <v>1500</v>
      </c>
      <c r="D5" s="32">
        <v>2900</v>
      </c>
      <c r="E5" s="32">
        <v>5800</v>
      </c>
      <c r="F5" s="32">
        <v>11600</v>
      </c>
    </row>
    <row r="6" spans="1:13" x14ac:dyDescent="0.4">
      <c r="A6" s="15">
        <v>40</v>
      </c>
      <c r="C6" s="32">
        <v>2000</v>
      </c>
      <c r="D6" s="32">
        <v>3900</v>
      </c>
      <c r="E6" s="32">
        <v>7700</v>
      </c>
      <c r="F6" s="32">
        <v>12000</v>
      </c>
    </row>
    <row r="7" spans="1:13" x14ac:dyDescent="0.4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">
      <c r="A8" s="15">
        <v>60</v>
      </c>
      <c r="C8" s="32">
        <v>2900</v>
      </c>
      <c r="D8" s="32">
        <v>5800</v>
      </c>
      <c r="E8" s="32">
        <v>11600</v>
      </c>
      <c r="F8" s="32">
        <v>12000</v>
      </c>
    </row>
    <row r="9" spans="1:13" x14ac:dyDescent="0.4">
      <c r="A9" s="15">
        <v>70</v>
      </c>
      <c r="C9" s="32">
        <v>3400</v>
      </c>
      <c r="D9" s="32">
        <v>6800</v>
      </c>
      <c r="E9" s="32">
        <v>12000</v>
      </c>
      <c r="F9" s="32">
        <v>12000</v>
      </c>
    </row>
    <row r="10" spans="1:13" x14ac:dyDescent="0.4">
      <c r="A10" s="15">
        <v>80</v>
      </c>
      <c r="C10" s="32">
        <v>3900</v>
      </c>
      <c r="D10" s="32">
        <v>7700</v>
      </c>
      <c r="E10" s="32">
        <v>12000</v>
      </c>
      <c r="F10" s="32">
        <v>12000</v>
      </c>
    </row>
    <row r="11" spans="1:13" x14ac:dyDescent="0.4">
      <c r="A11" s="15">
        <v>90</v>
      </c>
      <c r="C11" s="32">
        <v>4400</v>
      </c>
      <c r="D11" s="32">
        <v>8700</v>
      </c>
      <c r="E11" s="32">
        <v>12000</v>
      </c>
      <c r="F11" s="32">
        <v>12000</v>
      </c>
    </row>
    <row r="12" spans="1:13" x14ac:dyDescent="0.4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">
      <c r="A13" s="15">
        <v>110</v>
      </c>
      <c r="D13" s="32">
        <v>10600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DF34A-8BCD-498D-8268-318A64B264E8}">
  <sheetPr codeName="Sheet8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">
      <c r="A3" s="15">
        <v>20</v>
      </c>
      <c r="C3" s="32" t="s">
        <v>10</v>
      </c>
      <c r="D3" s="32">
        <v>2200</v>
      </c>
      <c r="E3" s="32">
        <v>4000</v>
      </c>
      <c r="F3" s="32">
        <v>7800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4800</v>
      </c>
      <c r="F4" s="32">
        <v>9600</v>
      </c>
    </row>
    <row r="5" spans="1:13" x14ac:dyDescent="0.4">
      <c r="A5" s="15">
        <v>30</v>
      </c>
      <c r="C5" s="32">
        <v>1600</v>
      </c>
      <c r="D5" s="32">
        <v>3000</v>
      </c>
      <c r="E5" s="32">
        <v>6000</v>
      </c>
      <c r="F5" s="32">
        <v>11600</v>
      </c>
    </row>
    <row r="6" spans="1:13" x14ac:dyDescent="0.4">
      <c r="A6" s="15">
        <v>40</v>
      </c>
      <c r="C6" s="32">
        <v>2200</v>
      </c>
      <c r="D6" s="32">
        <v>4000</v>
      </c>
      <c r="E6" s="32">
        <v>7800</v>
      </c>
      <c r="F6" s="32">
        <v>12000</v>
      </c>
    </row>
    <row r="7" spans="1:13" x14ac:dyDescent="0.4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">
      <c r="A8" s="15">
        <v>60</v>
      </c>
      <c r="C8" s="32">
        <v>3000</v>
      </c>
      <c r="D8" s="32">
        <v>6000</v>
      </c>
      <c r="E8" s="32">
        <v>11600</v>
      </c>
      <c r="F8" s="32">
        <v>12000</v>
      </c>
    </row>
    <row r="9" spans="1:13" x14ac:dyDescent="0.4">
      <c r="A9" s="15">
        <v>70</v>
      </c>
      <c r="C9" s="32">
        <v>3600</v>
      </c>
      <c r="D9" s="32">
        <v>7000</v>
      </c>
      <c r="E9" s="32">
        <v>12000</v>
      </c>
      <c r="F9" s="32">
        <v>12000</v>
      </c>
    </row>
    <row r="10" spans="1:13" x14ac:dyDescent="0.4">
      <c r="A10" s="15">
        <v>80</v>
      </c>
      <c r="C10" s="32">
        <v>4000</v>
      </c>
      <c r="D10" s="32">
        <v>7800</v>
      </c>
      <c r="E10" s="32">
        <v>12000</v>
      </c>
      <c r="F10" s="32">
        <v>12000</v>
      </c>
    </row>
    <row r="11" spans="1:13" x14ac:dyDescent="0.4">
      <c r="A11" s="15">
        <v>90</v>
      </c>
      <c r="C11" s="32">
        <v>4600</v>
      </c>
      <c r="D11" s="32">
        <v>8800</v>
      </c>
      <c r="E11" s="32">
        <v>12000</v>
      </c>
      <c r="F11" s="32">
        <v>12000</v>
      </c>
    </row>
    <row r="12" spans="1:13" x14ac:dyDescent="0.4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">
      <c r="A13" s="15">
        <v>110</v>
      </c>
      <c r="C13" s="32" t="s">
        <v>10</v>
      </c>
      <c r="D13" s="32">
        <v>10800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AD4C5-7A4D-4F1A-871C-A88044649626}">
  <sheetPr codeName="Sheet7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-6000</v>
      </c>
      <c r="H2" s="32">
        <v>-9000</v>
      </c>
      <c r="I2" s="32">
        <v>-12000</v>
      </c>
      <c r="J2" s="32">
        <v>-18000</v>
      </c>
      <c r="K2" s="32">
        <v>-24000</v>
      </c>
      <c r="L2" s="32">
        <v>-48000</v>
      </c>
      <c r="M2" s="32">
        <v>-72000</v>
      </c>
    </row>
    <row r="3" spans="1:13" x14ac:dyDescent="0.4">
      <c r="A3" s="15">
        <v>20</v>
      </c>
      <c r="C3" s="32" t="s">
        <v>10</v>
      </c>
      <c r="D3" s="32">
        <v>-1100</v>
      </c>
      <c r="E3" s="32">
        <v>-2000</v>
      </c>
      <c r="F3" s="32">
        <v>-3900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-2400</v>
      </c>
      <c r="F4" s="32">
        <v>-4800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-800</v>
      </c>
      <c r="D5" s="32">
        <v>-1500</v>
      </c>
      <c r="E5" s="32">
        <v>-3000</v>
      </c>
      <c r="F5" s="32">
        <v>-5800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-1100</v>
      </c>
      <c r="D6" s="32">
        <v>-2000</v>
      </c>
      <c r="E6" s="32">
        <v>-3900</v>
      </c>
      <c r="F6" s="32">
        <v>-6000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-1200</v>
      </c>
      <c r="D7" s="32">
        <v>-2400</v>
      </c>
      <c r="E7" s="32">
        <v>-4800</v>
      </c>
      <c r="F7" s="32">
        <v>-6000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-1500</v>
      </c>
      <c r="D8" s="32">
        <v>-3000</v>
      </c>
      <c r="E8" s="32">
        <v>-5800</v>
      </c>
      <c r="F8" s="32">
        <v>-6000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-1800</v>
      </c>
      <c r="D9" s="32">
        <v>-3500</v>
      </c>
      <c r="E9" s="32">
        <v>-6000</v>
      </c>
      <c r="F9" s="32">
        <v>-6000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-2000</v>
      </c>
      <c r="D10" s="32">
        <v>-3900</v>
      </c>
      <c r="E10" s="32">
        <v>-6000</v>
      </c>
      <c r="F10" s="32">
        <v>-6000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-2300</v>
      </c>
      <c r="D11" s="32">
        <v>-4400</v>
      </c>
      <c r="E11" s="32">
        <v>-6000</v>
      </c>
      <c r="F11" s="32">
        <v>-6000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-2400</v>
      </c>
      <c r="D12" s="32">
        <v>-4800</v>
      </c>
      <c r="E12" s="32">
        <v>-6000</v>
      </c>
      <c r="F12" s="32">
        <v>-6000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-5400</v>
      </c>
      <c r="E13" s="32">
        <v>-6000</v>
      </c>
      <c r="F13" s="32">
        <v>-6000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D4B5A-5A22-4DD9-AA29-A7ADE7A1A5DD}">
  <sheetPr codeName="Sheet3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">
      <c r="A3" s="15">
        <v>20</v>
      </c>
      <c r="C3" s="32" t="s">
        <v>10</v>
      </c>
      <c r="D3" s="32" t="s">
        <v>10</v>
      </c>
      <c r="E3" s="32">
        <v>2600</v>
      </c>
      <c r="F3" s="32">
        <v>5200</v>
      </c>
    </row>
    <row r="4" spans="1:13" x14ac:dyDescent="0.4">
      <c r="A4" s="15">
        <v>25</v>
      </c>
      <c r="C4" s="32" t="s">
        <v>10</v>
      </c>
      <c r="D4" s="32">
        <v>1600</v>
      </c>
      <c r="E4" s="32">
        <v>3200</v>
      </c>
      <c r="F4" s="32">
        <v>6400</v>
      </c>
    </row>
    <row r="5" spans="1:13" x14ac:dyDescent="0.4">
      <c r="A5" s="15">
        <v>30</v>
      </c>
      <c r="C5" s="32">
        <v>1000</v>
      </c>
      <c r="D5" s="32">
        <v>2000</v>
      </c>
      <c r="E5" s="32">
        <v>3900</v>
      </c>
      <c r="F5" s="32">
        <v>7700</v>
      </c>
    </row>
    <row r="6" spans="1:13" x14ac:dyDescent="0.4">
      <c r="A6" s="15">
        <v>40</v>
      </c>
      <c r="C6" s="32">
        <v>1300</v>
      </c>
      <c r="D6" s="32">
        <v>2600</v>
      </c>
      <c r="E6" s="32">
        <v>5200</v>
      </c>
      <c r="F6" s="32">
        <v>8000</v>
      </c>
    </row>
    <row r="7" spans="1:13" x14ac:dyDescent="0.4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">
      <c r="A8" s="15">
        <v>60</v>
      </c>
      <c r="C8" s="32">
        <v>2000</v>
      </c>
      <c r="D8" s="32">
        <v>3900</v>
      </c>
      <c r="E8" s="32">
        <v>7700</v>
      </c>
      <c r="F8" s="32">
        <v>8000</v>
      </c>
    </row>
    <row r="9" spans="1:13" x14ac:dyDescent="0.4">
      <c r="A9" s="15">
        <v>70</v>
      </c>
      <c r="C9" s="32">
        <v>2300</v>
      </c>
      <c r="D9" s="32">
        <v>4500</v>
      </c>
      <c r="E9" s="32">
        <v>8000</v>
      </c>
      <c r="F9" s="32">
        <v>8000</v>
      </c>
    </row>
    <row r="10" spans="1:13" x14ac:dyDescent="0.4">
      <c r="A10" s="15">
        <v>80</v>
      </c>
      <c r="C10" s="32">
        <v>2600</v>
      </c>
      <c r="D10" s="32">
        <v>5200</v>
      </c>
      <c r="E10" s="32">
        <v>8000</v>
      </c>
      <c r="F10" s="32">
        <v>8000</v>
      </c>
    </row>
    <row r="11" spans="1:13" x14ac:dyDescent="0.4">
      <c r="A11" s="15">
        <v>90</v>
      </c>
      <c r="C11" s="32">
        <v>2900</v>
      </c>
      <c r="D11" s="32">
        <v>5800</v>
      </c>
      <c r="E11" s="32">
        <v>8000</v>
      </c>
      <c r="F11" s="32">
        <v>8000</v>
      </c>
    </row>
    <row r="12" spans="1:13" x14ac:dyDescent="0.4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">
      <c r="A13" s="15">
        <v>110</v>
      </c>
      <c r="C13" s="32" t="s">
        <v>10</v>
      </c>
      <c r="D13" s="32">
        <v>7100</v>
      </c>
      <c r="E13" s="32">
        <v>8000</v>
      </c>
      <c r="F13" s="32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DEC1B-8C05-4FF0-A37C-BACBFCF573C1}">
  <sheetPr codeName="Sheet9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">
      <c r="A3" s="15">
        <v>20</v>
      </c>
      <c r="C3" s="32" t="s">
        <v>10</v>
      </c>
      <c r="D3" s="32">
        <v>1500</v>
      </c>
      <c r="E3" s="32">
        <v>2800</v>
      </c>
      <c r="F3" s="32">
        <v>5300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3200</v>
      </c>
      <c r="F4" s="32">
        <v>6400</v>
      </c>
    </row>
    <row r="5" spans="1:13" x14ac:dyDescent="0.4">
      <c r="A5" s="15">
        <v>30</v>
      </c>
      <c r="C5" s="32">
        <v>1200</v>
      </c>
      <c r="D5" s="32">
        <v>2100</v>
      </c>
      <c r="E5" s="32">
        <v>4000</v>
      </c>
      <c r="F5" s="32">
        <v>7700</v>
      </c>
    </row>
    <row r="6" spans="1:13" x14ac:dyDescent="0.4">
      <c r="A6" s="15">
        <v>40</v>
      </c>
      <c r="C6" s="32">
        <v>1500</v>
      </c>
      <c r="D6" s="32">
        <v>2800</v>
      </c>
      <c r="E6" s="32">
        <v>5300</v>
      </c>
      <c r="F6" s="32">
        <v>8000</v>
      </c>
    </row>
    <row r="7" spans="1:13" x14ac:dyDescent="0.4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">
      <c r="A8" s="15">
        <v>60</v>
      </c>
      <c r="C8" s="32">
        <v>2100</v>
      </c>
      <c r="D8" s="32">
        <v>4000</v>
      </c>
      <c r="E8" s="32">
        <v>7700</v>
      </c>
      <c r="F8" s="32">
        <v>8000</v>
      </c>
    </row>
    <row r="9" spans="1:13" x14ac:dyDescent="0.4">
      <c r="A9" s="15">
        <v>70</v>
      </c>
      <c r="C9" s="32">
        <v>2400</v>
      </c>
      <c r="D9" s="32">
        <v>4700</v>
      </c>
      <c r="E9" s="32">
        <v>8000</v>
      </c>
      <c r="F9" s="32">
        <v>8000</v>
      </c>
    </row>
    <row r="10" spans="1:13" x14ac:dyDescent="0.4">
      <c r="A10" s="15">
        <v>80</v>
      </c>
      <c r="C10" s="32">
        <v>2800</v>
      </c>
      <c r="D10" s="32">
        <v>5300</v>
      </c>
      <c r="E10" s="32">
        <v>8000</v>
      </c>
      <c r="F10" s="32">
        <v>8000</v>
      </c>
    </row>
    <row r="11" spans="1:13" x14ac:dyDescent="0.4">
      <c r="A11" s="15">
        <v>90</v>
      </c>
      <c r="C11" s="32">
        <v>3100</v>
      </c>
      <c r="D11" s="32">
        <v>6000</v>
      </c>
      <c r="E11" s="32">
        <v>8000</v>
      </c>
      <c r="F11" s="32">
        <v>8000</v>
      </c>
    </row>
    <row r="12" spans="1:13" x14ac:dyDescent="0.4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">
      <c r="A13" s="15">
        <v>110</v>
      </c>
      <c r="C13" s="32" t="s">
        <v>10</v>
      </c>
      <c r="D13" s="32">
        <v>7200</v>
      </c>
      <c r="E13" s="32">
        <v>8000</v>
      </c>
      <c r="F13" s="32">
        <v>8000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D764D-24D1-4BAA-9D34-7EA3AD01F8B6}">
  <sheetPr codeName="Sheet5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-3000</v>
      </c>
      <c r="H2" s="32">
        <v>-4500</v>
      </c>
      <c r="I2" s="32">
        <v>-6000</v>
      </c>
      <c r="J2" s="32">
        <v>-9000</v>
      </c>
      <c r="K2" s="32">
        <v>-12000</v>
      </c>
      <c r="L2" s="32">
        <v>-24000</v>
      </c>
      <c r="M2" s="32">
        <v>-36000</v>
      </c>
    </row>
    <row r="3" spans="1:13" x14ac:dyDescent="0.4">
      <c r="A3" s="15">
        <v>20</v>
      </c>
      <c r="C3" s="32" t="s">
        <v>10</v>
      </c>
      <c r="D3" s="32">
        <v>-600</v>
      </c>
      <c r="E3" s="32">
        <v>-1100</v>
      </c>
      <c r="F3" s="32">
        <v>-2000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-1200</v>
      </c>
      <c r="F4" s="32">
        <v>-2400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-500</v>
      </c>
      <c r="D5" s="32">
        <v>-800</v>
      </c>
      <c r="E5" s="32">
        <v>-1500</v>
      </c>
      <c r="F5" s="32">
        <v>-2900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-600</v>
      </c>
      <c r="D6" s="32">
        <v>-1100</v>
      </c>
      <c r="E6" s="32">
        <v>-2000</v>
      </c>
      <c r="F6" s="32">
        <v>-3000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-600</v>
      </c>
      <c r="D7" s="32">
        <v>-1200</v>
      </c>
      <c r="E7" s="32">
        <v>-2400</v>
      </c>
      <c r="F7" s="32">
        <v>-3000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-800</v>
      </c>
      <c r="D8" s="32">
        <v>-1500</v>
      </c>
      <c r="E8" s="32">
        <v>-2900</v>
      </c>
      <c r="F8" s="32">
        <v>-3000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-900</v>
      </c>
      <c r="D9" s="32">
        <v>-1800</v>
      </c>
      <c r="E9" s="32">
        <v>-3000</v>
      </c>
      <c r="F9" s="32">
        <v>-3000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-1100</v>
      </c>
      <c r="D10" s="32">
        <v>-2000</v>
      </c>
      <c r="E10" s="32">
        <v>-3000</v>
      </c>
      <c r="F10" s="32">
        <v>-3000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-1200</v>
      </c>
      <c r="D11" s="32">
        <v>-2300</v>
      </c>
      <c r="E11" s="32">
        <v>-3000</v>
      </c>
      <c r="F11" s="32">
        <v>-3000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-1200</v>
      </c>
      <c r="D12" s="32">
        <v>-2400</v>
      </c>
      <c r="E12" s="32">
        <v>-3000</v>
      </c>
      <c r="F12" s="32">
        <v>-3000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-2700</v>
      </c>
      <c r="E13" s="32">
        <v>-3000</v>
      </c>
      <c r="F13" s="32">
        <v>-3000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E36B6-8AF2-4487-B345-2CCC53E3EB3E}">
  <sheetPr codeName="Sheet6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-5000</v>
      </c>
      <c r="H2" s="32">
        <v>-7500</v>
      </c>
      <c r="I2" s="32">
        <v>-10000</v>
      </c>
      <c r="J2" s="32">
        <v>-15000</v>
      </c>
      <c r="K2" s="32">
        <v>-20000</v>
      </c>
      <c r="L2" s="32">
        <v>-40000</v>
      </c>
      <c r="M2" s="32">
        <v>-60000</v>
      </c>
    </row>
    <row r="3" spans="1:13" x14ac:dyDescent="0.4">
      <c r="A3" s="15">
        <v>20</v>
      </c>
      <c r="C3" s="32" t="s">
        <v>10</v>
      </c>
      <c r="D3" s="32">
        <v>-900</v>
      </c>
      <c r="E3" s="32">
        <v>-1700</v>
      </c>
      <c r="F3" s="32">
        <v>-3300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-2000</v>
      </c>
      <c r="F4" s="32">
        <v>-4000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-700</v>
      </c>
      <c r="D5" s="32">
        <v>-1300</v>
      </c>
      <c r="E5" s="32">
        <v>-2500</v>
      </c>
      <c r="F5" s="32">
        <v>-4800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-900</v>
      </c>
      <c r="D6" s="32">
        <v>-1700</v>
      </c>
      <c r="E6" s="32">
        <v>-3300</v>
      </c>
      <c r="F6" s="32">
        <v>-5000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-1000</v>
      </c>
      <c r="D7" s="32">
        <v>-2000</v>
      </c>
      <c r="E7" s="32">
        <v>-4000</v>
      </c>
      <c r="F7" s="32">
        <v>-5000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-1300</v>
      </c>
      <c r="D8" s="32">
        <v>-2500</v>
      </c>
      <c r="E8" s="32">
        <v>-4800</v>
      </c>
      <c r="F8" s="32">
        <v>-5000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-1500</v>
      </c>
      <c r="D9" s="32">
        <v>-2900</v>
      </c>
      <c r="E9" s="32">
        <v>-5000</v>
      </c>
      <c r="F9" s="32">
        <v>-5000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-1700</v>
      </c>
      <c r="D10" s="32">
        <v>-3300</v>
      </c>
      <c r="E10" s="32">
        <v>-5000</v>
      </c>
      <c r="F10" s="32">
        <v>-5000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-1900</v>
      </c>
      <c r="D11" s="32">
        <v>-3700</v>
      </c>
      <c r="E11" s="32">
        <v>-5000</v>
      </c>
      <c r="F11" s="32">
        <v>-5000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-2000</v>
      </c>
      <c r="D12" s="32">
        <v>-4000</v>
      </c>
      <c r="E12" s="32">
        <v>-5000</v>
      </c>
      <c r="F12" s="32">
        <v>-5000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-4500</v>
      </c>
      <c r="E13" s="32">
        <v>-5000</v>
      </c>
      <c r="F13" s="32">
        <v>-5000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11</vt:i4>
      </vt:variant>
    </vt:vector>
  </HeadingPairs>
  <TitlesOfParts>
    <vt:vector size="11" baseType="lpstr">
      <vt:lpstr>Sheet1</vt:lpstr>
      <vt:lpstr>Sheet2</vt:lpstr>
      <vt:lpstr>Sheet3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burdock</cp:lastModifiedBy>
  <cp:lastPrinted>2018-10-03T09:15:05Z</cp:lastPrinted>
  <dcterms:created xsi:type="dcterms:W3CDTF">2018-10-02T11:54:05Z</dcterms:created>
  <dcterms:modified xsi:type="dcterms:W3CDTF">2019-09-27T08:17:41Z</dcterms:modified>
</cp:coreProperties>
</file>