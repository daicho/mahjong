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7EF60F4C-9A8E-4C5A-BC20-AE9CA3222A1B}" xr6:coauthVersionLast="41" xr6:coauthVersionMax="41" xr10:uidLastSave="{00000000-0000-0000-0000-000000000000}"/>
  <bookViews>
    <workbookView xWindow="-120" yWindow="-120" windowWidth="20730" windowHeight="1131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 s="1"/>
  <c r="T12" i="23"/>
  <c r="O12" i="23"/>
  <c r="J12" i="23"/>
  <c r="D12" i="23"/>
  <c r="C12" i="23"/>
  <c r="B12" i="23"/>
  <c r="A12" i="23" s="1"/>
  <c r="D11" i="23"/>
  <c r="C11" i="23"/>
  <c r="D9" i="23"/>
  <c r="D10" i="23" s="1"/>
  <c r="C9" i="23"/>
  <c r="C10" i="23" s="1"/>
  <c r="D8" i="23"/>
  <c r="C8" i="23"/>
  <c r="D7" i="23"/>
  <c r="D6" i="23"/>
  <c r="C6" i="23"/>
  <c r="C7" i="23" s="1"/>
  <c r="D5" i="23"/>
  <c r="C5" i="23"/>
  <c r="B5" i="23"/>
  <c r="B6" i="23" s="1"/>
  <c r="T4" i="23"/>
  <c r="W4" i="23" s="1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U12" i="23" l="1"/>
  <c r="W12" i="23"/>
  <c r="V12" i="23"/>
  <c r="B7" i="23"/>
  <c r="A7" i="23" s="1"/>
  <c r="J5" i="23"/>
  <c r="O5" i="23"/>
  <c r="T5" i="23"/>
  <c r="A5" i="23"/>
  <c r="A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O11" i="22"/>
  <c r="V11" i="22" s="1"/>
  <c r="J11" i="22"/>
  <c r="U11" i="22" s="1"/>
  <c r="D11" i="22"/>
  <c r="C11" i="22"/>
  <c r="B11" i="22"/>
  <c r="A11" i="22"/>
  <c r="D9" i="22"/>
  <c r="D10" i="22" s="1"/>
  <c r="C9" i="22"/>
  <c r="C10" i="22" s="1"/>
  <c r="D8" i="22"/>
  <c r="C8" i="22"/>
  <c r="D7" i="22"/>
  <c r="C7" i="22"/>
  <c r="D6" i="22"/>
  <c r="C6" i="22"/>
  <c r="B6" i="22"/>
  <c r="B7" i="22" s="1"/>
  <c r="T5" i="22"/>
  <c r="D5" i="22"/>
  <c r="C5" i="22"/>
  <c r="B5" i="22"/>
  <c r="A5" i="22" s="1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T6" i="23" l="1"/>
  <c r="W5" i="23"/>
  <c r="V5" i="23"/>
  <c r="O6" i="23"/>
  <c r="J6" i="23"/>
  <c r="U5" i="23"/>
  <c r="B8" i="23"/>
  <c r="A8" i="23" s="1"/>
  <c r="W11" i="22"/>
  <c r="A6" i="22"/>
  <c r="W4" i="22"/>
  <c r="V4" i="22"/>
  <c r="B8" i="22"/>
  <c r="O6" i="22"/>
  <c r="J5" i="22"/>
  <c r="W5" i="22" s="1"/>
  <c r="A7" i="22"/>
  <c r="U4" i="22"/>
  <c r="T6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 s="1"/>
  <c r="D9" i="21"/>
  <c r="C9" i="21"/>
  <c r="D8" i="21"/>
  <c r="C8" i="21"/>
  <c r="D7" i="21"/>
  <c r="C7" i="21"/>
  <c r="D6" i="21"/>
  <c r="C6" i="21"/>
  <c r="T5" i="21"/>
  <c r="T6" i="21" s="1"/>
  <c r="O5" i="2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 s="1"/>
  <c r="D9" i="20"/>
  <c r="C9" i="20"/>
  <c r="D8" i="20"/>
  <c r="C8" i="20"/>
  <c r="D7" i="20"/>
  <c r="D6" i="20"/>
  <c r="T5" i="20"/>
  <c r="T6" i="20" s="1"/>
  <c r="O5" i="20"/>
  <c r="D5" i="20"/>
  <c r="C5" i="20"/>
  <c r="C6" i="20" s="1"/>
  <c r="C7" i="20" s="1"/>
  <c r="B5" i="20"/>
  <c r="A5" i="20" s="1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W6" i="23" l="1"/>
  <c r="T7" i="23"/>
  <c r="B9" i="23"/>
  <c r="J7" i="23"/>
  <c r="U6" i="23"/>
  <c r="O7" i="23"/>
  <c r="V6" i="23"/>
  <c r="A8" i="22"/>
  <c r="T7" i="22"/>
  <c r="B9" i="22"/>
  <c r="U5" i="22"/>
  <c r="J6" i="22"/>
  <c r="V6" i="22"/>
  <c r="O7" i="22"/>
  <c r="V5" i="22"/>
  <c r="U10" i="21"/>
  <c r="V10" i="21"/>
  <c r="W10" i="21"/>
  <c r="V4" i="21"/>
  <c r="W4" i="21"/>
  <c r="T7" i="21"/>
  <c r="B6" i="21"/>
  <c r="J5" i="21"/>
  <c r="V5" i="21" s="1"/>
  <c r="O6" i="21"/>
  <c r="W4" i="20"/>
  <c r="U4" i="20"/>
  <c r="T7" i="20"/>
  <c r="B6" i="20"/>
  <c r="J5" i="20"/>
  <c r="V5" i="20" s="1"/>
  <c r="O6" i="20"/>
  <c r="W3" i="19"/>
  <c r="V3" i="19"/>
  <c r="U3" i="19"/>
  <c r="B10" i="23" l="1"/>
  <c r="A10" i="23"/>
  <c r="T8" i="23"/>
  <c r="W7" i="23"/>
  <c r="O8" i="23"/>
  <c r="V7" i="23"/>
  <c r="U7" i="23"/>
  <c r="J8" i="23"/>
  <c r="A9" i="23"/>
  <c r="W6" i="22"/>
  <c r="T8" i="22"/>
  <c r="O8" i="22"/>
  <c r="B10" i="22"/>
  <c r="A10" i="22" s="1"/>
  <c r="U6" i="22"/>
  <c r="J7" i="22"/>
  <c r="W7" i="22" s="1"/>
  <c r="A9" i="22"/>
  <c r="T8" i="21"/>
  <c r="O7" i="21"/>
  <c r="W5" i="21"/>
  <c r="U5" i="21"/>
  <c r="J6" i="21"/>
  <c r="B7" i="21"/>
  <c r="A6" i="21"/>
  <c r="T8" i="20"/>
  <c r="O7" i="20"/>
  <c r="W5" i="20"/>
  <c r="U5" i="20"/>
  <c r="J6" i="20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8" i="23" l="1"/>
  <c r="T9" i="23"/>
  <c r="B11" i="23"/>
  <c r="A11" i="23" s="1"/>
  <c r="U8" i="23"/>
  <c r="J9" i="23"/>
  <c r="V8" i="23"/>
  <c r="O9" i="23"/>
  <c r="O9" i="22"/>
  <c r="T9" i="22"/>
  <c r="J8" i="22"/>
  <c r="V8" i="22" s="1"/>
  <c r="U7" i="22"/>
  <c r="V7" i="22"/>
  <c r="A7" i="21"/>
  <c r="O8" i="21"/>
  <c r="T9" i="21"/>
  <c r="B8" i="21"/>
  <c r="A8" i="21" s="1"/>
  <c r="J7" i="21"/>
  <c r="V7" i="21" s="1"/>
  <c r="U6" i="21"/>
  <c r="W6" i="21"/>
  <c r="V6" i="21"/>
  <c r="A7" i="20"/>
  <c r="T9" i="20"/>
  <c r="B8" i="20"/>
  <c r="O8" i="20"/>
  <c r="U6" i="20"/>
  <c r="J7" i="20"/>
  <c r="V7" i="20" s="1"/>
  <c r="W6" i="20"/>
  <c r="V6" i="20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9" i="23" l="1"/>
  <c r="T10" i="23"/>
  <c r="V9" i="23"/>
  <c r="O10" i="23"/>
  <c r="J10" i="23"/>
  <c r="U9" i="23"/>
  <c r="W8" i="22"/>
  <c r="O10" i="22"/>
  <c r="U8" i="22"/>
  <c r="J9" i="22"/>
  <c r="V9" i="22" s="1"/>
  <c r="W9" i="22"/>
  <c r="T10" i="22"/>
  <c r="O9" i="21"/>
  <c r="J8" i="21"/>
  <c r="U7" i="21"/>
  <c r="W7" i="21"/>
  <c r="B9" i="21"/>
  <c r="A9" i="21" s="1"/>
  <c r="B9" i="20"/>
  <c r="A9" i="20" s="1"/>
  <c r="J8" i="20"/>
  <c r="U7" i="20"/>
  <c r="W7" i="20"/>
  <c r="O9" i="20"/>
  <c r="A8" i="20"/>
  <c r="W5" i="19"/>
  <c r="V5" i="19"/>
  <c r="U5" i="19"/>
  <c r="W10" i="23" l="1"/>
  <c r="T11" i="23"/>
  <c r="U10" i="23"/>
  <c r="J11" i="23"/>
  <c r="V10" i="23"/>
  <c r="O11" i="23"/>
  <c r="V10" i="22"/>
  <c r="U9" i="22"/>
  <c r="J10" i="22"/>
  <c r="W10" i="22" s="1"/>
  <c r="U8" i="21"/>
  <c r="J9" i="21"/>
  <c r="W8" i="21"/>
  <c r="V8" i="21"/>
  <c r="V8" i="20"/>
  <c r="U8" i="20"/>
  <c r="J9" i="20"/>
  <c r="W8" i="20"/>
  <c r="W11" i="23" l="1"/>
  <c r="V11" i="23"/>
  <c r="U11" i="23"/>
  <c r="U10" i="22"/>
  <c r="U9" i="21"/>
  <c r="W9" i="21"/>
  <c r="V9" i="21"/>
  <c r="U9" i="20"/>
  <c r="W9" i="20"/>
  <c r="V9" i="20"/>
</calcChain>
</file>

<file path=xl/sharedStrings.xml><?xml version="1.0" encoding="utf-8"?>
<sst xmlns="http://schemas.openxmlformats.org/spreadsheetml/2006/main" count="998" uniqueCount="213">
  <si>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</si>
  <si>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</si>
  <si>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</si>
  <si>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</si>
  <si>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</si>
  <si>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</si>
  <si>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</si>
  <si>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</si>
  <si>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</si>
  <si>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</si>
  <si>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</si>
  <si>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</si>
  <si>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</si>
  <si>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</si>
  <si>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</si>
  <si>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</si>
  <si>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</si>
  <si>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</si>
  <si>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</si>
  <si>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</si>
  <si>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</si>
  <si>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</si>
  <si>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</si>
  <si>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</si>
  <si>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</si>
  <si>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</si>
  <si>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</si>
  <si>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</si>
  <si>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</si>
  <si>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</si>
  <si>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</si>
  <si>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</si>
  <si>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</si>
  <si>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</si>
  <si>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</si>
  <si>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</si>
  <si>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</si>
  <si>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</si>
  <si>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</si>
  <si>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</si>
  <si>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</si>
  <si>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</si>
  <si>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</si>
  <si>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</si>
  <si>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</si>
  <si>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</si>
  <si>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</si>
  <si>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</si>
  <si>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</si>
  <si>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</si>
  <si>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</si>
  <si>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</si>
  <si>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</si>
  <si>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</si>
  <si>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</si>
  <si>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</si>
  <si>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</si>
  <si>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</si>
  <si>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</si>
  <si>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</si>
  <si>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</si>
  <si>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</si>
  <si>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</si>
  <si>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</si>
  <si>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</si>
  <si>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</si>
  <si>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</si>
  <si>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</si>
  <si>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</si>
  <si>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</si>
  <si>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</si>
  <si>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</si>
  <si>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</si>
  <si>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</si>
  <si>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</si>
  <si>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</si>
  <si>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</si>
  <si>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</si>
  <si>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</si>
  <si>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</si>
  <si>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</si>
  <si>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</si>
  <si>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</si>
  <si>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</si>
  <si>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</si>
  <si>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</si>
  <si>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</si>
  <si>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</si>
  <si>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</si>
  <si>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</si>
  <si>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</si>
  <si>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</si>
  <si>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</si>
  <si>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</si>
  <si>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</si>
  <si>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</si>
  <si>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</si>
  <si>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</si>
  <si>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</si>
  <si>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</si>
  <si>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</si>
  <si>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</si>
  <si>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</si>
  <si>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</si>
  <si>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</si>
  <si>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</si>
  <si>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</si>
  <si>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</si>
  <si>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</si>
  <si>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</si>
  <si>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</si>
  <si>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</si>
  <si>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</si>
  <si>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</si>
  <si>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</si>
  <si>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</si>
  <si>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</si>
  <si>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</si>
  <si>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</si>
  <si>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</si>
  <si>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</si>
  <si>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</si>
  <si>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</si>
  <si>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</si>
  <si>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</si>
  <si>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</si>
  <si>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</si>
  <si>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</si>
  <si>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</si>
  <si>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</si>
  <si>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</si>
  <si>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</si>
  <si>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</si>
  <si>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</si>
  <si>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</si>
  <si>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</si>
  <si>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</si>
  <si>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</si>
  <si>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</si>
  <si>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</si>
  <si>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</si>
  <si>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</si>
  <si>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</si>
  <si>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</si>
  <si>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</si>
  <si>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</si>
  <si>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</si>
  <si>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</si>
  <si>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</si>
  <si>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</si>
  <si>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</si>
  <si>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</si>
  <si>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</si>
  <si>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</si>
  <si>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</si>
  <si>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</si>
  <si>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</si>
  <si>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</si>
  <si>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</si>
  <si>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</si>
  <si>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</si>
  <si>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</si>
  <si>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</si>
  <si>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</si>
  <si>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</si>
  <si>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</si>
  <si>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</si>
  <si>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</si>
  <si>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</si>
  <si>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</si>
  <si>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</si>
  <si>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</si>
  <si>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</si>
  <si>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</si>
  <si>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</si>
  <si>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</si>
  <si>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</si>
  <si>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</si>
  <si>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</si>
  <si>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</si>
  <si>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</si>
  <si>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</si>
  <si>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</si>
  <si>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</si>
  <si>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</si>
  <si>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</si>
  <si>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</si>
  <si>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</si>
  <si>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</si>
  <si>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</si>
  <si>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</si>
  <si>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</si>
  <si>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まっつん</t>
  </si>
  <si>
    <t>れんたろう</t>
  </si>
  <si>
    <t>N</t>
  </si>
  <si>
    <t>T</t>
  </si>
  <si>
    <t>流局</t>
    <phoneticPr fontId="1"/>
  </si>
  <si>
    <t>ツモ支払</t>
  </si>
  <si>
    <t>ツモ</t>
  </si>
  <si>
    <t>*</t>
  </si>
  <si>
    <t>01</t>
  </si>
  <si>
    <t>52</t>
  </si>
  <si>
    <t>放銃</t>
  </si>
  <si>
    <t>ロン</t>
  </si>
  <si>
    <t>れんたろう</t>
    <phoneticPr fontId="1"/>
  </si>
  <si>
    <t>まっつん</t>
    <phoneticPr fontId="1"/>
  </si>
  <si>
    <t>だいち</t>
  </si>
  <si>
    <t>だいち</t>
    <phoneticPr fontId="1"/>
  </si>
  <si>
    <t>流局</t>
    <phoneticPr fontId="1"/>
  </si>
  <si>
    <t>02</t>
  </si>
  <si>
    <t>ただ</t>
  </si>
  <si>
    <t>ただ</t>
    <phoneticPr fontId="1"/>
  </si>
  <si>
    <t>りくと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</si>
</sst>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まっつん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-3000</v>
      </c>
      <c r="H4" s="9"/>
      <c r="I4" s="48"/>
      <c r="J4" s="21">
        <f>IF(COUNTA($F4,$K4,$P4)&gt;0,J3+SUM(G4:I4),"")</f>
        <v>32000</v>
      </c>
      <c r="K4" s="8" t="s">
        <v>196</v>
      </c>
      <c r="L4" s="9">
        <v>1500</v>
      </c>
      <c r="M4" s="9"/>
      <c r="N4" s="48"/>
      <c r="O4" s="21">
        <f>IF(COUNTA($F4,$K4,$P4)&gt;0,O3+SUM(L4:N4),"")</f>
        <v>36500</v>
      </c>
      <c r="P4" s="8" t="s">
        <v>196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6.5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197</v>
      </c>
      <c r="G5" s="9">
        <v>-12000</v>
      </c>
      <c r="H5" s="9">
        <v>-1000</v>
      </c>
      <c r="I5" s="48">
        <v>-500</v>
      </c>
      <c r="J5" s="21">
        <f t="shared" ref="J5:J30" si="2">IF(COUNTA($F5,$K5,$P5)&gt;0,J4+SUM(G5:I5),"")</f>
        <v>18500</v>
      </c>
      <c r="K5" s="8" t="s">
        <v>198</v>
      </c>
      <c r="L5" s="9">
        <v>24000</v>
      </c>
      <c r="M5" s="9">
        <v>1000</v>
      </c>
      <c r="N5" s="48">
        <v>1000</v>
      </c>
      <c r="O5" s="21">
        <f t="shared" ref="O5:O30" si="3">IF(COUNTA($F5,$K5,$P5)&gt;0,O4+SUM(L5:N5),"")</f>
        <v>62500</v>
      </c>
      <c r="P5" s="8" t="s">
        <v>197</v>
      </c>
      <c r="Q5" s="9">
        <v>-12000</v>
      </c>
      <c r="R5" s="9"/>
      <c r="S5" s="48">
        <v>-500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-26.5</v>
      </c>
      <c r="V5" s="54">
        <f>IF($O5="","",ROUND(($O5-$O$3)/1000,1)+(_xlfn.RANK.AVG($O5,($J5,$O5,$T5),1)-2)*10)</f>
        <v>37.5</v>
      </c>
      <c r="W5" s="55">
        <f>IF($T5="","",ROUND(($T5-$T$3)/1000,1)+(_xlfn.RANK.AVG($T5,($J5,$O5,$T5),1)-2)*10)</f>
        <v>-11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8</v>
      </c>
      <c r="AY5" s="30" t="s">
        <v>199</v>
      </c>
      <c r="AZ5" s="40" t="s">
        <v>200</v>
      </c>
      <c r="BA5" s="41" t="s">
        <v>82</v>
      </c>
      <c r="BB5" s="41" t="s">
        <v>201</v>
      </c>
      <c r="BC5" s="41" t="s">
        <v>101</v>
      </c>
      <c r="BD5" s="41" t="s">
        <v>104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197</v>
      </c>
      <c r="G6" s="9">
        <v>-5800</v>
      </c>
      <c r="H6" s="9"/>
      <c r="I6" s="48">
        <v>-1000</v>
      </c>
      <c r="J6" s="21">
        <f t="shared" si="2"/>
        <v>11700</v>
      </c>
      <c r="K6" s="8" t="s">
        <v>198</v>
      </c>
      <c r="L6" s="9">
        <v>11600</v>
      </c>
      <c r="M6" s="9"/>
      <c r="N6" s="48">
        <v>2000</v>
      </c>
      <c r="O6" s="21">
        <f t="shared" si="3"/>
        <v>76100</v>
      </c>
      <c r="P6" s="8" t="s">
        <v>197</v>
      </c>
      <c r="Q6" s="9">
        <v>-5800</v>
      </c>
      <c r="R6" s="9"/>
      <c r="S6" s="48">
        <v>-1000</v>
      </c>
      <c r="T6" s="21">
        <f t="shared" si="4"/>
        <v>17200</v>
      </c>
      <c r="U6" s="53">
        <f>IF($J6="","",ROUND(($J6-$J$3)/1000,1)+(_xlfn.RANK.AVG($J6,($J6,$O6,$T6),1)-2)*10)</f>
        <v>-33.299999999999997</v>
      </c>
      <c r="V6" s="54">
        <f>IF($O6="","",ROUND(($O6-$O$3)/1000,1)+(_xlfn.RANK.AVG($O6,($J6,$O6,$T6),1)-2)*10)</f>
        <v>51.1</v>
      </c>
      <c r="W6" s="55">
        <f>IF($T6="","",ROUND(($T6-$T$3)/1000,1)+(_xlfn.RANK.AVG($T6,($J6,$O6,$T6),1)-2)*10)</f>
        <v>-17.8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200</v>
      </c>
      <c r="BA6" s="41" t="s">
        <v>82</v>
      </c>
      <c r="BB6" s="41" t="s">
        <v>201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192</v>
      </c>
      <c r="F7" s="8" t="s">
        <v>202</v>
      </c>
      <c r="G7" s="9">
        <v>-8000</v>
      </c>
      <c r="H7" s="9"/>
      <c r="I7" s="48">
        <v>-3000</v>
      </c>
      <c r="J7" s="21">
        <f t="shared" si="2"/>
        <v>700</v>
      </c>
      <c r="K7" s="8"/>
      <c r="L7" s="9"/>
      <c r="M7" s="9"/>
      <c r="N7" s="48"/>
      <c r="O7" s="21">
        <f t="shared" si="3"/>
        <v>76100</v>
      </c>
      <c r="P7" s="8" t="s">
        <v>203</v>
      </c>
      <c r="Q7" s="9">
        <v>8000</v>
      </c>
      <c r="R7" s="9"/>
      <c r="S7" s="48">
        <v>3000</v>
      </c>
      <c r="T7" s="21">
        <f t="shared" si="4"/>
        <v>28200</v>
      </c>
      <c r="U7" s="53">
        <f>IF($J7="","",ROUND(($J7-$J$3)/1000,1)+(_xlfn.RANK.AVG($J7,($J7,$O7,$T7),1)-2)*10)</f>
        <v>-44.3</v>
      </c>
      <c r="V7" s="54">
        <f>IF($O7="","",ROUND(($O7-$O$3)/1000,1)+(_xlfn.RANK.AVG($O7,($J7,$O7,$T7),1)-2)*10)</f>
        <v>51.1</v>
      </c>
      <c r="W7" s="55">
        <f>IF($T7="","",ROUND(($T7-$T$3)/1000,1)+(_xlfn.RANK.AVG($T7,($J7,$O7,$T7),1)-2)*10)</f>
        <v>-6.8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199</v>
      </c>
      <c r="BU7" s="40" t="s">
        <v>200</v>
      </c>
      <c r="BV7" s="41" t="s">
        <v>85</v>
      </c>
      <c r="BW7" s="41" t="s">
        <v>83</v>
      </c>
      <c r="BX7" s="41" t="s">
        <v>84</v>
      </c>
      <c r="BY7" s="41" t="s">
        <v>201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2800</v>
      </c>
      <c r="H8" s="9"/>
      <c r="I8" s="48">
        <v>0</v>
      </c>
      <c r="J8" s="21">
        <f t="shared" si="2"/>
        <v>3500</v>
      </c>
      <c r="K8" s="8" t="s">
        <v>197</v>
      </c>
      <c r="L8" s="9">
        <v>-1100</v>
      </c>
      <c r="M8" s="9"/>
      <c r="N8" s="48">
        <v>0</v>
      </c>
      <c r="O8" s="21">
        <f t="shared" si="3"/>
        <v>75000</v>
      </c>
      <c r="P8" s="8" t="s">
        <v>197</v>
      </c>
      <c r="Q8" s="9">
        <v>-1700</v>
      </c>
      <c r="R8" s="9"/>
      <c r="S8" s="48">
        <v>0</v>
      </c>
      <c r="T8" s="21">
        <f t="shared" si="4"/>
        <v>26500</v>
      </c>
      <c r="U8" s="53">
        <f>IF($J8="","",ROUND(($J8-$J$3)/1000,1)+(_xlfn.RANK.AVG($J8,($J8,$O8,$T8),1)-2)*10)</f>
        <v>-41.5</v>
      </c>
      <c r="V8" s="54">
        <f>IF($O8="","",ROUND(($O8-$O$3)/1000,1)+(_xlfn.RANK.AVG($O8,($J8,$O8,$T8),1)-2)*10)</f>
        <v>50</v>
      </c>
      <c r="W8" s="55">
        <f>IF($T8="","",ROUND(($T8-$T$3)/1000,1)+(_xlfn.RANK.AVG($T8,($J8,$O8,$T8),1)-2)*10)</f>
        <v>-8.5</v>
      </c>
      <c r="Y8" s="8"/>
      <c r="Z8" s="34"/>
      <c r="AA8" s="26"/>
      <c r="AB8" s="26"/>
      <c r="AC8" s="26">
        <v>2</v>
      </c>
      <c r="AD8" s="30">
        <v>40</v>
      </c>
      <c r="AE8" s="40" t="s">
        <v>82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-7500</v>
      </c>
      <c r="H9" s="9"/>
      <c r="I9" s="48">
        <v>0</v>
      </c>
      <c r="J9" s="21">
        <f t="shared" si="2"/>
        <v>-4000</v>
      </c>
      <c r="K9" s="8" t="s">
        <v>198</v>
      </c>
      <c r="L9" s="9">
        <v>12000</v>
      </c>
      <c r="M9" s="9"/>
      <c r="N9" s="48">
        <v>0</v>
      </c>
      <c r="O9" s="21">
        <f t="shared" si="3"/>
        <v>87000</v>
      </c>
      <c r="P9" s="8" t="s">
        <v>197</v>
      </c>
      <c r="Q9" s="9">
        <v>-4500</v>
      </c>
      <c r="R9" s="9"/>
      <c r="S9" s="48">
        <v>0</v>
      </c>
      <c r="T9" s="21">
        <f t="shared" si="4"/>
        <v>22000</v>
      </c>
      <c r="U9" s="53">
        <f>IF($J9="","",ROUND(($J9-$J$3)/1000,1)+(_xlfn.RANK.AVG($J9,($J9,$O9,$T9),1)-2)*10)</f>
        <v>-49</v>
      </c>
      <c r="V9" s="54">
        <f>IF($O9="","",ROUND(($O9-$O$3)/1000,1)+(_xlfn.RANK.AVG($O9,($J9,$O9,$T9),1)-2)*10)</f>
        <v>62</v>
      </c>
      <c r="W9" s="55">
        <f>IF($T9="","",ROUND(($T9-$T$3)/1000,1)+(_xlfn.RANK.AVG($T9,($J9,$O9,$T9),1)-2)*10)</f>
        <v>-13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200</v>
      </c>
      <c r="BA9" s="41" t="s">
        <v>82</v>
      </c>
      <c r="BB9" s="41" t="s">
        <v>83</v>
      </c>
      <c r="BC9" s="41" t="s">
        <v>85</v>
      </c>
      <c r="BD9" s="41" t="s">
        <v>79</v>
      </c>
      <c r="BE9" s="41" t="s">
        <v>201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3EF0CF0-8033-4C2E-B87F-6D44839CB653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AE9A2-ED1B-47E7-A05E-E66DCA5074B5}">
  <sheetPr codeName="Sheet11">
    <pageSetUpPr fitToPage="1"/>
  </sheetPr>
  <dimension ref="A1:CI30"/>
  <sheetViews>
    <sheetView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204</v>
      </c>
      <c r="G1" s="73"/>
      <c r="H1" s="73"/>
      <c r="I1" s="74"/>
      <c r="J1" s="75"/>
      <c r="K1" s="72" t="s">
        <v>205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208</v>
      </c>
      <c r="G4" s="9">
        <v>-1500</v>
      </c>
      <c r="H4" s="9"/>
      <c r="I4" s="48"/>
      <c r="J4" s="21">
        <f>IF(COUNTA($F4,$K4,$P4)&gt;0,J3+SUM(G4:I4),"")</f>
        <v>33500</v>
      </c>
      <c r="K4" s="8" t="s">
        <v>208</v>
      </c>
      <c r="L4" s="9">
        <v>-1500</v>
      </c>
      <c r="M4" s="9"/>
      <c r="N4" s="48"/>
      <c r="O4" s="21">
        <f>IF(COUNTA($F4,$K4,$P4)&gt;0,O3+SUM(L4:N4),"")</f>
        <v>33500</v>
      </c>
      <c r="P4" s="8" t="s">
        <v>208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194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192</v>
      </c>
      <c r="F5" s="8" t="s">
        <v>197</v>
      </c>
      <c r="G5" s="9">
        <v>-4500</v>
      </c>
      <c r="H5" s="9"/>
      <c r="I5" s="48">
        <v>-500</v>
      </c>
      <c r="J5" s="21">
        <f t="shared" ref="J5:J30" si="2">IF(COUNTA($F5,$K5,$P5)&gt;0,J4+SUM(G5:I5),"")</f>
        <v>28500</v>
      </c>
      <c r="K5" s="8" t="s">
        <v>197</v>
      </c>
      <c r="L5" s="9">
        <v>-7500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198</v>
      </c>
      <c r="Q5" s="9">
        <v>12000</v>
      </c>
      <c r="R5" s="9">
        <v>1000</v>
      </c>
      <c r="S5" s="48">
        <v>1000</v>
      </c>
      <c r="T5" s="21">
        <f t="shared" ref="T5:T30" si="4">IF(COUNTA($F5,$K5,$P5)&gt;0,T4+SUM(Q5:S5),"")</f>
        <v>51000</v>
      </c>
      <c r="U5" s="53">
        <f>IF($J5="","",ROUND(($J5-$J$3)/1000,1)+(_xlfn.RANK.AVG($J5,($J5,$O5,$T5),1)-2)*10)</f>
        <v>-6.5</v>
      </c>
      <c r="V5" s="54">
        <f>IF($O5="","",ROUND(($O5-$O$3)/1000,1)+(_xlfn.RANK.AVG($O5,($J5,$O5,$T5),1)-2)*10)</f>
        <v>-19.5</v>
      </c>
      <c r="W5" s="55">
        <f>IF($T5="","",ROUND(($T5-$T$3)/1000,1)+(_xlfn.RANK.AVG($T5,($J5,$O5,$T5),1)-2)*10)</f>
        <v>26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200</v>
      </c>
      <c r="BV5" s="41" t="s">
        <v>82</v>
      </c>
      <c r="BW5" s="41" t="s">
        <v>83</v>
      </c>
      <c r="BX5" s="41" t="s">
        <v>92</v>
      </c>
      <c r="BY5" s="41" t="s">
        <v>201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 t="s">
        <v>197</v>
      </c>
      <c r="G6" s="9">
        <v>-3000</v>
      </c>
      <c r="H6" s="9"/>
      <c r="I6" s="48">
        <v>0</v>
      </c>
      <c r="J6" s="21">
        <f t="shared" si="2"/>
        <v>25500</v>
      </c>
      <c r="K6" s="8" t="s">
        <v>198</v>
      </c>
      <c r="L6" s="9">
        <v>8000</v>
      </c>
      <c r="M6" s="9"/>
      <c r="N6" s="48">
        <v>0</v>
      </c>
      <c r="O6" s="21">
        <f t="shared" si="3"/>
        <v>33500</v>
      </c>
      <c r="P6" s="8" t="s">
        <v>197</v>
      </c>
      <c r="Q6" s="9">
        <v>-5000</v>
      </c>
      <c r="R6" s="9"/>
      <c r="S6" s="48">
        <v>0</v>
      </c>
      <c r="T6" s="21">
        <f t="shared" si="4"/>
        <v>46000</v>
      </c>
      <c r="U6" s="53">
        <f>IF($J6="","",ROUND(($J6-$J$3)/1000,1)+(_xlfn.RANK.AVG($J6,($J6,$O6,$T6),1)-2)*10)</f>
        <v>-19.5</v>
      </c>
      <c r="V6" s="54">
        <f>IF($O6="","",ROUND(($O6-$O$3)/1000,1)+(_xlfn.RANK.AVG($O6,($J6,$O6,$T6),1)-2)*10)</f>
        <v>-1.5</v>
      </c>
      <c r="W6" s="55">
        <f>IF($T6="","",ROUND(($T6-$T$3)/1000,1)+(_xlfn.RANK.AVG($T6,($J6,$O6,$T6),1)-2)*10)</f>
        <v>21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82</v>
      </c>
      <c r="BB6" s="41" t="s">
        <v>85</v>
      </c>
      <c r="BC6" s="41" t="s">
        <v>209</v>
      </c>
      <c r="BD6" s="41" t="s">
        <v>201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25500</v>
      </c>
      <c r="K7" s="8" t="s">
        <v>203</v>
      </c>
      <c r="L7" s="9">
        <v>5200</v>
      </c>
      <c r="M7" s="9"/>
      <c r="N7" s="48">
        <v>0</v>
      </c>
      <c r="O7" s="21">
        <f t="shared" si="3"/>
        <v>38700</v>
      </c>
      <c r="P7" s="8" t="s">
        <v>202</v>
      </c>
      <c r="Q7" s="9">
        <v>-5200</v>
      </c>
      <c r="R7" s="9"/>
      <c r="S7" s="48">
        <v>0</v>
      </c>
      <c r="T7" s="21">
        <f t="shared" si="4"/>
        <v>40800</v>
      </c>
      <c r="U7" s="53">
        <f>IF($J7="","",ROUND(($J7-$J$3)/1000,1)+(_xlfn.RANK.AVG($J7,($J7,$O7,$T7),1)-2)*10)</f>
        <v>-19.5</v>
      </c>
      <c r="V7" s="54">
        <f>IF($O7="","",ROUND(($O7-$O$3)/1000,1)+(_xlfn.RANK.AVG($O7,($J7,$O7,$T7),1)-2)*10)</f>
        <v>3.7</v>
      </c>
      <c r="W7" s="55">
        <f>IF($T7="","",ROUND(($T7-$T$3)/1000,1)+(_xlfn.RANK.AVG($T7,($J7,$O7,$T7),1)-2)*10)</f>
        <v>15.8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200</v>
      </c>
      <c r="BA7" s="41" t="s">
        <v>79</v>
      </c>
      <c r="BB7" s="41" t="s">
        <v>209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25500</v>
      </c>
      <c r="K8" s="8" t="s">
        <v>202</v>
      </c>
      <c r="L8" s="9">
        <v>-1000</v>
      </c>
      <c r="M8" s="9"/>
      <c r="N8" s="48">
        <v>0</v>
      </c>
      <c r="O8" s="21">
        <f t="shared" si="3"/>
        <v>37700</v>
      </c>
      <c r="P8" s="8" t="s">
        <v>203</v>
      </c>
      <c r="Q8" s="9">
        <v>1000</v>
      </c>
      <c r="R8" s="9"/>
      <c r="S8" s="48">
        <v>0</v>
      </c>
      <c r="T8" s="21">
        <f t="shared" si="4"/>
        <v>41800</v>
      </c>
      <c r="U8" s="53">
        <f>IF($J8="","",ROUND(($J8-$J$3)/1000,1)+(_xlfn.RANK.AVG($J8,($J8,$O8,$T8),1)-2)*10)</f>
        <v>-19.5</v>
      </c>
      <c r="V8" s="54">
        <f>IF($O8="","",ROUND(($O8-$O$3)/1000,1)+(_xlfn.RANK.AVG($O8,($J8,$O8,$T8),1)-2)*10)</f>
        <v>2.7</v>
      </c>
      <c r="W8" s="55">
        <f>IF($T8="","",ROUND(($T8-$T$3)/1000,1)+(_xlfn.RANK.AVG($T8,($J8,$O8,$T8),1)-2)*10)</f>
        <v>16.8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208</v>
      </c>
      <c r="G9" s="9">
        <v>0</v>
      </c>
      <c r="H9" s="9"/>
      <c r="I9" s="48"/>
      <c r="J9" s="21">
        <f t="shared" si="2"/>
        <v>25500</v>
      </c>
      <c r="K9" s="8" t="s">
        <v>208</v>
      </c>
      <c r="L9" s="9">
        <v>0</v>
      </c>
      <c r="M9" s="9"/>
      <c r="N9" s="48"/>
      <c r="O9" s="21">
        <f t="shared" si="3"/>
        <v>37700</v>
      </c>
      <c r="P9" s="8" t="s">
        <v>208</v>
      </c>
      <c r="Q9" s="9">
        <v>0</v>
      </c>
      <c r="R9" s="9"/>
      <c r="S9" s="48"/>
      <c r="T9" s="21">
        <f t="shared" si="4"/>
        <v>41800</v>
      </c>
      <c r="U9" s="53">
        <f>IF($J9="","",ROUND(($J9-$J$3)/1000,1)+(_xlfn.RANK.AVG($J9,($J9,$O9,$T9),1)-2)*10)</f>
        <v>-19.5</v>
      </c>
      <c r="V9" s="54">
        <f>IF($O9="","",ROUND(($O9-$O$3)/1000,1)+(_xlfn.RANK.AVG($O9,($J9,$O9,$T9),1)-2)*10)</f>
        <v>2.7</v>
      </c>
      <c r="W9" s="55">
        <f>IF($T9="","",ROUND(($T9-$T$3)/1000,1)+(_xlfn.RANK.AVG($T9,($J9,$O9,$T9),1)-2)*10)</f>
        <v>16.8</v>
      </c>
      <c r="Y9" s="8" t="s">
        <v>195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23CB3BC1-D0C5-4DFD-94B3-ED3227E2839A}">
      <formula1>"たかの,だいち,ただ,りくと,れんたろう,まっつん,のり,ぱぱ,ほたに,いっしー,"</formula1>
    </dataValidation>
    <dataValidation type="list" showInputMessage="1" showErrorMessage="1" sqref="K4:K30 P4:P30 F4:F30" xr:uid="{15678913-9082-4065-9BED-7823CF17E14A}">
      <formula1>"ロン,ツモ,放銃,ツモ支払,流局,チョンボ"</formula1>
    </dataValidation>
    <dataValidation type="list" allowBlank="1" showInputMessage="1" showErrorMessage="1" sqref="E4:E30" xr:uid="{BB3C829A-AF0E-4D4D-8953-8E2CA43ABB6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4737B-F177-4E3B-92D7-291A82E39BD1}">
  <sheetPr codeName="Sheet12">
    <pageSetUpPr fitToPage="1"/>
  </sheetPr>
  <dimension ref="A1:CI30"/>
  <sheetViews>
    <sheetView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198</v>
      </c>
      <c r="L4" s="9">
        <v>2800</v>
      </c>
      <c r="M4" s="9"/>
      <c r="N4" s="48">
        <v>0</v>
      </c>
      <c r="O4" s="21">
        <f>IF(COUNTA($F4,$K4,$P4)&gt;0,O3+SUM(L4:N4),"")</f>
        <v>37800</v>
      </c>
      <c r="P4" s="8" t="s">
        <v>197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IF($J4="","",ROUND(($J4-$J$3)/1000,1)+(_xlfn.RANK.AVG($J4,($J4,$O4,$T4),1)-2)*10)</f>
        <v>-11.7</v>
      </c>
      <c r="V4" s="54">
        <f>IF($O4="","",ROUND(($O4-$O$3)/1000,1)+(_xlfn.RANK.AVG($O4,($J4,$O4,$T4),1)-2)*10)</f>
        <v>12.8</v>
      </c>
      <c r="W4" s="55">
        <f>IF($T4="","",ROUND(($T4-$T$3)/1000,1)+(_xlfn.RANK.AVG($T4,($J4,$O4,$T4),1)-2)*10)</f>
        <v>-1.1000000000000001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20</v>
      </c>
      <c r="AZ4" s="40" t="s">
        <v>200</v>
      </c>
      <c r="BA4" s="41" t="s">
        <v>82</v>
      </c>
      <c r="BB4" s="41" t="s">
        <v>83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-2600</v>
      </c>
      <c r="H5" s="9"/>
      <c r="I5" s="48">
        <v>0</v>
      </c>
      <c r="J5" s="21">
        <f t="shared" ref="J5:J30" si="2">IF(COUNTA($F5,$K5,$P5)&gt;0,J4+SUM(G5:I5),"")</f>
        <v>30700</v>
      </c>
      <c r="K5" s="8"/>
      <c r="L5" s="9"/>
      <c r="M5" s="9"/>
      <c r="N5" s="48"/>
      <c r="O5" s="21">
        <f t="shared" ref="O5:O30" si="3">IF(COUNTA($F5,$K5,$P5)&gt;0,O4+SUM(L5:N5),"")</f>
        <v>37800</v>
      </c>
      <c r="P5" s="8" t="s">
        <v>203</v>
      </c>
      <c r="Q5" s="9">
        <v>2600</v>
      </c>
      <c r="R5" s="9"/>
      <c r="S5" s="48">
        <v>0</v>
      </c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-14.3</v>
      </c>
      <c r="V5" s="54">
        <f>IF($O5="","",ROUND(($O5-$O$3)/1000,1)+(_xlfn.RANK.AVG($O5,($J5,$O5,$T5),1)-2)*10)</f>
        <v>12.8</v>
      </c>
      <c r="W5" s="55">
        <f>IF($T5="","",ROUND(($T5-$T$3)/1000,1)+(_xlfn.RANK.AVG($T5,($J5,$O5,$T5),1)-2)*10)</f>
        <v>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84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/>
      <c r="G6" s="9"/>
      <c r="H6" s="9"/>
      <c r="I6" s="48"/>
      <c r="J6" s="21">
        <f t="shared" si="2"/>
        <v>30700</v>
      </c>
      <c r="K6" s="8" t="s">
        <v>202</v>
      </c>
      <c r="L6" s="9">
        <v>-24000</v>
      </c>
      <c r="M6" s="9">
        <v>-1000</v>
      </c>
      <c r="N6" s="48">
        <v>0</v>
      </c>
      <c r="O6" s="21">
        <f t="shared" si="3"/>
        <v>12800</v>
      </c>
      <c r="P6" s="8" t="s">
        <v>203</v>
      </c>
      <c r="Q6" s="9">
        <v>24000</v>
      </c>
      <c r="R6" s="9">
        <v>1000</v>
      </c>
      <c r="S6" s="48">
        <v>0</v>
      </c>
      <c r="T6" s="21">
        <f t="shared" si="4"/>
        <v>61500</v>
      </c>
      <c r="U6" s="53">
        <f>IF($J6="","",ROUND(($J6-$J$3)/1000,1)+(_xlfn.RANK.AVG($J6,($J6,$O6,$T6),1)-2)*10)</f>
        <v>-4.3</v>
      </c>
      <c r="V6" s="54">
        <f>IF($O6="","",ROUND(($O6-$O$3)/1000,1)+(_xlfn.RANK.AVG($O6,($J6,$O6,$T6),1)-2)*10)</f>
        <v>-32.200000000000003</v>
      </c>
      <c r="W6" s="55">
        <f>IF($T6="","",ROUND(($T6-$T$3)/1000,1)+(_xlfn.RANK.AVG($T6,($J6,$O6,$T6),1)-2)*10)</f>
        <v>36.5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9</v>
      </c>
      <c r="BT6" s="30" t="s">
        <v>199</v>
      </c>
      <c r="BU6" s="40" t="s">
        <v>200</v>
      </c>
      <c r="BV6" s="41" t="s">
        <v>209</v>
      </c>
      <c r="BW6" s="41" t="s">
        <v>104</v>
      </c>
      <c r="BX6" s="41" t="s">
        <v>101</v>
      </c>
      <c r="BY6" s="41" t="s">
        <v>79</v>
      </c>
      <c r="BZ6" s="41" t="s">
        <v>79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206</v>
      </c>
      <c r="F7" s="8" t="s">
        <v>198</v>
      </c>
      <c r="G7" s="9">
        <v>16000</v>
      </c>
      <c r="H7" s="9">
        <v>1000</v>
      </c>
      <c r="I7" s="48">
        <v>1000</v>
      </c>
      <c r="J7" s="21">
        <f t="shared" si="2"/>
        <v>48700</v>
      </c>
      <c r="K7" s="8" t="s">
        <v>197</v>
      </c>
      <c r="L7" s="9">
        <v>-6000</v>
      </c>
      <c r="M7" s="9"/>
      <c r="N7" s="48">
        <v>-500</v>
      </c>
      <c r="O7" s="21">
        <f t="shared" si="3"/>
        <v>6300</v>
      </c>
      <c r="P7" s="8" t="s">
        <v>197</v>
      </c>
      <c r="Q7" s="9">
        <v>-10000</v>
      </c>
      <c r="R7" s="9">
        <v>-1000</v>
      </c>
      <c r="S7" s="48">
        <v>-500</v>
      </c>
      <c r="T7" s="21">
        <f t="shared" si="4"/>
        <v>50000</v>
      </c>
      <c r="U7" s="53">
        <f>IF($J7="","",ROUND(($J7-$J$3)/1000,1)+(_xlfn.RANK.AVG($J7,($J7,$O7,$T7),1)-2)*10)</f>
        <v>13.7</v>
      </c>
      <c r="V7" s="54">
        <f>IF($O7="","",ROUND(($O7-$O$3)/1000,1)+(_xlfn.RANK.AVG($O7,($J7,$O7,$T7),1)-2)*10)</f>
        <v>-38.700000000000003</v>
      </c>
      <c r="W7" s="55">
        <f>IF($T7="","",ROUND(($T7-$T$3)/1000,1)+(_xlfn.RANK.AVG($T7,($J7,$O7,$T7),1)-2)*10)</f>
        <v>25</v>
      </c>
      <c r="Y7" s="8"/>
      <c r="Z7" s="34"/>
      <c r="AA7" s="26">
        <v>1</v>
      </c>
      <c r="AB7" s="26"/>
      <c r="AC7" s="26">
        <v>9</v>
      </c>
      <c r="AD7" s="30" t="s">
        <v>199</v>
      </c>
      <c r="AE7" s="40" t="s">
        <v>200</v>
      </c>
      <c r="AF7" s="41" t="s">
        <v>82</v>
      </c>
      <c r="AG7" s="41" t="s">
        <v>209</v>
      </c>
      <c r="AH7" s="41" t="s">
        <v>79</v>
      </c>
      <c r="AI7" s="41" t="s">
        <v>79</v>
      </c>
      <c r="AJ7" s="41" t="s">
        <v>79</v>
      </c>
      <c r="AK7" s="41" t="s">
        <v>80</v>
      </c>
      <c r="AL7" s="41" t="s">
        <v>80</v>
      </c>
      <c r="AM7" s="41" t="s">
        <v>83</v>
      </c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198</v>
      </c>
      <c r="G8" s="9">
        <v>12000</v>
      </c>
      <c r="H8" s="9"/>
      <c r="I8" s="48">
        <v>0</v>
      </c>
      <c r="J8" s="21">
        <f t="shared" si="2"/>
        <v>60700</v>
      </c>
      <c r="K8" s="8" t="s">
        <v>197</v>
      </c>
      <c r="L8" s="9">
        <v>-6000</v>
      </c>
      <c r="M8" s="9"/>
      <c r="N8" s="48">
        <v>0</v>
      </c>
      <c r="O8" s="21">
        <f t="shared" si="3"/>
        <v>300</v>
      </c>
      <c r="P8" s="8" t="s">
        <v>197</v>
      </c>
      <c r="Q8" s="9">
        <v>-6000</v>
      </c>
      <c r="R8" s="9"/>
      <c r="S8" s="48">
        <v>0</v>
      </c>
      <c r="T8" s="21">
        <f t="shared" si="4"/>
        <v>44000</v>
      </c>
      <c r="U8" s="53">
        <f>IF($J8="","",ROUND(($J8-$J$3)/1000,1)+(_xlfn.RANK.AVG($J8,($J8,$O8,$T8),1)-2)*10)</f>
        <v>35.700000000000003</v>
      </c>
      <c r="V8" s="54">
        <f>IF($O8="","",ROUND(($O8-$O$3)/1000,1)+(_xlfn.RANK.AVG($O8,($J8,$O8,$T8),1)-2)*10)</f>
        <v>-44.7</v>
      </c>
      <c r="W8" s="55">
        <f>IF($T8="","",ROUND(($T8-$T$3)/1000,1)+(_xlfn.RANK.AVG($T8,($J8,$O8,$T8),1)-2)*10)</f>
        <v>9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200</v>
      </c>
      <c r="AF8" s="41" t="s">
        <v>82</v>
      </c>
      <c r="AG8" s="41" t="s">
        <v>79</v>
      </c>
      <c r="AH8" s="41" t="s">
        <v>201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192</v>
      </c>
      <c r="F9" s="8" t="s">
        <v>208</v>
      </c>
      <c r="G9" s="9">
        <v>-3000</v>
      </c>
      <c r="H9" s="9"/>
      <c r="I9" s="48"/>
      <c r="J9" s="21">
        <f t="shared" si="2"/>
        <v>57700</v>
      </c>
      <c r="K9" s="8" t="s">
        <v>208</v>
      </c>
      <c r="L9" s="9">
        <v>1500</v>
      </c>
      <c r="M9" s="9"/>
      <c r="N9" s="48"/>
      <c r="O9" s="21">
        <f t="shared" si="3"/>
        <v>1800</v>
      </c>
      <c r="P9" s="8" t="s">
        <v>208</v>
      </c>
      <c r="Q9" s="9">
        <v>1500</v>
      </c>
      <c r="R9" s="9">
        <v>-1000</v>
      </c>
      <c r="S9" s="48"/>
      <c r="T9" s="21">
        <f t="shared" si="4"/>
        <v>44500</v>
      </c>
      <c r="U9" s="53">
        <f>IF($J9="","",ROUND(($J9-$J$3)/1000,1)+(_xlfn.RANK.AVG($J9,($J9,$O9,$T9),1)-2)*10)</f>
        <v>32.700000000000003</v>
      </c>
      <c r="V9" s="54">
        <f>IF($O9="","",ROUND(($O9-$O$3)/1000,1)+(_xlfn.RANK.AVG($O9,($J9,$O9,$T9),1)-2)*10)</f>
        <v>-43.2</v>
      </c>
      <c r="W9" s="55">
        <f>IF($T9="","",ROUND(($T9-$T$3)/1000,1)+(_xlfn.RANK.AVG($T9,($J9,$O9,$T9),1)-2)*10)</f>
        <v>9.5</v>
      </c>
      <c r="Y9" s="8" t="s">
        <v>194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195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195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1</v>
      </c>
      <c r="E10" s="4" t="s">
        <v>193</v>
      </c>
      <c r="F10" s="8" t="s">
        <v>198</v>
      </c>
      <c r="G10" s="9">
        <v>2100</v>
      </c>
      <c r="H10" s="9">
        <v>1000</v>
      </c>
      <c r="I10" s="48">
        <v>2000</v>
      </c>
      <c r="J10" s="21">
        <f t="shared" si="2"/>
        <v>62800</v>
      </c>
      <c r="K10" s="8" t="s">
        <v>197</v>
      </c>
      <c r="L10" s="9">
        <v>-1300</v>
      </c>
      <c r="M10" s="9"/>
      <c r="N10" s="48">
        <v>-1000</v>
      </c>
      <c r="O10" s="21">
        <f t="shared" si="3"/>
        <v>-500</v>
      </c>
      <c r="P10" s="8" t="s">
        <v>197</v>
      </c>
      <c r="Q10" s="9">
        <v>-800</v>
      </c>
      <c r="R10" s="9"/>
      <c r="S10" s="48">
        <v>-1000</v>
      </c>
      <c r="T10" s="21">
        <f t="shared" si="4"/>
        <v>42700</v>
      </c>
      <c r="U10" s="53">
        <f>IF($J10="","",ROUND(($J10-$J$3)/1000,1)+(_xlfn.RANK.AVG($J10,($J10,$O10,$T10),1)-2)*10)</f>
        <v>37.799999999999997</v>
      </c>
      <c r="V10" s="54">
        <f>IF($O10="","",ROUND(($O10-$O$3)/1000,1)+(_xlfn.RANK.AVG($O10,($J10,$O10,$T10),1)-2)*10)</f>
        <v>-45.5</v>
      </c>
      <c r="W10" s="55">
        <f>IF($T10="","",ROUND(($T10-$T$3)/1000,1)+(_xlfn.RANK.AVG($T10,($J10,$O10,$T10),1)-2)*10)</f>
        <v>7.7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201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027E0462-D813-4545-9EF7-18DD4F4E1782}">
      <formula1>$U$2:$W$2</formula1>
    </dataValidation>
    <dataValidation type="list" showInputMessage="1" showErrorMessage="1" sqref="K4:K30 P4:P30 F4:F30" xr:uid="{1830E127-2FFD-4E37-BA98-E78C174D6882}">
      <formula1>"ロン,ツモ,放銃,ツモ支払,流局,チョンボ"</formula1>
    </dataValidation>
    <dataValidation type="list" allowBlank="1" showInputMessage="1" sqref="F1:T1" xr:uid="{FD24B786-B382-4F52-87BE-84B73EFCEECB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CE857-97AC-43AD-8D04-9570EF1DBFE4}">
  <sheetPr codeName="Sheet13">
    <pageSetUpPr fitToPage="1"/>
  </sheetPr>
  <dimension ref="A1:CI30"/>
  <sheetViews>
    <sheetView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211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204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202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203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23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6</v>
      </c>
      <c r="BT4" s="30" t="s">
        <v>199</v>
      </c>
      <c r="BU4" s="40" t="s">
        <v>86</v>
      </c>
      <c r="BV4" s="41" t="s">
        <v>86</v>
      </c>
      <c r="BW4" s="41" t="s">
        <v>79</v>
      </c>
      <c r="BX4" s="41" t="s">
        <v>79</v>
      </c>
      <c r="BY4" s="41" t="s">
        <v>79</v>
      </c>
      <c r="BZ4" s="41" t="s">
        <v>201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197</v>
      </c>
      <c r="G5" s="9">
        <v>-2900</v>
      </c>
      <c r="H5" s="9"/>
      <c r="I5" s="48">
        <v>0</v>
      </c>
      <c r="J5" s="21">
        <f t="shared" ref="J5:J30" si="2">IF(COUNTA($F5,$K5,$P5)&gt;0,J4+SUM(G5:I5),"")</f>
        <v>20100</v>
      </c>
      <c r="K5" s="8" t="s">
        <v>197</v>
      </c>
      <c r="L5" s="9">
        <v>-4800</v>
      </c>
      <c r="M5" s="9"/>
      <c r="N5" s="48">
        <v>0</v>
      </c>
      <c r="O5" s="21">
        <f t="shared" ref="O5:O30" si="3">IF(COUNTA($F5,$K5,$P5)&gt;0,O4+SUM(L5:N5),"")</f>
        <v>29200</v>
      </c>
      <c r="P5" s="8" t="s">
        <v>198</v>
      </c>
      <c r="Q5" s="9">
        <v>7700</v>
      </c>
      <c r="R5" s="9"/>
      <c r="S5" s="48">
        <v>0</v>
      </c>
      <c r="T5" s="21">
        <f t="shared" ref="T5:T30" si="4">IF(COUNTA($F5,$K5,$P5)&gt;0,T4+SUM(Q5:S5),"")</f>
        <v>55700</v>
      </c>
      <c r="U5" s="53">
        <f>IF($J5="","",ROUND(($J5-$J$3)/1000,1)+(_xlfn.RANK.AVG($J5,($J5,$O5,$T5),1)-2)*10)</f>
        <v>-24.9</v>
      </c>
      <c r="V5" s="54">
        <f>IF($O5="","",ROUND(($O5-$O$3)/1000,1)+(_xlfn.RANK.AVG($O5,($J5,$O5,$T5),1)-2)*10)</f>
        <v>-5.8</v>
      </c>
      <c r="W5" s="55">
        <f>IF($T5="","",ROUND(($T5-$T$3)/1000,1)+(_xlfn.RANK.AVG($T5,($J5,$O5,$T5),1)-2)*10)</f>
        <v>30.7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200</v>
      </c>
      <c r="BV5" s="41" t="s">
        <v>82</v>
      </c>
      <c r="BW5" s="41" t="s">
        <v>79</v>
      </c>
      <c r="BX5" s="41" t="s">
        <v>201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20100</v>
      </c>
      <c r="K6" s="8" t="s">
        <v>202</v>
      </c>
      <c r="L6" s="9">
        <v>-12000</v>
      </c>
      <c r="M6" s="9"/>
      <c r="N6" s="48">
        <v>0</v>
      </c>
      <c r="O6" s="21">
        <f t="shared" si="3"/>
        <v>17200</v>
      </c>
      <c r="P6" s="8" t="s">
        <v>203</v>
      </c>
      <c r="Q6" s="9">
        <v>12000</v>
      </c>
      <c r="R6" s="9"/>
      <c r="S6" s="48">
        <v>0</v>
      </c>
      <c r="T6" s="21">
        <f t="shared" si="4"/>
        <v>67700</v>
      </c>
      <c r="U6" s="53">
        <f>IF($J6="","",ROUND(($J6-$J$3)/1000,1)+(_xlfn.RANK.AVG($J6,($J6,$O6,$T6),1)-2)*10)</f>
        <v>-14.9</v>
      </c>
      <c r="V6" s="54">
        <f>IF($O6="","",ROUND(($O6-$O$3)/1000,1)+(_xlfn.RANK.AVG($O6,($J6,$O6,$T6),1)-2)*10)</f>
        <v>-27.8</v>
      </c>
      <c r="W6" s="55">
        <f>IF($T6="","",ROUND(($T6-$T$3)/1000,1)+(_xlfn.RANK.AVG($T6,($J6,$O6,$T6),1)-2)*10)</f>
        <v>42.7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199</v>
      </c>
      <c r="BU6" s="40" t="s">
        <v>86</v>
      </c>
      <c r="BV6" s="41" t="s">
        <v>86</v>
      </c>
      <c r="BW6" s="41" t="s">
        <v>86</v>
      </c>
      <c r="BX6" s="41" t="s">
        <v>104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203</v>
      </c>
      <c r="G7" s="9">
        <v>2000</v>
      </c>
      <c r="H7" s="9"/>
      <c r="I7" s="48">
        <v>1000</v>
      </c>
      <c r="J7" s="21">
        <f t="shared" si="2"/>
        <v>23100</v>
      </c>
      <c r="K7" s="8" t="s">
        <v>202</v>
      </c>
      <c r="L7" s="9">
        <v>-2000</v>
      </c>
      <c r="M7" s="9"/>
      <c r="N7" s="48">
        <v>-1000</v>
      </c>
      <c r="O7" s="21">
        <f t="shared" si="3"/>
        <v>14200</v>
      </c>
      <c r="P7" s="8"/>
      <c r="Q7" s="9"/>
      <c r="R7" s="9"/>
      <c r="S7" s="48"/>
      <c r="T7" s="21">
        <f t="shared" si="4"/>
        <v>67700</v>
      </c>
      <c r="U7" s="53">
        <f>IF($J7="","",ROUND(($J7-$J$3)/1000,1)+(_xlfn.RANK.AVG($J7,($J7,$O7,$T7),1)-2)*10)</f>
        <v>-11.9</v>
      </c>
      <c r="V7" s="54">
        <f>IF($O7="","",ROUND(($O7-$O$3)/1000,1)+(_xlfn.RANK.AVG($O7,($J7,$O7,$T7),1)-2)*10)</f>
        <v>-30.8</v>
      </c>
      <c r="W7" s="55">
        <f>IF($T7="","",ROUND(($T7-$T$3)/1000,1)+(_xlfn.RANK.AVG($T7,($J7,$O7,$T7),1)-2)*10)</f>
        <v>42.7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210</v>
      </c>
      <c r="F8" s="8" t="s">
        <v>197</v>
      </c>
      <c r="G8" s="9">
        <v>-5000</v>
      </c>
      <c r="H8" s="9"/>
      <c r="I8" s="48">
        <v>0</v>
      </c>
      <c r="J8" s="21">
        <f t="shared" si="2"/>
        <v>18100</v>
      </c>
      <c r="K8" s="8" t="s">
        <v>197</v>
      </c>
      <c r="L8" s="9">
        <v>-3000</v>
      </c>
      <c r="M8" s="9"/>
      <c r="N8" s="48">
        <v>0</v>
      </c>
      <c r="O8" s="21">
        <f t="shared" si="3"/>
        <v>11200</v>
      </c>
      <c r="P8" s="8" t="s">
        <v>198</v>
      </c>
      <c r="Q8" s="9">
        <v>8000</v>
      </c>
      <c r="R8" s="9"/>
      <c r="S8" s="48">
        <v>0</v>
      </c>
      <c r="T8" s="21">
        <f t="shared" si="4"/>
        <v>75700</v>
      </c>
      <c r="U8" s="53">
        <f>IF($J8="","",ROUND(($J8-$J$3)/1000,1)+(_xlfn.RANK.AVG($J8,($J8,$O8,$T8),1)-2)*10)</f>
        <v>-16.899999999999999</v>
      </c>
      <c r="V8" s="54">
        <f>IF($O8="","",ROUND(($O8-$O$3)/1000,1)+(_xlfn.RANK.AVG($O8,($J8,$O8,$T8),1)-2)*10)</f>
        <v>-33.799999999999997</v>
      </c>
      <c r="W8" s="55">
        <f>IF($T8="","",ROUND(($T8-$T$3)/1000,1)+(_xlfn.RANK.AVG($T8,($J8,$O8,$T8),1)-2)*10)</f>
        <v>50.7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199</v>
      </c>
      <c r="BU8" s="40" t="s">
        <v>200</v>
      </c>
      <c r="BV8" s="41" t="s">
        <v>82</v>
      </c>
      <c r="BW8" s="41" t="s">
        <v>84</v>
      </c>
      <c r="BX8" s="41" t="s">
        <v>80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208</v>
      </c>
      <c r="G9" s="9">
        <v>-1500</v>
      </c>
      <c r="H9" s="9"/>
      <c r="I9" s="48"/>
      <c r="J9" s="21">
        <f t="shared" si="2"/>
        <v>16600</v>
      </c>
      <c r="K9" s="8" t="s">
        <v>208</v>
      </c>
      <c r="L9" s="9">
        <v>3000</v>
      </c>
      <c r="M9" s="9">
        <v>-1000</v>
      </c>
      <c r="N9" s="48"/>
      <c r="O9" s="21">
        <f t="shared" si="3"/>
        <v>13200</v>
      </c>
      <c r="P9" s="8" t="s">
        <v>208</v>
      </c>
      <c r="Q9" s="9">
        <v>-1500</v>
      </c>
      <c r="R9" s="9"/>
      <c r="S9" s="48"/>
      <c r="T9" s="21">
        <f t="shared" si="4"/>
        <v>74200</v>
      </c>
      <c r="U9" s="53">
        <f>IF($J9="","",ROUND(($J9-$J$3)/1000,1)+(_xlfn.RANK.AVG($J9,($J9,$O9,$T9),1)-2)*10)</f>
        <v>-18.399999999999999</v>
      </c>
      <c r="V9" s="54">
        <f>IF($O9="","",ROUND(($O9-$O$3)/1000,1)+(_xlfn.RANK.AVG($O9,($J9,$O9,$T9),1)-2)*10)</f>
        <v>-31.8</v>
      </c>
      <c r="W9" s="55">
        <f>IF($T9="","",ROUND(($T9-$T$3)/1000,1)+(_xlfn.RANK.AVG($T9,($J9,$O9,$T9),1)-2)*10)</f>
        <v>49.2</v>
      </c>
      <c r="Y9" s="8" t="s">
        <v>194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195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206</v>
      </c>
      <c r="F10" s="8" t="s">
        <v>198</v>
      </c>
      <c r="G10" s="9">
        <v>4000</v>
      </c>
      <c r="H10" s="9">
        <v>1000</v>
      </c>
      <c r="I10" s="48">
        <v>1000</v>
      </c>
      <c r="J10" s="21">
        <f t="shared" si="2"/>
        <v>22600</v>
      </c>
      <c r="K10" s="8" t="s">
        <v>197</v>
      </c>
      <c r="L10" s="9">
        <v>-2500</v>
      </c>
      <c r="M10" s="9"/>
      <c r="N10" s="48">
        <v>-500</v>
      </c>
      <c r="O10" s="21">
        <f t="shared" si="3"/>
        <v>10200</v>
      </c>
      <c r="P10" s="8" t="s">
        <v>197</v>
      </c>
      <c r="Q10" s="9">
        <v>-1500</v>
      </c>
      <c r="R10" s="9"/>
      <c r="S10" s="48">
        <v>-500</v>
      </c>
      <c r="T10" s="21">
        <f t="shared" si="4"/>
        <v>72200</v>
      </c>
      <c r="U10" s="53">
        <f>IF($J10="","",ROUND(($J10-$J$3)/1000,1)+(_xlfn.RANK.AVG($J10,($J10,$O10,$T10),1)-2)*10)</f>
        <v>-12.4</v>
      </c>
      <c r="V10" s="54">
        <f>IF($O10="","",ROUND(($O10-$O$3)/1000,1)+(_xlfn.RANK.AVG($O10,($J10,$O10,$T10),1)-2)*10)</f>
        <v>-34.799999999999997</v>
      </c>
      <c r="W10" s="55">
        <f>IF($T10="","",ROUND(($T10-$T$3)/1000,1)+(_xlfn.RANK.AVG($T10,($J10,$O10,$T10),1)-2)*10)</f>
        <v>47.2</v>
      </c>
      <c r="Y10" s="8"/>
      <c r="Z10" s="34"/>
      <c r="AA10" s="26"/>
      <c r="AB10" s="26"/>
      <c r="AC10" s="26">
        <v>3</v>
      </c>
      <c r="AD10" s="30">
        <v>30</v>
      </c>
      <c r="AE10" s="40" t="s">
        <v>200</v>
      </c>
      <c r="AF10" s="41" t="s">
        <v>79</v>
      </c>
      <c r="AG10" s="41" t="s">
        <v>201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-6000</v>
      </c>
      <c r="H11" s="9"/>
      <c r="I11" s="48">
        <v>0</v>
      </c>
      <c r="J11" s="21">
        <f t="shared" si="2"/>
        <v>16600</v>
      </c>
      <c r="K11" s="8" t="s">
        <v>197</v>
      </c>
      <c r="L11" s="9">
        <v>-6000</v>
      </c>
      <c r="M11" s="9"/>
      <c r="N11" s="48">
        <v>0</v>
      </c>
      <c r="O11" s="21">
        <f t="shared" si="3"/>
        <v>4200</v>
      </c>
      <c r="P11" s="8" t="s">
        <v>198</v>
      </c>
      <c r="Q11" s="9">
        <v>12000</v>
      </c>
      <c r="R11" s="9"/>
      <c r="S11" s="48">
        <v>0</v>
      </c>
      <c r="T11" s="21">
        <f t="shared" si="4"/>
        <v>84200</v>
      </c>
      <c r="U11" s="53">
        <f>IF($J11="","",ROUND(($J11-$J$3)/1000,1)+(_xlfn.RANK.AVG($J11,($J11,$O11,$T11),1)-2)*10)</f>
        <v>-18.399999999999999</v>
      </c>
      <c r="V11" s="54">
        <f>IF($O11="","",ROUND(($O11-$O$3)/1000,1)+(_xlfn.RANK.AVG($O11,($J11,$O11,$T11),1)-2)*10)</f>
        <v>-40.799999999999997</v>
      </c>
      <c r="W11" s="55">
        <f>IF($T11="","",ROUND(($T11-$T$3)/1000,1)+(_xlfn.RANK.AVG($T11,($J11,$O11,$T11),1)-2)*10)</f>
        <v>59.2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40</v>
      </c>
      <c r="BU11" s="40" t="s">
        <v>200</v>
      </c>
      <c r="BV11" s="41" t="s">
        <v>82</v>
      </c>
      <c r="BW11" s="41" t="s">
        <v>80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BB1ACA1-AB88-47C1-923B-5F53DB8C2303}">
      <formula1>"たかの,だいち,ただ,りくと,れんたろう,まっつん,のり,ぱぱ,ほたに,いっしー,"</formula1>
    </dataValidation>
    <dataValidation type="list" showInputMessage="1" showErrorMessage="1" sqref="K4:K30 P4:P30 F4:F30" xr:uid="{CD4A9D4B-E4EE-4CF9-9A1B-372587CD6B97}">
      <formula1>"ロン,ツモ,放銃,ツモ支払,流局,チョンボ"</formula1>
    </dataValidation>
    <dataValidation type="list" allowBlank="1" showInputMessage="1" showErrorMessage="1" sqref="E4:E30" xr:uid="{1E78875A-C560-4834-8DA2-E6FED9C3632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D2640-C5D7-4C39-87E7-515EE024A98D}">
  <sheetPr codeName="Sheet14">
    <pageSetUpPr fitToPage="1"/>
  </sheetPr>
  <dimension ref="A1:CI30"/>
  <sheetViews>
    <sheetView tabSelected="1" zoomScale="9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211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212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212</v>
      </c>
      <c r="F4" s="8" t="s">
        <v>197</v>
      </c>
      <c r="G4" s="9">
        <v>-800</v>
      </c>
      <c r="H4" s="9">
        <v>-1000</v>
      </c>
      <c r="I4" s="48">
        <v>0</v>
      </c>
      <c r="J4" s="21">
        <f>IF(COUNTA($F4,$K4,$P4)&gt;0,J3+SUM(G4:I4),"")</f>
        <v>33200</v>
      </c>
      <c r="K4" s="8" t="s">
        <v>198</v>
      </c>
      <c r="L4" s="9">
        <v>2100</v>
      </c>
      <c r="M4" s="9">
        <v>1000</v>
      </c>
      <c r="N4" s="48">
        <v>0</v>
      </c>
      <c r="O4" s="21">
        <f>IF(COUNTA($F4,$K4,$P4)&gt;0,O3+SUM(L4:N4),"")</f>
        <v>38100</v>
      </c>
      <c r="P4" s="8" t="s">
        <v>197</v>
      </c>
      <c r="Q4" s="9">
        <v>-1300</v>
      </c>
      <c r="R4" s="9"/>
      <c r="S4" s="48">
        <v>0</v>
      </c>
      <c r="T4" s="21">
        <f>IF(COUNTA($F4,$K4,$P4)&gt;0,T3+SUM(Q4:S4),"")</f>
        <v>33700</v>
      </c>
      <c r="U4" s="53">
        <f>IF($J4="","",ROUND(($J4-$J$3)/1000,1)+(_xlfn.RANK.AVG($J4,($J4,$O4,$T4),1)-2)*10)</f>
        <v>-11.8</v>
      </c>
      <c r="V4" s="54">
        <f>IF($O4="","",ROUND(($O4-$O$3)/1000,1)+(_xlfn.RANK.AVG($O4,($J4,$O4,$T4),1)-2)*10)</f>
        <v>13.1</v>
      </c>
      <c r="W4" s="55">
        <f>IF($T4="","",ROUND(($T4-$T$3)/1000,1)+(_xlfn.RANK.AVG($T4,($J4,$O4,$T4),1)-2)*10)</f>
        <v>-1.3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200</v>
      </c>
      <c r="BA4" s="41" t="s">
        <v>82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197</v>
      </c>
      <c r="G5" s="9">
        <v>-7500</v>
      </c>
      <c r="H5" s="9"/>
      <c r="I5" s="48">
        <v>0</v>
      </c>
      <c r="J5" s="21">
        <f t="shared" ref="J5:J30" si="2">IF(COUNTA($F5,$K5,$P5)&gt;0,J4+SUM(G5:I5),"")</f>
        <v>25700</v>
      </c>
      <c r="K5" s="8" t="s">
        <v>198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51100</v>
      </c>
      <c r="P5" s="8" t="s">
        <v>197</v>
      </c>
      <c r="Q5" s="9">
        <v>-4500</v>
      </c>
      <c r="R5" s="9">
        <v>-1000</v>
      </c>
      <c r="S5" s="48">
        <v>0</v>
      </c>
      <c r="T5" s="21">
        <f t="shared" ref="T5:T30" si="4">IF(COUNTA($F5,$K5,$P5)&gt;0,T4+SUM(Q5:S5),"")</f>
        <v>28200</v>
      </c>
      <c r="U5" s="53">
        <f>IF($J5="","",ROUND(($J5-$J$3)/1000,1)+(_xlfn.RANK.AVG($J5,($J5,$O5,$T5),1)-2)*10)</f>
        <v>-19.3</v>
      </c>
      <c r="V5" s="54">
        <f>IF($O5="","",ROUND(($O5-$O$3)/1000,1)+(_xlfn.RANK.AVG($O5,($J5,$O5,$T5),1)-2)*10)</f>
        <v>26.1</v>
      </c>
      <c r="W5" s="55">
        <f>IF($T5="","",ROUND(($T5-$T$3)/1000,1)+(_xlfn.RANK.AVG($T5,($J5,$O5,$T5),1)-2)*10)</f>
        <v>-6.8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199</v>
      </c>
      <c r="AZ5" s="40" t="s">
        <v>200</v>
      </c>
      <c r="BA5" s="41" t="s">
        <v>82</v>
      </c>
      <c r="BB5" s="41" t="s">
        <v>209</v>
      </c>
      <c r="BC5" s="41" t="s">
        <v>86</v>
      </c>
      <c r="BD5" s="41" t="s">
        <v>80</v>
      </c>
      <c r="BE5" s="41" t="s">
        <v>79</v>
      </c>
      <c r="BF5" s="41" t="s">
        <v>79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/>
      <c r="G6" s="9"/>
      <c r="H6" s="9"/>
      <c r="I6" s="48"/>
      <c r="J6" s="21">
        <f t="shared" si="2"/>
        <v>25700</v>
      </c>
      <c r="K6" s="8" t="s">
        <v>203</v>
      </c>
      <c r="L6" s="9">
        <v>12000</v>
      </c>
      <c r="M6" s="9"/>
      <c r="N6" s="48">
        <v>0</v>
      </c>
      <c r="O6" s="21">
        <f t="shared" si="3"/>
        <v>63100</v>
      </c>
      <c r="P6" s="8" t="s">
        <v>202</v>
      </c>
      <c r="Q6" s="9">
        <v>-12000</v>
      </c>
      <c r="R6" s="9"/>
      <c r="S6" s="48">
        <v>0</v>
      </c>
      <c r="T6" s="21">
        <f t="shared" si="4"/>
        <v>16200</v>
      </c>
      <c r="U6" s="53">
        <f>IF($J6="","",ROUND(($J6-$J$3)/1000,1)+(_xlfn.RANK.AVG($J6,($J6,$O6,$T6),1)-2)*10)</f>
        <v>-9.3000000000000007</v>
      </c>
      <c r="V6" s="54">
        <f>IF($O6="","",ROUND(($O6-$O$3)/1000,1)+(_xlfn.RANK.AVG($O6,($J6,$O6,$T6),1)-2)*10)</f>
        <v>38.1</v>
      </c>
      <c r="W6" s="55">
        <f>IF($T6="","",ROUND(($T6-$T$3)/1000,1)+(_xlfn.RANK.AVG($T6,($J6,$O6,$T6),1)-2)*10)</f>
        <v>-28.8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200</v>
      </c>
      <c r="BA6" s="41" t="s">
        <v>209</v>
      </c>
      <c r="BB6" s="41" t="s">
        <v>201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206</v>
      </c>
      <c r="F7" s="8" t="s">
        <v>197</v>
      </c>
      <c r="G7" s="9">
        <v>-1500</v>
      </c>
      <c r="H7" s="9"/>
      <c r="I7" s="48">
        <v>-500</v>
      </c>
      <c r="J7" s="21">
        <f t="shared" si="2"/>
        <v>23700</v>
      </c>
      <c r="K7" s="8" t="s">
        <v>198</v>
      </c>
      <c r="L7" s="9">
        <v>3000</v>
      </c>
      <c r="M7" s="9"/>
      <c r="N7" s="48">
        <v>1000</v>
      </c>
      <c r="O7" s="21">
        <f t="shared" si="3"/>
        <v>67100</v>
      </c>
      <c r="P7" s="8" t="s">
        <v>197</v>
      </c>
      <c r="Q7" s="9">
        <v>-1500</v>
      </c>
      <c r="R7" s="9"/>
      <c r="S7" s="48">
        <v>-500</v>
      </c>
      <c r="T7" s="21">
        <f t="shared" si="4"/>
        <v>14200</v>
      </c>
      <c r="U7" s="53">
        <f>IF($J7="","",ROUND(($J7-$J$3)/1000,1)+(_xlfn.RANK.AVG($J7,($J7,$O7,$T7),1)-2)*10)</f>
        <v>-11.3</v>
      </c>
      <c r="V7" s="54">
        <f>IF($O7="","",ROUND(($O7-$O$3)/1000,1)+(_xlfn.RANK.AVG($O7,($J7,$O7,$T7),1)-2)*10)</f>
        <v>42.1</v>
      </c>
      <c r="W7" s="55">
        <f>IF($T7="","",ROUND(($T7-$T$3)/1000,1)+(_xlfn.RANK.AVG($T7,($J7,$O7,$T7),1)-2)*10)</f>
        <v>-30.8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200</v>
      </c>
      <c r="BA7" s="41" t="s">
        <v>82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206</v>
      </c>
      <c r="F8" s="8" t="s">
        <v>197</v>
      </c>
      <c r="G8" s="9">
        <v>-6000</v>
      </c>
      <c r="H8" s="9"/>
      <c r="I8" s="48">
        <v>-1000</v>
      </c>
      <c r="J8" s="21">
        <f t="shared" si="2"/>
        <v>16700</v>
      </c>
      <c r="K8" s="8" t="s">
        <v>198</v>
      </c>
      <c r="L8" s="9">
        <v>12000</v>
      </c>
      <c r="M8" s="9"/>
      <c r="N8" s="48">
        <v>2000</v>
      </c>
      <c r="O8" s="21">
        <f t="shared" si="3"/>
        <v>81100</v>
      </c>
      <c r="P8" s="8" t="s">
        <v>197</v>
      </c>
      <c r="Q8" s="9">
        <v>-6000</v>
      </c>
      <c r="R8" s="9"/>
      <c r="S8" s="48">
        <v>-1000</v>
      </c>
      <c r="T8" s="21">
        <f t="shared" si="4"/>
        <v>7200</v>
      </c>
      <c r="U8" s="53">
        <f>IF($J8="","",ROUND(($J8-$J$3)/1000,1)+(_xlfn.RANK.AVG($J8,($J8,$O8,$T8),1)-2)*10)</f>
        <v>-18.3</v>
      </c>
      <c r="V8" s="54">
        <f>IF($O8="","",ROUND(($O8-$O$3)/1000,1)+(_xlfn.RANK.AVG($O8,($J8,$O8,$T8),1)-2)*10)</f>
        <v>56.1</v>
      </c>
      <c r="W8" s="55">
        <f>IF($T8="","",ROUND(($T8-$T$3)/1000,1)+(_xlfn.RANK.AVG($T8,($J8,$O8,$T8),1)-2)*10)</f>
        <v>-37.799999999999997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4</v>
      </c>
      <c r="AY8" s="30">
        <v>40</v>
      </c>
      <c r="AZ8" s="40" t="s">
        <v>104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206</v>
      </c>
      <c r="F9" s="8"/>
      <c r="G9" s="9"/>
      <c r="H9" s="9"/>
      <c r="I9" s="48"/>
      <c r="J9" s="21">
        <f t="shared" si="2"/>
        <v>16700</v>
      </c>
      <c r="K9" s="8" t="s">
        <v>202</v>
      </c>
      <c r="L9" s="9">
        <v>-5200</v>
      </c>
      <c r="M9" s="9"/>
      <c r="N9" s="48">
        <v>-3000</v>
      </c>
      <c r="O9" s="21">
        <f t="shared" si="3"/>
        <v>72900</v>
      </c>
      <c r="P9" s="8" t="s">
        <v>203</v>
      </c>
      <c r="Q9" s="9">
        <v>5200</v>
      </c>
      <c r="R9" s="9"/>
      <c r="S9" s="48">
        <v>3000</v>
      </c>
      <c r="T9" s="21">
        <f t="shared" si="4"/>
        <v>15400</v>
      </c>
      <c r="U9" s="53">
        <f>IF($J9="","",ROUND(($J9-$J$3)/1000,1)+(_xlfn.RANK.AVG($J9,($J9,$O9,$T9),1)-2)*10)</f>
        <v>-18.3</v>
      </c>
      <c r="V9" s="54">
        <f>IF($O9="","",ROUND(($O9-$O$3)/1000,1)+(_xlfn.RANK.AVG($O9,($J9,$O9,$T9),1)-2)*10)</f>
        <v>47.9</v>
      </c>
      <c r="W9" s="55">
        <f>IF($T9="","",ROUND(($T9-$T$3)/1000,1)+(_xlfn.RANK.AVG($T9,($J9,$O9,$T9),1)-2)*10)</f>
        <v>-29.6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200</v>
      </c>
      <c r="BV9" s="41" t="s">
        <v>201</v>
      </c>
      <c r="BW9" s="41" t="s">
        <v>201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212</v>
      </c>
      <c r="F10" s="8" t="s">
        <v>198</v>
      </c>
      <c r="G10" s="9">
        <v>12000</v>
      </c>
      <c r="H10" s="9">
        <v>1000</v>
      </c>
      <c r="I10" s="48">
        <v>0</v>
      </c>
      <c r="J10" s="21">
        <f t="shared" si="2"/>
        <v>29700</v>
      </c>
      <c r="K10" s="8" t="s">
        <v>197</v>
      </c>
      <c r="L10" s="9">
        <v>-4500</v>
      </c>
      <c r="M10" s="9">
        <v>-1000</v>
      </c>
      <c r="N10" s="48">
        <v>0</v>
      </c>
      <c r="O10" s="21">
        <f t="shared" si="3"/>
        <v>67400</v>
      </c>
      <c r="P10" s="8" t="s">
        <v>197</v>
      </c>
      <c r="Q10" s="9">
        <v>-7500</v>
      </c>
      <c r="R10" s="9"/>
      <c r="S10" s="48">
        <v>0</v>
      </c>
      <c r="T10" s="21">
        <f t="shared" si="4"/>
        <v>7900</v>
      </c>
      <c r="U10" s="53">
        <f>IF($J10="","",ROUND(($J10-$J$3)/1000,1)+(_xlfn.RANK.AVG($J10,($J10,$O10,$T10),1)-2)*10)</f>
        <v>-5.3</v>
      </c>
      <c r="V10" s="54">
        <f>IF($O10="","",ROUND(($O10-$O$3)/1000,1)+(_xlfn.RANK.AVG($O10,($J10,$O10,$T10),1)-2)*10)</f>
        <v>42.4</v>
      </c>
      <c r="W10" s="55">
        <f>IF($T10="","",ROUND(($T10-$T$3)/1000,1)+(_xlfn.RANK.AVG($T10,($J10,$O10,$T10),1)-2)*10)</f>
        <v>-37.1</v>
      </c>
      <c r="Y10" s="8"/>
      <c r="Z10" s="34"/>
      <c r="AA10" s="26">
        <v>1</v>
      </c>
      <c r="AB10" s="26"/>
      <c r="AC10" s="26">
        <v>6</v>
      </c>
      <c r="AD10" s="30" t="s">
        <v>199</v>
      </c>
      <c r="AE10" s="40" t="s">
        <v>200</v>
      </c>
      <c r="AF10" s="41" t="s">
        <v>82</v>
      </c>
      <c r="AG10" s="41" t="s">
        <v>209</v>
      </c>
      <c r="AH10" s="41" t="s">
        <v>79</v>
      </c>
      <c r="AI10" s="41" t="s">
        <v>80</v>
      </c>
      <c r="AJ10" s="41" t="s">
        <v>80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210</v>
      </c>
      <c r="F11" s="8"/>
      <c r="G11" s="9"/>
      <c r="H11" s="9"/>
      <c r="I11" s="48"/>
      <c r="J11" s="21">
        <f t="shared" si="2"/>
        <v>29700</v>
      </c>
      <c r="K11" s="8" t="s">
        <v>203</v>
      </c>
      <c r="L11" s="9">
        <v>7700</v>
      </c>
      <c r="M11" s="9"/>
      <c r="N11" s="48">
        <v>0</v>
      </c>
      <c r="O11" s="21">
        <f t="shared" si="3"/>
        <v>75100</v>
      </c>
      <c r="P11" s="8" t="s">
        <v>202</v>
      </c>
      <c r="Q11" s="9">
        <v>-7700</v>
      </c>
      <c r="R11" s="9"/>
      <c r="S11" s="48">
        <v>0</v>
      </c>
      <c r="T11" s="21">
        <f t="shared" si="4"/>
        <v>200</v>
      </c>
      <c r="U11" s="53">
        <f>IF($J11="","",ROUND(($J11-$J$3)/1000,1)+(_xlfn.RANK.AVG($J11,($J11,$O11,$T11),1)-2)*10)</f>
        <v>-5.3</v>
      </c>
      <c r="V11" s="54">
        <f>IF($O11="","",ROUND(($O11-$O$3)/1000,1)+(_xlfn.RANK.AVG($O11,($J11,$O11,$T11),1)-2)*10)</f>
        <v>50.1</v>
      </c>
      <c r="W11" s="55">
        <f>IF($T11="","",ROUND(($T11-$T$3)/1000,1)+(_xlfn.RANK.AVG($T11,($J11,$O11,$T11),1)-2)*10)</f>
        <v>-44.8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104</v>
      </c>
      <c r="BA11" s="41" t="s">
        <v>86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206</v>
      </c>
      <c r="F12" s="8" t="s">
        <v>203</v>
      </c>
      <c r="G12" s="9">
        <v>6400</v>
      </c>
      <c r="H12" s="9"/>
      <c r="I12" s="48">
        <v>0</v>
      </c>
      <c r="J12" s="21">
        <f t="shared" si="2"/>
        <v>36100</v>
      </c>
      <c r="K12" s="8" t="s">
        <v>202</v>
      </c>
      <c r="L12" s="9">
        <v>-6400</v>
      </c>
      <c r="M12" s="9"/>
      <c r="N12" s="48">
        <v>0</v>
      </c>
      <c r="O12" s="21">
        <f t="shared" si="3"/>
        <v>68700</v>
      </c>
      <c r="P12" s="8"/>
      <c r="Q12" s="9"/>
      <c r="R12" s="9"/>
      <c r="S12" s="48"/>
      <c r="T12" s="21">
        <f t="shared" si="4"/>
        <v>200</v>
      </c>
      <c r="U12" s="53">
        <f>IF($J12="","",ROUND(($J12-$J$3)/1000,1)+(_xlfn.RANK.AVG($J12,($J12,$O12,$T12),1)-2)*10)</f>
        <v>1.1000000000000001</v>
      </c>
      <c r="V12" s="54">
        <f>IF($O12="","",ROUND(($O12-$O$3)/1000,1)+(_xlfn.RANK.AVG($O12,($J12,$O12,$T12),1)-2)*10)</f>
        <v>43.7</v>
      </c>
      <c r="W12" s="55">
        <f>IF($T12="","",ROUND(($T12-$T$3)/1000,1)+(_xlfn.RANK.AVG($T12,($J12,$O12,$T12),1)-2)*10)</f>
        <v>-44.8</v>
      </c>
      <c r="Y12" s="8"/>
      <c r="Z12" s="34"/>
      <c r="AA12" s="26"/>
      <c r="AB12" s="26"/>
      <c r="AC12" s="26">
        <v>3</v>
      </c>
      <c r="AD12" s="30">
        <v>50</v>
      </c>
      <c r="AE12" s="40" t="s">
        <v>86</v>
      </c>
      <c r="AF12" s="41" t="s">
        <v>79</v>
      </c>
      <c r="AG12" s="41" t="s">
        <v>201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212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5529FB0-1DC5-4835-8AA1-FB4AFB2DE54F}">
      <formula1>$U$2:$W$2</formula1>
    </dataValidation>
    <dataValidation type="list" showInputMessage="1" showErrorMessage="1" sqref="K4:K30 P4:P30 F4:F30" xr:uid="{4EF90995-6F85-4873-B7E0-5A8D8E3863E5}">
      <formula1>"ロン,ツモ,放銃,ツモ支払,流局,チョンボ"</formula1>
    </dataValidation>
    <dataValidation type="list" allowBlank="1" showInputMessage="1" sqref="F1:T1" xr:uid="{D041C7C3-EAF0-46F2-B4B1-DC33A0082366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2019-11-13T10:56:16Z</dcterms:modified>
</cp:coreProperties>
</file>