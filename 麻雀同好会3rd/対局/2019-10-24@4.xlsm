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C298C314-B4B7-482A-96C3-255008912003}" xr6:coauthVersionLast="41" xr6:coauthVersionMax="41" xr10:uidLastSave="{00000000-0000-0000-0000-000000000000}"/>
  <bookViews>
    <workbookView xWindow="-120" yWindow="-120" windowWidth="20730" windowHeight="11310" activeTab="2" xr2:uid="{4CDB34E1-560F-4998-ABAB-D6F7F2862621}"/>
  </bookViews>
  <sheets>
    <sheet name="Sheet1" sheetId="19" r:id="rId1"/>
    <sheet name="Sheet2" sheetId="20" r:id="rId2"/>
    <sheet name="Sheet3" sheetId="22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D13" i="22"/>
  <c r="D12" i="22"/>
  <c r="D11" i="22"/>
  <c r="C11" i="22"/>
  <c r="C12" i="22" s="1"/>
  <c r="C13" i="22" s="1"/>
  <c r="D10" i="22"/>
  <c r="C10" i="22"/>
  <c r="D9" i="22"/>
  <c r="D8" i="22"/>
  <c r="C8" i="22"/>
  <c r="C9" i="22" s="1"/>
  <c r="D7" i="22"/>
  <c r="C7" i="22"/>
  <c r="D6" i="22"/>
  <c r="T5" i="22"/>
  <c r="T6" i="22" s="1"/>
  <c r="O5" i="22"/>
  <c r="D5" i="22"/>
  <c r="C5" i="22"/>
  <c r="C6" i="22" s="1"/>
  <c r="B5" i="22"/>
  <c r="T4" i="22"/>
  <c r="O4" i="22"/>
  <c r="J4" i="22"/>
  <c r="J5" i="22" s="1"/>
  <c r="W3" i="22"/>
  <c r="V3" i="22"/>
  <c r="U3" i="22"/>
  <c r="W2" i="22"/>
  <c r="V2" i="22"/>
  <c r="U2" i="22"/>
  <c r="BO1" i="22"/>
  <c r="AT1" i="22"/>
  <c r="Y1" i="22"/>
  <c r="V5" i="22" l="1"/>
  <c r="V4" i="22"/>
  <c r="W4" i="22"/>
  <c r="U4" i="22"/>
  <c r="W5" i="22"/>
  <c r="J6" i="22"/>
  <c r="U5" i="22"/>
  <c r="T7" i="22"/>
  <c r="B6" i="22"/>
  <c r="A6" i="22" s="1"/>
  <c r="O6" i="22"/>
  <c r="A5" i="22"/>
  <c r="V6" i="22" l="1"/>
  <c r="O7" i="22"/>
  <c r="W6" i="22"/>
  <c r="T8" i="22"/>
  <c r="B7" i="22"/>
  <c r="U6" i="22"/>
  <c r="J7" i="22"/>
  <c r="J8" i="22" l="1"/>
  <c r="W8" i="22" s="1"/>
  <c r="U7" i="22"/>
  <c r="B8" i="22"/>
  <c r="A8" i="22" s="1"/>
  <c r="T9" i="22"/>
  <c r="W7" i="22"/>
  <c r="A7" i="22"/>
  <c r="V7" i="22"/>
  <c r="O8" i="22"/>
  <c r="T10" i="22" l="1"/>
  <c r="U8" i="22"/>
  <c r="J9" i="22"/>
  <c r="B9" i="22"/>
  <c r="A9" i="22" s="1"/>
  <c r="V8" i="22"/>
  <c r="O9" i="22"/>
  <c r="W9" i="22" l="1"/>
  <c r="V9" i="22"/>
  <c r="O10" i="22"/>
  <c r="B10" i="22"/>
  <c r="A10" i="22" s="1"/>
  <c r="U9" i="22"/>
  <c r="J10" i="22"/>
  <c r="W10" i="22" s="1"/>
  <c r="T11" i="22"/>
  <c r="T12" i="22" l="1"/>
  <c r="V10" i="22"/>
  <c r="O11" i="22"/>
  <c r="U10" i="22"/>
  <c r="J11" i="22"/>
  <c r="W11" i="22" s="1"/>
  <c r="B11" i="22"/>
  <c r="A11" i="22" s="1"/>
  <c r="B12" i="22" l="1"/>
  <c r="T13" i="22"/>
  <c r="J12" i="22"/>
  <c r="U11" i="22"/>
  <c r="V11" i="22"/>
  <c r="O12" i="22"/>
  <c r="B13" i="22" l="1"/>
  <c r="A13" i="22" s="1"/>
  <c r="U12" i="22"/>
  <c r="J13" i="22"/>
  <c r="U13" i="22" s="1"/>
  <c r="O13" i="22"/>
  <c r="V13" i="22" s="1"/>
  <c r="V12" i="22"/>
  <c r="W12" i="22"/>
  <c r="A12" i="22"/>
  <c r="W13" i="22" l="1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4" i="20"/>
  <c r="C14" i="20"/>
  <c r="D13" i="20"/>
  <c r="C13" i="20"/>
  <c r="D12" i="20"/>
  <c r="D11" i="20"/>
  <c r="D10" i="20"/>
  <c r="C10" i="20"/>
  <c r="C11" i="20" s="1"/>
  <c r="C12" i="20" s="1"/>
  <c r="D9" i="20"/>
  <c r="D8" i="20"/>
  <c r="C8" i="20"/>
  <c r="C9" i="20" s="1"/>
  <c r="D7" i="20"/>
  <c r="D6" i="20"/>
  <c r="C6" i="20"/>
  <c r="C7" i="20" s="1"/>
  <c r="O5" i="20"/>
  <c r="D5" i="20"/>
  <c r="C5" i="20"/>
  <c r="B5" i="20"/>
  <c r="T4" i="20"/>
  <c r="T5" i="20" s="1"/>
  <c r="O4" i="20"/>
  <c r="J4" i="20"/>
  <c r="J5" i="20" s="1"/>
  <c r="W3" i="20"/>
  <c r="V3" i="20"/>
  <c r="U3" i="20"/>
  <c r="W2" i="20"/>
  <c r="V2" i="20"/>
  <c r="U2" i="20"/>
  <c r="BO1" i="20"/>
  <c r="AT1" i="20"/>
  <c r="Y1" i="20"/>
  <c r="V4" i="20" l="1"/>
  <c r="U4" i="20"/>
  <c r="W4" i="20"/>
  <c r="V5" i="20"/>
  <c r="U5" i="20"/>
  <c r="J6" i="20"/>
  <c r="W5" i="20"/>
  <c r="T6" i="20"/>
  <c r="B6" i="20"/>
  <c r="A6" i="20" s="1"/>
  <c r="O6" i="20"/>
  <c r="A5" i="20"/>
  <c r="W3" i="19"/>
  <c r="V3" i="19"/>
  <c r="U3" i="19"/>
  <c r="O7" i="20" l="1"/>
  <c r="V6" i="20"/>
  <c r="B7" i="20"/>
  <c r="A7" i="20" s="1"/>
  <c r="T7" i="20"/>
  <c r="W6" i="20"/>
  <c r="U6" i="20"/>
  <c r="J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O14" i="19"/>
  <c r="J14" i="19"/>
  <c r="D14" i="19"/>
  <c r="C14" i="19"/>
  <c r="B14" i="19"/>
  <c r="A14" i="19" s="1"/>
  <c r="T13" i="19"/>
  <c r="W13" i="19" s="1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V11" i="19" s="1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V6" i="19" s="1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J8" i="20" l="1"/>
  <c r="U7" i="20"/>
  <c r="W7" i="20"/>
  <c r="T8" i="20"/>
  <c r="B8" i="20"/>
  <c r="A8" i="20" s="1"/>
  <c r="O8" i="20"/>
  <c r="V7" i="20"/>
  <c r="W14" i="19"/>
  <c r="U14" i="19"/>
  <c r="V14" i="19"/>
  <c r="U13" i="19"/>
  <c r="V13" i="19"/>
  <c r="W12" i="19"/>
  <c r="V12" i="19"/>
  <c r="U12" i="19"/>
  <c r="U11" i="19"/>
  <c r="W11" i="19"/>
  <c r="V10" i="19"/>
  <c r="W10" i="19"/>
  <c r="W9" i="19"/>
  <c r="U9" i="19"/>
  <c r="V9" i="19"/>
  <c r="W8" i="19"/>
  <c r="U8" i="19"/>
  <c r="V8" i="19"/>
  <c r="W7" i="19"/>
  <c r="V7" i="19"/>
  <c r="W6" i="19"/>
  <c r="U6" i="19"/>
  <c r="U4" i="19"/>
  <c r="V4" i="19"/>
  <c r="T5" i="19"/>
  <c r="W4" i="19"/>
  <c r="J5" i="19"/>
  <c r="O5" i="19"/>
  <c r="V8" i="20" l="1"/>
  <c r="O9" i="20"/>
  <c r="U8" i="20"/>
  <c r="J9" i="20"/>
  <c r="W8" i="20"/>
  <c r="T9" i="20"/>
  <c r="B9" i="20"/>
  <c r="A9" i="20" s="1"/>
  <c r="W5" i="19"/>
  <c r="V5" i="19"/>
  <c r="U5" i="19"/>
  <c r="B10" i="20" l="1"/>
  <c r="A10" i="20" s="1"/>
  <c r="T10" i="20"/>
  <c r="W9" i="20"/>
  <c r="U9" i="20"/>
  <c r="J10" i="20"/>
  <c r="V9" i="20"/>
  <c r="O10" i="20"/>
  <c r="V10" i="20" l="1"/>
  <c r="O11" i="20"/>
  <c r="U10" i="20"/>
  <c r="J11" i="20"/>
  <c r="T11" i="20"/>
  <c r="W10" i="20"/>
  <c r="B11" i="20"/>
  <c r="A11" i="20"/>
  <c r="W11" i="20" l="1"/>
  <c r="T12" i="20"/>
  <c r="J12" i="20"/>
  <c r="U11" i="20"/>
  <c r="B12" i="20"/>
  <c r="A12" i="20" s="1"/>
  <c r="V11" i="20"/>
  <c r="O12" i="20"/>
  <c r="V12" i="20" l="1"/>
  <c r="O13" i="20"/>
  <c r="B13" i="20"/>
  <c r="A13" i="20" s="1"/>
  <c r="U12" i="20"/>
  <c r="J13" i="20"/>
  <c r="W12" i="20"/>
  <c r="T13" i="20"/>
  <c r="W13" i="20" l="1"/>
  <c r="T14" i="20"/>
  <c r="B14" i="20"/>
  <c r="A14" i="20" s="1"/>
  <c r="V13" i="20"/>
  <c r="O14" i="20"/>
  <c r="U13" i="20"/>
  <c r="J14" i="20"/>
  <c r="U14" i="20" l="1"/>
  <c r="W14" i="20"/>
  <c r="V14" i="20"/>
</calcChain>
</file>

<file path=xl/sharedStrings.xml><?xml version="1.0" encoding="utf-8"?>
<sst xmlns="http://schemas.openxmlformats.org/spreadsheetml/2006/main" count="838" uniqueCount="211">
  <si>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</si>
  <si>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</si>
  <si>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</si>
  <si>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</si>
  <si>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</si>
  <si>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</si>
  <si>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</si>
  <si>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</si>
  <si>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</si>
  <si>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</si>
  <si>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</si>
  <si>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</si>
  <si>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</si>
  <si>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</si>
  <si>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</si>
  <si>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</si>
  <si>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</si>
  <si>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</si>
  <si>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</si>
  <si>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</si>
  <si>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</si>
  <si>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</si>
  <si>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</si>
  <si>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</si>
  <si>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</si>
  <si>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</si>
  <si>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</si>
  <si>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</si>
  <si>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</si>
  <si>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</si>
  <si>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</si>
  <si>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</si>
  <si>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</si>
  <si>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</si>
  <si>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</si>
  <si>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</si>
  <si>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</si>
  <si>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</si>
  <si>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</si>
  <si>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</si>
  <si>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</si>
  <si>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</si>
  <si>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</si>
  <si>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</si>
  <si>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</si>
  <si>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</si>
  <si>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</si>
  <si>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</si>
  <si>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</si>
  <si>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</si>
  <si>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</si>
  <si>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</si>
  <si>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</si>
  <si>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</si>
  <si>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</si>
  <si>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</si>
  <si>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</si>
  <si>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</si>
  <si>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</si>
  <si>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</si>
  <si>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</si>
  <si>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</si>
  <si>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</si>
  <si>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</si>
  <si>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</si>
  <si>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</si>
  <si>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</si>
  <si>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</si>
  <si>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</si>
  <si>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</si>
  <si>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</si>
  <si>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</si>
  <si>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</si>
  <si>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</si>
  <si>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</si>
  <si>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</si>
  <si>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</si>
  <si>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</si>
  <si>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</si>
  <si>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</si>
  <si>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</si>
  <si>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</si>
  <si>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</si>
  <si>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</si>
  <si>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</si>
  <si>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</si>
  <si>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</si>
  <si>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</si>
  <si>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</si>
  <si>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</si>
  <si>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</si>
  <si>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</si>
  <si>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</si>
  <si>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</si>
  <si>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</si>
  <si>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</si>
  <si>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</si>
  <si>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</si>
  <si>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</si>
  <si>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</si>
  <si>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</si>
  <si>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</si>
  <si>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</si>
  <si>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</si>
  <si>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</si>
  <si>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</si>
  <si>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</si>
  <si>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</si>
  <si>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</si>
  <si>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</si>
  <si>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</si>
  <si>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</si>
  <si>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</si>
  <si>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</si>
  <si>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</si>
  <si>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</si>
  <si>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</si>
  <si>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</si>
  <si>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</si>
  <si>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</si>
  <si>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</si>
  <si>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</si>
  <si>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</si>
  <si>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</si>
  <si>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</si>
  <si>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</si>
  <si>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</si>
  <si>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</si>
  <si>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</si>
  <si>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</si>
  <si>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</si>
  <si>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</si>
  <si>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</si>
  <si>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</si>
  <si>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</si>
  <si>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</si>
  <si>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</si>
  <si>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</si>
  <si>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</si>
  <si>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</si>
  <si>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</si>
  <si>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</si>
  <si>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</si>
  <si>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</si>
  <si>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</si>
  <si>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</si>
  <si>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</si>
  <si>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</si>
  <si>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</si>
  <si>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</si>
  <si>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</si>
  <si>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</si>
  <si>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</si>
  <si>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</si>
  <si>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</si>
  <si>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</si>
  <si>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</si>
  <si>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</si>
  <si>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</si>
  <si>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</si>
  <si>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</si>
  <si>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</si>
  <si>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</si>
  <si>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</si>
  <si>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</si>
  <si>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</si>
  <si>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</si>
  <si>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</si>
  <si>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</si>
  <si>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</si>
  <si>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</si>
  <si>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</si>
  <si>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</si>
  <si>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</si>
  <si>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</si>
  <si>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</si>
  <si>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</si>
  <si>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</si>
  <si>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</si>
  <si>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</si>
  <si>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</si>
  <si>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</si>
  <si>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</si>
  <si>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</si>
  <si>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</si>
  <si>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</si>
  <si>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</si>
  <si>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</si>
  <si>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</si>
  <si>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</si>
  <si>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</si>
  <si>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</si>
  <si>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</si>
  <si>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りくと</t>
  </si>
  <si>
    <t>りくと</t>
    <phoneticPr fontId="1"/>
  </si>
  <si>
    <t>れんたろう</t>
  </si>
  <si>
    <t>れんたろう</t>
    <phoneticPr fontId="1"/>
  </si>
  <si>
    <t>放銃</t>
  </si>
  <si>
    <t>ロン</t>
  </si>
  <si>
    <t>*</t>
  </si>
  <si>
    <t>51</t>
  </si>
  <si>
    <t>02</t>
  </si>
  <si>
    <t>52</t>
  </si>
  <si>
    <t>ツモ支払</t>
  </si>
  <si>
    <t>ツモ</t>
  </si>
  <si>
    <t>01</t>
  </si>
  <si>
    <t>T</t>
  </si>
  <si>
    <t>N</t>
  </si>
  <si>
    <t>流局</t>
    <phoneticPr fontId="1"/>
  </si>
  <si>
    <t>流局</t>
    <phoneticPr fontId="1"/>
  </si>
  <si>
    <t>まっつん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</si>
</sst>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りくと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197</v>
      </c>
      <c r="L4" s="9">
        <v>-8000</v>
      </c>
      <c r="M4" s="9">
        <v>-1000</v>
      </c>
      <c r="N4" s="48">
        <v>0</v>
      </c>
      <c r="O4" s="21">
        <f>IF(COUNTA($F4,$K4,$P4)&gt;0,O3+SUM(L4:N4),"")</f>
        <v>26000</v>
      </c>
      <c r="P4" s="8" t="s">
        <v>198</v>
      </c>
      <c r="Q4" s="9">
        <v>8000</v>
      </c>
      <c r="R4" s="9">
        <v>2000</v>
      </c>
      <c r="S4" s="48">
        <v>0</v>
      </c>
      <c r="T4" s="21">
        <f>IF(COUNTA($F4,$K4,$P4)&gt;0,T3+SUM(Q4:S4),"")</f>
        <v>45000</v>
      </c>
      <c r="U4" s="53">
        <f>IF($J4="","",ROUND(($J4-$J$3)/1000,1)+(_xlfn.RANK.AVG($J4,($J4,$O4,$T4),1)-2)*10)</f>
        <v>-1</v>
      </c>
      <c r="V4" s="54">
        <f>IF($O4="","",ROUND(($O4-$O$3)/1000,1)+(_xlfn.RANK.AVG($O4,($J4,$O4,$T4),1)-2)*10)</f>
        <v>-19</v>
      </c>
      <c r="W4" s="55">
        <f>IF($T4="","",ROUND(($T4-$T$3)/1000,1)+(_xlfn.RANK.AVG($T4,($J4,$O4,$T4),1)-2)*10)</f>
        <v>20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200</v>
      </c>
      <c r="BV4" s="41" t="s">
        <v>201</v>
      </c>
      <c r="BW4" s="41" t="s">
        <v>202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203</v>
      </c>
      <c r="G5" s="9">
        <v>-5800</v>
      </c>
      <c r="H5" s="9"/>
      <c r="I5" s="48">
        <v>0</v>
      </c>
      <c r="J5" s="21">
        <f t="shared" ref="J5:J30" si="2">IF(COUNTA($F5,$K5,$P5)&gt;0,J4+SUM(G5:I5),"")</f>
        <v>28200</v>
      </c>
      <c r="K5" s="8" t="s">
        <v>204</v>
      </c>
      <c r="L5" s="9">
        <v>11600</v>
      </c>
      <c r="M5" s="9"/>
      <c r="N5" s="48">
        <v>0</v>
      </c>
      <c r="O5" s="21">
        <f t="shared" ref="O5:O30" si="3">IF(COUNTA($F5,$K5,$P5)&gt;0,O4+SUM(L5:N5),"")</f>
        <v>37600</v>
      </c>
      <c r="P5" s="8" t="s">
        <v>203</v>
      </c>
      <c r="Q5" s="9">
        <v>-5800</v>
      </c>
      <c r="R5" s="9"/>
      <c r="S5" s="48">
        <v>0</v>
      </c>
      <c r="T5" s="21">
        <f t="shared" ref="T5:T30" si="4">IF(COUNTA($F5,$K5,$P5)&gt;0,T4+SUM(Q5:S5),"")</f>
        <v>39200</v>
      </c>
      <c r="U5" s="53">
        <f>IF($J5="","",ROUND(($J5-$J$3)/1000,1)+(_xlfn.RANK.AVG($J5,($J5,$O5,$T5),1)-2)*10)</f>
        <v>-16.8</v>
      </c>
      <c r="V5" s="54">
        <f>IF($O5="","",ROUND(($O5-$O$3)/1000,1)+(_xlfn.RANK.AVG($O5,($J5,$O5,$T5),1)-2)*10)</f>
        <v>2.6</v>
      </c>
      <c r="W5" s="55">
        <f>IF($T5="","",ROUND(($T5-$T$3)/1000,1)+(_xlfn.RANK.AVG($T5,($J5,$O5,$T5),1)-2)*10)</f>
        <v>14.2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205</v>
      </c>
      <c r="BA5" s="41" t="s">
        <v>82</v>
      </c>
      <c r="BB5" s="41" t="s">
        <v>92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28200</v>
      </c>
      <c r="K6" s="8" t="s">
        <v>198</v>
      </c>
      <c r="L6" s="9">
        <v>12000</v>
      </c>
      <c r="M6" s="9"/>
      <c r="N6" s="48">
        <v>1000</v>
      </c>
      <c r="O6" s="21">
        <f t="shared" si="3"/>
        <v>50600</v>
      </c>
      <c r="P6" s="8" t="s">
        <v>197</v>
      </c>
      <c r="Q6" s="9">
        <v>-12000</v>
      </c>
      <c r="R6" s="9"/>
      <c r="S6" s="48">
        <v>-1000</v>
      </c>
      <c r="T6" s="21">
        <f t="shared" si="4"/>
        <v>26200</v>
      </c>
      <c r="U6" s="53">
        <f>IF($J6="","",ROUND(($J6-$J$3)/1000,1)+(_xlfn.RANK.AVG($J6,($J6,$O6,$T6),1)-2)*10)</f>
        <v>-6.8</v>
      </c>
      <c r="V6" s="54">
        <f>IF($O6="","",ROUND(($O6-$O$3)/1000,1)+(_xlfn.RANK.AVG($O6,($J6,$O6,$T6),1)-2)*10)</f>
        <v>25.6</v>
      </c>
      <c r="W6" s="55">
        <f>IF($T6="","",ROUND(($T6-$T$3)/1000,1)+(_xlfn.RANK.AVG($T6,($J6,$O6,$T6),1)-2)*10)</f>
        <v>-18.8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205</v>
      </c>
      <c r="BA6" s="41" t="s">
        <v>85</v>
      </c>
      <c r="BB6" s="41" t="s">
        <v>96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193</v>
      </c>
      <c r="F7" s="8" t="s">
        <v>198</v>
      </c>
      <c r="G7" s="9">
        <v>8000</v>
      </c>
      <c r="H7" s="9"/>
      <c r="I7" s="48">
        <v>2000</v>
      </c>
      <c r="J7" s="21">
        <f t="shared" si="2"/>
        <v>38200</v>
      </c>
      <c r="K7" s="8" t="s">
        <v>197</v>
      </c>
      <c r="L7" s="9">
        <v>-8000</v>
      </c>
      <c r="M7" s="9"/>
      <c r="N7" s="48">
        <v>-2000</v>
      </c>
      <c r="O7" s="21">
        <f t="shared" si="3"/>
        <v>40600</v>
      </c>
      <c r="P7" s="8"/>
      <c r="Q7" s="9"/>
      <c r="R7" s="9"/>
      <c r="S7" s="48"/>
      <c r="T7" s="21">
        <f t="shared" si="4"/>
        <v>26200</v>
      </c>
      <c r="U7" s="53">
        <f>IF($J7="","",ROUND(($J7-$J$3)/1000,1)+(_xlfn.RANK.AVG($J7,($J7,$O7,$T7),1)-2)*10)</f>
        <v>3.2</v>
      </c>
      <c r="V7" s="54">
        <f>IF($O7="","",ROUND(($O7-$O$3)/1000,1)+(_xlfn.RANK.AVG($O7,($J7,$O7,$T7),1)-2)*10)</f>
        <v>15.6</v>
      </c>
      <c r="W7" s="55">
        <f>IF($T7="","",ROUND(($T7-$T$3)/1000,1)+(_xlfn.RANK.AVG($T7,($J7,$O7,$T7),1)-2)*10)</f>
        <v>-18.8</v>
      </c>
      <c r="Y7" s="8"/>
      <c r="Z7" s="34"/>
      <c r="AA7" s="26">
        <v>1</v>
      </c>
      <c r="AB7" s="26"/>
      <c r="AC7" s="26">
        <v>5</v>
      </c>
      <c r="AD7" s="30" t="s">
        <v>199</v>
      </c>
      <c r="AE7" s="40" t="s">
        <v>205</v>
      </c>
      <c r="AF7" s="41" t="s">
        <v>80</v>
      </c>
      <c r="AG7" s="41" t="s">
        <v>86</v>
      </c>
      <c r="AH7" s="41" t="s">
        <v>86</v>
      </c>
      <c r="AI7" s="41" t="s">
        <v>202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203</v>
      </c>
      <c r="G8" s="9">
        <v>-9000</v>
      </c>
      <c r="H8" s="9">
        <v>-1000</v>
      </c>
      <c r="I8" s="48">
        <v>0</v>
      </c>
      <c r="J8" s="21">
        <f t="shared" si="2"/>
        <v>28200</v>
      </c>
      <c r="K8" s="8" t="s">
        <v>203</v>
      </c>
      <c r="L8" s="9">
        <v>-9000</v>
      </c>
      <c r="M8" s="9"/>
      <c r="N8" s="48">
        <v>0</v>
      </c>
      <c r="O8" s="21">
        <f t="shared" si="3"/>
        <v>31600</v>
      </c>
      <c r="P8" s="8" t="s">
        <v>204</v>
      </c>
      <c r="Q8" s="9">
        <v>18000</v>
      </c>
      <c r="R8" s="9">
        <v>1000</v>
      </c>
      <c r="S8" s="48">
        <v>0</v>
      </c>
      <c r="T8" s="21">
        <f t="shared" si="4"/>
        <v>45200</v>
      </c>
      <c r="U8" s="53">
        <f>IF($J8="","",ROUND(($J8-$J$3)/1000,1)+(_xlfn.RANK.AVG($J8,($J8,$O8,$T8),1)-2)*10)</f>
        <v>-16.8</v>
      </c>
      <c r="V8" s="54">
        <f>IF($O8="","",ROUND(($O8-$O$3)/1000,1)+(_xlfn.RANK.AVG($O8,($J8,$O8,$T8),1)-2)*10)</f>
        <v>-3.4</v>
      </c>
      <c r="W8" s="55">
        <f>IF($T8="","",ROUND(($T8-$T$3)/1000,1)+(_xlfn.RANK.AVG($T8,($J8,$O8,$T8),1)-2)*10)</f>
        <v>20.2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6</v>
      </c>
      <c r="BT8" s="30" t="s">
        <v>199</v>
      </c>
      <c r="BU8" s="40" t="s">
        <v>104</v>
      </c>
      <c r="BV8" s="41" t="s">
        <v>86</v>
      </c>
      <c r="BW8" s="41" t="s">
        <v>86</v>
      </c>
      <c r="BX8" s="41" t="s">
        <v>202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203</v>
      </c>
      <c r="G9" s="9">
        <v>-3000</v>
      </c>
      <c r="H9" s="9"/>
      <c r="I9" s="48">
        <v>-500</v>
      </c>
      <c r="J9" s="21">
        <f t="shared" si="2"/>
        <v>24700</v>
      </c>
      <c r="K9" s="8" t="s">
        <v>204</v>
      </c>
      <c r="L9" s="9">
        <v>8000</v>
      </c>
      <c r="M9" s="9"/>
      <c r="N9" s="48">
        <v>1000</v>
      </c>
      <c r="O9" s="21">
        <f t="shared" si="3"/>
        <v>40600</v>
      </c>
      <c r="P9" s="8" t="s">
        <v>203</v>
      </c>
      <c r="Q9" s="9">
        <v>-5000</v>
      </c>
      <c r="R9" s="9"/>
      <c r="S9" s="48">
        <v>-500</v>
      </c>
      <c r="T9" s="21">
        <f t="shared" si="4"/>
        <v>39700</v>
      </c>
      <c r="U9" s="53">
        <f>IF($J9="","",ROUND(($J9-$J$3)/1000,1)+(_xlfn.RANK.AVG($J9,($J9,$O9,$T9),1)-2)*10)</f>
        <v>-20.3</v>
      </c>
      <c r="V9" s="54">
        <f>IF($O9="","",ROUND(($O9-$O$3)/1000,1)+(_xlfn.RANK.AVG($O9,($J9,$O9,$T9),1)-2)*10)</f>
        <v>15.6</v>
      </c>
      <c r="W9" s="55">
        <f>IF($T9="","",ROUND(($T9-$T$3)/1000,1)+(_xlfn.RANK.AVG($T9,($J9,$O9,$T9),1)-2)*10)</f>
        <v>4.7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199</v>
      </c>
      <c r="AZ9" s="40" t="s">
        <v>205</v>
      </c>
      <c r="BA9" s="41" t="s">
        <v>82</v>
      </c>
      <c r="BB9" s="41" t="s">
        <v>86</v>
      </c>
      <c r="BC9" s="41" t="s">
        <v>80</v>
      </c>
      <c r="BD9" s="41" t="s">
        <v>202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198</v>
      </c>
      <c r="G10" s="9">
        <v>12000</v>
      </c>
      <c r="H10" s="9"/>
      <c r="I10" s="48">
        <v>0</v>
      </c>
      <c r="J10" s="21">
        <f t="shared" si="2"/>
        <v>36700</v>
      </c>
      <c r="K10" s="8" t="s">
        <v>197</v>
      </c>
      <c r="L10" s="9">
        <v>-12000</v>
      </c>
      <c r="M10" s="9"/>
      <c r="N10" s="48">
        <v>0</v>
      </c>
      <c r="O10" s="21">
        <f t="shared" si="3"/>
        <v>28600</v>
      </c>
      <c r="P10" s="8"/>
      <c r="Q10" s="9"/>
      <c r="R10" s="9"/>
      <c r="S10" s="48"/>
      <c r="T10" s="21">
        <f t="shared" si="4"/>
        <v>39700</v>
      </c>
      <c r="U10" s="53">
        <f>IF($J10="","",ROUND(($J10-$J$3)/1000,1)+(_xlfn.RANK.AVG($J10,($J10,$O10,$T10),1)-2)*10)</f>
        <v>1.7</v>
      </c>
      <c r="V10" s="54">
        <f>IF($O10="","",ROUND(($O10-$O$3)/1000,1)+(_xlfn.RANK.AVG($O10,($J10,$O10,$T10),1)-2)*10)</f>
        <v>-16.399999999999999</v>
      </c>
      <c r="W10" s="55">
        <f>IF($T10="","",ROUND(($T10-$T$3)/1000,1)+(_xlfn.RANK.AVG($T10,($J10,$O10,$T10),1)-2)*10)</f>
        <v>14.7</v>
      </c>
      <c r="Y10" s="8"/>
      <c r="Z10" s="34"/>
      <c r="AA10" s="26"/>
      <c r="AB10" s="26">
        <v>1</v>
      </c>
      <c r="AC10" s="26">
        <v>5</v>
      </c>
      <c r="AD10" s="30" t="s">
        <v>199</v>
      </c>
      <c r="AE10" s="40" t="s">
        <v>86</v>
      </c>
      <c r="AF10" s="41" t="s">
        <v>202</v>
      </c>
      <c r="AG10" s="41" t="s">
        <v>79</v>
      </c>
      <c r="AH10" s="41" t="s">
        <v>79</v>
      </c>
      <c r="AI10" s="41" t="s">
        <v>79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208</v>
      </c>
      <c r="G11" s="9">
        <v>1500</v>
      </c>
      <c r="H11" s="9"/>
      <c r="I11" s="48"/>
      <c r="J11" s="21">
        <f t="shared" si="2"/>
        <v>38200</v>
      </c>
      <c r="K11" s="8" t="s">
        <v>208</v>
      </c>
      <c r="L11" s="9">
        <v>1500</v>
      </c>
      <c r="M11" s="9"/>
      <c r="N11" s="48"/>
      <c r="O11" s="21">
        <f t="shared" si="3"/>
        <v>30100</v>
      </c>
      <c r="P11" s="8" t="s">
        <v>208</v>
      </c>
      <c r="Q11" s="9">
        <v>-3000</v>
      </c>
      <c r="R11" s="9"/>
      <c r="S11" s="48"/>
      <c r="T11" s="21">
        <f t="shared" si="4"/>
        <v>36700</v>
      </c>
      <c r="U11" s="53">
        <f>IF($J11="","",ROUND(($J11-$J$3)/1000,1)+(_xlfn.RANK.AVG($J11,($J11,$O11,$T11),1)-2)*10)</f>
        <v>13.2</v>
      </c>
      <c r="V11" s="54">
        <f>IF($O11="","",ROUND(($O11-$O$3)/1000,1)+(_xlfn.RANK.AVG($O11,($J11,$O11,$T11),1)-2)*10)</f>
        <v>-14.9</v>
      </c>
      <c r="W11" s="55">
        <f>IF($T11="","",ROUND(($T11-$T$3)/1000,1)+(_xlfn.RANK.AVG($T11,($J11,$O11,$T11),1)-2)*10)</f>
        <v>1.7</v>
      </c>
      <c r="Y11" s="8" t="s">
        <v>206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206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207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">
        <v>191</v>
      </c>
      <c r="F12" s="8" t="s">
        <v>203</v>
      </c>
      <c r="G12" s="9">
        <v>-700</v>
      </c>
      <c r="H12" s="9"/>
      <c r="I12" s="48">
        <v>-1000</v>
      </c>
      <c r="J12" s="21">
        <f t="shared" si="2"/>
        <v>36500</v>
      </c>
      <c r="K12" s="8" t="s">
        <v>204</v>
      </c>
      <c r="L12" s="9">
        <v>1200</v>
      </c>
      <c r="M12" s="9">
        <v>1000</v>
      </c>
      <c r="N12" s="48">
        <v>2000</v>
      </c>
      <c r="O12" s="21">
        <f t="shared" si="3"/>
        <v>34300</v>
      </c>
      <c r="P12" s="8" t="s">
        <v>203</v>
      </c>
      <c r="Q12" s="9">
        <v>-500</v>
      </c>
      <c r="R12" s="9">
        <v>-1000</v>
      </c>
      <c r="S12" s="48">
        <v>-1000</v>
      </c>
      <c r="T12" s="21">
        <f t="shared" si="4"/>
        <v>34200</v>
      </c>
      <c r="U12" s="53">
        <f>IF($J12="","",ROUND(($J12-$J$3)/1000,1)+(_xlfn.RANK.AVG($J12,($J12,$O12,$T12),1)-2)*10)</f>
        <v>11.5</v>
      </c>
      <c r="V12" s="54">
        <f>IF($O12="","",ROUND(($O12-$O$3)/1000,1)+(_xlfn.RANK.AVG($O12,($J12,$O12,$T12),1)-2)*10)</f>
        <v>-0.7</v>
      </c>
      <c r="W12" s="55">
        <f>IF($T12="","",ROUND(($T12-$T$3)/1000,1)+(_xlfn.RANK.AVG($T12,($J12,$O12,$T12),1)-2)*10)</f>
        <v>-10.8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1</v>
      </c>
      <c r="AY12" s="30">
        <v>30</v>
      </c>
      <c r="AZ12" s="40" t="s">
        <v>82</v>
      </c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204</v>
      </c>
      <c r="G13" s="9">
        <v>8000</v>
      </c>
      <c r="H13" s="9"/>
      <c r="I13" s="48">
        <v>0</v>
      </c>
      <c r="J13" s="21">
        <f t="shared" si="2"/>
        <v>44500</v>
      </c>
      <c r="K13" s="8" t="s">
        <v>203</v>
      </c>
      <c r="L13" s="9">
        <v>-5000</v>
      </c>
      <c r="M13" s="9"/>
      <c r="N13" s="48">
        <v>0</v>
      </c>
      <c r="O13" s="21">
        <f t="shared" si="3"/>
        <v>29300</v>
      </c>
      <c r="P13" s="8" t="s">
        <v>203</v>
      </c>
      <c r="Q13" s="9">
        <v>-3000</v>
      </c>
      <c r="R13" s="9"/>
      <c r="S13" s="48">
        <v>0</v>
      </c>
      <c r="T13" s="21">
        <f t="shared" si="4"/>
        <v>31200</v>
      </c>
      <c r="U13" s="53">
        <f>IF($J13="","",ROUND(($J13-$J$3)/1000,1)+(_xlfn.RANK.AVG($J13,($J13,$O13,$T13),1)-2)*10)</f>
        <v>19.5</v>
      </c>
      <c r="V13" s="54">
        <f>IF($O13="","",ROUND(($O13-$O$3)/1000,1)+(_xlfn.RANK.AVG($O13,($J13,$O13,$T13),1)-2)*10)</f>
        <v>-15.7</v>
      </c>
      <c r="W13" s="55">
        <f>IF($T13="","",ROUND(($T13-$T$3)/1000,1)+(_xlfn.RANK.AVG($T13,($J13,$O13,$T13),1)-2)*10)</f>
        <v>-3.8</v>
      </c>
      <c r="Y13" s="8"/>
      <c r="Z13" s="34"/>
      <c r="AA13" s="26"/>
      <c r="AB13" s="26">
        <v>1</v>
      </c>
      <c r="AC13" s="26">
        <v>5</v>
      </c>
      <c r="AD13" s="30" t="s">
        <v>199</v>
      </c>
      <c r="AE13" s="40" t="s">
        <v>89</v>
      </c>
      <c r="AF13" s="41" t="s">
        <v>104</v>
      </c>
      <c r="AG13" s="41" t="s">
        <v>86</v>
      </c>
      <c r="AH13" s="41" t="s">
        <v>86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195</v>
      </c>
      <c r="F14" s="8" t="s">
        <v>204</v>
      </c>
      <c r="G14" s="9">
        <v>12000</v>
      </c>
      <c r="H14" s="9">
        <v>1000</v>
      </c>
      <c r="I14" s="48">
        <v>0</v>
      </c>
      <c r="J14" s="21">
        <f t="shared" si="2"/>
        <v>57500</v>
      </c>
      <c r="K14" s="8" t="s">
        <v>203</v>
      </c>
      <c r="L14" s="9">
        <v>-4500</v>
      </c>
      <c r="M14" s="9">
        <v>-1000</v>
      </c>
      <c r="N14" s="48">
        <v>0</v>
      </c>
      <c r="O14" s="21">
        <f t="shared" si="3"/>
        <v>23800</v>
      </c>
      <c r="P14" s="8" t="s">
        <v>203</v>
      </c>
      <c r="Q14" s="9">
        <v>-7500</v>
      </c>
      <c r="R14" s="9"/>
      <c r="S14" s="48">
        <v>0</v>
      </c>
      <c r="T14" s="21">
        <f t="shared" si="4"/>
        <v>23700</v>
      </c>
      <c r="U14" s="53">
        <f>IF($J14="","",ROUND(($J14-$J$3)/1000,1)+(_xlfn.RANK.AVG($J14,($J14,$O14,$T14),1)-2)*10)</f>
        <v>32.5</v>
      </c>
      <c r="V14" s="54">
        <f>IF($O14="","",ROUND(($O14-$O$3)/1000,1)+(_xlfn.RANK.AVG($O14,($J14,$O14,$T14),1)-2)*10)</f>
        <v>-11.2</v>
      </c>
      <c r="W14" s="55">
        <f>IF($T14="","",ROUND(($T14-$T$3)/1000,1)+(_xlfn.RANK.AVG($T14,($J14,$O14,$T14),1)-2)*10)</f>
        <v>-21.3</v>
      </c>
      <c r="Y14" s="8"/>
      <c r="Z14" s="34"/>
      <c r="AA14" s="26"/>
      <c r="AB14" s="26">
        <v>1</v>
      </c>
      <c r="AC14" s="26">
        <v>6</v>
      </c>
      <c r="AD14" s="30" t="s">
        <v>199</v>
      </c>
      <c r="AE14" s="40" t="s">
        <v>104</v>
      </c>
      <c r="AF14" s="41" t="s">
        <v>86</v>
      </c>
      <c r="AG14" s="41" t="s">
        <v>202</v>
      </c>
      <c r="AH14" s="41" t="s">
        <v>98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07A6DA6-069F-4BF6-BECA-0D1439FA2577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EB637-E54C-459E-B070-81D3522A7F6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りくと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197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-1</v>
      </c>
      <c r="Y4" s="8"/>
      <c r="Z4" s="34"/>
      <c r="AA4" s="26"/>
      <c r="AB4" s="26"/>
      <c r="AC4" s="26">
        <v>6</v>
      </c>
      <c r="AD4" s="30" t="s">
        <v>199</v>
      </c>
      <c r="AE4" s="40" t="s">
        <v>205</v>
      </c>
      <c r="AF4" s="41" t="s">
        <v>92</v>
      </c>
      <c r="AG4" s="41" t="s">
        <v>202</v>
      </c>
      <c r="AH4" s="41" t="s">
        <v>202</v>
      </c>
      <c r="AI4" s="41" t="s">
        <v>79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197</v>
      </c>
      <c r="G5" s="9">
        <v>-3900</v>
      </c>
      <c r="H5" s="9"/>
      <c r="I5" s="48">
        <v>0</v>
      </c>
      <c r="J5" s="21">
        <f t="shared" ref="J5:J30" si="2">IF(COUNTA($F5,$K5,$P5)&gt;0,J4+SUM(G5:I5),"")</f>
        <v>44100</v>
      </c>
      <c r="K5" s="8"/>
      <c r="L5" s="9"/>
      <c r="M5" s="9"/>
      <c r="N5" s="48"/>
      <c r="O5" s="21">
        <f t="shared" ref="O5:O30" si="3">IF(COUNTA($F5,$K5,$P5)&gt;0,O4+SUM(L5:N5),"")</f>
        <v>23000</v>
      </c>
      <c r="P5" s="8" t="s">
        <v>198</v>
      </c>
      <c r="Q5" s="9">
        <v>3900</v>
      </c>
      <c r="R5" s="9"/>
      <c r="S5" s="48">
        <v>0</v>
      </c>
      <c r="T5" s="21">
        <f t="shared" ref="T5:T30" si="4">IF(COUNTA($F5,$K5,$P5)&gt;0,T4+SUM(Q5:S5),"")</f>
        <v>37900</v>
      </c>
      <c r="U5" s="53">
        <f>IF($J5="","",ROUND(($J5-$J$3)/1000,1)+(_xlfn.RANK.AVG($J5,($J5,$O5,$T5),1)-2)*10)</f>
        <v>19.100000000000001</v>
      </c>
      <c r="V5" s="54">
        <f>IF($O5="","",ROUND(($O5-$O$3)/1000,1)+(_xlfn.RANK.AVG($O5,($J5,$O5,$T5),1)-2)*10)</f>
        <v>-22</v>
      </c>
      <c r="W5" s="55">
        <f>IF($T5="","",ROUND(($T5-$T$3)/1000,1)+(_xlfn.RANK.AVG($T5,($J5,$O5,$T5),1)-2)*10)</f>
        <v>2.9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2</v>
      </c>
      <c r="BT5" s="30">
        <v>40</v>
      </c>
      <c r="BU5" s="40" t="s">
        <v>205</v>
      </c>
      <c r="BV5" s="41" t="s">
        <v>86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197</v>
      </c>
      <c r="G6" s="9">
        <v>-1000</v>
      </c>
      <c r="H6" s="9"/>
      <c r="I6" s="48">
        <v>-1000</v>
      </c>
      <c r="J6" s="21">
        <f t="shared" si="2"/>
        <v>42100</v>
      </c>
      <c r="K6" s="8" t="s">
        <v>198</v>
      </c>
      <c r="L6" s="9">
        <v>1000</v>
      </c>
      <c r="M6" s="9"/>
      <c r="N6" s="48">
        <v>1000</v>
      </c>
      <c r="O6" s="21">
        <f t="shared" si="3"/>
        <v>25000</v>
      </c>
      <c r="P6" s="8"/>
      <c r="Q6" s="9"/>
      <c r="R6" s="9"/>
      <c r="S6" s="48"/>
      <c r="T6" s="21">
        <f t="shared" si="4"/>
        <v>37900</v>
      </c>
      <c r="U6" s="53">
        <f>IF($J6="","",ROUND(($J6-$J$3)/1000,1)+(_xlfn.RANK.AVG($J6,($J6,$O6,$T6),1)-2)*10)</f>
        <v>17.100000000000001</v>
      </c>
      <c r="V6" s="54">
        <f>IF($O6="","",ROUND(($O6-$O$3)/1000,1)+(_xlfn.RANK.AVG($O6,($J6,$O6,$T6),1)-2)*10)</f>
        <v>-20</v>
      </c>
      <c r="W6" s="55">
        <f>IF($T6="","",ROUND(($T6-$T$3)/1000,1)+(_xlfn.RANK.AVG($T6,($J6,$O6,$T6),1)-2)*10)</f>
        <v>2.9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1</v>
      </c>
      <c r="AY6" s="30">
        <v>30</v>
      </c>
      <c r="AZ6" s="40" t="s">
        <v>86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203</v>
      </c>
      <c r="G7" s="9">
        <v>-5000</v>
      </c>
      <c r="H7" s="9"/>
      <c r="I7" s="48">
        <v>0</v>
      </c>
      <c r="J7" s="21">
        <f t="shared" si="2"/>
        <v>37100</v>
      </c>
      <c r="K7" s="8" t="s">
        <v>203</v>
      </c>
      <c r="L7" s="9">
        <v>-3000</v>
      </c>
      <c r="M7" s="9"/>
      <c r="N7" s="48">
        <v>0</v>
      </c>
      <c r="O7" s="21">
        <f t="shared" si="3"/>
        <v>22000</v>
      </c>
      <c r="P7" s="8" t="s">
        <v>204</v>
      </c>
      <c r="Q7" s="9">
        <v>8000</v>
      </c>
      <c r="R7" s="9"/>
      <c r="S7" s="48">
        <v>0</v>
      </c>
      <c r="T7" s="21">
        <f t="shared" si="4"/>
        <v>45900</v>
      </c>
      <c r="U7" s="53">
        <f>IF($J7="","",ROUND(($J7-$J$3)/1000,1)+(_xlfn.RANK.AVG($J7,($J7,$O7,$T7),1)-2)*10)</f>
        <v>2.1</v>
      </c>
      <c r="V7" s="54">
        <f>IF($O7="","",ROUND(($O7-$O$3)/1000,1)+(_xlfn.RANK.AVG($O7,($J7,$O7,$T7),1)-2)*10)</f>
        <v>-23</v>
      </c>
      <c r="W7" s="55">
        <f>IF($T7="","",ROUND(($T7-$T$3)/1000,1)+(_xlfn.RANK.AVG($T7,($J7,$O7,$T7),1)-2)*10)</f>
        <v>20.9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199</v>
      </c>
      <c r="BU7" s="40" t="s">
        <v>205</v>
      </c>
      <c r="BV7" s="41" t="s">
        <v>82</v>
      </c>
      <c r="BW7" s="41" t="s">
        <v>83</v>
      </c>
      <c r="BX7" s="41" t="s">
        <v>84</v>
      </c>
      <c r="BY7" s="41" t="s">
        <v>202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203</v>
      </c>
      <c r="G8" s="9">
        <v>-6000</v>
      </c>
      <c r="H8" s="9">
        <v>-1000</v>
      </c>
      <c r="I8" s="48">
        <v>0</v>
      </c>
      <c r="J8" s="21">
        <f t="shared" si="2"/>
        <v>30100</v>
      </c>
      <c r="K8" s="8" t="s">
        <v>204</v>
      </c>
      <c r="L8" s="9">
        <v>12000</v>
      </c>
      <c r="M8" s="9">
        <v>1000</v>
      </c>
      <c r="N8" s="48">
        <v>0</v>
      </c>
      <c r="O8" s="21">
        <f t="shared" si="3"/>
        <v>35000</v>
      </c>
      <c r="P8" s="8" t="s">
        <v>203</v>
      </c>
      <c r="Q8" s="9">
        <v>-6000</v>
      </c>
      <c r="R8" s="9"/>
      <c r="S8" s="48">
        <v>0</v>
      </c>
      <c r="T8" s="21">
        <f t="shared" si="4"/>
        <v>39900</v>
      </c>
      <c r="U8" s="53">
        <f>IF($J8="","",ROUND(($J8-$J$3)/1000,1)+(_xlfn.RANK.AVG($J8,($J8,$O8,$T8),1)-2)*10)</f>
        <v>-14.9</v>
      </c>
      <c r="V8" s="54">
        <f>IF($O8="","",ROUND(($O8-$O$3)/1000,1)+(_xlfn.RANK.AVG($O8,($J8,$O8,$T8),1)-2)*10)</f>
        <v>0</v>
      </c>
      <c r="W8" s="55">
        <f>IF($T8="","",ROUND(($T8-$T$3)/1000,1)+(_xlfn.RANK.AVG($T8,($J8,$O8,$T8),1)-2)*10)</f>
        <v>14.9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199</v>
      </c>
      <c r="AZ8" s="40" t="s">
        <v>205</v>
      </c>
      <c r="BA8" s="41" t="s">
        <v>82</v>
      </c>
      <c r="BB8" s="41" t="s">
        <v>83</v>
      </c>
      <c r="BC8" s="41" t="s">
        <v>79</v>
      </c>
      <c r="BD8" s="41" t="s">
        <v>80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203</v>
      </c>
      <c r="G9" s="9">
        <v>-2000</v>
      </c>
      <c r="H9" s="9"/>
      <c r="I9" s="48">
        <v>-500</v>
      </c>
      <c r="J9" s="21">
        <f t="shared" si="2"/>
        <v>27600</v>
      </c>
      <c r="K9" s="8" t="s">
        <v>203</v>
      </c>
      <c r="L9" s="9">
        <v>-3300</v>
      </c>
      <c r="M9" s="9"/>
      <c r="N9" s="48">
        <v>-500</v>
      </c>
      <c r="O9" s="21">
        <f t="shared" si="3"/>
        <v>31200</v>
      </c>
      <c r="P9" s="8" t="s">
        <v>204</v>
      </c>
      <c r="Q9" s="9">
        <v>5300</v>
      </c>
      <c r="R9" s="9"/>
      <c r="S9" s="48">
        <v>1000</v>
      </c>
      <c r="T9" s="21">
        <f t="shared" si="4"/>
        <v>46200</v>
      </c>
      <c r="U9" s="53">
        <f>IF($J9="","",ROUND(($J9-$J$3)/1000,1)+(_xlfn.RANK.AVG($J9,($J9,$O9,$T9),1)-2)*10)</f>
        <v>-17.399999999999999</v>
      </c>
      <c r="V9" s="54">
        <f>IF($O9="","",ROUND(($O9-$O$3)/1000,1)+(_xlfn.RANK.AVG($O9,($J9,$O9,$T9),1)-2)*10)</f>
        <v>-3.8</v>
      </c>
      <c r="W9" s="55">
        <f>IF($T9="","",ROUND(($T9-$T$3)/1000,1)+(_xlfn.RANK.AVG($T9,($J9,$O9,$T9),1)-2)*10)</f>
        <v>21.2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20</v>
      </c>
      <c r="BU9" s="40" t="s">
        <v>205</v>
      </c>
      <c r="BV9" s="41" t="s">
        <v>82</v>
      </c>
      <c r="BW9" s="41" t="s">
        <v>84</v>
      </c>
      <c r="BX9" s="41" t="s">
        <v>83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>
        <f t="shared" si="2"/>
        <v>27600</v>
      </c>
      <c r="K10" s="8" t="s">
        <v>197</v>
      </c>
      <c r="L10" s="9">
        <v>-3900</v>
      </c>
      <c r="M10" s="9"/>
      <c r="N10" s="48">
        <v>0</v>
      </c>
      <c r="O10" s="21">
        <f t="shared" si="3"/>
        <v>27300</v>
      </c>
      <c r="P10" s="8" t="s">
        <v>198</v>
      </c>
      <c r="Q10" s="9">
        <v>3900</v>
      </c>
      <c r="R10" s="9"/>
      <c r="S10" s="48">
        <v>0</v>
      </c>
      <c r="T10" s="21">
        <f t="shared" si="4"/>
        <v>50100</v>
      </c>
      <c r="U10" s="53">
        <f>IF($J10="","",ROUND(($J10-$J$3)/1000,1)+(_xlfn.RANK.AVG($J10,($J10,$O10,$T10),1)-2)*10)</f>
        <v>-7.4</v>
      </c>
      <c r="V10" s="54">
        <f>IF($O10="","",ROUND(($O10-$O$3)/1000,1)+(_xlfn.RANK.AVG($O10,($J10,$O10,$T10),1)-2)*10)</f>
        <v>-17.7</v>
      </c>
      <c r="W10" s="55">
        <f>IF($T10="","",ROUND(($T10-$T$3)/1000,1)+(_xlfn.RANK.AVG($T10,($J10,$O10,$T10),1)-2)*10)</f>
        <v>25.1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2</v>
      </c>
      <c r="BT10" s="30">
        <v>40</v>
      </c>
      <c r="BU10" s="40" t="s">
        <v>205</v>
      </c>
      <c r="BV10" s="41" t="s">
        <v>79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195</v>
      </c>
      <c r="F11" s="8" t="s">
        <v>209</v>
      </c>
      <c r="G11" s="9">
        <v>-1500</v>
      </c>
      <c r="H11" s="9"/>
      <c r="I11" s="48"/>
      <c r="J11" s="21">
        <f t="shared" si="2"/>
        <v>26100</v>
      </c>
      <c r="K11" s="8" t="s">
        <v>209</v>
      </c>
      <c r="L11" s="9">
        <v>-1500</v>
      </c>
      <c r="M11" s="9"/>
      <c r="N11" s="48"/>
      <c r="O11" s="21">
        <f t="shared" si="3"/>
        <v>25800</v>
      </c>
      <c r="P11" s="8" t="s">
        <v>209</v>
      </c>
      <c r="Q11" s="9">
        <v>3000</v>
      </c>
      <c r="R11" s="9">
        <v>-1000</v>
      </c>
      <c r="S11" s="48"/>
      <c r="T11" s="21">
        <f t="shared" si="4"/>
        <v>52100</v>
      </c>
      <c r="U11" s="53">
        <f>IF($J11="","",ROUND(($J11-$J$3)/1000,1)+(_xlfn.RANK.AVG($J11,($J11,$O11,$T11),1)-2)*10)</f>
        <v>-8.9</v>
      </c>
      <c r="V11" s="54">
        <f>IF($O11="","",ROUND(($O11-$O$3)/1000,1)+(_xlfn.RANK.AVG($O11,($J11,$O11,$T11),1)-2)*10)</f>
        <v>-19.2</v>
      </c>
      <c r="W11" s="55">
        <f>IF($T11="","",ROUND(($T11-$T$3)/1000,1)+(_xlfn.RANK.AVG($T11,($J11,$O11,$T11),1)-2)*10)</f>
        <v>27.1</v>
      </c>
      <c r="Y11" s="8" t="s">
        <v>207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207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206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1</v>
      </c>
      <c r="E12" s="4" t="s">
        <v>195</v>
      </c>
      <c r="F12" s="8"/>
      <c r="G12" s="9"/>
      <c r="H12" s="9"/>
      <c r="I12" s="48"/>
      <c r="J12" s="21">
        <f t="shared" si="2"/>
        <v>26100</v>
      </c>
      <c r="K12" s="8" t="s">
        <v>197</v>
      </c>
      <c r="L12" s="9">
        <v>-12000</v>
      </c>
      <c r="M12" s="9"/>
      <c r="N12" s="48">
        <v>-2000</v>
      </c>
      <c r="O12" s="21">
        <f t="shared" si="3"/>
        <v>11800</v>
      </c>
      <c r="P12" s="8" t="s">
        <v>198</v>
      </c>
      <c r="Q12" s="9">
        <v>12000</v>
      </c>
      <c r="R12" s="9">
        <v>1000</v>
      </c>
      <c r="S12" s="48">
        <v>2000</v>
      </c>
      <c r="T12" s="21">
        <f t="shared" si="4"/>
        <v>67100</v>
      </c>
      <c r="U12" s="53">
        <f>IF($J12="","",ROUND(($J12-$J$3)/1000,1)+(_xlfn.RANK.AVG($J12,($J12,$O12,$T12),1)-2)*10)</f>
        <v>-8.9</v>
      </c>
      <c r="V12" s="54">
        <f>IF($O12="","",ROUND(($O12-$O$3)/1000,1)+(_xlfn.RANK.AVG($O12,($J12,$O12,$T12),1)-2)*10)</f>
        <v>-33.200000000000003</v>
      </c>
      <c r="W12" s="55">
        <f>IF($T12="","",ROUND(($T12-$T$3)/1000,1)+(_xlfn.RANK.AVG($T12,($J12,$O12,$T12),1)-2)*10)</f>
        <v>42.1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5</v>
      </c>
      <c r="BT12" s="30" t="s">
        <v>199</v>
      </c>
      <c r="BU12" s="40" t="s">
        <v>104</v>
      </c>
      <c r="BV12" s="41" t="s">
        <v>86</v>
      </c>
      <c r="BW12" s="41" t="s">
        <v>86</v>
      </c>
      <c r="BX12" s="41" t="s">
        <v>79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3</v>
      </c>
      <c r="D13" s="18">
        <f t="shared" si="1"/>
        <v>0</v>
      </c>
      <c r="E13" s="4" t="s">
        <v>195</v>
      </c>
      <c r="F13" s="8" t="s">
        <v>203</v>
      </c>
      <c r="G13" s="9">
        <v>-12000</v>
      </c>
      <c r="H13" s="9"/>
      <c r="I13" s="48">
        <v>-1500</v>
      </c>
      <c r="J13" s="21">
        <f t="shared" si="2"/>
        <v>12600</v>
      </c>
      <c r="K13" s="8" t="s">
        <v>203</v>
      </c>
      <c r="L13" s="9">
        <v>-12000</v>
      </c>
      <c r="M13" s="9"/>
      <c r="N13" s="48">
        <v>-1500</v>
      </c>
      <c r="O13" s="21">
        <f t="shared" si="3"/>
        <v>-1700</v>
      </c>
      <c r="P13" s="8" t="s">
        <v>204</v>
      </c>
      <c r="Q13" s="9">
        <v>24000</v>
      </c>
      <c r="R13" s="9"/>
      <c r="S13" s="48">
        <v>3000</v>
      </c>
      <c r="T13" s="21">
        <f t="shared" si="4"/>
        <v>94100</v>
      </c>
      <c r="U13" s="53">
        <f>IF($J13="","",ROUND(($J13-$J$3)/1000,1)+(_xlfn.RANK.AVG($J13,($J13,$O13,$T13),1)-2)*10)</f>
        <v>-22.4</v>
      </c>
      <c r="V13" s="54">
        <f>IF($O13="","",ROUND(($O13-$O$3)/1000,1)+(_xlfn.RANK.AVG($O13,($J13,$O13,$T13),1)-2)*10)</f>
        <v>-46.7</v>
      </c>
      <c r="W13" s="55">
        <f>IF($T13="","",ROUND(($T13-$T$3)/1000,1)+(_xlfn.RANK.AVG($T13,($J13,$O13,$T13),1)-2)*10)</f>
        <v>69.099999999999994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9</v>
      </c>
      <c r="BT13" s="30" t="s">
        <v>199</v>
      </c>
      <c r="BU13" s="40" t="s">
        <v>205</v>
      </c>
      <c r="BV13" s="41" t="s">
        <v>82</v>
      </c>
      <c r="BW13" s="41" t="s">
        <v>202</v>
      </c>
      <c r="BX13" s="41" t="s">
        <v>202</v>
      </c>
      <c r="BY13" s="41" t="s">
        <v>79</v>
      </c>
      <c r="BZ13" s="41" t="s">
        <v>79</v>
      </c>
      <c r="CA13" s="41" t="s">
        <v>80</v>
      </c>
      <c r="CB13" s="41" t="s">
        <v>80</v>
      </c>
      <c r="CC13" s="41" t="s">
        <v>80</v>
      </c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6529E852-7716-4A0A-9441-BB06C2EB3454}">
      <formula1>"たかの,だいち,ただ,りくと,れんたろう,まっつん,のり,ぱぱ,ほたに,いっしー,"</formula1>
    </dataValidation>
    <dataValidation type="list" showInputMessage="1" showErrorMessage="1" sqref="K4:K30 P4:P30 F4:F30" xr:uid="{9CB44BEF-A4AF-41B3-AD84-DF3F25579EF4}">
      <formula1>"ロン,ツモ,放銃,ツモ支払,流局,チョンボ"</formula1>
    </dataValidation>
    <dataValidation type="list" allowBlank="1" showInputMessage="1" showErrorMessage="1" sqref="E4:E30" xr:uid="{7E46DE95-970D-424F-A14E-6B285997F51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83EB7-54BA-4F92-A24C-EE5F3CDCFE7C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210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りくと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40</v>
      </c>
      <c r="BU4" s="40" t="s">
        <v>205</v>
      </c>
      <c r="BV4" s="41" t="s">
        <v>79</v>
      </c>
      <c r="BW4" s="41" t="s">
        <v>86</v>
      </c>
      <c r="BX4" s="41" t="s">
        <v>80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209</v>
      </c>
      <c r="G5" s="9">
        <v>3000</v>
      </c>
      <c r="H5" s="9"/>
      <c r="I5" s="48"/>
      <c r="J5" s="21">
        <f t="shared" ref="J5:J30" si="2">IF(COUNTA($F5,$K5,$P5)&gt;0,J4+SUM(G5:I5),"")</f>
        <v>30000</v>
      </c>
      <c r="K5" s="8" t="s">
        <v>209</v>
      </c>
      <c r="L5" s="9">
        <v>-1500</v>
      </c>
      <c r="M5" s="9"/>
      <c r="N5" s="48"/>
      <c r="O5" s="21">
        <f t="shared" ref="O5:O30" si="3">IF(COUNTA($F5,$K5,$P5)&gt;0,O4+SUM(L5:N5),"")</f>
        <v>33500</v>
      </c>
      <c r="P5" s="8" t="s">
        <v>209</v>
      </c>
      <c r="Q5" s="9">
        <v>-1500</v>
      </c>
      <c r="R5" s="9"/>
      <c r="S5" s="48"/>
      <c r="T5" s="21">
        <f t="shared" ref="T5:T30" si="4">IF(COUNTA($F5,$K5,$P5)&gt;0,T4+SUM(Q5:S5),"")</f>
        <v>41500</v>
      </c>
      <c r="U5" s="53">
        <f>IF($J5="","",ROUND(($J5-$J$3)/1000,1)+(_xlfn.RANK.AVG($J5,($J5,$O5,$T5),1)-2)*10)</f>
        <v>-15</v>
      </c>
      <c r="V5" s="54">
        <f>IF($O5="","",ROUND(($O5-$O$3)/1000,1)+(_xlfn.RANK.AVG($O5,($J5,$O5,$T5),1)-2)*10)</f>
        <v>-1.5</v>
      </c>
      <c r="W5" s="55">
        <f>IF($T5="","",ROUND(($T5-$T$3)/1000,1)+(_xlfn.RANK.AVG($T5,($J5,$O5,$T5),1)-2)*10)</f>
        <v>16.5</v>
      </c>
      <c r="Y5" s="8" t="s">
        <v>206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207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210</v>
      </c>
      <c r="F6" s="8" t="s">
        <v>204</v>
      </c>
      <c r="G6" s="9">
        <v>2100</v>
      </c>
      <c r="H6" s="9">
        <v>1000</v>
      </c>
      <c r="I6" s="48">
        <v>1000</v>
      </c>
      <c r="J6" s="21">
        <f t="shared" si="2"/>
        <v>34100</v>
      </c>
      <c r="K6" s="8" t="s">
        <v>203</v>
      </c>
      <c r="L6" s="9">
        <v>-800</v>
      </c>
      <c r="M6" s="9"/>
      <c r="N6" s="48">
        <v>-500</v>
      </c>
      <c r="O6" s="21">
        <f t="shared" si="3"/>
        <v>32200</v>
      </c>
      <c r="P6" s="8" t="s">
        <v>203</v>
      </c>
      <c r="Q6" s="9">
        <v>-1300</v>
      </c>
      <c r="R6" s="9">
        <v>-1000</v>
      </c>
      <c r="S6" s="48">
        <v>-500</v>
      </c>
      <c r="T6" s="21">
        <f t="shared" si="4"/>
        <v>38700</v>
      </c>
      <c r="U6" s="53">
        <f>IF($J6="","",ROUND(($J6-$J$3)/1000,1)+(_xlfn.RANK.AVG($J6,($J6,$O6,$T6),1)-2)*10)</f>
        <v>-0.9</v>
      </c>
      <c r="V6" s="54">
        <f>IF($O6="","",ROUND(($O6-$O$3)/1000,1)+(_xlfn.RANK.AVG($O6,($J6,$O6,$T6),1)-2)*10)</f>
        <v>-12.8</v>
      </c>
      <c r="W6" s="55">
        <f>IF($T6="","",ROUND(($T6-$T$3)/1000,1)+(_xlfn.RANK.AVG($T6,($J6,$O6,$T6),1)-2)*10)</f>
        <v>13.7</v>
      </c>
      <c r="Y6" s="8"/>
      <c r="Z6" s="34"/>
      <c r="AA6" s="26">
        <v>1</v>
      </c>
      <c r="AB6" s="26"/>
      <c r="AC6" s="26">
        <v>2</v>
      </c>
      <c r="AD6" s="30">
        <v>30</v>
      </c>
      <c r="AE6" s="40" t="s">
        <v>205</v>
      </c>
      <c r="AF6" s="41" t="s">
        <v>82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203</v>
      </c>
      <c r="G7" s="9">
        <v>-7500</v>
      </c>
      <c r="H7" s="9">
        <v>-1000</v>
      </c>
      <c r="I7" s="48">
        <v>0</v>
      </c>
      <c r="J7" s="21">
        <f t="shared" si="2"/>
        <v>25600</v>
      </c>
      <c r="K7" s="8" t="s">
        <v>204</v>
      </c>
      <c r="L7" s="9">
        <v>12000</v>
      </c>
      <c r="M7" s="9">
        <v>1000</v>
      </c>
      <c r="N7" s="48">
        <v>0</v>
      </c>
      <c r="O7" s="21">
        <f t="shared" si="3"/>
        <v>45200</v>
      </c>
      <c r="P7" s="8" t="s">
        <v>203</v>
      </c>
      <c r="Q7" s="9">
        <v>-4500</v>
      </c>
      <c r="R7" s="9"/>
      <c r="S7" s="48">
        <v>0</v>
      </c>
      <c r="T7" s="21">
        <f t="shared" si="4"/>
        <v>34200</v>
      </c>
      <c r="U7" s="53">
        <f>IF($J7="","",ROUND(($J7-$J$3)/1000,1)+(_xlfn.RANK.AVG($J7,($J7,$O7,$T7),1)-2)*10)</f>
        <v>-19.399999999999999</v>
      </c>
      <c r="V7" s="54">
        <f>IF($O7="","",ROUND(($O7-$O$3)/1000,1)+(_xlfn.RANK.AVG($O7,($J7,$O7,$T7),1)-2)*10)</f>
        <v>20.2</v>
      </c>
      <c r="W7" s="55">
        <f>IF($T7="","",ROUND(($T7-$T$3)/1000,1)+(_xlfn.RANK.AVG($T7,($J7,$O7,$T7),1)-2)*10)</f>
        <v>-0.8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199</v>
      </c>
      <c r="AZ7" s="40" t="s">
        <v>205</v>
      </c>
      <c r="BA7" s="41" t="s">
        <v>82</v>
      </c>
      <c r="BB7" s="41" t="s">
        <v>83</v>
      </c>
      <c r="BC7" s="41" t="s">
        <v>84</v>
      </c>
      <c r="BD7" s="41" t="s">
        <v>202</v>
      </c>
      <c r="BE7" s="41" t="s">
        <v>80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198</v>
      </c>
      <c r="G8" s="9">
        <v>2600</v>
      </c>
      <c r="H8" s="9"/>
      <c r="I8" s="48">
        <v>0</v>
      </c>
      <c r="J8" s="21">
        <f t="shared" si="2"/>
        <v>28200</v>
      </c>
      <c r="K8" s="8" t="s">
        <v>197</v>
      </c>
      <c r="L8" s="9">
        <v>-2600</v>
      </c>
      <c r="M8" s="9"/>
      <c r="N8" s="48">
        <v>0</v>
      </c>
      <c r="O8" s="21">
        <f t="shared" si="3"/>
        <v>42600</v>
      </c>
      <c r="P8" s="8"/>
      <c r="Q8" s="9"/>
      <c r="R8" s="9"/>
      <c r="S8" s="48"/>
      <c r="T8" s="21">
        <f t="shared" si="4"/>
        <v>34200</v>
      </c>
      <c r="U8" s="53">
        <f>IF($J8="","",ROUND(($J8-$J$3)/1000,1)+(_xlfn.RANK.AVG($J8,($J8,$O8,$T8),1)-2)*10)</f>
        <v>-16.8</v>
      </c>
      <c r="V8" s="54">
        <f>IF($O8="","",ROUND(($O8-$O$3)/1000,1)+(_xlfn.RANK.AVG($O8,($J8,$O8,$T8),1)-2)*10)</f>
        <v>17.600000000000001</v>
      </c>
      <c r="W8" s="55">
        <f>IF($T8="","",ROUND(($T8-$T$3)/1000,1)+(_xlfn.RANK.AVG($T8,($J8,$O8,$T8),1)-2)*10)</f>
        <v>-0.8</v>
      </c>
      <c r="Y8" s="8"/>
      <c r="Z8" s="34"/>
      <c r="AA8" s="26"/>
      <c r="AB8" s="26">
        <v>1</v>
      </c>
      <c r="AC8" s="26">
        <v>2</v>
      </c>
      <c r="AD8" s="30">
        <v>40</v>
      </c>
      <c r="AE8" s="40" t="s">
        <v>86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210</v>
      </c>
      <c r="F9" s="8" t="s">
        <v>204</v>
      </c>
      <c r="G9" s="9">
        <v>12000</v>
      </c>
      <c r="H9" s="9"/>
      <c r="I9" s="48">
        <v>0</v>
      </c>
      <c r="J9" s="21">
        <f t="shared" si="2"/>
        <v>40200</v>
      </c>
      <c r="K9" s="8" t="s">
        <v>203</v>
      </c>
      <c r="L9" s="9">
        <v>-4500</v>
      </c>
      <c r="M9" s="9"/>
      <c r="N9" s="48">
        <v>0</v>
      </c>
      <c r="O9" s="21">
        <f t="shared" si="3"/>
        <v>38100</v>
      </c>
      <c r="P9" s="8" t="s">
        <v>203</v>
      </c>
      <c r="Q9" s="9">
        <v>-7500</v>
      </c>
      <c r="R9" s="9"/>
      <c r="S9" s="48">
        <v>0</v>
      </c>
      <c r="T9" s="21">
        <f t="shared" si="4"/>
        <v>26700</v>
      </c>
      <c r="U9" s="53">
        <f>IF($J9="","",ROUND(($J9-$J$3)/1000,1)+(_xlfn.RANK.AVG($J9,($J9,$O9,$T9),1)-2)*10)</f>
        <v>15.2</v>
      </c>
      <c r="V9" s="54">
        <f>IF($O9="","",ROUND(($O9-$O$3)/1000,1)+(_xlfn.RANK.AVG($O9,($J9,$O9,$T9),1)-2)*10)</f>
        <v>3.1</v>
      </c>
      <c r="W9" s="55">
        <f>IF($T9="","",ROUND(($T9-$T$3)/1000,1)+(_xlfn.RANK.AVG($T9,($J9,$O9,$T9),1)-2)*10)</f>
        <v>-18.3</v>
      </c>
      <c r="Y9" s="8"/>
      <c r="Z9" s="34"/>
      <c r="AA9" s="26">
        <v>1</v>
      </c>
      <c r="AB9" s="26"/>
      <c r="AC9" s="26">
        <v>6</v>
      </c>
      <c r="AD9" s="30" t="s">
        <v>199</v>
      </c>
      <c r="AE9" s="40" t="s">
        <v>200</v>
      </c>
      <c r="AF9" s="41" t="s">
        <v>82</v>
      </c>
      <c r="AG9" s="41" t="s">
        <v>83</v>
      </c>
      <c r="AH9" s="41" t="s">
        <v>201</v>
      </c>
      <c r="AI9" s="41" t="s">
        <v>80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西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50944B88-4FD7-400F-B60B-507E4E13A965}">
      <formula1>$U$2:$W$2</formula1>
    </dataValidation>
    <dataValidation type="list" showInputMessage="1" showErrorMessage="1" sqref="K4:K30 P4:P30 F4:F30" xr:uid="{487B3254-B3C2-481E-8F2C-8B3542B61D18}">
      <formula1>"ロン,ツモ,放銃,ツモ支払,流局,チョンボ"</formula1>
    </dataValidation>
    <dataValidation type="list" allowBlank="1" showInputMessage="1" sqref="F1:T1" xr:uid="{3420D97C-A4FE-46B9-B848-CDDC60116EC1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2019-10-24T15:59:10Z</dcterms:modified>
</cp:coreProperties>
</file>