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3FDBF4C0-6A21-4C1B-B4A9-E0C26B740D56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1" i="20"/>
  <c r="D12" i="20" s="1"/>
  <c r="D10" i="20"/>
  <c r="D9" i="20"/>
  <c r="C9" i="20"/>
  <c r="C10" i="20" s="1"/>
  <c r="C11" i="20" s="1"/>
  <c r="C12" i="20" s="1"/>
  <c r="D8" i="20"/>
  <c r="C8" i="20"/>
  <c r="D7" i="20"/>
  <c r="C7" i="20"/>
  <c r="B7" i="20"/>
  <c r="B8" i="20" s="1"/>
  <c r="D6" i="20"/>
  <c r="C6" i="20"/>
  <c r="B6" i="20"/>
  <c r="T5" i="20"/>
  <c r="O5" i="20"/>
  <c r="O6" i="20" s="1"/>
  <c r="D5" i="20"/>
  <c r="C5" i="20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7" i="20" l="1"/>
  <c r="A6" i="20"/>
  <c r="W5" i="20"/>
  <c r="W4" i="20"/>
  <c r="V4" i="20"/>
  <c r="U4" i="20"/>
  <c r="B9" i="20"/>
  <c r="J6" i="20"/>
  <c r="V6" i="20" s="1"/>
  <c r="U5" i="20"/>
  <c r="O7" i="20"/>
  <c r="A8" i="20"/>
  <c r="A9" i="20" s="1"/>
  <c r="V5" i="20"/>
  <c r="T6" i="20"/>
  <c r="W3" i="19"/>
  <c r="V3" i="19"/>
  <c r="U3" i="19"/>
  <c r="B10" i="20" l="1"/>
  <c r="A10" i="20" s="1"/>
  <c r="O8" i="20"/>
  <c r="U6" i="20"/>
  <c r="J7" i="20"/>
  <c r="V7" i="20" s="1"/>
  <c r="T7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W9" i="19" s="1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0" l="1"/>
  <c r="T8" i="20"/>
  <c r="U7" i="20"/>
  <c r="J8" i="20"/>
  <c r="O9" i="20"/>
  <c r="B11" i="20"/>
  <c r="A11" i="20" s="1"/>
  <c r="W13" i="19"/>
  <c r="V13" i="19"/>
  <c r="V12" i="19"/>
  <c r="W12" i="19"/>
  <c r="U12" i="19"/>
  <c r="U11" i="19"/>
  <c r="W11" i="19"/>
  <c r="U10" i="19"/>
  <c r="W10" i="19"/>
  <c r="V10" i="19"/>
  <c r="V9" i="19"/>
  <c r="V8" i="19"/>
  <c r="W8" i="19"/>
  <c r="U7" i="19"/>
  <c r="W7" i="19"/>
  <c r="W6" i="19"/>
  <c r="U6" i="19"/>
  <c r="V6" i="19"/>
  <c r="U4" i="19"/>
  <c r="V4" i="19"/>
  <c r="T5" i="19"/>
  <c r="W4" i="19"/>
  <c r="J5" i="19"/>
  <c r="U5" i="19" s="1"/>
  <c r="O5" i="19"/>
  <c r="V5" i="19" s="1"/>
  <c r="W8" i="20" l="1"/>
  <c r="T9" i="20"/>
  <c r="V9" i="20" s="1"/>
  <c r="B12" i="20"/>
  <c r="V8" i="20"/>
  <c r="O10" i="20"/>
  <c r="J9" i="20"/>
  <c r="U8" i="20"/>
  <c r="W5" i="19"/>
  <c r="B13" i="20" l="1"/>
  <c r="A13" i="20"/>
  <c r="U9" i="20"/>
  <c r="J10" i="20"/>
  <c r="O11" i="20"/>
  <c r="A12" i="20"/>
  <c r="W9" i="20"/>
  <c r="T10" i="20"/>
  <c r="W10" i="20" l="1"/>
  <c r="T11" i="20"/>
  <c r="O12" i="20"/>
  <c r="V10" i="20"/>
  <c r="U10" i="20"/>
  <c r="J11" i="20"/>
  <c r="O13" i="20" l="1"/>
  <c r="V12" i="20"/>
  <c r="W11" i="20"/>
  <c r="T12" i="20"/>
  <c r="J12" i="20"/>
  <c r="U11" i="20"/>
  <c r="V11" i="20"/>
  <c r="J13" i="20" l="1"/>
  <c r="U13" i="20" s="1"/>
  <c r="U12" i="20"/>
  <c r="W12" i="20"/>
  <c r="T13" i="20"/>
  <c r="V13" i="20"/>
  <c r="W13" i="20" l="1"/>
</calcChain>
</file>

<file path=xl/sharedStrings.xml><?xml version="1.0" encoding="utf-8"?>
<sst xmlns="http://schemas.openxmlformats.org/spreadsheetml/2006/main" count="674" uniqueCount="208">
  <si>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</si>
  <si>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</si>
  <si>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</si>
  <si>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</si>
  <si>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</si>
  <si>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</si>
  <si>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</si>
  <si>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</si>
  <si>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</si>
  <si>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</si>
  <si>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</si>
  <si>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</si>
  <si>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</si>
  <si>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</si>
  <si>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</si>
  <si>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</si>
  <si>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</si>
  <si>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</si>
  <si>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</si>
  <si>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</si>
  <si>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</si>
  <si>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</si>
  <si>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</si>
  <si>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</si>
  <si>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</si>
  <si>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</si>
  <si>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</si>
  <si>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</si>
  <si>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</si>
  <si>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</si>
  <si>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</si>
  <si>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</si>
  <si>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</si>
  <si>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</si>
  <si>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</si>
  <si>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</si>
  <si>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</si>
  <si>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</si>
  <si>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</si>
  <si>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</si>
  <si>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</si>
  <si>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</si>
  <si>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</si>
  <si>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</si>
  <si>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</si>
  <si>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</si>
  <si>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</si>
  <si>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</si>
  <si>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</si>
  <si>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</si>
  <si>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</si>
  <si>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</si>
  <si>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</si>
  <si>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</si>
  <si>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</si>
  <si>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</si>
  <si>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</si>
  <si>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</si>
  <si>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</si>
  <si>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</si>
  <si>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</si>
  <si>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</si>
  <si>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</si>
  <si>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</si>
  <si>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</si>
  <si>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</si>
  <si>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</si>
  <si>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</si>
  <si>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</si>
  <si>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</si>
  <si>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</si>
  <si>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</si>
  <si>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</si>
  <si>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</si>
  <si>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</si>
  <si>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</si>
  <si>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</si>
  <si>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</si>
  <si>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</si>
  <si>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</si>
  <si>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</si>
  <si>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</si>
  <si>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</si>
  <si>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</si>
  <si>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</si>
  <si>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</si>
  <si>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</si>
  <si>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</si>
  <si>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</si>
  <si>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</si>
  <si>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</si>
  <si>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</si>
  <si>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</si>
  <si>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</si>
  <si>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</si>
  <si>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</si>
  <si>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</si>
  <si>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</si>
  <si>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</si>
  <si>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</si>
  <si>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</si>
  <si>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</si>
  <si>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</si>
  <si>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</si>
  <si>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</si>
  <si>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</si>
  <si>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</si>
  <si>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</si>
  <si>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</si>
  <si>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</si>
  <si>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</si>
  <si>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</si>
  <si>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</si>
  <si>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</si>
  <si>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</si>
  <si>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</si>
  <si>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</si>
  <si>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</si>
  <si>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</si>
  <si>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</si>
  <si>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</si>
  <si>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</si>
  <si>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</si>
  <si>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</si>
  <si>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</si>
  <si>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</si>
  <si>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</si>
  <si>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</si>
  <si>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</si>
  <si>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</si>
  <si>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</si>
  <si>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</si>
  <si>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</si>
  <si>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</si>
  <si>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</si>
  <si>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</si>
  <si>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</si>
  <si>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</si>
  <si>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</si>
  <si>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</si>
  <si>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</si>
  <si>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</si>
  <si>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</si>
  <si>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</si>
  <si>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</si>
  <si>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</si>
  <si>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</si>
  <si>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</si>
  <si>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</si>
  <si>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</si>
  <si>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</si>
  <si>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</si>
  <si>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</si>
  <si>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</si>
  <si>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</si>
  <si>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</si>
  <si>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</si>
  <si>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</si>
  <si>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</si>
  <si>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</si>
  <si>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</si>
  <si>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</si>
  <si>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</si>
  <si>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</si>
  <si>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</si>
  <si>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</si>
  <si>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</si>
  <si>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</si>
  <si>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</si>
  <si>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</si>
  <si>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</si>
  <si>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</si>
  <si>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</si>
  <si>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</si>
  <si>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</si>
  <si>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</si>
  <si>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</si>
  <si>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</si>
  <si>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</si>
  <si>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</si>
  <si>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</si>
  <si>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</si>
  <si>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</si>
  <si>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</si>
  <si>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</si>
  <si>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</si>
  <si>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</si>
  <si>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</si>
  <si>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</si>
  <si>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</si>
  <si>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</si>
  <si>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</si>
  <si>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</si>
  <si>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たかの</t>
  </si>
  <si>
    <t>たかの</t>
    <phoneticPr fontId="1"/>
  </si>
  <si>
    <t>だいち</t>
  </si>
  <si>
    <t>だいち</t>
    <phoneticPr fontId="1"/>
  </si>
  <si>
    <t>N</t>
  </si>
  <si>
    <t>T</t>
  </si>
  <si>
    <t>流局</t>
    <phoneticPr fontId="1"/>
  </si>
  <si>
    <t>ロン</t>
  </si>
  <si>
    <t>放銃</t>
  </si>
  <si>
    <t>*</t>
  </si>
  <si>
    <t>52</t>
  </si>
  <si>
    <t>01</t>
  </si>
  <si>
    <t>ツモ支払</t>
  </si>
  <si>
    <t>ツモ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</si>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</sst>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200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47500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201</v>
      </c>
      <c r="Q5" s="9">
        <v>-12000</v>
      </c>
      <c r="R5" s="9"/>
      <c r="S5" s="48">
        <v>-1000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22.5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>
        <v>6</v>
      </c>
      <c r="AD5" s="30" t="s">
        <v>202</v>
      </c>
      <c r="AE5" s="40" t="s">
        <v>106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5800</v>
      </c>
      <c r="H6" s="9"/>
      <c r="I6" s="48">
        <v>0</v>
      </c>
      <c r="J6" s="21">
        <f t="shared" si="2"/>
        <v>53300</v>
      </c>
      <c r="K6" s="8"/>
      <c r="L6" s="9"/>
      <c r="M6" s="9"/>
      <c r="N6" s="48"/>
      <c r="O6" s="21">
        <f t="shared" si="3"/>
        <v>33500</v>
      </c>
      <c r="P6" s="8" t="s">
        <v>201</v>
      </c>
      <c r="Q6" s="9">
        <v>-5800</v>
      </c>
      <c r="R6" s="9"/>
      <c r="S6" s="48">
        <v>0</v>
      </c>
      <c r="T6" s="21">
        <f t="shared" si="4"/>
        <v>18200</v>
      </c>
      <c r="U6" s="53">
        <f>IF($J6="","",ROUND(($J6-$J$3)/1000,1)+(_xlfn.RANK.AVG($J6,($J6,$O6,$T6),1)-2)*10)</f>
        <v>28.3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-26.8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203</v>
      </c>
      <c r="AG6" s="41" t="s">
        <v>203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201</v>
      </c>
      <c r="G7" s="9">
        <v>-8000</v>
      </c>
      <c r="H7" s="9">
        <v>-1000</v>
      </c>
      <c r="I7" s="48">
        <v>-1000</v>
      </c>
      <c r="J7" s="21">
        <f t="shared" si="2"/>
        <v>43300</v>
      </c>
      <c r="K7" s="8" t="s">
        <v>200</v>
      </c>
      <c r="L7" s="9">
        <v>8000</v>
      </c>
      <c r="M7" s="9">
        <v>1000</v>
      </c>
      <c r="N7" s="48">
        <v>1000</v>
      </c>
      <c r="O7" s="21">
        <f t="shared" si="3"/>
        <v>43500</v>
      </c>
      <c r="P7" s="8"/>
      <c r="Q7" s="9"/>
      <c r="R7" s="9"/>
      <c r="S7" s="48"/>
      <c r="T7" s="21">
        <f t="shared" si="4"/>
        <v>18200</v>
      </c>
      <c r="U7" s="53">
        <f>IF($J7="","",ROUND(($J7-$J$3)/1000,1)+(_xlfn.RANK.AVG($J7,($J7,$O7,$T7),1)-2)*10)</f>
        <v>8.3000000000000007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-26.8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204</v>
      </c>
      <c r="BA7" s="41" t="s">
        <v>79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1000</v>
      </c>
      <c r="H8" s="9"/>
      <c r="I8" s="48">
        <v>0</v>
      </c>
      <c r="J8" s="21">
        <f t="shared" si="2"/>
        <v>44300</v>
      </c>
      <c r="K8" s="8"/>
      <c r="L8" s="9"/>
      <c r="M8" s="9"/>
      <c r="N8" s="48"/>
      <c r="O8" s="21">
        <f t="shared" si="3"/>
        <v>43500</v>
      </c>
      <c r="P8" s="8" t="s">
        <v>201</v>
      </c>
      <c r="Q8" s="9">
        <v>-1000</v>
      </c>
      <c r="R8" s="9"/>
      <c r="S8" s="48">
        <v>0</v>
      </c>
      <c r="T8" s="21">
        <f t="shared" si="4"/>
        <v>17200</v>
      </c>
      <c r="U8" s="53">
        <f>IF($J8="","",ROUND(($J8-$J$3)/1000,1)+(_xlfn.RANK.AVG($J8,($J8,$O8,$T8),1)-2)*10)</f>
        <v>19.3</v>
      </c>
      <c r="V8" s="54">
        <f>IF($O8="","",ROUND(($O8-$O$3)/1000,1)+(_xlfn.RANK.AVG($O8,($J8,$O8,$T8),1)-2)*10)</f>
        <v>8.5</v>
      </c>
      <c r="W8" s="55">
        <f>IF($T8="","",ROUND(($T8-$T$3)/1000,1)+(_xlfn.RANK.AVG($T8,($J8,$O8,$T8),1)-2)*10)</f>
        <v>-27.8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199</v>
      </c>
      <c r="G9" s="9">
        <v>-1500</v>
      </c>
      <c r="H9" s="9"/>
      <c r="I9" s="48"/>
      <c r="J9" s="21">
        <f t="shared" si="2"/>
        <v>42800</v>
      </c>
      <c r="K9" s="8" t="s">
        <v>199</v>
      </c>
      <c r="L9" s="9">
        <v>-1500</v>
      </c>
      <c r="M9" s="9"/>
      <c r="N9" s="48"/>
      <c r="O9" s="21">
        <f t="shared" si="3"/>
        <v>42000</v>
      </c>
      <c r="P9" s="8" t="s">
        <v>199</v>
      </c>
      <c r="Q9" s="9">
        <v>3000</v>
      </c>
      <c r="R9" s="9"/>
      <c r="S9" s="48"/>
      <c r="T9" s="21">
        <f t="shared" si="4"/>
        <v>20200</v>
      </c>
      <c r="U9" s="53">
        <f>IF($J9="","",ROUND(($J9-$J$3)/1000,1)+(_xlfn.RANK.AVG($J9,($J9,$O9,$T9),1)-2)*10)</f>
        <v>17.8</v>
      </c>
      <c r="V9" s="54">
        <f>IF($O9="","",ROUND(($O9-$O$3)/1000,1)+(_xlfn.RANK.AVG($O9,($J9,$O9,$T9),1)-2)*10)</f>
        <v>7</v>
      </c>
      <c r="W9" s="55">
        <f>IF($T9="","",ROUND(($T9-$T$3)/1000,1)+(_xlfn.RANK.AVG($T9,($J9,$O9,$T9),1)-2)*10)</f>
        <v>-24.8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205</v>
      </c>
      <c r="G10" s="9">
        <v>-6000</v>
      </c>
      <c r="H10" s="9"/>
      <c r="I10" s="48">
        <v>-500</v>
      </c>
      <c r="J10" s="21">
        <f t="shared" si="2"/>
        <v>36300</v>
      </c>
      <c r="K10" s="8" t="s">
        <v>205</v>
      </c>
      <c r="L10" s="9">
        <v>-6000</v>
      </c>
      <c r="M10" s="9"/>
      <c r="N10" s="48">
        <v>-500</v>
      </c>
      <c r="O10" s="21">
        <f t="shared" si="3"/>
        <v>35500</v>
      </c>
      <c r="P10" s="8" t="s">
        <v>206</v>
      </c>
      <c r="Q10" s="9">
        <v>12000</v>
      </c>
      <c r="R10" s="9"/>
      <c r="S10" s="48">
        <v>1000</v>
      </c>
      <c r="T10" s="21">
        <f t="shared" si="4"/>
        <v>33200</v>
      </c>
      <c r="U10" s="53">
        <f>IF($J10="","",ROUND(($J10-$J$3)/1000,1)+(_xlfn.RANK.AVG($J10,($J10,$O10,$T10),1)-2)*10)</f>
        <v>11.3</v>
      </c>
      <c r="V10" s="54">
        <f>IF($O10="","",ROUND(($O10-$O$3)/1000,1)+(_xlfn.RANK.AVG($O10,($J10,$O10,$T10),1)-2)*10)</f>
        <v>0.5</v>
      </c>
      <c r="W10" s="55">
        <f>IF($T10="","",ROUND(($T10-$T$3)/1000,1)+(_xlfn.RANK.AVG($T10,($J10,$O10,$T10),1)-2)*10)</f>
        <v>-11.8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202</v>
      </c>
      <c r="BU10" s="40" t="s">
        <v>204</v>
      </c>
      <c r="BV10" s="41" t="s">
        <v>82</v>
      </c>
      <c r="BW10" s="41" t="s">
        <v>86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195</v>
      </c>
      <c r="F11" s="8" t="s">
        <v>199</v>
      </c>
      <c r="G11" s="9">
        <v>-3000</v>
      </c>
      <c r="H11" s="9"/>
      <c r="I11" s="48"/>
      <c r="J11" s="21">
        <f t="shared" si="2"/>
        <v>33300</v>
      </c>
      <c r="K11" s="8" t="s">
        <v>199</v>
      </c>
      <c r="L11" s="9">
        <v>1500</v>
      </c>
      <c r="M11" s="9"/>
      <c r="N11" s="48"/>
      <c r="O11" s="21">
        <f t="shared" si="3"/>
        <v>37000</v>
      </c>
      <c r="P11" s="8" t="s">
        <v>199</v>
      </c>
      <c r="Q11" s="9">
        <v>1500</v>
      </c>
      <c r="R11" s="9"/>
      <c r="S11" s="48"/>
      <c r="T11" s="21">
        <f t="shared" si="4"/>
        <v>34700</v>
      </c>
      <c r="U11" s="53">
        <f>IF($J11="","",ROUND(($J11-$J$3)/1000,1)+(_xlfn.RANK.AVG($J11,($J11,$O11,$T11),1)-2)*10)</f>
        <v>-11.7</v>
      </c>
      <c r="V11" s="54">
        <f>IF($O11="","",ROUND(($O11-$O$3)/1000,1)+(_xlfn.RANK.AVG($O11,($J11,$O11,$T11),1)-2)*10)</f>
        <v>12</v>
      </c>
      <c r="W11" s="55">
        <f>IF($T11="","",ROUND(($T11-$T$3)/1000,1)+(_xlfn.RANK.AVG($T11,($J11,$O11,$T11),1)-2)*10)</f>
        <v>-0.3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195</v>
      </c>
      <c r="F12" s="8" t="s">
        <v>206</v>
      </c>
      <c r="G12" s="9">
        <v>7700</v>
      </c>
      <c r="H12" s="9">
        <v>1000</v>
      </c>
      <c r="I12" s="48">
        <v>3000</v>
      </c>
      <c r="J12" s="21">
        <f t="shared" si="2"/>
        <v>45000</v>
      </c>
      <c r="K12" s="8" t="s">
        <v>205</v>
      </c>
      <c r="L12" s="9">
        <v>-2900</v>
      </c>
      <c r="M12" s="9">
        <v>-1000</v>
      </c>
      <c r="N12" s="48">
        <v>-1500</v>
      </c>
      <c r="O12" s="21">
        <f t="shared" si="3"/>
        <v>31600</v>
      </c>
      <c r="P12" s="8" t="s">
        <v>205</v>
      </c>
      <c r="Q12" s="9">
        <v>-4800</v>
      </c>
      <c r="R12" s="9"/>
      <c r="S12" s="48">
        <v>-1500</v>
      </c>
      <c r="T12" s="21">
        <f t="shared" si="4"/>
        <v>28400</v>
      </c>
      <c r="U12" s="53">
        <f>IF($J12="","",ROUND(($J12-$J$3)/1000,1)+(_xlfn.RANK.AVG($J12,($J12,$O12,$T12),1)-2)*10)</f>
        <v>20</v>
      </c>
      <c r="V12" s="54">
        <f>IF($O12="","",ROUND(($O12-$O$3)/1000,1)+(_xlfn.RANK.AVG($O12,($J12,$O12,$T12),1)-2)*10)</f>
        <v>-3.4</v>
      </c>
      <c r="W12" s="55">
        <f>IF($T12="","",ROUND(($T12-$T$3)/1000,1)+(_xlfn.RANK.AVG($T12,($J12,$O12,$T12),1)-2)*10)</f>
        <v>-16.600000000000001</v>
      </c>
      <c r="Y12" s="8"/>
      <c r="Z12" s="34"/>
      <c r="AA12" s="26"/>
      <c r="AB12" s="26">
        <v>1</v>
      </c>
      <c r="AC12" s="26">
        <v>4</v>
      </c>
      <c r="AD12" s="30">
        <v>30</v>
      </c>
      <c r="AE12" s="40" t="s">
        <v>86</v>
      </c>
      <c r="AF12" s="41" t="s">
        <v>86</v>
      </c>
      <c r="AG12" s="41" t="s">
        <v>203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200</v>
      </c>
      <c r="G13" s="9">
        <v>2000</v>
      </c>
      <c r="H13" s="9"/>
      <c r="I13" s="48">
        <v>0</v>
      </c>
      <c r="J13" s="21">
        <f t="shared" si="2"/>
        <v>47000</v>
      </c>
      <c r="K13" s="8" t="s">
        <v>201</v>
      </c>
      <c r="L13" s="9">
        <v>-2000</v>
      </c>
      <c r="M13" s="9"/>
      <c r="N13" s="48">
        <v>0</v>
      </c>
      <c r="O13" s="21">
        <f t="shared" si="3"/>
        <v>29600</v>
      </c>
      <c r="P13" s="8"/>
      <c r="Q13" s="9"/>
      <c r="R13" s="9"/>
      <c r="S13" s="48"/>
      <c r="T13" s="21">
        <f t="shared" si="4"/>
        <v>28400</v>
      </c>
      <c r="U13" s="53">
        <f>IF($J13="","",ROUND(($J13-$J$3)/1000,1)+(_xlfn.RANK.AVG($J13,($J13,$O13,$T13),1)-2)*10)</f>
        <v>22</v>
      </c>
      <c r="V13" s="54">
        <f>IF($O13="","",ROUND(($O13-$O$3)/1000,1)+(_xlfn.RANK.AVG($O13,($J13,$O13,$T13),1)-2)*10)</f>
        <v>-5.4</v>
      </c>
      <c r="W13" s="55">
        <f>IF($T13="","",ROUND(($T13-$T$3)/1000,1)+(_xlfn.RANK.AVG($T13,($J13,$O13,$T13),1)-2)*10)</f>
        <v>-16.600000000000001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204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BECE9CB-E295-460C-851C-BB9786913D7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74D2-CD50-4A6A-895C-AB8003D6008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79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37900</v>
      </c>
      <c r="K5" s="8" t="s">
        <v>200</v>
      </c>
      <c r="L5" s="9">
        <v>3900</v>
      </c>
      <c r="M5" s="9"/>
      <c r="N5" s="48">
        <v>1000</v>
      </c>
      <c r="O5" s="21">
        <f t="shared" ref="O5:O30" si="3">IF(COUNTA($F5,$K5,$P5)&gt;0,O4+SUM(L5:N5),"")</f>
        <v>39900</v>
      </c>
      <c r="P5" s="8" t="s">
        <v>201</v>
      </c>
      <c r="Q5" s="9">
        <v>-3900</v>
      </c>
      <c r="R5" s="9"/>
      <c r="S5" s="48">
        <v>-1000</v>
      </c>
      <c r="T5" s="21">
        <f t="shared" ref="T5:T30" si="4">IF(COUNTA($F5,$K5,$P5)&gt;0,T4+SUM(Q5:S5),"")</f>
        <v>27200</v>
      </c>
      <c r="U5" s="53">
        <f>IF($J5="","",ROUND(($J5-$J$3)/1000,1)+(_xlfn.RANK.AVG($J5,($J5,$O5,$T5),1)-2)*10)</f>
        <v>2.9</v>
      </c>
      <c r="V5" s="54">
        <f>IF($O5="","",ROUND(($O5-$O$3)/1000,1)+(_xlfn.RANK.AVG($O5,($J5,$O5,$T5),1)-2)*10)</f>
        <v>14.9</v>
      </c>
      <c r="W5" s="55">
        <f>IF($T5="","",ROUND(($T5-$T$3)/1000,1)+(_xlfn.RANK.AVG($T5,($J5,$O5,$T5),1)-2)*10)</f>
        <v>-17.8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30</v>
      </c>
      <c r="AZ5" s="40" t="s">
        <v>83</v>
      </c>
      <c r="BA5" s="41" t="s">
        <v>84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24000</v>
      </c>
      <c r="H6" s="9">
        <v>1000</v>
      </c>
      <c r="I6" s="48">
        <v>0</v>
      </c>
      <c r="J6" s="21">
        <f t="shared" si="2"/>
        <v>62900</v>
      </c>
      <c r="K6" s="8"/>
      <c r="L6" s="9"/>
      <c r="M6" s="9"/>
      <c r="N6" s="48"/>
      <c r="O6" s="21">
        <f t="shared" si="3"/>
        <v>39900</v>
      </c>
      <c r="P6" s="8" t="s">
        <v>201</v>
      </c>
      <c r="Q6" s="9">
        <v>-24000</v>
      </c>
      <c r="R6" s="9">
        <v>-1000</v>
      </c>
      <c r="S6" s="48">
        <v>0</v>
      </c>
      <c r="T6" s="21">
        <f t="shared" si="4"/>
        <v>2200</v>
      </c>
      <c r="U6" s="53">
        <f>IF($J6="","",ROUND(($J6-$J$3)/1000,1)+(_xlfn.RANK.AVG($J6,($J6,$O6,$T6),1)-2)*10)</f>
        <v>37.9</v>
      </c>
      <c r="V6" s="54">
        <f>IF($O6="","",ROUND(($O6-$O$3)/1000,1)+(_xlfn.RANK.AVG($O6,($J6,$O6,$T6),1)-2)*10)</f>
        <v>4.9000000000000004</v>
      </c>
      <c r="W6" s="55">
        <f>IF($T6="","",ROUND(($T6-$T$3)/1000,1)+(_xlfn.RANK.AVG($T6,($J6,$O6,$T6),1)-2)*10)</f>
        <v>-42.8</v>
      </c>
      <c r="Y6" s="8"/>
      <c r="Z6" s="34"/>
      <c r="AA6" s="26">
        <v>1</v>
      </c>
      <c r="AB6" s="26"/>
      <c r="AC6" s="26">
        <v>11</v>
      </c>
      <c r="AD6" s="30" t="s">
        <v>202</v>
      </c>
      <c r="AE6" s="40" t="s">
        <v>204</v>
      </c>
      <c r="AF6" s="41" t="s">
        <v>83</v>
      </c>
      <c r="AG6" s="41" t="s">
        <v>85</v>
      </c>
      <c r="AH6" s="41" t="s">
        <v>79</v>
      </c>
      <c r="AI6" s="41" t="s">
        <v>79</v>
      </c>
      <c r="AJ6" s="41" t="s">
        <v>79</v>
      </c>
      <c r="AK6" s="41" t="s">
        <v>79</v>
      </c>
      <c r="AL6" s="41" t="s">
        <v>79</v>
      </c>
      <c r="AM6" s="41" t="s">
        <v>79</v>
      </c>
      <c r="AN6" s="41" t="s">
        <v>203</v>
      </c>
      <c r="AO6" s="41" t="s">
        <v>203</v>
      </c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207</v>
      </c>
      <c r="G7" s="9">
        <v>1500</v>
      </c>
      <c r="H7" s="9">
        <v>1000</v>
      </c>
      <c r="I7" s="48"/>
      <c r="J7" s="21">
        <f t="shared" si="2"/>
        <v>65400</v>
      </c>
      <c r="K7" s="8" t="s">
        <v>207</v>
      </c>
      <c r="L7" s="9">
        <v>1500</v>
      </c>
      <c r="M7" s="9">
        <v>-1000</v>
      </c>
      <c r="N7" s="48"/>
      <c r="O7" s="21">
        <f t="shared" si="3"/>
        <v>40400</v>
      </c>
      <c r="P7" s="8" t="s">
        <v>207</v>
      </c>
      <c r="Q7" s="9">
        <v>-3000</v>
      </c>
      <c r="R7" s="9"/>
      <c r="S7" s="48"/>
      <c r="T7" s="21">
        <f t="shared" si="4"/>
        <v>-800</v>
      </c>
      <c r="U7" s="53">
        <f>IF($J7="","",ROUND(($J7-$J$3)/1000,1)+(_xlfn.RANK.AVG($J7,($J7,$O7,$T7),1)-2)*10)</f>
        <v>40.4</v>
      </c>
      <c r="V7" s="54">
        <f>IF($O7="","",ROUND(($O7-$O$3)/1000,1)+(_xlfn.RANK.AVG($O7,($J7,$O7,$T7),1)-2)*10)</f>
        <v>5.4</v>
      </c>
      <c r="W7" s="55">
        <f>IF($T7="","",ROUND(($T7-$T$3)/1000,1)+(_xlfn.RANK.AVG($T7,($J7,$O7,$T7),1)-2)*10)</f>
        <v>-45.8</v>
      </c>
      <c r="Y7" s="8" t="s">
        <v>198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7961C578-5661-4260-826D-72AA67FC1DC4}">
      <formula1>"ロン,ツモ,放銃,ツモ支払,流局,チョンボ"</formula1>
    </dataValidation>
    <dataValidation type="list" allowBlank="1" showInputMessage="1" showErrorMessage="1" sqref="E4:E30" xr:uid="{3F212596-BF94-4C6D-8F06-5DC9C4E1C6DC}">
      <formula1>$U$2:$W$2</formula1>
    </dataValidation>
    <dataValidation type="list" allowBlank="1" showInputMessage="1" sqref="F1:T1" xr:uid="{1E501015-7774-4D42-9181-DAA26207787C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2019-10-08T15:36:10Z</dcterms:modified>
</cp:coreProperties>
</file>