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ADE11CD-6E04-46B1-92E6-DEB10E8090C0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V11" i="19"/>
  <c r="W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<sst xmlns="http://schemas.openxmlformats.org/spreadsheetml/2006/main" count="588" uniqueCount="207">
  <si>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</si>
  <si>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</si>
  <si>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</si>
  <si>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</si>
  <si>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</si>
  <si>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</si>
  <si>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</si>
  <si>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</si>
  <si>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</si>
  <si>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</si>
  <si>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</si>
  <si>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</si>
  <si>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</si>
  <si>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</si>
  <si>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</si>
  <si>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</si>
  <si>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</si>
  <si>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</si>
  <si>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</si>
  <si>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</si>
  <si>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</si>
  <si>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</si>
  <si>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</si>
  <si>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</si>
  <si>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</si>
  <si>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</si>
  <si>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</si>
  <si>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</si>
  <si>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</si>
  <si>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</si>
  <si>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</si>
  <si>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</si>
  <si>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</si>
  <si>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</si>
  <si>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</si>
  <si>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</si>
  <si>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</si>
  <si>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</si>
  <si>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</si>
  <si>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</si>
  <si>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</si>
  <si>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</si>
  <si>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</si>
  <si>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</si>
  <si>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</si>
  <si>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</si>
  <si>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</si>
  <si>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</si>
  <si>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</si>
  <si>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</si>
  <si>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</si>
  <si>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</si>
  <si>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</si>
  <si>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</si>
  <si>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</si>
  <si>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</si>
  <si>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</si>
  <si>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</si>
  <si>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</si>
  <si>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</si>
  <si>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</si>
  <si>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</si>
  <si>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</si>
  <si>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</si>
  <si>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</si>
  <si>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</si>
  <si>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</si>
  <si>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</si>
  <si>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</si>
  <si>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</si>
  <si>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</si>
  <si>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</si>
  <si>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</si>
  <si>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</si>
  <si>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</si>
  <si>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</si>
  <si>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</si>
  <si>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</si>
  <si>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</si>
  <si>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</si>
  <si>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</si>
  <si>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</si>
  <si>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</si>
  <si>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</si>
  <si>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</si>
  <si>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</si>
  <si>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</si>
  <si>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</si>
  <si>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</si>
  <si>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</si>
  <si>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</si>
  <si>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</si>
  <si>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</si>
  <si>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</si>
  <si>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</si>
  <si>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</si>
  <si>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</si>
  <si>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</si>
  <si>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</si>
  <si>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</si>
  <si>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</si>
  <si>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</si>
  <si>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</si>
  <si>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</si>
  <si>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</si>
  <si>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</si>
  <si>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</si>
  <si>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</si>
  <si>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</si>
  <si>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</si>
  <si>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</si>
  <si>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</si>
  <si>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</si>
  <si>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</si>
  <si>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</si>
  <si>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</si>
  <si>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</si>
  <si>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</si>
  <si>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</si>
  <si>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</si>
  <si>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</si>
  <si>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</si>
  <si>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</si>
  <si>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</si>
  <si>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</si>
  <si>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</si>
  <si>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</si>
  <si>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</si>
  <si>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</si>
  <si>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</si>
  <si>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</si>
  <si>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</si>
  <si>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</si>
  <si>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</si>
  <si>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</si>
  <si>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</si>
  <si>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</si>
  <si>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</si>
  <si>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</si>
  <si>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</si>
  <si>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</si>
  <si>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</si>
  <si>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</si>
  <si>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</si>
  <si>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</si>
  <si>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</si>
  <si>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</si>
  <si>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</si>
  <si>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</si>
  <si>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</si>
  <si>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</si>
  <si>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</si>
  <si>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</si>
  <si>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</si>
  <si>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</si>
  <si>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</si>
  <si>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</si>
  <si>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</si>
  <si>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</si>
  <si>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</si>
  <si>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</si>
  <si>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</si>
  <si>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</si>
  <si>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</si>
  <si>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</si>
  <si>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</si>
  <si>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</si>
  <si>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</si>
  <si>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</si>
  <si>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</si>
  <si>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</si>
  <si>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</si>
  <si>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</si>
  <si>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</si>
  <si>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</si>
  <si>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</si>
  <si>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</si>
  <si>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</si>
  <si>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</si>
  <si>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</si>
  <si>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</si>
  <si>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</si>
  <si>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</si>
  <si>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</si>
  <si>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</si>
  <si>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</si>
  <si>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</si>
  <si>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</si>
  <si>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</si>
  <si>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</si>
  <si>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</si>
  <si>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</si>
  <si>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</si>
  <si>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</si>
  <si>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</si>
  <si>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</si>
  <si>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</si>
  <si>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</si>
  <si>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</si>
  <si>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52</t>
  </si>
  <si>
    <t>放銃</t>
  </si>
  <si>
    <t>ロン</t>
  </si>
  <si>
    <t>01</t>
  </si>
  <si>
    <t>N</t>
  </si>
  <si>
    <t>T</t>
  </si>
  <si>
    <t>流局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</si>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</sst>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たかの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 t="s">
        <v>197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198</v>
      </c>
      <c r="Q4" s="9">
        <v>11600</v>
      </c>
      <c r="R4" s="9"/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IF($J4="","",ROUND(($J4-$J$3)/1000,1)+(_xlfn.RANK.AVG($J4,($J4,$O4,$T4),1)-2)*10)</f>
        <v>-10.8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21.6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82</v>
      </c>
      <c r="BV4" s="41" t="s">
        <v>84</v>
      </c>
      <c r="BW4" s="41" t="s">
        <v>199</v>
      </c>
      <c r="BX4" s="41" t="s">
        <v>199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-8000</v>
      </c>
      <c r="H5" s="9">
        <v>-1000</v>
      </c>
      <c r="I5" s="48">
        <v>-1000</v>
      </c>
      <c r="J5" s="21">
        <f t="shared" ref="J5:J30" si="2">IF(COUNTA($F5,$K5,$P5)&gt;0,J4+SUM(G5:I5),"")</f>
        <v>19200</v>
      </c>
      <c r="K5" s="8" t="s">
        <v>201</v>
      </c>
      <c r="L5" s="9">
        <v>8000</v>
      </c>
      <c r="M5" s="9">
        <v>2000</v>
      </c>
      <c r="N5" s="48">
        <v>1000</v>
      </c>
      <c r="O5" s="21">
        <f t="shared" ref="O5:O30" si="3">IF(COUNTA($F5,$K5,$P5)&gt;0,O4+SUM(L5:N5),"")</f>
        <v>40200</v>
      </c>
      <c r="P5" s="8"/>
      <c r="Q5" s="9"/>
      <c r="R5" s="9">
        <v>-1000</v>
      </c>
      <c r="S5" s="48"/>
      <c r="T5" s="21">
        <f t="shared" ref="T5:T30" si="4">IF(COUNTA($F5,$K5,$P5)&gt;0,T4+SUM(Q5:S5),"")</f>
        <v>45600</v>
      </c>
      <c r="U5" s="53">
        <f>IF($J5="","",ROUND(($J5-$J$3)/1000,1)+(_xlfn.RANK.AVG($J5,($J5,$O5,$T5),1)-2)*10)</f>
        <v>-25.8</v>
      </c>
      <c r="V5" s="54">
        <f>IF($O5="","",ROUND(($O5-$O$3)/1000,1)+(_xlfn.RANK.AVG($O5,($J5,$O5,$T5),1)-2)*10)</f>
        <v>5.2</v>
      </c>
      <c r="W5" s="55">
        <f>IF($T5="","",ROUND(($T5-$T$3)/1000,1)+(_xlfn.RANK.AVG($T5,($J5,$O5,$T5),1)-2)*10)</f>
        <v>20.6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202</v>
      </c>
      <c r="BA5" s="41" t="s">
        <v>199</v>
      </c>
      <c r="BB5" s="41" t="s">
        <v>80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-5200</v>
      </c>
      <c r="H6" s="9">
        <v>-1000</v>
      </c>
      <c r="I6" s="48">
        <v>0</v>
      </c>
      <c r="J6" s="21">
        <f t="shared" si="2"/>
        <v>13000</v>
      </c>
      <c r="K6" s="8" t="s">
        <v>201</v>
      </c>
      <c r="L6" s="9">
        <v>5200</v>
      </c>
      <c r="M6" s="9">
        <v>1000</v>
      </c>
      <c r="N6" s="48">
        <v>0</v>
      </c>
      <c r="O6" s="21">
        <f t="shared" si="3"/>
        <v>46400</v>
      </c>
      <c r="P6" s="8"/>
      <c r="Q6" s="9"/>
      <c r="R6" s="9"/>
      <c r="S6" s="48"/>
      <c r="T6" s="21">
        <f t="shared" si="4"/>
        <v>45600</v>
      </c>
      <c r="U6" s="53">
        <f>IF($J6="","",ROUND(($J6-$J$3)/1000,1)+(_xlfn.RANK.AVG($J6,($J6,$O6,$T6),1)-2)*10)</f>
        <v>-32</v>
      </c>
      <c r="V6" s="54">
        <f>IF($O6="","",ROUND(($O6-$O$3)/1000,1)+(_xlfn.RANK.AVG($O6,($J6,$O6,$T6),1)-2)*10)</f>
        <v>21.4</v>
      </c>
      <c r="W6" s="55">
        <f>IF($T6="","",ROUND(($T6-$T$3)/1000,1)+(_xlfn.RANK.AVG($T6,($J6,$O6,$T6),1)-2)*10)</f>
        <v>10.6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104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205</v>
      </c>
      <c r="G7" s="9">
        <v>-1500</v>
      </c>
      <c r="H7" s="9"/>
      <c r="I7" s="48"/>
      <c r="J7" s="21">
        <f t="shared" si="2"/>
        <v>11500</v>
      </c>
      <c r="K7" s="8" t="s">
        <v>205</v>
      </c>
      <c r="L7" s="9">
        <v>-1500</v>
      </c>
      <c r="M7" s="9"/>
      <c r="N7" s="48"/>
      <c r="O7" s="21">
        <f t="shared" si="3"/>
        <v>44900</v>
      </c>
      <c r="P7" s="8" t="s">
        <v>205</v>
      </c>
      <c r="Q7" s="9">
        <v>3000</v>
      </c>
      <c r="R7" s="9"/>
      <c r="S7" s="48"/>
      <c r="T7" s="21">
        <f t="shared" si="4"/>
        <v>48600</v>
      </c>
      <c r="U7" s="53">
        <f>IF($J7="","",ROUND(($J7-$J$3)/1000,1)+(_xlfn.RANK.AVG($J7,($J7,$O7,$T7),1)-2)*10)</f>
        <v>-33.5</v>
      </c>
      <c r="V7" s="54">
        <f>IF($O7="","",ROUND(($O7-$O$3)/1000,1)+(_xlfn.RANK.AVG($O7,($J7,$O7,$T7),1)-2)*10)</f>
        <v>9.9</v>
      </c>
      <c r="W7" s="55">
        <f>IF($T7="","",ROUND(($T7-$T$3)/1000,1)+(_xlfn.RANK.AVG($T7,($J7,$O7,$T7),1)-2)*10)</f>
        <v>23.6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201</v>
      </c>
      <c r="G8" s="9">
        <v>2600</v>
      </c>
      <c r="H8" s="9"/>
      <c r="I8" s="48">
        <v>1000</v>
      </c>
      <c r="J8" s="21">
        <f t="shared" si="2"/>
        <v>15100</v>
      </c>
      <c r="K8" s="8"/>
      <c r="L8" s="9"/>
      <c r="M8" s="9"/>
      <c r="N8" s="48"/>
      <c r="O8" s="21">
        <f t="shared" si="3"/>
        <v>44900</v>
      </c>
      <c r="P8" s="8" t="s">
        <v>200</v>
      </c>
      <c r="Q8" s="9">
        <v>-2600</v>
      </c>
      <c r="R8" s="9"/>
      <c r="S8" s="48">
        <v>-1000</v>
      </c>
      <c r="T8" s="21">
        <f t="shared" si="4"/>
        <v>45000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9.9</v>
      </c>
      <c r="W8" s="55">
        <f>IF($T8="","",ROUND(($T8-$T$3)/1000,1)+(_xlfn.RANK.AVG($T8,($J8,$O8,$T8),1)-2)*10)</f>
        <v>20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202</v>
      </c>
      <c r="AF8" s="41" t="s">
        <v>199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12000</v>
      </c>
      <c r="H9" s="9">
        <v>1000</v>
      </c>
      <c r="I9" s="48">
        <v>0</v>
      </c>
      <c r="J9" s="21">
        <f t="shared" si="2"/>
        <v>28100</v>
      </c>
      <c r="K9" s="8"/>
      <c r="L9" s="9"/>
      <c r="M9" s="9">
        <v>-1000</v>
      </c>
      <c r="N9" s="48"/>
      <c r="O9" s="21">
        <f t="shared" si="3"/>
        <v>43900</v>
      </c>
      <c r="P9" s="8" t="s">
        <v>200</v>
      </c>
      <c r="Q9" s="9">
        <v>-12000</v>
      </c>
      <c r="R9" s="9"/>
      <c r="S9" s="48">
        <v>0</v>
      </c>
      <c r="T9" s="21">
        <f t="shared" si="4"/>
        <v>33000</v>
      </c>
      <c r="U9" s="53">
        <f>IF($J9="","",ROUND(($J9-$J$3)/1000,1)+(_xlfn.RANK.AVG($J9,($J9,$O9,$T9),1)-2)*10)</f>
        <v>-16.899999999999999</v>
      </c>
      <c r="V9" s="54">
        <f>IF($O9="","",ROUND(($O9-$O$3)/1000,1)+(_xlfn.RANK.AVG($O9,($J9,$O9,$T9),1)-2)*10)</f>
        <v>18.899999999999999</v>
      </c>
      <c r="W9" s="55">
        <f>IF($T9="","",ROUND(($T9-$T$3)/1000,1)+(_xlfn.RANK.AVG($T9,($J9,$O9,$T9),1)-2)*10)</f>
        <v>-2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202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197</v>
      </c>
      <c r="G10" s="9">
        <v>-7500</v>
      </c>
      <c r="H10" s="9"/>
      <c r="I10" s="48">
        <v>-500</v>
      </c>
      <c r="J10" s="21">
        <f t="shared" si="2"/>
        <v>20100</v>
      </c>
      <c r="K10" s="8" t="s">
        <v>197</v>
      </c>
      <c r="L10" s="9">
        <v>-4500</v>
      </c>
      <c r="M10" s="9"/>
      <c r="N10" s="48">
        <v>-500</v>
      </c>
      <c r="O10" s="21">
        <f t="shared" si="3"/>
        <v>38900</v>
      </c>
      <c r="P10" s="8" t="s">
        <v>198</v>
      </c>
      <c r="Q10" s="9">
        <v>12000</v>
      </c>
      <c r="R10" s="9"/>
      <c r="S10" s="48">
        <v>1000</v>
      </c>
      <c r="T10" s="21">
        <f t="shared" si="4"/>
        <v>46000</v>
      </c>
      <c r="U10" s="53">
        <f>IF($J10="","",ROUND(($J10-$J$3)/1000,1)+(_xlfn.RANK.AVG($J10,($J10,$O10,$T10),1)-2)*10)</f>
        <v>-24.9</v>
      </c>
      <c r="V10" s="54">
        <f>IF($O10="","",ROUND(($O10-$O$3)/1000,1)+(_xlfn.RANK.AVG($O10,($J10,$O10,$T10),1)-2)*10)</f>
        <v>3.9</v>
      </c>
      <c r="W10" s="55">
        <f>IF($T10="","",ROUND(($T10-$T$3)/1000,1)+(_xlfn.RANK.AVG($T10,($J10,$O10,$T10),1)-2)*10)</f>
        <v>21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206</v>
      </c>
      <c r="BU10" s="40" t="s">
        <v>202</v>
      </c>
      <c r="BV10" s="41" t="s">
        <v>82</v>
      </c>
      <c r="BW10" s="41" t="s">
        <v>79</v>
      </c>
      <c r="BX10" s="41" t="s">
        <v>79</v>
      </c>
      <c r="BY10" s="41" t="s">
        <v>80</v>
      </c>
      <c r="BZ10" s="41" t="s">
        <v>86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-1500</v>
      </c>
      <c r="H11" s="9"/>
      <c r="I11" s="48">
        <v>0</v>
      </c>
      <c r="J11" s="21">
        <f t="shared" si="2"/>
        <v>18600</v>
      </c>
      <c r="K11" s="8" t="s">
        <v>197</v>
      </c>
      <c r="L11" s="9">
        <v>-2500</v>
      </c>
      <c r="M11" s="9"/>
      <c r="N11" s="48">
        <v>0</v>
      </c>
      <c r="O11" s="21">
        <f t="shared" si="3"/>
        <v>36400</v>
      </c>
      <c r="P11" s="8" t="s">
        <v>198</v>
      </c>
      <c r="Q11" s="9">
        <v>4000</v>
      </c>
      <c r="R11" s="9"/>
      <c r="S11" s="48">
        <v>0</v>
      </c>
      <c r="T11" s="21">
        <f t="shared" si="4"/>
        <v>50000</v>
      </c>
      <c r="U11" s="53">
        <f>IF($J11="","",ROUND(($J11-$J$3)/1000,1)+(_xlfn.RANK.AVG($J11,($J11,$O11,$T11),1)-2)*10)</f>
        <v>-26.4</v>
      </c>
      <c r="V11" s="54">
        <f>IF($O11="","",ROUND(($O11-$O$3)/1000,1)+(_xlfn.RANK.AVG($O11,($J11,$O11,$T11),1)-2)*10)</f>
        <v>1.4</v>
      </c>
      <c r="W11" s="55">
        <f>IF($T11="","",ROUND(($T11-$T$3)/1000,1)+(_xlfn.RANK.AVG($T11,($J11,$O11,$T11),1)-2)*10)</f>
        <v>25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202</v>
      </c>
      <c r="BV11" s="41" t="s">
        <v>79</v>
      </c>
      <c r="BW11" s="41" t="s">
        <v>86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0E415F8-1CFF-4081-9BF2-B242DAB8BCA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2019-11-12T06:18:00Z</dcterms:modified>
</cp:coreProperties>
</file>