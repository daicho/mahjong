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9EA6341-EF81-4A51-A4DD-70D236BAEA16}" xr6:coauthVersionLast="41" xr6:coauthVersionMax="41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J10" i="21"/>
  <c r="D10" i="21"/>
  <c r="C10" i="21"/>
  <c r="B10" i="21"/>
  <c r="A10" i="21" s="1"/>
  <c r="T9" i="21"/>
  <c r="O9" i="21"/>
  <c r="J9" i="21"/>
  <c r="D9" i="21"/>
  <c r="C9" i="21"/>
  <c r="B9" i="21"/>
  <c r="A9" i="21" s="1"/>
  <c r="D8" i="21"/>
  <c r="D7" i="21"/>
  <c r="C7" i="21"/>
  <c r="C8" i="21" s="1"/>
  <c r="D6" i="21"/>
  <c r="C6" i="21"/>
  <c r="T5" i="21"/>
  <c r="T6" i="21" s="1"/>
  <c r="O5" i="21"/>
  <c r="D5" i="21"/>
  <c r="C5" i="21"/>
  <c r="B5" i="21"/>
  <c r="A5" i="21" s="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0" i="20"/>
  <c r="D11" i="20" s="1"/>
  <c r="D9" i="20"/>
  <c r="C9" i="20"/>
  <c r="C10" i="20" s="1"/>
  <c r="C11" i="20" s="1"/>
  <c r="D8" i="20"/>
  <c r="C8" i="20"/>
  <c r="C7" i="20"/>
  <c r="D6" i="20"/>
  <c r="D7" i="20" s="1"/>
  <c r="C6" i="20"/>
  <c r="T5" i="20"/>
  <c r="T6" i="20" s="1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0" i="21" l="1"/>
  <c r="V10" i="21"/>
  <c r="V9" i="21"/>
  <c r="U9" i="21"/>
  <c r="W9" i="21"/>
  <c r="U4" i="21"/>
  <c r="W4" i="21"/>
  <c r="T7" i="21"/>
  <c r="B6" i="21"/>
  <c r="J5" i="21"/>
  <c r="V5" i="21" s="1"/>
  <c r="O6" i="21"/>
  <c r="V4" i="20"/>
  <c r="W4" i="20"/>
  <c r="U4" i="20"/>
  <c r="T7" i="20"/>
  <c r="B6" i="20"/>
  <c r="J5" i="20"/>
  <c r="V5" i="20" s="1"/>
  <c r="O6" i="20"/>
  <c r="W3" i="19"/>
  <c r="V3" i="19"/>
  <c r="U3" i="19"/>
  <c r="T8" i="21" l="1"/>
  <c r="O7" i="21"/>
  <c r="W5" i="21"/>
  <c r="U5" i="21"/>
  <c r="J6" i="21"/>
  <c r="B7" i="21"/>
  <c r="A6" i="21"/>
  <c r="T8" i="20"/>
  <c r="O7" i="20"/>
  <c r="W5" i="20"/>
  <c r="U5" i="20"/>
  <c r="J6" i="20"/>
  <c r="V6" i="20" s="1"/>
  <c r="B7" i="20"/>
  <c r="A6" i="20"/>
  <c r="A7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7" i="21" l="1"/>
  <c r="O8" i="21"/>
  <c r="V7" i="21"/>
  <c r="B8" i="21"/>
  <c r="A8" i="21" s="1"/>
  <c r="J7" i="21"/>
  <c r="U6" i="21"/>
  <c r="W6" i="21"/>
  <c r="V6" i="21"/>
  <c r="T9" i="20"/>
  <c r="B8" i="20"/>
  <c r="U6" i="20"/>
  <c r="J7" i="20"/>
  <c r="V7" i="20" s="1"/>
  <c r="W6" i="20"/>
  <c r="O8" i="20"/>
  <c r="U12" i="19"/>
  <c r="U11" i="19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7" i="21" l="1"/>
  <c r="J8" i="21"/>
  <c r="W7" i="21"/>
  <c r="B9" i="20"/>
  <c r="O9" i="20"/>
  <c r="J8" i="20"/>
  <c r="U7" i="20"/>
  <c r="W7" i="20"/>
  <c r="A8" i="20"/>
  <c r="T10" i="20"/>
  <c r="W5" i="19"/>
  <c r="V5" i="19"/>
  <c r="U5" i="19"/>
  <c r="U8" i="21" l="1"/>
  <c r="W8" i="21"/>
  <c r="V8" i="21"/>
  <c r="V9" i="20"/>
  <c r="O10" i="20"/>
  <c r="B10" i="20"/>
  <c r="T11" i="20"/>
  <c r="U8" i="20"/>
  <c r="J9" i="20"/>
  <c r="W8" i="20"/>
  <c r="V8" i="20"/>
  <c r="A9" i="20"/>
  <c r="A10" i="20" l="1"/>
  <c r="O11" i="20"/>
  <c r="V10" i="20"/>
  <c r="U9" i="20"/>
  <c r="J10" i="20"/>
  <c r="W9" i="20"/>
  <c r="T12" i="20"/>
  <c r="B11" i="20"/>
  <c r="A11" i="20"/>
  <c r="O12" i="20" l="1"/>
  <c r="V11" i="20"/>
  <c r="B12" i="20"/>
  <c r="A12" i="20" s="1"/>
  <c r="J11" i="20"/>
  <c r="U10" i="20"/>
  <c r="W10" i="20"/>
  <c r="U11" i="20" l="1"/>
  <c r="J12" i="20"/>
  <c r="W11" i="20"/>
  <c r="U12" i="20" l="1"/>
  <c r="W12" i="20"/>
  <c r="V12" i="20"/>
</calcChain>
</file>

<file path=xl/sharedStrings.xml><?xml version="1.0" encoding="utf-8"?>
<sst xmlns="http://schemas.openxmlformats.org/spreadsheetml/2006/main" count="789" uniqueCount="211">
  <si>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</si>
  <si>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</si>
  <si>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</si>
  <si>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</si>
  <si>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</si>
  <si>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</si>
  <si>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</si>
  <si>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</si>
  <si>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</si>
  <si>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</si>
  <si>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</si>
  <si>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</si>
  <si>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</si>
  <si>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</si>
  <si>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</si>
  <si>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</si>
  <si>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</si>
  <si>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</si>
  <si>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</si>
  <si>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</si>
  <si>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</si>
  <si>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</si>
  <si>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</si>
  <si>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</si>
  <si>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</si>
  <si>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</si>
  <si>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</si>
  <si>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</si>
  <si>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</si>
  <si>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</si>
  <si>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</si>
  <si>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</si>
  <si>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</si>
  <si>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</si>
  <si>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</si>
  <si>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</si>
  <si>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</si>
  <si>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</si>
  <si>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</si>
  <si>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</si>
  <si>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</si>
  <si>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</si>
  <si>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</si>
  <si>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</si>
  <si>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</si>
  <si>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</si>
  <si>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</si>
  <si>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</si>
  <si>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</si>
  <si>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</si>
  <si>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</si>
  <si>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</si>
  <si>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</si>
  <si>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</si>
  <si>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</si>
  <si>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</si>
  <si>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</si>
  <si>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</si>
  <si>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</si>
  <si>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</si>
  <si>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</si>
  <si>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</si>
  <si>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</si>
  <si>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</si>
  <si>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</si>
  <si>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</si>
  <si>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</si>
  <si>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</si>
  <si>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</si>
  <si>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</si>
  <si>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</si>
  <si>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</si>
  <si>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</si>
  <si>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</si>
  <si>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</si>
  <si>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</si>
  <si>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</si>
  <si>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</si>
  <si>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</si>
  <si>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</si>
  <si>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</si>
  <si>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</si>
  <si>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</si>
  <si>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</si>
  <si>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</si>
  <si>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</si>
  <si>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</si>
  <si>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</si>
  <si>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</si>
  <si>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</si>
  <si>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</si>
  <si>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</si>
  <si>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</si>
  <si>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</si>
  <si>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</si>
  <si>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</si>
  <si>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</si>
  <si>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</si>
  <si>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</si>
  <si>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</si>
  <si>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</si>
  <si>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</si>
  <si>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</si>
  <si>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</si>
  <si>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</si>
  <si>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</si>
  <si>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</si>
  <si>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</si>
  <si>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</si>
  <si>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</si>
  <si>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</si>
  <si>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</si>
  <si>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</si>
  <si>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</si>
  <si>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</si>
  <si>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</si>
  <si>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</si>
  <si>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</si>
  <si>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</si>
  <si>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</si>
  <si>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</si>
  <si>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</si>
  <si>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</si>
  <si>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</si>
  <si>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</si>
  <si>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</si>
  <si>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</si>
  <si>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</si>
  <si>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</si>
  <si>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</si>
  <si>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</si>
  <si>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</si>
  <si>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</si>
  <si>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</si>
  <si>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</si>
  <si>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</si>
  <si>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</si>
  <si>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</si>
  <si>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</si>
  <si>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</si>
  <si>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</si>
  <si>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</si>
  <si>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</si>
  <si>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</si>
  <si>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</si>
  <si>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</si>
  <si>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</si>
  <si>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</si>
  <si>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</si>
  <si>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</si>
  <si>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</si>
  <si>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</si>
  <si>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</si>
  <si>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</si>
  <si>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</si>
  <si>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</si>
  <si>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</si>
  <si>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</si>
  <si>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</si>
  <si>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</si>
  <si>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</si>
  <si>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</si>
  <si>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</si>
  <si>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</si>
  <si>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</si>
  <si>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</si>
  <si>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</si>
  <si>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</si>
  <si>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</si>
  <si>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</si>
  <si>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</si>
  <si>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</si>
  <si>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</si>
  <si>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</si>
  <si>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</si>
  <si>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</si>
  <si>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</si>
  <si>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</si>
  <si>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</si>
  <si>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</si>
  <si>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</si>
  <si>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</si>
  <si>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</si>
  <si>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</si>
  <si>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</si>
  <si>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</si>
  <si>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</si>
  <si>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</si>
  <si>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</si>
  <si>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</si>
  <si>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</si>
  <si>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</si>
  <si>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</si>
  <si>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</si>
  <si>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</si>
  <si>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</si>
  <si>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</si>
  <si>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</si>
  <si>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</si>
  <si>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</si>
  <si>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</si>
  <si>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</si>
  <si>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</si>
  <si>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</si>
  <si>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</si>
  <si>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</si>
  <si>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</si>
  <si>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</si>
  <si>
    <t>51</t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</si>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</sst>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1500</v>
      </c>
      <c r="H4" s="9"/>
      <c r="I4" s="48"/>
      <c r="J4" s="21">
        <f>IF(COUNTA($F4,$K4,$P4)&gt;0,J3+SUM(G4:I4),"")</f>
        <v>36500</v>
      </c>
      <c r="K4" s="8" t="s">
        <v>199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199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-13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200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26000</v>
      </c>
      <c r="K5" s="8" t="s">
        <v>200</v>
      </c>
      <c r="L5" s="9">
        <v>-6000</v>
      </c>
      <c r="M5" s="9"/>
      <c r="N5" s="48">
        <v>-500</v>
      </c>
      <c r="O5" s="21">
        <f t="shared" ref="O5:O30" si="3">IF(COUNTA($F5,$K5,$P5)&gt;0,O4+SUM(L5:N5),"")</f>
        <v>29000</v>
      </c>
      <c r="P5" s="8" t="s">
        <v>201</v>
      </c>
      <c r="Q5" s="9">
        <v>16000</v>
      </c>
      <c r="R5" s="9">
        <v>1000</v>
      </c>
      <c r="S5" s="48">
        <v>1000</v>
      </c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-19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202</v>
      </c>
      <c r="BU5" s="40" t="s">
        <v>203</v>
      </c>
      <c r="BV5" s="41" t="s">
        <v>82</v>
      </c>
      <c r="BW5" s="41" t="s">
        <v>204</v>
      </c>
      <c r="BX5" s="41" t="s">
        <v>205</v>
      </c>
      <c r="BY5" s="41" t="s">
        <v>205</v>
      </c>
      <c r="BZ5" s="41" t="s">
        <v>79</v>
      </c>
      <c r="CA5" s="41" t="s">
        <v>79</v>
      </c>
      <c r="CB5" s="41" t="s">
        <v>85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3000</v>
      </c>
      <c r="H6" s="9">
        <v>-1000</v>
      </c>
      <c r="I6" s="48"/>
      <c r="J6" s="21">
        <f t="shared" si="2"/>
        <v>28000</v>
      </c>
      <c r="K6" s="8" t="s">
        <v>199</v>
      </c>
      <c r="L6" s="9">
        <v>-1500</v>
      </c>
      <c r="M6" s="9"/>
      <c r="N6" s="48"/>
      <c r="O6" s="21">
        <f t="shared" si="3"/>
        <v>27500</v>
      </c>
      <c r="P6" s="8" t="s">
        <v>199</v>
      </c>
      <c r="Q6" s="9">
        <v>-1500</v>
      </c>
      <c r="R6" s="9"/>
      <c r="S6" s="48"/>
      <c r="T6" s="21">
        <f t="shared" si="4"/>
        <v>48500</v>
      </c>
      <c r="U6" s="53">
        <f>IF($J6="","",ROUND(($J6-$J$3)/1000,1)+(_xlfn.RANK.AVG($J6,($J6,$O6,$T6),1)-2)*10)</f>
        <v>-7</v>
      </c>
      <c r="V6" s="54">
        <f>IF($O6="","",ROUND(($O6-$O$3)/1000,1)+(_xlfn.RANK.AVG($O6,($J6,$O6,$T6),1)-2)*10)</f>
        <v>-17.5</v>
      </c>
      <c r="W6" s="55">
        <f>IF($T6="","",ROUND(($T6-$T$3)/1000,1)+(_xlfn.RANK.AVG($T6,($J6,$O6,$T6),1)-2)*10)</f>
        <v>23.5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200</v>
      </c>
      <c r="G7" s="9">
        <v>-4500</v>
      </c>
      <c r="H7" s="9">
        <v>-1000</v>
      </c>
      <c r="I7" s="48">
        <v>-500</v>
      </c>
      <c r="J7" s="21">
        <f t="shared" si="2"/>
        <v>22000</v>
      </c>
      <c r="K7" s="8" t="s">
        <v>201</v>
      </c>
      <c r="L7" s="9">
        <v>12000</v>
      </c>
      <c r="M7" s="9">
        <v>2000</v>
      </c>
      <c r="N7" s="48">
        <v>1000</v>
      </c>
      <c r="O7" s="21">
        <f t="shared" si="3"/>
        <v>42500</v>
      </c>
      <c r="P7" s="8" t="s">
        <v>200</v>
      </c>
      <c r="Q7" s="9">
        <v>-7500</v>
      </c>
      <c r="R7" s="9"/>
      <c r="S7" s="48">
        <v>-500</v>
      </c>
      <c r="T7" s="21">
        <f t="shared" si="4"/>
        <v>40500</v>
      </c>
      <c r="U7" s="53">
        <f>IF($J7="","",ROUND(($J7-$J$3)/1000,1)+(_xlfn.RANK.AVG($J7,($J7,$O7,$T7),1)-2)*10)</f>
        <v>-23</v>
      </c>
      <c r="V7" s="54">
        <f>IF($O7="","",ROUND(($O7-$O$3)/1000,1)+(_xlfn.RANK.AVG($O7,($J7,$O7,$T7),1)-2)*10)</f>
        <v>17.5</v>
      </c>
      <c r="W7" s="55">
        <f>IF($T7="","",ROUND(($T7-$T$3)/1000,1)+(_xlfn.RANK.AVG($T7,($J7,$O7,$T7),1)-2)*10)</f>
        <v>5.5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203</v>
      </c>
      <c r="BA7" s="41" t="s">
        <v>82</v>
      </c>
      <c r="BB7" s="41" t="s">
        <v>205</v>
      </c>
      <c r="BC7" s="41" t="s">
        <v>80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22000</v>
      </c>
      <c r="K8" s="8" t="s">
        <v>206</v>
      </c>
      <c r="L8" s="9">
        <v>-2000</v>
      </c>
      <c r="M8" s="9">
        <v>-1000</v>
      </c>
      <c r="N8" s="48">
        <v>0</v>
      </c>
      <c r="O8" s="21">
        <f t="shared" si="3"/>
        <v>39500</v>
      </c>
      <c r="P8" s="8" t="s">
        <v>207</v>
      </c>
      <c r="Q8" s="9">
        <v>2000</v>
      </c>
      <c r="R8" s="9">
        <v>1000</v>
      </c>
      <c r="S8" s="48">
        <v>0</v>
      </c>
      <c r="T8" s="21">
        <f t="shared" si="4"/>
        <v>43500</v>
      </c>
      <c r="U8" s="53">
        <f>IF($J8="","",ROUND(($J8-$J$3)/1000,1)+(_xlfn.RANK.AVG($J8,($J8,$O8,$T8),1)-2)*10)</f>
        <v>-23</v>
      </c>
      <c r="V8" s="54">
        <f>IF($O8="","",ROUND(($O8-$O$3)/1000,1)+(_xlfn.RANK.AVG($O8,($J8,$O8,$T8),1)-2)*10)</f>
        <v>4.5</v>
      </c>
      <c r="W8" s="55">
        <f>IF($T8="","",ROUND(($T8-$T$3)/1000,1)+(_xlfn.RANK.AVG($T8,($J8,$O8,$T8),1)-2)*10)</f>
        <v>18.5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30</v>
      </c>
      <c r="BU8" s="40" t="s">
        <v>203</v>
      </c>
      <c r="BV8" s="41" t="s">
        <v>83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-6000</v>
      </c>
      <c r="H9" s="9"/>
      <c r="I9" s="48">
        <v>0</v>
      </c>
      <c r="J9" s="21">
        <f t="shared" si="2"/>
        <v>16000</v>
      </c>
      <c r="K9" s="8" t="s">
        <v>201</v>
      </c>
      <c r="L9" s="9">
        <v>12000</v>
      </c>
      <c r="M9" s="9"/>
      <c r="N9" s="48">
        <v>0</v>
      </c>
      <c r="O9" s="21">
        <f t="shared" si="3"/>
        <v>51500</v>
      </c>
      <c r="P9" s="8" t="s">
        <v>200</v>
      </c>
      <c r="Q9" s="9">
        <v>-6000</v>
      </c>
      <c r="R9" s="9"/>
      <c r="S9" s="48">
        <v>0</v>
      </c>
      <c r="T9" s="21">
        <f t="shared" si="4"/>
        <v>37500</v>
      </c>
      <c r="U9" s="53">
        <f>IF($J9="","",ROUND(($J9-$J$3)/1000,1)+(_xlfn.RANK.AVG($J9,($J9,$O9,$T9),1)-2)*10)</f>
        <v>-29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2.5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202</v>
      </c>
      <c r="AZ9" s="40" t="s">
        <v>203</v>
      </c>
      <c r="BA9" s="41" t="s">
        <v>82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199</v>
      </c>
      <c r="G10" s="9">
        <v>0</v>
      </c>
      <c r="H10" s="9"/>
      <c r="I10" s="48"/>
      <c r="J10" s="21">
        <f t="shared" si="2"/>
        <v>16000</v>
      </c>
      <c r="K10" s="8" t="s">
        <v>199</v>
      </c>
      <c r="L10" s="9">
        <v>0</v>
      </c>
      <c r="M10" s="9"/>
      <c r="N10" s="48"/>
      <c r="O10" s="21">
        <f t="shared" si="3"/>
        <v>51500</v>
      </c>
      <c r="P10" s="8" t="s">
        <v>199</v>
      </c>
      <c r="Q10" s="9">
        <v>0</v>
      </c>
      <c r="R10" s="9"/>
      <c r="S10" s="48"/>
      <c r="T10" s="21">
        <f t="shared" si="4"/>
        <v>37500</v>
      </c>
      <c r="U10" s="53">
        <f>IF($J10="","",ROUND(($J10-$J$3)/1000,1)+(_xlfn.RANK.AVG($J10,($J10,$O10,$T10),1)-2)*10)</f>
        <v>-29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2.5</v>
      </c>
      <c r="Y10" s="8" t="s">
        <v>197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207</v>
      </c>
      <c r="G11" s="9">
        <v>8000</v>
      </c>
      <c r="H11" s="9"/>
      <c r="I11" s="48">
        <v>2000</v>
      </c>
      <c r="J11" s="21">
        <f t="shared" si="2"/>
        <v>26000</v>
      </c>
      <c r="K11" s="8"/>
      <c r="L11" s="9"/>
      <c r="M11" s="9"/>
      <c r="N11" s="48"/>
      <c r="O11" s="21">
        <f t="shared" si="3"/>
        <v>51500</v>
      </c>
      <c r="P11" s="8" t="s">
        <v>206</v>
      </c>
      <c r="Q11" s="9">
        <v>-8000</v>
      </c>
      <c r="R11" s="9"/>
      <c r="S11" s="48">
        <v>-2000</v>
      </c>
      <c r="T11" s="21">
        <f t="shared" si="4"/>
        <v>27500</v>
      </c>
      <c r="U11" s="53">
        <f>IF($J11="","",ROUND(($J11-$J$3)/1000,1)+(_xlfn.RANK.AVG($J11,($J11,$O11,$T11),1)-2)*10)</f>
        <v>-19</v>
      </c>
      <c r="V11" s="54">
        <f>IF($O11="","",ROUND(($O11-$O$3)/1000,1)+(_xlfn.RANK.AVG($O11,($J11,$O11,$T11),1)-2)*10)</f>
        <v>26.5</v>
      </c>
      <c r="W11" s="55">
        <f>IF($T11="","",ROUND(($T11-$T$3)/1000,1)+(_xlfn.RANK.AVG($T11,($J11,$O11,$T11),1)-2)*10)</f>
        <v>-7.5</v>
      </c>
      <c r="Y11" s="8"/>
      <c r="Z11" s="34"/>
      <c r="AA11" s="26"/>
      <c r="AB11" s="26"/>
      <c r="AC11" s="26">
        <v>5</v>
      </c>
      <c r="AD11" s="30" t="s">
        <v>202</v>
      </c>
      <c r="AE11" s="40" t="s">
        <v>79</v>
      </c>
      <c r="AF11" s="41" t="s">
        <v>79</v>
      </c>
      <c r="AG11" s="41" t="s">
        <v>205</v>
      </c>
      <c r="AH11" s="41" t="s">
        <v>101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4000</v>
      </c>
      <c r="H12" s="9"/>
      <c r="I12" s="48">
        <v>0</v>
      </c>
      <c r="J12" s="21">
        <f t="shared" si="2"/>
        <v>30000</v>
      </c>
      <c r="K12" s="8" t="s">
        <v>200</v>
      </c>
      <c r="L12" s="9">
        <v>-1500</v>
      </c>
      <c r="M12" s="9"/>
      <c r="N12" s="48">
        <v>0</v>
      </c>
      <c r="O12" s="21">
        <f t="shared" si="3"/>
        <v>50000</v>
      </c>
      <c r="P12" s="8" t="s">
        <v>200</v>
      </c>
      <c r="Q12" s="9">
        <v>-2500</v>
      </c>
      <c r="R12" s="9"/>
      <c r="S12" s="48">
        <v>0</v>
      </c>
      <c r="T12" s="21">
        <f t="shared" si="4"/>
        <v>25000</v>
      </c>
      <c r="U12" s="53">
        <f>IF($J12="","",ROUND(($J12-$J$3)/1000,1)+(_xlfn.RANK.AVG($J12,($J12,$O12,$T12),1)-2)*10)</f>
        <v>-5</v>
      </c>
      <c r="V12" s="54">
        <f>IF($O12="","",ROUND(($O12-$O$3)/1000,1)+(_xlfn.RANK.AVG($O12,($J12,$O12,$T12),1)-2)*10)</f>
        <v>25</v>
      </c>
      <c r="W12" s="55">
        <f>IF($T12="","",ROUND(($T12-$T$3)/1000,1)+(_xlfn.RANK.AVG($T12,($J12,$O12,$T12),1)-2)*10)</f>
        <v>-20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82</v>
      </c>
      <c r="AF12" s="41" t="s">
        <v>208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BE83C69-501E-4FA2-8B99-41333D13EC8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D994-E943-4A8D-B310-12F5E79D01E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201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200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200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>
        <v>5</v>
      </c>
      <c r="AD4" s="30" t="s">
        <v>202</v>
      </c>
      <c r="AE4" s="40" t="s">
        <v>105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43000</v>
      </c>
      <c r="K5" s="8" t="s">
        <v>207</v>
      </c>
      <c r="L5" s="9">
        <v>8000</v>
      </c>
      <c r="M5" s="9"/>
      <c r="N5" s="48">
        <v>0</v>
      </c>
      <c r="O5" s="21">
        <f t="shared" ref="O5:O30" si="3">IF(COUNTA($F5,$K5,$P5)&gt;0,O4+SUM(L5:N5),"")</f>
        <v>38000</v>
      </c>
      <c r="P5" s="8" t="s">
        <v>206</v>
      </c>
      <c r="Q5" s="9">
        <v>-8000</v>
      </c>
      <c r="R5" s="9"/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3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40</v>
      </c>
      <c r="AZ5" s="40" t="s">
        <v>104</v>
      </c>
      <c r="BA5" s="41" t="s">
        <v>84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207</v>
      </c>
      <c r="G6" s="9">
        <v>18000</v>
      </c>
      <c r="H6" s="9">
        <v>2000</v>
      </c>
      <c r="I6" s="48">
        <v>0</v>
      </c>
      <c r="J6" s="21">
        <f t="shared" si="2"/>
        <v>63000</v>
      </c>
      <c r="K6" s="8"/>
      <c r="L6" s="9"/>
      <c r="M6" s="9">
        <v>-1000</v>
      </c>
      <c r="N6" s="48"/>
      <c r="O6" s="21">
        <f t="shared" si="3"/>
        <v>37000</v>
      </c>
      <c r="P6" s="8" t="s">
        <v>206</v>
      </c>
      <c r="Q6" s="9">
        <v>-18000</v>
      </c>
      <c r="R6" s="9">
        <v>-1000</v>
      </c>
      <c r="S6" s="48">
        <v>0</v>
      </c>
      <c r="T6" s="21">
        <f t="shared" si="4"/>
        <v>5000</v>
      </c>
      <c r="U6" s="53">
        <f>IF($J6="","",ROUND(($J6-$J$3)/1000,1)+(_xlfn.RANK.AVG($J6,($J6,$O6,$T6),1)-2)*10)</f>
        <v>38</v>
      </c>
      <c r="V6" s="54">
        <f>IF($O6="","",ROUND(($O6-$O$3)/1000,1)+(_xlfn.RANK.AVG($O6,($J6,$O6,$T6),1)-2)*10)</f>
        <v>2</v>
      </c>
      <c r="W6" s="55">
        <f>IF($T6="","",ROUND(($T6-$T$3)/1000,1)+(_xlfn.RANK.AVG($T6,($J6,$O6,$T6),1)-2)*10)</f>
        <v>-40</v>
      </c>
      <c r="Y6" s="8"/>
      <c r="Z6" s="34"/>
      <c r="AA6" s="26">
        <v>1</v>
      </c>
      <c r="AB6" s="26"/>
      <c r="AC6" s="26">
        <v>6</v>
      </c>
      <c r="AD6" s="30" t="s">
        <v>202</v>
      </c>
      <c r="AE6" s="40" t="s">
        <v>208</v>
      </c>
      <c r="AF6" s="41" t="s">
        <v>204</v>
      </c>
      <c r="AG6" s="41" t="s">
        <v>83</v>
      </c>
      <c r="AH6" s="41" t="s">
        <v>80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199</v>
      </c>
      <c r="G7" s="9">
        <v>-1500</v>
      </c>
      <c r="H7" s="9"/>
      <c r="I7" s="48"/>
      <c r="J7" s="21">
        <f t="shared" si="2"/>
        <v>61500</v>
      </c>
      <c r="K7" s="8" t="s">
        <v>199</v>
      </c>
      <c r="L7" s="9">
        <v>3000</v>
      </c>
      <c r="M7" s="9">
        <v>-1000</v>
      </c>
      <c r="N7" s="48"/>
      <c r="O7" s="21">
        <f t="shared" si="3"/>
        <v>39000</v>
      </c>
      <c r="P7" s="8" t="s">
        <v>199</v>
      </c>
      <c r="Q7" s="9">
        <v>-1500</v>
      </c>
      <c r="R7" s="9"/>
      <c r="S7" s="48"/>
      <c r="T7" s="21">
        <f t="shared" si="4"/>
        <v>3500</v>
      </c>
      <c r="U7" s="53">
        <f>IF($J7="","",ROUND(($J7-$J$3)/1000,1)+(_xlfn.RANK.AVG($J7,($J7,$O7,$T7),1)-2)*10)</f>
        <v>36.5</v>
      </c>
      <c r="V7" s="54">
        <f>IF($O7="","",ROUND(($O7-$O$3)/1000,1)+(_xlfn.RANK.AVG($O7,($J7,$O7,$T7),1)-2)*10)</f>
        <v>4</v>
      </c>
      <c r="W7" s="55">
        <f>IF($T7="","",ROUND(($T7-$T$3)/1000,1)+(_xlfn.RANK.AVG($T7,($J7,$O7,$T7),1)-2)*10)</f>
        <v>-41.5</v>
      </c>
      <c r="Y7" s="8" t="s">
        <v>198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">
        <v>209</v>
      </c>
      <c r="F8" s="8" t="s">
        <v>201</v>
      </c>
      <c r="G8" s="9">
        <v>8000</v>
      </c>
      <c r="H8" s="9">
        <v>1000</v>
      </c>
      <c r="I8" s="48">
        <v>2000</v>
      </c>
      <c r="J8" s="21">
        <f t="shared" si="2"/>
        <v>72500</v>
      </c>
      <c r="K8" s="8" t="s">
        <v>200</v>
      </c>
      <c r="L8" s="9">
        <v>-5000</v>
      </c>
      <c r="M8" s="9"/>
      <c r="N8" s="48">
        <v>-1000</v>
      </c>
      <c r="O8" s="21">
        <f t="shared" si="3"/>
        <v>33000</v>
      </c>
      <c r="P8" s="8" t="s">
        <v>200</v>
      </c>
      <c r="Q8" s="9">
        <v>-3000</v>
      </c>
      <c r="R8" s="9"/>
      <c r="S8" s="48">
        <v>-1000</v>
      </c>
      <c r="T8" s="21">
        <f t="shared" si="4"/>
        <v>-500</v>
      </c>
      <c r="U8" s="53">
        <f>IF($J8="","",ROUND(($J8-$J$3)/1000,1)+(_xlfn.RANK.AVG($J8,($J8,$O8,$T8),1)-2)*10)</f>
        <v>47.5</v>
      </c>
      <c r="V8" s="54">
        <f>IF($O8="","",ROUND(($O8-$O$3)/1000,1)+(_xlfn.RANK.AVG($O8,($J8,$O8,$T8),1)-2)*10)</f>
        <v>-2</v>
      </c>
      <c r="W8" s="55">
        <f>IF($T8="","",ROUND(($T8-$T$3)/1000,1)+(_xlfn.RANK.AVG($T8,($J8,$O8,$T8),1)-2)*10)</f>
        <v>-45.5</v>
      </c>
      <c r="Y8" s="8"/>
      <c r="Z8" s="34"/>
      <c r="AA8" s="26">
        <v>1</v>
      </c>
      <c r="AB8" s="26"/>
      <c r="AC8" s="26">
        <v>5</v>
      </c>
      <c r="AD8" s="30" t="s">
        <v>202</v>
      </c>
      <c r="AE8" s="40" t="s">
        <v>203</v>
      </c>
      <c r="AF8" s="41" t="s">
        <v>82</v>
      </c>
      <c r="AG8" s="41" t="s">
        <v>83</v>
      </c>
      <c r="AH8" s="41" t="s">
        <v>79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9E8590F-D8C6-41D0-A07D-615D6646B8C5}">
      <formula1>"たかの,だいち,ただ,りくと,れんたろう,まっつん,のり,ぱぱ,ほたに,いっしー,"</formula1>
    </dataValidation>
    <dataValidation type="list" showInputMessage="1" showErrorMessage="1" sqref="K4:K30 P4:P30 F4:F30" xr:uid="{D07F8D2E-99CA-4312-8559-FA889897A0B0}">
      <formula1>"ロン,ツモ,放銃,ツモ支払,流局,チョンボ"</formula1>
    </dataValidation>
    <dataValidation type="list" allowBlank="1" showInputMessage="1" showErrorMessage="1" sqref="E4:E30" xr:uid="{DB6E1A57-ADB9-467B-BC5F-701B8E61BA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ABDEB-CBCB-40B5-8E69-E5AFA3782098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206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207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203</v>
      </c>
      <c r="BV4" s="41" t="s">
        <v>84</v>
      </c>
      <c r="BW4" s="41" t="s">
        <v>204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44000</v>
      </c>
      <c r="K5" s="8" t="s">
        <v>200</v>
      </c>
      <c r="L5" s="9">
        <v>-3000</v>
      </c>
      <c r="M5" s="9"/>
      <c r="N5" s="48">
        <v>0</v>
      </c>
      <c r="O5" s="21">
        <f t="shared" ref="O5:O30" si="3">IF(COUNTA($F5,$K5,$P5)&gt;0,O4+SUM(L5:N5),"")</f>
        <v>26800</v>
      </c>
      <c r="P5" s="8" t="s">
        <v>200</v>
      </c>
      <c r="Q5" s="9">
        <v>-5000</v>
      </c>
      <c r="R5" s="9">
        <v>-1000</v>
      </c>
      <c r="S5" s="48">
        <v>0</v>
      </c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19</v>
      </c>
      <c r="V5" s="54">
        <f>IF($O5="","",ROUND(($O5-$O$3)/1000,1)+(_xlfn.RANK.AVG($O5,($J5,$O5,$T5),1)-2)*10)</f>
        <v>-18.2</v>
      </c>
      <c r="W5" s="55">
        <f>IF($T5="","",ROUND(($T5-$T$3)/1000,1)+(_xlfn.RANK.AVG($T5,($J5,$O5,$T5),1)-2)*10)</f>
        <v>-0.8</v>
      </c>
      <c r="Y5" s="8"/>
      <c r="Z5" s="34"/>
      <c r="AA5" s="26">
        <v>1</v>
      </c>
      <c r="AB5" s="26"/>
      <c r="AC5" s="26">
        <v>5</v>
      </c>
      <c r="AD5" s="30" t="s">
        <v>202</v>
      </c>
      <c r="AE5" s="40" t="s">
        <v>203</v>
      </c>
      <c r="AF5" s="41" t="s">
        <v>82</v>
      </c>
      <c r="AG5" s="41" t="s">
        <v>85</v>
      </c>
      <c r="AH5" s="41" t="s">
        <v>80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-4800</v>
      </c>
      <c r="H6" s="9">
        <v>-1000</v>
      </c>
      <c r="I6" s="48">
        <v>0</v>
      </c>
      <c r="J6" s="21">
        <f t="shared" si="2"/>
        <v>38200</v>
      </c>
      <c r="K6" s="8" t="s">
        <v>201</v>
      </c>
      <c r="L6" s="9">
        <v>7700</v>
      </c>
      <c r="M6" s="9">
        <v>1000</v>
      </c>
      <c r="N6" s="48">
        <v>0</v>
      </c>
      <c r="O6" s="21">
        <f t="shared" si="3"/>
        <v>35500</v>
      </c>
      <c r="P6" s="8" t="s">
        <v>200</v>
      </c>
      <c r="Q6" s="9">
        <v>-2900</v>
      </c>
      <c r="R6" s="9"/>
      <c r="S6" s="48">
        <v>0</v>
      </c>
      <c r="T6" s="21">
        <f t="shared" si="4"/>
        <v>31300</v>
      </c>
      <c r="U6" s="53">
        <f>IF($J6="","",ROUND(($J6-$J$3)/1000,1)+(_xlfn.RANK.AVG($J6,($J6,$O6,$T6),1)-2)*10)</f>
        <v>13.2</v>
      </c>
      <c r="V6" s="54">
        <f>IF($O6="","",ROUND(($O6-$O$3)/1000,1)+(_xlfn.RANK.AVG($O6,($J6,$O6,$T6),1)-2)*10)</f>
        <v>0.5</v>
      </c>
      <c r="W6" s="55">
        <f>IF($T6="","",ROUND(($T6-$T$3)/1000,1)+(_xlfn.RANK.AVG($T6,($J6,$O6,$T6),1)-2)*10)</f>
        <v>-13.7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30</v>
      </c>
      <c r="AZ6" s="40" t="s">
        <v>203</v>
      </c>
      <c r="BA6" s="41" t="s">
        <v>104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209</v>
      </c>
      <c r="F7" s="8"/>
      <c r="G7" s="9"/>
      <c r="H7" s="9"/>
      <c r="I7" s="48"/>
      <c r="J7" s="21">
        <f t="shared" si="2"/>
        <v>38200</v>
      </c>
      <c r="K7" s="8" t="s">
        <v>207</v>
      </c>
      <c r="L7" s="9">
        <v>1500</v>
      </c>
      <c r="M7" s="9"/>
      <c r="N7" s="48">
        <v>0</v>
      </c>
      <c r="O7" s="21">
        <f t="shared" si="3"/>
        <v>37000</v>
      </c>
      <c r="P7" s="8" t="s">
        <v>206</v>
      </c>
      <c r="Q7" s="9">
        <v>-1500</v>
      </c>
      <c r="R7" s="9"/>
      <c r="S7" s="48">
        <v>0</v>
      </c>
      <c r="T7" s="21">
        <f t="shared" si="4"/>
        <v>29800</v>
      </c>
      <c r="U7" s="53">
        <f>IF($J7="","",ROUND(($J7-$J$3)/1000,1)+(_xlfn.RANK.AVG($J7,($J7,$O7,$T7),1)-2)*10)</f>
        <v>13.2</v>
      </c>
      <c r="V7" s="54">
        <f>IF($O7="","",ROUND(($O7-$O$3)/1000,1)+(_xlfn.RANK.AVG($O7,($J7,$O7,$T7),1)-2)*10)</f>
        <v>2</v>
      </c>
      <c r="W7" s="55">
        <f>IF($T7="","",ROUND(($T7-$T$3)/1000,1)+(_xlfn.RANK.AVG($T7,($J7,$O7,$T7),1)-2)*10)</f>
        <v>-15.2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209</v>
      </c>
      <c r="F8" s="8" t="s">
        <v>201</v>
      </c>
      <c r="G8" s="9">
        <v>12000</v>
      </c>
      <c r="H8" s="9"/>
      <c r="I8" s="48">
        <v>1000</v>
      </c>
      <c r="J8" s="21">
        <f t="shared" si="2"/>
        <v>51200</v>
      </c>
      <c r="K8" s="8" t="s">
        <v>200</v>
      </c>
      <c r="L8" s="9">
        <v>-7500</v>
      </c>
      <c r="M8" s="9"/>
      <c r="N8" s="48">
        <v>-500</v>
      </c>
      <c r="O8" s="21">
        <f t="shared" si="3"/>
        <v>29000</v>
      </c>
      <c r="P8" s="8" t="s">
        <v>200</v>
      </c>
      <c r="Q8" s="9">
        <v>-4500</v>
      </c>
      <c r="R8" s="9"/>
      <c r="S8" s="48">
        <v>-500</v>
      </c>
      <c r="T8" s="21">
        <f t="shared" si="4"/>
        <v>24800</v>
      </c>
      <c r="U8" s="53">
        <f>IF($J8="","",ROUND(($J8-$J$3)/1000,1)+(_xlfn.RANK.AVG($J8,($J8,$O8,$T8),1)-2)*10)</f>
        <v>26.2</v>
      </c>
      <c r="V8" s="54">
        <f>IF($O8="","",ROUND(($O8-$O$3)/1000,1)+(_xlfn.RANK.AVG($O8,($J8,$O8,$T8),1)-2)*10)</f>
        <v>-6</v>
      </c>
      <c r="W8" s="55">
        <f>IF($T8="","",ROUND(($T8-$T$3)/1000,1)+(_xlfn.RANK.AVG($T8,($J8,$O8,$T8),1)-2)*10)</f>
        <v>-20.2</v>
      </c>
      <c r="Y8" s="8"/>
      <c r="Z8" s="34"/>
      <c r="AA8" s="26">
        <v>1</v>
      </c>
      <c r="AB8" s="26"/>
      <c r="AC8" s="26">
        <v>6</v>
      </c>
      <c r="AD8" s="30" t="s">
        <v>202</v>
      </c>
      <c r="AE8" s="40" t="s">
        <v>203</v>
      </c>
      <c r="AF8" s="41" t="s">
        <v>82</v>
      </c>
      <c r="AG8" s="41" t="s">
        <v>79</v>
      </c>
      <c r="AH8" s="41" t="s">
        <v>79</v>
      </c>
      <c r="AI8" s="41" t="s">
        <v>79</v>
      </c>
      <c r="AJ8" s="41" t="s">
        <v>205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200</v>
      </c>
      <c r="G9" s="9">
        <v>-3000</v>
      </c>
      <c r="H9" s="9">
        <v>-1000</v>
      </c>
      <c r="I9" s="48">
        <v>0</v>
      </c>
      <c r="J9" s="21">
        <f t="shared" si="2"/>
        <v>47200</v>
      </c>
      <c r="K9" s="8" t="s">
        <v>201</v>
      </c>
      <c r="L9" s="9">
        <v>8000</v>
      </c>
      <c r="M9" s="9">
        <v>2000</v>
      </c>
      <c r="N9" s="48">
        <v>0</v>
      </c>
      <c r="O9" s="21">
        <f t="shared" si="3"/>
        <v>39000</v>
      </c>
      <c r="P9" s="8" t="s">
        <v>200</v>
      </c>
      <c r="Q9" s="9">
        <v>-5000</v>
      </c>
      <c r="R9" s="9">
        <v>-1000</v>
      </c>
      <c r="S9" s="48">
        <v>0</v>
      </c>
      <c r="T9" s="21">
        <f t="shared" si="4"/>
        <v>18800</v>
      </c>
      <c r="U9" s="53">
        <f>IF($J9="","",ROUND(($J9-$J$3)/1000,1)+(_xlfn.RANK.AVG($J9,($J9,$O9,$T9),1)-2)*10)</f>
        <v>22.2</v>
      </c>
      <c r="V9" s="54">
        <f>IF($O9="","",ROUND(($O9-$O$3)/1000,1)+(_xlfn.RANK.AVG($O9,($J9,$O9,$T9),1)-2)*10)</f>
        <v>4</v>
      </c>
      <c r="W9" s="55">
        <f>IF($T9="","",ROUND(($T9-$T$3)/1000,1)+(_xlfn.RANK.AVG($T9,($J9,$O9,$T9),1)-2)*10)</f>
        <v>-26.2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202</v>
      </c>
      <c r="AZ9" s="40" t="s">
        <v>203</v>
      </c>
      <c r="BA9" s="41" t="s">
        <v>82</v>
      </c>
      <c r="BB9" s="41" t="s">
        <v>204</v>
      </c>
      <c r="BC9" s="41" t="s">
        <v>85</v>
      </c>
      <c r="BD9" s="41" t="s">
        <v>205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206</v>
      </c>
      <c r="G10" s="9">
        <v>-8000</v>
      </c>
      <c r="H10" s="9"/>
      <c r="I10" s="48">
        <v>0</v>
      </c>
      <c r="J10" s="21">
        <f t="shared" si="2"/>
        <v>39200</v>
      </c>
      <c r="K10" s="8" t="s">
        <v>207</v>
      </c>
      <c r="L10" s="9">
        <v>8000</v>
      </c>
      <c r="M10" s="9"/>
      <c r="N10" s="48">
        <v>0</v>
      </c>
      <c r="O10" s="21">
        <f t="shared" si="3"/>
        <v>47000</v>
      </c>
      <c r="P10" s="8"/>
      <c r="Q10" s="9"/>
      <c r="R10" s="9"/>
      <c r="S10" s="48"/>
      <c r="T10" s="21">
        <f t="shared" si="4"/>
        <v>18800</v>
      </c>
      <c r="U10" s="53">
        <f>IF($J10="","",ROUND(($J10-$J$3)/1000,1)+(_xlfn.RANK.AVG($J10,($J10,$O10,$T10),1)-2)*10)</f>
        <v>4.2</v>
      </c>
      <c r="V10" s="54">
        <f>IF($O10="","",ROUND(($O10-$O$3)/1000,1)+(_xlfn.RANK.AVG($O10,($J10,$O10,$T10),1)-2)*10)</f>
        <v>22</v>
      </c>
      <c r="W10" s="55">
        <f>IF($T10="","",ROUND(($T10-$T$3)/1000,1)+(_xlfn.RANK.AVG($T10,($J10,$O10,$T10),1)-2)*10)</f>
        <v>-26.2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202</v>
      </c>
      <c r="AZ10" s="40" t="s">
        <v>85</v>
      </c>
      <c r="BA10" s="41" t="s">
        <v>205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209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12A9FBB-4938-43AD-BA37-3688276F75E3}">
      <formula1>$U$2:$W$2</formula1>
    </dataValidation>
    <dataValidation type="list" showInputMessage="1" showErrorMessage="1" sqref="K4:K30 P4:P30 F4:F30" xr:uid="{80B25800-725F-4DC2-B7D5-269F03460D0F}">
      <formula1>"ロン,ツモ,放銃,ツモ支払,流局,チョンボ"</formula1>
    </dataValidation>
    <dataValidation type="list" allowBlank="1" showInputMessage="1" sqref="F1:T1" xr:uid="{47402721-AADD-454E-A304-53EBD349393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2019-12-02T12:03:40Z</dcterms:modified>
</cp:coreProperties>
</file>