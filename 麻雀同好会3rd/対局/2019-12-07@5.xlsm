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A4A961F-FA76-47E9-8240-11F48486EE7D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D14" i="22"/>
  <c r="C14" i="22"/>
  <c r="D13" i="22"/>
  <c r="C13" i="22"/>
  <c r="D12" i="22"/>
  <c r="D11" i="22"/>
  <c r="C11" i="22"/>
  <c r="C12" i="22" s="1"/>
  <c r="D10" i="22"/>
  <c r="D9" i="22"/>
  <c r="D8" i="22"/>
  <c r="D7" i="22"/>
  <c r="C7" i="22"/>
  <c r="C8" i="22" s="1"/>
  <c r="C9" i="22" s="1"/>
  <c r="C10" i="22" s="1"/>
  <c r="D6" i="22"/>
  <c r="C6" i="22"/>
  <c r="B6" i="22"/>
  <c r="B7" i="22" s="1"/>
  <c r="A6" i="22"/>
  <c r="T5" i="22"/>
  <c r="D5" i="22"/>
  <c r="C5" i="22"/>
  <c r="B5" i="22"/>
  <c r="A5" i="22" s="1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T10" i="21"/>
  <c r="O10" i="21"/>
  <c r="J10" i="21"/>
  <c r="D10" i="21"/>
  <c r="C10" i="21"/>
  <c r="B10" i="21"/>
  <c r="A10" i="21" s="1"/>
  <c r="D9" i="21"/>
  <c r="C9" i="21"/>
  <c r="D8" i="21"/>
  <c r="C8" i="21"/>
  <c r="D7" i="21"/>
  <c r="C7" i="21"/>
  <c r="D6" i="21"/>
  <c r="C6" i="21"/>
  <c r="T5" i="21"/>
  <c r="T6" i="21" s="1"/>
  <c r="O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C6" i="20"/>
  <c r="T5" i="20"/>
  <c r="T6" i="20" s="1"/>
  <c r="O5" i="20"/>
  <c r="D5" i="20"/>
  <c r="C5" i="20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V4" i="22" l="1"/>
  <c r="O6" i="22"/>
  <c r="B8" i="22"/>
  <c r="J5" i="22"/>
  <c r="A7" i="22"/>
  <c r="A8" i="22" s="1"/>
  <c r="U4" i="22"/>
  <c r="W4" i="22"/>
  <c r="T6" i="22"/>
  <c r="U14" i="21"/>
  <c r="W14" i="21"/>
  <c r="V14" i="21"/>
  <c r="U13" i="21"/>
  <c r="W13" i="21"/>
  <c r="V13" i="21"/>
  <c r="U12" i="21"/>
  <c r="V12" i="21"/>
  <c r="W12" i="21"/>
  <c r="V11" i="21"/>
  <c r="W11" i="21"/>
  <c r="V10" i="21"/>
  <c r="U10" i="21"/>
  <c r="W10" i="21"/>
  <c r="V4" i="21"/>
  <c r="W4" i="21"/>
  <c r="U4" i="21"/>
  <c r="T7" i="21"/>
  <c r="B7" i="21"/>
  <c r="J5" i="21"/>
  <c r="V5" i="21" s="1"/>
  <c r="O6" i="21"/>
  <c r="A5" i="21"/>
  <c r="A6" i="21" s="1"/>
  <c r="W4" i="20"/>
  <c r="T7" i="20"/>
  <c r="B6" i="20"/>
  <c r="J5" i="20"/>
  <c r="V5" i="20" s="1"/>
  <c r="V4" i="20"/>
  <c r="O6" i="20"/>
  <c r="O7" i="22" l="1"/>
  <c r="B9" i="22"/>
  <c r="A9" i="22" s="1"/>
  <c r="T7" i="22"/>
  <c r="U5" i="22"/>
  <c r="J6" i="22"/>
  <c r="V6" i="22" s="1"/>
  <c r="V5" i="22"/>
  <c r="W5" i="22"/>
  <c r="A7" i="21"/>
  <c r="O7" i="21"/>
  <c r="T8" i="21"/>
  <c r="U5" i="21"/>
  <c r="J6" i="21"/>
  <c r="V6" i="21" s="1"/>
  <c r="W5" i="21"/>
  <c r="B8" i="21"/>
  <c r="A8" i="21"/>
  <c r="T8" i="20"/>
  <c r="O7" i="20"/>
  <c r="W5" i="20"/>
  <c r="U5" i="20"/>
  <c r="J6" i="20"/>
  <c r="B7" i="20"/>
  <c r="A6" i="20"/>
  <c r="U6" i="22" l="1"/>
  <c r="J7" i="22"/>
  <c r="W7" i="22" s="1"/>
  <c r="T8" i="22"/>
  <c r="W6" i="22"/>
  <c r="B10" i="22"/>
  <c r="A10" i="22" s="1"/>
  <c r="O8" i="22"/>
  <c r="O8" i="21"/>
  <c r="B9" i="21"/>
  <c r="A9" i="21" s="1"/>
  <c r="U6" i="21"/>
  <c r="J7" i="21"/>
  <c r="V7" i="21" s="1"/>
  <c r="W6" i="21"/>
  <c r="T9" i="21"/>
  <c r="A7" i="20"/>
  <c r="T9" i="20"/>
  <c r="B8" i="20"/>
  <c r="A8" i="20" s="1"/>
  <c r="O8" i="20"/>
  <c r="U6" i="20"/>
  <c r="J7" i="20"/>
  <c r="W6" i="20"/>
  <c r="V6" i="20"/>
  <c r="O9" i="22" l="1"/>
  <c r="T9" i="22"/>
  <c r="B11" i="22"/>
  <c r="A11" i="22"/>
  <c r="U7" i="22"/>
  <c r="J8" i="22"/>
  <c r="V7" i="22"/>
  <c r="O9" i="21"/>
  <c r="J8" i="21"/>
  <c r="V8" i="21" s="1"/>
  <c r="U7" i="21"/>
  <c r="W7" i="21"/>
  <c r="U7" i="20"/>
  <c r="J8" i="20"/>
  <c r="V8" i="20" s="1"/>
  <c r="W7" i="20"/>
  <c r="O9" i="20"/>
  <c r="V7" i="20"/>
  <c r="B9" i="20"/>
  <c r="A9" i="20" s="1"/>
  <c r="T10" i="20"/>
  <c r="U8" i="22" l="1"/>
  <c r="J9" i="22"/>
  <c r="W9" i="22" s="1"/>
  <c r="B12" i="22"/>
  <c r="A12" i="22"/>
  <c r="T10" i="22"/>
  <c r="W8" i="22"/>
  <c r="V9" i="22"/>
  <c r="O10" i="22"/>
  <c r="V8" i="22"/>
  <c r="U8" i="21"/>
  <c r="J9" i="21"/>
  <c r="W8" i="21"/>
  <c r="B10" i="20"/>
  <c r="A10" i="20" s="1"/>
  <c r="O10" i="20"/>
  <c r="U8" i="20"/>
  <c r="J9" i="20"/>
  <c r="W8" i="20"/>
  <c r="T11" i="22" l="1"/>
  <c r="B13" i="22"/>
  <c r="A13" i="22"/>
  <c r="U9" i="22"/>
  <c r="J10" i="22"/>
  <c r="O11" i="22"/>
  <c r="V10" i="22"/>
  <c r="U9" i="21"/>
  <c r="W9" i="21"/>
  <c r="V9" i="21"/>
  <c r="U9" i="20"/>
  <c r="J10" i="20"/>
  <c r="V10" i="20" s="1"/>
  <c r="W9" i="20"/>
  <c r="V9" i="20"/>
  <c r="U10" i="22" l="1"/>
  <c r="J11" i="22"/>
  <c r="B14" i="22"/>
  <c r="A14" i="22" s="1"/>
  <c r="V11" i="22"/>
  <c r="O12" i="22"/>
  <c r="W11" i="22"/>
  <c r="T12" i="22"/>
  <c r="W10" i="22"/>
  <c r="U10" i="20"/>
  <c r="W10" i="20"/>
  <c r="T13" i="22" l="1"/>
  <c r="O13" i="22"/>
  <c r="J12" i="22"/>
  <c r="U11" i="22"/>
  <c r="U12" i="22" l="1"/>
  <c r="J13" i="22"/>
  <c r="V13" i="22" s="1"/>
  <c r="O14" i="22"/>
  <c r="V12" i="22"/>
  <c r="T14" i="22"/>
  <c r="W12" i="22"/>
  <c r="W13" i="22" l="1"/>
  <c r="U13" i="22"/>
  <c r="J14" i="22"/>
  <c r="U14" i="22" s="1"/>
  <c r="W14" i="22" l="1"/>
  <c r="V14" i="22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19" l="1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<sst xmlns="http://schemas.openxmlformats.org/spreadsheetml/2006/main" count="894" uniqueCount="210">
  <si>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</si>
  <si>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</si>
  <si>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</si>
  <si>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</si>
  <si>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</si>
  <si>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</si>
  <si>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</si>
  <si>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</si>
  <si>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</si>
  <si>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</si>
  <si>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</si>
  <si>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</si>
  <si>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</si>
  <si>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</si>
  <si>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</si>
  <si>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</si>
  <si>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</si>
  <si>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</si>
  <si>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</si>
  <si>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</si>
  <si>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</si>
  <si>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</si>
  <si>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</si>
  <si>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</si>
  <si>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</si>
  <si>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</si>
  <si>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</si>
  <si>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</si>
  <si>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</si>
  <si>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</si>
  <si>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</si>
  <si>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</si>
  <si>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</si>
  <si>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</si>
  <si>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</si>
  <si>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</si>
  <si>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</si>
  <si>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</si>
  <si>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</si>
  <si>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</si>
  <si>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</si>
  <si>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</si>
  <si>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</si>
  <si>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</si>
  <si>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</si>
  <si>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</si>
  <si>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</si>
  <si>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</si>
  <si>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</si>
  <si>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</si>
  <si>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</si>
  <si>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</si>
  <si>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</si>
  <si>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</si>
  <si>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</si>
  <si>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</si>
  <si>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</si>
  <si>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</si>
  <si>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</si>
  <si>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</si>
  <si>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</si>
  <si>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</si>
  <si>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</si>
  <si>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</si>
  <si>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</si>
  <si>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</si>
  <si>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</si>
  <si>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</si>
  <si>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</si>
  <si>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</si>
  <si>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</si>
  <si>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</si>
  <si>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</si>
  <si>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</si>
  <si>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</si>
  <si>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</si>
  <si>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</si>
  <si>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</si>
  <si>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</si>
  <si>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</si>
  <si>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</si>
  <si>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</si>
  <si>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</si>
  <si>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</si>
  <si>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</si>
  <si>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</si>
  <si>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</si>
  <si>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</si>
  <si>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</si>
  <si>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</si>
  <si>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</si>
  <si>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</si>
  <si>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</si>
  <si>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</si>
  <si>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</si>
  <si>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</si>
  <si>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</si>
  <si>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</si>
  <si>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</si>
  <si>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</si>
  <si>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</si>
  <si>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</si>
  <si>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</si>
  <si>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</si>
  <si>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</si>
  <si>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</si>
  <si>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</si>
  <si>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</si>
  <si>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</si>
  <si>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</si>
  <si>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</si>
  <si>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</si>
  <si>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</si>
  <si>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</si>
  <si>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</si>
  <si>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</si>
  <si>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</si>
  <si>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</si>
  <si>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</si>
  <si>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</si>
  <si>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</si>
  <si>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</si>
  <si>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</si>
  <si>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</si>
  <si>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</si>
  <si>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</si>
  <si>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</si>
  <si>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</si>
  <si>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</si>
  <si>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</si>
  <si>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</si>
  <si>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</si>
  <si>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</si>
  <si>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</si>
  <si>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</si>
  <si>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</si>
  <si>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</si>
  <si>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</si>
  <si>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</si>
  <si>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</si>
  <si>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</si>
  <si>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</si>
  <si>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</si>
  <si>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</si>
  <si>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</si>
  <si>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</si>
  <si>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</si>
  <si>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</si>
  <si>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</si>
  <si>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</si>
  <si>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</si>
  <si>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</si>
  <si>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</si>
  <si>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</si>
  <si>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</si>
  <si>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</si>
  <si>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</si>
  <si>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</si>
  <si>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</si>
  <si>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</si>
  <si>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</si>
  <si>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</si>
  <si>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</si>
  <si>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</si>
  <si>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</si>
  <si>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</si>
  <si>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</si>
  <si>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</si>
  <si>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</si>
  <si>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</si>
  <si>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</si>
  <si>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</si>
  <si>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</si>
  <si>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</si>
  <si>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</si>
  <si>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</si>
  <si>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</si>
  <si>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</si>
  <si>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</si>
  <si>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</si>
  <si>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</si>
  <si>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</si>
  <si>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</si>
  <si>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</si>
  <si>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</si>
  <si>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</si>
  <si>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</si>
  <si>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</si>
  <si>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</si>
  <si>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</si>
  <si>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</si>
  <si>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</t>
  </si>
  <si>
    <t>たか</t>
    <phoneticPr fontId="1"/>
  </si>
  <si>
    <t>のり</t>
  </si>
  <si>
    <t>のり</t>
    <phoneticPr fontId="1"/>
  </si>
  <si>
    <t>ゆう</t>
  </si>
  <si>
    <t>ゆう</t>
    <phoneticPr fontId="1"/>
  </si>
  <si>
    <t>ツモ支払</t>
  </si>
  <si>
    <t>ツモ</t>
  </si>
  <si>
    <t>*</t>
  </si>
  <si>
    <t>01</t>
  </si>
  <si>
    <t>ロン</t>
  </si>
  <si>
    <t>放銃</t>
  </si>
  <si>
    <t>52</t>
  </si>
  <si>
    <t>だいち</t>
  </si>
  <si>
    <t>だいち</t>
    <phoneticPr fontId="1"/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</si>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</sst>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ゆう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</v>
      </c>
      <c r="V2" s="64" t="str">
        <f>$K$1</f>
        <v>のり</v>
      </c>
      <c r="W2" s="16" t="str">
        <f>$P$1</f>
        <v>ゆう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-4500</v>
      </c>
      <c r="H4" s="9">
        <v>-1000</v>
      </c>
      <c r="I4" s="48">
        <v>0</v>
      </c>
      <c r="J4" s="21">
        <f>IF(COUNTA($F4,$K4,$P4)&gt;0,J3+SUM(G4:I4),"")</f>
        <v>29500</v>
      </c>
      <c r="K4" s="8" t="s">
        <v>197</v>
      </c>
      <c r="L4" s="9">
        <v>-7500</v>
      </c>
      <c r="M4" s="9"/>
      <c r="N4" s="48">
        <v>0</v>
      </c>
      <c r="O4" s="21">
        <f>IF(COUNTA($F4,$K4,$P4)&gt;0,O3+SUM(L4:N4),"")</f>
        <v>27500</v>
      </c>
      <c r="P4" s="8" t="s">
        <v>198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-5.5</v>
      </c>
      <c r="V4" s="54">
        <f>IF($O4="","",ROUND(($O4-$O$3)/1000,1)+(_xlfn.RANK.AVG($O4,($J4,$O4,$T4),1)-2)*10)</f>
        <v>-17.5</v>
      </c>
      <c r="W4" s="55">
        <f>IF($T4="","",ROUND(($T4-$T$3)/1000,1)+(_xlfn.RANK.AVG($T4,($J4,$O4,$T4),1)-2)*10)</f>
        <v>23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82</v>
      </c>
      <c r="BW4" s="41" t="s">
        <v>83</v>
      </c>
      <c r="BX4" s="41" t="s">
        <v>102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2600</v>
      </c>
      <c r="H5" s="9">
        <v>1000</v>
      </c>
      <c r="I5" s="48">
        <v>0</v>
      </c>
      <c r="J5" s="21">
        <f t="shared" ref="J5:J30" si="2">IF(COUNTA($F5,$K5,$P5)&gt;0,J4+SUM(G5:I5),"")</f>
        <v>33100</v>
      </c>
      <c r="K5" s="8" t="s">
        <v>202</v>
      </c>
      <c r="L5" s="9">
        <v>-2600</v>
      </c>
      <c r="M5" s="9">
        <v>-1000</v>
      </c>
      <c r="N5" s="48">
        <v>0</v>
      </c>
      <c r="O5" s="21">
        <f t="shared" ref="O5:O30" si="3">IF(COUNTA($F5,$K5,$P5)&gt;0,O4+SUM(L5:N5),"")</f>
        <v>23900</v>
      </c>
      <c r="P5" s="8"/>
      <c r="Q5" s="9"/>
      <c r="R5" s="9"/>
      <c r="S5" s="48"/>
      <c r="T5" s="21">
        <f t="shared" ref="T5:T30" si="4">IF(COUNTA($F5,$K5,$P5)&gt;0,T4+SUM(Q5:S5),"")</f>
        <v>48000</v>
      </c>
      <c r="U5" s="53">
        <f>IF($J5="","",ROUND(($J5-$J$3)/1000,1)+(_xlfn.RANK.AVG($J5,($J5,$O5,$T5),1)-2)*10)</f>
        <v>-1.9</v>
      </c>
      <c r="V5" s="54">
        <f>IF($O5="","",ROUND(($O5-$O$3)/1000,1)+(_xlfn.RANK.AVG($O5,($J5,$O5,$T5),1)-2)*10)</f>
        <v>-21.1</v>
      </c>
      <c r="W5" s="55">
        <f>IF($T5="","",ROUND(($T5-$T$3)/1000,1)+(_xlfn.RANK.AVG($T5,($J5,$O5,$T5),1)-2)*10)</f>
        <v>23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200</v>
      </c>
      <c r="AF5" s="41" t="s">
        <v>203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12000</v>
      </c>
      <c r="H6" s="9">
        <v>2000</v>
      </c>
      <c r="I6" s="48">
        <v>0</v>
      </c>
      <c r="J6" s="21">
        <f t="shared" si="2"/>
        <v>47100</v>
      </c>
      <c r="K6" s="8" t="s">
        <v>197</v>
      </c>
      <c r="L6" s="9">
        <v>-6000</v>
      </c>
      <c r="M6" s="9">
        <v>-1000</v>
      </c>
      <c r="N6" s="48">
        <v>0</v>
      </c>
      <c r="O6" s="21">
        <f t="shared" si="3"/>
        <v>16900</v>
      </c>
      <c r="P6" s="8" t="s">
        <v>197</v>
      </c>
      <c r="Q6" s="9">
        <v>-6000</v>
      </c>
      <c r="R6" s="9">
        <v>-1000</v>
      </c>
      <c r="S6" s="48">
        <v>0</v>
      </c>
      <c r="T6" s="21">
        <f t="shared" si="4"/>
        <v>41000</v>
      </c>
      <c r="U6" s="53">
        <f>IF($J6="","",ROUND(($J6-$J$3)/1000,1)+(_xlfn.RANK.AVG($J6,($J6,$O6,$T6),1)-2)*10)</f>
        <v>22.1</v>
      </c>
      <c r="V6" s="54">
        <f>IF($O6="","",ROUND(($O6-$O$3)/1000,1)+(_xlfn.RANK.AVG($O6,($J6,$O6,$T6),1)-2)*10)</f>
        <v>-28.1</v>
      </c>
      <c r="W6" s="55">
        <f>IF($T6="","",ROUND(($T6-$T$3)/1000,1)+(_xlfn.RANK.AVG($T6,($J6,$O6,$T6),1)-2)*10)</f>
        <v>6</v>
      </c>
      <c r="Y6" s="8"/>
      <c r="Z6" s="34"/>
      <c r="AA6" s="26"/>
      <c r="AB6" s="26">
        <v>1</v>
      </c>
      <c r="AC6" s="26">
        <v>5</v>
      </c>
      <c r="AD6" s="30" t="s">
        <v>199</v>
      </c>
      <c r="AE6" s="40" t="s">
        <v>104</v>
      </c>
      <c r="AF6" s="41" t="s">
        <v>86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202</v>
      </c>
      <c r="G7" s="9">
        <v>-8000</v>
      </c>
      <c r="H7" s="9">
        <v>-1000</v>
      </c>
      <c r="I7" s="48">
        <v>-1000</v>
      </c>
      <c r="J7" s="21">
        <f t="shared" si="2"/>
        <v>37100</v>
      </c>
      <c r="K7" s="8"/>
      <c r="L7" s="9"/>
      <c r="M7" s="9"/>
      <c r="N7" s="48"/>
      <c r="O7" s="21">
        <f t="shared" si="3"/>
        <v>16900</v>
      </c>
      <c r="P7" s="8" t="s">
        <v>201</v>
      </c>
      <c r="Q7" s="9">
        <v>8000</v>
      </c>
      <c r="R7" s="9">
        <v>1000</v>
      </c>
      <c r="S7" s="48">
        <v>1000</v>
      </c>
      <c r="T7" s="21">
        <f t="shared" si="4"/>
        <v>51000</v>
      </c>
      <c r="U7" s="53">
        <f>IF($J7="","",ROUND(($J7-$J$3)/1000,1)+(_xlfn.RANK.AVG($J7,($J7,$O7,$T7),1)-2)*10)</f>
        <v>2.1</v>
      </c>
      <c r="V7" s="54">
        <f>IF($O7="","",ROUND(($O7-$O$3)/1000,1)+(_xlfn.RANK.AVG($O7,($J7,$O7,$T7),1)-2)*10)</f>
        <v>-28.1</v>
      </c>
      <c r="W7" s="55">
        <f>IF($T7="","",ROUND(($T7-$T$3)/1000,1)+(_xlfn.RANK.AVG($T7,($J7,$O7,$T7),1)-2)*10)</f>
        <v>26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199</v>
      </c>
      <c r="BU7" s="40" t="s">
        <v>104</v>
      </c>
      <c r="BV7" s="41" t="s">
        <v>86</v>
      </c>
      <c r="BW7" s="41" t="s">
        <v>79</v>
      </c>
      <c r="BX7" s="41" t="s">
        <v>92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201</v>
      </c>
      <c r="G8" s="9">
        <v>5200</v>
      </c>
      <c r="H8" s="9">
        <v>1000</v>
      </c>
      <c r="I8" s="48">
        <v>0</v>
      </c>
      <c r="J8" s="21">
        <f t="shared" si="2"/>
        <v>43300</v>
      </c>
      <c r="K8" s="8" t="s">
        <v>202</v>
      </c>
      <c r="L8" s="9">
        <v>-5200</v>
      </c>
      <c r="M8" s="9"/>
      <c r="N8" s="48">
        <v>0</v>
      </c>
      <c r="O8" s="21">
        <f t="shared" si="3"/>
        <v>11700</v>
      </c>
      <c r="P8" s="8"/>
      <c r="Q8" s="9"/>
      <c r="R8" s="9">
        <v>-1000</v>
      </c>
      <c r="S8" s="48"/>
      <c r="T8" s="21">
        <f t="shared" si="4"/>
        <v>50000</v>
      </c>
      <c r="U8" s="53">
        <f>IF($J8="","",ROUND(($J8-$J$3)/1000,1)+(_xlfn.RANK.AVG($J8,($J8,$O8,$T8),1)-2)*10)</f>
        <v>8.3000000000000007</v>
      </c>
      <c r="V8" s="54">
        <f>IF($O8="","",ROUND(($O8-$O$3)/1000,1)+(_xlfn.RANK.AVG($O8,($J8,$O8,$T8),1)-2)*10)</f>
        <v>-33.299999999999997</v>
      </c>
      <c r="W8" s="55">
        <f>IF($T8="","",ROUND(($T8-$T$3)/1000,1)+(_xlfn.RANK.AVG($T8,($J8,$O8,$T8),1)-2)*10)</f>
        <v>25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200</v>
      </c>
      <c r="AF8" s="41" t="s">
        <v>79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198</v>
      </c>
      <c r="G9" s="9">
        <v>8000</v>
      </c>
      <c r="H9" s="9">
        <v>1000</v>
      </c>
      <c r="I9" s="48">
        <v>0</v>
      </c>
      <c r="J9" s="21">
        <f t="shared" si="2"/>
        <v>52300</v>
      </c>
      <c r="K9" s="8" t="s">
        <v>197</v>
      </c>
      <c r="L9" s="9">
        <v>-3000</v>
      </c>
      <c r="M9" s="9"/>
      <c r="N9" s="48">
        <v>0</v>
      </c>
      <c r="O9" s="21">
        <f t="shared" si="3"/>
        <v>8700</v>
      </c>
      <c r="P9" s="8" t="s">
        <v>197</v>
      </c>
      <c r="Q9" s="9">
        <v>-5000</v>
      </c>
      <c r="R9" s="9">
        <v>-1000</v>
      </c>
      <c r="S9" s="48">
        <v>0</v>
      </c>
      <c r="T9" s="21">
        <f t="shared" si="4"/>
        <v>44000</v>
      </c>
      <c r="U9" s="53">
        <f>IF($J9="","",ROUND(($J9-$J$3)/1000,1)+(_xlfn.RANK.AVG($J9,($J9,$O9,$T9),1)-2)*10)</f>
        <v>27.3</v>
      </c>
      <c r="V9" s="54">
        <f>IF($O9="","",ROUND(($O9-$O$3)/1000,1)+(_xlfn.RANK.AVG($O9,($J9,$O9,$T9),1)-2)*10)</f>
        <v>-36.299999999999997</v>
      </c>
      <c r="W9" s="55">
        <f>IF($T9="","",ROUND(($T9-$T$3)/1000,1)+(_xlfn.RANK.AVG($T9,($J9,$O9,$T9),1)-2)*10)</f>
        <v>9</v>
      </c>
      <c r="Y9" s="8"/>
      <c r="Z9" s="34"/>
      <c r="AA9" s="26">
        <v>1</v>
      </c>
      <c r="AB9" s="26"/>
      <c r="AC9" s="26">
        <v>5</v>
      </c>
      <c r="AD9" s="30" t="s">
        <v>199</v>
      </c>
      <c r="AE9" s="40" t="s">
        <v>200</v>
      </c>
      <c r="AF9" s="41" t="s">
        <v>82</v>
      </c>
      <c r="AG9" s="41" t="s">
        <v>203</v>
      </c>
      <c r="AH9" s="41" t="s">
        <v>79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7700</v>
      </c>
      <c r="H10" s="9"/>
      <c r="I10" s="48">
        <v>0</v>
      </c>
      <c r="J10" s="21">
        <f t="shared" si="2"/>
        <v>60000</v>
      </c>
      <c r="K10" s="8"/>
      <c r="L10" s="9"/>
      <c r="M10" s="9"/>
      <c r="N10" s="48"/>
      <c r="O10" s="21">
        <f t="shared" si="3"/>
        <v>8700</v>
      </c>
      <c r="P10" s="8" t="s">
        <v>202</v>
      </c>
      <c r="Q10" s="9">
        <v>-7700</v>
      </c>
      <c r="R10" s="9"/>
      <c r="S10" s="48">
        <v>0</v>
      </c>
      <c r="T10" s="21">
        <f t="shared" si="4"/>
        <v>36300</v>
      </c>
      <c r="U10" s="53">
        <f>IF($J10="","",ROUND(($J10-$J$3)/1000,1)+(_xlfn.RANK.AVG($J10,($J10,$O10,$T10),1)-2)*10)</f>
        <v>35</v>
      </c>
      <c r="V10" s="54">
        <f>IF($O10="","",ROUND(($O10-$O$3)/1000,1)+(_xlfn.RANK.AVG($O10,($J10,$O10,$T10),1)-2)*10)</f>
        <v>-36.299999999999997</v>
      </c>
      <c r="W10" s="55">
        <f>IF($T10="","",ROUND(($T10-$T$3)/1000,1)+(_xlfn.RANK.AVG($T10,($J10,$O10,$T10),1)-2)*10)</f>
        <v>1.3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200</v>
      </c>
      <c r="AF10" s="41" t="s">
        <v>79</v>
      </c>
      <c r="AG10" s="41" t="s">
        <v>84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F9EB9DC-C4DC-49BD-B9E8-FF59BEBF5B36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9B19-801E-49CB-B799-559C133AB28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205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</v>
      </c>
      <c r="V2" s="69" t="str">
        <f>$K$1</f>
        <v>のり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202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-23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199</v>
      </c>
      <c r="AZ4" s="40" t="s">
        <v>200</v>
      </c>
      <c r="BA4" s="41" t="s">
        <v>206</v>
      </c>
      <c r="BB4" s="41" t="s">
        <v>86</v>
      </c>
      <c r="BC4" s="41" t="s">
        <v>203</v>
      </c>
      <c r="BD4" s="41" t="s">
        <v>80</v>
      </c>
      <c r="BE4" s="41" t="s">
        <v>80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5200</v>
      </c>
      <c r="H5" s="9"/>
      <c r="I5" s="48">
        <v>0</v>
      </c>
      <c r="J5" s="21">
        <f t="shared" ref="J5:J30" si="2">IF(COUNTA($F5,$K5,$P5)&gt;0,J4+SUM(G5:I5),"")</f>
        <v>40200</v>
      </c>
      <c r="K5" s="8" t="s">
        <v>202</v>
      </c>
      <c r="L5" s="9">
        <v>-5200</v>
      </c>
      <c r="M5" s="9"/>
      <c r="N5" s="48">
        <v>0</v>
      </c>
      <c r="O5" s="21">
        <f t="shared" ref="O5:O30" si="3">IF(COUNTA($F5,$K5,$P5)&gt;0,O4+SUM(L5:N5),"")</f>
        <v>42800</v>
      </c>
      <c r="P5" s="8"/>
      <c r="Q5" s="9"/>
      <c r="R5" s="9"/>
      <c r="S5" s="48"/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5.2</v>
      </c>
      <c r="V5" s="54">
        <f>IF($O5="","",ROUND(($O5-$O$3)/1000,1)+(_xlfn.RANK.AVG($O5,($J5,$O5,$T5),1)-2)*10)</f>
        <v>17.8</v>
      </c>
      <c r="W5" s="55">
        <f>IF($T5="","",ROUND(($T5-$T$3)/1000,1)+(_xlfn.RANK.AVG($T5,($J5,$O5,$T5),1)-2)*10)</f>
        <v>-23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200</v>
      </c>
      <c r="AF5" s="41" t="s">
        <v>84</v>
      </c>
      <c r="AG5" s="41" t="s">
        <v>203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 t="s">
        <v>197</v>
      </c>
      <c r="G6" s="9">
        <v>-3000</v>
      </c>
      <c r="H6" s="9"/>
      <c r="I6" s="48">
        <v>0</v>
      </c>
      <c r="J6" s="21">
        <f t="shared" si="2"/>
        <v>37200</v>
      </c>
      <c r="K6" s="8" t="s">
        <v>198</v>
      </c>
      <c r="L6" s="9">
        <v>8000</v>
      </c>
      <c r="M6" s="9"/>
      <c r="N6" s="48">
        <v>0</v>
      </c>
      <c r="O6" s="21">
        <f t="shared" si="3"/>
        <v>50800</v>
      </c>
      <c r="P6" s="8" t="s">
        <v>197</v>
      </c>
      <c r="Q6" s="9">
        <v>-5000</v>
      </c>
      <c r="R6" s="9"/>
      <c r="S6" s="48">
        <v>0</v>
      </c>
      <c r="T6" s="21">
        <f t="shared" si="4"/>
        <v>17000</v>
      </c>
      <c r="U6" s="53">
        <f>IF($J6="","",ROUND(($J6-$J$3)/1000,1)+(_xlfn.RANK.AVG($J6,($J6,$O6,$T6),1)-2)*10)</f>
        <v>2.2000000000000002</v>
      </c>
      <c r="V6" s="54">
        <f>IF($O6="","",ROUND(($O6-$O$3)/1000,1)+(_xlfn.RANK.AVG($O6,($J6,$O6,$T6),1)-2)*10)</f>
        <v>25.8</v>
      </c>
      <c r="W6" s="55">
        <f>IF($T6="","",ROUND(($T6-$T$3)/1000,1)+(_xlfn.RANK.AVG($T6,($J6,$O6,$T6),1)-2)*10)</f>
        <v>-28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206</v>
      </c>
      <c r="BC6" s="41" t="s">
        <v>101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-8000</v>
      </c>
      <c r="H7" s="9"/>
      <c r="I7" s="48">
        <v>0</v>
      </c>
      <c r="J7" s="21">
        <f t="shared" si="2"/>
        <v>29200</v>
      </c>
      <c r="K7" s="8"/>
      <c r="L7" s="9"/>
      <c r="M7" s="9">
        <v>-1000</v>
      </c>
      <c r="N7" s="48"/>
      <c r="O7" s="21">
        <f t="shared" si="3"/>
        <v>49800</v>
      </c>
      <c r="P7" s="8" t="s">
        <v>201</v>
      </c>
      <c r="Q7" s="9">
        <v>8000</v>
      </c>
      <c r="R7" s="9">
        <v>1000</v>
      </c>
      <c r="S7" s="48">
        <v>0</v>
      </c>
      <c r="T7" s="21">
        <f t="shared" si="4"/>
        <v>26000</v>
      </c>
      <c r="U7" s="53">
        <f>IF($J7="","",ROUND(($J7-$J$3)/1000,1)+(_xlfn.RANK.AVG($J7,($J7,$O7,$T7),1)-2)*10)</f>
        <v>-5.8</v>
      </c>
      <c r="V7" s="54">
        <f>IF($O7="","",ROUND(($O7-$O$3)/1000,1)+(_xlfn.RANK.AVG($O7,($J7,$O7,$T7),1)-2)*10)</f>
        <v>24.8</v>
      </c>
      <c r="W7" s="55">
        <f>IF($T7="","",ROUND(($T7-$T$3)/1000,1)+(_xlfn.RANK.AVG($T7,($J7,$O7,$T7),1)-2)*10)</f>
        <v>-19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200</v>
      </c>
      <c r="BV7" s="41" t="s">
        <v>86</v>
      </c>
      <c r="BW7" s="41" t="s">
        <v>206</v>
      </c>
      <c r="BX7" s="41" t="s">
        <v>84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29200</v>
      </c>
      <c r="K8" s="8" t="s">
        <v>202</v>
      </c>
      <c r="L8" s="9">
        <v>-12000</v>
      </c>
      <c r="M8" s="9"/>
      <c r="N8" s="48">
        <v>0</v>
      </c>
      <c r="O8" s="21">
        <f t="shared" si="3"/>
        <v>37800</v>
      </c>
      <c r="P8" s="8" t="s">
        <v>201</v>
      </c>
      <c r="Q8" s="9">
        <v>12000</v>
      </c>
      <c r="R8" s="9"/>
      <c r="S8" s="48">
        <v>0</v>
      </c>
      <c r="T8" s="21">
        <f t="shared" si="4"/>
        <v>38000</v>
      </c>
      <c r="U8" s="53">
        <f>IF($J8="","",ROUND(($J8-$J$3)/1000,1)+(_xlfn.RANK.AVG($J8,($J8,$O8,$T8),1)-2)*10)</f>
        <v>-15.8</v>
      </c>
      <c r="V8" s="54">
        <f>IF($O8="","",ROUND(($O8-$O$3)/1000,1)+(_xlfn.RANK.AVG($O8,($J8,$O8,$T8),1)-2)*10)</f>
        <v>2.8</v>
      </c>
      <c r="W8" s="55">
        <f>IF($T8="","",ROUND(($T8-$T$3)/1000,1)+(_xlfn.RANK.AVG($T8,($J8,$O8,$T8),1)-2)*10)</f>
        <v>13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199</v>
      </c>
      <c r="BU8" s="40" t="s">
        <v>200</v>
      </c>
      <c r="BV8" s="41" t="s">
        <v>83</v>
      </c>
      <c r="BW8" s="41" t="s">
        <v>85</v>
      </c>
      <c r="BX8" s="41" t="s">
        <v>84</v>
      </c>
      <c r="BY8" s="41" t="s">
        <v>79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197</v>
      </c>
      <c r="G9" s="9">
        <v>-800</v>
      </c>
      <c r="H9" s="9"/>
      <c r="I9" s="48">
        <v>0</v>
      </c>
      <c r="J9" s="21">
        <f t="shared" si="2"/>
        <v>28400</v>
      </c>
      <c r="K9" s="8" t="s">
        <v>197</v>
      </c>
      <c r="L9" s="9">
        <v>-800</v>
      </c>
      <c r="M9" s="9"/>
      <c r="N9" s="48">
        <v>0</v>
      </c>
      <c r="O9" s="21">
        <f t="shared" si="3"/>
        <v>37000</v>
      </c>
      <c r="P9" s="8" t="s">
        <v>198</v>
      </c>
      <c r="Q9" s="9">
        <v>1600</v>
      </c>
      <c r="R9" s="9"/>
      <c r="S9" s="48">
        <v>0</v>
      </c>
      <c r="T9" s="21">
        <f t="shared" si="4"/>
        <v>39600</v>
      </c>
      <c r="U9" s="53">
        <f>IF($J9="","",ROUND(($J9-$J$3)/1000,1)+(_xlfn.RANK.AVG($J9,($J9,$O9,$T9),1)-2)*10)</f>
        <v>-16.600000000000001</v>
      </c>
      <c r="V9" s="54">
        <f>IF($O9="","",ROUND(($O9-$O$3)/1000,1)+(_xlfn.RANK.AVG($O9,($J9,$O9,$T9),1)-2)*10)</f>
        <v>2</v>
      </c>
      <c r="W9" s="55">
        <f>IF($T9="","",ROUND(($T9-$T$3)/1000,1)+(_xlfn.RANK.AVG($T9,($J9,$O9,$T9),1)-2)*10)</f>
        <v>14.6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CE4B3A8A-AB83-44EB-863A-9AA3EDFEC5FD}">
      <formula1>"たかの,だいち,ただ,りくと,れんたろう,まっつん,のり,ぱぱ,ほたに,いっしー,ともき,"</formula1>
    </dataValidation>
    <dataValidation type="list" showInputMessage="1" showErrorMessage="1" sqref="K4:K30 P4:P30 F4:F30" xr:uid="{49550220-02EF-4CD2-9803-92385C67D096}">
      <formula1>"ロン,ツモ,放銃,ツモ支払,流局,チョンボ"</formula1>
    </dataValidation>
    <dataValidation type="list" allowBlank="1" showInputMessage="1" showErrorMessage="1" sqref="E4:E30" xr:uid="{ADE135FB-4C0B-4493-AEF7-EF2C692B2CD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1AFAC-1A02-48F5-AC6E-0FBC36F05D7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ゆう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</v>
      </c>
      <c r="V2" s="69" t="str">
        <f>$K$1</f>
        <v>のり</v>
      </c>
      <c r="W2" s="16" t="str">
        <f>$P$1</f>
        <v>ゆう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198</v>
      </c>
      <c r="L4" s="9">
        <v>3000</v>
      </c>
      <c r="M4" s="9"/>
      <c r="N4" s="48">
        <v>0</v>
      </c>
      <c r="O4" s="21">
        <f>IF(COUNTA($F4,$K4,$P4)&gt;0,O3+SUM(L4:N4),"")</f>
        <v>38000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13</v>
      </c>
      <c r="W4" s="55">
        <f>IF($T4="","",ROUND(($T4-$T$3)/1000,1)+(_xlfn.RANK.AVG($T4,($J4,$O4,$T4),1)-2)*10)</f>
        <v>-6.5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2000</v>
      </c>
      <c r="H5" s="9"/>
      <c r="I5" s="48">
        <v>1000</v>
      </c>
      <c r="J5" s="21">
        <f t="shared" ref="J5:J30" si="2">IF(COUNTA($F5,$K5,$P5)&gt;0,J4+SUM(G5:I5),"")</f>
        <v>36500</v>
      </c>
      <c r="K5" s="8"/>
      <c r="L5" s="9"/>
      <c r="M5" s="9"/>
      <c r="N5" s="48"/>
      <c r="O5" s="21">
        <f t="shared" ref="O5:O30" si="3">IF(COUNTA($F5,$K5,$P5)&gt;0,O4+SUM(L5:N5),"")</f>
        <v>38000</v>
      </c>
      <c r="P5" s="8" t="s">
        <v>202</v>
      </c>
      <c r="Q5" s="9">
        <v>-2000</v>
      </c>
      <c r="R5" s="9"/>
      <c r="S5" s="48">
        <v>-1000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13</v>
      </c>
      <c r="W5" s="55">
        <f>IF($T5="","",ROUND(($T5-$T$3)/1000,1)+(_xlfn.RANK.AVG($T5,($J5,$O5,$T5),1)-2)*10)</f>
        <v>-14.5</v>
      </c>
      <c r="Y5" s="8"/>
      <c r="Z5" s="34"/>
      <c r="AA5" s="26">
        <v>1</v>
      </c>
      <c r="AB5" s="26"/>
      <c r="AC5" s="26">
        <v>2</v>
      </c>
      <c r="AD5" s="30">
        <v>30</v>
      </c>
      <c r="AE5" s="40" t="s">
        <v>200</v>
      </c>
      <c r="AF5" s="41" t="s">
        <v>83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1000</v>
      </c>
      <c r="H6" s="9">
        <v>1000</v>
      </c>
      <c r="I6" s="48">
        <v>0</v>
      </c>
      <c r="J6" s="21">
        <f t="shared" si="2"/>
        <v>38500</v>
      </c>
      <c r="K6" s="8"/>
      <c r="L6" s="9"/>
      <c r="M6" s="9"/>
      <c r="N6" s="48"/>
      <c r="O6" s="21">
        <f t="shared" si="3"/>
        <v>38000</v>
      </c>
      <c r="P6" s="8" t="s">
        <v>202</v>
      </c>
      <c r="Q6" s="9">
        <v>-1000</v>
      </c>
      <c r="R6" s="9">
        <v>-1000</v>
      </c>
      <c r="S6" s="48">
        <v>0</v>
      </c>
      <c r="T6" s="21">
        <f t="shared" si="4"/>
        <v>28500</v>
      </c>
      <c r="U6" s="53">
        <f>IF($J6="","",ROUND(($J6-$J$3)/1000,1)+(_xlfn.RANK.AVG($J6,($J6,$O6,$T6),1)-2)*10)</f>
        <v>13.5</v>
      </c>
      <c r="V6" s="54">
        <f>IF($O6="","",ROUND(($O6-$O$3)/1000,1)+(_xlfn.RANK.AVG($O6,($J6,$O6,$T6),1)-2)*10)</f>
        <v>3</v>
      </c>
      <c r="W6" s="55">
        <f>IF($T6="","",ROUND(($T6-$T$3)/1000,1)+(_xlfn.RANK.AVG($T6,($J6,$O6,$T6),1)-2)*10)</f>
        <v>-16.5</v>
      </c>
      <c r="Y6" s="8"/>
      <c r="Z6" s="34"/>
      <c r="AA6" s="26"/>
      <c r="AB6" s="26">
        <v>1</v>
      </c>
      <c r="AC6" s="26">
        <v>1</v>
      </c>
      <c r="AD6" s="30">
        <v>30</v>
      </c>
      <c r="AE6" s="40" t="s">
        <v>86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11600</v>
      </c>
      <c r="H7" s="9"/>
      <c r="I7" s="48">
        <v>0</v>
      </c>
      <c r="J7" s="21">
        <f t="shared" si="2"/>
        <v>50100</v>
      </c>
      <c r="K7" s="8" t="s">
        <v>202</v>
      </c>
      <c r="L7" s="9">
        <v>-11600</v>
      </c>
      <c r="M7" s="9"/>
      <c r="N7" s="48">
        <v>0</v>
      </c>
      <c r="O7" s="21">
        <f t="shared" si="3"/>
        <v>26400</v>
      </c>
      <c r="P7" s="8"/>
      <c r="Q7" s="9"/>
      <c r="R7" s="9"/>
      <c r="S7" s="48"/>
      <c r="T7" s="21">
        <f t="shared" si="4"/>
        <v>28500</v>
      </c>
      <c r="U7" s="53">
        <f>IF($J7="","",ROUND(($J7-$J$3)/1000,1)+(_xlfn.RANK.AVG($J7,($J7,$O7,$T7),1)-2)*10)</f>
        <v>25.1</v>
      </c>
      <c r="V7" s="54">
        <f>IF($O7="","",ROUND(($O7-$O$3)/1000,1)+(_xlfn.RANK.AVG($O7,($J7,$O7,$T7),1)-2)*10)</f>
        <v>-18.600000000000001</v>
      </c>
      <c r="W7" s="55">
        <f>IF($T7="","",ROUND(($T7-$T$3)/1000,1)+(_xlfn.RANK.AVG($T7,($J7,$O7,$T7),1)-2)*10)</f>
        <v>-6.5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200</v>
      </c>
      <c r="AF7" s="41" t="s">
        <v>206</v>
      </c>
      <c r="AG7" s="41" t="s">
        <v>83</v>
      </c>
      <c r="AH7" s="41" t="s">
        <v>203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201</v>
      </c>
      <c r="G8" s="9">
        <v>18000</v>
      </c>
      <c r="H8" s="9"/>
      <c r="I8" s="48">
        <v>1000</v>
      </c>
      <c r="J8" s="21">
        <f t="shared" si="2"/>
        <v>69100</v>
      </c>
      <c r="K8" s="8" t="s">
        <v>202</v>
      </c>
      <c r="L8" s="9">
        <v>-18000</v>
      </c>
      <c r="M8" s="9"/>
      <c r="N8" s="48">
        <v>-1000</v>
      </c>
      <c r="O8" s="21">
        <f t="shared" si="3"/>
        <v>7400</v>
      </c>
      <c r="P8" s="8"/>
      <c r="Q8" s="9"/>
      <c r="R8" s="9"/>
      <c r="S8" s="48"/>
      <c r="T8" s="21">
        <f t="shared" si="4"/>
        <v>28500</v>
      </c>
      <c r="U8" s="53">
        <f>IF($J8="","",ROUND(($J8-$J$3)/1000,1)+(_xlfn.RANK.AVG($J8,($J8,$O8,$T8),1)-2)*10)</f>
        <v>44.1</v>
      </c>
      <c r="V8" s="54">
        <f>IF($O8="","",ROUND(($O8-$O$3)/1000,1)+(_xlfn.RANK.AVG($O8,($J8,$O8,$T8),1)-2)*10)</f>
        <v>-37.6</v>
      </c>
      <c r="W8" s="55">
        <f>IF($T8="","",ROUND(($T8-$T$3)/1000,1)+(_xlfn.RANK.AVG($T8,($J8,$O8,$T8),1)-2)*10)</f>
        <v>-6.5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200</v>
      </c>
      <c r="AF8" s="41" t="s">
        <v>80</v>
      </c>
      <c r="AG8" s="41" t="s">
        <v>80</v>
      </c>
      <c r="AH8" s="41" t="s">
        <v>80</v>
      </c>
      <c r="AI8" s="41" t="s">
        <v>80</v>
      </c>
      <c r="AJ8" s="41" t="s">
        <v>80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191</v>
      </c>
      <c r="F9" s="8" t="s">
        <v>198</v>
      </c>
      <c r="G9" s="9">
        <v>12000</v>
      </c>
      <c r="H9" s="9">
        <v>1000</v>
      </c>
      <c r="I9" s="48">
        <v>2000</v>
      </c>
      <c r="J9" s="21">
        <f t="shared" si="2"/>
        <v>84100</v>
      </c>
      <c r="K9" s="8" t="s">
        <v>197</v>
      </c>
      <c r="L9" s="9">
        <v>-6000</v>
      </c>
      <c r="M9" s="9"/>
      <c r="N9" s="48">
        <v>-1000</v>
      </c>
      <c r="O9" s="21">
        <f t="shared" si="3"/>
        <v>400</v>
      </c>
      <c r="P9" s="8" t="s">
        <v>197</v>
      </c>
      <c r="Q9" s="9">
        <v>-6000</v>
      </c>
      <c r="R9" s="9">
        <v>-1000</v>
      </c>
      <c r="S9" s="48">
        <v>-1000</v>
      </c>
      <c r="T9" s="21">
        <f t="shared" si="4"/>
        <v>20500</v>
      </c>
      <c r="U9" s="53">
        <f>IF($J9="","",ROUND(($J9-$J$3)/1000,1)+(_xlfn.RANK.AVG($J9,($J9,$O9,$T9),1)-2)*10)</f>
        <v>59.1</v>
      </c>
      <c r="V9" s="54">
        <f>IF($O9="","",ROUND(($O9-$O$3)/1000,1)+(_xlfn.RANK.AVG($O9,($J9,$O9,$T9),1)-2)*10)</f>
        <v>-44.6</v>
      </c>
      <c r="W9" s="55">
        <f>IF($T9="","",ROUND(($T9-$T$3)/1000,1)+(_xlfn.RANK.AVG($T9,($J9,$O9,$T9),1)-2)*10)</f>
        <v>-14.5</v>
      </c>
      <c r="Y9" s="8"/>
      <c r="Z9" s="34"/>
      <c r="AA9" s="26"/>
      <c r="AB9" s="26">
        <v>1</v>
      </c>
      <c r="AC9" s="26">
        <v>5</v>
      </c>
      <c r="AD9" s="30" t="s">
        <v>199</v>
      </c>
      <c r="AE9" s="40" t="s">
        <v>106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191</v>
      </c>
      <c r="F10" s="8" t="s">
        <v>197</v>
      </c>
      <c r="G10" s="9">
        <v>-5000</v>
      </c>
      <c r="H10" s="9"/>
      <c r="I10" s="48">
        <v>-1500</v>
      </c>
      <c r="J10" s="21">
        <f t="shared" si="2"/>
        <v>77600</v>
      </c>
      <c r="K10" s="8" t="s">
        <v>198</v>
      </c>
      <c r="L10" s="9">
        <v>8000</v>
      </c>
      <c r="M10" s="9"/>
      <c r="N10" s="48">
        <v>3000</v>
      </c>
      <c r="O10" s="21">
        <f t="shared" si="3"/>
        <v>11400</v>
      </c>
      <c r="P10" s="8" t="s">
        <v>197</v>
      </c>
      <c r="Q10" s="9">
        <v>-3000</v>
      </c>
      <c r="R10" s="9"/>
      <c r="S10" s="48">
        <v>-1500</v>
      </c>
      <c r="T10" s="21">
        <f t="shared" si="4"/>
        <v>16000</v>
      </c>
      <c r="U10" s="53">
        <f>IF($J10="","",ROUND(($J10-$J$3)/1000,1)+(_xlfn.RANK.AVG($J10,($J10,$O10,$T10),1)-2)*10)</f>
        <v>52.6</v>
      </c>
      <c r="V10" s="54">
        <f>IF($O10="","",ROUND(($O10-$O$3)/1000,1)+(_xlfn.RANK.AVG($O10,($J10,$O10,$T10),1)-2)*10)</f>
        <v>-33.6</v>
      </c>
      <c r="W10" s="55">
        <f>IF($T10="","",ROUND(($T10-$T$3)/1000,1)+(_xlfn.RANK.AVG($T10,($J10,$O10,$T10),1)-2)*10)</f>
        <v>-19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40</v>
      </c>
      <c r="AZ10" s="40" t="s">
        <v>104</v>
      </c>
      <c r="BA10" s="41" t="s">
        <v>86</v>
      </c>
      <c r="BB10" s="41" t="s">
        <v>203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77600</v>
      </c>
      <c r="K11" s="8" t="s">
        <v>201</v>
      </c>
      <c r="L11" s="9">
        <v>1500</v>
      </c>
      <c r="M11" s="9"/>
      <c r="N11" s="48">
        <v>0</v>
      </c>
      <c r="O11" s="21">
        <f t="shared" si="3"/>
        <v>12900</v>
      </c>
      <c r="P11" s="8" t="s">
        <v>202</v>
      </c>
      <c r="Q11" s="9">
        <v>-1500</v>
      </c>
      <c r="R11" s="9"/>
      <c r="S11" s="48">
        <v>0</v>
      </c>
      <c r="T11" s="21">
        <f t="shared" si="4"/>
        <v>14500</v>
      </c>
      <c r="U11" s="53">
        <f>IF($J11="","",ROUND(($J11-$J$3)/1000,1)+(_xlfn.RANK.AVG($J11,($J11,$O11,$T11),1)-2)*10)</f>
        <v>52.6</v>
      </c>
      <c r="V11" s="54">
        <f>IF($O11="","",ROUND(($O11-$O$3)/1000,1)+(_xlfn.RANK.AVG($O11,($J11,$O11,$T11),1)-2)*10)</f>
        <v>-32.1</v>
      </c>
      <c r="W11" s="55">
        <f>IF($T11="","",ROUND(($T11-$T$3)/1000,1)+(_xlfn.RANK.AVG($T11,($J11,$O11,$T11),1)-2)*10)</f>
        <v>-20.5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</v>
      </c>
      <c r="AY11" s="30">
        <v>30</v>
      </c>
      <c r="AZ11" s="40" t="s">
        <v>86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197</v>
      </c>
      <c r="G12" s="9">
        <v>-4500</v>
      </c>
      <c r="H12" s="9"/>
      <c r="I12" s="48">
        <v>-500</v>
      </c>
      <c r="J12" s="21">
        <f t="shared" si="2"/>
        <v>72600</v>
      </c>
      <c r="K12" s="8" t="s">
        <v>197</v>
      </c>
      <c r="L12" s="9">
        <v>-7500</v>
      </c>
      <c r="M12" s="9"/>
      <c r="N12" s="48">
        <v>-500</v>
      </c>
      <c r="O12" s="21">
        <f t="shared" si="3"/>
        <v>4900</v>
      </c>
      <c r="P12" s="8" t="s">
        <v>198</v>
      </c>
      <c r="Q12" s="9">
        <v>12000</v>
      </c>
      <c r="R12" s="9"/>
      <c r="S12" s="48">
        <v>1000</v>
      </c>
      <c r="T12" s="21">
        <f t="shared" si="4"/>
        <v>27500</v>
      </c>
      <c r="U12" s="53">
        <f>IF($J12="","",ROUND(($J12-$J$3)/1000,1)+(_xlfn.RANK.AVG($J12,($J12,$O12,$T12),1)-2)*10)</f>
        <v>47.6</v>
      </c>
      <c r="V12" s="54">
        <f>IF($O12="","",ROUND(($O12-$O$3)/1000,1)+(_xlfn.RANK.AVG($O12,($J12,$O12,$T12),1)-2)*10)</f>
        <v>-40.1</v>
      </c>
      <c r="W12" s="55">
        <f>IF($T12="","",ROUND(($T12-$T$3)/1000,1)+(_xlfn.RANK.AVG($T12,($J12,$O12,$T12),1)-2)*10)</f>
        <v>-7.5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7</v>
      </c>
      <c r="BT12" s="30" t="s">
        <v>199</v>
      </c>
      <c r="BU12" s="40" t="s">
        <v>200</v>
      </c>
      <c r="BV12" s="41" t="s">
        <v>82</v>
      </c>
      <c r="BW12" s="41" t="s">
        <v>206</v>
      </c>
      <c r="BX12" s="41" t="s">
        <v>92</v>
      </c>
      <c r="BY12" s="41" t="s">
        <v>80</v>
      </c>
      <c r="BZ12" s="41" t="s">
        <v>83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202</v>
      </c>
      <c r="G13" s="9">
        <v>-7700</v>
      </c>
      <c r="H13" s="9"/>
      <c r="I13" s="48">
        <v>0</v>
      </c>
      <c r="J13" s="21">
        <f t="shared" si="2"/>
        <v>64900</v>
      </c>
      <c r="K13" s="8" t="s">
        <v>201</v>
      </c>
      <c r="L13" s="9">
        <v>7700</v>
      </c>
      <c r="M13" s="9"/>
      <c r="N13" s="48">
        <v>0</v>
      </c>
      <c r="O13" s="21">
        <f t="shared" si="3"/>
        <v>12600</v>
      </c>
      <c r="P13" s="8"/>
      <c r="Q13" s="9"/>
      <c r="R13" s="9"/>
      <c r="S13" s="48"/>
      <c r="T13" s="21">
        <f t="shared" si="4"/>
        <v>27500</v>
      </c>
      <c r="U13" s="53">
        <f>IF($J13="","",ROUND(($J13-$J$3)/1000,1)+(_xlfn.RANK.AVG($J13,($J13,$O13,$T13),1)-2)*10)</f>
        <v>39.9</v>
      </c>
      <c r="V13" s="54">
        <f>IF($O13="","",ROUND(($O13-$O$3)/1000,1)+(_xlfn.RANK.AVG($O13,($J13,$O13,$T13),1)-2)*10)</f>
        <v>-32.4</v>
      </c>
      <c r="W13" s="55">
        <f>IF($T13="","",ROUND(($T13-$T$3)/1000,1)+(_xlfn.RANK.AVG($T13,($J13,$O13,$T13),1)-2)*10)</f>
        <v>-7.5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203</v>
      </c>
      <c r="BA13" s="41" t="s">
        <v>104</v>
      </c>
      <c r="BB13" s="41" t="s">
        <v>86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198</v>
      </c>
      <c r="G14" s="9">
        <v>6000</v>
      </c>
      <c r="H14" s="9"/>
      <c r="I14" s="48">
        <v>0</v>
      </c>
      <c r="J14" s="21">
        <f t="shared" si="2"/>
        <v>70900</v>
      </c>
      <c r="K14" s="8" t="s">
        <v>197</v>
      </c>
      <c r="L14" s="9">
        <v>-3000</v>
      </c>
      <c r="M14" s="9"/>
      <c r="N14" s="48">
        <v>0</v>
      </c>
      <c r="O14" s="21">
        <f t="shared" si="3"/>
        <v>9600</v>
      </c>
      <c r="P14" s="8" t="s">
        <v>197</v>
      </c>
      <c r="Q14" s="9">
        <v>-3000</v>
      </c>
      <c r="R14" s="9"/>
      <c r="S14" s="48">
        <v>0</v>
      </c>
      <c r="T14" s="21">
        <f t="shared" si="4"/>
        <v>24500</v>
      </c>
      <c r="U14" s="53">
        <f>IF($J14="","",ROUND(($J14-$J$3)/1000,1)+(_xlfn.RANK.AVG($J14,($J14,$O14,$T14),1)-2)*10)</f>
        <v>45.9</v>
      </c>
      <c r="V14" s="54">
        <f>IF($O14="","",ROUND(($O14-$O$3)/1000,1)+(_xlfn.RANK.AVG($O14,($J14,$O14,$T14),1)-2)*10)</f>
        <v>-35.4</v>
      </c>
      <c r="W14" s="55">
        <f>IF($T14="","",ROUND(($T14-$T$3)/1000,1)+(_xlfn.RANK.AVG($T14,($J14,$O14,$T14),1)-2)*10)</f>
        <v>-10.5</v>
      </c>
      <c r="Y14" s="8"/>
      <c r="Z14" s="34"/>
      <c r="AA14" s="26">
        <v>1</v>
      </c>
      <c r="AB14" s="26"/>
      <c r="AC14" s="26">
        <v>3</v>
      </c>
      <c r="AD14" s="30">
        <v>30</v>
      </c>
      <c r="AE14" s="40" t="s">
        <v>200</v>
      </c>
      <c r="AF14" s="41" t="s">
        <v>82</v>
      </c>
      <c r="AG14" s="41" t="s">
        <v>79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7EC3A443-A80E-4DDE-A78A-89C4AE8022B3}">
      <formula1>$U$2:$W$2</formula1>
    </dataValidation>
    <dataValidation type="list" showInputMessage="1" showErrorMessage="1" sqref="K4:K30 P4:P30 F4:F30" xr:uid="{DF9D03B5-29FA-4F7C-9B64-7CE3E71D74CD}">
      <formula1>"ロン,ツモ,放銃,ツモ支払,流局,チョンボ"</formula1>
    </dataValidation>
    <dataValidation type="list" allowBlank="1" showInputMessage="1" sqref="F1:T1" xr:uid="{04E9797F-8535-443D-952E-1F7624579079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03FD-79D8-4C00-A32B-1F5899CD389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ゆう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</v>
      </c>
      <c r="V2" s="69" t="str">
        <f>$K$1</f>
        <v>のり</v>
      </c>
      <c r="W2" s="16" t="str">
        <f>$P$1</f>
        <v>ゆう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202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200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-6000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198</v>
      </c>
      <c r="L5" s="9">
        <v>12000</v>
      </c>
      <c r="M5" s="9"/>
      <c r="N5" s="48">
        <v>1000</v>
      </c>
      <c r="O5" s="21">
        <f t="shared" ref="O5:O30" si="3">IF(COUNTA($F5,$K5,$P5)&gt;0,O4+SUM(L5:N5),"")</f>
        <v>55700</v>
      </c>
      <c r="P5" s="8" t="s">
        <v>197</v>
      </c>
      <c r="Q5" s="9">
        <v>-6000</v>
      </c>
      <c r="R5" s="9"/>
      <c r="S5" s="48">
        <v>-500</v>
      </c>
      <c r="T5" s="21">
        <f t="shared" ref="T5:T30" si="4">IF(COUNTA($F5,$K5,$P5)&gt;0,T4+SUM(Q5:S5),"")</f>
        <v>20800</v>
      </c>
      <c r="U5" s="53">
        <f>IF($J5="","",ROUND(($J5-$J$3)/1000,1)+(_xlfn.RANK.AVG($J5,($J5,$O5,$T5),1)-2)*10)</f>
        <v>-6.5</v>
      </c>
      <c r="V5" s="54">
        <f>IF($O5="","",ROUND(($O5-$O$3)/1000,1)+(_xlfn.RANK.AVG($O5,($J5,$O5,$T5),1)-2)*10)</f>
        <v>30.7</v>
      </c>
      <c r="W5" s="55">
        <f>IF($T5="","",ROUND(($T5-$T$3)/1000,1)+(_xlfn.RANK.AVG($T5,($J5,$O5,$T5),1)-2)*10)</f>
        <v>-24.2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82</v>
      </c>
      <c r="BB5" s="41" t="s">
        <v>83</v>
      </c>
      <c r="BC5" s="41" t="s">
        <v>85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209</v>
      </c>
      <c r="G6" s="9">
        <v>1500</v>
      </c>
      <c r="H6" s="9">
        <v>-1000</v>
      </c>
      <c r="I6" s="48"/>
      <c r="J6" s="21">
        <f t="shared" si="2"/>
        <v>29000</v>
      </c>
      <c r="K6" s="8" t="s">
        <v>209</v>
      </c>
      <c r="L6" s="9">
        <v>1500</v>
      </c>
      <c r="M6" s="9">
        <v>-1000</v>
      </c>
      <c r="N6" s="48"/>
      <c r="O6" s="21">
        <f t="shared" si="3"/>
        <v>56200</v>
      </c>
      <c r="P6" s="8" t="s">
        <v>209</v>
      </c>
      <c r="Q6" s="9">
        <v>-3000</v>
      </c>
      <c r="R6" s="9"/>
      <c r="S6" s="48"/>
      <c r="T6" s="21">
        <f t="shared" si="4"/>
        <v>17800</v>
      </c>
      <c r="U6" s="53">
        <f>IF($J6="","",ROUND(($J6-$J$3)/1000,1)+(_xlfn.RANK.AVG($J6,($J6,$O6,$T6),1)-2)*10)</f>
        <v>-6</v>
      </c>
      <c r="V6" s="54">
        <f>IF($O6="","",ROUND(($O6-$O$3)/1000,1)+(_xlfn.RANK.AVG($O6,($J6,$O6,$T6),1)-2)*10)</f>
        <v>31.2</v>
      </c>
      <c r="W6" s="55">
        <f>IF($T6="","",ROUND(($T6-$T$3)/1000,1)+(_xlfn.RANK.AVG($T6,($J6,$O6,$T6),1)-2)*10)</f>
        <v>-27.2</v>
      </c>
      <c r="Y6" s="8" t="s">
        <v>207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207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2</v>
      </c>
      <c r="E7" s="4" t="s">
        <v>193</v>
      </c>
      <c r="F7" s="8" t="s">
        <v>201</v>
      </c>
      <c r="G7" s="9">
        <v>2600</v>
      </c>
      <c r="H7" s="9">
        <v>2000</v>
      </c>
      <c r="I7" s="48">
        <v>3000</v>
      </c>
      <c r="J7" s="21">
        <f t="shared" si="2"/>
        <v>36600</v>
      </c>
      <c r="K7" s="8" t="s">
        <v>202</v>
      </c>
      <c r="L7" s="9">
        <v>-2600</v>
      </c>
      <c r="M7" s="9"/>
      <c r="N7" s="48">
        <v>-3000</v>
      </c>
      <c r="O7" s="21">
        <f t="shared" si="3"/>
        <v>50600</v>
      </c>
      <c r="P7" s="8"/>
      <c r="Q7" s="9"/>
      <c r="R7" s="9"/>
      <c r="S7" s="48"/>
      <c r="T7" s="21">
        <f t="shared" si="4"/>
        <v>17800</v>
      </c>
      <c r="U7" s="53">
        <f>IF($J7="","",ROUND(($J7-$J$3)/1000,1)+(_xlfn.RANK.AVG($J7,($J7,$O7,$T7),1)-2)*10)</f>
        <v>1.6</v>
      </c>
      <c r="V7" s="54">
        <f>IF($O7="","",ROUND(($O7-$O$3)/1000,1)+(_xlfn.RANK.AVG($O7,($J7,$O7,$T7),1)-2)*10)</f>
        <v>25.6</v>
      </c>
      <c r="W7" s="55">
        <f>IF($T7="","",ROUND(($T7-$T$3)/1000,1)+(_xlfn.RANK.AVG($T7,($J7,$O7,$T7),1)-2)*10)</f>
        <v>-27.2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200</v>
      </c>
      <c r="AF7" s="41" t="s">
        <v>206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8000</v>
      </c>
      <c r="H8" s="9">
        <v>2000</v>
      </c>
      <c r="I8" s="48">
        <v>0</v>
      </c>
      <c r="J8" s="21">
        <f t="shared" si="2"/>
        <v>46600</v>
      </c>
      <c r="K8" s="8" t="s">
        <v>197</v>
      </c>
      <c r="L8" s="9">
        <v>-3000</v>
      </c>
      <c r="M8" s="9">
        <v>-1000</v>
      </c>
      <c r="N8" s="48">
        <v>0</v>
      </c>
      <c r="O8" s="21">
        <f t="shared" si="3"/>
        <v>46600</v>
      </c>
      <c r="P8" s="8" t="s">
        <v>197</v>
      </c>
      <c r="Q8" s="9">
        <v>-5000</v>
      </c>
      <c r="R8" s="9">
        <v>-1000</v>
      </c>
      <c r="S8" s="48">
        <v>0</v>
      </c>
      <c r="T8" s="21">
        <f t="shared" si="4"/>
        <v>11800</v>
      </c>
      <c r="U8" s="53">
        <f>IF($J8="","",ROUND(($J8-$J$3)/1000,1)+(_xlfn.RANK.AVG($J8,($J8,$O8,$T8),1)-2)*10)</f>
        <v>16.600000000000001</v>
      </c>
      <c r="V8" s="54">
        <f>IF($O8="","",ROUND(($O8-$O$3)/1000,1)+(_xlfn.RANK.AVG($O8,($J8,$O8,$T8),1)-2)*10)</f>
        <v>16.600000000000001</v>
      </c>
      <c r="W8" s="55">
        <f>IF($T8="","",ROUND(($T8-$T$3)/1000,1)+(_xlfn.RANK.AVG($T8,($J8,$O8,$T8),1)-2)*10)</f>
        <v>-33.200000000000003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79</v>
      </c>
      <c r="AF8" s="41" t="s">
        <v>79</v>
      </c>
      <c r="AG8" s="41" t="s">
        <v>203</v>
      </c>
      <c r="AH8" s="41" t="s">
        <v>86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24000</v>
      </c>
      <c r="H9" s="9"/>
      <c r="I9" s="48">
        <v>0</v>
      </c>
      <c r="J9" s="21">
        <f t="shared" si="2"/>
        <v>70600</v>
      </c>
      <c r="K9" s="8"/>
      <c r="L9" s="9"/>
      <c r="M9" s="9"/>
      <c r="N9" s="48"/>
      <c r="O9" s="21">
        <f t="shared" si="3"/>
        <v>46600</v>
      </c>
      <c r="P9" s="8" t="s">
        <v>202</v>
      </c>
      <c r="Q9" s="9">
        <v>-24000</v>
      </c>
      <c r="R9" s="9"/>
      <c r="S9" s="48">
        <v>0</v>
      </c>
      <c r="T9" s="21">
        <f t="shared" si="4"/>
        <v>-12200</v>
      </c>
      <c r="U9" s="53">
        <f>IF($J9="","",ROUND(($J9-$J$3)/1000,1)+(_xlfn.RANK.AVG($J9,($J9,$O9,$T9),1)-2)*10)</f>
        <v>45.6</v>
      </c>
      <c r="V9" s="54">
        <f>IF($O9="","",ROUND(($O9-$O$3)/1000,1)+(_xlfn.RANK.AVG($O9,($J9,$O9,$T9),1)-2)*10)</f>
        <v>11.6</v>
      </c>
      <c r="W9" s="55">
        <f>IF($T9="","",ROUND(($T9-$T$3)/1000,1)+(_xlfn.RANK.AVG($T9,($J9,$O9,$T9),1)-2)*10)</f>
        <v>-57.2</v>
      </c>
      <c r="Y9" s="8"/>
      <c r="Z9" s="34"/>
      <c r="AA9" s="26">
        <v>1</v>
      </c>
      <c r="AB9" s="26"/>
      <c r="AC9" s="26">
        <v>9</v>
      </c>
      <c r="AD9" s="30" t="s">
        <v>199</v>
      </c>
      <c r="AE9" s="40" t="s">
        <v>200</v>
      </c>
      <c r="AF9" s="41" t="s">
        <v>79</v>
      </c>
      <c r="AG9" s="41" t="s">
        <v>80</v>
      </c>
      <c r="AH9" s="41" t="s">
        <v>80</v>
      </c>
      <c r="AI9" s="41" t="s">
        <v>80</v>
      </c>
      <c r="AJ9" s="41" t="s">
        <v>203</v>
      </c>
      <c r="AK9" s="41" t="s">
        <v>85</v>
      </c>
      <c r="AL9" s="41" t="s">
        <v>83</v>
      </c>
      <c r="AM9" s="41" t="s">
        <v>206</v>
      </c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F0AC23C1-50F5-4492-8705-B5D664FC371E}">
      <formula1>"ロン,ツモ,放銃,ツモ支払,流局,チョンボ"</formula1>
    </dataValidation>
    <dataValidation type="list" allowBlank="1" showInputMessage="1" showErrorMessage="1" sqref="E4:E30" xr:uid="{6F2D6877-40EA-445F-946D-1F68A01DFFD2}">
      <formula1>$U$2:$W$2</formula1>
    </dataValidation>
    <dataValidation type="list" allowBlank="1" showInputMessage="1" sqref="F1:T1" xr:uid="{A5436739-583F-415E-9E61-5D4052C7E682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2019-12-07T16:05:38Z</dcterms:modified>
</cp:coreProperties>
</file>