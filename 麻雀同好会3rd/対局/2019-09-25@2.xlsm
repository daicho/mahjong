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31BA201-00D8-484F-AC23-EC7413E88D5B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W9" i="19" s="1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4" i="19" l="1"/>
  <c r="U14" i="19"/>
  <c r="V14" i="19"/>
  <c r="V13" i="19"/>
  <c r="W13" i="19"/>
  <c r="U13" i="19"/>
  <c r="W12" i="19"/>
  <c r="V12" i="19"/>
  <c r="W11" i="19"/>
  <c r="V11" i="19"/>
  <c r="U10" i="19"/>
  <c r="W10" i="19"/>
  <c r="V9" i="19"/>
  <c r="W8" i="19"/>
  <c r="V8" i="19"/>
  <c r="U7" i="19"/>
  <c r="V7" i="19"/>
  <c r="W7" i="19"/>
  <c r="W6" i="19"/>
  <c r="V6" i="19"/>
  <c r="U4" i="19"/>
  <c r="V4" i="19"/>
  <c r="T5" i="19"/>
  <c r="W4" i="19"/>
  <c r="J5" i="19"/>
  <c r="O5" i="19"/>
  <c r="U5" i="19" l="1"/>
  <c r="V5" i="19"/>
  <c r="W5" i="19"/>
</calcChain>
</file>

<file path=xl/sharedStrings.xml><?xml version="1.0" encoding="utf-8"?>
<sst xmlns="http://schemas.openxmlformats.org/spreadsheetml/2006/main" count="604" uniqueCount="207">
  <si>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</si>
  <si>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</si>
  <si>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</si>
  <si>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</si>
  <si>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</si>
  <si>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</si>
  <si>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</si>
  <si>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</si>
  <si>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</si>
  <si>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</si>
  <si>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</si>
  <si>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</si>
  <si>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</si>
  <si>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</si>
  <si>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</si>
  <si>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</si>
  <si>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</si>
  <si>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</si>
  <si>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</si>
  <si>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</si>
  <si>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</si>
  <si>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</si>
  <si>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</si>
  <si>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</si>
  <si>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</si>
  <si>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</si>
  <si>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</si>
  <si>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</si>
  <si>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</si>
  <si>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</si>
  <si>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</si>
  <si>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</si>
  <si>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</si>
  <si>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</si>
  <si>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</si>
  <si>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</si>
  <si>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</si>
  <si>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</si>
  <si>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</si>
  <si>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</si>
  <si>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</si>
  <si>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</si>
  <si>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</si>
  <si>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</si>
  <si>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</si>
  <si>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</si>
  <si>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</si>
  <si>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</si>
  <si>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</si>
  <si>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</si>
  <si>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</si>
  <si>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</si>
  <si>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</si>
  <si>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</si>
  <si>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</si>
  <si>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</si>
  <si>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</si>
  <si>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</si>
  <si>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</si>
  <si>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</si>
  <si>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</si>
  <si>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</si>
  <si>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</si>
  <si>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</si>
  <si>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</si>
  <si>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</si>
  <si>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</si>
  <si>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</si>
  <si>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</si>
  <si>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</si>
  <si>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</si>
  <si>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</si>
  <si>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</si>
  <si>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</si>
  <si>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</si>
  <si>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</si>
  <si>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</si>
  <si>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</si>
  <si>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</si>
  <si>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</si>
  <si>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</si>
  <si>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</si>
  <si>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</si>
  <si>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</si>
  <si>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</si>
  <si>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</si>
  <si>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</si>
  <si>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</si>
  <si>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</si>
  <si>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</si>
  <si>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</si>
  <si>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</si>
  <si>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</si>
  <si>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</si>
  <si>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</si>
  <si>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</si>
  <si>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</si>
  <si>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</si>
  <si>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</si>
  <si>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</si>
  <si>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</si>
  <si>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</si>
  <si>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</si>
  <si>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</si>
  <si>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</si>
  <si>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</si>
  <si>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</si>
  <si>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</si>
  <si>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</si>
  <si>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</si>
  <si>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</si>
  <si>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</si>
  <si>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</si>
  <si>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</si>
  <si>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</si>
  <si>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</si>
  <si>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</si>
  <si>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</si>
  <si>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</si>
  <si>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</si>
  <si>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</si>
  <si>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</si>
  <si>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</si>
  <si>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</si>
  <si>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</si>
  <si>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</si>
  <si>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</si>
  <si>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</si>
  <si>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</si>
  <si>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</si>
  <si>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</si>
  <si>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</si>
  <si>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</si>
  <si>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</si>
  <si>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</si>
  <si>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</si>
  <si>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</si>
  <si>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</si>
  <si>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</si>
  <si>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</si>
  <si>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</si>
  <si>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</si>
  <si>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</si>
  <si>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</si>
  <si>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</si>
  <si>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</si>
  <si>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</si>
  <si>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</si>
  <si>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</si>
  <si>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</si>
  <si>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</si>
  <si>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</si>
  <si>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</si>
  <si>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</si>
  <si>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</si>
  <si>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</si>
  <si>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</si>
  <si>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</si>
  <si>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</si>
  <si>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</si>
  <si>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</si>
  <si>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</si>
  <si>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</si>
  <si>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</si>
  <si>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</si>
  <si>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</si>
  <si>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</si>
  <si>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</si>
  <si>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</si>
  <si>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</si>
  <si>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</si>
  <si>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</si>
  <si>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</si>
  <si>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</si>
  <si>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</si>
  <si>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</si>
  <si>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</si>
  <si>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</si>
  <si>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</si>
  <si>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</si>
  <si>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</si>
  <si>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</si>
  <si>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</si>
  <si>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</si>
  <si>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</si>
  <si>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</si>
  <si>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</si>
  <si>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</si>
  <si>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</si>
  <si>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</si>
  <si>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</si>
  <si>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</si>
  <si>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</si>
  <si>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</si>
  <si>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</si>
  <si>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まっつん</t>
  </si>
  <si>
    <t>まっつん</t>
    <phoneticPr fontId="1"/>
  </si>
  <si>
    <t>ツモ支払</t>
  </si>
  <si>
    <t>ツモ</t>
  </si>
  <si>
    <t>放銃</t>
  </si>
  <si>
    <t>ロン</t>
  </si>
  <si>
    <t>T</t>
  </si>
  <si>
    <t>N</t>
  </si>
  <si>
    <t>流局</t>
    <phoneticPr fontId="1"/>
  </si>
  <si>
    <t>*</t>
  </si>
  <si>
    <t>01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</si>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</sst>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まっつん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198</v>
      </c>
      <c r="L4" s="9">
        <v>1200</v>
      </c>
      <c r="M4" s="9"/>
      <c r="N4" s="48">
        <v>0</v>
      </c>
      <c r="O4" s="21">
        <f>IF(COUNTA($F4,$K4,$P4)&gt;0,O3+SUM(L4:N4),"")</f>
        <v>36200</v>
      </c>
      <c r="P4" s="8" t="s">
        <v>197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IF($J4="","",ROUND(($J4-$J$3)/1000,1)+(_xlfn.RANK.AVG($J4,($J4,$O4,$T4),1)-2)*10)</f>
        <v>-10.7</v>
      </c>
      <c r="V4" s="54">
        <f>IF($O4="","",ROUND(($O4-$O$3)/1000,1)+(_xlfn.RANK.AVG($O4,($J4,$O4,$T4),1)-2)*10)</f>
        <v>11.2</v>
      </c>
      <c r="W4" s="55">
        <f>IF($T4="","",ROUND(($T4-$T$3)/1000,1)+(_xlfn.RANK.AVG($T4,($J4,$O4,$T4),1)-2)*10)</f>
        <v>-0.5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30</v>
      </c>
      <c r="AZ4" s="40" t="s">
        <v>82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-5800</v>
      </c>
      <c r="H5" s="9"/>
      <c r="I5" s="48">
        <v>0</v>
      </c>
      <c r="J5" s="21">
        <f t="shared" ref="J5:J30" si="2">IF(COUNTA($F5,$K5,$P5)&gt;0,J4+SUM(G5:I5),"")</f>
        <v>28500</v>
      </c>
      <c r="K5" s="8" t="s">
        <v>200</v>
      </c>
      <c r="L5" s="9">
        <v>5800</v>
      </c>
      <c r="M5" s="9"/>
      <c r="N5" s="48">
        <v>0</v>
      </c>
      <c r="O5" s="21">
        <f t="shared" ref="O5:O30" si="3">IF(COUNTA($F5,$K5,$P5)&gt;0,O4+SUM(L5:N5),"")</f>
        <v>42000</v>
      </c>
      <c r="P5" s="8"/>
      <c r="Q5" s="9"/>
      <c r="R5" s="9"/>
      <c r="S5" s="48"/>
      <c r="T5" s="21">
        <f t="shared" ref="T5:T30" si="4">IF(COUNTA($F5,$K5,$P5)&gt;0,T4+SUM(Q5:S5),"")</f>
        <v>34500</v>
      </c>
      <c r="U5" s="53">
        <f>IF($J5="","",ROUND(($J5-$J$3)/1000,1)+(_xlfn.RANK.AVG($J5,($J5,$O5,$T5),1)-2)*10)</f>
        <v>-16.5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104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203</v>
      </c>
      <c r="G6" s="9">
        <v>1500</v>
      </c>
      <c r="H6" s="9">
        <v>-1000</v>
      </c>
      <c r="I6" s="48"/>
      <c r="J6" s="21">
        <f t="shared" si="2"/>
        <v>29000</v>
      </c>
      <c r="K6" s="8" t="s">
        <v>203</v>
      </c>
      <c r="L6" s="9">
        <v>1500</v>
      </c>
      <c r="M6" s="9">
        <v>-1000</v>
      </c>
      <c r="N6" s="48"/>
      <c r="O6" s="21">
        <f t="shared" si="3"/>
        <v>42500</v>
      </c>
      <c r="P6" s="8" t="s">
        <v>203</v>
      </c>
      <c r="Q6" s="9">
        <v>-3000</v>
      </c>
      <c r="R6" s="9"/>
      <c r="S6" s="48"/>
      <c r="T6" s="21">
        <f t="shared" si="4"/>
        <v>31500</v>
      </c>
      <c r="U6" s="53">
        <f>IF($J6="","",ROUND(($J6-$J$3)/1000,1)+(_xlfn.RANK.AVG($J6,($J6,$O6,$T6),1)-2)*10)</f>
        <v>-16</v>
      </c>
      <c r="V6" s="54">
        <f>IF($O6="","",ROUND(($O6-$O$3)/1000,1)+(_xlfn.RANK.AVG($O6,($J6,$O6,$T6),1)-2)*10)</f>
        <v>17.5</v>
      </c>
      <c r="W6" s="55">
        <f>IF($T6="","",ROUND(($T6-$T$3)/1000,1)+(_xlfn.RANK.AVG($T6,($J6,$O6,$T6),1)-2)*10)</f>
        <v>-3.5</v>
      </c>
      <c r="Y6" s="8" t="s">
        <v>201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">
        <v>193</v>
      </c>
      <c r="F7" s="8"/>
      <c r="G7" s="9"/>
      <c r="H7" s="9"/>
      <c r="I7" s="48"/>
      <c r="J7" s="21">
        <f t="shared" si="2"/>
        <v>29000</v>
      </c>
      <c r="K7" s="8" t="s">
        <v>199</v>
      </c>
      <c r="L7" s="9">
        <v>-8000</v>
      </c>
      <c r="M7" s="9"/>
      <c r="N7" s="48">
        <v>-2000</v>
      </c>
      <c r="O7" s="21">
        <f t="shared" si="3"/>
        <v>32500</v>
      </c>
      <c r="P7" s="8" t="s">
        <v>200</v>
      </c>
      <c r="Q7" s="9">
        <v>8000</v>
      </c>
      <c r="R7" s="9">
        <v>2000</v>
      </c>
      <c r="S7" s="48">
        <v>2000</v>
      </c>
      <c r="T7" s="21">
        <f t="shared" si="4"/>
        <v>43500</v>
      </c>
      <c r="U7" s="53">
        <f>IF($J7="","",ROUND(($J7-$J$3)/1000,1)+(_xlfn.RANK.AVG($J7,($J7,$O7,$T7),1)-2)*10)</f>
        <v>-16</v>
      </c>
      <c r="V7" s="54">
        <f>IF($O7="","",ROUND(($O7-$O$3)/1000,1)+(_xlfn.RANK.AVG($O7,($J7,$O7,$T7),1)-2)*10)</f>
        <v>-2.5</v>
      </c>
      <c r="W7" s="55">
        <f>IF($T7="","",ROUND(($T7-$T$3)/1000,1)+(_xlfn.RANK.AVG($T7,($J7,$O7,$T7),1)-2)*10)</f>
        <v>18.5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204</v>
      </c>
      <c r="BU7" s="40" t="s">
        <v>205</v>
      </c>
      <c r="BV7" s="41" t="s">
        <v>86</v>
      </c>
      <c r="BW7" s="41" t="s">
        <v>84</v>
      </c>
      <c r="BX7" s="41" t="s">
        <v>93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-2000</v>
      </c>
      <c r="H8" s="9">
        <v>-1000</v>
      </c>
      <c r="I8" s="48">
        <v>0</v>
      </c>
      <c r="J8" s="21">
        <f t="shared" si="2"/>
        <v>26000</v>
      </c>
      <c r="K8" s="8" t="s">
        <v>197</v>
      </c>
      <c r="L8" s="9">
        <v>-2000</v>
      </c>
      <c r="M8" s="9"/>
      <c r="N8" s="48">
        <v>0</v>
      </c>
      <c r="O8" s="21">
        <f t="shared" si="3"/>
        <v>30500</v>
      </c>
      <c r="P8" s="8" t="s">
        <v>198</v>
      </c>
      <c r="Q8" s="9">
        <v>4000</v>
      </c>
      <c r="R8" s="9">
        <v>1000</v>
      </c>
      <c r="S8" s="48">
        <v>0</v>
      </c>
      <c r="T8" s="21">
        <f t="shared" si="4"/>
        <v>48500</v>
      </c>
      <c r="U8" s="53">
        <f>IF($J8="","",ROUND(($J8-$J$3)/1000,1)+(_xlfn.RANK.AVG($J8,($J8,$O8,$T8),1)-2)*10)</f>
        <v>-19</v>
      </c>
      <c r="V8" s="54">
        <f>IF($O8="","",ROUND(($O8-$O$3)/1000,1)+(_xlfn.RANK.AVG($O8,($J8,$O8,$T8),1)-2)*10)</f>
        <v>-4.5</v>
      </c>
      <c r="W8" s="55">
        <f>IF($T8="","",ROUND(($T8-$T$3)/1000,1)+(_xlfn.RANK.AVG($T8,($J8,$O8,$T8),1)-2)*10)</f>
        <v>23.5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40</v>
      </c>
      <c r="BU8" s="40" t="s">
        <v>86</v>
      </c>
      <c r="BV8" s="41" t="s">
        <v>93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26000</v>
      </c>
      <c r="K9" s="8" t="s">
        <v>199</v>
      </c>
      <c r="L9" s="9">
        <v>-5800</v>
      </c>
      <c r="M9" s="9"/>
      <c r="N9" s="48">
        <v>-1000</v>
      </c>
      <c r="O9" s="21">
        <f t="shared" si="3"/>
        <v>23700</v>
      </c>
      <c r="P9" s="8" t="s">
        <v>200</v>
      </c>
      <c r="Q9" s="9">
        <v>5800</v>
      </c>
      <c r="R9" s="9"/>
      <c r="S9" s="48">
        <v>1000</v>
      </c>
      <c r="T9" s="21">
        <f t="shared" si="4"/>
        <v>55300</v>
      </c>
      <c r="U9" s="53">
        <f>IF($J9="","",ROUND(($J9-$J$3)/1000,1)+(_xlfn.RANK.AVG($J9,($J9,$O9,$T9),1)-2)*10)</f>
        <v>-9</v>
      </c>
      <c r="V9" s="54">
        <f>IF($O9="","",ROUND(($O9-$O$3)/1000,1)+(_xlfn.RANK.AVG($O9,($J9,$O9,$T9),1)-2)*10)</f>
        <v>-21.3</v>
      </c>
      <c r="W9" s="55">
        <f>IF($T9="","",ROUND(($T9-$T$3)/1000,1)+(_xlfn.RANK.AVG($T9,($J9,$O9,$T9),1)-2)*10)</f>
        <v>30.3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98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198</v>
      </c>
      <c r="G10" s="9">
        <v>2100</v>
      </c>
      <c r="H10" s="9"/>
      <c r="I10" s="48">
        <v>2000</v>
      </c>
      <c r="J10" s="21">
        <f t="shared" si="2"/>
        <v>30100</v>
      </c>
      <c r="K10" s="8" t="s">
        <v>197</v>
      </c>
      <c r="L10" s="9">
        <v>-800</v>
      </c>
      <c r="M10" s="9"/>
      <c r="N10" s="48">
        <v>-1000</v>
      </c>
      <c r="O10" s="21">
        <f t="shared" si="3"/>
        <v>21900</v>
      </c>
      <c r="P10" s="8" t="s">
        <v>197</v>
      </c>
      <c r="Q10" s="9">
        <v>-1300</v>
      </c>
      <c r="R10" s="9"/>
      <c r="S10" s="48">
        <v>-1000</v>
      </c>
      <c r="T10" s="21">
        <f t="shared" si="4"/>
        <v>53000</v>
      </c>
      <c r="U10" s="53">
        <f>IF($J10="","",ROUND(($J10-$J$3)/1000,1)+(_xlfn.RANK.AVG($J10,($J10,$O10,$T10),1)-2)*10)</f>
        <v>-4.9000000000000004</v>
      </c>
      <c r="V10" s="54">
        <f>IF($O10="","",ROUND(($O10-$O$3)/1000,1)+(_xlfn.RANK.AVG($O10,($J10,$O10,$T10),1)-2)*10)</f>
        <v>-23.1</v>
      </c>
      <c r="W10" s="55">
        <f>IF($T10="","",ROUND(($T10-$T$3)/1000,1)+(_xlfn.RANK.AVG($T10,($J10,$O10,$T10),1)-2)*10)</f>
        <v>28</v>
      </c>
      <c r="Y10" s="8"/>
      <c r="Z10" s="34"/>
      <c r="AA10" s="26"/>
      <c r="AB10" s="26"/>
      <c r="AC10" s="26">
        <v>2</v>
      </c>
      <c r="AD10" s="30">
        <v>30</v>
      </c>
      <c r="AE10" s="40" t="s">
        <v>82</v>
      </c>
      <c r="AF10" s="41" t="s">
        <v>206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197</v>
      </c>
      <c r="G11" s="9">
        <v>-900</v>
      </c>
      <c r="H11" s="9"/>
      <c r="I11" s="48">
        <v>0</v>
      </c>
      <c r="J11" s="21">
        <f t="shared" si="2"/>
        <v>29200</v>
      </c>
      <c r="K11" s="8" t="s">
        <v>198</v>
      </c>
      <c r="L11" s="9">
        <v>1500</v>
      </c>
      <c r="M11" s="9"/>
      <c r="N11" s="48">
        <v>0</v>
      </c>
      <c r="O11" s="21">
        <f t="shared" si="3"/>
        <v>23400</v>
      </c>
      <c r="P11" s="8" t="s">
        <v>197</v>
      </c>
      <c r="Q11" s="9">
        <v>-600</v>
      </c>
      <c r="R11" s="9"/>
      <c r="S11" s="48">
        <v>0</v>
      </c>
      <c r="T11" s="21">
        <f t="shared" si="4"/>
        <v>52400</v>
      </c>
      <c r="U11" s="53">
        <f>IF($J11="","",ROUND(($J11-$J$3)/1000,1)+(_xlfn.RANK.AVG($J11,($J11,$O11,$T11),1)-2)*10)</f>
        <v>-5.8</v>
      </c>
      <c r="V11" s="54">
        <f>IF($O11="","",ROUND(($O11-$O$3)/1000,1)+(_xlfn.RANK.AVG($O11,($J11,$O11,$T11),1)-2)*10)</f>
        <v>-21.6</v>
      </c>
      <c r="W11" s="55">
        <f>IF($T11="","",ROUND(($T11-$T$3)/1000,1)+(_xlfn.RANK.AVG($T11,($J11,$O11,$T11),1)-2)*10)</f>
        <v>27.4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20</v>
      </c>
      <c r="AZ11" s="40" t="s">
        <v>82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199</v>
      </c>
      <c r="G12" s="9">
        <v>-24000</v>
      </c>
      <c r="H12" s="9"/>
      <c r="I12" s="48">
        <v>0</v>
      </c>
      <c r="J12" s="21">
        <f t="shared" si="2"/>
        <v>5200</v>
      </c>
      <c r="K12" s="8" t="s">
        <v>200</v>
      </c>
      <c r="L12" s="9">
        <v>24000</v>
      </c>
      <c r="M12" s="9"/>
      <c r="N12" s="48">
        <v>0</v>
      </c>
      <c r="O12" s="21">
        <f t="shared" si="3"/>
        <v>47400</v>
      </c>
      <c r="P12" s="8"/>
      <c r="Q12" s="9"/>
      <c r="R12" s="9"/>
      <c r="S12" s="48"/>
      <c r="T12" s="21">
        <f t="shared" si="4"/>
        <v>52400</v>
      </c>
      <c r="U12" s="53">
        <f>IF($J12="","",ROUND(($J12-$J$3)/1000,1)+(_xlfn.RANK.AVG($J12,($J12,$O12,$T12),1)-2)*10)</f>
        <v>-39.799999999999997</v>
      </c>
      <c r="V12" s="54">
        <f>IF($O12="","",ROUND(($O12-$O$3)/1000,1)+(_xlfn.RANK.AVG($O12,($J12,$O12,$T12),1)-2)*10)</f>
        <v>12.4</v>
      </c>
      <c r="W12" s="55">
        <f>IF($T12="","",ROUND(($T12-$T$3)/1000,1)+(_xlfn.RANK.AVG($T12,($J12,$O12,$T12),1)-2)*10)</f>
        <v>27.4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204</v>
      </c>
      <c r="AZ12" s="40" t="s">
        <v>205</v>
      </c>
      <c r="BA12" s="41" t="s">
        <v>85</v>
      </c>
      <c r="BB12" s="41" t="s">
        <v>96</v>
      </c>
      <c r="BC12" s="41" t="s">
        <v>79</v>
      </c>
      <c r="BD12" s="41" t="s">
        <v>79</v>
      </c>
      <c r="BE12" s="41" t="s">
        <v>79</v>
      </c>
      <c r="BF12" s="41" t="s">
        <v>79</v>
      </c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203</v>
      </c>
      <c r="G13" s="9">
        <v>3000</v>
      </c>
      <c r="H13" s="9"/>
      <c r="I13" s="48"/>
      <c r="J13" s="21">
        <f t="shared" si="2"/>
        <v>8200</v>
      </c>
      <c r="K13" s="8" t="s">
        <v>203</v>
      </c>
      <c r="L13" s="9">
        <v>-1500</v>
      </c>
      <c r="M13" s="9"/>
      <c r="N13" s="48"/>
      <c r="O13" s="21">
        <f t="shared" si="3"/>
        <v>45900</v>
      </c>
      <c r="P13" s="8" t="s">
        <v>203</v>
      </c>
      <c r="Q13" s="9">
        <v>-1500</v>
      </c>
      <c r="R13" s="9"/>
      <c r="S13" s="48"/>
      <c r="T13" s="21">
        <f t="shared" si="4"/>
        <v>50900</v>
      </c>
      <c r="U13" s="53">
        <f>IF($J13="","",ROUND(($J13-$J$3)/1000,1)+(_xlfn.RANK.AVG($J13,($J13,$O13,$T13),1)-2)*10)</f>
        <v>-36.799999999999997</v>
      </c>
      <c r="V13" s="54">
        <f>IF($O13="","",ROUND(($O13-$O$3)/1000,1)+(_xlfn.RANK.AVG($O13,($J13,$O13,$T13),1)-2)*10)</f>
        <v>10.9</v>
      </c>
      <c r="W13" s="55">
        <f>IF($T13="","",ROUND(($T13-$T$3)/1000,1)+(_xlfn.RANK.AVG($T13,($J13,$O13,$T13),1)-2)*10)</f>
        <v>25.9</v>
      </c>
      <c r="Y13" s="8" t="s">
        <v>201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202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202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195</v>
      </c>
      <c r="F14" s="8"/>
      <c r="G14" s="9"/>
      <c r="H14" s="9">
        <v>-1000</v>
      </c>
      <c r="I14" s="48"/>
      <c r="J14" s="21">
        <f t="shared" si="2"/>
        <v>7200</v>
      </c>
      <c r="K14" s="8" t="s">
        <v>199</v>
      </c>
      <c r="L14" s="9">
        <v>-18000</v>
      </c>
      <c r="M14" s="9"/>
      <c r="N14" s="48">
        <v>-2000</v>
      </c>
      <c r="O14" s="21">
        <f t="shared" si="3"/>
        <v>25900</v>
      </c>
      <c r="P14" s="8" t="s">
        <v>200</v>
      </c>
      <c r="Q14" s="9">
        <v>18000</v>
      </c>
      <c r="R14" s="9">
        <v>1000</v>
      </c>
      <c r="S14" s="48">
        <v>2000</v>
      </c>
      <c r="T14" s="21">
        <f t="shared" si="4"/>
        <v>71900</v>
      </c>
      <c r="U14" s="53">
        <f>IF($J14="","",ROUND(($J14-$J$3)/1000,1)+(_xlfn.RANK.AVG($J14,($J14,$O14,$T14),1)-2)*10)</f>
        <v>-37.799999999999997</v>
      </c>
      <c r="V14" s="54">
        <f>IF($O14="","",ROUND(($O14-$O$3)/1000,1)+(_xlfn.RANK.AVG($O14,($J14,$O14,$T14),1)-2)*10)</f>
        <v>-9.1</v>
      </c>
      <c r="W14" s="55">
        <f>IF($T14="","",ROUND(($T14-$T$3)/1000,1)+(_xlfn.RANK.AVG($T14,($J14,$O14,$T14),1)-2)*10)</f>
        <v>46.9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>
        <v>6</v>
      </c>
      <c r="BT14" s="30" t="s">
        <v>204</v>
      </c>
      <c r="BU14" s="40" t="s">
        <v>86</v>
      </c>
      <c r="BV14" s="41" t="s">
        <v>86</v>
      </c>
      <c r="BW14" s="41" t="s">
        <v>98</v>
      </c>
      <c r="BX14" s="41" t="s">
        <v>100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FED999A-0EA7-4C8E-8F08-D6A11699C966}">
      <formula1>"たかの,だいち,ただ,りくと,れんたろう,まっつん,のり,ぱぱ,"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2019-09-26T22:54:11Z</dcterms:modified>
</cp:coreProperties>
</file>