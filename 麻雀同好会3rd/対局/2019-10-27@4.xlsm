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69F227F-27D7-4EBC-AE8D-50C0C26F92B2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1" i="23"/>
  <c r="D10" i="23"/>
  <c r="C10" i="23"/>
  <c r="C11" i="23" s="1"/>
  <c r="D9" i="23"/>
  <c r="D8" i="23"/>
  <c r="C8" i="23"/>
  <c r="C9" i="23" s="1"/>
  <c r="D7" i="23"/>
  <c r="C7" i="23"/>
  <c r="C6" i="23"/>
  <c r="B6" i="23"/>
  <c r="B7" i="23" s="1"/>
  <c r="J5" i="23"/>
  <c r="D5" i="23"/>
  <c r="D6" i="23" s="1"/>
  <c r="C5" i="23"/>
  <c r="B5" i="23"/>
  <c r="T4" i="23"/>
  <c r="W4" i="23" s="1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 s="1"/>
  <c r="T12" i="22"/>
  <c r="O12" i="22"/>
  <c r="J12" i="22"/>
  <c r="D12" i="22"/>
  <c r="C12" i="22"/>
  <c r="B12" i="22"/>
  <c r="A12" i="22"/>
  <c r="T11" i="22"/>
  <c r="O11" i="22"/>
  <c r="J11" i="22"/>
  <c r="D11" i="22"/>
  <c r="C11" i="22"/>
  <c r="B11" i="22"/>
  <c r="A11" i="22"/>
  <c r="T10" i="22"/>
  <c r="O10" i="22"/>
  <c r="J10" i="22"/>
  <c r="D10" i="22"/>
  <c r="C10" i="22"/>
  <c r="B10" i="22"/>
  <c r="A10" i="22" s="1"/>
  <c r="D9" i="22"/>
  <c r="C9" i="22"/>
  <c r="D8" i="22"/>
  <c r="C8" i="22"/>
  <c r="D7" i="22"/>
  <c r="C7" i="22"/>
  <c r="D6" i="22"/>
  <c r="C6" i="22"/>
  <c r="T5" i="22"/>
  <c r="T6" i="22" s="1"/>
  <c r="O5" i="22"/>
  <c r="D5" i="22"/>
  <c r="C5" i="22"/>
  <c r="B5" i="22"/>
  <c r="B6" i="22" s="1"/>
  <c r="T4" i="22"/>
  <c r="O4" i="22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T9" i="21"/>
  <c r="O9" i="21"/>
  <c r="V9" i="21" s="1"/>
  <c r="J9" i="21"/>
  <c r="D9" i="21"/>
  <c r="C9" i="21"/>
  <c r="B9" i="21"/>
  <c r="A9" i="21" s="1"/>
  <c r="T8" i="21"/>
  <c r="O8" i="21"/>
  <c r="J8" i="21"/>
  <c r="D8" i="21"/>
  <c r="C8" i="21"/>
  <c r="B8" i="21"/>
  <c r="A8" i="21"/>
  <c r="D7" i="21"/>
  <c r="C7" i="21"/>
  <c r="D6" i="21"/>
  <c r="T5" i="21"/>
  <c r="T6" i="21" s="1"/>
  <c r="O5" i="21"/>
  <c r="D5" i="21"/>
  <c r="C5" i="21"/>
  <c r="C6" i="21" s="1"/>
  <c r="B5" i="21"/>
  <c r="B6" i="21" s="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9" i="20"/>
  <c r="D10" i="20" s="1"/>
  <c r="C9" i="20"/>
  <c r="C10" i="20" s="1"/>
  <c r="D8" i="20"/>
  <c r="C8" i="20"/>
  <c r="D7" i="20"/>
  <c r="D6" i="20"/>
  <c r="C6" i="20"/>
  <c r="C7" i="20" s="1"/>
  <c r="B6" i="20"/>
  <c r="A6" i="20"/>
  <c r="D5" i="20"/>
  <c r="C5" i="20"/>
  <c r="B5" i="20"/>
  <c r="A5" i="20"/>
  <c r="T4" i="20"/>
  <c r="T5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A6" i="23" l="1"/>
  <c r="A5" i="23"/>
  <c r="U4" i="23"/>
  <c r="V4" i="23"/>
  <c r="B8" i="23"/>
  <c r="A7" i="23"/>
  <c r="O5" i="23"/>
  <c r="T5" i="23"/>
  <c r="J6" i="23"/>
  <c r="U12" i="22"/>
  <c r="V12" i="22"/>
  <c r="W12" i="22"/>
  <c r="U11" i="22"/>
  <c r="V11" i="22"/>
  <c r="W11" i="22"/>
  <c r="W10" i="22"/>
  <c r="U10" i="22"/>
  <c r="V10" i="22"/>
  <c r="W4" i="22"/>
  <c r="V4" i="22"/>
  <c r="B7" i="22"/>
  <c r="A7" i="22" s="1"/>
  <c r="T7" i="22"/>
  <c r="J5" i="22"/>
  <c r="V5" i="22" s="1"/>
  <c r="O6" i="22"/>
  <c r="A5" i="22"/>
  <c r="A6" i="22"/>
  <c r="U9" i="21"/>
  <c r="W9" i="21"/>
  <c r="V8" i="21"/>
  <c r="U8" i="21"/>
  <c r="W8" i="21"/>
  <c r="W4" i="21"/>
  <c r="U4" i="21"/>
  <c r="W5" i="21"/>
  <c r="U5" i="21"/>
  <c r="J6" i="21"/>
  <c r="B7" i="21"/>
  <c r="V5" i="21"/>
  <c r="T7" i="21"/>
  <c r="O6" i="21"/>
  <c r="A5" i="21"/>
  <c r="A6" i="21" s="1"/>
  <c r="V4" i="20"/>
  <c r="W4" i="20"/>
  <c r="T6" i="20"/>
  <c r="J6" i="20"/>
  <c r="U4" i="20"/>
  <c r="O5" i="20"/>
  <c r="W5" i="20" s="1"/>
  <c r="B7" i="20"/>
  <c r="A7" i="20" s="1"/>
  <c r="W3" i="19"/>
  <c r="V3" i="19"/>
  <c r="U3" i="19"/>
  <c r="A8" i="23" l="1"/>
  <c r="T6" i="23"/>
  <c r="W5" i="23"/>
  <c r="V5" i="23"/>
  <c r="O6" i="23"/>
  <c r="U5" i="23"/>
  <c r="B9" i="23"/>
  <c r="J7" i="23"/>
  <c r="B8" i="22"/>
  <c r="O7" i="22"/>
  <c r="W5" i="22"/>
  <c r="U5" i="22"/>
  <c r="J6" i="22"/>
  <c r="V6" i="22" s="1"/>
  <c r="T8" i="22"/>
  <c r="A7" i="21"/>
  <c r="U6" i="21"/>
  <c r="J7" i="21"/>
  <c r="V6" i="21"/>
  <c r="O7" i="21"/>
  <c r="W7" i="21" s="1"/>
  <c r="W6" i="21"/>
  <c r="T7" i="20"/>
  <c r="B8" i="20"/>
  <c r="A8" i="20" s="1"/>
  <c r="J7" i="20"/>
  <c r="V5" i="20"/>
  <c r="O6" i="20"/>
  <c r="W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W7" i="19" s="1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8" i="23" l="1"/>
  <c r="W6" i="23"/>
  <c r="T7" i="23"/>
  <c r="U6" i="23"/>
  <c r="B10" i="23"/>
  <c r="A9" i="23"/>
  <c r="V6" i="23"/>
  <c r="O7" i="23"/>
  <c r="B9" i="22"/>
  <c r="A9" i="22" s="1"/>
  <c r="T9" i="22"/>
  <c r="A8" i="22"/>
  <c r="U6" i="22"/>
  <c r="J7" i="22"/>
  <c r="V7" i="22" s="1"/>
  <c r="W6" i="22"/>
  <c r="O8" i="22"/>
  <c r="U7" i="21"/>
  <c r="V7" i="21"/>
  <c r="U6" i="20"/>
  <c r="T8" i="20"/>
  <c r="V6" i="20"/>
  <c r="O7" i="20"/>
  <c r="W7" i="20" s="1"/>
  <c r="J8" i="20"/>
  <c r="B9" i="20"/>
  <c r="A9" i="20" s="1"/>
  <c r="V11" i="19"/>
  <c r="W11" i="19"/>
  <c r="U10" i="19"/>
  <c r="V10" i="19"/>
  <c r="W10" i="19"/>
  <c r="U9" i="19"/>
  <c r="V9" i="19"/>
  <c r="W9" i="19"/>
  <c r="W8" i="19"/>
  <c r="U8" i="19"/>
  <c r="V8" i="19"/>
  <c r="U7" i="19"/>
  <c r="V7" i="19"/>
  <c r="U6" i="19"/>
  <c r="W6" i="19"/>
  <c r="V6" i="19"/>
  <c r="U4" i="19"/>
  <c r="V4" i="19"/>
  <c r="T5" i="19"/>
  <c r="W4" i="19"/>
  <c r="J5" i="19"/>
  <c r="O5" i="19"/>
  <c r="O8" i="23" l="1"/>
  <c r="V7" i="23"/>
  <c r="U7" i="23"/>
  <c r="J9" i="23"/>
  <c r="B11" i="23"/>
  <c r="A11" i="23" s="1"/>
  <c r="A10" i="23"/>
  <c r="W7" i="23"/>
  <c r="T8" i="23"/>
  <c r="V8" i="22"/>
  <c r="O9" i="22"/>
  <c r="U7" i="22"/>
  <c r="J8" i="22"/>
  <c r="W7" i="22"/>
  <c r="U7" i="20"/>
  <c r="T9" i="20"/>
  <c r="B10" i="20"/>
  <c r="J9" i="20"/>
  <c r="O8" i="20"/>
  <c r="V7" i="20"/>
  <c r="W5" i="19"/>
  <c r="V5" i="19"/>
  <c r="U5" i="19"/>
  <c r="V8" i="23" l="1"/>
  <c r="O9" i="23"/>
  <c r="B12" i="23"/>
  <c r="A12" i="23"/>
  <c r="J10" i="23"/>
  <c r="U8" i="23"/>
  <c r="W8" i="23"/>
  <c r="T9" i="23"/>
  <c r="U8" i="22"/>
  <c r="J9" i="22"/>
  <c r="W8" i="22"/>
  <c r="W8" i="20"/>
  <c r="B11" i="20"/>
  <c r="W9" i="20"/>
  <c r="T10" i="20"/>
  <c r="V8" i="20"/>
  <c r="O9" i="20"/>
  <c r="U9" i="20"/>
  <c r="J10" i="20"/>
  <c r="U8" i="20"/>
  <c r="A10" i="20"/>
  <c r="A11" i="20" s="1"/>
  <c r="V9" i="23" l="1"/>
  <c r="O10" i="23"/>
  <c r="W9" i="23"/>
  <c r="T10" i="23"/>
  <c r="U9" i="23"/>
  <c r="J11" i="23"/>
  <c r="U9" i="22"/>
  <c r="W9" i="22"/>
  <c r="V9" i="22"/>
  <c r="U10" i="20"/>
  <c r="J11" i="20"/>
  <c r="V9" i="20"/>
  <c r="O10" i="20"/>
  <c r="W10" i="20"/>
  <c r="T11" i="20"/>
  <c r="V10" i="23" l="1"/>
  <c r="O11" i="23"/>
  <c r="U10" i="23"/>
  <c r="J12" i="23"/>
  <c r="U11" i="23"/>
  <c r="W10" i="23"/>
  <c r="T11" i="23"/>
  <c r="O11" i="20"/>
  <c r="V11" i="20" s="1"/>
  <c r="V10" i="20"/>
  <c r="W11" i="23" l="1"/>
  <c r="T12" i="23"/>
  <c r="O12" i="23"/>
  <c r="V12" i="23" s="1"/>
  <c r="V11" i="23"/>
  <c r="U11" i="20"/>
  <c r="W11" i="20"/>
  <c r="U12" i="23" l="1"/>
  <c r="W12" i="23"/>
</calcChain>
</file>

<file path=xl/sharedStrings.xml><?xml version="1.0" encoding="utf-8"?>
<sst xmlns="http://schemas.openxmlformats.org/spreadsheetml/2006/main" count="984" uniqueCount="210">
  <si>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</si>
  <si>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</si>
  <si>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</si>
  <si>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</si>
  <si>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</si>
  <si>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</si>
  <si>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</si>
  <si>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</si>
  <si>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</si>
  <si>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</si>
  <si>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</si>
  <si>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</si>
  <si>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</si>
  <si>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</si>
  <si>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</si>
  <si>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</si>
  <si>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</si>
  <si>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</si>
  <si>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</si>
  <si>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</si>
  <si>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</si>
  <si>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</si>
  <si>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</si>
  <si>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</si>
  <si>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</si>
  <si>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</si>
  <si>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</si>
  <si>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</si>
  <si>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</si>
  <si>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</si>
  <si>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</si>
  <si>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</si>
  <si>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</si>
  <si>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</si>
  <si>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</si>
  <si>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</si>
  <si>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</si>
  <si>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</si>
  <si>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</si>
  <si>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</si>
  <si>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</si>
  <si>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</si>
  <si>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</si>
  <si>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</si>
  <si>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</si>
  <si>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</si>
  <si>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</si>
  <si>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</si>
  <si>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</si>
  <si>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</si>
  <si>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</si>
  <si>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</si>
  <si>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</si>
  <si>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</si>
  <si>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</si>
  <si>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</si>
  <si>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</si>
  <si>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</si>
  <si>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</si>
  <si>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</si>
  <si>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</si>
  <si>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</si>
  <si>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</si>
  <si>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</si>
  <si>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</si>
  <si>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</si>
  <si>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</si>
  <si>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</si>
  <si>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</si>
  <si>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</si>
  <si>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</si>
  <si>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</si>
  <si>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</si>
  <si>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</si>
  <si>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</si>
  <si>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</si>
  <si>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</si>
  <si>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</si>
  <si>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</si>
  <si>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</si>
  <si>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</si>
  <si>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</si>
  <si>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</si>
  <si>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</si>
  <si>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</si>
  <si>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</si>
  <si>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</si>
  <si>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</si>
  <si>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</si>
  <si>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</si>
  <si>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</si>
  <si>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</si>
  <si>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</si>
  <si>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</si>
  <si>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</si>
  <si>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</si>
  <si>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</si>
  <si>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</si>
  <si>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</si>
  <si>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</si>
  <si>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</si>
  <si>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</si>
  <si>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</si>
  <si>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</si>
  <si>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</si>
  <si>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</si>
  <si>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</si>
  <si>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</si>
  <si>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</si>
  <si>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</si>
  <si>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</si>
  <si>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</si>
  <si>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</si>
  <si>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</si>
  <si>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</si>
  <si>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</si>
  <si>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</si>
  <si>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</si>
  <si>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</si>
  <si>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</si>
  <si>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</si>
  <si>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</si>
  <si>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</si>
  <si>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</si>
  <si>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</si>
  <si>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</si>
  <si>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</si>
  <si>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</si>
  <si>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</si>
  <si>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</si>
  <si>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</si>
  <si>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</si>
  <si>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</si>
  <si>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</si>
  <si>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</si>
  <si>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</si>
  <si>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</si>
  <si>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</si>
  <si>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</si>
  <si>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</si>
  <si>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</si>
  <si>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</si>
  <si>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</si>
  <si>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</si>
  <si>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</si>
  <si>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</si>
  <si>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</si>
  <si>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</si>
  <si>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</si>
  <si>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</si>
  <si>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</si>
  <si>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</si>
  <si>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</si>
  <si>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</si>
  <si>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</si>
  <si>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</si>
  <si>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</si>
  <si>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</si>
  <si>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</si>
  <si>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</si>
  <si>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</si>
  <si>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</si>
  <si>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</si>
  <si>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</si>
  <si>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</si>
  <si>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</si>
  <si>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</si>
  <si>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</si>
  <si>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</si>
  <si>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</si>
  <si>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</si>
  <si>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</si>
  <si>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</si>
  <si>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</si>
  <si>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</si>
  <si>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</si>
  <si>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</si>
  <si>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</si>
  <si>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</si>
  <si>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</si>
  <si>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</si>
  <si>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</si>
  <si>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</si>
  <si>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</si>
  <si>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</si>
  <si>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</si>
  <si>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</si>
  <si>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</si>
  <si>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</si>
  <si>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</si>
  <si>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</si>
  <si>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</si>
  <si>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まっつん</t>
  </si>
  <si>
    <t>まっつん</t>
    <phoneticPr fontId="1"/>
  </si>
  <si>
    <t>りくと</t>
  </si>
  <si>
    <t>りくと</t>
    <phoneticPr fontId="1"/>
  </si>
  <si>
    <t>だいち</t>
    <phoneticPr fontId="1"/>
  </si>
  <si>
    <t>ツモ</t>
  </si>
  <si>
    <t>ツモ支払</t>
  </si>
  <si>
    <t>01</t>
  </si>
  <si>
    <t>52</t>
  </si>
  <si>
    <t>放銃</t>
  </si>
  <si>
    <t>ロン</t>
  </si>
  <si>
    <t>*</t>
  </si>
  <si>
    <t>02</t>
  </si>
  <si>
    <t>N</t>
  </si>
  <si>
    <t>T</t>
  </si>
  <si>
    <t>流局</t>
    <phoneticPr fontId="1"/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</si>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</sst>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-3000</v>
      </c>
      <c r="R4" s="9">
        <v>-1000</v>
      </c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IF($J4="","",ROUND(($J4-$J$3)/1000,1)+(_xlfn.RANK.AVG($J4,($J4,$O4,$T4),1)-2)*10)</f>
        <v>17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-14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199</v>
      </c>
      <c r="AF4" s="41" t="s">
        <v>82</v>
      </c>
      <c r="AG4" s="41" t="s">
        <v>200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-900</v>
      </c>
      <c r="H5" s="9"/>
      <c r="I5" s="48">
        <v>-500</v>
      </c>
      <c r="J5" s="21">
        <f t="shared" ref="J5:J30" si="2">IF(COUNTA($F5,$K5,$P5)&gt;0,J4+SUM(G5:I5),"")</f>
        <v>40600</v>
      </c>
      <c r="K5" s="8" t="s">
        <v>198</v>
      </c>
      <c r="L5" s="9">
        <v>-600</v>
      </c>
      <c r="M5" s="9"/>
      <c r="N5" s="48">
        <v>-500</v>
      </c>
      <c r="O5" s="21">
        <f t="shared" ref="O5:O30" si="3">IF(COUNTA($F5,$K5,$P5)&gt;0,O4+SUM(L5:N5),"")</f>
        <v>30900</v>
      </c>
      <c r="P5" s="8" t="s">
        <v>197</v>
      </c>
      <c r="Q5" s="9">
        <v>1500</v>
      </c>
      <c r="R5" s="9"/>
      <c r="S5" s="48">
        <v>1000</v>
      </c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15.6</v>
      </c>
      <c r="V5" s="54">
        <f>IF($O5="","",ROUND(($O5-$O$3)/1000,1)+(_xlfn.RANK.AVG($O5,($J5,$O5,$T5),1)-2)*10)</f>
        <v>-14.1</v>
      </c>
      <c r="W5" s="55">
        <f>IF($T5="","",ROUND(($T5-$T$3)/1000,1)+(_xlfn.RANK.AVG($T5,($J5,$O5,$T5),1)-2)*10)</f>
        <v>-1.5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40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201</v>
      </c>
      <c r="G6" s="9">
        <v>-18000</v>
      </c>
      <c r="H6" s="9"/>
      <c r="I6" s="48">
        <v>0</v>
      </c>
      <c r="J6" s="21">
        <f t="shared" si="2"/>
        <v>22600</v>
      </c>
      <c r="K6" s="8" t="s">
        <v>202</v>
      </c>
      <c r="L6" s="9">
        <v>18000</v>
      </c>
      <c r="M6" s="9"/>
      <c r="N6" s="48">
        <v>0</v>
      </c>
      <c r="O6" s="21">
        <f t="shared" si="3"/>
        <v>48900</v>
      </c>
      <c r="P6" s="8"/>
      <c r="Q6" s="9"/>
      <c r="R6" s="9"/>
      <c r="S6" s="48"/>
      <c r="T6" s="21">
        <f t="shared" si="4"/>
        <v>33500</v>
      </c>
      <c r="U6" s="53">
        <f>IF($J6="","",ROUND(($J6-$J$3)/1000,1)+(_xlfn.RANK.AVG($J6,($J6,$O6,$T6),1)-2)*10)</f>
        <v>-22.4</v>
      </c>
      <c r="V6" s="54">
        <f>IF($O6="","",ROUND(($O6-$O$3)/1000,1)+(_xlfn.RANK.AVG($O6,($J6,$O6,$T6),1)-2)*10)</f>
        <v>23.9</v>
      </c>
      <c r="W6" s="55">
        <f>IF($T6="","",ROUND(($T6-$T$3)/1000,1)+(_xlfn.RANK.AVG($T6,($J6,$O6,$T6),1)-2)*10)</f>
        <v>-1.5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203</v>
      </c>
      <c r="AZ6" s="40" t="s">
        <v>199</v>
      </c>
      <c r="BA6" s="41" t="s">
        <v>204</v>
      </c>
      <c r="BB6" s="41" t="s">
        <v>104</v>
      </c>
      <c r="BC6" s="41" t="s">
        <v>101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197</v>
      </c>
      <c r="G7" s="9">
        <v>12000</v>
      </c>
      <c r="H7" s="9"/>
      <c r="I7" s="48">
        <v>1000</v>
      </c>
      <c r="J7" s="21">
        <f t="shared" si="2"/>
        <v>35600</v>
      </c>
      <c r="K7" s="8" t="s">
        <v>198</v>
      </c>
      <c r="L7" s="9">
        <v>-7500</v>
      </c>
      <c r="M7" s="9"/>
      <c r="N7" s="48">
        <v>-500</v>
      </c>
      <c r="O7" s="21">
        <f t="shared" si="3"/>
        <v>40900</v>
      </c>
      <c r="P7" s="8" t="s">
        <v>198</v>
      </c>
      <c r="Q7" s="9">
        <v>-4500</v>
      </c>
      <c r="R7" s="9"/>
      <c r="S7" s="48">
        <v>-500</v>
      </c>
      <c r="T7" s="21">
        <f t="shared" si="4"/>
        <v>28500</v>
      </c>
      <c r="U7" s="53">
        <f>IF($J7="","",ROUND(($J7-$J$3)/1000,1)+(_xlfn.RANK.AVG($J7,($J7,$O7,$T7),1)-2)*10)</f>
        <v>0.6</v>
      </c>
      <c r="V7" s="54">
        <f>IF($O7="","",ROUND(($O7-$O$3)/1000,1)+(_xlfn.RANK.AVG($O7,($J7,$O7,$T7),1)-2)*10)</f>
        <v>15.9</v>
      </c>
      <c r="W7" s="55">
        <f>IF($T7="","",ROUND(($T7-$T$3)/1000,1)+(_xlfn.RANK.AVG($T7,($J7,$O7,$T7),1)-2)*10)</f>
        <v>-16.5</v>
      </c>
      <c r="Y7" s="8"/>
      <c r="Z7" s="34"/>
      <c r="AA7" s="26">
        <v>1</v>
      </c>
      <c r="AB7" s="26"/>
      <c r="AC7" s="26">
        <v>6</v>
      </c>
      <c r="AD7" s="30" t="s">
        <v>203</v>
      </c>
      <c r="AE7" s="40" t="s">
        <v>199</v>
      </c>
      <c r="AF7" s="41" t="s">
        <v>82</v>
      </c>
      <c r="AG7" s="41" t="s">
        <v>204</v>
      </c>
      <c r="AH7" s="41" t="s">
        <v>200</v>
      </c>
      <c r="AI7" s="41" t="s">
        <v>80</v>
      </c>
      <c r="AJ7" s="41" t="s">
        <v>79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-1500</v>
      </c>
      <c r="H8" s="9"/>
      <c r="I8" s="48">
        <v>0</v>
      </c>
      <c r="J8" s="21">
        <f t="shared" si="2"/>
        <v>34100</v>
      </c>
      <c r="K8" s="8" t="s">
        <v>197</v>
      </c>
      <c r="L8" s="9">
        <v>4000</v>
      </c>
      <c r="M8" s="9"/>
      <c r="N8" s="48">
        <v>0</v>
      </c>
      <c r="O8" s="21">
        <f t="shared" si="3"/>
        <v>44900</v>
      </c>
      <c r="P8" s="8" t="s">
        <v>198</v>
      </c>
      <c r="Q8" s="9">
        <v>-2500</v>
      </c>
      <c r="R8" s="9"/>
      <c r="S8" s="48">
        <v>0</v>
      </c>
      <c r="T8" s="21">
        <f t="shared" si="4"/>
        <v>26000</v>
      </c>
      <c r="U8" s="53">
        <f>IF($J8="","",ROUND(($J8-$J$3)/1000,1)+(_xlfn.RANK.AVG($J8,($J8,$O8,$T8),1)-2)*10)</f>
        <v>-0.9</v>
      </c>
      <c r="V8" s="54">
        <f>IF($O8="","",ROUND(($O8-$O$3)/1000,1)+(_xlfn.RANK.AVG($O8,($J8,$O8,$T8),1)-2)*10)</f>
        <v>19.899999999999999</v>
      </c>
      <c r="W8" s="55">
        <f>IF($T8="","",ROUND(($T8-$T$3)/1000,1)+(_xlfn.RANK.AVG($T8,($J8,$O8,$T8),1)-2)*10)</f>
        <v>-19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199</v>
      </c>
      <c r="BA8" s="41" t="s">
        <v>82</v>
      </c>
      <c r="BB8" s="41" t="s">
        <v>84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207</v>
      </c>
      <c r="G9" s="9">
        <v>-1500</v>
      </c>
      <c r="H9" s="9"/>
      <c r="I9" s="48"/>
      <c r="J9" s="21">
        <f t="shared" si="2"/>
        <v>32600</v>
      </c>
      <c r="K9" s="8" t="s">
        <v>207</v>
      </c>
      <c r="L9" s="9">
        <v>-1500</v>
      </c>
      <c r="M9" s="9"/>
      <c r="N9" s="48"/>
      <c r="O9" s="21">
        <f t="shared" si="3"/>
        <v>43400</v>
      </c>
      <c r="P9" s="8" t="s">
        <v>207</v>
      </c>
      <c r="Q9" s="9">
        <v>3000</v>
      </c>
      <c r="R9" s="9">
        <v>-1000</v>
      </c>
      <c r="S9" s="48"/>
      <c r="T9" s="21">
        <f t="shared" si="4"/>
        <v>28000</v>
      </c>
      <c r="U9" s="53">
        <f>IF($J9="","",ROUND(($J9-$J$3)/1000,1)+(_xlfn.RANK.AVG($J9,($J9,$O9,$T9),1)-2)*10)</f>
        <v>-2.4</v>
      </c>
      <c r="V9" s="54">
        <f>IF($O9="","",ROUND(($O9-$O$3)/1000,1)+(_xlfn.RANK.AVG($O9,($J9,$O9,$T9),1)-2)*10)</f>
        <v>18.399999999999999</v>
      </c>
      <c r="W9" s="55">
        <f>IF($T9="","",ROUND(($T9-$T$3)/1000,1)+(_xlfn.RANK.AVG($T9,($J9,$O9,$T9),1)-2)*10)</f>
        <v>-17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194</v>
      </c>
      <c r="F10" s="8"/>
      <c r="G10" s="9"/>
      <c r="H10" s="9"/>
      <c r="I10" s="48"/>
      <c r="J10" s="21">
        <f t="shared" si="2"/>
        <v>32600</v>
      </c>
      <c r="K10" s="8" t="s">
        <v>201</v>
      </c>
      <c r="L10" s="9">
        <v>-8000</v>
      </c>
      <c r="M10" s="9"/>
      <c r="N10" s="48">
        <v>-1000</v>
      </c>
      <c r="O10" s="21">
        <f t="shared" si="3"/>
        <v>34400</v>
      </c>
      <c r="P10" s="8" t="s">
        <v>202</v>
      </c>
      <c r="Q10" s="9">
        <v>8000</v>
      </c>
      <c r="R10" s="9">
        <v>1000</v>
      </c>
      <c r="S10" s="48">
        <v>1000</v>
      </c>
      <c r="T10" s="21">
        <f t="shared" si="4"/>
        <v>38000</v>
      </c>
      <c r="U10" s="53">
        <f>IF($J10="","",ROUND(($J10-$J$3)/1000,1)+(_xlfn.RANK.AVG($J10,($J10,$O10,$T10),1)-2)*10)</f>
        <v>-12.4</v>
      </c>
      <c r="V10" s="54">
        <f>IF($O10="","",ROUND(($O10-$O$3)/1000,1)+(_xlfn.RANK.AVG($O10,($J10,$O10,$T10),1)-2)*10)</f>
        <v>-0.6</v>
      </c>
      <c r="W10" s="55">
        <f>IF($T10="","",ROUND(($T10-$T$3)/1000,1)+(_xlfn.RANK.AVG($T10,($J10,$O10,$T10),1)-2)*10)</f>
        <v>13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203</v>
      </c>
      <c r="BU10" s="40" t="s">
        <v>199</v>
      </c>
      <c r="BV10" s="41" t="s">
        <v>83</v>
      </c>
      <c r="BW10" s="41" t="s">
        <v>200</v>
      </c>
      <c r="BX10" s="41" t="s">
        <v>200</v>
      </c>
      <c r="BY10" s="41" t="s">
        <v>204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-2900</v>
      </c>
      <c r="H11" s="9"/>
      <c r="I11" s="48">
        <v>0</v>
      </c>
      <c r="J11" s="21">
        <f t="shared" si="2"/>
        <v>29700</v>
      </c>
      <c r="K11" s="8" t="s">
        <v>197</v>
      </c>
      <c r="L11" s="9">
        <v>7700</v>
      </c>
      <c r="M11" s="9"/>
      <c r="N11" s="48">
        <v>0</v>
      </c>
      <c r="O11" s="21">
        <f t="shared" si="3"/>
        <v>42100</v>
      </c>
      <c r="P11" s="8" t="s">
        <v>198</v>
      </c>
      <c r="Q11" s="9">
        <v>-4800</v>
      </c>
      <c r="R11" s="9"/>
      <c r="S11" s="48">
        <v>0</v>
      </c>
      <c r="T11" s="21">
        <f t="shared" si="4"/>
        <v>33200</v>
      </c>
      <c r="U11" s="53">
        <f>IF($J11="","",ROUND(($J11-$J$3)/1000,1)+(_xlfn.RANK.AVG($J11,($J11,$O11,$T11),1)-2)*10)</f>
        <v>-15.3</v>
      </c>
      <c r="V11" s="54">
        <f>IF($O11="","",ROUND(($O11-$O$3)/1000,1)+(_xlfn.RANK.AVG($O11,($J11,$O11,$T11),1)-2)*10)</f>
        <v>17.100000000000001</v>
      </c>
      <c r="W11" s="55">
        <f>IF($T11="","",ROUND(($T11-$T$3)/1000,1)+(_xlfn.RANK.AVG($T11,($J11,$O11,$T11),1)-2)*10)</f>
        <v>-1.8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200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B811445-93CE-4566-9A7F-F0AC3BA6D4B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BE76-5FCB-4BC7-9442-7DABC2AF409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198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198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-10.8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199</v>
      </c>
      <c r="AF4" s="41" t="s">
        <v>82</v>
      </c>
      <c r="AG4" s="41" t="s">
        <v>200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202</v>
      </c>
      <c r="G5" s="9">
        <v>18000</v>
      </c>
      <c r="H5" s="9"/>
      <c r="I5" s="48">
        <v>1000</v>
      </c>
      <c r="J5" s="21">
        <f t="shared" ref="J5:J30" si="2">IF(COUNTA($F5,$K5,$P5)&gt;0,J4+SUM(G5:I5),"")</f>
        <v>65600</v>
      </c>
      <c r="K5" s="8" t="s">
        <v>201</v>
      </c>
      <c r="L5" s="9">
        <v>-18000</v>
      </c>
      <c r="M5" s="9"/>
      <c r="N5" s="48">
        <v>-1000</v>
      </c>
      <c r="O5" s="21">
        <f t="shared" ref="O5:O30" si="3">IF(COUNTA($F5,$K5,$P5)&gt;0,O4+SUM(L5:N5),"")</f>
        <v>10200</v>
      </c>
      <c r="P5" s="8"/>
      <c r="Q5" s="9"/>
      <c r="R5" s="9"/>
      <c r="S5" s="48"/>
      <c r="T5" s="21">
        <f t="shared" ref="T5:T30" si="4">IF(COUNTA($F5,$K5,$P5)&gt;0,T4+SUM(Q5:S5),"")</f>
        <v>29200</v>
      </c>
      <c r="U5" s="53">
        <f>IF($J5="","",ROUND(($J5-$J$3)/1000,1)+(_xlfn.RANK.AVG($J5,($J5,$O5,$T5),1)-2)*10)</f>
        <v>40.6</v>
      </c>
      <c r="V5" s="54">
        <f>IF($O5="","",ROUND(($O5-$O$3)/1000,1)+(_xlfn.RANK.AVG($O5,($J5,$O5,$T5),1)-2)*10)</f>
        <v>-34.799999999999997</v>
      </c>
      <c r="W5" s="55">
        <f>IF($T5="","",ROUND(($T5-$T$3)/1000,1)+(_xlfn.RANK.AVG($T5,($J5,$O5,$T5),1)-2)*10)</f>
        <v>-5.8</v>
      </c>
      <c r="Y5" s="8"/>
      <c r="Z5" s="34"/>
      <c r="AA5" s="26"/>
      <c r="AB5" s="26">
        <v>1</v>
      </c>
      <c r="AC5" s="26">
        <v>7</v>
      </c>
      <c r="AD5" s="30" t="s">
        <v>203</v>
      </c>
      <c r="AE5" s="40" t="s">
        <v>85</v>
      </c>
      <c r="AF5" s="41" t="s">
        <v>200</v>
      </c>
      <c r="AG5" s="41" t="s">
        <v>98</v>
      </c>
      <c r="AH5" s="41" t="s">
        <v>79</v>
      </c>
      <c r="AI5" s="41" t="s">
        <v>79</v>
      </c>
      <c r="AJ5" s="41" t="s">
        <v>79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/>
      <c r="G6" s="9"/>
      <c r="H6" s="9"/>
      <c r="I6" s="48"/>
      <c r="J6" s="21">
        <f t="shared" si="2"/>
        <v>65600</v>
      </c>
      <c r="K6" s="8" t="s">
        <v>201</v>
      </c>
      <c r="L6" s="9">
        <v>-7700</v>
      </c>
      <c r="M6" s="9"/>
      <c r="N6" s="48">
        <v>-2000</v>
      </c>
      <c r="O6" s="21">
        <f t="shared" si="3"/>
        <v>500</v>
      </c>
      <c r="P6" s="8" t="s">
        <v>202</v>
      </c>
      <c r="Q6" s="9">
        <v>7700</v>
      </c>
      <c r="R6" s="9"/>
      <c r="S6" s="48">
        <v>2000</v>
      </c>
      <c r="T6" s="21">
        <f t="shared" si="4"/>
        <v>38900</v>
      </c>
      <c r="U6" s="53">
        <f>IF($J6="","",ROUND(($J6-$J$3)/1000,1)+(_xlfn.RANK.AVG($J6,($J6,$O6,$T6),1)-2)*10)</f>
        <v>40.6</v>
      </c>
      <c r="V6" s="54">
        <f>IF($O6="","",ROUND(($O6-$O$3)/1000,1)+(_xlfn.RANK.AVG($O6,($J6,$O6,$T6),1)-2)*10)</f>
        <v>-44.5</v>
      </c>
      <c r="W6" s="55">
        <f>IF($T6="","",ROUND(($T6-$T$3)/1000,1)+(_xlfn.RANK.AVG($T6,($J6,$O6,$T6),1)-2)*10)</f>
        <v>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199</v>
      </c>
      <c r="BV6" s="41" t="s">
        <v>83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198</v>
      </c>
      <c r="G7" s="9">
        <v>-6000</v>
      </c>
      <c r="H7" s="9"/>
      <c r="I7" s="48">
        <v>0</v>
      </c>
      <c r="J7" s="21">
        <f t="shared" si="2"/>
        <v>59600</v>
      </c>
      <c r="K7" s="8" t="s">
        <v>198</v>
      </c>
      <c r="L7" s="9">
        <v>-10000</v>
      </c>
      <c r="M7" s="9"/>
      <c r="N7" s="48">
        <v>0</v>
      </c>
      <c r="O7" s="21">
        <f t="shared" si="3"/>
        <v>-9500</v>
      </c>
      <c r="P7" s="8" t="s">
        <v>197</v>
      </c>
      <c r="Q7" s="9">
        <v>16000</v>
      </c>
      <c r="R7" s="9"/>
      <c r="S7" s="48">
        <v>0</v>
      </c>
      <c r="T7" s="21">
        <f t="shared" si="4"/>
        <v>54900</v>
      </c>
      <c r="U7" s="53">
        <f>IF($J7="","",ROUND(($J7-$J$3)/1000,1)+(_xlfn.RANK.AVG($J7,($J7,$O7,$T7),1)-2)*10)</f>
        <v>34.6</v>
      </c>
      <c r="V7" s="54">
        <f>IF($O7="","",ROUND(($O7-$O$3)/1000,1)+(_xlfn.RANK.AVG($O7,($J7,$O7,$T7),1)-2)*10)</f>
        <v>-54.5</v>
      </c>
      <c r="W7" s="55">
        <f>IF($T7="","",ROUND(($T7-$T$3)/1000,1)+(_xlfn.RANK.AVG($T7,($J7,$O7,$T7),1)-2)*10)</f>
        <v>19.899999999999999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9</v>
      </c>
      <c r="BT7" s="30" t="s">
        <v>203</v>
      </c>
      <c r="BU7" s="40" t="s">
        <v>199</v>
      </c>
      <c r="BV7" s="41" t="s">
        <v>82</v>
      </c>
      <c r="BW7" s="41" t="s">
        <v>204</v>
      </c>
      <c r="BX7" s="41" t="s">
        <v>85</v>
      </c>
      <c r="BY7" s="41" t="s">
        <v>79</v>
      </c>
      <c r="BZ7" s="41" t="s">
        <v>79</v>
      </c>
      <c r="CA7" s="41" t="s">
        <v>80</v>
      </c>
      <c r="CB7" s="41" t="s">
        <v>80</v>
      </c>
      <c r="CC7" s="41" t="s">
        <v>80</v>
      </c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99160F08-60B6-47CA-870B-071DE3EEC2C5}">
      <formula1>"たかの,だいち,ただ,りくと,れんたろう,まっつん,のり,ぱぱ,ほたに,いっしー,"</formula1>
    </dataValidation>
    <dataValidation type="list" showInputMessage="1" showErrorMessage="1" sqref="K4:K30 P4:P30 F4:F30" xr:uid="{4B057670-BFDD-4BB7-AC8B-6C31A79ECA74}">
      <formula1>"ロン,ツモ,放銃,ツモ支払,流局,チョンボ"</formula1>
    </dataValidation>
    <dataValidation type="list" allowBlank="1" showInputMessage="1" showErrorMessage="1" sqref="E4:E30" xr:uid="{231C20A9-B37C-4718-9A63-C0C26F9291E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FC344-6994-460C-B79C-B4D9AB12909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199</v>
      </c>
      <c r="AF4" s="41" t="s">
        <v>200</v>
      </c>
      <c r="AG4" s="41" t="s">
        <v>79</v>
      </c>
      <c r="AH4" s="41" t="s">
        <v>204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-2500</v>
      </c>
      <c r="H5" s="9"/>
      <c r="I5" s="48">
        <v>0</v>
      </c>
      <c r="J5" s="21">
        <f t="shared" ref="J5:J30" si="2">IF(COUNTA($F5,$K5,$P5)&gt;0,J4+SUM(G5:I5),"")</f>
        <v>40500</v>
      </c>
      <c r="K5" s="8" t="s">
        <v>197</v>
      </c>
      <c r="L5" s="9">
        <v>4000</v>
      </c>
      <c r="M5" s="9">
        <v>1000</v>
      </c>
      <c r="N5" s="48">
        <v>0</v>
      </c>
      <c r="O5" s="21">
        <f t="shared" ref="O5:O30" si="3">IF(COUNTA($F5,$K5,$P5)&gt;0,O4+SUM(L5:N5),"")</f>
        <v>40000</v>
      </c>
      <c r="P5" s="8" t="s">
        <v>198</v>
      </c>
      <c r="Q5" s="9">
        <v>-1500</v>
      </c>
      <c r="R5" s="9">
        <v>-1000</v>
      </c>
      <c r="S5" s="48">
        <v>0</v>
      </c>
      <c r="T5" s="21">
        <f t="shared" ref="T5:T30" si="4">IF(COUNTA($F5,$K5,$P5)&gt;0,T4+SUM(Q5:S5),"")</f>
        <v>24500</v>
      </c>
      <c r="U5" s="53">
        <f>IF($J5="","",ROUND(($J5-$J$3)/1000,1)+(_xlfn.RANK.AVG($J5,($J5,$O5,$T5),1)-2)*10)</f>
        <v>15.5</v>
      </c>
      <c r="V5" s="54">
        <f>IF($O5="","",ROUND(($O5-$O$3)/1000,1)+(_xlfn.RANK.AVG($O5,($J5,$O5,$T5),1)-2)*10)</f>
        <v>5</v>
      </c>
      <c r="W5" s="55">
        <f>IF($T5="","",ROUND(($T5-$T$3)/1000,1)+(_xlfn.RANK.AVG($T5,($J5,$O5,$T5),1)-2)*10)</f>
        <v>-20.5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200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197</v>
      </c>
      <c r="G6" s="9">
        <v>16000</v>
      </c>
      <c r="H6" s="9">
        <v>1000</v>
      </c>
      <c r="I6" s="48">
        <v>0</v>
      </c>
      <c r="J6" s="21">
        <f t="shared" si="2"/>
        <v>57500</v>
      </c>
      <c r="K6" s="8" t="s">
        <v>198</v>
      </c>
      <c r="L6" s="9">
        <v>-10000</v>
      </c>
      <c r="M6" s="9"/>
      <c r="N6" s="48">
        <v>0</v>
      </c>
      <c r="O6" s="21">
        <f t="shared" si="3"/>
        <v>30000</v>
      </c>
      <c r="P6" s="8" t="s">
        <v>198</v>
      </c>
      <c r="Q6" s="9">
        <v>-6000</v>
      </c>
      <c r="R6" s="9">
        <v>-1000</v>
      </c>
      <c r="S6" s="48">
        <v>0</v>
      </c>
      <c r="T6" s="21">
        <f t="shared" si="4"/>
        <v>17500</v>
      </c>
      <c r="U6" s="53">
        <f>IF($J6="","",ROUND(($J6-$J$3)/1000,1)+(_xlfn.RANK.AVG($J6,($J6,$O6,$T6),1)-2)*10)</f>
        <v>32.5</v>
      </c>
      <c r="V6" s="54">
        <f>IF($O6="","",ROUND(($O6-$O$3)/1000,1)+(_xlfn.RANK.AVG($O6,($J6,$O6,$T6),1)-2)*10)</f>
        <v>-5</v>
      </c>
      <c r="W6" s="55">
        <f>IF($T6="","",ROUND(($T6-$T$3)/1000,1)+(_xlfn.RANK.AVG($T6,($J6,$O6,$T6),1)-2)*10)</f>
        <v>-27.5</v>
      </c>
      <c r="Y6" s="8"/>
      <c r="Z6" s="34"/>
      <c r="AA6" s="26"/>
      <c r="AB6" s="26"/>
      <c r="AC6" s="26">
        <v>8</v>
      </c>
      <c r="AD6" s="30" t="s">
        <v>203</v>
      </c>
      <c r="AE6" s="40" t="s">
        <v>82</v>
      </c>
      <c r="AF6" s="41" t="s">
        <v>104</v>
      </c>
      <c r="AG6" s="41" t="s">
        <v>200</v>
      </c>
      <c r="AH6" s="41" t="s">
        <v>79</v>
      </c>
      <c r="AI6" s="41" t="s">
        <v>79</v>
      </c>
      <c r="AJ6" s="41" t="s">
        <v>86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57500</v>
      </c>
      <c r="K7" s="8" t="s">
        <v>202</v>
      </c>
      <c r="L7" s="9">
        <v>5200</v>
      </c>
      <c r="M7" s="9">
        <v>1000</v>
      </c>
      <c r="N7" s="48">
        <v>0</v>
      </c>
      <c r="O7" s="21">
        <f t="shared" si="3"/>
        <v>36200</v>
      </c>
      <c r="P7" s="8" t="s">
        <v>201</v>
      </c>
      <c r="Q7" s="9">
        <v>-5200</v>
      </c>
      <c r="R7" s="9">
        <v>-1000</v>
      </c>
      <c r="S7" s="48">
        <v>0</v>
      </c>
      <c r="T7" s="21">
        <f t="shared" si="4"/>
        <v>11300</v>
      </c>
      <c r="U7" s="53">
        <f>IF($J7="","",ROUND(($J7-$J$3)/1000,1)+(_xlfn.RANK.AVG($J7,($J7,$O7,$T7),1)-2)*10)</f>
        <v>32.5</v>
      </c>
      <c r="V7" s="54">
        <f>IF($O7="","",ROUND(($O7-$O$3)/1000,1)+(_xlfn.RANK.AVG($O7,($J7,$O7,$T7),1)-2)*10)</f>
        <v>1.2</v>
      </c>
      <c r="W7" s="55">
        <f>IF($T7="","",ROUND(($T7-$T$3)/1000,1)+(_xlfn.RANK.AVG($T7,($J7,$O7,$T7),1)-2)*10)</f>
        <v>-33.700000000000003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199</v>
      </c>
      <c r="BA7" s="41" t="s">
        <v>79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198</v>
      </c>
      <c r="G8" s="9">
        <v>-5000</v>
      </c>
      <c r="H8" s="9"/>
      <c r="I8" s="48">
        <v>0</v>
      </c>
      <c r="J8" s="21">
        <f t="shared" si="2"/>
        <v>52500</v>
      </c>
      <c r="K8" s="8" t="s">
        <v>197</v>
      </c>
      <c r="L8" s="9">
        <v>8000</v>
      </c>
      <c r="M8" s="9"/>
      <c r="N8" s="48">
        <v>0</v>
      </c>
      <c r="O8" s="21">
        <f t="shared" si="3"/>
        <v>44200</v>
      </c>
      <c r="P8" s="8" t="s">
        <v>198</v>
      </c>
      <c r="Q8" s="9">
        <v>-3000</v>
      </c>
      <c r="R8" s="9"/>
      <c r="S8" s="48">
        <v>0</v>
      </c>
      <c r="T8" s="21">
        <f t="shared" si="4"/>
        <v>8300</v>
      </c>
      <c r="U8" s="53">
        <f>IF($J8="","",ROUND(($J8-$J$3)/1000,1)+(_xlfn.RANK.AVG($J8,($J8,$O8,$T8),1)-2)*10)</f>
        <v>27.5</v>
      </c>
      <c r="V8" s="54">
        <f>IF($O8="","",ROUND(($O8-$O$3)/1000,1)+(_xlfn.RANK.AVG($O8,($J8,$O8,$T8),1)-2)*10)</f>
        <v>9.1999999999999993</v>
      </c>
      <c r="W8" s="55">
        <f>IF($T8="","",ROUND(($T8-$T$3)/1000,1)+(_xlfn.RANK.AVG($T8,($J8,$O8,$T8),1)-2)*10)</f>
        <v>-36.700000000000003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203</v>
      </c>
      <c r="AZ8" s="40" t="s">
        <v>199</v>
      </c>
      <c r="BA8" s="41" t="s">
        <v>82</v>
      </c>
      <c r="BB8" s="41" t="s">
        <v>80</v>
      </c>
      <c r="BC8" s="41" t="s">
        <v>80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201</v>
      </c>
      <c r="G9" s="9">
        <v>-24000</v>
      </c>
      <c r="H9" s="9"/>
      <c r="I9" s="48">
        <v>0</v>
      </c>
      <c r="J9" s="21">
        <f t="shared" si="2"/>
        <v>28500</v>
      </c>
      <c r="K9" s="8" t="s">
        <v>202</v>
      </c>
      <c r="L9" s="9">
        <v>24000</v>
      </c>
      <c r="M9" s="9"/>
      <c r="N9" s="48">
        <v>0</v>
      </c>
      <c r="O9" s="21">
        <f t="shared" si="3"/>
        <v>68200</v>
      </c>
      <c r="P9" s="8"/>
      <c r="Q9" s="9"/>
      <c r="R9" s="9"/>
      <c r="S9" s="48"/>
      <c r="T9" s="21">
        <f t="shared" si="4"/>
        <v>8300</v>
      </c>
      <c r="U9" s="53">
        <f>IF($J9="","",ROUND(($J9-$J$3)/1000,1)+(_xlfn.RANK.AVG($J9,($J9,$O9,$T9),1)-2)*10)</f>
        <v>-6.5</v>
      </c>
      <c r="V9" s="54">
        <f>IF($O9="","",ROUND(($O9-$O$3)/1000,1)+(_xlfn.RANK.AVG($O9,($J9,$O9,$T9),1)-2)*10)</f>
        <v>43.2</v>
      </c>
      <c r="W9" s="55">
        <f>IF($T9="","",ROUND(($T9-$T$3)/1000,1)+(_xlfn.RANK.AVG($T9,($J9,$O9,$T9),1)-2)*10)</f>
        <v>-36.700000000000003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203</v>
      </c>
      <c r="AZ9" s="40" t="s">
        <v>199</v>
      </c>
      <c r="BA9" s="41" t="s">
        <v>92</v>
      </c>
      <c r="BB9" s="41" t="s">
        <v>86</v>
      </c>
      <c r="BC9" s="41" t="s">
        <v>104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3BBC8DCB-FC67-4E41-BB33-23E3B514192C}">
      <formula1>$U$2:$W$2</formula1>
    </dataValidation>
    <dataValidation type="list" showInputMessage="1" showErrorMessage="1" sqref="K4:K30 P4:P30 F4:F30" xr:uid="{15975216-AD78-49A4-886C-87C432094AAC}">
      <formula1>"ロン,ツモ,放銃,ツモ支払,流局,チョンボ"</formula1>
    </dataValidation>
    <dataValidation type="list" allowBlank="1" showInputMessage="1" sqref="F1:T1" xr:uid="{974C4C62-2830-4CD9-BF82-8E5D8518FB7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4CB7-2EAF-49BB-A644-2D3EEA637473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208</v>
      </c>
      <c r="G4" s="9">
        <v>-3000</v>
      </c>
      <c r="H4" s="9"/>
      <c r="I4" s="48"/>
      <c r="J4" s="21">
        <f>IF(COUNTA($F4,$K4,$P4)&gt;0,J3+SUM(G4:I4),"")</f>
        <v>32000</v>
      </c>
      <c r="K4" s="8" t="s">
        <v>208</v>
      </c>
      <c r="L4" s="9">
        <v>1500</v>
      </c>
      <c r="M4" s="9"/>
      <c r="N4" s="48"/>
      <c r="O4" s="21">
        <f>IF(COUNTA($F4,$K4,$P4)&gt;0,O3+SUM(L4:N4),"")</f>
        <v>36500</v>
      </c>
      <c r="P4" s="8" t="s">
        <v>208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205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194</v>
      </c>
      <c r="F5" s="8" t="s">
        <v>208</v>
      </c>
      <c r="G5" s="9">
        <v>-1500</v>
      </c>
      <c r="H5" s="9"/>
      <c r="I5" s="48"/>
      <c r="J5" s="21">
        <f t="shared" ref="J5:J30" si="2">IF(COUNTA($F5,$K5,$P5)&gt;0,J4+SUM(G5:I5),"")</f>
        <v>30500</v>
      </c>
      <c r="K5" s="8" t="s">
        <v>208</v>
      </c>
      <c r="L5" s="9">
        <v>3000</v>
      </c>
      <c r="M5" s="9">
        <v>-1000</v>
      </c>
      <c r="N5" s="48"/>
      <c r="O5" s="21">
        <f t="shared" ref="O5:O30" si="3">IF(COUNTA($F5,$K5,$P5)&gt;0,O4+SUM(L5:N5),"")</f>
        <v>38500</v>
      </c>
      <c r="P5" s="8" t="s">
        <v>208</v>
      </c>
      <c r="Q5" s="9">
        <v>-1500</v>
      </c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-14.5</v>
      </c>
      <c r="V5" s="54">
        <f>IF($O5="","",ROUND(($O5-$O$3)/1000,1)+(_xlfn.RANK.AVG($O5,($J5,$O5,$T5),1)-2)*10)</f>
        <v>13.5</v>
      </c>
      <c r="W5" s="55">
        <f>IF($T5="","",ROUND(($T5-$T$3)/1000,1)+(_xlfn.RANK.AVG($T5,($J5,$O5,$T5),1)-2)*10)</f>
        <v>-1</v>
      </c>
      <c r="Y5" s="8" t="s">
        <v>205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194</v>
      </c>
      <c r="F6" s="8" t="s">
        <v>198</v>
      </c>
      <c r="G6" s="9">
        <v>-3000</v>
      </c>
      <c r="H6" s="9"/>
      <c r="I6" s="48">
        <v>-1000</v>
      </c>
      <c r="J6" s="21">
        <f t="shared" si="2"/>
        <v>26500</v>
      </c>
      <c r="K6" s="8" t="s">
        <v>198</v>
      </c>
      <c r="L6" s="9">
        <v>-5000</v>
      </c>
      <c r="M6" s="9"/>
      <c r="N6" s="48">
        <v>-1000</v>
      </c>
      <c r="O6" s="21">
        <f t="shared" si="3"/>
        <v>32500</v>
      </c>
      <c r="P6" s="8" t="s">
        <v>197</v>
      </c>
      <c r="Q6" s="9">
        <v>8000</v>
      </c>
      <c r="R6" s="9">
        <v>2000</v>
      </c>
      <c r="S6" s="48">
        <v>2000</v>
      </c>
      <c r="T6" s="21">
        <f t="shared" si="4"/>
        <v>46000</v>
      </c>
      <c r="U6" s="53">
        <f>IF($J6="","",ROUND(($J6-$J$3)/1000,1)+(_xlfn.RANK.AVG($J6,($J6,$O6,$T6),1)-2)*10)</f>
        <v>-18.5</v>
      </c>
      <c r="V6" s="54">
        <f>IF($O6="","",ROUND(($O6-$O$3)/1000,1)+(_xlfn.RANK.AVG($O6,($J6,$O6,$T6),1)-2)*10)</f>
        <v>-2.5</v>
      </c>
      <c r="W6" s="55">
        <f>IF($T6="","",ROUND(($T6-$T$3)/1000,1)+(_xlfn.RANK.AVG($T6,($J6,$O6,$T6),1)-2)*10)</f>
        <v>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203</v>
      </c>
      <c r="BU6" s="40" t="s">
        <v>209</v>
      </c>
      <c r="BV6" s="41" t="s">
        <v>82</v>
      </c>
      <c r="BW6" s="41" t="s">
        <v>83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-4500</v>
      </c>
      <c r="H7" s="9">
        <v>-1000</v>
      </c>
      <c r="I7" s="48">
        <v>0</v>
      </c>
      <c r="J7" s="21">
        <f t="shared" si="2"/>
        <v>21000</v>
      </c>
      <c r="K7" s="8" t="s">
        <v>197</v>
      </c>
      <c r="L7" s="9">
        <v>12000</v>
      </c>
      <c r="M7" s="9">
        <v>2000</v>
      </c>
      <c r="N7" s="48">
        <v>0</v>
      </c>
      <c r="O7" s="21">
        <f t="shared" si="3"/>
        <v>46500</v>
      </c>
      <c r="P7" s="8" t="s">
        <v>198</v>
      </c>
      <c r="Q7" s="9">
        <v>-7500</v>
      </c>
      <c r="R7" s="9">
        <v>-1000</v>
      </c>
      <c r="S7" s="48">
        <v>0</v>
      </c>
      <c r="T7" s="21">
        <f t="shared" si="4"/>
        <v>37500</v>
      </c>
      <c r="U7" s="53">
        <f>IF($J7="","",ROUND(($J7-$J$3)/1000,1)+(_xlfn.RANK.AVG($J7,($J7,$O7,$T7),1)-2)*10)</f>
        <v>-24</v>
      </c>
      <c r="V7" s="54">
        <f>IF($O7="","",ROUND(($O7-$O$3)/1000,1)+(_xlfn.RANK.AVG($O7,($J7,$O7,$T7),1)-2)*10)</f>
        <v>21.5</v>
      </c>
      <c r="W7" s="55">
        <f>IF($T7="","",ROUND(($T7-$T$3)/1000,1)+(_xlfn.RANK.AVG($T7,($J7,$O7,$T7),1)-2)*10)</f>
        <v>2.5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203</v>
      </c>
      <c r="AZ7" s="40" t="s">
        <v>209</v>
      </c>
      <c r="BA7" s="41" t="s">
        <v>82</v>
      </c>
      <c r="BB7" s="41" t="s">
        <v>79</v>
      </c>
      <c r="BC7" s="41" t="s">
        <v>79</v>
      </c>
      <c r="BD7" s="41" t="s">
        <v>79</v>
      </c>
      <c r="BE7" s="41" t="s">
        <v>200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202</v>
      </c>
      <c r="G8" s="9">
        <v>5800</v>
      </c>
      <c r="H8" s="9"/>
      <c r="I8" s="48">
        <v>0</v>
      </c>
      <c r="J8" s="21">
        <f t="shared" si="2"/>
        <v>26800</v>
      </c>
      <c r="K8" s="8" t="s">
        <v>201</v>
      </c>
      <c r="L8" s="9">
        <v>-5800</v>
      </c>
      <c r="M8" s="9"/>
      <c r="N8" s="48">
        <v>0</v>
      </c>
      <c r="O8" s="21">
        <f t="shared" si="3"/>
        <v>40700</v>
      </c>
      <c r="P8" s="8"/>
      <c r="Q8" s="9"/>
      <c r="R8" s="9"/>
      <c r="S8" s="48"/>
      <c r="T8" s="21">
        <f t="shared" si="4"/>
        <v>37500</v>
      </c>
      <c r="U8" s="53">
        <f>IF($J8="","",ROUND(($J8-$J$3)/1000,1)+(_xlfn.RANK.AVG($J8,($J8,$O8,$T8),1)-2)*10)</f>
        <v>-18.2</v>
      </c>
      <c r="V8" s="54">
        <f>IF($O8="","",ROUND(($O8-$O$3)/1000,1)+(_xlfn.RANK.AVG($O8,($J8,$O8,$T8),1)-2)*10)</f>
        <v>15.7</v>
      </c>
      <c r="W8" s="55">
        <f>IF($T8="","",ROUND(($T8-$T$3)/1000,1)+(_xlfn.RANK.AVG($T8,($J8,$O8,$T8),1)-2)*10)</f>
        <v>2.5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200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192</v>
      </c>
      <c r="F9" s="8"/>
      <c r="G9" s="9"/>
      <c r="H9" s="9"/>
      <c r="I9" s="48"/>
      <c r="J9" s="21">
        <f t="shared" si="2"/>
        <v>26800</v>
      </c>
      <c r="K9" s="8" t="s">
        <v>201</v>
      </c>
      <c r="L9" s="9">
        <v>-7700</v>
      </c>
      <c r="M9" s="9"/>
      <c r="N9" s="48">
        <v>-1000</v>
      </c>
      <c r="O9" s="21">
        <f t="shared" si="3"/>
        <v>32000</v>
      </c>
      <c r="P9" s="8" t="s">
        <v>202</v>
      </c>
      <c r="Q9" s="9">
        <v>7700</v>
      </c>
      <c r="R9" s="9"/>
      <c r="S9" s="48">
        <v>1000</v>
      </c>
      <c r="T9" s="21">
        <f t="shared" si="4"/>
        <v>46200</v>
      </c>
      <c r="U9" s="53">
        <f>IF($J9="","",ROUND(($J9-$J$3)/1000,1)+(_xlfn.RANK.AVG($J9,($J9,$O9,$T9),1)-2)*10)</f>
        <v>-18.2</v>
      </c>
      <c r="V9" s="54">
        <f>IF($O9="","",ROUND(($O9-$O$3)/1000,1)+(_xlfn.RANK.AVG($O9,($J9,$O9,$T9),1)-2)*10)</f>
        <v>-3</v>
      </c>
      <c r="W9" s="55">
        <f>IF($T9="","",ROUND(($T9-$T$3)/1000,1)+(_xlfn.RANK.AVG($T9,($J9,$O9,$T9),1)-2)*10)</f>
        <v>21.2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83</v>
      </c>
      <c r="BW9" s="41" t="s">
        <v>85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198</v>
      </c>
      <c r="G10" s="9">
        <v>-6000</v>
      </c>
      <c r="H10" s="9"/>
      <c r="I10" s="48">
        <v>0</v>
      </c>
      <c r="J10" s="21">
        <f t="shared" si="2"/>
        <v>20800</v>
      </c>
      <c r="K10" s="8" t="s">
        <v>197</v>
      </c>
      <c r="L10" s="9">
        <v>12000</v>
      </c>
      <c r="M10" s="9"/>
      <c r="N10" s="48">
        <v>0</v>
      </c>
      <c r="O10" s="21">
        <f t="shared" si="3"/>
        <v>44000</v>
      </c>
      <c r="P10" s="8" t="s">
        <v>198</v>
      </c>
      <c r="Q10" s="9">
        <v>-6000</v>
      </c>
      <c r="R10" s="9"/>
      <c r="S10" s="48">
        <v>0</v>
      </c>
      <c r="T10" s="21">
        <f t="shared" si="4"/>
        <v>40200</v>
      </c>
      <c r="U10" s="53">
        <f>IF($J10="","",ROUND(($J10-$J$3)/1000,1)+(_xlfn.RANK.AVG($J10,($J10,$O10,$T10),1)-2)*10)</f>
        <v>-24.2</v>
      </c>
      <c r="V10" s="54">
        <f>IF($O10="","",ROUND(($O10-$O$3)/1000,1)+(_xlfn.RANK.AVG($O10,($J10,$O10,$T10),1)-2)*10)</f>
        <v>19</v>
      </c>
      <c r="W10" s="55">
        <f>IF($T10="","",ROUND(($T10-$T$3)/1000,1)+(_xlfn.RANK.AVG($T10,($J10,$O10,$T10),1)-2)*10)</f>
        <v>5.2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203</v>
      </c>
      <c r="AZ10" s="40" t="s">
        <v>199</v>
      </c>
      <c r="BA10" s="41" t="s">
        <v>82</v>
      </c>
      <c r="BB10" s="41" t="s">
        <v>83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194</v>
      </c>
      <c r="F11" s="8" t="s">
        <v>198</v>
      </c>
      <c r="G11" s="9">
        <v>-600</v>
      </c>
      <c r="H11" s="9"/>
      <c r="I11" s="48">
        <v>-500</v>
      </c>
      <c r="J11" s="21">
        <f t="shared" si="2"/>
        <v>19700</v>
      </c>
      <c r="K11" s="8" t="s">
        <v>198</v>
      </c>
      <c r="L11" s="9">
        <v>-900</v>
      </c>
      <c r="M11" s="9"/>
      <c r="N11" s="48">
        <v>-500</v>
      </c>
      <c r="O11" s="21">
        <f t="shared" si="3"/>
        <v>42600</v>
      </c>
      <c r="P11" s="8" t="s">
        <v>197</v>
      </c>
      <c r="Q11" s="9">
        <v>1500</v>
      </c>
      <c r="R11" s="9"/>
      <c r="S11" s="48">
        <v>1000</v>
      </c>
      <c r="T11" s="21">
        <f t="shared" si="4"/>
        <v>42700</v>
      </c>
      <c r="U11" s="53">
        <f>IF($J11="","",ROUND(($J11-$J$3)/1000,1)+(_xlfn.RANK.AVG($J11,($J11,$O11,$T11),1)-2)*10)</f>
        <v>-25.3</v>
      </c>
      <c r="V11" s="54">
        <f>IF($O11="","",ROUND(($O11-$O$3)/1000,1)+(_xlfn.RANK.AVG($O11,($J11,$O11,$T11),1)-2)*10)</f>
        <v>7.6</v>
      </c>
      <c r="W11" s="55">
        <f>IF($T11="","",ROUND(($T11-$T$3)/1000,1)+(_xlfn.RANK.AVG($T11,($J11,$O11,$T11),1)-2)*10)</f>
        <v>17.7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40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>
        <f t="shared" si="2"/>
        <v>19700</v>
      </c>
      <c r="K12" s="8" t="s">
        <v>201</v>
      </c>
      <c r="L12" s="9">
        <v>-2900</v>
      </c>
      <c r="M12" s="9"/>
      <c r="N12" s="48">
        <v>0</v>
      </c>
      <c r="O12" s="21">
        <f t="shared" si="3"/>
        <v>39700</v>
      </c>
      <c r="P12" s="8" t="s">
        <v>202</v>
      </c>
      <c r="Q12" s="9">
        <v>2900</v>
      </c>
      <c r="R12" s="9"/>
      <c r="S12" s="48">
        <v>0</v>
      </c>
      <c r="T12" s="21">
        <f t="shared" si="4"/>
        <v>45600</v>
      </c>
      <c r="U12" s="53">
        <f>IF($J12="","",ROUND(($J12-$J$3)/1000,1)+(_xlfn.RANK.AVG($J12,($J12,$O12,$T12),1)-2)*10)</f>
        <v>-25.3</v>
      </c>
      <c r="V12" s="54">
        <f>IF($O12="","",ROUND(($O12-$O$3)/1000,1)+(_xlfn.RANK.AVG($O12,($J12,$O12,$T12),1)-2)*10)</f>
        <v>4.7</v>
      </c>
      <c r="W12" s="55">
        <f>IF($T12="","",ROUND(($T12-$T$3)/1000,1)+(_xlfn.RANK.AVG($T12,($J12,$O12,$T12),1)-2)*10)</f>
        <v>20.6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200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AD992D39-4940-42CD-9432-A5F39F24EC03}">
      <formula1>"たかの,だいち,ただ,りくと,れんたろう,まっつん,のり,ぱぱ,ほたに,いっしー,"</formula1>
    </dataValidation>
    <dataValidation type="list" showInputMessage="1" showErrorMessage="1" sqref="K4:K30 P4:P30 F4:F30" xr:uid="{0C159B57-547E-42F3-AD6E-6F1A803E2979}">
      <formula1>"ロン,ツモ,放銃,ツモ支払,流局,チョンボ"</formula1>
    </dataValidation>
    <dataValidation type="list" allowBlank="1" showInputMessage="1" showErrorMessage="1" sqref="E4:E30" xr:uid="{6F449D98-4249-4175-BD21-6FD7B6B73AC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AC06D-961F-4D87-B7D1-2BB74CF16018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198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203</v>
      </c>
      <c r="AZ4" s="40" t="s">
        <v>199</v>
      </c>
      <c r="BA4" s="41" t="s">
        <v>82</v>
      </c>
      <c r="BB4" s="41" t="s">
        <v>83</v>
      </c>
      <c r="BC4" s="41" t="s">
        <v>79</v>
      </c>
      <c r="BD4" s="41" t="s">
        <v>80</v>
      </c>
      <c r="BE4" s="41" t="s">
        <v>200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198</v>
      </c>
      <c r="G5" s="9">
        <v>-2000</v>
      </c>
      <c r="H5" s="9"/>
      <c r="I5" s="48">
        <v>0</v>
      </c>
      <c r="J5" s="21">
        <f t="shared" ref="J5:J30" si="2">IF(COUNTA($F5,$K5,$P5)&gt;0,J4+SUM(G5:I5),"")</f>
        <v>25500</v>
      </c>
      <c r="K5" s="8" t="s">
        <v>198</v>
      </c>
      <c r="L5" s="9">
        <v>-3300</v>
      </c>
      <c r="M5" s="9"/>
      <c r="N5" s="48">
        <v>0</v>
      </c>
      <c r="O5" s="21">
        <f t="shared" ref="O5:O30" si="3">IF(COUNTA($F5,$K5,$P5)&gt;0,O4+SUM(L5:N5),"")</f>
        <v>43700</v>
      </c>
      <c r="P5" s="8" t="s">
        <v>197</v>
      </c>
      <c r="Q5" s="9">
        <v>5300</v>
      </c>
      <c r="R5" s="9"/>
      <c r="S5" s="48">
        <v>0</v>
      </c>
      <c r="T5" s="21">
        <f t="shared" ref="T5:T30" si="4">IF(COUNTA($F5,$K5,$P5)&gt;0,T4+SUM(Q5:S5),"")</f>
        <v>35800</v>
      </c>
      <c r="U5" s="53">
        <f>IF($J5="","",ROUND(($J5-$J$3)/1000,1)+(_xlfn.RANK.AVG($J5,($J5,$O5,$T5),1)-2)*10)</f>
        <v>-19.5</v>
      </c>
      <c r="V5" s="54">
        <f>IF($O5="","",ROUND(($O5-$O$3)/1000,1)+(_xlfn.RANK.AVG($O5,($J5,$O5,$T5),1)-2)*10)</f>
        <v>18.7</v>
      </c>
      <c r="W5" s="55">
        <f>IF($T5="","",ROUND(($T5-$T$3)/1000,1)+(_xlfn.RANK.AVG($T5,($J5,$O5,$T5),1)-2)*10)</f>
        <v>0.8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199</v>
      </c>
      <c r="BV5" s="41" t="s">
        <v>82</v>
      </c>
      <c r="BW5" s="41" t="s">
        <v>83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-2900</v>
      </c>
      <c r="H6" s="9"/>
      <c r="I6" s="48">
        <v>0</v>
      </c>
      <c r="J6" s="21">
        <f t="shared" si="2"/>
        <v>22600</v>
      </c>
      <c r="K6" s="8" t="s">
        <v>197</v>
      </c>
      <c r="L6" s="9">
        <v>7700</v>
      </c>
      <c r="M6" s="9"/>
      <c r="N6" s="48">
        <v>0</v>
      </c>
      <c r="O6" s="21">
        <f t="shared" si="3"/>
        <v>51400</v>
      </c>
      <c r="P6" s="8" t="s">
        <v>198</v>
      </c>
      <c r="Q6" s="9">
        <v>-4800</v>
      </c>
      <c r="R6" s="9"/>
      <c r="S6" s="48">
        <v>0</v>
      </c>
      <c r="T6" s="21">
        <f t="shared" si="4"/>
        <v>31000</v>
      </c>
      <c r="U6" s="53">
        <f>IF($J6="","",ROUND(($J6-$J$3)/1000,1)+(_xlfn.RANK.AVG($J6,($J6,$O6,$T6),1)-2)*10)</f>
        <v>-22.4</v>
      </c>
      <c r="V6" s="54">
        <f>IF($O6="","",ROUND(($O6-$O$3)/1000,1)+(_xlfn.RANK.AVG($O6,($J6,$O6,$T6),1)-2)*10)</f>
        <v>26.4</v>
      </c>
      <c r="W6" s="55">
        <f>IF($T6="","",ROUND(($T6-$T$3)/1000,1)+(_xlfn.RANK.AVG($T6,($J6,$O6,$T6),1)-2)*10)</f>
        <v>-4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199</v>
      </c>
      <c r="BA6" s="41" t="s">
        <v>82</v>
      </c>
      <c r="BB6" s="41" t="s">
        <v>79</v>
      </c>
      <c r="BC6" s="41" t="s">
        <v>200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198</v>
      </c>
      <c r="G7" s="9">
        <v>-2500</v>
      </c>
      <c r="H7" s="9"/>
      <c r="I7" s="48">
        <v>0</v>
      </c>
      <c r="J7" s="21">
        <f t="shared" si="2"/>
        <v>20100</v>
      </c>
      <c r="K7" s="8" t="s">
        <v>197</v>
      </c>
      <c r="L7" s="9">
        <v>4000</v>
      </c>
      <c r="M7" s="9"/>
      <c r="N7" s="48">
        <v>0</v>
      </c>
      <c r="O7" s="21">
        <f t="shared" si="3"/>
        <v>55400</v>
      </c>
      <c r="P7" s="8" t="s">
        <v>198</v>
      </c>
      <c r="Q7" s="9">
        <v>-1500</v>
      </c>
      <c r="R7" s="9"/>
      <c r="S7" s="48">
        <v>0</v>
      </c>
      <c r="T7" s="21">
        <f t="shared" si="4"/>
        <v>29500</v>
      </c>
      <c r="U7" s="53">
        <f>IF($J7="","",ROUND(($J7-$J$3)/1000,1)+(_xlfn.RANK.AVG($J7,($J7,$O7,$T7),1)-2)*10)</f>
        <v>-24.9</v>
      </c>
      <c r="V7" s="54">
        <f>IF($O7="","",ROUND(($O7-$O$3)/1000,1)+(_xlfn.RANK.AVG($O7,($J7,$O7,$T7),1)-2)*10)</f>
        <v>30.4</v>
      </c>
      <c r="W7" s="55">
        <f>IF($T7="","",ROUND(($T7-$T$3)/1000,1)+(_xlfn.RANK.AVG($T7,($J7,$O7,$T7),1)-2)*10)</f>
        <v>-5.5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30</v>
      </c>
      <c r="AZ7" s="40" t="s">
        <v>82</v>
      </c>
      <c r="BA7" s="41" t="s">
        <v>84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/>
      <c r="G8" s="9"/>
      <c r="H8" s="9"/>
      <c r="I8" s="48"/>
      <c r="J8" s="21">
        <f t="shared" si="2"/>
        <v>20100</v>
      </c>
      <c r="K8" s="8" t="s">
        <v>201</v>
      </c>
      <c r="L8" s="9">
        <v>-12000</v>
      </c>
      <c r="M8" s="9"/>
      <c r="N8" s="48">
        <v>0</v>
      </c>
      <c r="O8" s="21">
        <f t="shared" si="3"/>
        <v>43400</v>
      </c>
      <c r="P8" s="8" t="s">
        <v>202</v>
      </c>
      <c r="Q8" s="9">
        <v>12000</v>
      </c>
      <c r="R8" s="9"/>
      <c r="S8" s="48">
        <v>0</v>
      </c>
      <c r="T8" s="21">
        <f t="shared" si="4"/>
        <v>41500</v>
      </c>
      <c r="U8" s="53">
        <f>IF($J8="","",ROUND(($J8-$J$3)/1000,1)+(_xlfn.RANK.AVG($J8,($J8,$O8,$T8),1)-2)*10)</f>
        <v>-24.9</v>
      </c>
      <c r="V8" s="54">
        <f>IF($O8="","",ROUND(($O8-$O$3)/1000,1)+(_xlfn.RANK.AVG($O8,($J8,$O8,$T8),1)-2)*10)</f>
        <v>18.399999999999999</v>
      </c>
      <c r="W8" s="55">
        <f>IF($T8="","",ROUND(($T8-$T$3)/1000,1)+(_xlfn.RANK.AVG($T8,($J8,$O8,$T8),1)-2)*10)</f>
        <v>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7</v>
      </c>
      <c r="BT8" s="30" t="s">
        <v>203</v>
      </c>
      <c r="BU8" s="40" t="s">
        <v>92</v>
      </c>
      <c r="BV8" s="41" t="s">
        <v>104</v>
      </c>
      <c r="BW8" s="41" t="s">
        <v>200</v>
      </c>
      <c r="BX8" s="41" t="s">
        <v>79</v>
      </c>
      <c r="BY8" s="41" t="s">
        <v>79</v>
      </c>
      <c r="BZ8" s="41" t="s">
        <v>86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4000</v>
      </c>
      <c r="H9" s="9"/>
      <c r="I9" s="48">
        <v>0</v>
      </c>
      <c r="J9" s="21">
        <f t="shared" si="2"/>
        <v>24100</v>
      </c>
      <c r="K9" s="8" t="s">
        <v>198</v>
      </c>
      <c r="L9" s="9">
        <v>-1500</v>
      </c>
      <c r="M9" s="9"/>
      <c r="N9" s="48">
        <v>0</v>
      </c>
      <c r="O9" s="21">
        <f t="shared" si="3"/>
        <v>41900</v>
      </c>
      <c r="P9" s="8" t="s">
        <v>198</v>
      </c>
      <c r="Q9" s="9">
        <v>-2500</v>
      </c>
      <c r="R9" s="9"/>
      <c r="S9" s="48">
        <v>0</v>
      </c>
      <c r="T9" s="21">
        <f t="shared" si="4"/>
        <v>39000</v>
      </c>
      <c r="U9" s="53">
        <f>IF($J9="","",ROUND(($J9-$J$3)/1000,1)+(_xlfn.RANK.AVG($J9,($J9,$O9,$T9),1)-2)*10)</f>
        <v>-20.9</v>
      </c>
      <c r="V9" s="54">
        <f>IF($O9="","",ROUND(($O9-$O$3)/1000,1)+(_xlfn.RANK.AVG($O9,($J9,$O9,$T9),1)-2)*10)</f>
        <v>16.899999999999999</v>
      </c>
      <c r="W9" s="55">
        <f>IF($T9="","",ROUND(($T9-$T$3)/1000,1)+(_xlfn.RANK.AVG($T9,($J9,$O9,$T9),1)-2)*10)</f>
        <v>4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82</v>
      </c>
      <c r="AF9" s="41" t="s">
        <v>85</v>
      </c>
      <c r="AG9" s="41" t="s">
        <v>200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192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358569A-5AAA-460F-B35A-1C1A532087BA}">
      <formula1>$U$2:$W$2</formula1>
    </dataValidation>
    <dataValidation type="list" showInputMessage="1" showErrorMessage="1" sqref="K4:K30 P4:P30 F4:F30" xr:uid="{4323A1B5-F7EB-43FE-A8F5-29BA6C37EDE8}">
      <formula1>"ロン,ツモ,放銃,ツモ支払,流局,チョンボ"</formula1>
    </dataValidation>
    <dataValidation type="list" allowBlank="1" showInputMessage="1" sqref="F1:T1" xr:uid="{6AD3BCA4-303B-476F-8811-B2FE265AD9B5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2019-10-27T06:42:40Z</dcterms:modified>
</cp:coreProperties>
</file>