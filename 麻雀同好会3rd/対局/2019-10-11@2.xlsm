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3273B9C1-C3E1-47E4-8F8D-324D9F334E7B}" xr6:coauthVersionLast="41" xr6:coauthVersionMax="41" xr10:uidLastSave="{00000000-0000-0000-0000-000000000000}"/>
  <bookViews>
    <workbookView xWindow="-120" yWindow="-120" windowWidth="29040" windowHeight="1644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 s="1"/>
  <c r="T14" i="23"/>
  <c r="O14" i="23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 s="1"/>
  <c r="T12" i="23"/>
  <c r="W12" i="23" s="1"/>
  <c r="O12" i="23"/>
  <c r="V12" i="23" s="1"/>
  <c r="J12" i="23"/>
  <c r="D12" i="23"/>
  <c r="C12" i="23"/>
  <c r="B12" i="23"/>
  <c r="A12" i="23" s="1"/>
  <c r="C11" i="23"/>
  <c r="D10" i="23"/>
  <c r="D11" i="23" s="1"/>
  <c r="C10" i="23"/>
  <c r="D9" i="23"/>
  <c r="C9" i="23"/>
  <c r="D8" i="23"/>
  <c r="C8" i="23"/>
  <c r="D7" i="23"/>
  <c r="C7" i="23"/>
  <c r="J6" i="23"/>
  <c r="D6" i="23"/>
  <c r="C6" i="23"/>
  <c r="T5" i="23"/>
  <c r="O5" i="23"/>
  <c r="J5" i="23"/>
  <c r="D5" i="23"/>
  <c r="C5" i="23"/>
  <c r="B5" i="23"/>
  <c r="B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V14" i="23" l="1"/>
  <c r="W14" i="23"/>
  <c r="U12" i="23"/>
  <c r="V5" i="23"/>
  <c r="W5" i="23"/>
  <c r="U5" i="23"/>
  <c r="A5" i="23"/>
  <c r="V4" i="23"/>
  <c r="U4" i="23"/>
  <c r="W4" i="23"/>
  <c r="B7" i="23"/>
  <c r="A7" i="23" s="1"/>
  <c r="O6" i="23"/>
  <c r="T6" i="23"/>
  <c r="J7" i="23"/>
  <c r="A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D11" i="22"/>
  <c r="C11" i="22"/>
  <c r="D10" i="22"/>
  <c r="C10" i="22"/>
  <c r="D9" i="22"/>
  <c r="C9" i="22"/>
  <c r="D8" i="22"/>
  <c r="C8" i="22"/>
  <c r="D7" i="22"/>
  <c r="C7" i="22"/>
  <c r="D6" i="22"/>
  <c r="C6" i="22"/>
  <c r="O5" i="22"/>
  <c r="J5" i="22"/>
  <c r="D5" i="22"/>
  <c r="C5" i="22"/>
  <c r="B5" i="22"/>
  <c r="B6" i="22" s="1"/>
  <c r="A5" i="22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O11" i="21"/>
  <c r="J11" i="21"/>
  <c r="U11" i="21" s="1"/>
  <c r="D11" i="21"/>
  <c r="C11" i="21"/>
  <c r="B11" i="21"/>
  <c r="A11" i="21" s="1"/>
  <c r="D10" i="21"/>
  <c r="C10" i="21"/>
  <c r="D9" i="21"/>
  <c r="C9" i="21"/>
  <c r="D8" i="21"/>
  <c r="C8" i="21"/>
  <c r="D7" i="21"/>
  <c r="C7" i="21"/>
  <c r="D6" i="21"/>
  <c r="C6" i="21"/>
  <c r="B6" i="21"/>
  <c r="B7" i="21" s="1"/>
  <c r="J5" i="2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B7" i="20"/>
  <c r="B8" i="20" s="1"/>
  <c r="D6" i="20"/>
  <c r="D7" i="20" s="1"/>
  <c r="C6" i="20"/>
  <c r="C7" i="20" s="1"/>
  <c r="B6" i="20"/>
  <c r="O5" i="20"/>
  <c r="D5" i="20"/>
  <c r="C5" i="20"/>
  <c r="B5" i="20"/>
  <c r="A5" i="20"/>
  <c r="T4" i="20"/>
  <c r="W4" i="20" s="1"/>
  <c r="O4" i="20"/>
  <c r="J4" i="20"/>
  <c r="U4" i="20" s="1"/>
  <c r="W3" i="20"/>
  <c r="V3" i="20"/>
  <c r="U3" i="20"/>
  <c r="W2" i="20"/>
  <c r="V2" i="20"/>
  <c r="U2" i="20"/>
  <c r="BO1" i="20"/>
  <c r="AT1" i="20"/>
  <c r="Y1" i="20"/>
  <c r="W6" i="23" l="1"/>
  <c r="T7" i="23"/>
  <c r="V6" i="23"/>
  <c r="O7" i="23"/>
  <c r="J8" i="23"/>
  <c r="U6" i="23"/>
  <c r="B8" i="23"/>
  <c r="U4" i="22"/>
  <c r="B7" i="22"/>
  <c r="A6" i="22"/>
  <c r="V4" i="22"/>
  <c r="T5" i="22"/>
  <c r="U5" i="22" s="1"/>
  <c r="J6" i="22"/>
  <c r="W4" i="22"/>
  <c r="O6" i="22"/>
  <c r="V11" i="21"/>
  <c r="W11" i="21"/>
  <c r="A6" i="21"/>
  <c r="V4" i="21"/>
  <c r="W4" i="21"/>
  <c r="A7" i="21"/>
  <c r="B8" i="21"/>
  <c r="O5" i="21"/>
  <c r="T5" i="21"/>
  <c r="J6" i="21"/>
  <c r="A6" i="20"/>
  <c r="V4" i="20"/>
  <c r="B9" i="20"/>
  <c r="J5" i="20"/>
  <c r="A7" i="20"/>
  <c r="A8" i="20" s="1"/>
  <c r="T5" i="20"/>
  <c r="O6" i="20"/>
  <c r="W3" i="19"/>
  <c r="V3" i="19"/>
  <c r="U3" i="19"/>
  <c r="U7" i="23" l="1"/>
  <c r="B9" i="23"/>
  <c r="A9" i="23" s="1"/>
  <c r="A8" i="23"/>
  <c r="J9" i="23"/>
  <c r="O8" i="23"/>
  <c r="V7" i="23"/>
  <c r="T8" i="23"/>
  <c r="W7" i="23"/>
  <c r="A7" i="22"/>
  <c r="J7" i="22"/>
  <c r="U6" i="22"/>
  <c r="W5" i="22"/>
  <c r="T6" i="22"/>
  <c r="V6" i="22"/>
  <c r="O7" i="22"/>
  <c r="B8" i="22"/>
  <c r="V5" i="22"/>
  <c r="A8" i="21"/>
  <c r="W5" i="21"/>
  <c r="T6" i="21"/>
  <c r="U6" i="21" s="1"/>
  <c r="V5" i="21"/>
  <c r="O6" i="21"/>
  <c r="J7" i="21"/>
  <c r="B9" i="21"/>
  <c r="A9" i="21" s="1"/>
  <c r="U5" i="21"/>
  <c r="A9" i="20"/>
  <c r="U5" i="20"/>
  <c r="J6" i="20"/>
  <c r="O7" i="20"/>
  <c r="V5" i="20"/>
  <c r="W5" i="20"/>
  <c r="T6" i="20"/>
  <c r="B10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/>
  <c r="T8" i="19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8" i="23" l="1"/>
  <c r="O9" i="23"/>
  <c r="U8" i="23"/>
  <c r="W8" i="23"/>
  <c r="T9" i="23"/>
  <c r="J10" i="23"/>
  <c r="B10" i="23"/>
  <c r="O8" i="22"/>
  <c r="B9" i="22"/>
  <c r="W6" i="22"/>
  <c r="T7" i="22"/>
  <c r="A8" i="22"/>
  <c r="U7" i="22"/>
  <c r="J8" i="22"/>
  <c r="B10" i="21"/>
  <c r="A10" i="21" s="1"/>
  <c r="J8" i="21"/>
  <c r="V6" i="21"/>
  <c r="O7" i="21"/>
  <c r="W6" i="21"/>
  <c r="T7" i="21"/>
  <c r="W6" i="20"/>
  <c r="T7" i="20"/>
  <c r="U6" i="20"/>
  <c r="J7" i="20"/>
  <c r="O8" i="20"/>
  <c r="V6" i="20"/>
  <c r="V10" i="19"/>
  <c r="U10" i="19"/>
  <c r="W10" i="19"/>
  <c r="W9" i="19"/>
  <c r="W8" i="19"/>
  <c r="W6" i="19"/>
  <c r="V6" i="19"/>
  <c r="U4" i="19"/>
  <c r="V4" i="19"/>
  <c r="T5" i="19"/>
  <c r="W4" i="19"/>
  <c r="J5" i="19"/>
  <c r="O5" i="19"/>
  <c r="U9" i="23" l="1"/>
  <c r="B11" i="23"/>
  <c r="A11" i="23" s="1"/>
  <c r="J11" i="23"/>
  <c r="W9" i="23"/>
  <c r="T10" i="23"/>
  <c r="V9" i="23"/>
  <c r="O10" i="23"/>
  <c r="A10" i="23"/>
  <c r="B10" i="22"/>
  <c r="A10" i="22" s="1"/>
  <c r="W7" i="22"/>
  <c r="T8" i="22"/>
  <c r="A9" i="22"/>
  <c r="V7" i="22"/>
  <c r="U8" i="22"/>
  <c r="J9" i="22"/>
  <c r="O9" i="22"/>
  <c r="O8" i="21"/>
  <c r="V7" i="21"/>
  <c r="U7" i="21"/>
  <c r="W7" i="21"/>
  <c r="T8" i="21"/>
  <c r="J9" i="21"/>
  <c r="U8" i="21"/>
  <c r="W7" i="20"/>
  <c r="T8" i="20"/>
  <c r="V8" i="20" s="1"/>
  <c r="O9" i="20"/>
  <c r="V7" i="20"/>
  <c r="U7" i="20"/>
  <c r="J8" i="20"/>
  <c r="V5" i="19"/>
  <c r="U5" i="19"/>
  <c r="W5" i="19"/>
  <c r="U10" i="23" l="1"/>
  <c r="V10" i="23"/>
  <c r="O11" i="23"/>
  <c r="W10" i="23"/>
  <c r="T11" i="23"/>
  <c r="J10" i="22"/>
  <c r="W8" i="22"/>
  <c r="T9" i="22"/>
  <c r="V8" i="22"/>
  <c r="V9" i="22"/>
  <c r="O10" i="22"/>
  <c r="B11" i="22"/>
  <c r="A11" i="22" s="1"/>
  <c r="W8" i="21"/>
  <c r="T9" i="21"/>
  <c r="J10" i="21"/>
  <c r="V8" i="21"/>
  <c r="O9" i="21"/>
  <c r="U9" i="21" s="1"/>
  <c r="J9" i="20"/>
  <c r="U8" i="20"/>
  <c r="O10" i="20"/>
  <c r="W8" i="20"/>
  <c r="T9" i="20"/>
  <c r="V11" i="23" l="1"/>
  <c r="W11" i="23"/>
  <c r="U11" i="23"/>
  <c r="O11" i="22"/>
  <c r="W9" i="22"/>
  <c r="T10" i="22"/>
  <c r="U10" i="22" s="1"/>
  <c r="J11" i="22"/>
  <c r="U9" i="22"/>
  <c r="W9" i="21"/>
  <c r="T10" i="21"/>
  <c r="V9" i="21"/>
  <c r="O10" i="21"/>
  <c r="V9" i="20"/>
  <c r="U9" i="20"/>
  <c r="J10" i="20"/>
  <c r="V10" i="20" s="1"/>
  <c r="W9" i="20"/>
  <c r="T10" i="20"/>
  <c r="W10" i="22" l="1"/>
  <c r="T11" i="22"/>
  <c r="V10" i="22"/>
  <c r="V10" i="21"/>
  <c r="W10" i="21"/>
  <c r="U10" i="21"/>
  <c r="U10" i="20"/>
  <c r="W10" i="20"/>
  <c r="W11" i="22" l="1"/>
  <c r="V11" i="22"/>
  <c r="U11" i="22"/>
</calcChain>
</file>

<file path=xl/sharedStrings.xml><?xml version="1.0" encoding="utf-8"?>
<sst xmlns="http://schemas.openxmlformats.org/spreadsheetml/2006/main" count="1044" uniqueCount="218">
  <si>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</si>
  <si>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</si>
  <si>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</si>
  <si>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</si>
  <si>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</si>
  <si>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</si>
  <si>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</si>
  <si>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</si>
  <si>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</si>
  <si>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</si>
  <si>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</si>
  <si>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</si>
  <si>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</si>
  <si>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</si>
  <si>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</si>
  <si>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</si>
  <si>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</si>
  <si>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</si>
  <si>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</si>
  <si>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</si>
  <si>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</si>
  <si>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</si>
  <si>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</si>
  <si>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</si>
  <si>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</si>
  <si>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</si>
  <si>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</si>
  <si>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</si>
  <si>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</si>
  <si>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</si>
  <si>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</si>
  <si>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</si>
  <si>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</si>
  <si>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</si>
  <si>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</si>
  <si>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</si>
  <si>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</si>
  <si>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</si>
  <si>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</si>
  <si>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</si>
  <si>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</si>
  <si>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</si>
  <si>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</si>
  <si>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</si>
  <si>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</si>
  <si>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</si>
  <si>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</si>
  <si>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</si>
  <si>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</si>
  <si>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</si>
  <si>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</si>
  <si>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</si>
  <si>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</si>
  <si>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</si>
  <si>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</si>
  <si>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</si>
  <si>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</si>
  <si>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</si>
  <si>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</si>
  <si>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</si>
  <si>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</si>
  <si>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</si>
  <si>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</si>
  <si>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</si>
  <si>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</si>
  <si>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</si>
  <si>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</si>
  <si>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</si>
  <si>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</si>
  <si>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</si>
  <si>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</si>
  <si>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</si>
  <si>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</si>
  <si>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</si>
  <si>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</si>
  <si>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</si>
  <si>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</si>
  <si>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</si>
  <si>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</si>
  <si>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</si>
  <si>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</si>
  <si>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</si>
  <si>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</si>
  <si>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</si>
  <si>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</si>
  <si>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</si>
  <si>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</si>
  <si>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</si>
  <si>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</si>
  <si>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</si>
  <si>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</si>
  <si>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</si>
  <si>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</si>
  <si>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</si>
  <si>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</si>
  <si>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</si>
  <si>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</si>
  <si>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</si>
  <si>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</si>
  <si>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</si>
  <si>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</si>
  <si>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</si>
  <si>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</si>
  <si>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</si>
  <si>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</si>
  <si>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</si>
  <si>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</si>
  <si>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</si>
  <si>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</si>
  <si>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</si>
  <si>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</si>
  <si>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</si>
  <si>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</si>
  <si>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</si>
  <si>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</si>
  <si>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</si>
  <si>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</si>
  <si>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</si>
  <si>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</si>
  <si>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</si>
  <si>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</si>
  <si>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</si>
  <si>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</si>
  <si>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</si>
  <si>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</si>
  <si>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</si>
  <si>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</si>
  <si>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</si>
  <si>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</si>
  <si>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</si>
  <si>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</si>
  <si>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</si>
  <si>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</si>
  <si>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</si>
  <si>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</si>
  <si>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</si>
  <si>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</si>
  <si>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</si>
  <si>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</si>
  <si>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</si>
  <si>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</si>
  <si>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</si>
  <si>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</si>
  <si>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</si>
  <si>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</si>
  <si>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</si>
  <si>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</si>
  <si>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</si>
  <si>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</si>
  <si>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</si>
  <si>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</si>
  <si>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</si>
  <si>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</si>
  <si>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</si>
  <si>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</si>
  <si>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</si>
  <si>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</si>
  <si>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</si>
  <si>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</si>
  <si>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</si>
  <si>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</si>
  <si>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</si>
  <si>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</si>
  <si>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</si>
  <si>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</si>
  <si>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</si>
  <si>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</si>
  <si>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</si>
  <si>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</si>
  <si>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</si>
  <si>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</si>
  <si>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</si>
  <si>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</si>
  <si>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</si>
  <si>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</si>
  <si>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</si>
  <si>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</si>
  <si>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</si>
  <si>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</si>
  <si>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</si>
  <si>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</si>
  <si>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</si>
  <si>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</si>
  <si>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</si>
  <si>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</si>
  <si>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</si>
  <si>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</si>
  <si>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</si>
  <si>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</si>
  <si>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</si>
  <si>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</si>
  <si>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</si>
  <si>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</si>
  <si>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りくと</t>
  </si>
  <si>
    <t>りくと</t>
    <phoneticPr fontId="1"/>
  </si>
  <si>
    <t>ただ</t>
  </si>
  <si>
    <t>ただ</t>
    <phoneticPr fontId="1"/>
  </si>
  <si>
    <t>ロン</t>
  </si>
  <si>
    <t>放銃</t>
  </si>
  <si>
    <t>*</t>
  </si>
  <si>
    <t>01</t>
  </si>
  <si>
    <t>02</t>
  </si>
  <si>
    <t>ツモ支払</t>
  </si>
  <si>
    <t>ツモ</t>
  </si>
  <si>
    <t>N</t>
  </si>
  <si>
    <t>T</t>
  </si>
  <si>
    <t>流局</t>
    <phoneticPr fontId="1"/>
  </si>
  <si>
    <t>52</t>
  </si>
  <si>
    <t>まっつん</t>
  </si>
  <si>
    <t>まっつん</t>
    <phoneticPr fontId="1"/>
  </si>
  <si>
    <t>れんたろう</t>
  </si>
  <si>
    <t>れんたろう</t>
    <phoneticPr fontId="1"/>
  </si>
  <si>
    <t>だいち</t>
  </si>
  <si>
    <t>だいち</t>
    <phoneticPr fontId="1"/>
  </si>
  <si>
    <t>51</t>
  </si>
  <si>
    <t>流局</t>
    <phoneticPr fontId="1"/>
  </si>
  <si>
    <t>まっつん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</si>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</sst>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-28</v>
      </c>
      <c r="Y4" s="8"/>
      <c r="Z4" s="34"/>
      <c r="AA4" s="26">
        <v>1</v>
      </c>
      <c r="AB4" s="26"/>
      <c r="AC4" s="26">
        <v>7</v>
      </c>
      <c r="AD4" s="30" t="s">
        <v>199</v>
      </c>
      <c r="AE4" s="40" t="s">
        <v>200</v>
      </c>
      <c r="AF4" s="41" t="s">
        <v>201</v>
      </c>
      <c r="AG4" s="41" t="s">
        <v>104</v>
      </c>
      <c r="AH4" s="41" t="s">
        <v>79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-1700</v>
      </c>
      <c r="H5" s="9"/>
      <c r="I5" s="48">
        <v>-500</v>
      </c>
      <c r="J5" s="21">
        <f t="shared" ref="J5:J30" si="2">IF(COUNTA($F5,$K5,$P5)&gt;0,J4+SUM(G5:I5),"")</f>
        <v>50800</v>
      </c>
      <c r="K5" s="8" t="s">
        <v>203</v>
      </c>
      <c r="L5" s="9">
        <v>2800</v>
      </c>
      <c r="M5" s="9"/>
      <c r="N5" s="48">
        <v>1000</v>
      </c>
      <c r="O5" s="21">
        <f t="shared" ref="O5:O30" si="3">IF(COUNTA($F5,$K5,$P5)&gt;0,O4+SUM(L5:N5),"")</f>
        <v>38800</v>
      </c>
      <c r="P5" s="8" t="s">
        <v>202</v>
      </c>
      <c r="Q5" s="9">
        <v>-1100</v>
      </c>
      <c r="R5" s="9"/>
      <c r="S5" s="48">
        <v>-500</v>
      </c>
      <c r="T5" s="21">
        <f t="shared" ref="T5:T30" si="4">IF(COUNTA($F5,$K5,$P5)&gt;0,T4+SUM(Q5:S5),"")</f>
        <v>15400</v>
      </c>
      <c r="U5" s="53">
        <f>IF($J5="","",ROUND(($J5-$J$3)/1000,1)+(_xlfn.RANK.AVG($J5,($J5,$O5,$T5),1)-2)*10)</f>
        <v>25.8</v>
      </c>
      <c r="V5" s="54">
        <f>IF($O5="","",ROUND(($O5-$O$3)/1000,1)+(_xlfn.RANK.AVG($O5,($J5,$O5,$T5),1)-2)*10)</f>
        <v>3.8</v>
      </c>
      <c r="W5" s="55">
        <f>IF($T5="","",ROUND(($T5-$T$3)/1000,1)+(_xlfn.RANK.AVG($T5,($J5,$O5,$T5),1)-2)*10)</f>
        <v>-29.6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20</v>
      </c>
      <c r="AZ5" s="40" t="s">
        <v>200</v>
      </c>
      <c r="BA5" s="41" t="s">
        <v>82</v>
      </c>
      <c r="BB5" s="41" t="s">
        <v>83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206</v>
      </c>
      <c r="G6" s="9">
        <v>-1500</v>
      </c>
      <c r="H6" s="9"/>
      <c r="I6" s="48"/>
      <c r="J6" s="21">
        <f t="shared" si="2"/>
        <v>49300</v>
      </c>
      <c r="K6" s="8" t="s">
        <v>206</v>
      </c>
      <c r="L6" s="9">
        <v>-1500</v>
      </c>
      <c r="M6" s="9"/>
      <c r="N6" s="48"/>
      <c r="O6" s="21">
        <f t="shared" si="3"/>
        <v>37300</v>
      </c>
      <c r="P6" s="8" t="s">
        <v>206</v>
      </c>
      <c r="Q6" s="9">
        <v>3000</v>
      </c>
      <c r="R6" s="9"/>
      <c r="S6" s="48"/>
      <c r="T6" s="21">
        <f t="shared" si="4"/>
        <v>18400</v>
      </c>
      <c r="U6" s="53">
        <f>IF($J6="","",ROUND(($J6-$J$3)/1000,1)+(_xlfn.RANK.AVG($J6,($J6,$O6,$T6),1)-2)*10)</f>
        <v>24.3</v>
      </c>
      <c r="V6" s="54">
        <f>IF($O6="","",ROUND(($O6-$O$3)/1000,1)+(_xlfn.RANK.AVG($O6,($J6,$O6,$T6),1)-2)*10)</f>
        <v>2.2999999999999998</v>
      </c>
      <c r="W6" s="55">
        <f>IF($T6="","",ROUND(($T6-$T$3)/1000,1)+(_xlfn.RANK.AVG($T6,($J6,$O6,$T6),1)-2)*10)</f>
        <v>-26.6</v>
      </c>
      <c r="Y6" s="8" t="s">
        <v>204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49300</v>
      </c>
      <c r="K7" s="8" t="s">
        <v>197</v>
      </c>
      <c r="L7" s="9">
        <v>1300</v>
      </c>
      <c r="M7" s="9"/>
      <c r="N7" s="48">
        <v>1000</v>
      </c>
      <c r="O7" s="21">
        <f t="shared" si="3"/>
        <v>39600</v>
      </c>
      <c r="P7" s="8" t="s">
        <v>198</v>
      </c>
      <c r="Q7" s="9">
        <v>-1300</v>
      </c>
      <c r="R7" s="9"/>
      <c r="S7" s="48">
        <v>-1000</v>
      </c>
      <c r="T7" s="21">
        <f t="shared" si="4"/>
        <v>16100</v>
      </c>
      <c r="U7" s="53">
        <f>IF($J7="","",ROUND(($J7-$J$3)/1000,1)+(_xlfn.RANK.AVG($J7,($J7,$O7,$T7),1)-2)*10)</f>
        <v>24.3</v>
      </c>
      <c r="V7" s="54">
        <f>IF($O7="","",ROUND(($O7-$O$3)/1000,1)+(_xlfn.RANK.AVG($O7,($J7,$O7,$T7),1)-2)*10)</f>
        <v>4.5999999999999996</v>
      </c>
      <c r="W7" s="55">
        <f>IF($T7="","",ROUND(($T7-$T$3)/1000,1)+(_xlfn.RANK.AVG($T7,($J7,$O7,$T7),1)-2)*10)</f>
        <v>-28.9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200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-1300</v>
      </c>
      <c r="H8" s="9"/>
      <c r="I8" s="48">
        <v>0</v>
      </c>
      <c r="J8" s="21">
        <f t="shared" si="2"/>
        <v>48000</v>
      </c>
      <c r="K8" s="8" t="s">
        <v>203</v>
      </c>
      <c r="L8" s="9">
        <v>2100</v>
      </c>
      <c r="M8" s="9"/>
      <c r="N8" s="48">
        <v>0</v>
      </c>
      <c r="O8" s="21">
        <f t="shared" si="3"/>
        <v>41700</v>
      </c>
      <c r="P8" s="8" t="s">
        <v>202</v>
      </c>
      <c r="Q8" s="9">
        <v>-800</v>
      </c>
      <c r="R8" s="9"/>
      <c r="S8" s="48">
        <v>0</v>
      </c>
      <c r="T8" s="21">
        <f t="shared" si="4"/>
        <v>15300</v>
      </c>
      <c r="U8" s="53">
        <f>IF($J8="","",ROUND(($J8-$J$3)/1000,1)+(_xlfn.RANK.AVG($J8,($J8,$O8,$T8),1)-2)*10)</f>
        <v>23</v>
      </c>
      <c r="V8" s="54">
        <f>IF($O8="","",ROUND(($O8-$O$3)/1000,1)+(_xlfn.RANK.AVG($O8,($J8,$O8,$T8),1)-2)*10)</f>
        <v>6.7</v>
      </c>
      <c r="W8" s="55">
        <f>IF($T8="","",ROUND(($T8-$T$3)/1000,1)+(_xlfn.RANK.AVG($T8,($J8,$O8,$T8),1)-2)*10)</f>
        <v>-29.7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200</v>
      </c>
      <c r="BA8" s="41" t="s">
        <v>82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-2900</v>
      </c>
      <c r="H9" s="9"/>
      <c r="I9" s="48">
        <v>0</v>
      </c>
      <c r="J9" s="21">
        <f t="shared" si="2"/>
        <v>45100</v>
      </c>
      <c r="K9" s="8" t="s">
        <v>202</v>
      </c>
      <c r="L9" s="9">
        <v>-4800</v>
      </c>
      <c r="M9" s="9"/>
      <c r="N9" s="48">
        <v>0</v>
      </c>
      <c r="O9" s="21">
        <f t="shared" si="3"/>
        <v>36900</v>
      </c>
      <c r="P9" s="8" t="s">
        <v>203</v>
      </c>
      <c r="Q9" s="9">
        <v>7700</v>
      </c>
      <c r="R9" s="9"/>
      <c r="S9" s="48">
        <v>0</v>
      </c>
      <c r="T9" s="21">
        <f t="shared" si="4"/>
        <v>23000</v>
      </c>
      <c r="U9" s="53">
        <f>IF($J9="","",ROUND(($J9-$J$3)/1000,1)+(_xlfn.RANK.AVG($J9,($J9,$O9,$T9),1)-2)*10)</f>
        <v>20.100000000000001</v>
      </c>
      <c r="V9" s="54">
        <f>IF($O9="","",ROUND(($O9-$O$3)/1000,1)+(_xlfn.RANK.AVG($O9,($J9,$O9,$T9),1)-2)*10)</f>
        <v>1.9</v>
      </c>
      <c r="W9" s="55">
        <f>IF($T9="","",ROUND(($T9-$T$3)/1000,1)+(_xlfn.RANK.AVG($T9,($J9,$O9,$T9),1)-2)*10)</f>
        <v>-22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198</v>
      </c>
      <c r="G10" s="9">
        <v>-24000</v>
      </c>
      <c r="H10" s="9"/>
      <c r="I10" s="48">
        <v>0</v>
      </c>
      <c r="J10" s="21">
        <f t="shared" si="2"/>
        <v>21100</v>
      </c>
      <c r="K10" s="8"/>
      <c r="L10" s="9"/>
      <c r="M10" s="9"/>
      <c r="N10" s="48"/>
      <c r="O10" s="21">
        <f t="shared" si="3"/>
        <v>36900</v>
      </c>
      <c r="P10" s="8" t="s">
        <v>197</v>
      </c>
      <c r="Q10" s="9">
        <v>24000</v>
      </c>
      <c r="R10" s="9"/>
      <c r="S10" s="48">
        <v>0</v>
      </c>
      <c r="T10" s="21">
        <f t="shared" si="4"/>
        <v>47000</v>
      </c>
      <c r="U10" s="53">
        <f>IF($J10="","",ROUND(($J10-$J$3)/1000,1)+(_xlfn.RANK.AVG($J10,($J10,$O10,$T10),1)-2)*10)</f>
        <v>-23.9</v>
      </c>
      <c r="V10" s="54">
        <f>IF($O10="","",ROUND(($O10-$O$3)/1000,1)+(_xlfn.RANK.AVG($O10,($J10,$O10,$T10),1)-2)*10)</f>
        <v>1.9</v>
      </c>
      <c r="W10" s="55">
        <f>IF($T10="","",ROUND(($T10-$T$3)/1000,1)+(_xlfn.RANK.AVG($T10,($J10,$O10,$T10),1)-2)*10)</f>
        <v>22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9</v>
      </c>
      <c r="BT10" s="30" t="s">
        <v>199</v>
      </c>
      <c r="BU10" s="40" t="s">
        <v>200</v>
      </c>
      <c r="BV10" s="41" t="s">
        <v>79</v>
      </c>
      <c r="BW10" s="41" t="s">
        <v>79</v>
      </c>
      <c r="BX10" s="41" t="s">
        <v>79</v>
      </c>
      <c r="BY10" s="41" t="s">
        <v>80</v>
      </c>
      <c r="BZ10" s="41" t="s">
        <v>80</v>
      </c>
      <c r="CA10" s="41" t="s">
        <v>80</v>
      </c>
      <c r="CB10" s="41" t="s">
        <v>80</v>
      </c>
      <c r="CC10" s="41" t="s">
        <v>207</v>
      </c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962E3D3-D35E-498B-9301-85ED42D4429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8B3B9-B1D0-40EC-B207-3A5A3AC16F8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209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202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203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202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86</v>
      </c>
      <c r="BA4" s="41" t="s">
        <v>104</v>
      </c>
      <c r="BB4" s="41" t="s">
        <v>207</v>
      </c>
      <c r="BC4" s="41" t="s">
        <v>89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197</v>
      </c>
      <c r="G5" s="9">
        <v>1300</v>
      </c>
      <c r="H5" s="9"/>
      <c r="I5" s="48">
        <v>0</v>
      </c>
      <c r="J5" s="21">
        <f t="shared" ref="J5:J30" si="2">IF(COUNTA($F5,$K5,$P5)&gt;0,J4+SUM(G5:I5),"")</f>
        <v>31300</v>
      </c>
      <c r="K5" s="8" t="s">
        <v>198</v>
      </c>
      <c r="L5" s="9">
        <v>-1300</v>
      </c>
      <c r="M5" s="9"/>
      <c r="N5" s="48">
        <v>0</v>
      </c>
      <c r="O5" s="21">
        <f t="shared" ref="O5:O30" si="3">IF(COUNTA($F5,$K5,$P5)&gt;0,O4+SUM(L5:N5),"")</f>
        <v>41700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-13.7</v>
      </c>
      <c r="V5" s="54">
        <f>IF($O5="","",ROUND(($O5-$O$3)/1000,1)+(_xlfn.RANK.AVG($O5,($J5,$O5,$T5),1)-2)*10)</f>
        <v>16.7</v>
      </c>
      <c r="W5" s="55">
        <f>IF($T5="","",ROUND(($T5-$T$3)/1000,1)+(_xlfn.RANK.AVG($T5,($J5,$O5,$T5),1)-2)*10)</f>
        <v>-3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200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202</v>
      </c>
      <c r="G6" s="9">
        <v>-4500</v>
      </c>
      <c r="H6" s="9"/>
      <c r="I6" s="48">
        <v>0</v>
      </c>
      <c r="J6" s="21">
        <f t="shared" si="2"/>
        <v>26800</v>
      </c>
      <c r="K6" s="8" t="s">
        <v>203</v>
      </c>
      <c r="L6" s="9">
        <v>12000</v>
      </c>
      <c r="M6" s="9"/>
      <c r="N6" s="48">
        <v>0</v>
      </c>
      <c r="O6" s="21">
        <f t="shared" si="3"/>
        <v>53700</v>
      </c>
      <c r="P6" s="8" t="s">
        <v>202</v>
      </c>
      <c r="Q6" s="9">
        <v>-7500</v>
      </c>
      <c r="R6" s="9"/>
      <c r="S6" s="48">
        <v>0</v>
      </c>
      <c r="T6" s="21">
        <f t="shared" si="4"/>
        <v>24500</v>
      </c>
      <c r="U6" s="53">
        <f>IF($J6="","",ROUND(($J6-$J$3)/1000,1)+(_xlfn.RANK.AVG($J6,($J6,$O6,$T6),1)-2)*10)</f>
        <v>-8.1999999999999993</v>
      </c>
      <c r="V6" s="54">
        <f>IF($O6="","",ROUND(($O6-$O$3)/1000,1)+(_xlfn.RANK.AVG($O6,($J6,$O6,$T6),1)-2)*10)</f>
        <v>28.7</v>
      </c>
      <c r="W6" s="55">
        <f>IF($T6="","",ROUND(($T6-$T$3)/1000,1)+(_xlfn.RANK.AVG($T6,($J6,$O6,$T6),1)-2)*10)</f>
        <v>-20.5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199</v>
      </c>
      <c r="AZ6" s="40" t="s">
        <v>200</v>
      </c>
      <c r="BA6" s="41" t="s">
        <v>82</v>
      </c>
      <c r="BB6" s="41" t="s">
        <v>79</v>
      </c>
      <c r="BC6" s="41" t="s">
        <v>79</v>
      </c>
      <c r="BD6" s="41" t="s">
        <v>207</v>
      </c>
      <c r="BE6" s="41" t="s">
        <v>207</v>
      </c>
      <c r="BF6" s="41" t="s">
        <v>80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-10000</v>
      </c>
      <c r="H7" s="9"/>
      <c r="I7" s="48">
        <v>0</v>
      </c>
      <c r="J7" s="21">
        <f t="shared" si="2"/>
        <v>16800</v>
      </c>
      <c r="K7" s="8" t="s">
        <v>203</v>
      </c>
      <c r="L7" s="9">
        <v>16000</v>
      </c>
      <c r="M7" s="9"/>
      <c r="N7" s="48">
        <v>0</v>
      </c>
      <c r="O7" s="21">
        <f t="shared" si="3"/>
        <v>69700</v>
      </c>
      <c r="P7" s="8" t="s">
        <v>202</v>
      </c>
      <c r="Q7" s="9">
        <v>-6000</v>
      </c>
      <c r="R7" s="9"/>
      <c r="S7" s="48">
        <v>0</v>
      </c>
      <c r="T7" s="21">
        <f t="shared" si="4"/>
        <v>18500</v>
      </c>
      <c r="U7" s="53">
        <f>IF($J7="","",ROUND(($J7-$J$3)/1000,1)+(_xlfn.RANK.AVG($J7,($J7,$O7,$T7),1)-2)*10)</f>
        <v>-28.2</v>
      </c>
      <c r="V7" s="54">
        <f>IF($O7="","",ROUND(($O7-$O$3)/1000,1)+(_xlfn.RANK.AVG($O7,($J7,$O7,$T7),1)-2)*10)</f>
        <v>44.7</v>
      </c>
      <c r="W7" s="55">
        <f>IF($T7="","",ROUND(($T7-$T$3)/1000,1)+(_xlfn.RANK.AVG($T7,($J7,$O7,$T7),1)-2)*10)</f>
        <v>-16.5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8</v>
      </c>
      <c r="AY7" s="30" t="s">
        <v>199</v>
      </c>
      <c r="AZ7" s="40" t="s">
        <v>200</v>
      </c>
      <c r="BA7" s="41" t="s">
        <v>82</v>
      </c>
      <c r="BB7" s="41" t="s">
        <v>79</v>
      </c>
      <c r="BC7" s="41" t="s">
        <v>79</v>
      </c>
      <c r="BD7" s="41" t="s">
        <v>80</v>
      </c>
      <c r="BE7" s="41" t="s">
        <v>80</v>
      </c>
      <c r="BF7" s="41" t="s">
        <v>80</v>
      </c>
      <c r="BG7" s="41" t="s">
        <v>80</v>
      </c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210</v>
      </c>
      <c r="F8" s="8" t="s">
        <v>203</v>
      </c>
      <c r="G8" s="9">
        <v>8000</v>
      </c>
      <c r="H8" s="9">
        <v>1000</v>
      </c>
      <c r="I8" s="48">
        <v>0</v>
      </c>
      <c r="J8" s="21">
        <f t="shared" si="2"/>
        <v>25800</v>
      </c>
      <c r="K8" s="8" t="s">
        <v>202</v>
      </c>
      <c r="L8" s="9">
        <v>-5000</v>
      </c>
      <c r="M8" s="9"/>
      <c r="N8" s="48">
        <v>0</v>
      </c>
      <c r="O8" s="21">
        <f t="shared" si="3"/>
        <v>64700</v>
      </c>
      <c r="P8" s="8" t="s">
        <v>202</v>
      </c>
      <c r="Q8" s="9">
        <v>-3000</v>
      </c>
      <c r="R8" s="9">
        <v>-1000</v>
      </c>
      <c r="S8" s="48">
        <v>0</v>
      </c>
      <c r="T8" s="21">
        <f t="shared" si="4"/>
        <v>14500</v>
      </c>
      <c r="U8" s="53">
        <f>IF($J8="","",ROUND(($J8-$J$3)/1000,1)+(_xlfn.RANK.AVG($J8,($J8,$O8,$T8),1)-2)*10)</f>
        <v>-9.1999999999999993</v>
      </c>
      <c r="V8" s="54">
        <f>IF($O8="","",ROUND(($O8-$O$3)/1000,1)+(_xlfn.RANK.AVG($O8,($J8,$O8,$T8),1)-2)*10)</f>
        <v>39.700000000000003</v>
      </c>
      <c r="W8" s="55">
        <f>IF($T8="","",ROUND(($T8-$T$3)/1000,1)+(_xlfn.RANK.AVG($T8,($J8,$O8,$T8),1)-2)*10)</f>
        <v>-30.5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200</v>
      </c>
      <c r="AF8" s="41" t="s">
        <v>82</v>
      </c>
      <c r="AG8" s="41" t="s">
        <v>79</v>
      </c>
      <c r="AH8" s="41" t="s">
        <v>79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198</v>
      </c>
      <c r="G9" s="9">
        <v>-7700</v>
      </c>
      <c r="H9" s="9"/>
      <c r="I9" s="48">
        <v>0</v>
      </c>
      <c r="J9" s="21">
        <f t="shared" si="2"/>
        <v>18100</v>
      </c>
      <c r="K9" s="8"/>
      <c r="L9" s="9"/>
      <c r="M9" s="9"/>
      <c r="N9" s="48"/>
      <c r="O9" s="21">
        <f t="shared" si="3"/>
        <v>64700</v>
      </c>
      <c r="P9" s="8" t="s">
        <v>197</v>
      </c>
      <c r="Q9" s="9">
        <v>7700</v>
      </c>
      <c r="R9" s="9"/>
      <c r="S9" s="48">
        <v>0</v>
      </c>
      <c r="T9" s="21">
        <f t="shared" si="4"/>
        <v>22200</v>
      </c>
      <c r="U9" s="53">
        <f>IF($J9="","",ROUND(($J9-$J$3)/1000,1)+(_xlfn.RANK.AVG($J9,($J9,$O9,$T9),1)-2)*10)</f>
        <v>-26.9</v>
      </c>
      <c r="V9" s="54">
        <f>IF($O9="","",ROUND(($O9-$O$3)/1000,1)+(_xlfn.RANK.AVG($O9,($J9,$O9,$T9),1)-2)*10)</f>
        <v>39.700000000000003</v>
      </c>
      <c r="W9" s="55">
        <f>IF($T9="","",ROUND(($T9-$T$3)/1000,1)+(_xlfn.RANK.AVG($T9,($J9,$O9,$T9),1)-2)*10)</f>
        <v>-12.8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200</v>
      </c>
      <c r="BV9" s="41" t="s">
        <v>79</v>
      </c>
      <c r="BW9" s="41" t="s">
        <v>80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208</v>
      </c>
      <c r="F10" s="8" t="s">
        <v>197</v>
      </c>
      <c r="G10" s="9">
        <v>12000</v>
      </c>
      <c r="H10" s="9">
        <v>2000</v>
      </c>
      <c r="I10" s="48">
        <v>1000</v>
      </c>
      <c r="J10" s="21">
        <f t="shared" si="2"/>
        <v>33100</v>
      </c>
      <c r="K10" s="8"/>
      <c r="L10" s="9"/>
      <c r="M10" s="9">
        <v>-1000</v>
      </c>
      <c r="N10" s="48"/>
      <c r="O10" s="21">
        <f t="shared" si="3"/>
        <v>63700</v>
      </c>
      <c r="P10" s="8" t="s">
        <v>198</v>
      </c>
      <c r="Q10" s="9">
        <v>-12000</v>
      </c>
      <c r="R10" s="9">
        <v>-1000</v>
      </c>
      <c r="S10" s="48">
        <v>-1000</v>
      </c>
      <c r="T10" s="21">
        <f t="shared" si="4"/>
        <v>8200</v>
      </c>
      <c r="U10" s="53">
        <f>IF($J10="","",ROUND(($J10-$J$3)/1000,1)+(_xlfn.RANK.AVG($J10,($J10,$O10,$T10),1)-2)*10)</f>
        <v>-1.9</v>
      </c>
      <c r="V10" s="54">
        <f>IF($O10="","",ROUND(($O10-$O$3)/1000,1)+(_xlfn.RANK.AVG($O10,($J10,$O10,$T10),1)-2)*10)</f>
        <v>38.700000000000003</v>
      </c>
      <c r="W10" s="55">
        <f>IF($T10="","",ROUND(($T10-$T$3)/1000,1)+(_xlfn.RANK.AVG($T10,($J10,$O10,$T10),1)-2)*10)</f>
        <v>-36.799999999999997</v>
      </c>
      <c r="Y10" s="8"/>
      <c r="Z10" s="34"/>
      <c r="AA10" s="26"/>
      <c r="AB10" s="26"/>
      <c r="AC10" s="26">
        <v>6</v>
      </c>
      <c r="AD10" s="30" t="s">
        <v>199</v>
      </c>
      <c r="AE10" s="40" t="s">
        <v>85</v>
      </c>
      <c r="AF10" s="41" t="s">
        <v>207</v>
      </c>
      <c r="AG10" s="41" t="s">
        <v>79</v>
      </c>
      <c r="AH10" s="41" t="s">
        <v>79</v>
      </c>
      <c r="AI10" s="41" t="s">
        <v>79</v>
      </c>
      <c r="AJ10" s="41" t="s">
        <v>88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D9EB3AEC-AEE0-4D5D-A570-49E40C2B3463}">
      <formula1>"たかの,だいち,ただ,りくと,れんたろう,まっつん,のり,ぱぱ,ほたに,"</formula1>
    </dataValidation>
    <dataValidation type="list" showInputMessage="1" showErrorMessage="1" sqref="K4:K30 P4:P30 F4:F30" xr:uid="{30F29C26-F65C-4285-8363-53F55D43CCAB}">
      <formula1>"ロン,ツモ,放銃,ツモ支払,流局,チョンボ"</formula1>
    </dataValidation>
    <dataValidation type="list" allowBlank="1" showInputMessage="1" showErrorMessage="1" sqref="E4:E30" xr:uid="{8D240F8D-E53F-401A-BE4A-8AB8F936E2B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9C07-598B-4913-8BF6-50B13DF651D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213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203</v>
      </c>
      <c r="G4" s="9">
        <v>4000</v>
      </c>
      <c r="H4" s="9"/>
      <c r="I4" s="48">
        <v>0</v>
      </c>
      <c r="J4" s="21">
        <f>IF(COUNTA($F4,$K4,$P4)&gt;0,J3+SUM(G4:I4),"")</f>
        <v>39000</v>
      </c>
      <c r="K4" s="8" t="s">
        <v>202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202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14</v>
      </c>
      <c r="V4" s="54">
        <f>IF($O4="","",ROUND(($O4-$O$3)/1000,1)+(_xlfn.RANK.AVG($O4,($J4,$O4,$T4),1)-2)*10)</f>
        <v>-7</v>
      </c>
      <c r="W4" s="55">
        <f>IF($T4="","",ROUND(($T4-$T$3)/1000,1)+(_xlfn.RANK.AVG($T4,($J4,$O4,$T4),1)-2)*10)</f>
        <v>-7</v>
      </c>
      <c r="Y4" s="8"/>
      <c r="Z4" s="34"/>
      <c r="AA4" s="26">
        <v>1</v>
      </c>
      <c r="AB4" s="26"/>
      <c r="AC4" s="26">
        <v>3</v>
      </c>
      <c r="AD4" s="30">
        <v>20</v>
      </c>
      <c r="AE4" s="40" t="s">
        <v>200</v>
      </c>
      <c r="AF4" s="41" t="s">
        <v>83</v>
      </c>
      <c r="AG4" s="41" t="s">
        <v>82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-5200</v>
      </c>
      <c r="H5" s="9"/>
      <c r="I5" s="48">
        <v>-1000</v>
      </c>
      <c r="J5" s="21">
        <f t="shared" ref="J5:J30" si="2">IF(COUNTA($F5,$K5,$P5)&gt;0,J4+SUM(G5:I5),"")</f>
        <v>32800</v>
      </c>
      <c r="K5" s="8"/>
      <c r="L5" s="9"/>
      <c r="M5" s="9"/>
      <c r="N5" s="48"/>
      <c r="O5" s="21">
        <f t="shared" ref="O5:O30" si="3">IF(COUNTA($F5,$K5,$P5)&gt;0,O4+SUM(L5:N5),"")</f>
        <v>33000</v>
      </c>
      <c r="P5" s="8" t="s">
        <v>197</v>
      </c>
      <c r="Q5" s="9">
        <v>5200</v>
      </c>
      <c r="R5" s="9"/>
      <c r="S5" s="48">
        <v>1000</v>
      </c>
      <c r="T5" s="21">
        <f t="shared" ref="T5:T30" si="4">IF(COUNTA($F5,$K5,$P5)&gt;0,T4+SUM(Q5:S5),"")</f>
        <v>39200</v>
      </c>
      <c r="U5" s="53">
        <f>IF($J5="","",ROUND(($J5-$J$3)/1000,1)+(_xlfn.RANK.AVG($J5,($J5,$O5,$T5),1)-2)*10)</f>
        <v>-12.2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14.2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40</v>
      </c>
      <c r="BU5" s="40" t="s">
        <v>86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 t="s">
        <v>202</v>
      </c>
      <c r="G6" s="9">
        <v>-6000</v>
      </c>
      <c r="H6" s="9"/>
      <c r="I6" s="48">
        <v>0</v>
      </c>
      <c r="J6" s="21">
        <f t="shared" si="2"/>
        <v>26800</v>
      </c>
      <c r="K6" s="8" t="s">
        <v>202</v>
      </c>
      <c r="L6" s="9">
        <v>-10000</v>
      </c>
      <c r="M6" s="9"/>
      <c r="N6" s="48">
        <v>0</v>
      </c>
      <c r="O6" s="21">
        <f t="shared" si="3"/>
        <v>23000</v>
      </c>
      <c r="P6" s="8" t="s">
        <v>203</v>
      </c>
      <c r="Q6" s="9">
        <v>16000</v>
      </c>
      <c r="R6" s="9"/>
      <c r="S6" s="48">
        <v>0</v>
      </c>
      <c r="T6" s="21">
        <f t="shared" si="4"/>
        <v>55200</v>
      </c>
      <c r="U6" s="53">
        <f>IF($J6="","",ROUND(($J6-$J$3)/1000,1)+(_xlfn.RANK.AVG($J6,($J6,$O6,$T6),1)-2)*10)</f>
        <v>-8.1999999999999993</v>
      </c>
      <c r="V6" s="54">
        <f>IF($O6="","",ROUND(($O6-$O$3)/1000,1)+(_xlfn.RANK.AVG($O6,($J6,$O6,$T6),1)-2)*10)</f>
        <v>-22</v>
      </c>
      <c r="W6" s="55">
        <f>IF($T6="","",ROUND(($T6-$T$3)/1000,1)+(_xlfn.RANK.AVG($T6,($J6,$O6,$T6),1)-2)*10)</f>
        <v>30.2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199</v>
      </c>
      <c r="BU6" s="40" t="s">
        <v>200</v>
      </c>
      <c r="BV6" s="41" t="s">
        <v>82</v>
      </c>
      <c r="BW6" s="41" t="s">
        <v>79</v>
      </c>
      <c r="BX6" s="41" t="s">
        <v>79</v>
      </c>
      <c r="BY6" s="41" t="s">
        <v>79</v>
      </c>
      <c r="BZ6" s="41" t="s">
        <v>207</v>
      </c>
      <c r="CA6" s="41" t="s">
        <v>80</v>
      </c>
      <c r="CB6" s="41" t="s">
        <v>80</v>
      </c>
      <c r="CC6" s="41" t="s">
        <v>80</v>
      </c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202</v>
      </c>
      <c r="G7" s="9">
        <v>-3000</v>
      </c>
      <c r="H7" s="9">
        <v>-1000</v>
      </c>
      <c r="I7" s="48">
        <v>0</v>
      </c>
      <c r="J7" s="21">
        <f t="shared" si="2"/>
        <v>22800</v>
      </c>
      <c r="K7" s="8" t="s">
        <v>203</v>
      </c>
      <c r="L7" s="9">
        <v>8000</v>
      </c>
      <c r="M7" s="9">
        <v>1000</v>
      </c>
      <c r="N7" s="48">
        <v>0</v>
      </c>
      <c r="O7" s="21">
        <f t="shared" si="3"/>
        <v>32000</v>
      </c>
      <c r="P7" s="8" t="s">
        <v>202</v>
      </c>
      <c r="Q7" s="9">
        <v>-5000</v>
      </c>
      <c r="R7" s="9"/>
      <c r="S7" s="48">
        <v>0</v>
      </c>
      <c r="T7" s="21">
        <f t="shared" si="4"/>
        <v>50200</v>
      </c>
      <c r="U7" s="53">
        <f>IF($J7="","",ROUND(($J7-$J$3)/1000,1)+(_xlfn.RANK.AVG($J7,($J7,$O7,$T7),1)-2)*10)</f>
        <v>-22.2</v>
      </c>
      <c r="V7" s="54">
        <f>IF($O7="","",ROUND(($O7-$O$3)/1000,1)+(_xlfn.RANK.AVG($O7,($J7,$O7,$T7),1)-2)*10)</f>
        <v>-3</v>
      </c>
      <c r="W7" s="55">
        <f>IF($T7="","",ROUND(($T7-$T$3)/1000,1)+(_xlfn.RANK.AVG($T7,($J7,$O7,$T7),1)-2)*10)</f>
        <v>25.2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200</v>
      </c>
      <c r="BA7" s="41" t="s">
        <v>82</v>
      </c>
      <c r="BB7" s="41" t="s">
        <v>83</v>
      </c>
      <c r="BC7" s="41" t="s">
        <v>84</v>
      </c>
      <c r="BD7" s="41" t="s">
        <v>207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-7700</v>
      </c>
      <c r="H8" s="9"/>
      <c r="I8" s="48">
        <v>0</v>
      </c>
      <c r="J8" s="21">
        <f t="shared" si="2"/>
        <v>15100</v>
      </c>
      <c r="K8" s="8" t="s">
        <v>197</v>
      </c>
      <c r="L8" s="9">
        <v>7700</v>
      </c>
      <c r="M8" s="9"/>
      <c r="N8" s="48">
        <v>0</v>
      </c>
      <c r="O8" s="21">
        <f t="shared" si="3"/>
        <v>39700</v>
      </c>
      <c r="P8" s="8"/>
      <c r="Q8" s="9"/>
      <c r="R8" s="9"/>
      <c r="S8" s="48"/>
      <c r="T8" s="21">
        <f t="shared" si="4"/>
        <v>50200</v>
      </c>
      <c r="U8" s="53">
        <f>IF($J8="","",ROUND(($J8-$J$3)/1000,1)+(_xlfn.RANK.AVG($J8,($J8,$O8,$T8),1)-2)*10)</f>
        <v>-29.9</v>
      </c>
      <c r="V8" s="54">
        <f>IF($O8="","",ROUND(($O8-$O$3)/1000,1)+(_xlfn.RANK.AVG($O8,($J8,$O8,$T8),1)-2)*10)</f>
        <v>4.7</v>
      </c>
      <c r="W8" s="55">
        <f>IF($T8="","",ROUND(($T8-$T$3)/1000,1)+(_xlfn.RANK.AVG($T8,($J8,$O8,$T8),1)-2)*10)</f>
        <v>25.2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200</v>
      </c>
      <c r="BA8" s="41" t="s">
        <v>83</v>
      </c>
      <c r="BB8" s="41" t="s">
        <v>201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210</v>
      </c>
      <c r="F9" s="8" t="s">
        <v>202</v>
      </c>
      <c r="G9" s="9">
        <v>-5800</v>
      </c>
      <c r="H9" s="9"/>
      <c r="I9" s="48">
        <v>0</v>
      </c>
      <c r="J9" s="21">
        <f t="shared" si="2"/>
        <v>9300</v>
      </c>
      <c r="K9" s="8" t="s">
        <v>203</v>
      </c>
      <c r="L9" s="9">
        <v>11600</v>
      </c>
      <c r="M9" s="9"/>
      <c r="N9" s="48">
        <v>0</v>
      </c>
      <c r="O9" s="21">
        <f t="shared" si="3"/>
        <v>51300</v>
      </c>
      <c r="P9" s="8" t="s">
        <v>202</v>
      </c>
      <c r="Q9" s="9">
        <v>-5800</v>
      </c>
      <c r="R9" s="9"/>
      <c r="S9" s="48">
        <v>0</v>
      </c>
      <c r="T9" s="21">
        <f t="shared" si="4"/>
        <v>44400</v>
      </c>
      <c r="U9" s="53">
        <f>IF($J9="","",ROUND(($J9-$J$3)/1000,1)+(_xlfn.RANK.AVG($J9,($J9,$O9,$T9),1)-2)*10)</f>
        <v>-35.700000000000003</v>
      </c>
      <c r="V9" s="54">
        <f>IF($O9="","",ROUND(($O9-$O$3)/1000,1)+(_xlfn.RANK.AVG($O9,($J9,$O9,$T9),1)-2)*10)</f>
        <v>26.3</v>
      </c>
      <c r="W9" s="55">
        <f>IF($T9="","",ROUND(($T9-$T$3)/1000,1)+(_xlfn.RANK.AVG($T9,($J9,$O9,$T9),1)-2)*10)</f>
        <v>9.4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104</v>
      </c>
      <c r="BA9" s="41" t="s">
        <v>86</v>
      </c>
      <c r="BB9" s="41" t="s">
        <v>207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210</v>
      </c>
      <c r="F10" s="8" t="s">
        <v>202</v>
      </c>
      <c r="G10" s="9">
        <v>-4500</v>
      </c>
      <c r="H10" s="9"/>
      <c r="I10" s="48">
        <v>-500</v>
      </c>
      <c r="J10" s="21">
        <f t="shared" si="2"/>
        <v>4300</v>
      </c>
      <c r="K10" s="8" t="s">
        <v>202</v>
      </c>
      <c r="L10" s="9">
        <v>-7500</v>
      </c>
      <c r="M10" s="9"/>
      <c r="N10" s="48">
        <v>-500</v>
      </c>
      <c r="O10" s="21">
        <f t="shared" si="3"/>
        <v>43300</v>
      </c>
      <c r="P10" s="8" t="s">
        <v>203</v>
      </c>
      <c r="Q10" s="9">
        <v>12000</v>
      </c>
      <c r="R10" s="9"/>
      <c r="S10" s="48">
        <v>1000</v>
      </c>
      <c r="T10" s="21">
        <f t="shared" si="4"/>
        <v>57400</v>
      </c>
      <c r="U10" s="53">
        <f>IF($J10="","",ROUND(($J10-$J$3)/1000,1)+(_xlfn.RANK.AVG($J10,($J10,$O10,$T10),1)-2)*10)</f>
        <v>-40.700000000000003</v>
      </c>
      <c r="V10" s="54">
        <f>IF($O10="","",ROUND(($O10-$O$3)/1000,1)+(_xlfn.RANK.AVG($O10,($J10,$O10,$T10),1)-2)*10)</f>
        <v>8.3000000000000007</v>
      </c>
      <c r="W10" s="55">
        <f>IF($T10="","",ROUND(($T10-$T$3)/1000,1)+(_xlfn.RANK.AVG($T10,($J10,$O10,$T10),1)-2)*10)</f>
        <v>32.4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199</v>
      </c>
      <c r="BU10" s="40" t="s">
        <v>214</v>
      </c>
      <c r="BV10" s="41" t="s">
        <v>82</v>
      </c>
      <c r="BW10" s="41" t="s">
        <v>85</v>
      </c>
      <c r="BX10" s="41" t="s">
        <v>79</v>
      </c>
      <c r="BY10" s="41" t="s">
        <v>79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212</v>
      </c>
      <c r="F11" s="8" t="s">
        <v>215</v>
      </c>
      <c r="G11" s="9">
        <v>0</v>
      </c>
      <c r="H11" s="9"/>
      <c r="I11" s="48"/>
      <c r="J11" s="21">
        <f t="shared" si="2"/>
        <v>4300</v>
      </c>
      <c r="K11" s="8" t="s">
        <v>215</v>
      </c>
      <c r="L11" s="9">
        <v>0</v>
      </c>
      <c r="M11" s="9">
        <v>-1000</v>
      </c>
      <c r="N11" s="48"/>
      <c r="O11" s="21">
        <f t="shared" si="3"/>
        <v>42300</v>
      </c>
      <c r="P11" s="8" t="s">
        <v>215</v>
      </c>
      <c r="Q11" s="9">
        <v>0</v>
      </c>
      <c r="R11" s="9">
        <v>1000</v>
      </c>
      <c r="S11" s="48"/>
      <c r="T11" s="21">
        <f t="shared" si="4"/>
        <v>58400</v>
      </c>
      <c r="U11" s="53">
        <f>IF($J11="","",ROUND(($J11-$J$3)/1000,1)+(_xlfn.RANK.AVG($J11,($J11,$O11,$T11),1)-2)*10)</f>
        <v>-40.700000000000003</v>
      </c>
      <c r="V11" s="54">
        <f>IF($O11="","",ROUND(($O11-$O$3)/1000,1)+(_xlfn.RANK.AVG($O11,($J11,$O11,$T11),1)-2)*10)</f>
        <v>7.3</v>
      </c>
      <c r="W11" s="55">
        <f>IF($T11="","",ROUND(($T11-$T$3)/1000,1)+(_xlfn.RANK.AVG($T11,($J11,$O11,$T11),1)-2)*10)</f>
        <v>33.4</v>
      </c>
      <c r="Y11" s="8" t="s">
        <v>205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F6E5188B-67EB-4F20-806C-C4BDB56861AE}">
      <formula1>$U$2:$W$2</formula1>
    </dataValidation>
    <dataValidation type="list" showInputMessage="1" showErrorMessage="1" sqref="K4:K30 P4:P30 F4:F30" xr:uid="{7E5A06C9-C08E-435C-8AD5-6CA50D54493D}">
      <formula1>"ロン,ツモ,放銃,ツモ支払,流局,チョンボ"</formula1>
    </dataValidation>
    <dataValidation type="list" allowBlank="1" showInputMessage="1" sqref="F1:T1" xr:uid="{4C6B463D-9F9E-48BB-A8F8-29F3ED17860B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0AF82-5E7B-4765-9121-000FE0C64F87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216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217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れんたろう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197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86</v>
      </c>
      <c r="BA4" s="41" t="s">
        <v>86</v>
      </c>
      <c r="BB4" s="41" t="s">
        <v>86</v>
      </c>
      <c r="BC4" s="41" t="s">
        <v>104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215</v>
      </c>
      <c r="G5" s="9">
        <v>1500</v>
      </c>
      <c r="H5" s="9"/>
      <c r="I5" s="48"/>
      <c r="J5" s="21">
        <f t="shared" ref="J5:J30" si="2">IF(COUNTA($F5,$K5,$P5)&gt;0,J4+SUM(G5:I5),"")</f>
        <v>28500</v>
      </c>
      <c r="K5" s="8" t="s">
        <v>215</v>
      </c>
      <c r="L5" s="9">
        <v>1500</v>
      </c>
      <c r="M5" s="9">
        <v>-1000</v>
      </c>
      <c r="N5" s="48"/>
      <c r="O5" s="21">
        <f t="shared" ref="O5:O30" si="3">IF(COUNTA($F5,$K5,$P5)&gt;0,O4+SUM(L5:N5),"")</f>
        <v>44500</v>
      </c>
      <c r="P5" s="8" t="s">
        <v>215</v>
      </c>
      <c r="Q5" s="9">
        <v>-3000</v>
      </c>
      <c r="R5" s="9"/>
      <c r="S5" s="48"/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-4</v>
      </c>
      <c r="Y5" s="8" t="s">
        <v>205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210</v>
      </c>
      <c r="F6" s="8" t="s">
        <v>198</v>
      </c>
      <c r="G6" s="9">
        <v>-2600</v>
      </c>
      <c r="H6" s="9"/>
      <c r="I6" s="48">
        <v>-1000</v>
      </c>
      <c r="J6" s="21">
        <f t="shared" si="2"/>
        <v>24900</v>
      </c>
      <c r="K6" s="8"/>
      <c r="L6" s="9"/>
      <c r="M6" s="9"/>
      <c r="N6" s="48"/>
      <c r="O6" s="21">
        <f t="shared" si="3"/>
        <v>44500</v>
      </c>
      <c r="P6" s="8" t="s">
        <v>197</v>
      </c>
      <c r="Q6" s="9">
        <v>2600</v>
      </c>
      <c r="R6" s="9">
        <v>1000</v>
      </c>
      <c r="S6" s="48">
        <v>1000</v>
      </c>
      <c r="T6" s="21">
        <f t="shared" si="4"/>
        <v>35600</v>
      </c>
      <c r="U6" s="53">
        <f>IF($J6="","",ROUND(($J6-$J$3)/1000,1)+(_xlfn.RANK.AVG($J6,($J6,$O6,$T6),1)-2)*10)</f>
        <v>-20.100000000000001</v>
      </c>
      <c r="V6" s="54">
        <f>IF($O6="","",ROUND(($O6-$O$3)/1000,1)+(_xlfn.RANK.AVG($O6,($J6,$O6,$T6),1)-2)*10)</f>
        <v>19.5</v>
      </c>
      <c r="W6" s="55">
        <f>IF($T6="","",ROUND(($T6-$T$3)/1000,1)+(_xlfn.RANK.AVG($T6,($J6,$O6,$T6),1)-2)*10)</f>
        <v>0.6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40</v>
      </c>
      <c r="BU6" s="40" t="s">
        <v>85</v>
      </c>
      <c r="BV6" s="41" t="s">
        <v>207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202</v>
      </c>
      <c r="G7" s="9">
        <v>-2000</v>
      </c>
      <c r="H7" s="9"/>
      <c r="I7" s="48">
        <v>0</v>
      </c>
      <c r="J7" s="21">
        <f t="shared" si="2"/>
        <v>22900</v>
      </c>
      <c r="K7" s="8" t="s">
        <v>203</v>
      </c>
      <c r="L7" s="9">
        <v>5300</v>
      </c>
      <c r="M7" s="9">
        <v>1000</v>
      </c>
      <c r="N7" s="48">
        <v>0</v>
      </c>
      <c r="O7" s="21">
        <f t="shared" si="3"/>
        <v>50800</v>
      </c>
      <c r="P7" s="8" t="s">
        <v>202</v>
      </c>
      <c r="Q7" s="9">
        <v>-3300</v>
      </c>
      <c r="R7" s="9">
        <v>-1000</v>
      </c>
      <c r="S7" s="48">
        <v>0</v>
      </c>
      <c r="T7" s="21">
        <f t="shared" si="4"/>
        <v>31300</v>
      </c>
      <c r="U7" s="53">
        <f>IF($J7="","",ROUND(($J7-$J$3)/1000,1)+(_xlfn.RANK.AVG($J7,($J7,$O7,$T7),1)-2)*10)</f>
        <v>-22.1</v>
      </c>
      <c r="V7" s="54">
        <f>IF($O7="","",ROUND(($O7-$O$3)/1000,1)+(_xlfn.RANK.AVG($O7,($J7,$O7,$T7),1)-2)*10)</f>
        <v>25.8</v>
      </c>
      <c r="W7" s="55">
        <f>IF($T7="","",ROUND(($T7-$T$3)/1000,1)+(_xlfn.RANK.AVG($T7,($J7,$O7,$T7),1)-2)*10)</f>
        <v>-3.7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200</v>
      </c>
      <c r="BA7" s="41" t="s">
        <v>83</v>
      </c>
      <c r="BB7" s="41" t="s">
        <v>82</v>
      </c>
      <c r="BC7" s="41" t="s">
        <v>207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198</v>
      </c>
      <c r="G8" s="9">
        <v>-2000</v>
      </c>
      <c r="H8" s="9"/>
      <c r="I8" s="48">
        <v>0</v>
      </c>
      <c r="J8" s="21">
        <f t="shared" si="2"/>
        <v>20900</v>
      </c>
      <c r="K8" s="8"/>
      <c r="L8" s="9"/>
      <c r="M8" s="9"/>
      <c r="N8" s="48"/>
      <c r="O8" s="21">
        <f t="shared" si="3"/>
        <v>50800</v>
      </c>
      <c r="P8" s="8" t="s">
        <v>197</v>
      </c>
      <c r="Q8" s="9">
        <v>2000</v>
      </c>
      <c r="R8" s="9"/>
      <c r="S8" s="48">
        <v>0</v>
      </c>
      <c r="T8" s="21">
        <f t="shared" si="4"/>
        <v>33300</v>
      </c>
      <c r="U8" s="53">
        <f>IF($J8="","",ROUND(($J8-$J$3)/1000,1)+(_xlfn.RANK.AVG($J8,($J8,$O8,$T8),1)-2)*10)</f>
        <v>-24.1</v>
      </c>
      <c r="V8" s="54">
        <f>IF($O8="","",ROUND(($O8-$O$3)/1000,1)+(_xlfn.RANK.AVG($O8,($J8,$O8,$T8),1)-2)*10)</f>
        <v>25.8</v>
      </c>
      <c r="W8" s="55">
        <f>IF($T8="","",ROUND(($T8-$T$3)/1000,1)+(_xlfn.RANK.AVG($T8,($J8,$O8,$T8),1)-2)*10)</f>
        <v>-1.7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83</v>
      </c>
      <c r="BV8" s="41" t="s">
        <v>84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210</v>
      </c>
      <c r="F9" s="8" t="s">
        <v>202</v>
      </c>
      <c r="G9" s="9">
        <v>-800</v>
      </c>
      <c r="H9" s="9">
        <v>-1000</v>
      </c>
      <c r="I9" s="48">
        <v>0</v>
      </c>
      <c r="J9" s="21">
        <f t="shared" si="2"/>
        <v>19100</v>
      </c>
      <c r="K9" s="8" t="s">
        <v>202</v>
      </c>
      <c r="L9" s="9">
        <v>-1300</v>
      </c>
      <c r="M9" s="9">
        <v>-1000</v>
      </c>
      <c r="N9" s="48">
        <v>0</v>
      </c>
      <c r="O9" s="21">
        <f t="shared" si="3"/>
        <v>48500</v>
      </c>
      <c r="P9" s="8" t="s">
        <v>203</v>
      </c>
      <c r="Q9" s="9">
        <v>2100</v>
      </c>
      <c r="R9" s="9">
        <v>2000</v>
      </c>
      <c r="S9" s="48">
        <v>0</v>
      </c>
      <c r="T9" s="21">
        <f t="shared" si="4"/>
        <v>37400</v>
      </c>
      <c r="U9" s="53">
        <f>IF($J9="","",ROUND(($J9-$J$3)/1000,1)+(_xlfn.RANK.AVG($J9,($J9,$O9,$T9),1)-2)*10)</f>
        <v>-25.9</v>
      </c>
      <c r="V9" s="54">
        <f>IF($O9="","",ROUND(($O9-$O$3)/1000,1)+(_xlfn.RANK.AVG($O9,($J9,$O9,$T9),1)-2)*10)</f>
        <v>23.5</v>
      </c>
      <c r="W9" s="55">
        <f>IF($T9="","",ROUND(($T9-$T$3)/1000,1)+(_xlfn.RANK.AVG($T9,($J9,$O9,$T9),1)-2)*10)</f>
        <v>2.4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30</v>
      </c>
      <c r="BU9" s="40" t="s">
        <v>200</v>
      </c>
      <c r="BV9" s="41" t="s">
        <v>82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215</v>
      </c>
      <c r="G10" s="9">
        <v>-3000</v>
      </c>
      <c r="H10" s="9"/>
      <c r="I10" s="48"/>
      <c r="J10" s="21">
        <f t="shared" si="2"/>
        <v>16100</v>
      </c>
      <c r="K10" s="8" t="s">
        <v>215</v>
      </c>
      <c r="L10" s="9">
        <v>1500</v>
      </c>
      <c r="M10" s="9"/>
      <c r="N10" s="48"/>
      <c r="O10" s="21">
        <f t="shared" si="3"/>
        <v>50000</v>
      </c>
      <c r="P10" s="8" t="s">
        <v>215</v>
      </c>
      <c r="Q10" s="9">
        <v>1500</v>
      </c>
      <c r="R10" s="9">
        <v>-1000</v>
      </c>
      <c r="S10" s="48"/>
      <c r="T10" s="21">
        <f t="shared" si="4"/>
        <v>37900</v>
      </c>
      <c r="U10" s="53">
        <f>IF($J10="","",ROUND(($J10-$J$3)/1000,1)+(_xlfn.RANK.AVG($J10,($J10,$O10,$T10),1)-2)*10)</f>
        <v>-28.9</v>
      </c>
      <c r="V10" s="54">
        <f>IF($O10="","",ROUND(($O10-$O$3)/1000,1)+(_xlfn.RANK.AVG($O10,($J10,$O10,$T10),1)-2)*10)</f>
        <v>25</v>
      </c>
      <c r="W10" s="55">
        <f>IF($T10="","",ROUND(($T10-$T$3)/1000,1)+(_xlfn.RANK.AVG($T10,($J10,$O10,$T10),1)-2)*10)</f>
        <v>2.9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193</v>
      </c>
      <c r="F11" s="8" t="s">
        <v>202</v>
      </c>
      <c r="G11" s="9">
        <v>-1100</v>
      </c>
      <c r="H11" s="9"/>
      <c r="I11" s="48">
        <v>-500</v>
      </c>
      <c r="J11" s="21">
        <f t="shared" si="2"/>
        <v>14500</v>
      </c>
      <c r="K11" s="8" t="s">
        <v>203</v>
      </c>
      <c r="L11" s="9">
        <v>2800</v>
      </c>
      <c r="M11" s="9">
        <v>2000</v>
      </c>
      <c r="N11" s="48">
        <v>1000</v>
      </c>
      <c r="O11" s="21">
        <f t="shared" si="3"/>
        <v>55800</v>
      </c>
      <c r="P11" s="8" t="s">
        <v>202</v>
      </c>
      <c r="Q11" s="9">
        <v>-1700</v>
      </c>
      <c r="R11" s="9">
        <v>-1000</v>
      </c>
      <c r="S11" s="48">
        <v>-500</v>
      </c>
      <c r="T11" s="21">
        <f t="shared" si="4"/>
        <v>34700</v>
      </c>
      <c r="U11" s="53">
        <f>IF($J11="","",ROUND(($J11-$J$3)/1000,1)+(_xlfn.RANK.AVG($J11,($J11,$O11,$T11),1)-2)*10)</f>
        <v>-30.5</v>
      </c>
      <c r="V11" s="54">
        <f>IF($O11="","",ROUND(($O11-$O$3)/1000,1)+(_xlfn.RANK.AVG($O11,($J11,$O11,$T11),1)-2)*10)</f>
        <v>30.8</v>
      </c>
      <c r="W11" s="55">
        <f>IF($T11="","",ROUND(($T11-$T$3)/1000,1)+(_xlfn.RANK.AVG($T11,($J11,$O11,$T11),1)-2)*10)</f>
        <v>-0.3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3</v>
      </c>
      <c r="AY11" s="30">
        <v>20</v>
      </c>
      <c r="AZ11" s="40" t="s">
        <v>82</v>
      </c>
      <c r="BA11" s="41" t="s">
        <v>83</v>
      </c>
      <c r="BB11" s="41" t="s">
        <v>207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54F551A-7349-478F-8B7A-86F6EFCE94FD}">
      <formula1>"たかの,だいち,ただ,りくと,れんたろう,まっつん,のり,ぱぱ,ほたに,"</formula1>
    </dataValidation>
    <dataValidation type="list" showInputMessage="1" showErrorMessage="1" sqref="K4:K30 P4:P30 F4:F30" xr:uid="{9157B066-E433-4676-A798-3AB02C650935}">
      <formula1>"ロン,ツモ,放銃,ツモ支払,流局,チョンボ"</formula1>
    </dataValidation>
    <dataValidation type="list" allowBlank="1" showInputMessage="1" showErrorMessage="1" sqref="E4:E30" xr:uid="{6E41DE4C-15B1-43EA-8029-0DA112323C2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6A65-810C-490D-AC5C-1D6E97F867F7}">
  <sheetPr codeName="Sheet14">
    <pageSetUpPr fitToPage="1"/>
  </sheetPr>
  <dimension ref="A1:CI30"/>
  <sheetViews>
    <sheetView tabSelected="1" zoomScaleNormal="100" workbookViewId="0">
      <selection activeCell="F9" sqref="F9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196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のり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れんたろう</v>
      </c>
      <c r="W2" s="16" t="str">
        <f>$P$1</f>
        <v>のり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203</v>
      </c>
      <c r="G4" s="9">
        <v>4000</v>
      </c>
      <c r="H4" s="9">
        <v>1000</v>
      </c>
      <c r="I4" s="48">
        <v>0</v>
      </c>
      <c r="J4" s="21">
        <f>IF(COUNTA($F4,$K4,$P4)&gt;0,J3+SUM(G4:I4),"")</f>
        <v>40000</v>
      </c>
      <c r="K4" s="8" t="s">
        <v>202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202</v>
      </c>
      <c r="Q4" s="9">
        <v>-2500</v>
      </c>
      <c r="R4" s="9">
        <v>-1000</v>
      </c>
      <c r="S4" s="48">
        <v>0</v>
      </c>
      <c r="T4" s="21">
        <f>IF(COUNTA($F4,$K4,$P4)&gt;0,T3+SUM(Q4:S4),"")</f>
        <v>31500</v>
      </c>
      <c r="U4" s="53">
        <f>IF($J4="","",ROUND(($J4-$J$3)/1000,1)+(_xlfn.RANK.AVG($J4,($J4,$O4,$T4),1)-2)*10)</f>
        <v>15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-13.5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200</v>
      </c>
      <c r="AF4" s="41" t="s">
        <v>82</v>
      </c>
      <c r="AG4" s="41" t="s">
        <v>84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-3200</v>
      </c>
      <c r="H5" s="9">
        <v>-1000</v>
      </c>
      <c r="I5" s="48">
        <v>0</v>
      </c>
      <c r="J5" s="21">
        <f t="shared" ref="J5:J30" si="2">IF(COUNTA($F5,$K5,$P5)&gt;0,J4+SUM(G5:I5),"")</f>
        <v>35800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197</v>
      </c>
      <c r="Q5" s="9">
        <v>3200</v>
      </c>
      <c r="R5" s="9">
        <v>1000</v>
      </c>
      <c r="S5" s="48">
        <v>0</v>
      </c>
      <c r="T5" s="21">
        <f t="shared" ref="T5:T30" si="4">IF(COUNTA($F5,$K5,$P5)&gt;0,T4+SUM(Q5:S5),"")</f>
        <v>35700</v>
      </c>
      <c r="U5" s="53">
        <f>IF($J5="","",ROUND(($J5-$J$3)/1000,1)+(_xlfn.RANK.AVG($J5,($J5,$O5,$T5),1)-2)*10)</f>
        <v>10.8</v>
      </c>
      <c r="V5" s="54">
        <f>IF($O5="","",ROUND(($O5-$O$3)/1000,1)+(_xlfn.RANK.AVG($O5,($J5,$O5,$T5),1)-2)*10)</f>
        <v>-11.5</v>
      </c>
      <c r="W5" s="55">
        <f>IF($T5="","",ROUND(($T5-$T$3)/1000,1)+(_xlfn.RANK.AVG($T5,($J5,$O5,$T5),1)-2)*10)</f>
        <v>0.7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50</v>
      </c>
      <c r="BU5" s="40" t="s">
        <v>98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/>
      <c r="G6" s="9"/>
      <c r="H6" s="9"/>
      <c r="I6" s="48"/>
      <c r="J6" s="21">
        <f t="shared" si="2"/>
        <v>35800</v>
      </c>
      <c r="K6" s="8" t="s">
        <v>197</v>
      </c>
      <c r="L6" s="9">
        <v>2900</v>
      </c>
      <c r="M6" s="9"/>
      <c r="N6" s="48">
        <v>0</v>
      </c>
      <c r="O6" s="21">
        <f t="shared" si="3"/>
        <v>36400</v>
      </c>
      <c r="P6" s="8" t="s">
        <v>198</v>
      </c>
      <c r="Q6" s="9">
        <v>-2900</v>
      </c>
      <c r="R6" s="9"/>
      <c r="S6" s="48">
        <v>0</v>
      </c>
      <c r="T6" s="21">
        <f t="shared" si="4"/>
        <v>32800</v>
      </c>
      <c r="U6" s="53">
        <f>IF($J6="","",ROUND(($J6-$J$3)/1000,1)+(_xlfn.RANK.AVG($J6,($J6,$O6,$T6),1)-2)*10)</f>
        <v>0.8</v>
      </c>
      <c r="V6" s="54">
        <f>IF($O6="","",ROUND(($O6-$O$3)/1000,1)+(_xlfn.RANK.AVG($O6,($J6,$O6,$T6),1)-2)*10)</f>
        <v>11.4</v>
      </c>
      <c r="W6" s="55">
        <f>IF($T6="","",ROUND(($T6-$T$3)/1000,1)+(_xlfn.RANK.AVG($T6,($J6,$O6,$T6),1)-2)*10)</f>
        <v>-12.2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210</v>
      </c>
      <c r="F7" s="8" t="s">
        <v>202</v>
      </c>
      <c r="G7" s="9">
        <v>-12000</v>
      </c>
      <c r="H7" s="9"/>
      <c r="I7" s="48">
        <v>-500</v>
      </c>
      <c r="J7" s="21">
        <f t="shared" si="2"/>
        <v>23300</v>
      </c>
      <c r="K7" s="8" t="s">
        <v>203</v>
      </c>
      <c r="L7" s="9">
        <v>24000</v>
      </c>
      <c r="M7" s="9">
        <v>1000</v>
      </c>
      <c r="N7" s="48">
        <v>1000</v>
      </c>
      <c r="O7" s="21">
        <f t="shared" si="3"/>
        <v>62400</v>
      </c>
      <c r="P7" s="8" t="s">
        <v>202</v>
      </c>
      <c r="Q7" s="9">
        <v>-12000</v>
      </c>
      <c r="R7" s="9">
        <v>-1000</v>
      </c>
      <c r="S7" s="48">
        <v>-500</v>
      </c>
      <c r="T7" s="21">
        <f t="shared" si="4"/>
        <v>19300</v>
      </c>
      <c r="U7" s="53">
        <f>IF($J7="","",ROUND(($J7-$J$3)/1000,1)+(_xlfn.RANK.AVG($J7,($J7,$O7,$T7),1)-2)*10)</f>
        <v>-11.7</v>
      </c>
      <c r="V7" s="54">
        <f>IF($O7="","",ROUND(($O7-$O$3)/1000,1)+(_xlfn.RANK.AVG($O7,($J7,$O7,$T7),1)-2)*10)</f>
        <v>37.4</v>
      </c>
      <c r="W7" s="55">
        <f>IF($T7="","",ROUND(($T7-$T$3)/1000,1)+(_xlfn.RANK.AVG($T7,($J7,$O7,$T7),1)-2)*10)</f>
        <v>-25.7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9</v>
      </c>
      <c r="AY7" s="30" t="s">
        <v>199</v>
      </c>
      <c r="AZ7" s="40" t="s">
        <v>200</v>
      </c>
      <c r="BA7" s="41" t="s">
        <v>82</v>
      </c>
      <c r="BB7" s="41" t="s">
        <v>104</v>
      </c>
      <c r="BC7" s="41" t="s">
        <v>86</v>
      </c>
      <c r="BD7" s="41" t="s">
        <v>207</v>
      </c>
      <c r="BE7" s="41" t="s">
        <v>79</v>
      </c>
      <c r="BF7" s="41" t="s">
        <v>80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210</v>
      </c>
      <c r="F8" s="8" t="s">
        <v>197</v>
      </c>
      <c r="G8" s="9">
        <v>8000</v>
      </c>
      <c r="H8" s="9">
        <v>1000</v>
      </c>
      <c r="I8" s="48">
        <v>2000</v>
      </c>
      <c r="J8" s="21">
        <f t="shared" si="2"/>
        <v>34300</v>
      </c>
      <c r="K8" s="8" t="s">
        <v>198</v>
      </c>
      <c r="L8" s="9">
        <v>-8000</v>
      </c>
      <c r="M8" s="9"/>
      <c r="N8" s="48">
        <v>-2000</v>
      </c>
      <c r="O8" s="21">
        <f t="shared" si="3"/>
        <v>52400</v>
      </c>
      <c r="P8" s="8"/>
      <c r="Q8" s="9"/>
      <c r="R8" s="9">
        <v>-1000</v>
      </c>
      <c r="S8" s="48"/>
      <c r="T8" s="21">
        <f t="shared" si="4"/>
        <v>18300</v>
      </c>
      <c r="U8" s="53">
        <f>IF($J8="","",ROUND(($J8-$J$3)/1000,1)+(_xlfn.RANK.AVG($J8,($J8,$O8,$T8),1)-2)*10)</f>
        <v>-0.7</v>
      </c>
      <c r="V8" s="54">
        <f>IF($O8="","",ROUND(($O8-$O$3)/1000,1)+(_xlfn.RANK.AVG($O8,($J8,$O8,$T8),1)-2)*10)</f>
        <v>27.4</v>
      </c>
      <c r="W8" s="55">
        <f>IF($T8="","",ROUND(($T8-$T$3)/1000,1)+(_xlfn.RANK.AVG($T8,($J8,$O8,$T8),1)-2)*10)</f>
        <v>-26.7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200</v>
      </c>
      <c r="AF8" s="41" t="s">
        <v>201</v>
      </c>
      <c r="AG8" s="41" t="s">
        <v>92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203</v>
      </c>
      <c r="G9" s="9">
        <v>7700</v>
      </c>
      <c r="H9" s="9"/>
      <c r="I9" s="48">
        <v>0</v>
      </c>
      <c r="J9" s="21">
        <f t="shared" si="2"/>
        <v>42000</v>
      </c>
      <c r="K9" s="8" t="s">
        <v>202</v>
      </c>
      <c r="L9" s="9">
        <v>-2900</v>
      </c>
      <c r="M9" s="9"/>
      <c r="N9" s="48">
        <v>0</v>
      </c>
      <c r="O9" s="21">
        <f t="shared" si="3"/>
        <v>49500</v>
      </c>
      <c r="P9" s="8" t="s">
        <v>202</v>
      </c>
      <c r="Q9" s="9">
        <v>-4800</v>
      </c>
      <c r="R9" s="9"/>
      <c r="S9" s="48">
        <v>0</v>
      </c>
      <c r="T9" s="21">
        <f t="shared" si="4"/>
        <v>13500</v>
      </c>
      <c r="U9" s="53">
        <f>IF($J9="","",ROUND(($J9-$J$3)/1000,1)+(_xlfn.RANK.AVG($J9,($J9,$O9,$T9),1)-2)*10)</f>
        <v>7</v>
      </c>
      <c r="V9" s="54">
        <f>IF($O9="","",ROUND(($O9-$O$3)/1000,1)+(_xlfn.RANK.AVG($O9,($J9,$O9,$T9),1)-2)*10)</f>
        <v>24.5</v>
      </c>
      <c r="W9" s="55">
        <f>IF($T9="","",ROUND(($T9-$T$3)/1000,1)+(_xlfn.RANK.AVG($T9,($J9,$O9,$T9),1)-2)*10)</f>
        <v>-31.5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200</v>
      </c>
      <c r="AF9" s="41" t="s">
        <v>82</v>
      </c>
      <c r="AG9" s="41" t="s">
        <v>79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12000</v>
      </c>
      <c r="H10" s="9"/>
      <c r="I10" s="48">
        <v>0</v>
      </c>
      <c r="J10" s="21">
        <f t="shared" si="2"/>
        <v>54000</v>
      </c>
      <c r="K10" s="8" t="s">
        <v>198</v>
      </c>
      <c r="L10" s="9">
        <v>-12000</v>
      </c>
      <c r="M10" s="9"/>
      <c r="N10" s="48">
        <v>0</v>
      </c>
      <c r="O10" s="21">
        <f t="shared" si="3"/>
        <v>37500</v>
      </c>
      <c r="P10" s="8"/>
      <c r="Q10" s="9"/>
      <c r="R10" s="9"/>
      <c r="S10" s="48"/>
      <c r="T10" s="21">
        <f t="shared" si="4"/>
        <v>13500</v>
      </c>
      <c r="U10" s="53">
        <f>IF($J10="","",ROUND(($J10-$J$3)/1000,1)+(_xlfn.RANK.AVG($J10,($J10,$O10,$T10),1)-2)*10)</f>
        <v>29</v>
      </c>
      <c r="V10" s="54">
        <f>IF($O10="","",ROUND(($O10-$O$3)/1000,1)+(_xlfn.RANK.AVG($O10,($J10,$O10,$T10),1)-2)*10)</f>
        <v>2.5</v>
      </c>
      <c r="W10" s="55">
        <f>IF($T10="","",ROUND(($T10-$T$3)/1000,1)+(_xlfn.RANK.AVG($T10,($J10,$O10,$T10),1)-2)*10)</f>
        <v>-31.5</v>
      </c>
      <c r="Y10" s="8"/>
      <c r="Z10" s="34"/>
      <c r="AA10" s="26"/>
      <c r="AB10" s="26">
        <v>1</v>
      </c>
      <c r="AC10" s="26">
        <v>5</v>
      </c>
      <c r="AD10" s="30" t="s">
        <v>199</v>
      </c>
      <c r="AE10" s="40" t="s">
        <v>106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203</v>
      </c>
      <c r="G11" s="9">
        <v>11600</v>
      </c>
      <c r="H11" s="9">
        <v>2000</v>
      </c>
      <c r="I11" s="48">
        <v>1000</v>
      </c>
      <c r="J11" s="21">
        <f t="shared" si="2"/>
        <v>68600</v>
      </c>
      <c r="K11" s="8" t="s">
        <v>202</v>
      </c>
      <c r="L11" s="9">
        <v>-5800</v>
      </c>
      <c r="M11" s="9">
        <v>-1000</v>
      </c>
      <c r="N11" s="48">
        <v>-500</v>
      </c>
      <c r="O11" s="21">
        <f t="shared" si="3"/>
        <v>30200</v>
      </c>
      <c r="P11" s="8" t="s">
        <v>202</v>
      </c>
      <c r="Q11" s="9">
        <v>-5800</v>
      </c>
      <c r="R11" s="9">
        <v>-1000</v>
      </c>
      <c r="S11" s="48">
        <v>-500</v>
      </c>
      <c r="T11" s="21">
        <f t="shared" si="4"/>
        <v>6200</v>
      </c>
      <c r="U11" s="53">
        <f>IF($J11="","",ROUND(($J11-$J$3)/1000,1)+(_xlfn.RANK.AVG($J11,($J11,$O11,$T11),1)-2)*10)</f>
        <v>43.6</v>
      </c>
      <c r="V11" s="54">
        <f>IF($O11="","",ROUND(($O11-$O$3)/1000,1)+(_xlfn.RANK.AVG($O11,($J11,$O11,$T11),1)-2)*10)</f>
        <v>-4.8</v>
      </c>
      <c r="W11" s="55">
        <f>IF($T11="","",ROUND(($T11-$T$3)/1000,1)+(_xlfn.RANK.AVG($T11,($J11,$O11,$T11),1)-2)*10)</f>
        <v>-38.799999999999997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200</v>
      </c>
      <c r="AF11" s="41" t="s">
        <v>82</v>
      </c>
      <c r="AG11" s="41" t="s">
        <v>85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195</v>
      </c>
      <c r="F12" s="8" t="s">
        <v>202</v>
      </c>
      <c r="G12" s="9">
        <v>-7500</v>
      </c>
      <c r="H12" s="9"/>
      <c r="I12" s="48">
        <v>-1000</v>
      </c>
      <c r="J12" s="21">
        <f t="shared" si="2"/>
        <v>60100</v>
      </c>
      <c r="K12" s="8" t="s">
        <v>202</v>
      </c>
      <c r="L12" s="9">
        <v>-4500</v>
      </c>
      <c r="M12" s="9"/>
      <c r="N12" s="48">
        <v>-1000</v>
      </c>
      <c r="O12" s="21">
        <f t="shared" si="3"/>
        <v>24700</v>
      </c>
      <c r="P12" s="8" t="s">
        <v>203</v>
      </c>
      <c r="Q12" s="9">
        <v>12000</v>
      </c>
      <c r="R12" s="9"/>
      <c r="S12" s="48">
        <v>2000</v>
      </c>
      <c r="T12" s="21">
        <f t="shared" si="4"/>
        <v>20200</v>
      </c>
      <c r="U12" s="53">
        <f>IF($J12="","",ROUND(($J12-$J$3)/1000,1)+(_xlfn.RANK.AVG($J12,($J12,$O12,$T12),1)-2)*10)</f>
        <v>35.1</v>
      </c>
      <c r="V12" s="54">
        <f>IF($O12="","",ROUND(($O12-$O$3)/1000,1)+(_xlfn.RANK.AVG($O12,($J12,$O12,$T12),1)-2)*10)</f>
        <v>-10.3</v>
      </c>
      <c r="W12" s="55">
        <f>IF($T12="","",ROUND(($T12-$T$3)/1000,1)+(_xlfn.RANK.AVG($T12,($J12,$O12,$T12),1)-2)*10)</f>
        <v>-24.8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199</v>
      </c>
      <c r="BU12" s="40" t="s">
        <v>200</v>
      </c>
      <c r="BV12" s="41" t="s">
        <v>82</v>
      </c>
      <c r="BW12" s="41" t="s">
        <v>201</v>
      </c>
      <c r="BX12" s="41" t="s">
        <v>96</v>
      </c>
      <c r="BY12" s="41" t="s">
        <v>85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210</v>
      </c>
      <c r="F13" s="8"/>
      <c r="G13" s="9"/>
      <c r="H13" s="9"/>
      <c r="I13" s="48"/>
      <c r="J13" s="21">
        <f t="shared" si="2"/>
        <v>60100</v>
      </c>
      <c r="K13" s="8" t="s">
        <v>197</v>
      </c>
      <c r="L13" s="9">
        <v>18000</v>
      </c>
      <c r="M13" s="9"/>
      <c r="N13" s="48">
        <v>0</v>
      </c>
      <c r="O13" s="21">
        <f t="shared" si="3"/>
        <v>42700</v>
      </c>
      <c r="P13" s="8" t="s">
        <v>198</v>
      </c>
      <c r="Q13" s="9">
        <v>-18000</v>
      </c>
      <c r="R13" s="9"/>
      <c r="S13" s="48">
        <v>0</v>
      </c>
      <c r="T13" s="21">
        <f t="shared" si="4"/>
        <v>2200</v>
      </c>
      <c r="U13" s="53">
        <f>IF($J13="","",ROUND(($J13-$J$3)/1000,1)+(_xlfn.RANK.AVG($J13,($J13,$O13,$T13),1)-2)*10)</f>
        <v>35.1</v>
      </c>
      <c r="V13" s="54">
        <f>IF($O13="","",ROUND(($O13-$O$3)/1000,1)+(_xlfn.RANK.AVG($O13,($J13,$O13,$T13),1)-2)*10)</f>
        <v>7.7</v>
      </c>
      <c r="W13" s="55">
        <f>IF($T13="","",ROUND(($T13-$T$3)/1000,1)+(_xlfn.RANK.AVG($T13,($J13,$O13,$T13),1)-2)*10)</f>
        <v>-42.8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199</v>
      </c>
      <c r="AZ13" s="40" t="s">
        <v>200</v>
      </c>
      <c r="BA13" s="41" t="s">
        <v>201</v>
      </c>
      <c r="BB13" s="41" t="s">
        <v>86</v>
      </c>
      <c r="BC13" s="41" t="s">
        <v>80</v>
      </c>
      <c r="BD13" s="41" t="s">
        <v>80</v>
      </c>
      <c r="BE13" s="41" t="s">
        <v>80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210</v>
      </c>
      <c r="F14" s="8" t="s">
        <v>203</v>
      </c>
      <c r="G14" s="9">
        <v>16000</v>
      </c>
      <c r="H14" s="9"/>
      <c r="I14" s="48">
        <v>1000</v>
      </c>
      <c r="J14" s="21">
        <f t="shared" si="2"/>
        <v>77100</v>
      </c>
      <c r="K14" s="8" t="s">
        <v>202</v>
      </c>
      <c r="L14" s="9">
        <v>-10000</v>
      </c>
      <c r="M14" s="9"/>
      <c r="N14" s="48">
        <v>-500</v>
      </c>
      <c r="O14" s="21">
        <f t="shared" si="3"/>
        <v>32200</v>
      </c>
      <c r="P14" s="8" t="s">
        <v>202</v>
      </c>
      <c r="Q14" s="9">
        <v>-6000</v>
      </c>
      <c r="R14" s="9"/>
      <c r="S14" s="48">
        <v>-500</v>
      </c>
      <c r="T14" s="21">
        <f t="shared" si="4"/>
        <v>-4300</v>
      </c>
      <c r="U14" s="53">
        <f>IF($J14="","",ROUND(($J14-$J$3)/1000,1)+(_xlfn.RANK.AVG($J14,($J14,$O14,$T14),1)-2)*10)</f>
        <v>52.1</v>
      </c>
      <c r="V14" s="54">
        <f>IF($O14="","",ROUND(($O14-$O$3)/1000,1)+(_xlfn.RANK.AVG($O14,($J14,$O14,$T14),1)-2)*10)</f>
        <v>-2.8</v>
      </c>
      <c r="W14" s="55">
        <f>IF($T14="","",ROUND(($T14-$T$3)/1000,1)+(_xlfn.RANK.AVG($T14,($J14,$O14,$T14),1)-2)*10)</f>
        <v>-49.3</v>
      </c>
      <c r="Y14" s="8"/>
      <c r="Z14" s="34"/>
      <c r="AA14" s="26"/>
      <c r="AB14" s="26">
        <v>1</v>
      </c>
      <c r="AC14" s="26">
        <v>10</v>
      </c>
      <c r="AD14" s="30" t="s">
        <v>199</v>
      </c>
      <c r="AE14" s="40" t="s">
        <v>98</v>
      </c>
      <c r="AF14" s="41" t="s">
        <v>104</v>
      </c>
      <c r="AG14" s="41" t="s">
        <v>207</v>
      </c>
      <c r="AH14" s="41" t="s">
        <v>86</v>
      </c>
      <c r="AI14" s="41" t="s">
        <v>79</v>
      </c>
      <c r="AJ14" s="41" t="s">
        <v>79</v>
      </c>
      <c r="AK14" s="41" t="s">
        <v>79</v>
      </c>
      <c r="AL14" s="41" t="s">
        <v>79</v>
      </c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C77B010-D56D-419A-AC9B-F81F9ACCEF07}">
      <formula1>$U$2:$W$2</formula1>
    </dataValidation>
    <dataValidation type="list" showInputMessage="1" showErrorMessage="1" sqref="K4:K30 P4:P30 F4:F30" xr:uid="{AFC6C52D-BA57-4A75-97A3-6C8A8598658F}">
      <formula1>"ロン,ツモ,放銃,ツモ支払,流局,チョンボ"</formula1>
    </dataValidation>
    <dataValidation type="list" allowBlank="1" showInputMessage="1" sqref="F1:T1" xr:uid="{073B3608-C618-4EE3-8A01-F9381BF307B2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2019-10-11T18:20:15Z</dcterms:modified>
</cp:coreProperties>
</file>