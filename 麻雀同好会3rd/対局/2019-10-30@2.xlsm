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6C4304C-0CE6-425C-857F-FED14D792DC4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T10" i="20"/>
  <c r="W10" i="20" s="1"/>
  <c r="O10" i="20"/>
  <c r="V10" i="20" s="1"/>
  <c r="J10" i="20"/>
  <c r="D10" i="20"/>
  <c r="C10" i="20"/>
  <c r="B10" i="20"/>
  <c r="A10" i="20" s="1"/>
  <c r="D9" i="20"/>
  <c r="C9" i="20"/>
  <c r="D8" i="20"/>
  <c r="C8" i="20"/>
  <c r="D6" i="20"/>
  <c r="D7" i="20" s="1"/>
  <c r="T5" i="20"/>
  <c r="T6" i="20" s="1"/>
  <c r="O5" i="20"/>
  <c r="D5" i="20"/>
  <c r="C5" i="20"/>
  <c r="C6" i="20" s="1"/>
  <c r="C7" i="20" s="1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4" i="20" l="1"/>
  <c r="W14" i="20"/>
  <c r="V14" i="20"/>
  <c r="V13" i="20"/>
  <c r="W13" i="20"/>
  <c r="U13" i="20"/>
  <c r="W12" i="20"/>
  <c r="V12" i="20"/>
  <c r="V11" i="20"/>
  <c r="W11" i="20"/>
  <c r="U10" i="20"/>
  <c r="V4" i="20"/>
  <c r="W4" i="20"/>
  <c r="U4" i="20"/>
  <c r="B7" i="20"/>
  <c r="T7" i="20"/>
  <c r="J5" i="20"/>
  <c r="V5" i="20" s="1"/>
  <c r="O6" i="20"/>
  <c r="A5" i="20"/>
  <c r="A6" i="20" s="1"/>
  <c r="W3" i="19"/>
  <c r="V3" i="19"/>
  <c r="U3" i="19"/>
  <c r="A7" i="20" l="1"/>
  <c r="W5" i="20"/>
  <c r="O7" i="20"/>
  <c r="B8" i="20"/>
  <c r="U5" i="20"/>
  <c r="J6" i="20"/>
  <c r="V6" i="20" s="1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9" i="20" l="1"/>
  <c r="A9" i="20" s="1"/>
  <c r="O8" i="20"/>
  <c r="T9" i="20"/>
  <c r="J7" i="20"/>
  <c r="V7" i="20" s="1"/>
  <c r="U6" i="20"/>
  <c r="W6" i="20"/>
  <c r="A8" i="20"/>
  <c r="V9" i="19"/>
  <c r="U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8" i="20" l="1"/>
  <c r="U7" i="20"/>
  <c r="W7" i="20"/>
  <c r="O9" i="20"/>
  <c r="W5" i="19"/>
  <c r="V5" i="19"/>
  <c r="U5" i="19"/>
  <c r="U8" i="20" l="1"/>
  <c r="J9" i="20"/>
  <c r="W8" i="20"/>
  <c r="V8" i="20"/>
  <c r="U9" i="20" l="1"/>
  <c r="W9" i="20"/>
  <c r="V9" i="20"/>
</calcChain>
</file>

<file path=xl/sharedStrings.xml><?xml version="1.0" encoding="utf-8"?>
<sst xmlns="http://schemas.openxmlformats.org/spreadsheetml/2006/main" count="700" uniqueCount="209">
  <si>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</si>
  <si>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</si>
  <si>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</si>
  <si>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</si>
  <si>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</si>
  <si>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</si>
  <si>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</si>
  <si>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</si>
  <si>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</si>
  <si>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</si>
  <si>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</si>
  <si>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</si>
  <si>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</si>
  <si>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</si>
  <si>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</si>
  <si>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</si>
  <si>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</si>
  <si>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</si>
  <si>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</si>
  <si>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</si>
  <si>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</si>
  <si>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</si>
  <si>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</si>
  <si>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</si>
  <si>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</si>
  <si>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</si>
  <si>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</si>
  <si>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</si>
  <si>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</si>
  <si>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</si>
  <si>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</si>
  <si>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</si>
  <si>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</si>
  <si>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</si>
  <si>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</si>
  <si>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</si>
  <si>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</si>
  <si>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</si>
  <si>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</si>
  <si>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</si>
  <si>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</si>
  <si>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</si>
  <si>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</si>
  <si>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</si>
  <si>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</si>
  <si>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</si>
  <si>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</si>
  <si>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</si>
  <si>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</si>
  <si>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</si>
  <si>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</si>
  <si>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</si>
  <si>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</si>
  <si>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</si>
  <si>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</si>
  <si>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</si>
  <si>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</si>
  <si>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</si>
  <si>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</si>
  <si>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</si>
  <si>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</si>
  <si>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</si>
  <si>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</si>
  <si>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</si>
  <si>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</si>
  <si>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</si>
  <si>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</si>
  <si>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</si>
  <si>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</si>
  <si>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</si>
  <si>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</si>
  <si>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</si>
  <si>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</si>
  <si>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</si>
  <si>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</si>
  <si>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</si>
  <si>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</si>
  <si>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</si>
  <si>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</si>
  <si>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</si>
  <si>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</si>
  <si>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</si>
  <si>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</si>
  <si>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</si>
  <si>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</si>
  <si>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</si>
  <si>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</si>
  <si>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</si>
  <si>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</si>
  <si>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</si>
  <si>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</si>
  <si>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</si>
  <si>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</si>
  <si>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</si>
  <si>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</si>
  <si>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</si>
  <si>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</si>
  <si>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</si>
  <si>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</si>
  <si>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</si>
  <si>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</si>
  <si>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</si>
  <si>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</si>
  <si>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</si>
  <si>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</si>
  <si>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</si>
  <si>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</si>
  <si>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</si>
  <si>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</si>
  <si>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</si>
  <si>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</si>
  <si>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</si>
  <si>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</si>
  <si>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</si>
  <si>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</si>
  <si>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</si>
  <si>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</si>
  <si>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</si>
  <si>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</si>
  <si>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</si>
  <si>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</si>
  <si>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</si>
  <si>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</si>
  <si>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</si>
  <si>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</si>
  <si>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</si>
  <si>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</si>
  <si>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</si>
  <si>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</si>
  <si>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</si>
  <si>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</si>
  <si>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</si>
  <si>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</si>
  <si>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</si>
  <si>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</si>
  <si>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</si>
  <si>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</si>
  <si>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</si>
  <si>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</si>
  <si>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</si>
  <si>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</si>
  <si>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</si>
  <si>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</si>
  <si>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</si>
  <si>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</si>
  <si>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</si>
  <si>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</si>
  <si>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</si>
  <si>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</si>
  <si>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</si>
  <si>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</si>
  <si>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</si>
  <si>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</si>
  <si>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</si>
  <si>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</si>
  <si>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</si>
  <si>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</si>
  <si>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</si>
  <si>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</si>
  <si>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</si>
  <si>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</si>
  <si>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</si>
  <si>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</si>
  <si>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</si>
  <si>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</si>
  <si>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</si>
  <si>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</si>
  <si>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</si>
  <si>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</si>
  <si>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</si>
  <si>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</si>
  <si>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</si>
  <si>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</si>
  <si>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</si>
  <si>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</si>
  <si>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</si>
  <si>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</si>
  <si>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</si>
  <si>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</si>
  <si>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</si>
  <si>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</si>
  <si>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</si>
  <si>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</si>
  <si>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</si>
  <si>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</si>
  <si>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</si>
  <si>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</si>
  <si>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</si>
  <si>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</si>
  <si>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</si>
  <si>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</si>
  <si>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</si>
  <si>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</si>
  <si>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まっつん</t>
  </si>
  <si>
    <t>まっつん</t>
    <phoneticPr fontId="1"/>
  </si>
  <si>
    <t>ただ</t>
  </si>
  <si>
    <t>ただ</t>
    <phoneticPr fontId="1"/>
  </si>
  <si>
    <t>ロン</t>
  </si>
  <si>
    <t>放銃</t>
  </si>
  <si>
    <t>52</t>
  </si>
  <si>
    <t>*</t>
  </si>
  <si>
    <t>01</t>
  </si>
  <si>
    <t>T</t>
  </si>
  <si>
    <t>N</t>
  </si>
  <si>
    <t>流局</t>
    <phoneticPr fontId="1"/>
  </si>
  <si>
    <t>ツモ支払</t>
  </si>
  <si>
    <t>ツモ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</si>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</sst>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198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199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/>
      <c r="I5" s="48">
        <v>1000</v>
      </c>
      <c r="J5" s="21">
        <f t="shared" ref="J5:J30" si="2">IF(COUNTA($F5,$K5,$P5)&gt;0,J4+SUM(G5:I5),"")</f>
        <v>59800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198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16000</v>
      </c>
      <c r="U5" s="53">
        <f>IF($J5="","",ROUND(($J5-$J$3)/1000,1)+(_xlfn.RANK.AVG($J5,($J5,$O5,$T5),1)-2)*10)</f>
        <v>34.799999999999997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-29</v>
      </c>
      <c r="Y5" s="8"/>
      <c r="Z5" s="34"/>
      <c r="AA5" s="26">
        <v>1</v>
      </c>
      <c r="AB5" s="26"/>
      <c r="AC5" s="26">
        <v>6</v>
      </c>
      <c r="AD5" s="30" t="s">
        <v>200</v>
      </c>
      <c r="AE5" s="40" t="s">
        <v>201</v>
      </c>
      <c r="AF5" s="41" t="s">
        <v>83</v>
      </c>
      <c r="AG5" s="41" t="s">
        <v>84</v>
      </c>
      <c r="AH5" s="41" t="s">
        <v>199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204</v>
      </c>
      <c r="G6" s="9">
        <v>1500</v>
      </c>
      <c r="H6" s="9">
        <v>-1000</v>
      </c>
      <c r="I6" s="48"/>
      <c r="J6" s="21">
        <f t="shared" si="2"/>
        <v>60300</v>
      </c>
      <c r="K6" s="8" t="s">
        <v>204</v>
      </c>
      <c r="L6" s="9">
        <v>-3000</v>
      </c>
      <c r="M6" s="9"/>
      <c r="N6" s="48"/>
      <c r="O6" s="21">
        <f t="shared" si="3"/>
        <v>26200</v>
      </c>
      <c r="P6" s="8" t="s">
        <v>204</v>
      </c>
      <c r="Q6" s="9">
        <v>1500</v>
      </c>
      <c r="R6" s="9"/>
      <c r="S6" s="48"/>
      <c r="T6" s="21">
        <f t="shared" si="4"/>
        <v>17500</v>
      </c>
      <c r="U6" s="53">
        <f>IF($J6="","",ROUND(($J6-$J$3)/1000,1)+(_xlfn.RANK.AVG($J6,($J6,$O6,$T6),1)-2)*10)</f>
        <v>35.299999999999997</v>
      </c>
      <c r="V6" s="54">
        <f>IF($O6="","",ROUND(($O6-$O$3)/1000,1)+(_xlfn.RANK.AVG($O6,($J6,$O6,$T6),1)-2)*10)</f>
        <v>-8.8000000000000007</v>
      </c>
      <c r="W6" s="55">
        <f>IF($T6="","",ROUND(($T6-$T$3)/1000,1)+(_xlfn.RANK.AVG($T6,($J6,$O6,$T6),1)-2)*10)</f>
        <v>-27.5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">
        <v>191</v>
      </c>
      <c r="F7" s="8"/>
      <c r="G7" s="9"/>
      <c r="H7" s="9"/>
      <c r="I7" s="48"/>
      <c r="J7" s="21">
        <f t="shared" si="2"/>
        <v>60300</v>
      </c>
      <c r="K7" s="8" t="s">
        <v>197</v>
      </c>
      <c r="L7" s="9">
        <v>7700</v>
      </c>
      <c r="M7" s="9">
        <v>2000</v>
      </c>
      <c r="N7" s="48">
        <v>3000</v>
      </c>
      <c r="O7" s="21">
        <f t="shared" si="3"/>
        <v>38900</v>
      </c>
      <c r="P7" s="8" t="s">
        <v>198</v>
      </c>
      <c r="Q7" s="9">
        <v>-7700</v>
      </c>
      <c r="R7" s="9">
        <v>-1000</v>
      </c>
      <c r="S7" s="48">
        <v>-3000</v>
      </c>
      <c r="T7" s="21">
        <f t="shared" si="4"/>
        <v>5800</v>
      </c>
      <c r="U7" s="53">
        <f>IF($J7="","",ROUND(($J7-$J$3)/1000,1)+(_xlfn.RANK.AVG($J7,($J7,$O7,$T7),1)-2)*10)</f>
        <v>35.299999999999997</v>
      </c>
      <c r="V7" s="54">
        <f>IF($O7="","",ROUND(($O7-$O$3)/1000,1)+(_xlfn.RANK.AVG($O7,($J7,$O7,$T7),1)-2)*10)</f>
        <v>3.9</v>
      </c>
      <c r="W7" s="55">
        <f>IF($T7="","",ROUND(($T7-$T$3)/1000,1)+(_xlfn.RANK.AVG($T7,($J7,$O7,$T7),1)-2)*10)</f>
        <v>-39.200000000000003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86</v>
      </c>
      <c r="BB7" s="41" t="s">
        <v>79</v>
      </c>
      <c r="BC7" s="41" t="s">
        <v>199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2600</v>
      </c>
      <c r="H8" s="9">
        <v>1000</v>
      </c>
      <c r="I8" s="48">
        <v>0</v>
      </c>
      <c r="J8" s="21">
        <f t="shared" si="2"/>
        <v>63900</v>
      </c>
      <c r="K8" s="8" t="s">
        <v>198</v>
      </c>
      <c r="L8" s="9">
        <v>-2600</v>
      </c>
      <c r="M8" s="9"/>
      <c r="N8" s="48">
        <v>0</v>
      </c>
      <c r="O8" s="21">
        <f t="shared" si="3"/>
        <v>36300</v>
      </c>
      <c r="P8" s="8"/>
      <c r="Q8" s="9"/>
      <c r="R8" s="9">
        <v>-1000</v>
      </c>
      <c r="S8" s="48"/>
      <c r="T8" s="21">
        <f t="shared" si="4"/>
        <v>4800</v>
      </c>
      <c r="U8" s="53">
        <f>IF($J8="","",ROUND(($J8-$J$3)/1000,1)+(_xlfn.RANK.AVG($J8,($J8,$O8,$T8),1)-2)*10)</f>
        <v>38.9</v>
      </c>
      <c r="V8" s="54">
        <f>IF($O8="","",ROUND(($O8-$O$3)/1000,1)+(_xlfn.RANK.AVG($O8,($J8,$O8,$T8),1)-2)*10)</f>
        <v>1.3</v>
      </c>
      <c r="W8" s="55">
        <f>IF($T8="","",ROUND(($T8-$T$3)/1000,1)+(_xlfn.RANK.AVG($T8,($J8,$O8,$T8),1)-2)*10)</f>
        <v>-40.200000000000003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201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-3000</v>
      </c>
      <c r="H9" s="9"/>
      <c r="I9" s="48">
        <v>0</v>
      </c>
      <c r="J9" s="21">
        <f t="shared" si="2"/>
        <v>60900</v>
      </c>
      <c r="K9" s="8" t="s">
        <v>206</v>
      </c>
      <c r="L9" s="9">
        <v>8000</v>
      </c>
      <c r="M9" s="9"/>
      <c r="N9" s="48">
        <v>0</v>
      </c>
      <c r="O9" s="21">
        <f t="shared" si="3"/>
        <v>44300</v>
      </c>
      <c r="P9" s="8" t="s">
        <v>205</v>
      </c>
      <c r="Q9" s="9">
        <v>-5000</v>
      </c>
      <c r="R9" s="9"/>
      <c r="S9" s="48">
        <v>0</v>
      </c>
      <c r="T9" s="21">
        <f t="shared" si="4"/>
        <v>-200</v>
      </c>
      <c r="U9" s="53">
        <f>IF($J9="","",ROUND(($J9-$J$3)/1000,1)+(_xlfn.RANK.AVG($J9,($J9,$O9,$T9),1)-2)*10)</f>
        <v>35.9</v>
      </c>
      <c r="V9" s="54">
        <f>IF($O9="","",ROUND(($O9-$O$3)/1000,1)+(_xlfn.RANK.AVG($O9,($J9,$O9,$T9),1)-2)*10)</f>
        <v>9.3000000000000007</v>
      </c>
      <c r="W9" s="55">
        <f>IF($T9="","",ROUND(($T9-$T$3)/1000,1)+(_xlfn.RANK.AVG($T9,($J9,$O9,$T9),1)-2)*10)</f>
        <v>-45.2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200</v>
      </c>
      <c r="AZ9" s="40" t="s">
        <v>201</v>
      </c>
      <c r="BA9" s="41" t="s">
        <v>82</v>
      </c>
      <c r="BB9" s="41" t="s">
        <v>83</v>
      </c>
      <c r="BC9" s="41" t="s">
        <v>199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84F3C9B-465D-46DB-A8A8-489C97D790F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71AAB-6BF9-4656-AAE7-C0111C5E22C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207</v>
      </c>
      <c r="G5" s="9">
        <v>3000</v>
      </c>
      <c r="H5" s="9">
        <v>-1000</v>
      </c>
      <c r="I5" s="48"/>
      <c r="J5" s="21">
        <f t="shared" ref="J5:J30" si="2">IF(COUNTA($F5,$K5,$P5)&gt;0,J4+SUM(G5:I5),"")</f>
        <v>45000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207</v>
      </c>
      <c r="Q5" s="9">
        <v>-1500</v>
      </c>
      <c r="R5" s="9"/>
      <c r="S5" s="48"/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-19.5</v>
      </c>
      <c r="Y5" s="8" t="s">
        <v>202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207</v>
      </c>
      <c r="G6" s="9">
        <v>-1500</v>
      </c>
      <c r="H6" s="9"/>
      <c r="I6" s="48"/>
      <c r="J6" s="21">
        <f t="shared" si="2"/>
        <v>43500</v>
      </c>
      <c r="K6" s="8" t="s">
        <v>207</v>
      </c>
      <c r="L6" s="9">
        <v>-1500</v>
      </c>
      <c r="M6" s="9"/>
      <c r="N6" s="48"/>
      <c r="O6" s="21">
        <f t="shared" si="3"/>
        <v>32000</v>
      </c>
      <c r="P6" s="8" t="s">
        <v>207</v>
      </c>
      <c r="Q6" s="9">
        <v>3000</v>
      </c>
      <c r="R6" s="9"/>
      <c r="S6" s="48"/>
      <c r="T6" s="21">
        <f t="shared" si="4"/>
        <v>28500</v>
      </c>
      <c r="U6" s="53">
        <f>IF($J6="","",ROUND(($J6-$J$3)/1000,1)+(_xlfn.RANK.AVG($J6,($J6,$O6,$T6),1)-2)*10)</f>
        <v>18.5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-16.5</v>
      </c>
      <c r="Y6" s="8" t="s">
        <v>203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191</v>
      </c>
      <c r="F7" s="8" t="s">
        <v>198</v>
      </c>
      <c r="G7" s="9">
        <v>-5800</v>
      </c>
      <c r="H7" s="9"/>
      <c r="I7" s="48">
        <v>-2000</v>
      </c>
      <c r="J7" s="21">
        <f t="shared" si="2"/>
        <v>35700</v>
      </c>
      <c r="K7" s="8" t="s">
        <v>197</v>
      </c>
      <c r="L7" s="9">
        <v>5800</v>
      </c>
      <c r="M7" s="9">
        <v>1000</v>
      </c>
      <c r="N7" s="48">
        <v>2000</v>
      </c>
      <c r="O7" s="21">
        <f t="shared" si="3"/>
        <v>40800</v>
      </c>
      <c r="P7" s="8"/>
      <c r="Q7" s="9"/>
      <c r="R7" s="9"/>
      <c r="S7" s="48"/>
      <c r="T7" s="21">
        <f t="shared" si="4"/>
        <v>28500</v>
      </c>
      <c r="U7" s="53">
        <f>IF($J7="","",ROUND(($J7-$J$3)/1000,1)+(_xlfn.RANK.AVG($J7,($J7,$O7,$T7),1)-2)*10)</f>
        <v>0.7</v>
      </c>
      <c r="V7" s="54">
        <f>IF($O7="","",ROUND(($O7-$O$3)/1000,1)+(_xlfn.RANK.AVG($O7,($J7,$O7,$T7),1)-2)*10)</f>
        <v>15.8</v>
      </c>
      <c r="W7" s="55">
        <f>IF($T7="","",ROUND(($T7-$T$3)/1000,1)+(_xlfn.RANK.AVG($T7,($J7,$O7,$T7),1)-2)*10)</f>
        <v>-16.5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85</v>
      </c>
      <c r="BA7" s="41" t="s">
        <v>199</v>
      </c>
      <c r="BB7" s="41" t="s">
        <v>199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198</v>
      </c>
      <c r="G8" s="9">
        <v>-7700</v>
      </c>
      <c r="H8" s="9"/>
      <c r="I8" s="48">
        <v>-3000</v>
      </c>
      <c r="J8" s="21">
        <f t="shared" si="2"/>
        <v>25000</v>
      </c>
      <c r="K8" s="8" t="s">
        <v>197</v>
      </c>
      <c r="L8" s="9">
        <v>7700</v>
      </c>
      <c r="M8" s="9"/>
      <c r="N8" s="48">
        <v>3000</v>
      </c>
      <c r="O8" s="21">
        <f t="shared" si="3"/>
        <v>51500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IF($J8="","",ROUND(($J8-$J$3)/1000,1)+(_xlfn.RANK.AVG($J8,($J8,$O8,$T8),1)-2)*10)</f>
        <v>-20</v>
      </c>
      <c r="V8" s="54">
        <f>IF($O8="","",ROUND(($O8-$O$3)/1000,1)+(_xlfn.RANK.AVG($O8,($J8,$O8,$T8),1)-2)*10)</f>
        <v>26.5</v>
      </c>
      <c r="W8" s="55">
        <f>IF($T8="","",ROUND(($T8-$T$3)/1000,1)+(_xlfn.RANK.AVG($T8,($J8,$O8,$T8),1)-2)*10)</f>
        <v>-6.5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201</v>
      </c>
      <c r="BA8" s="41" t="s">
        <v>199</v>
      </c>
      <c r="BB8" s="41" t="s">
        <v>208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25000</v>
      </c>
      <c r="K9" s="8" t="s">
        <v>197</v>
      </c>
      <c r="L9" s="9">
        <v>12000</v>
      </c>
      <c r="M9" s="9">
        <v>1000</v>
      </c>
      <c r="N9" s="48">
        <v>4000</v>
      </c>
      <c r="O9" s="21">
        <f t="shared" si="3"/>
        <v>68500</v>
      </c>
      <c r="P9" s="8" t="s">
        <v>198</v>
      </c>
      <c r="Q9" s="9">
        <v>-12000</v>
      </c>
      <c r="R9" s="9">
        <v>-1000</v>
      </c>
      <c r="S9" s="48">
        <v>-4000</v>
      </c>
      <c r="T9" s="21">
        <f t="shared" si="4"/>
        <v>11500</v>
      </c>
      <c r="U9" s="53">
        <f>IF($J9="","",ROUND(($J9-$J$3)/1000,1)+(_xlfn.RANK.AVG($J9,($J9,$O9,$T9),1)-2)*10)</f>
        <v>-10</v>
      </c>
      <c r="V9" s="54">
        <f>IF($O9="","",ROUND(($O9-$O$3)/1000,1)+(_xlfn.RANK.AVG($O9,($J9,$O9,$T9),1)-2)*10)</f>
        <v>43.5</v>
      </c>
      <c r="W9" s="55">
        <f>IF($T9="","",ROUND(($T9-$T$3)/1000,1)+(_xlfn.RANK.AVG($T9,($J9,$O9,$T9),1)-2)*10)</f>
        <v>-33.5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201</v>
      </c>
      <c r="BA9" s="41" t="s">
        <v>208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191</v>
      </c>
      <c r="F10" s="8" t="s">
        <v>197</v>
      </c>
      <c r="G10" s="9">
        <v>12000</v>
      </c>
      <c r="H10" s="9">
        <v>1000</v>
      </c>
      <c r="I10" s="48">
        <v>5000</v>
      </c>
      <c r="J10" s="21">
        <f t="shared" si="2"/>
        <v>43000</v>
      </c>
      <c r="K10" s="8" t="s">
        <v>198</v>
      </c>
      <c r="L10" s="9">
        <v>-12000</v>
      </c>
      <c r="M10" s="9">
        <v>-1000</v>
      </c>
      <c r="N10" s="48">
        <v>-5000</v>
      </c>
      <c r="O10" s="21">
        <f t="shared" si="3"/>
        <v>50500</v>
      </c>
      <c r="P10" s="8"/>
      <c r="Q10" s="9"/>
      <c r="R10" s="9"/>
      <c r="S10" s="48"/>
      <c r="T10" s="21">
        <f t="shared" si="4"/>
        <v>11500</v>
      </c>
      <c r="U10" s="53">
        <f>IF($J10="","",ROUND(($J10-$J$3)/1000,1)+(_xlfn.RANK.AVG($J10,($J10,$O10,$T10),1)-2)*10)</f>
        <v>8</v>
      </c>
      <c r="V10" s="54">
        <f>IF($O10="","",ROUND(($O10-$O$3)/1000,1)+(_xlfn.RANK.AVG($O10,($J10,$O10,$T10),1)-2)*10)</f>
        <v>25.5</v>
      </c>
      <c r="W10" s="55">
        <f>IF($T10="","",ROUND(($T10-$T$3)/1000,1)+(_xlfn.RANK.AVG($T10,($J10,$O10,$T10),1)-2)*10)</f>
        <v>-33.5</v>
      </c>
      <c r="Y10" s="8"/>
      <c r="Z10" s="34"/>
      <c r="AA10" s="26">
        <v>1</v>
      </c>
      <c r="AB10" s="26"/>
      <c r="AC10" s="26">
        <v>7</v>
      </c>
      <c r="AD10" s="30" t="s">
        <v>200</v>
      </c>
      <c r="AE10" s="40" t="s">
        <v>201</v>
      </c>
      <c r="AF10" s="41" t="s">
        <v>98</v>
      </c>
      <c r="AG10" s="41" t="s">
        <v>96</v>
      </c>
      <c r="AH10" s="41" t="s">
        <v>86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2600</v>
      </c>
      <c r="H11" s="9">
        <v>1000</v>
      </c>
      <c r="I11" s="48">
        <v>0</v>
      </c>
      <c r="J11" s="21">
        <f t="shared" si="2"/>
        <v>46600</v>
      </c>
      <c r="K11" s="8" t="s">
        <v>198</v>
      </c>
      <c r="L11" s="9">
        <v>-2600</v>
      </c>
      <c r="M11" s="9">
        <v>-1000</v>
      </c>
      <c r="N11" s="48">
        <v>0</v>
      </c>
      <c r="O11" s="21">
        <f t="shared" si="3"/>
        <v>46900</v>
      </c>
      <c r="P11" s="8"/>
      <c r="Q11" s="9"/>
      <c r="R11" s="9"/>
      <c r="S11" s="48"/>
      <c r="T11" s="21">
        <f t="shared" si="4"/>
        <v>11500</v>
      </c>
      <c r="U11" s="53">
        <f>IF($J11="","",ROUND(($J11-$J$3)/1000,1)+(_xlfn.RANK.AVG($J11,($J11,$O11,$T11),1)-2)*10)</f>
        <v>11.6</v>
      </c>
      <c r="V11" s="54">
        <f>IF($O11="","",ROUND(($O11-$O$3)/1000,1)+(_xlfn.RANK.AVG($O11,($J11,$O11,$T11),1)-2)*10)</f>
        <v>21.9</v>
      </c>
      <c r="W11" s="55">
        <f>IF($T11="","",ROUND(($T11-$T$3)/1000,1)+(_xlfn.RANK.AVG($T11,($J11,$O11,$T11),1)-2)*10)</f>
        <v>-33.5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201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197</v>
      </c>
      <c r="G12" s="9">
        <v>18000</v>
      </c>
      <c r="H12" s="9"/>
      <c r="I12" s="48">
        <v>0</v>
      </c>
      <c r="J12" s="21">
        <f t="shared" si="2"/>
        <v>64600</v>
      </c>
      <c r="K12" s="8" t="s">
        <v>198</v>
      </c>
      <c r="L12" s="9">
        <v>-18000</v>
      </c>
      <c r="M12" s="9"/>
      <c r="N12" s="48">
        <v>0</v>
      </c>
      <c r="O12" s="21">
        <f t="shared" si="3"/>
        <v>28900</v>
      </c>
      <c r="P12" s="8"/>
      <c r="Q12" s="9"/>
      <c r="R12" s="9"/>
      <c r="S12" s="48"/>
      <c r="T12" s="21">
        <f t="shared" si="4"/>
        <v>11500</v>
      </c>
      <c r="U12" s="53">
        <f>IF($J12="","",ROUND(($J12-$J$3)/1000,1)+(_xlfn.RANK.AVG($J12,($J12,$O12,$T12),1)-2)*10)</f>
        <v>39.6</v>
      </c>
      <c r="V12" s="54">
        <f>IF($O12="","",ROUND(($O12-$O$3)/1000,1)+(_xlfn.RANK.AVG($O12,($J12,$O12,$T12),1)-2)*10)</f>
        <v>-6.1</v>
      </c>
      <c r="W12" s="55">
        <f>IF($T12="","",ROUND(($T12-$T$3)/1000,1)+(_xlfn.RANK.AVG($T12,($J12,$O12,$T12),1)-2)*10)</f>
        <v>-33.5</v>
      </c>
      <c r="Y12" s="8"/>
      <c r="Z12" s="34"/>
      <c r="AA12" s="26">
        <v>1</v>
      </c>
      <c r="AB12" s="26"/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199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205</v>
      </c>
      <c r="G13" s="9">
        <v>-1700</v>
      </c>
      <c r="H13" s="9"/>
      <c r="I13" s="48">
        <v>-500</v>
      </c>
      <c r="J13" s="21">
        <f t="shared" si="2"/>
        <v>62400</v>
      </c>
      <c r="K13" s="8" t="s">
        <v>206</v>
      </c>
      <c r="L13" s="9">
        <v>2800</v>
      </c>
      <c r="M13" s="9"/>
      <c r="N13" s="48">
        <v>1000</v>
      </c>
      <c r="O13" s="21">
        <f t="shared" si="3"/>
        <v>32700</v>
      </c>
      <c r="P13" s="8" t="s">
        <v>205</v>
      </c>
      <c r="Q13" s="9">
        <v>-1100</v>
      </c>
      <c r="R13" s="9"/>
      <c r="S13" s="48">
        <v>-500</v>
      </c>
      <c r="T13" s="21">
        <f t="shared" si="4"/>
        <v>9900</v>
      </c>
      <c r="U13" s="53">
        <f>IF($J13="","",ROUND(($J13-$J$3)/1000,1)+(_xlfn.RANK.AVG($J13,($J13,$O13,$T13),1)-2)*10)</f>
        <v>37.4</v>
      </c>
      <c r="V13" s="54">
        <f>IF($O13="","",ROUND(($O13-$O$3)/1000,1)+(_xlfn.RANK.AVG($O13,($J13,$O13,$T13),1)-2)*10)</f>
        <v>-2.2999999999999998</v>
      </c>
      <c r="W13" s="55">
        <f>IF($T13="","",ROUND(($T13-$T$3)/1000,1)+(_xlfn.RANK.AVG($T13,($J13,$O13,$T13),1)-2)*10)</f>
        <v>-35.1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40</v>
      </c>
      <c r="AZ13" s="40" t="s">
        <v>86</v>
      </c>
      <c r="BA13" s="41" t="s">
        <v>199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62400</v>
      </c>
      <c r="K14" s="8" t="s">
        <v>197</v>
      </c>
      <c r="L14" s="9">
        <v>24000</v>
      </c>
      <c r="M14" s="9"/>
      <c r="N14" s="48">
        <v>0</v>
      </c>
      <c r="O14" s="21">
        <f t="shared" si="3"/>
        <v>56700</v>
      </c>
      <c r="P14" s="8" t="s">
        <v>198</v>
      </c>
      <c r="Q14" s="9">
        <v>-24000</v>
      </c>
      <c r="R14" s="9"/>
      <c r="S14" s="48">
        <v>0</v>
      </c>
      <c r="T14" s="21">
        <f t="shared" si="4"/>
        <v>-14100</v>
      </c>
      <c r="U14" s="53">
        <f>IF($J14="","",ROUND(($J14-$J$3)/1000,1)+(_xlfn.RANK.AVG($J14,($J14,$O14,$T14),1)-2)*10)</f>
        <v>37.4</v>
      </c>
      <c r="V14" s="54">
        <f>IF($O14="","",ROUND(($O14-$O$3)/1000,1)+(_xlfn.RANK.AVG($O14,($J14,$O14,$T14),1)-2)*10)</f>
        <v>21.7</v>
      </c>
      <c r="W14" s="55">
        <f>IF($T14="","",ROUND(($T14-$T$3)/1000,1)+(_xlfn.RANK.AVG($T14,($J14,$O14,$T14),1)-2)*10)</f>
        <v>-59.1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9</v>
      </c>
      <c r="AY14" s="30" t="s">
        <v>200</v>
      </c>
      <c r="AZ14" s="40" t="s">
        <v>98</v>
      </c>
      <c r="BA14" s="41" t="s">
        <v>104</v>
      </c>
      <c r="BB14" s="41" t="s">
        <v>86</v>
      </c>
      <c r="BC14" s="41" t="s">
        <v>199</v>
      </c>
      <c r="BD14" s="41" t="s">
        <v>79</v>
      </c>
      <c r="BE14" s="41" t="s">
        <v>79</v>
      </c>
      <c r="BF14" s="41" t="s">
        <v>79</v>
      </c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A694E28-AFFC-4A10-8669-3148AA98FB48}">
      <formula1>"たかの,だいち,ただ,りくと,れんたろう,まっつん,のり,ぱぱ,ほたに,いっしー,"</formula1>
    </dataValidation>
    <dataValidation type="list" showInputMessage="1" showErrorMessage="1" sqref="K4:K30 P4:P30 F4:F30" xr:uid="{732F00C0-B00A-4B95-8A96-8F49E4990E5E}">
      <formula1>"ロン,ツモ,放銃,ツモ支払,流局,チョンボ"</formula1>
    </dataValidation>
    <dataValidation type="list" allowBlank="1" showInputMessage="1" showErrorMessage="1" sqref="E4:E30" xr:uid="{2BA8D035-4256-4370-9DF3-48DC25DD46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2019-10-30T09:53:45Z</dcterms:modified>
</cp:coreProperties>
</file>