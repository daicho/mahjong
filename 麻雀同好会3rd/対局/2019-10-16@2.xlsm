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3DB1B3E4-6DCA-4022-B0B0-1B37D0B9A066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 s="1"/>
  <c r="T14" i="24"/>
  <c r="O14" i="24"/>
  <c r="J14" i="24"/>
  <c r="D14" i="24"/>
  <c r="C14" i="24"/>
  <c r="B14" i="24"/>
  <c r="A14" i="24" s="1"/>
  <c r="D13" i="24"/>
  <c r="C13" i="24"/>
  <c r="D12" i="24"/>
  <c r="D11" i="24"/>
  <c r="C11" i="24"/>
  <c r="C12" i="24" s="1"/>
  <c r="D10" i="24"/>
  <c r="C10" i="24"/>
  <c r="C9" i="24"/>
  <c r="D8" i="24"/>
  <c r="D9" i="24" s="1"/>
  <c r="C8" i="24"/>
  <c r="D7" i="24"/>
  <c r="C7" i="24"/>
  <c r="D6" i="24"/>
  <c r="C6" i="24"/>
  <c r="T5" i="24"/>
  <c r="O5" i="24"/>
  <c r="D5" i="24"/>
  <c r="C5" i="24"/>
  <c r="B5" i="24"/>
  <c r="A5" i="24" s="1"/>
  <c r="T4" i="24"/>
  <c r="O4" i="24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O13" i="23"/>
  <c r="J13" i="23"/>
  <c r="D13" i="23"/>
  <c r="C13" i="23"/>
  <c r="B13" i="23"/>
  <c r="A13" i="23" s="1"/>
  <c r="T12" i="23"/>
  <c r="O12" i="23"/>
  <c r="J12" i="23"/>
  <c r="D12" i="23"/>
  <c r="C12" i="23"/>
  <c r="B12" i="23"/>
  <c r="A12" i="23" s="1"/>
  <c r="T11" i="23"/>
  <c r="O11" i="23"/>
  <c r="J11" i="23"/>
  <c r="D11" i="23"/>
  <c r="C11" i="23"/>
  <c r="B11" i="23"/>
  <c r="A11" i="23"/>
  <c r="T10" i="23"/>
  <c r="O10" i="23"/>
  <c r="J10" i="23"/>
  <c r="U10" i="23" s="1"/>
  <c r="D10" i="23"/>
  <c r="C10" i="23"/>
  <c r="B10" i="23"/>
  <c r="A10" i="23" s="1"/>
  <c r="T9" i="23"/>
  <c r="O9" i="23"/>
  <c r="J9" i="23"/>
  <c r="D9" i="23"/>
  <c r="C9" i="23"/>
  <c r="B9" i="23"/>
  <c r="A9" i="23"/>
  <c r="D8" i="23"/>
  <c r="D7" i="23"/>
  <c r="T6" i="23"/>
  <c r="T7" i="23" s="1"/>
  <c r="D6" i="23"/>
  <c r="B6" i="23"/>
  <c r="B7" i="23" s="1"/>
  <c r="T5" i="23"/>
  <c r="D5" i="23"/>
  <c r="C5" i="23"/>
  <c r="C6" i="23" s="1"/>
  <c r="C7" i="23" s="1"/>
  <c r="C8" i="23" s="1"/>
  <c r="B5" i="23"/>
  <c r="A5" i="23"/>
  <c r="A6" i="23" s="1"/>
  <c r="T4" i="23"/>
  <c r="O4" i="23"/>
  <c r="J4" i="23"/>
  <c r="U4" i="23" s="1"/>
  <c r="W3" i="23"/>
  <c r="V3" i="23"/>
  <c r="U3" i="23"/>
  <c r="W2" i="23"/>
  <c r="V2" i="23"/>
  <c r="U2" i="23"/>
  <c r="BO1" i="23"/>
  <c r="AT1" i="23"/>
  <c r="Y1" i="23"/>
  <c r="U14" i="24" l="1"/>
  <c r="V14" i="24"/>
  <c r="W14" i="24"/>
  <c r="V4" i="24"/>
  <c r="W4" i="24"/>
  <c r="B6" i="24"/>
  <c r="J5" i="24"/>
  <c r="U4" i="24"/>
  <c r="O6" i="24"/>
  <c r="T6" i="24"/>
  <c r="V13" i="23"/>
  <c r="W13" i="23"/>
  <c r="U13" i="23"/>
  <c r="W12" i="23"/>
  <c r="V12" i="23"/>
  <c r="U12" i="23"/>
  <c r="V11" i="23"/>
  <c r="U11" i="23"/>
  <c r="W11" i="23"/>
  <c r="V10" i="23"/>
  <c r="W10" i="23"/>
  <c r="V9" i="23"/>
  <c r="U9" i="23"/>
  <c r="W9" i="23"/>
  <c r="V4" i="23"/>
  <c r="W4" i="23"/>
  <c r="T8" i="23"/>
  <c r="B8" i="23"/>
  <c r="A8" i="23" s="1"/>
  <c r="J5" i="23"/>
  <c r="W5" i="23" s="1"/>
  <c r="A7" i="23"/>
  <c r="O5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D12" i="22"/>
  <c r="C12" i="22"/>
  <c r="D11" i="22"/>
  <c r="C11" i="22"/>
  <c r="D10" i="22"/>
  <c r="D9" i="22"/>
  <c r="D8" i="22"/>
  <c r="D7" i="22"/>
  <c r="C7" i="22"/>
  <c r="C8" i="22" s="1"/>
  <c r="C9" i="22" s="1"/>
  <c r="C10" i="22" s="1"/>
  <c r="D6" i="22"/>
  <c r="C6" i="22"/>
  <c r="T5" i="22"/>
  <c r="T6" i="22" s="1"/>
  <c r="O5" i="22"/>
  <c r="D5" i="22"/>
  <c r="C5" i="22"/>
  <c r="B5" i="22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T7" i="24" l="1"/>
  <c r="V6" i="24"/>
  <c r="O7" i="24"/>
  <c r="U5" i="24"/>
  <c r="J6" i="24"/>
  <c r="A6" i="24"/>
  <c r="B7" i="24"/>
  <c r="W5" i="24"/>
  <c r="V5" i="24"/>
  <c r="O6" i="23"/>
  <c r="V5" i="23"/>
  <c r="U5" i="23"/>
  <c r="J6" i="23"/>
  <c r="W4" i="22"/>
  <c r="V4" i="22"/>
  <c r="U4" i="22"/>
  <c r="A6" i="22"/>
  <c r="W5" i="22"/>
  <c r="U5" i="22"/>
  <c r="J6" i="22"/>
  <c r="V5" i="22"/>
  <c r="T7" i="22"/>
  <c r="B6" i="22"/>
  <c r="O6" i="22"/>
  <c r="A5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O12" i="21"/>
  <c r="J12" i="21"/>
  <c r="D12" i="21"/>
  <c r="C12" i="21"/>
  <c r="B12" i="21"/>
  <c r="A12" i="21" s="1"/>
  <c r="T11" i="21"/>
  <c r="O11" i="21"/>
  <c r="V11" i="21" s="1"/>
  <c r="J11" i="21"/>
  <c r="D11" i="21"/>
  <c r="C11" i="21"/>
  <c r="B11" i="21"/>
  <c r="A11" i="21" s="1"/>
  <c r="D10" i="21"/>
  <c r="C10" i="21"/>
  <c r="D9" i="21"/>
  <c r="C9" i="21"/>
  <c r="D8" i="21"/>
  <c r="C8" i="21"/>
  <c r="D7" i="21"/>
  <c r="B7" i="21"/>
  <c r="B8" i="21" s="1"/>
  <c r="D6" i="21"/>
  <c r="C6" i="21"/>
  <c r="C7" i="21" s="1"/>
  <c r="B6" i="21"/>
  <c r="O5" i="21"/>
  <c r="D5" i="21"/>
  <c r="C5" i="21"/>
  <c r="B5" i="21"/>
  <c r="A5" i="2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10" i="20"/>
  <c r="C10" i="20"/>
  <c r="D9" i="20"/>
  <c r="C9" i="20"/>
  <c r="D8" i="20"/>
  <c r="C8" i="20"/>
  <c r="D7" i="20"/>
  <c r="B7" i="20"/>
  <c r="B8" i="20" s="1"/>
  <c r="D6" i="20"/>
  <c r="B6" i="20"/>
  <c r="A6" i="20"/>
  <c r="T5" i="20"/>
  <c r="O5" i="20"/>
  <c r="D5" i="20"/>
  <c r="C5" i="20"/>
  <c r="C6" i="20" s="1"/>
  <c r="C7" i="20" s="1"/>
  <c r="B5" i="20"/>
  <c r="A5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U6" i="24" l="1"/>
  <c r="J7" i="24"/>
  <c r="B8" i="24"/>
  <c r="A8" i="24" s="1"/>
  <c r="V7" i="24"/>
  <c r="O8" i="24"/>
  <c r="W7" i="24"/>
  <c r="T8" i="24"/>
  <c r="A7" i="24"/>
  <c r="W6" i="24"/>
  <c r="O7" i="23"/>
  <c r="V6" i="23"/>
  <c r="J7" i="23"/>
  <c r="U6" i="23"/>
  <c r="W6" i="23"/>
  <c r="V6" i="22"/>
  <c r="O7" i="22"/>
  <c r="B7" i="22"/>
  <c r="A7" i="22" s="1"/>
  <c r="T8" i="22"/>
  <c r="W6" i="22"/>
  <c r="U6" i="22"/>
  <c r="J7" i="22"/>
  <c r="U12" i="21"/>
  <c r="V12" i="21"/>
  <c r="W12" i="21"/>
  <c r="U11" i="21"/>
  <c r="W11" i="21"/>
  <c r="A6" i="21"/>
  <c r="W4" i="21"/>
  <c r="V4" i="21"/>
  <c r="U4" i="21"/>
  <c r="B9" i="21"/>
  <c r="U5" i="21"/>
  <c r="J6" i="21"/>
  <c r="V5" i="21"/>
  <c r="A7" i="21"/>
  <c r="T5" i="21"/>
  <c r="A8" i="21"/>
  <c r="O6" i="21"/>
  <c r="A7" i="20"/>
  <c r="W4" i="20"/>
  <c r="B9" i="20"/>
  <c r="A9" i="20" s="1"/>
  <c r="J5" i="20"/>
  <c r="V5" i="20" s="1"/>
  <c r="V4" i="20"/>
  <c r="A8" i="20"/>
  <c r="O6" i="20"/>
  <c r="T6" i="20"/>
  <c r="W3" i="19"/>
  <c r="V3" i="19"/>
  <c r="U3" i="19"/>
  <c r="T9" i="24" l="1"/>
  <c r="O9" i="24"/>
  <c r="B9" i="24"/>
  <c r="A9" i="24" s="1"/>
  <c r="U7" i="24"/>
  <c r="J8" i="24"/>
  <c r="O8" i="23"/>
  <c r="V7" i="23"/>
  <c r="U7" i="23"/>
  <c r="J8" i="23"/>
  <c r="W7" i="23"/>
  <c r="W7" i="22"/>
  <c r="T9" i="22"/>
  <c r="B8" i="22"/>
  <c r="A8" i="22" s="1"/>
  <c r="O8" i="22"/>
  <c r="V7" i="22"/>
  <c r="J8" i="22"/>
  <c r="U7" i="22"/>
  <c r="A9" i="21"/>
  <c r="J7" i="21"/>
  <c r="W5" i="21"/>
  <c r="T6" i="21"/>
  <c r="U6" i="21" s="1"/>
  <c r="V6" i="21"/>
  <c r="O7" i="21"/>
  <c r="B10" i="21"/>
  <c r="A10" i="21" s="1"/>
  <c r="W5" i="20"/>
  <c r="T7" i="20"/>
  <c r="B10" i="20"/>
  <c r="A10" i="20"/>
  <c r="O7" i="20"/>
  <c r="J6" i="20"/>
  <c r="W6" i="20" s="1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8" i="24" l="1"/>
  <c r="J9" i="24"/>
  <c r="B10" i="24"/>
  <c r="O10" i="24"/>
  <c r="V8" i="24"/>
  <c r="T10" i="24"/>
  <c r="W8" i="24"/>
  <c r="V8" i="23"/>
  <c r="U8" i="23"/>
  <c r="W8" i="23"/>
  <c r="U8" i="22"/>
  <c r="J9" i="22"/>
  <c r="V8" i="22"/>
  <c r="O9" i="22"/>
  <c r="B9" i="22"/>
  <c r="A9" i="22" s="1"/>
  <c r="T10" i="22"/>
  <c r="W8" i="22"/>
  <c r="J8" i="21"/>
  <c r="O8" i="21"/>
  <c r="T7" i="21"/>
  <c r="U7" i="21" s="1"/>
  <c r="W6" i="21"/>
  <c r="V6" i="20"/>
  <c r="U6" i="20"/>
  <c r="J7" i="20"/>
  <c r="V7" i="20" s="1"/>
  <c r="T8" i="20"/>
  <c r="O8" i="20"/>
  <c r="B11" i="20"/>
  <c r="A11" i="20" s="1"/>
  <c r="U12" i="19"/>
  <c r="W12" i="19"/>
  <c r="V12" i="19"/>
  <c r="U11" i="19"/>
  <c r="V11" i="19"/>
  <c r="W11" i="19"/>
  <c r="W10" i="19"/>
  <c r="V10" i="19"/>
  <c r="W9" i="19"/>
  <c r="V9" i="19"/>
  <c r="V8" i="19"/>
  <c r="W8" i="19"/>
  <c r="V7" i="19"/>
  <c r="U7" i="19"/>
  <c r="W7" i="19"/>
  <c r="V6" i="19"/>
  <c r="W6" i="19"/>
  <c r="U6" i="19"/>
  <c r="U4" i="19"/>
  <c r="V4" i="19"/>
  <c r="T5" i="19"/>
  <c r="W4" i="19"/>
  <c r="J5" i="19"/>
  <c r="O5" i="19"/>
  <c r="J10" i="24" l="1"/>
  <c r="U9" i="24"/>
  <c r="T11" i="24"/>
  <c r="W9" i="24"/>
  <c r="B11" i="24"/>
  <c r="O11" i="24"/>
  <c r="V9" i="24"/>
  <c r="A10" i="24"/>
  <c r="U9" i="22"/>
  <c r="J10" i="22"/>
  <c r="W9" i="22"/>
  <c r="T11" i="22"/>
  <c r="B10" i="22"/>
  <c r="A10" i="22" s="1"/>
  <c r="V9" i="22"/>
  <c r="O10" i="22"/>
  <c r="J9" i="21"/>
  <c r="W7" i="21"/>
  <c r="T8" i="21"/>
  <c r="U8" i="21" s="1"/>
  <c r="V8" i="21"/>
  <c r="O9" i="21"/>
  <c r="V7" i="21"/>
  <c r="B12" i="20"/>
  <c r="A12" i="20" s="1"/>
  <c r="O9" i="20"/>
  <c r="U7" i="20"/>
  <c r="J8" i="20"/>
  <c r="W8" i="20" s="1"/>
  <c r="T9" i="20"/>
  <c r="W7" i="20"/>
  <c r="U5" i="19"/>
  <c r="W5" i="19"/>
  <c r="V5" i="19"/>
  <c r="A11" i="24" l="1"/>
  <c r="O12" i="24"/>
  <c r="V11" i="24"/>
  <c r="U10" i="24"/>
  <c r="J11" i="24"/>
  <c r="V10" i="24"/>
  <c r="W11" i="24"/>
  <c r="T12" i="24"/>
  <c r="B12" i="24"/>
  <c r="A12" i="24" s="1"/>
  <c r="W10" i="24"/>
  <c r="U10" i="22"/>
  <c r="J11" i="22"/>
  <c r="V10" i="22"/>
  <c r="O11" i="22"/>
  <c r="W10" i="22"/>
  <c r="T12" i="22"/>
  <c r="B11" i="22"/>
  <c r="A11" i="22"/>
  <c r="J10" i="21"/>
  <c r="O10" i="21"/>
  <c r="W8" i="21"/>
  <c r="T9" i="21"/>
  <c r="U9" i="21" s="1"/>
  <c r="U8" i="20"/>
  <c r="J9" i="20"/>
  <c r="T10" i="20"/>
  <c r="O10" i="20"/>
  <c r="V8" i="20"/>
  <c r="V12" i="24" l="1"/>
  <c r="O13" i="24"/>
  <c r="B13" i="24"/>
  <c r="A13" i="24" s="1"/>
  <c r="T13" i="24"/>
  <c r="U11" i="24"/>
  <c r="J12" i="24"/>
  <c r="B12" i="22"/>
  <c r="A12" i="22"/>
  <c r="U11" i="22"/>
  <c r="J12" i="22"/>
  <c r="U12" i="22" s="1"/>
  <c r="W12" i="22"/>
  <c r="W11" i="22"/>
  <c r="V11" i="22"/>
  <c r="O12" i="22"/>
  <c r="V12" i="22" s="1"/>
  <c r="V9" i="21"/>
  <c r="U10" i="21"/>
  <c r="W9" i="21"/>
  <c r="T10" i="21"/>
  <c r="W10" i="21" s="1"/>
  <c r="V10" i="21"/>
  <c r="U9" i="20"/>
  <c r="J10" i="20"/>
  <c r="O11" i="20"/>
  <c r="V9" i="20"/>
  <c r="T11" i="20"/>
  <c r="W9" i="20"/>
  <c r="U12" i="24" l="1"/>
  <c r="J13" i="24"/>
  <c r="W13" i="24" s="1"/>
  <c r="W12" i="24"/>
  <c r="U10" i="20"/>
  <c r="J11" i="20"/>
  <c r="W10" i="20"/>
  <c r="T12" i="20"/>
  <c r="O12" i="20"/>
  <c r="V10" i="20"/>
  <c r="U13" i="24" l="1"/>
  <c r="V13" i="24"/>
  <c r="V11" i="20"/>
  <c r="V12" i="20"/>
  <c r="U11" i="20"/>
  <c r="J12" i="20"/>
  <c r="U12" i="20" s="1"/>
  <c r="W11" i="20"/>
  <c r="W12" i="20" l="1"/>
</calcChain>
</file>

<file path=xl/sharedStrings.xml><?xml version="1.0" encoding="utf-8"?>
<sst xmlns="http://schemas.openxmlformats.org/spreadsheetml/2006/main" count="1154" uniqueCount="216">
  <si>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</si>
  <si>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</si>
  <si>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</si>
  <si>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</si>
  <si>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</si>
  <si>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</si>
  <si>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</si>
  <si>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</si>
  <si>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</si>
  <si>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</si>
  <si>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</si>
  <si>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</si>
  <si>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</si>
  <si>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</si>
  <si>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</si>
  <si>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</si>
  <si>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</si>
  <si>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</si>
  <si>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</si>
  <si>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</si>
  <si>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</si>
  <si>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</si>
  <si>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</si>
  <si>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</si>
  <si>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</si>
  <si>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</si>
  <si>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</si>
  <si>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</si>
  <si>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</si>
  <si>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</si>
  <si>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</si>
  <si>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</si>
  <si>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</si>
  <si>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</si>
  <si>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</si>
  <si>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</si>
  <si>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</si>
  <si>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</si>
  <si>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</si>
  <si>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</si>
  <si>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</si>
  <si>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</si>
  <si>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</si>
  <si>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</si>
  <si>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</si>
  <si>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</si>
  <si>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</si>
  <si>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</si>
  <si>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</si>
  <si>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</si>
  <si>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</si>
  <si>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</si>
  <si>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</si>
  <si>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</si>
  <si>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</si>
  <si>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</si>
  <si>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</si>
  <si>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</si>
  <si>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</si>
  <si>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</si>
  <si>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</si>
  <si>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</si>
  <si>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</si>
  <si>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</si>
  <si>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</si>
  <si>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</si>
  <si>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</si>
  <si>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</si>
  <si>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</si>
  <si>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</si>
  <si>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</si>
  <si>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</si>
  <si>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</si>
  <si>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</si>
  <si>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</si>
  <si>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</si>
  <si>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</si>
  <si>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</si>
  <si>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</si>
  <si>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</si>
  <si>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</si>
  <si>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</si>
  <si>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</si>
  <si>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</si>
  <si>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</si>
  <si>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</si>
  <si>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</si>
  <si>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</si>
  <si>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</si>
  <si>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</si>
  <si>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</si>
  <si>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</si>
  <si>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</si>
  <si>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</si>
  <si>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</si>
  <si>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</si>
  <si>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</si>
  <si>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</si>
  <si>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</si>
  <si>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</si>
  <si>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</si>
  <si>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</si>
  <si>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</si>
  <si>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</si>
  <si>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</si>
  <si>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</si>
  <si>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</si>
  <si>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</si>
  <si>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</si>
  <si>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</si>
  <si>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</si>
  <si>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</si>
  <si>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</si>
  <si>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</si>
  <si>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</si>
  <si>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</si>
  <si>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</si>
  <si>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</si>
  <si>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</si>
  <si>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</si>
  <si>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</si>
  <si>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</si>
  <si>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</si>
  <si>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</si>
  <si>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</si>
  <si>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</si>
  <si>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</si>
  <si>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</si>
  <si>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</si>
  <si>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</si>
  <si>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</si>
  <si>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</si>
  <si>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</si>
  <si>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</si>
  <si>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</si>
  <si>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</si>
  <si>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</si>
  <si>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</si>
  <si>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</si>
  <si>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</si>
  <si>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</si>
  <si>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</si>
  <si>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</si>
  <si>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</si>
  <si>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</si>
  <si>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</si>
  <si>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</si>
  <si>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</si>
  <si>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</si>
  <si>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</si>
  <si>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</si>
  <si>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</si>
  <si>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</si>
  <si>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</si>
  <si>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</si>
  <si>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</si>
  <si>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</si>
  <si>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</si>
  <si>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</si>
  <si>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</si>
  <si>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</si>
  <si>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</si>
  <si>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</si>
  <si>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</si>
  <si>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</si>
  <si>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</si>
  <si>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</si>
  <si>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</si>
  <si>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</si>
  <si>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</si>
  <si>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</si>
  <si>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</si>
  <si>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</si>
  <si>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</si>
  <si>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</si>
  <si>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</si>
  <si>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</si>
  <si>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</si>
  <si>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</si>
  <si>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</si>
  <si>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</si>
  <si>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</si>
  <si>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</si>
  <si>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</si>
  <si>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</si>
  <si>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</si>
  <si>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</si>
  <si>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</si>
  <si>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</si>
  <si>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</si>
  <si>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</si>
  <si>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</si>
  <si>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</si>
  <si>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ただ</t>
  </si>
  <si>
    <t>まっつん</t>
  </si>
  <si>
    <t>まっつん</t>
    <phoneticPr fontId="1"/>
  </si>
  <si>
    <t>ただ</t>
    <phoneticPr fontId="1"/>
  </si>
  <si>
    <t>ツモ支払</t>
  </si>
  <si>
    <t>ツモ</t>
  </si>
  <si>
    <t>*</t>
  </si>
  <si>
    <t>01</t>
  </si>
  <si>
    <t>02</t>
  </si>
  <si>
    <t>52</t>
  </si>
  <si>
    <t>N</t>
  </si>
  <si>
    <t>T</t>
  </si>
  <si>
    <t>流局</t>
    <phoneticPr fontId="1"/>
  </si>
  <si>
    <t>放銃</t>
  </si>
  <si>
    <t>ロン</t>
  </si>
  <si>
    <t>51</t>
  </si>
  <si>
    <t>りくと</t>
  </si>
  <si>
    <t>りくと</t>
    <phoneticPr fontId="1"/>
  </si>
  <si>
    <t>チョンボ</t>
  </si>
  <si>
    <t>れんたろう</t>
  </si>
  <si>
    <t>れんたろう</t>
    <phoneticPr fontId="1"/>
  </si>
  <si>
    <t>のり</t>
  </si>
  <si>
    <t>のり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</si>
</sst>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195</v>
      </c>
      <c r="L1" s="84"/>
      <c r="M1" s="84"/>
      <c r="N1" s="85"/>
      <c r="O1" s="86"/>
      <c r="P1" s="83" t="s">
        <v>196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-10000</v>
      </c>
      <c r="H4" s="9">
        <v>-1000</v>
      </c>
      <c r="I4" s="48">
        <v>0</v>
      </c>
      <c r="J4" s="21">
        <f>IF(COUNTA($F4,$K4,$P4)&gt;0,J3+SUM(G4:I4),"")</f>
        <v>24000</v>
      </c>
      <c r="K4" s="8" t="s">
        <v>198</v>
      </c>
      <c r="L4" s="9">
        <v>16000</v>
      </c>
      <c r="M4" s="9">
        <v>1000</v>
      </c>
      <c r="N4" s="48">
        <v>0</v>
      </c>
      <c r="O4" s="21">
        <f>IF(COUNTA($F4,$K4,$P4)&gt;0,O3+SUM(L4:N4),"")</f>
        <v>52000</v>
      </c>
      <c r="P4" s="8" t="s">
        <v>197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-21</v>
      </c>
      <c r="V4" s="54">
        <f>IF($O4="","",ROUND(($O4-$O$3)/1000,1)+(_xlfn.RANK.AVG($O4,($J4,$O4,$T4),1)-2)*10)</f>
        <v>27</v>
      </c>
      <c r="W4" s="55">
        <f>IF($T4="","",ROUND(($T4-$T$3)/1000,1)+(_xlfn.RANK.AVG($T4,($J4,$O4,$T4),1)-2)*10)</f>
        <v>-6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9</v>
      </c>
      <c r="AY4" s="30" t="s">
        <v>199</v>
      </c>
      <c r="AZ4" s="40" t="s">
        <v>200</v>
      </c>
      <c r="BA4" s="41" t="s">
        <v>82</v>
      </c>
      <c r="BB4" s="41" t="s">
        <v>201</v>
      </c>
      <c r="BC4" s="41" t="s">
        <v>79</v>
      </c>
      <c r="BD4" s="41" t="s">
        <v>202</v>
      </c>
      <c r="BE4" s="41" t="s">
        <v>80</v>
      </c>
      <c r="BF4" s="41" t="s">
        <v>80</v>
      </c>
      <c r="BG4" s="41" t="s">
        <v>80</v>
      </c>
      <c r="BH4" s="41" t="s">
        <v>80</v>
      </c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205</v>
      </c>
      <c r="G5" s="9">
        <v>-3000</v>
      </c>
      <c r="H5" s="9"/>
      <c r="I5" s="48"/>
      <c r="J5" s="21">
        <f t="shared" ref="J5:J30" si="2">IF(COUNTA($F5,$K5,$P5)&gt;0,J4+SUM(G5:I5),"")</f>
        <v>21000</v>
      </c>
      <c r="K5" s="8" t="s">
        <v>205</v>
      </c>
      <c r="L5" s="9">
        <v>1500</v>
      </c>
      <c r="M5" s="9"/>
      <c r="N5" s="48"/>
      <c r="O5" s="21">
        <f t="shared" ref="O5:O30" si="3">IF(COUNTA($F5,$K5,$P5)&gt;0,O4+SUM(L5:N5),"")</f>
        <v>53500</v>
      </c>
      <c r="P5" s="8" t="s">
        <v>205</v>
      </c>
      <c r="Q5" s="9">
        <v>1500</v>
      </c>
      <c r="R5" s="9"/>
      <c r="S5" s="48"/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-24</v>
      </c>
      <c r="V5" s="54">
        <f>IF($O5="","",ROUND(($O5-$O$3)/1000,1)+(_xlfn.RANK.AVG($O5,($J5,$O5,$T5),1)-2)*10)</f>
        <v>28.5</v>
      </c>
      <c r="W5" s="55">
        <f>IF($T5="","",ROUND(($T5-$T$3)/1000,1)+(_xlfn.RANK.AVG($T5,($J5,$O5,$T5),1)-2)*10)</f>
        <v>-4.5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194</v>
      </c>
      <c r="F6" s="8" t="s">
        <v>197</v>
      </c>
      <c r="G6" s="9">
        <v>-6000</v>
      </c>
      <c r="H6" s="9"/>
      <c r="I6" s="48">
        <v>-500</v>
      </c>
      <c r="J6" s="21">
        <f t="shared" si="2"/>
        <v>14500</v>
      </c>
      <c r="K6" s="8" t="s">
        <v>198</v>
      </c>
      <c r="L6" s="9">
        <v>12000</v>
      </c>
      <c r="M6" s="9"/>
      <c r="N6" s="48">
        <v>1000</v>
      </c>
      <c r="O6" s="21">
        <f t="shared" si="3"/>
        <v>66500</v>
      </c>
      <c r="P6" s="8" t="s">
        <v>197</v>
      </c>
      <c r="Q6" s="9">
        <v>-6000</v>
      </c>
      <c r="R6" s="9"/>
      <c r="S6" s="48">
        <v>-500</v>
      </c>
      <c r="T6" s="21">
        <f t="shared" si="4"/>
        <v>24000</v>
      </c>
      <c r="U6" s="53">
        <f>IF($J6="","",ROUND(($J6-$J$3)/1000,1)+(_xlfn.RANK.AVG($J6,($J6,$O6,$T6),1)-2)*10)</f>
        <v>-30.5</v>
      </c>
      <c r="V6" s="54">
        <f>IF($O6="","",ROUND(($O6-$O$3)/1000,1)+(_xlfn.RANK.AVG($O6,($J6,$O6,$T6),1)-2)*10)</f>
        <v>41.5</v>
      </c>
      <c r="W6" s="55">
        <f>IF($T6="","",ROUND(($T6-$T$3)/1000,1)+(_xlfn.RANK.AVG($T6,($J6,$O6,$T6),1)-2)*10)</f>
        <v>-11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82</v>
      </c>
      <c r="BB6" s="41" t="s">
        <v>202</v>
      </c>
      <c r="BC6" s="41" t="s">
        <v>80</v>
      </c>
      <c r="BD6" s="41" t="s">
        <v>201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194</v>
      </c>
      <c r="F7" s="8"/>
      <c r="G7" s="9"/>
      <c r="H7" s="9"/>
      <c r="I7" s="48"/>
      <c r="J7" s="21">
        <f t="shared" si="2"/>
        <v>14500</v>
      </c>
      <c r="K7" s="8" t="s">
        <v>206</v>
      </c>
      <c r="L7" s="9">
        <v>-32000</v>
      </c>
      <c r="M7" s="9"/>
      <c r="N7" s="48">
        <v>-2000</v>
      </c>
      <c r="O7" s="21">
        <f t="shared" si="3"/>
        <v>32500</v>
      </c>
      <c r="P7" s="8" t="s">
        <v>207</v>
      </c>
      <c r="Q7" s="9">
        <v>32000</v>
      </c>
      <c r="R7" s="9"/>
      <c r="S7" s="48">
        <v>2000</v>
      </c>
      <c r="T7" s="21">
        <f t="shared" si="4"/>
        <v>58000</v>
      </c>
      <c r="U7" s="53">
        <f>IF($J7="","",ROUND(($J7-$J$3)/1000,1)+(_xlfn.RANK.AVG($J7,($J7,$O7,$T7),1)-2)*10)</f>
        <v>-30.5</v>
      </c>
      <c r="V7" s="54">
        <f>IF($O7="","",ROUND(($O7-$O$3)/1000,1)+(_xlfn.RANK.AVG($O7,($J7,$O7,$T7),1)-2)*10)</f>
        <v>-2.5</v>
      </c>
      <c r="W7" s="55">
        <f>IF($T7="","",ROUND(($T7-$T$3)/1000,1)+(_xlfn.RANK.AVG($T7,($J7,$O7,$T7),1)-2)*10)</f>
        <v>33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13</v>
      </c>
      <c r="BT7" s="30" t="s">
        <v>199</v>
      </c>
      <c r="BU7" s="40" t="s">
        <v>107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16000</v>
      </c>
      <c r="H8" s="9"/>
      <c r="I8" s="48">
        <v>0</v>
      </c>
      <c r="J8" s="21">
        <f t="shared" si="2"/>
        <v>30500</v>
      </c>
      <c r="K8" s="8" t="s">
        <v>197</v>
      </c>
      <c r="L8" s="9">
        <v>-6000</v>
      </c>
      <c r="M8" s="9"/>
      <c r="N8" s="48">
        <v>0</v>
      </c>
      <c r="O8" s="21">
        <f t="shared" si="3"/>
        <v>26500</v>
      </c>
      <c r="P8" s="8" t="s">
        <v>197</v>
      </c>
      <c r="Q8" s="9">
        <v>-10000</v>
      </c>
      <c r="R8" s="9"/>
      <c r="S8" s="48">
        <v>0</v>
      </c>
      <c r="T8" s="21">
        <f t="shared" si="4"/>
        <v>48000</v>
      </c>
      <c r="U8" s="53">
        <f>IF($J8="","",ROUND(($J8-$J$3)/1000,1)+(_xlfn.RANK.AVG($J8,($J8,$O8,$T8),1)-2)*10)</f>
        <v>-4.5</v>
      </c>
      <c r="V8" s="54">
        <f>IF($O8="","",ROUND(($O8-$O$3)/1000,1)+(_xlfn.RANK.AVG($O8,($J8,$O8,$T8),1)-2)*10)</f>
        <v>-18.5</v>
      </c>
      <c r="W8" s="55">
        <f>IF($T8="","",ROUND(($T8-$T$3)/1000,1)+(_xlfn.RANK.AVG($T8,($J8,$O8,$T8),1)-2)*10)</f>
        <v>23</v>
      </c>
      <c r="Y8" s="8"/>
      <c r="Z8" s="34"/>
      <c r="AA8" s="26">
        <v>1</v>
      </c>
      <c r="AB8" s="26"/>
      <c r="AC8" s="26">
        <v>9</v>
      </c>
      <c r="AD8" s="30" t="s">
        <v>199</v>
      </c>
      <c r="AE8" s="40" t="s">
        <v>208</v>
      </c>
      <c r="AF8" s="41" t="s">
        <v>82</v>
      </c>
      <c r="AG8" s="41" t="s">
        <v>201</v>
      </c>
      <c r="AH8" s="41" t="s">
        <v>89</v>
      </c>
      <c r="AI8" s="41" t="s">
        <v>79</v>
      </c>
      <c r="AJ8" s="41" t="s">
        <v>79</v>
      </c>
      <c r="AK8" s="41" t="s">
        <v>79</v>
      </c>
      <c r="AL8" s="41" t="s">
        <v>79</v>
      </c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30500</v>
      </c>
      <c r="K9" s="8" t="s">
        <v>207</v>
      </c>
      <c r="L9" s="9">
        <v>12000</v>
      </c>
      <c r="M9" s="9"/>
      <c r="N9" s="48">
        <v>0</v>
      </c>
      <c r="O9" s="21">
        <f t="shared" si="3"/>
        <v>38500</v>
      </c>
      <c r="P9" s="8" t="s">
        <v>206</v>
      </c>
      <c r="Q9" s="9">
        <v>-12000</v>
      </c>
      <c r="R9" s="9"/>
      <c r="S9" s="48">
        <v>0</v>
      </c>
      <c r="T9" s="21">
        <f t="shared" si="4"/>
        <v>36000</v>
      </c>
      <c r="U9" s="53">
        <f>IF($J9="","",ROUND(($J9-$J$3)/1000,1)+(_xlfn.RANK.AVG($J9,($J9,$O9,$T9),1)-2)*10)</f>
        <v>-14.5</v>
      </c>
      <c r="V9" s="54">
        <f>IF($O9="","",ROUND(($O9-$O$3)/1000,1)+(_xlfn.RANK.AVG($O9,($J9,$O9,$T9),1)-2)*10)</f>
        <v>13.5</v>
      </c>
      <c r="W9" s="55">
        <f>IF($T9="","",ROUND(($T9-$T$3)/1000,1)+(_xlfn.RANK.AVG($T9,($J9,$O9,$T9),1)-2)*10)</f>
        <v>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200</v>
      </c>
      <c r="BA9" s="41" t="s">
        <v>201</v>
      </c>
      <c r="BB9" s="41" t="s">
        <v>92</v>
      </c>
      <c r="BC9" s="41" t="s">
        <v>79</v>
      </c>
      <c r="BD9" s="41" t="s">
        <v>202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194</v>
      </c>
      <c r="F10" s="8"/>
      <c r="G10" s="9"/>
      <c r="H10" s="9"/>
      <c r="I10" s="48"/>
      <c r="J10" s="21">
        <f t="shared" si="2"/>
        <v>30500</v>
      </c>
      <c r="K10" s="8" t="s">
        <v>207</v>
      </c>
      <c r="L10" s="9">
        <v>1500</v>
      </c>
      <c r="M10" s="9"/>
      <c r="N10" s="48">
        <v>0</v>
      </c>
      <c r="O10" s="21">
        <f t="shared" si="3"/>
        <v>40000</v>
      </c>
      <c r="P10" s="8" t="s">
        <v>206</v>
      </c>
      <c r="Q10" s="9">
        <v>-1500</v>
      </c>
      <c r="R10" s="9"/>
      <c r="S10" s="48">
        <v>0</v>
      </c>
      <c r="T10" s="21">
        <f t="shared" si="4"/>
        <v>34500</v>
      </c>
      <c r="U10" s="53">
        <f>IF($J10="","",ROUND(($J10-$J$3)/1000,1)+(_xlfn.RANK.AVG($J10,($J10,$O10,$T10),1)-2)*10)</f>
        <v>-14.5</v>
      </c>
      <c r="V10" s="54">
        <f>IF($O10="","",ROUND(($O10-$O$3)/1000,1)+(_xlfn.RANK.AVG($O10,($J10,$O10,$T10),1)-2)*10)</f>
        <v>15</v>
      </c>
      <c r="W10" s="55">
        <f>IF($T10="","",ROUND(($T10-$T$3)/1000,1)+(_xlfn.RANK.AVG($T10,($J10,$O10,$T10),1)-2)*10)</f>
        <v>-0.5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194</v>
      </c>
      <c r="F11" s="8" t="s">
        <v>198</v>
      </c>
      <c r="G11" s="9">
        <v>8000</v>
      </c>
      <c r="H11" s="9"/>
      <c r="I11" s="48">
        <v>1000</v>
      </c>
      <c r="J11" s="21">
        <f t="shared" si="2"/>
        <v>39500</v>
      </c>
      <c r="K11" s="8" t="s">
        <v>197</v>
      </c>
      <c r="L11" s="9">
        <v>-5000</v>
      </c>
      <c r="M11" s="9"/>
      <c r="N11" s="48">
        <v>-500</v>
      </c>
      <c r="O11" s="21">
        <f t="shared" si="3"/>
        <v>34500</v>
      </c>
      <c r="P11" s="8" t="s">
        <v>197</v>
      </c>
      <c r="Q11" s="9">
        <v>-3000</v>
      </c>
      <c r="R11" s="9"/>
      <c r="S11" s="48">
        <v>-500</v>
      </c>
      <c r="T11" s="21">
        <f t="shared" si="4"/>
        <v>31000</v>
      </c>
      <c r="U11" s="53">
        <f>IF($J11="","",ROUND(($J11-$J$3)/1000,1)+(_xlfn.RANK.AVG($J11,($J11,$O11,$T11),1)-2)*10)</f>
        <v>14.5</v>
      </c>
      <c r="V11" s="54">
        <f>IF($O11="","",ROUND(($O11-$O$3)/1000,1)+(_xlfn.RANK.AVG($O11,($J11,$O11,$T11),1)-2)*10)</f>
        <v>-0.5</v>
      </c>
      <c r="W11" s="55">
        <f>IF($T11="","",ROUND(($T11-$T$3)/1000,1)+(_xlfn.RANK.AVG($T11,($J11,$O11,$T11),1)-2)*10)</f>
        <v>-14</v>
      </c>
      <c r="Y11" s="8"/>
      <c r="Z11" s="34"/>
      <c r="AA11" s="26">
        <v>1</v>
      </c>
      <c r="AB11" s="26"/>
      <c r="AC11" s="26">
        <v>5</v>
      </c>
      <c r="AD11" s="30" t="s">
        <v>199</v>
      </c>
      <c r="AE11" s="40" t="s">
        <v>200</v>
      </c>
      <c r="AF11" s="41" t="s">
        <v>82</v>
      </c>
      <c r="AG11" s="41" t="s">
        <v>79</v>
      </c>
      <c r="AH11" s="41" t="s">
        <v>79</v>
      </c>
      <c r="AI11" s="41" t="s">
        <v>201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198</v>
      </c>
      <c r="G12" s="9">
        <v>2800</v>
      </c>
      <c r="H12" s="9">
        <v>1000</v>
      </c>
      <c r="I12" s="48">
        <v>0</v>
      </c>
      <c r="J12" s="21">
        <f t="shared" si="2"/>
        <v>43300</v>
      </c>
      <c r="K12" s="8" t="s">
        <v>197</v>
      </c>
      <c r="L12" s="9">
        <v>-1100</v>
      </c>
      <c r="M12" s="9"/>
      <c r="N12" s="48">
        <v>0</v>
      </c>
      <c r="O12" s="21">
        <f t="shared" si="3"/>
        <v>33400</v>
      </c>
      <c r="P12" s="8" t="s">
        <v>197</v>
      </c>
      <c r="Q12" s="9">
        <v>-1700</v>
      </c>
      <c r="R12" s="9">
        <v>-1000</v>
      </c>
      <c r="S12" s="48">
        <v>0</v>
      </c>
      <c r="T12" s="21">
        <f t="shared" si="4"/>
        <v>28300</v>
      </c>
      <c r="U12" s="53">
        <f>IF($J12="","",ROUND(($J12-$J$3)/1000,1)+(_xlfn.RANK.AVG($J12,($J12,$O12,$T12),1)-2)*10)</f>
        <v>18.3</v>
      </c>
      <c r="V12" s="54">
        <f>IF($O12="","",ROUND(($O12-$O$3)/1000,1)+(_xlfn.RANK.AVG($O12,($J12,$O12,$T12),1)-2)*10)</f>
        <v>-1.6</v>
      </c>
      <c r="W12" s="55">
        <f>IF($T12="","",ROUND(($T12-$T$3)/1000,1)+(_xlfn.RANK.AVG($T12,($J12,$O12,$T12),1)-2)*10)</f>
        <v>-16.7</v>
      </c>
      <c r="Y12" s="8"/>
      <c r="Z12" s="34"/>
      <c r="AA12" s="26"/>
      <c r="AB12" s="26"/>
      <c r="AC12" s="26">
        <v>2</v>
      </c>
      <c r="AD12" s="30">
        <v>40</v>
      </c>
      <c r="AE12" s="40" t="s">
        <v>82</v>
      </c>
      <c r="AF12" s="41" t="s">
        <v>79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7FBB1AF-21B9-4B33-8AD8-4AB68D11693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90731-84EB-4265-9DBB-D48523AFF06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195</v>
      </c>
      <c r="L1" s="84"/>
      <c r="M1" s="84"/>
      <c r="N1" s="85"/>
      <c r="O1" s="86"/>
      <c r="P1" s="83" t="s">
        <v>209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197</v>
      </c>
      <c r="G4" s="9">
        <v>-1500</v>
      </c>
      <c r="H4" s="9">
        <v>-1000</v>
      </c>
      <c r="I4" s="48">
        <v>0</v>
      </c>
      <c r="J4" s="21">
        <f>IF(COUNTA($F4,$K4,$P4)&gt;0,J3+SUM(G4:I4),"")</f>
        <v>32500</v>
      </c>
      <c r="K4" s="8" t="s">
        <v>197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198</v>
      </c>
      <c r="Q4" s="9">
        <v>4000</v>
      </c>
      <c r="R4" s="9">
        <v>1000</v>
      </c>
      <c r="S4" s="48">
        <v>0</v>
      </c>
      <c r="T4" s="21">
        <f>IF(COUNTA($F4,$K4,$P4)&gt;0,T3+SUM(Q4:S4),"")</f>
        <v>40000</v>
      </c>
      <c r="U4" s="53">
        <f>IF($J4="","",ROUND(($J4-$J$3)/1000,1)+(_xlfn.RANK.AVG($J4,($J4,$O4,$T4),1)-2)*10)</f>
        <v>-7.5</v>
      </c>
      <c r="V4" s="54">
        <f>IF($O4="","",ROUND(($O4-$O$3)/1000,1)+(_xlfn.RANK.AVG($O4,($J4,$O4,$T4),1)-2)*10)</f>
        <v>-7.5</v>
      </c>
      <c r="W4" s="55">
        <f>IF($T4="","",ROUND(($T4-$T$3)/1000,1)+(_xlfn.RANK.AVG($T4,($J4,$O4,$T4),1)-2)*10)</f>
        <v>15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200</v>
      </c>
      <c r="BV4" s="41" t="s">
        <v>82</v>
      </c>
      <c r="BW4" s="41" t="s">
        <v>84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207</v>
      </c>
      <c r="G5" s="9">
        <v>8000</v>
      </c>
      <c r="H5" s="9">
        <v>1000</v>
      </c>
      <c r="I5" s="48">
        <v>0</v>
      </c>
      <c r="J5" s="21">
        <f t="shared" ref="J5:J30" si="2">IF(COUNTA($F5,$K5,$P5)&gt;0,J4+SUM(G5:I5),"")</f>
        <v>41500</v>
      </c>
      <c r="K5" s="8"/>
      <c r="L5" s="9"/>
      <c r="M5" s="9">
        <v>-1000</v>
      </c>
      <c r="N5" s="48"/>
      <c r="O5" s="21">
        <f t="shared" ref="O5:O30" si="3">IF(COUNTA($F5,$K5,$P5)&gt;0,O4+SUM(L5:N5),"")</f>
        <v>31500</v>
      </c>
      <c r="P5" s="8" t="s">
        <v>206</v>
      </c>
      <c r="Q5" s="9">
        <v>-8000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16.5</v>
      </c>
      <c r="V5" s="54">
        <f>IF($O5="","",ROUND(($O5-$O$3)/1000,1)+(_xlfn.RANK.AVG($O5,($J5,$O5,$T5),1)-2)*10)</f>
        <v>-13.5</v>
      </c>
      <c r="W5" s="55">
        <f>IF($T5="","",ROUND(($T5-$T$3)/1000,1)+(_xlfn.RANK.AVG($T5,($J5,$O5,$T5),1)-2)*10)</f>
        <v>-3</v>
      </c>
      <c r="Y5" s="8"/>
      <c r="Z5" s="34"/>
      <c r="AA5" s="26"/>
      <c r="AB5" s="26">
        <v>1</v>
      </c>
      <c r="AC5" s="26">
        <v>4</v>
      </c>
      <c r="AD5" s="30">
        <v>40</v>
      </c>
      <c r="AE5" s="40" t="s">
        <v>86</v>
      </c>
      <c r="AF5" s="41" t="s">
        <v>86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12000</v>
      </c>
      <c r="H6" s="9"/>
      <c r="I6" s="48">
        <v>0</v>
      </c>
      <c r="J6" s="21">
        <f t="shared" si="2"/>
        <v>53500</v>
      </c>
      <c r="K6" s="8" t="s">
        <v>197</v>
      </c>
      <c r="L6" s="9">
        <v>-6000</v>
      </c>
      <c r="M6" s="9"/>
      <c r="N6" s="48">
        <v>0</v>
      </c>
      <c r="O6" s="21">
        <f t="shared" si="3"/>
        <v>25500</v>
      </c>
      <c r="P6" s="8" t="s">
        <v>197</v>
      </c>
      <c r="Q6" s="9">
        <v>-6000</v>
      </c>
      <c r="R6" s="9"/>
      <c r="S6" s="48">
        <v>0</v>
      </c>
      <c r="T6" s="21">
        <f t="shared" si="4"/>
        <v>26000</v>
      </c>
      <c r="U6" s="53">
        <f>IF($J6="","",ROUND(($J6-$J$3)/1000,1)+(_xlfn.RANK.AVG($J6,($J6,$O6,$T6),1)-2)*10)</f>
        <v>28.5</v>
      </c>
      <c r="V6" s="54">
        <f>IF($O6="","",ROUND(($O6-$O$3)/1000,1)+(_xlfn.RANK.AVG($O6,($J6,$O6,$T6),1)-2)*10)</f>
        <v>-19.5</v>
      </c>
      <c r="W6" s="55">
        <f>IF($T6="","",ROUND(($T6-$T$3)/1000,1)+(_xlfn.RANK.AVG($T6,($J6,$O6,$T6),1)-2)*10)</f>
        <v>-9</v>
      </c>
      <c r="Y6" s="8"/>
      <c r="Z6" s="34"/>
      <c r="AA6" s="26"/>
      <c r="AB6" s="26">
        <v>1</v>
      </c>
      <c r="AC6" s="26">
        <v>5</v>
      </c>
      <c r="AD6" s="30" t="s">
        <v>199</v>
      </c>
      <c r="AE6" s="40" t="s">
        <v>86</v>
      </c>
      <c r="AF6" s="41" t="s">
        <v>86</v>
      </c>
      <c r="AG6" s="41" t="s">
        <v>86</v>
      </c>
      <c r="AH6" s="41" t="s">
        <v>98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197</v>
      </c>
      <c r="G7" s="9">
        <v>-7500</v>
      </c>
      <c r="H7" s="9">
        <v>-1000</v>
      </c>
      <c r="I7" s="48">
        <v>-500</v>
      </c>
      <c r="J7" s="21">
        <f t="shared" si="2"/>
        <v>44500</v>
      </c>
      <c r="K7" s="8" t="s">
        <v>198</v>
      </c>
      <c r="L7" s="9">
        <v>12000</v>
      </c>
      <c r="M7" s="9">
        <v>1000</v>
      </c>
      <c r="N7" s="48">
        <v>1000</v>
      </c>
      <c r="O7" s="21">
        <f t="shared" si="3"/>
        <v>39500</v>
      </c>
      <c r="P7" s="8" t="s">
        <v>197</v>
      </c>
      <c r="Q7" s="9">
        <v>-4500</v>
      </c>
      <c r="R7" s="9"/>
      <c r="S7" s="48">
        <v>-500</v>
      </c>
      <c r="T7" s="21">
        <f t="shared" si="4"/>
        <v>21000</v>
      </c>
      <c r="U7" s="53">
        <f>IF($J7="","",ROUND(($J7-$J$3)/1000,1)+(_xlfn.RANK.AVG($J7,($J7,$O7,$T7),1)-2)*10)</f>
        <v>19.5</v>
      </c>
      <c r="V7" s="54">
        <f>IF($O7="","",ROUND(($O7-$O$3)/1000,1)+(_xlfn.RANK.AVG($O7,($J7,$O7,$T7),1)-2)*10)</f>
        <v>4.5</v>
      </c>
      <c r="W7" s="55">
        <f>IF($T7="","",ROUND(($T7-$T$3)/1000,1)+(_xlfn.RANK.AVG($T7,($J7,$O7,$T7),1)-2)*10)</f>
        <v>-24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199</v>
      </c>
      <c r="AZ7" s="40" t="s">
        <v>200</v>
      </c>
      <c r="BA7" s="41" t="s">
        <v>82</v>
      </c>
      <c r="BB7" s="41" t="s">
        <v>79</v>
      </c>
      <c r="BC7" s="41" t="s">
        <v>79</v>
      </c>
      <c r="BD7" s="41" t="s">
        <v>79</v>
      </c>
      <c r="BE7" s="41" t="s">
        <v>80</v>
      </c>
      <c r="BF7" s="41" t="s">
        <v>80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198</v>
      </c>
      <c r="G8" s="9">
        <v>2100</v>
      </c>
      <c r="H8" s="9">
        <v>1000</v>
      </c>
      <c r="I8" s="48">
        <v>0</v>
      </c>
      <c r="J8" s="21">
        <f t="shared" si="2"/>
        <v>47600</v>
      </c>
      <c r="K8" s="8" t="s">
        <v>197</v>
      </c>
      <c r="L8" s="9">
        <v>-1300</v>
      </c>
      <c r="M8" s="9">
        <v>-1000</v>
      </c>
      <c r="N8" s="48">
        <v>0</v>
      </c>
      <c r="O8" s="21">
        <f t="shared" si="3"/>
        <v>37200</v>
      </c>
      <c r="P8" s="8" t="s">
        <v>197</v>
      </c>
      <c r="Q8" s="9">
        <v>-800</v>
      </c>
      <c r="R8" s="9"/>
      <c r="S8" s="48">
        <v>0</v>
      </c>
      <c r="T8" s="21">
        <f t="shared" si="4"/>
        <v>20200</v>
      </c>
      <c r="U8" s="53">
        <f>IF($J8="","",ROUND(($J8-$J$3)/1000,1)+(_xlfn.RANK.AVG($J8,($J8,$O8,$T8),1)-2)*10)</f>
        <v>22.6</v>
      </c>
      <c r="V8" s="54">
        <f>IF($O8="","",ROUND(($O8-$O$3)/1000,1)+(_xlfn.RANK.AVG($O8,($J8,$O8,$T8),1)-2)*10)</f>
        <v>2.2000000000000002</v>
      </c>
      <c r="W8" s="55">
        <f>IF($T8="","",ROUND(($T8-$T$3)/1000,1)+(_xlfn.RANK.AVG($T8,($J8,$O8,$T8),1)-2)*10)</f>
        <v>-24.8</v>
      </c>
      <c r="Y8" s="8"/>
      <c r="Z8" s="34"/>
      <c r="AA8" s="26">
        <v>1</v>
      </c>
      <c r="AB8" s="26"/>
      <c r="AC8" s="26">
        <v>2</v>
      </c>
      <c r="AD8" s="30">
        <v>30</v>
      </c>
      <c r="AE8" s="40" t="s">
        <v>200</v>
      </c>
      <c r="AF8" s="41" t="s">
        <v>82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209</v>
      </c>
      <c r="F9" s="8" t="s">
        <v>207</v>
      </c>
      <c r="G9" s="9">
        <v>1600</v>
      </c>
      <c r="H9" s="9"/>
      <c r="I9" s="48">
        <v>0</v>
      </c>
      <c r="J9" s="21">
        <f t="shared" si="2"/>
        <v>49200</v>
      </c>
      <c r="K9" s="8" t="s">
        <v>206</v>
      </c>
      <c r="L9" s="9">
        <v>-1600</v>
      </c>
      <c r="M9" s="9"/>
      <c r="N9" s="48">
        <v>0</v>
      </c>
      <c r="O9" s="21">
        <f t="shared" si="3"/>
        <v>35600</v>
      </c>
      <c r="P9" s="8"/>
      <c r="Q9" s="9"/>
      <c r="R9" s="9"/>
      <c r="S9" s="48"/>
      <c r="T9" s="21">
        <f t="shared" si="4"/>
        <v>20200</v>
      </c>
      <c r="U9" s="53">
        <f>IF($J9="","",ROUND(($J9-$J$3)/1000,1)+(_xlfn.RANK.AVG($J9,($J9,$O9,$T9),1)-2)*10)</f>
        <v>24.2</v>
      </c>
      <c r="V9" s="54">
        <f>IF($O9="","",ROUND(($O9-$O$3)/1000,1)+(_xlfn.RANK.AVG($O9,($J9,$O9,$T9),1)-2)*10)</f>
        <v>0.6</v>
      </c>
      <c r="W9" s="55">
        <f>IF($T9="","",ROUND(($T9-$T$3)/1000,1)+(_xlfn.RANK.AVG($T9,($J9,$O9,$T9),1)-2)*10)</f>
        <v>-24.8</v>
      </c>
      <c r="Y9" s="8"/>
      <c r="Z9" s="34"/>
      <c r="AA9" s="26"/>
      <c r="AB9" s="26"/>
      <c r="AC9" s="26">
        <v>2</v>
      </c>
      <c r="AD9" s="30">
        <v>25</v>
      </c>
      <c r="AE9" s="40" t="s">
        <v>101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-5000</v>
      </c>
      <c r="H10" s="9"/>
      <c r="I10" s="48">
        <v>0</v>
      </c>
      <c r="J10" s="21">
        <f t="shared" si="2"/>
        <v>44200</v>
      </c>
      <c r="K10" s="8" t="s">
        <v>198</v>
      </c>
      <c r="L10" s="9">
        <v>8000</v>
      </c>
      <c r="M10" s="9"/>
      <c r="N10" s="48">
        <v>0</v>
      </c>
      <c r="O10" s="21">
        <f t="shared" si="3"/>
        <v>43600</v>
      </c>
      <c r="P10" s="8" t="s">
        <v>197</v>
      </c>
      <c r="Q10" s="9">
        <v>-3000</v>
      </c>
      <c r="R10" s="9"/>
      <c r="S10" s="48">
        <v>0</v>
      </c>
      <c r="T10" s="21">
        <f t="shared" si="4"/>
        <v>17200</v>
      </c>
      <c r="U10" s="53">
        <f>IF($J10="","",ROUND(($J10-$J$3)/1000,1)+(_xlfn.RANK.AVG($J10,($J10,$O10,$T10),1)-2)*10)</f>
        <v>19.2</v>
      </c>
      <c r="V10" s="54">
        <f>IF($O10="","",ROUND(($O10-$O$3)/1000,1)+(_xlfn.RANK.AVG($O10,($J10,$O10,$T10),1)-2)*10)</f>
        <v>8.6</v>
      </c>
      <c r="W10" s="55">
        <f>IF($T10="","",ROUND(($T10-$T$3)/1000,1)+(_xlfn.RANK.AVG($T10,($J10,$O10,$T10),1)-2)*10)</f>
        <v>-27.8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60</v>
      </c>
      <c r="AZ10" s="40" t="s">
        <v>200</v>
      </c>
      <c r="BA10" s="41" t="s">
        <v>82</v>
      </c>
      <c r="BB10" s="41" t="s">
        <v>202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E9F1062B-61FF-4F9E-8211-E237259BD8B9}">
      <formula1>"たかの,だいち,ただ,りくと,れんたろう,まっつん,のり,ぱぱ,ほたに,"</formula1>
    </dataValidation>
    <dataValidation type="list" showInputMessage="1" showErrorMessage="1" sqref="K4:K30 P4:P30 F4:F30" xr:uid="{660E5A5A-28ED-43AE-AE12-5CFA302DAABB}">
      <formula1>"ロン,ツモ,放銃,ツモ支払,流局,チョンボ"</formula1>
    </dataValidation>
    <dataValidation type="list" allowBlank="1" showInputMessage="1" showErrorMessage="1" sqref="E4:E30" xr:uid="{AB4B8D56-84DA-4AC1-AC74-D12DD2CE68C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48E6-0A91-4535-9ED0-F3A541C07AC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210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198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197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199</v>
      </c>
      <c r="AZ4" s="40" t="s">
        <v>86</v>
      </c>
      <c r="BA4" s="41" t="s">
        <v>202</v>
      </c>
      <c r="BB4" s="41" t="s">
        <v>79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206</v>
      </c>
      <c r="G5" s="9">
        <v>-3900</v>
      </c>
      <c r="H5" s="9">
        <v>-1000</v>
      </c>
      <c r="I5" s="48">
        <v>0</v>
      </c>
      <c r="J5" s="21">
        <f t="shared" ref="J5:J30" si="2">IF(COUNTA($F5,$K5,$P5)&gt;0,J4+SUM(G5:I5),"")</f>
        <v>25100</v>
      </c>
      <c r="K5" s="8"/>
      <c r="L5" s="9"/>
      <c r="M5" s="9"/>
      <c r="N5" s="48"/>
      <c r="O5" s="21">
        <f t="shared" ref="O5:O30" si="3">IF(COUNTA($F5,$K5,$P5)&gt;0,O4+SUM(L5:N5),"")</f>
        <v>43000</v>
      </c>
      <c r="P5" s="8" t="s">
        <v>207</v>
      </c>
      <c r="Q5" s="9">
        <v>3900</v>
      </c>
      <c r="R5" s="9">
        <v>1000</v>
      </c>
      <c r="S5" s="48">
        <v>0</v>
      </c>
      <c r="T5" s="21">
        <f t="shared" ref="T5:T30" si="4">IF(COUNTA($F5,$K5,$P5)&gt;0,T4+SUM(Q5:S5),"")</f>
        <v>36900</v>
      </c>
      <c r="U5" s="53">
        <f>IF($J5="","",ROUND(($J5-$J$3)/1000,1)+(_xlfn.RANK.AVG($J5,($J5,$O5,$T5),1)-2)*10)</f>
        <v>-19.899999999999999</v>
      </c>
      <c r="V5" s="54">
        <f>IF($O5="","",ROUND(($O5-$O$3)/1000,1)+(_xlfn.RANK.AVG($O5,($J5,$O5,$T5),1)-2)*10)</f>
        <v>18</v>
      </c>
      <c r="W5" s="55">
        <f>IF($T5="","",ROUND(($T5-$T$3)/1000,1)+(_xlfn.RANK.AVG($T5,($J5,$O5,$T5),1)-2)*10)</f>
        <v>1.9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200</v>
      </c>
      <c r="BV5" s="41" t="s">
        <v>83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206</v>
      </c>
      <c r="G6" s="9">
        <v>-1000</v>
      </c>
      <c r="H6" s="9"/>
      <c r="I6" s="48">
        <v>0</v>
      </c>
      <c r="J6" s="21">
        <f t="shared" si="2"/>
        <v>24100</v>
      </c>
      <c r="K6" s="8" t="s">
        <v>207</v>
      </c>
      <c r="L6" s="9">
        <v>1000</v>
      </c>
      <c r="M6" s="9"/>
      <c r="N6" s="48">
        <v>0</v>
      </c>
      <c r="O6" s="21">
        <f t="shared" si="3"/>
        <v>44000</v>
      </c>
      <c r="P6" s="8"/>
      <c r="Q6" s="9"/>
      <c r="R6" s="9"/>
      <c r="S6" s="48"/>
      <c r="T6" s="21">
        <f t="shared" si="4"/>
        <v>36900</v>
      </c>
      <c r="U6" s="53">
        <f>IF($J6="","",ROUND(($J6-$J$3)/1000,1)+(_xlfn.RANK.AVG($J6,($J6,$O6,$T6),1)-2)*10)</f>
        <v>-20.9</v>
      </c>
      <c r="V6" s="54">
        <f>IF($O6="","",ROUND(($O6-$O$3)/1000,1)+(_xlfn.RANK.AVG($O6,($J6,$O6,$T6),1)-2)*10)</f>
        <v>19</v>
      </c>
      <c r="W6" s="55">
        <f>IF($T6="","",ROUND(($T6-$T$3)/1000,1)+(_xlfn.RANK.AVG($T6,($J6,$O6,$T6),1)-2)*10)</f>
        <v>1.9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</v>
      </c>
      <c r="AY6" s="30">
        <v>30</v>
      </c>
      <c r="AZ6" s="40" t="s">
        <v>83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209</v>
      </c>
      <c r="F7" s="8" t="s">
        <v>205</v>
      </c>
      <c r="G7" s="9">
        <v>1500</v>
      </c>
      <c r="H7" s="9">
        <v>-1000</v>
      </c>
      <c r="I7" s="48"/>
      <c r="J7" s="21">
        <f t="shared" si="2"/>
        <v>24600</v>
      </c>
      <c r="K7" s="8" t="s">
        <v>205</v>
      </c>
      <c r="L7" s="9">
        <v>-3000</v>
      </c>
      <c r="M7" s="9"/>
      <c r="N7" s="48"/>
      <c r="O7" s="21">
        <f t="shared" si="3"/>
        <v>41000</v>
      </c>
      <c r="P7" s="8" t="s">
        <v>205</v>
      </c>
      <c r="Q7" s="9">
        <v>1500</v>
      </c>
      <c r="R7" s="9"/>
      <c r="S7" s="48"/>
      <c r="T7" s="21">
        <f t="shared" si="4"/>
        <v>38400</v>
      </c>
      <c r="U7" s="53">
        <f>IF($J7="","",ROUND(($J7-$J$3)/1000,1)+(_xlfn.RANK.AVG($J7,($J7,$O7,$T7),1)-2)*10)</f>
        <v>-20.399999999999999</v>
      </c>
      <c r="V7" s="54">
        <f>IF($O7="","",ROUND(($O7-$O$3)/1000,1)+(_xlfn.RANK.AVG($O7,($J7,$O7,$T7),1)-2)*10)</f>
        <v>16</v>
      </c>
      <c r="W7" s="55">
        <f>IF($T7="","",ROUND(($T7-$T$3)/1000,1)+(_xlfn.RANK.AVG($T7,($J7,$O7,$T7),1)-2)*10)</f>
        <v>3.4</v>
      </c>
      <c r="Y7" s="8" t="s">
        <v>204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209</v>
      </c>
      <c r="F8" s="8" t="s">
        <v>198</v>
      </c>
      <c r="G8" s="9">
        <v>12000</v>
      </c>
      <c r="H8" s="9">
        <v>1000</v>
      </c>
      <c r="I8" s="48">
        <v>1000</v>
      </c>
      <c r="J8" s="21">
        <f t="shared" si="2"/>
        <v>38600</v>
      </c>
      <c r="K8" s="8" t="s">
        <v>197</v>
      </c>
      <c r="L8" s="9">
        <v>-6000</v>
      </c>
      <c r="M8" s="9"/>
      <c r="N8" s="48">
        <v>-500</v>
      </c>
      <c r="O8" s="21">
        <f t="shared" si="3"/>
        <v>34500</v>
      </c>
      <c r="P8" s="8" t="s">
        <v>197</v>
      </c>
      <c r="Q8" s="9">
        <v>-6000</v>
      </c>
      <c r="R8" s="9"/>
      <c r="S8" s="48">
        <v>-500</v>
      </c>
      <c r="T8" s="21">
        <f t="shared" si="4"/>
        <v>31900</v>
      </c>
      <c r="U8" s="53">
        <f>IF($J8="","",ROUND(($J8-$J$3)/1000,1)+(_xlfn.RANK.AVG($J8,($J8,$O8,$T8),1)-2)*10)</f>
        <v>13.6</v>
      </c>
      <c r="V8" s="54">
        <f>IF($O8="","",ROUND(($O8-$O$3)/1000,1)+(_xlfn.RANK.AVG($O8,($J8,$O8,$T8),1)-2)*10)</f>
        <v>-0.5</v>
      </c>
      <c r="W8" s="55">
        <f>IF($T8="","",ROUND(($T8-$T$3)/1000,1)+(_xlfn.RANK.AVG($T8,($J8,$O8,$T8),1)-2)*10)</f>
        <v>-13.1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82</v>
      </c>
      <c r="AF8" s="41" t="s">
        <v>89</v>
      </c>
      <c r="AG8" s="41" t="s">
        <v>202</v>
      </c>
      <c r="AH8" s="41" t="s">
        <v>202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209</v>
      </c>
      <c r="F9" s="8" t="s">
        <v>211</v>
      </c>
      <c r="G9" s="9">
        <v>5000</v>
      </c>
      <c r="H9" s="9"/>
      <c r="I9" s="48"/>
      <c r="J9" s="21">
        <f t="shared" si="2"/>
        <v>43600</v>
      </c>
      <c r="K9" s="8" t="s">
        <v>211</v>
      </c>
      <c r="L9" s="9">
        <v>-8000</v>
      </c>
      <c r="M9" s="9"/>
      <c r="N9" s="48"/>
      <c r="O9" s="21">
        <f t="shared" si="3"/>
        <v>26500</v>
      </c>
      <c r="P9" s="8" t="s">
        <v>211</v>
      </c>
      <c r="Q9" s="9">
        <v>3000</v>
      </c>
      <c r="R9" s="9"/>
      <c r="S9" s="48"/>
      <c r="T9" s="21">
        <f t="shared" si="4"/>
        <v>34900</v>
      </c>
      <c r="U9" s="53">
        <f>IF($J9="","",ROUND(($J9-$J$3)/1000,1)+(_xlfn.RANK.AVG($J9,($J9,$O9,$T9),1)-2)*10)</f>
        <v>18.600000000000001</v>
      </c>
      <c r="V9" s="54">
        <f>IF($O9="","",ROUND(($O9-$O$3)/1000,1)+(_xlfn.RANK.AVG($O9,($J9,$O9,$T9),1)-2)*10)</f>
        <v>-18.5</v>
      </c>
      <c r="W9" s="55">
        <f>IF($T9="","",ROUND(($T9-$T$3)/1000,1)+(_xlfn.RANK.AVG($T9,($J9,$O9,$T9),1)-2)*10)</f>
        <v>-0.1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>
        <v>1</v>
      </c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209</v>
      </c>
      <c r="F10" s="8" t="s">
        <v>206</v>
      </c>
      <c r="G10" s="9">
        <v>-8000</v>
      </c>
      <c r="H10" s="9"/>
      <c r="I10" s="48">
        <v>-2000</v>
      </c>
      <c r="J10" s="21">
        <f t="shared" si="2"/>
        <v>33600</v>
      </c>
      <c r="K10" s="8" t="s">
        <v>207</v>
      </c>
      <c r="L10" s="9">
        <v>8000</v>
      </c>
      <c r="M10" s="9"/>
      <c r="N10" s="48">
        <v>2000</v>
      </c>
      <c r="O10" s="21">
        <f t="shared" si="3"/>
        <v>36500</v>
      </c>
      <c r="P10" s="8"/>
      <c r="Q10" s="9"/>
      <c r="R10" s="9"/>
      <c r="S10" s="48"/>
      <c r="T10" s="21">
        <f t="shared" si="4"/>
        <v>34900</v>
      </c>
      <c r="U10" s="53">
        <f>IF($J10="","",ROUND(($J10-$J$3)/1000,1)+(_xlfn.RANK.AVG($J10,($J10,$O10,$T10),1)-2)*10)</f>
        <v>-11.4</v>
      </c>
      <c r="V10" s="54">
        <f>IF($O10="","",ROUND(($O10-$O$3)/1000,1)+(_xlfn.RANK.AVG($O10,($J10,$O10,$T10),1)-2)*10)</f>
        <v>11.5</v>
      </c>
      <c r="W10" s="55">
        <f>IF($T10="","",ROUND(($T10-$T$3)/1000,1)+(_xlfn.RANK.AVG($T10,($J10,$O10,$T10),1)-2)*10)</f>
        <v>-0.1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199</v>
      </c>
      <c r="AZ10" s="40" t="s">
        <v>200</v>
      </c>
      <c r="BA10" s="41" t="s">
        <v>201</v>
      </c>
      <c r="BB10" s="41" t="s">
        <v>103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198</v>
      </c>
      <c r="G11" s="9">
        <v>7700</v>
      </c>
      <c r="H11" s="9"/>
      <c r="I11" s="48">
        <v>0</v>
      </c>
      <c r="J11" s="21">
        <f t="shared" si="2"/>
        <v>41300</v>
      </c>
      <c r="K11" s="8" t="s">
        <v>197</v>
      </c>
      <c r="L11" s="9">
        <v>-4800</v>
      </c>
      <c r="M11" s="9"/>
      <c r="N11" s="48">
        <v>0</v>
      </c>
      <c r="O11" s="21">
        <f t="shared" si="3"/>
        <v>31700</v>
      </c>
      <c r="P11" s="8" t="s">
        <v>197</v>
      </c>
      <c r="Q11" s="9">
        <v>-2900</v>
      </c>
      <c r="R11" s="9"/>
      <c r="S11" s="48">
        <v>0</v>
      </c>
      <c r="T11" s="21">
        <f t="shared" si="4"/>
        <v>32000</v>
      </c>
      <c r="U11" s="53">
        <f>IF($J11="","",ROUND(($J11-$J$3)/1000,1)+(_xlfn.RANK.AVG($J11,($J11,$O11,$T11),1)-2)*10)</f>
        <v>16.3</v>
      </c>
      <c r="V11" s="54">
        <f>IF($O11="","",ROUND(($O11-$O$3)/1000,1)+(_xlfn.RANK.AVG($O11,($J11,$O11,$T11),1)-2)*10)</f>
        <v>-13.3</v>
      </c>
      <c r="W11" s="55">
        <f>IF($T11="","",ROUND(($T11-$T$3)/1000,1)+(_xlfn.RANK.AVG($T11,($J11,$O11,$T11),1)-2)*10)</f>
        <v>-3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200</v>
      </c>
      <c r="AF11" s="41" t="s">
        <v>82</v>
      </c>
      <c r="AG11" s="41" t="s">
        <v>202</v>
      </c>
      <c r="AH11" s="41" t="s">
        <v>84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206</v>
      </c>
      <c r="G12" s="9">
        <v>-3900</v>
      </c>
      <c r="H12" s="9"/>
      <c r="I12" s="48">
        <v>0</v>
      </c>
      <c r="J12" s="21">
        <f t="shared" si="2"/>
        <v>37400</v>
      </c>
      <c r="K12" s="8" t="s">
        <v>207</v>
      </c>
      <c r="L12" s="9">
        <v>3900</v>
      </c>
      <c r="M12" s="9"/>
      <c r="N12" s="48">
        <v>0</v>
      </c>
      <c r="O12" s="21">
        <f t="shared" si="3"/>
        <v>35600</v>
      </c>
      <c r="P12" s="8"/>
      <c r="Q12" s="9"/>
      <c r="R12" s="9"/>
      <c r="S12" s="48"/>
      <c r="T12" s="21">
        <f t="shared" si="4"/>
        <v>32000</v>
      </c>
      <c r="U12" s="53">
        <f>IF($J12="","",ROUND(($J12-$J$3)/1000,1)+(_xlfn.RANK.AVG($J12,($J12,$O12,$T12),1)-2)*10)</f>
        <v>12.4</v>
      </c>
      <c r="V12" s="54">
        <f>IF($O12="","",ROUND(($O12-$O$3)/1000,1)+(_xlfn.RANK.AVG($O12,($J12,$O12,$T12),1)-2)*10)</f>
        <v>0.6</v>
      </c>
      <c r="W12" s="55">
        <f>IF($T12="","",ROUND(($T12-$T$3)/1000,1)+(_xlfn.RANK.AVG($T12,($J12,$O12,$T12),1)-2)*10)</f>
        <v>-13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60</v>
      </c>
      <c r="AZ12" s="40" t="s">
        <v>93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A0FF4B83-2224-43E9-8D1D-B2087618DE02}">
      <formula1>$U$2:$W$2</formula1>
    </dataValidation>
    <dataValidation type="list" showInputMessage="1" showErrorMessage="1" sqref="K4:K30 P4:P30 F4:F30" xr:uid="{B946D34A-91ED-4072-8F37-B318E8190D7E}">
      <formula1>"ロン,ツモ,放銃,ツモ支払,流局,チョンボ"</formula1>
    </dataValidation>
    <dataValidation type="list" allowBlank="1" showInputMessage="1" sqref="F1:T1" xr:uid="{ED2C4CB8-1464-4614-A9AC-34055C9EDAD8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C9F7F-B999-4B7F-B288-652EF2DA0709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195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210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ただ</v>
      </c>
      <c r="W2" s="16" t="str">
        <f>$P$1</f>
        <v>りくと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205</v>
      </c>
      <c r="G4" s="9">
        <v>1500</v>
      </c>
      <c r="H4" s="9"/>
      <c r="I4" s="48"/>
      <c r="J4" s="21">
        <f>IF(COUNTA($F4,$K4,$P4)&gt;0,J3+SUM(G4:I4),"")</f>
        <v>36500</v>
      </c>
      <c r="K4" s="8" t="s">
        <v>205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205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11.5</v>
      </c>
      <c r="V4" s="54">
        <f>IF($O4="","",ROUND(($O4-$O$3)/1000,1)+(_xlfn.RANK.AVG($O4,($J4,$O4,$T4),1)-2)*10)</f>
        <v>0.5</v>
      </c>
      <c r="W4" s="55">
        <f>IF($T4="","",ROUND(($T4-$T$3)/1000,1)+(_xlfn.RANK.AVG($T4,($J4,$O4,$T4),1)-2)*10)</f>
        <v>-13</v>
      </c>
      <c r="Y4" s="8" t="s">
        <v>204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204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194</v>
      </c>
      <c r="F5" s="8" t="s">
        <v>207</v>
      </c>
      <c r="G5" s="9">
        <v>12000</v>
      </c>
      <c r="H5" s="9">
        <v>2000</v>
      </c>
      <c r="I5" s="48">
        <v>1000</v>
      </c>
      <c r="J5" s="21">
        <f t="shared" ref="J5:J30" si="2">IF(COUNTA($F5,$K5,$P5)&gt;0,J4+SUM(G5:I5),"")</f>
        <v>51500</v>
      </c>
      <c r="K5" s="8" t="s">
        <v>206</v>
      </c>
      <c r="L5" s="9">
        <v>-12000</v>
      </c>
      <c r="M5" s="9">
        <v>-1000</v>
      </c>
      <c r="N5" s="48">
        <v>-1000</v>
      </c>
      <c r="O5" s="21">
        <f t="shared" ref="O5:O30" si="3">IF(COUNTA($F5,$K5,$P5)&gt;0,O4+SUM(L5:N5),"")</f>
        <v>21500</v>
      </c>
      <c r="P5" s="8"/>
      <c r="Q5" s="9"/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26.5</v>
      </c>
      <c r="V5" s="54">
        <f>IF($O5="","",ROUND(($O5-$O$3)/1000,1)+(_xlfn.RANK.AVG($O5,($J5,$O5,$T5),1)-2)*10)</f>
        <v>-23.5</v>
      </c>
      <c r="W5" s="55">
        <f>IF($T5="","",ROUND(($T5-$T$3)/1000,1)+(_xlfn.RANK.AVG($T5,($J5,$O5,$T5),1)-2)*10)</f>
        <v>-3</v>
      </c>
      <c r="Y5" s="8"/>
      <c r="Z5" s="34"/>
      <c r="AA5" s="26">
        <v>1</v>
      </c>
      <c r="AB5" s="26"/>
      <c r="AC5" s="26">
        <v>5</v>
      </c>
      <c r="AD5" s="30" t="s">
        <v>199</v>
      </c>
      <c r="AE5" s="40" t="s">
        <v>200</v>
      </c>
      <c r="AF5" s="41" t="s">
        <v>101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194</v>
      </c>
      <c r="F6" s="8" t="s">
        <v>198</v>
      </c>
      <c r="G6" s="9">
        <v>12000</v>
      </c>
      <c r="H6" s="9"/>
      <c r="I6" s="48">
        <v>2000</v>
      </c>
      <c r="J6" s="21">
        <f t="shared" si="2"/>
        <v>65500</v>
      </c>
      <c r="K6" s="8" t="s">
        <v>197</v>
      </c>
      <c r="L6" s="9">
        <v>-6000</v>
      </c>
      <c r="M6" s="9"/>
      <c r="N6" s="48">
        <v>-1000</v>
      </c>
      <c r="O6" s="21">
        <f t="shared" si="3"/>
        <v>14500</v>
      </c>
      <c r="P6" s="8" t="s">
        <v>197</v>
      </c>
      <c r="Q6" s="9">
        <v>-6000</v>
      </c>
      <c r="R6" s="9"/>
      <c r="S6" s="48">
        <v>-1000</v>
      </c>
      <c r="T6" s="21">
        <f t="shared" si="4"/>
        <v>25000</v>
      </c>
      <c r="U6" s="53">
        <f>IF($J6="","",ROUND(($J6-$J$3)/1000,1)+(_xlfn.RANK.AVG($J6,($J6,$O6,$T6),1)-2)*10)</f>
        <v>40.5</v>
      </c>
      <c r="V6" s="54">
        <f>IF($O6="","",ROUND(($O6-$O$3)/1000,1)+(_xlfn.RANK.AVG($O6,($J6,$O6,$T6),1)-2)*10)</f>
        <v>-30.5</v>
      </c>
      <c r="W6" s="55">
        <f>IF($T6="","",ROUND(($T6-$T$3)/1000,1)+(_xlfn.RANK.AVG($T6,($J6,$O6,$T6),1)-2)*10)</f>
        <v>-10</v>
      </c>
      <c r="Y6" s="8"/>
      <c r="Z6" s="34"/>
      <c r="AA6" s="26">
        <v>1</v>
      </c>
      <c r="AB6" s="26"/>
      <c r="AC6" s="26">
        <v>5</v>
      </c>
      <c r="AD6" s="30" t="s">
        <v>199</v>
      </c>
      <c r="AE6" s="40" t="s">
        <v>200</v>
      </c>
      <c r="AF6" s="41" t="s">
        <v>82</v>
      </c>
      <c r="AG6" s="41" t="s">
        <v>83</v>
      </c>
      <c r="AH6" s="41" t="s">
        <v>85</v>
      </c>
      <c r="AI6" s="41" t="s">
        <v>202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194</v>
      </c>
      <c r="F7" s="8" t="s">
        <v>198</v>
      </c>
      <c r="G7" s="9">
        <v>18000</v>
      </c>
      <c r="H7" s="9"/>
      <c r="I7" s="48">
        <v>3000</v>
      </c>
      <c r="J7" s="21">
        <f t="shared" si="2"/>
        <v>86500</v>
      </c>
      <c r="K7" s="8" t="s">
        <v>197</v>
      </c>
      <c r="L7" s="9">
        <v>-9000</v>
      </c>
      <c r="M7" s="9"/>
      <c r="N7" s="48">
        <v>-1500</v>
      </c>
      <c r="O7" s="21">
        <f t="shared" si="3"/>
        <v>4000</v>
      </c>
      <c r="P7" s="8" t="s">
        <v>197</v>
      </c>
      <c r="Q7" s="9">
        <v>-9000</v>
      </c>
      <c r="R7" s="9"/>
      <c r="S7" s="48">
        <v>-1500</v>
      </c>
      <c r="T7" s="21">
        <f t="shared" si="4"/>
        <v>14500</v>
      </c>
      <c r="U7" s="53">
        <f>IF($J7="","",ROUND(($J7-$J$3)/1000,1)+(_xlfn.RANK.AVG($J7,($J7,$O7,$T7),1)-2)*10)</f>
        <v>61.5</v>
      </c>
      <c r="V7" s="54">
        <f>IF($O7="","",ROUND(($O7-$O$3)/1000,1)+(_xlfn.RANK.AVG($O7,($J7,$O7,$T7),1)-2)*10)</f>
        <v>-41</v>
      </c>
      <c r="W7" s="55">
        <f>IF($T7="","",ROUND(($T7-$T$3)/1000,1)+(_xlfn.RANK.AVG($T7,($J7,$O7,$T7),1)-2)*10)</f>
        <v>-20.5</v>
      </c>
      <c r="Y7" s="8"/>
      <c r="Z7" s="34"/>
      <c r="AA7" s="26">
        <v>1</v>
      </c>
      <c r="AB7" s="26"/>
      <c r="AC7" s="26">
        <v>6</v>
      </c>
      <c r="AD7" s="30" t="s">
        <v>199</v>
      </c>
      <c r="AE7" s="40" t="s">
        <v>83</v>
      </c>
      <c r="AF7" s="41" t="s">
        <v>82</v>
      </c>
      <c r="AG7" s="41" t="s">
        <v>202</v>
      </c>
      <c r="AH7" s="41" t="s">
        <v>208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">
        <v>194</v>
      </c>
      <c r="F8" s="8"/>
      <c r="G8" s="9"/>
      <c r="H8" s="9"/>
      <c r="I8" s="48"/>
      <c r="J8" s="21">
        <f t="shared" si="2"/>
        <v>86500</v>
      </c>
      <c r="K8" s="8" t="s">
        <v>206</v>
      </c>
      <c r="L8" s="9">
        <v>-7700</v>
      </c>
      <c r="M8" s="9"/>
      <c r="N8" s="48">
        <v>-4000</v>
      </c>
      <c r="O8" s="21">
        <f t="shared" si="3"/>
        <v>-7700</v>
      </c>
      <c r="P8" s="8" t="s">
        <v>207</v>
      </c>
      <c r="Q8" s="9">
        <v>7700</v>
      </c>
      <c r="R8" s="9"/>
      <c r="S8" s="48">
        <v>4000</v>
      </c>
      <c r="T8" s="21">
        <f t="shared" si="4"/>
        <v>26200</v>
      </c>
      <c r="U8" s="53">
        <f>IF($J8="","",ROUND(($J8-$J$3)/1000,1)+(_xlfn.RANK.AVG($J8,($J8,$O8,$T8),1)-2)*10)</f>
        <v>61.5</v>
      </c>
      <c r="V8" s="54">
        <f>IF($O8="","",ROUND(($O8-$O$3)/1000,1)+(_xlfn.RANK.AVG($O8,($J8,$O8,$T8),1)-2)*10)</f>
        <v>-52.7</v>
      </c>
      <c r="W8" s="55">
        <f>IF($T8="","",ROUND(($T8-$T$3)/1000,1)+(_xlfn.RANK.AVG($T8,($J8,$O8,$T8),1)-2)*10)</f>
        <v>-8.8000000000000007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30</v>
      </c>
      <c r="BU8" s="40" t="s">
        <v>200</v>
      </c>
      <c r="BV8" s="41" t="s">
        <v>83</v>
      </c>
      <c r="BW8" s="41" t="s">
        <v>84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1C3B3716-6FB0-4C04-9CF5-A52CFF57CC78}">
      <formula1>"ロン,ツモ,放銃,ツモ支払,流局,チョンボ"</formula1>
    </dataValidation>
    <dataValidation type="list" allowBlank="1" showInputMessage="1" showErrorMessage="1" sqref="E4:E30" xr:uid="{71A0F6E8-2191-4034-8F8C-0D2D81712843}">
      <formula1>$U$2:$W$2</formula1>
    </dataValidation>
    <dataValidation type="list" allowBlank="1" showInputMessage="1" sqref="F1:T1" xr:uid="{08882E82-E7FF-4EC2-8B39-3329191F0982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05E84-FD4E-4059-9F3F-1B6156D2E61F}">
  <sheetPr codeName="Sheet14">
    <pageSetUpPr fitToPage="1"/>
  </sheetPr>
  <dimension ref="A1:CI30"/>
  <sheetViews>
    <sheetView topLeftCell="C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213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192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れんたろう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れんたろう</v>
      </c>
      <c r="V2" s="82" t="str">
        <f>$K$1</f>
        <v>ただ</v>
      </c>
      <c r="W2" s="16" t="str">
        <f>$P$1</f>
        <v>だいち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213</v>
      </c>
      <c r="F4" s="8" t="s">
        <v>207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206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-23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101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212</v>
      </c>
      <c r="F5" s="8" t="s">
        <v>206</v>
      </c>
      <c r="G5" s="9">
        <v>-5200</v>
      </c>
      <c r="H5" s="9">
        <v>-1000</v>
      </c>
      <c r="I5" s="48">
        <v>-1000</v>
      </c>
      <c r="J5" s="21">
        <f t="shared" ref="J5:J30" si="2">IF(COUNTA($F5,$K5,$P5)&gt;0,J4+SUM(G5:I5),"")</f>
        <v>40800</v>
      </c>
      <c r="K5" s="8"/>
      <c r="L5" s="9"/>
      <c r="M5" s="9"/>
      <c r="N5" s="48"/>
      <c r="O5" s="21">
        <f t="shared" ref="O5:O30" si="3">IF(COUNTA($F5,$K5,$P5)&gt;0,O4+SUM(L5:N5),"")</f>
        <v>22000</v>
      </c>
      <c r="P5" s="8" t="s">
        <v>207</v>
      </c>
      <c r="Q5" s="9">
        <v>5200</v>
      </c>
      <c r="R5" s="9">
        <v>1000</v>
      </c>
      <c r="S5" s="48">
        <v>1000</v>
      </c>
      <c r="T5" s="21">
        <f t="shared" ref="T5:T30" si="4">IF(COUNTA($F5,$K5,$P5)&gt;0,T4+SUM(Q5:S5),"")</f>
        <v>42200</v>
      </c>
      <c r="U5" s="53">
        <f>IF($J5="","",ROUND(($J5-$J$3)/1000,1)+(_xlfn.RANK.AVG($J5,($J5,$O5,$T5),1)-2)*10)</f>
        <v>5.8</v>
      </c>
      <c r="V5" s="54">
        <f>IF($O5="","",ROUND(($O5-$O$3)/1000,1)+(_xlfn.RANK.AVG($O5,($J5,$O5,$T5),1)-2)*10)</f>
        <v>-23</v>
      </c>
      <c r="W5" s="55">
        <f>IF($T5="","",ROUND(($T5-$T$3)/1000,1)+(_xlfn.RANK.AVG($T5,($J5,$O5,$T5),1)-2)*10)</f>
        <v>17.2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208</v>
      </c>
      <c r="BV5" s="41" t="s">
        <v>80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206</v>
      </c>
      <c r="G6" s="9">
        <v>-12000</v>
      </c>
      <c r="H6" s="9"/>
      <c r="I6" s="48">
        <v>0</v>
      </c>
      <c r="J6" s="21">
        <f t="shared" si="2"/>
        <v>28800</v>
      </c>
      <c r="K6" s="8"/>
      <c r="L6" s="9"/>
      <c r="M6" s="9"/>
      <c r="N6" s="48"/>
      <c r="O6" s="21">
        <f t="shared" si="3"/>
        <v>22000</v>
      </c>
      <c r="P6" s="8" t="s">
        <v>207</v>
      </c>
      <c r="Q6" s="9">
        <v>12000</v>
      </c>
      <c r="R6" s="9"/>
      <c r="S6" s="48">
        <v>0</v>
      </c>
      <c r="T6" s="21">
        <f t="shared" si="4"/>
        <v>54200</v>
      </c>
      <c r="U6" s="53">
        <f>IF($J6="","",ROUND(($J6-$J$3)/1000,1)+(_xlfn.RANK.AVG($J6,($J6,$O6,$T6),1)-2)*10)</f>
        <v>-6.2</v>
      </c>
      <c r="V6" s="54">
        <f>IF($O6="","",ROUND(($O6-$O$3)/1000,1)+(_xlfn.RANK.AVG($O6,($J6,$O6,$T6),1)-2)*10)</f>
        <v>-23</v>
      </c>
      <c r="W6" s="55">
        <f>IF($T6="","",ROUND(($T6-$T$3)/1000,1)+(_xlfn.RANK.AVG($T6,($J6,$O6,$T6),1)-2)*10)</f>
        <v>29.2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6</v>
      </c>
      <c r="BT6" s="30" t="s">
        <v>199</v>
      </c>
      <c r="BU6" s="40" t="s">
        <v>98</v>
      </c>
      <c r="BV6" s="41" t="s">
        <v>104</v>
      </c>
      <c r="BW6" s="41" t="s">
        <v>202</v>
      </c>
      <c r="BX6" s="41" t="s">
        <v>86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8000</v>
      </c>
      <c r="H7" s="9">
        <v>1000</v>
      </c>
      <c r="I7" s="48">
        <v>0</v>
      </c>
      <c r="J7" s="21">
        <f t="shared" si="2"/>
        <v>37800</v>
      </c>
      <c r="K7" s="8" t="s">
        <v>197</v>
      </c>
      <c r="L7" s="9">
        <v>-3000</v>
      </c>
      <c r="M7" s="9"/>
      <c r="N7" s="48">
        <v>0</v>
      </c>
      <c r="O7" s="21">
        <f t="shared" si="3"/>
        <v>19000</v>
      </c>
      <c r="P7" s="8" t="s">
        <v>197</v>
      </c>
      <c r="Q7" s="9">
        <v>-5000</v>
      </c>
      <c r="R7" s="9">
        <v>-1000</v>
      </c>
      <c r="S7" s="48">
        <v>0</v>
      </c>
      <c r="T7" s="21">
        <f t="shared" si="4"/>
        <v>48200</v>
      </c>
      <c r="U7" s="53">
        <f>IF($J7="","",ROUND(($J7-$J$3)/1000,1)+(_xlfn.RANK.AVG($J7,($J7,$O7,$T7),1)-2)*10)</f>
        <v>2.8</v>
      </c>
      <c r="V7" s="54">
        <f>IF($O7="","",ROUND(($O7-$O$3)/1000,1)+(_xlfn.RANK.AVG($O7,($J7,$O7,$T7),1)-2)*10)</f>
        <v>-26</v>
      </c>
      <c r="W7" s="55">
        <f>IF($T7="","",ROUND(($T7-$T$3)/1000,1)+(_xlfn.RANK.AVG($T7,($J7,$O7,$T7),1)-2)*10)</f>
        <v>23.2</v>
      </c>
      <c r="Y7" s="8"/>
      <c r="Z7" s="34"/>
      <c r="AA7" s="26"/>
      <c r="AB7" s="26">
        <v>1</v>
      </c>
      <c r="AC7" s="26">
        <v>4</v>
      </c>
      <c r="AD7" s="30">
        <v>40</v>
      </c>
      <c r="AE7" s="40" t="s">
        <v>86</v>
      </c>
      <c r="AF7" s="41" t="s">
        <v>79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212</v>
      </c>
      <c r="F8" s="8" t="s">
        <v>205</v>
      </c>
      <c r="G8" s="9">
        <v>1500</v>
      </c>
      <c r="H8" s="9"/>
      <c r="I8" s="48"/>
      <c r="J8" s="21">
        <f t="shared" si="2"/>
        <v>39300</v>
      </c>
      <c r="K8" s="8" t="s">
        <v>205</v>
      </c>
      <c r="L8" s="9">
        <v>1500</v>
      </c>
      <c r="M8" s="9">
        <v>-1000</v>
      </c>
      <c r="N8" s="48"/>
      <c r="O8" s="21">
        <f t="shared" si="3"/>
        <v>19500</v>
      </c>
      <c r="P8" s="8" t="s">
        <v>205</v>
      </c>
      <c r="Q8" s="9">
        <v>-3000</v>
      </c>
      <c r="R8" s="9"/>
      <c r="S8" s="48"/>
      <c r="T8" s="21">
        <f t="shared" si="4"/>
        <v>45200</v>
      </c>
      <c r="U8" s="53">
        <f>IF($J8="","",ROUND(($J8-$J$3)/1000,1)+(_xlfn.RANK.AVG($J8,($J8,$O8,$T8),1)-2)*10)</f>
        <v>4.3</v>
      </c>
      <c r="V8" s="54">
        <f>IF($O8="","",ROUND(($O8-$O$3)/1000,1)+(_xlfn.RANK.AVG($O8,($J8,$O8,$T8),1)-2)*10)</f>
        <v>-25.5</v>
      </c>
      <c r="W8" s="55">
        <f>IF($T8="","",ROUND(($T8-$T$3)/1000,1)+(_xlfn.RANK.AVG($T8,($J8,$O8,$T8),1)-2)*10)</f>
        <v>20.2</v>
      </c>
      <c r="Y8" s="8" t="s">
        <v>204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">
        <v>212</v>
      </c>
      <c r="F9" s="8" t="s">
        <v>197</v>
      </c>
      <c r="G9" s="9">
        <v>-4800</v>
      </c>
      <c r="H9" s="9"/>
      <c r="I9" s="48">
        <v>-500</v>
      </c>
      <c r="J9" s="21">
        <f t="shared" si="2"/>
        <v>34000</v>
      </c>
      <c r="K9" s="8" t="s">
        <v>198</v>
      </c>
      <c r="L9" s="9">
        <v>7700</v>
      </c>
      <c r="M9" s="9">
        <v>1000</v>
      </c>
      <c r="N9" s="48">
        <v>1000</v>
      </c>
      <c r="O9" s="21">
        <f t="shared" si="3"/>
        <v>29200</v>
      </c>
      <c r="P9" s="8" t="s">
        <v>197</v>
      </c>
      <c r="Q9" s="9">
        <v>-2900</v>
      </c>
      <c r="R9" s="9"/>
      <c r="S9" s="48">
        <v>-500</v>
      </c>
      <c r="T9" s="21">
        <f t="shared" si="4"/>
        <v>41800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-15.8</v>
      </c>
      <c r="W9" s="55">
        <f>IF($T9="","",ROUND(($T9-$T$3)/1000,1)+(_xlfn.RANK.AVG($T9,($J9,$O9,$T9),1)-2)*10)</f>
        <v>16.8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200</v>
      </c>
      <c r="BA9" s="41" t="s">
        <v>82</v>
      </c>
      <c r="BB9" s="41" t="s">
        <v>202</v>
      </c>
      <c r="BC9" s="41" t="s">
        <v>86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-9000</v>
      </c>
      <c r="H10" s="9"/>
      <c r="I10" s="48">
        <v>0</v>
      </c>
      <c r="J10" s="21">
        <f t="shared" si="2"/>
        <v>25000</v>
      </c>
      <c r="K10" s="8" t="s">
        <v>198</v>
      </c>
      <c r="L10" s="9">
        <v>18000</v>
      </c>
      <c r="M10" s="9"/>
      <c r="N10" s="48">
        <v>0</v>
      </c>
      <c r="O10" s="21">
        <f t="shared" si="3"/>
        <v>47200</v>
      </c>
      <c r="P10" s="8" t="s">
        <v>197</v>
      </c>
      <c r="Q10" s="9">
        <v>-9000</v>
      </c>
      <c r="R10" s="9"/>
      <c r="S10" s="48">
        <v>0</v>
      </c>
      <c r="T10" s="21">
        <f t="shared" si="4"/>
        <v>32800</v>
      </c>
      <c r="U10" s="53">
        <f>IF($J10="","",ROUND(($J10-$J$3)/1000,1)+(_xlfn.RANK.AVG($J10,($J10,$O10,$T10),1)-2)*10)</f>
        <v>-20</v>
      </c>
      <c r="V10" s="54">
        <f>IF($O10="","",ROUND(($O10-$O$3)/1000,1)+(_xlfn.RANK.AVG($O10,($J10,$O10,$T10),1)-2)*10)</f>
        <v>22.2</v>
      </c>
      <c r="W10" s="55">
        <f>IF($T10="","",ROUND(($T10-$T$3)/1000,1)+(_xlfn.RANK.AVG($T10,($J10,$O10,$T10),1)-2)*10)</f>
        <v>-2.2000000000000002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7</v>
      </c>
      <c r="AY10" s="30" t="s">
        <v>199</v>
      </c>
      <c r="AZ10" s="40" t="s">
        <v>86</v>
      </c>
      <c r="BA10" s="41" t="s">
        <v>86</v>
      </c>
      <c r="BB10" s="41" t="s">
        <v>202</v>
      </c>
      <c r="BC10" s="41" t="s">
        <v>79</v>
      </c>
      <c r="BD10" s="41" t="s">
        <v>79</v>
      </c>
      <c r="BE10" s="41" t="s">
        <v>79</v>
      </c>
      <c r="BF10" s="41" t="s">
        <v>79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25000</v>
      </c>
      <c r="K11" s="8" t="s">
        <v>207</v>
      </c>
      <c r="L11" s="9">
        <v>18000</v>
      </c>
      <c r="M11" s="9"/>
      <c r="N11" s="48">
        <v>1000</v>
      </c>
      <c r="O11" s="21">
        <f t="shared" si="3"/>
        <v>66200</v>
      </c>
      <c r="P11" s="8" t="s">
        <v>206</v>
      </c>
      <c r="Q11" s="9">
        <v>-18000</v>
      </c>
      <c r="R11" s="9"/>
      <c r="S11" s="48">
        <v>-1000</v>
      </c>
      <c r="T11" s="21">
        <f t="shared" si="4"/>
        <v>13800</v>
      </c>
      <c r="U11" s="53">
        <f>IF($J11="","",ROUND(($J11-$J$3)/1000,1)+(_xlfn.RANK.AVG($J11,($J11,$O11,$T11),1)-2)*10)</f>
        <v>-10</v>
      </c>
      <c r="V11" s="54">
        <f>IF($O11="","",ROUND(($O11-$O$3)/1000,1)+(_xlfn.RANK.AVG($O11,($J11,$O11,$T11),1)-2)*10)</f>
        <v>41.2</v>
      </c>
      <c r="W11" s="55">
        <f>IF($T11="","",ROUND(($T11-$T$3)/1000,1)+(_xlfn.RANK.AVG($T11,($J11,$O11,$T11),1)-2)*10)</f>
        <v>-31.2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6</v>
      </c>
      <c r="AY11" s="30" t="s">
        <v>199</v>
      </c>
      <c r="AZ11" s="40" t="s">
        <v>85</v>
      </c>
      <c r="BA11" s="41" t="s">
        <v>79</v>
      </c>
      <c r="BB11" s="41" t="s">
        <v>79</v>
      </c>
      <c r="BC11" s="41" t="s">
        <v>79</v>
      </c>
      <c r="BD11" s="41" t="s">
        <v>98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193</v>
      </c>
      <c r="F12" s="8" t="s">
        <v>198</v>
      </c>
      <c r="G12" s="9">
        <v>8000</v>
      </c>
      <c r="H12" s="9"/>
      <c r="I12" s="48">
        <v>2000</v>
      </c>
      <c r="J12" s="21">
        <f t="shared" si="2"/>
        <v>35000</v>
      </c>
      <c r="K12" s="8" t="s">
        <v>197</v>
      </c>
      <c r="L12" s="9">
        <v>-5000</v>
      </c>
      <c r="M12" s="9"/>
      <c r="N12" s="48">
        <v>-1000</v>
      </c>
      <c r="O12" s="21">
        <f t="shared" si="3"/>
        <v>60200</v>
      </c>
      <c r="P12" s="8" t="s">
        <v>197</v>
      </c>
      <c r="Q12" s="9">
        <v>-3000</v>
      </c>
      <c r="R12" s="9"/>
      <c r="S12" s="48">
        <v>-1000</v>
      </c>
      <c r="T12" s="21">
        <f t="shared" si="4"/>
        <v>9800</v>
      </c>
      <c r="U12" s="53">
        <f>IF($J12="","",ROUND(($J12-$J$3)/1000,1)+(_xlfn.RANK.AVG($J12,($J12,$O12,$T12),1)-2)*10)</f>
        <v>0</v>
      </c>
      <c r="V12" s="54">
        <f>IF($O12="","",ROUND(($O12-$O$3)/1000,1)+(_xlfn.RANK.AVG($O12,($J12,$O12,$T12),1)-2)*10)</f>
        <v>35.200000000000003</v>
      </c>
      <c r="W12" s="55">
        <f>IF($T12="","",ROUND(($T12-$T$3)/1000,1)+(_xlfn.RANK.AVG($T12,($J12,$O12,$T12),1)-2)*10)</f>
        <v>-35.200000000000003</v>
      </c>
      <c r="Y12" s="8"/>
      <c r="Z12" s="34"/>
      <c r="AA12" s="26">
        <v>1</v>
      </c>
      <c r="AB12" s="26"/>
      <c r="AC12" s="26">
        <v>5</v>
      </c>
      <c r="AD12" s="30" t="s">
        <v>199</v>
      </c>
      <c r="AE12" s="40" t="s">
        <v>200</v>
      </c>
      <c r="AF12" s="41" t="s">
        <v>82</v>
      </c>
      <c r="AG12" s="41" t="s">
        <v>201</v>
      </c>
      <c r="AH12" s="41" t="s">
        <v>79</v>
      </c>
      <c r="AI12" s="41" t="s">
        <v>79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206</v>
      </c>
      <c r="G13" s="9">
        <v>-2000</v>
      </c>
      <c r="H13" s="9"/>
      <c r="I13" s="48">
        <v>0</v>
      </c>
      <c r="J13" s="21">
        <f t="shared" si="2"/>
        <v>33000</v>
      </c>
      <c r="K13" s="8" t="s">
        <v>207</v>
      </c>
      <c r="L13" s="9">
        <v>2000</v>
      </c>
      <c r="M13" s="9"/>
      <c r="N13" s="48">
        <v>0</v>
      </c>
      <c r="O13" s="21">
        <f t="shared" si="3"/>
        <v>62200</v>
      </c>
      <c r="P13" s="8"/>
      <c r="Q13" s="9"/>
      <c r="R13" s="9"/>
      <c r="S13" s="48"/>
      <c r="T13" s="21">
        <f t="shared" si="4"/>
        <v>9800</v>
      </c>
      <c r="U13" s="53">
        <f>IF($J13="","",ROUND(($J13-$J$3)/1000,1)+(_xlfn.RANK.AVG($J13,($J13,$O13,$T13),1)-2)*10)</f>
        <v>-2</v>
      </c>
      <c r="V13" s="54">
        <f>IF($O13="","",ROUND(($O13-$O$3)/1000,1)+(_xlfn.RANK.AVG($O13,($J13,$O13,$T13),1)-2)*10)</f>
        <v>37.200000000000003</v>
      </c>
      <c r="W13" s="55">
        <f>IF($T13="","",ROUND(($T13-$T$3)/1000,1)+(_xlfn.RANK.AVG($T13,($J13,$O13,$T13),1)-2)*10)</f>
        <v>-35.200000000000003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202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70CACBCB-309A-4C33-8625-EE2E592F0884}">
      <formula1>"たかの,だいち,ただ,りくと,れんたろう,まっつん,のり,ぱぱ,ほたに,"</formula1>
    </dataValidation>
    <dataValidation type="list" allowBlank="1" showInputMessage="1" showErrorMessage="1" sqref="E4:E30" xr:uid="{5A8D4944-6C61-4ACB-B26B-182E08E88F01}">
      <formula1>$U$2:$W$2</formula1>
    </dataValidation>
    <dataValidation type="list" showInputMessage="1" showErrorMessage="1" sqref="K4:K30 P4:P30 F4:F30" xr:uid="{7CC887B2-4DAE-4FE8-88BA-1891FEBFAFE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56D6B-2E55-4031-A43A-CB644ECD0214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213</v>
      </c>
      <c r="G1" s="84"/>
      <c r="H1" s="84"/>
      <c r="I1" s="85"/>
      <c r="J1" s="86"/>
      <c r="K1" s="83" t="s">
        <v>215</v>
      </c>
      <c r="L1" s="84"/>
      <c r="M1" s="84"/>
      <c r="N1" s="85"/>
      <c r="O1" s="86"/>
      <c r="P1" s="83" t="s">
        <v>195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れんたろう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のり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まっつん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れんたろう</v>
      </c>
      <c r="V2" s="82" t="str">
        <f>$K$1</f>
        <v>のり</v>
      </c>
      <c r="W2" s="16" t="str">
        <f>$P$1</f>
        <v>まっつん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198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197</v>
      </c>
      <c r="Q4" s="9">
        <v>-5000</v>
      </c>
      <c r="R4" s="9"/>
      <c r="S4" s="48">
        <v>0</v>
      </c>
      <c r="T4" s="21">
        <f>IF(COUNTA($F4,$K4,$P4)&gt;0,T3+SUM(Q4:S4),"")</f>
        <v>30000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-15</v>
      </c>
      <c r="Y4" s="8"/>
      <c r="Z4" s="34"/>
      <c r="AA4" s="26"/>
      <c r="AB4" s="26"/>
      <c r="AC4" s="26">
        <v>5</v>
      </c>
      <c r="AD4" s="30" t="s">
        <v>199</v>
      </c>
      <c r="AE4" s="40" t="s">
        <v>105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212</v>
      </c>
      <c r="F5" s="8" t="s">
        <v>198</v>
      </c>
      <c r="G5" s="9">
        <v>7800</v>
      </c>
      <c r="H5" s="9"/>
      <c r="I5" s="48">
        <v>0</v>
      </c>
      <c r="J5" s="21">
        <f t="shared" ref="J5:J30" si="2">IF(COUNTA($F5,$K5,$P5)&gt;0,J4+SUM(G5:I5),"")</f>
        <v>50800</v>
      </c>
      <c r="K5" s="8" t="s">
        <v>197</v>
      </c>
      <c r="L5" s="9">
        <v>-3900</v>
      </c>
      <c r="M5" s="9"/>
      <c r="N5" s="48">
        <v>0</v>
      </c>
      <c r="O5" s="21">
        <f t="shared" ref="O5:O30" si="3">IF(COUNTA($F5,$K5,$P5)&gt;0,O4+SUM(L5:N5),"")</f>
        <v>28100</v>
      </c>
      <c r="P5" s="8" t="s">
        <v>197</v>
      </c>
      <c r="Q5" s="9">
        <v>-3900</v>
      </c>
      <c r="R5" s="9"/>
      <c r="S5" s="48">
        <v>0</v>
      </c>
      <c r="T5" s="21">
        <f t="shared" ref="T5:T30" si="4">IF(COUNTA($F5,$K5,$P5)&gt;0,T4+SUM(Q5:S5),"")</f>
        <v>26100</v>
      </c>
      <c r="U5" s="53">
        <f>IF($J5="","",ROUND(($J5-$J$3)/1000,1)+(_xlfn.RANK.AVG($J5,($J5,$O5,$T5),1)-2)*10)</f>
        <v>25.8</v>
      </c>
      <c r="V5" s="54">
        <f>IF($O5="","",ROUND(($O5-$O$3)/1000,1)+(_xlfn.RANK.AVG($O5,($J5,$O5,$T5),1)-2)*10)</f>
        <v>-6.9</v>
      </c>
      <c r="W5" s="55">
        <f>IF($T5="","",ROUND(($T5-$T$3)/1000,1)+(_xlfn.RANK.AVG($T5,($J5,$O5,$T5),1)-2)*10)</f>
        <v>-18.899999999999999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200</v>
      </c>
      <c r="AF5" s="41" t="s">
        <v>82</v>
      </c>
      <c r="AG5" s="41" t="s">
        <v>201</v>
      </c>
      <c r="AH5" s="41" t="s">
        <v>83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212</v>
      </c>
      <c r="F6" s="8" t="s">
        <v>205</v>
      </c>
      <c r="G6" s="9">
        <v>1500</v>
      </c>
      <c r="H6" s="9">
        <v>-1000</v>
      </c>
      <c r="I6" s="48"/>
      <c r="J6" s="21">
        <f t="shared" si="2"/>
        <v>51300</v>
      </c>
      <c r="K6" s="8" t="s">
        <v>205</v>
      </c>
      <c r="L6" s="9">
        <v>1500</v>
      </c>
      <c r="M6" s="9"/>
      <c r="N6" s="48"/>
      <c r="O6" s="21">
        <f t="shared" si="3"/>
        <v>29600</v>
      </c>
      <c r="P6" s="8" t="s">
        <v>205</v>
      </c>
      <c r="Q6" s="9">
        <v>-3000</v>
      </c>
      <c r="R6" s="9"/>
      <c r="S6" s="48"/>
      <c r="T6" s="21">
        <f t="shared" si="4"/>
        <v>23100</v>
      </c>
      <c r="U6" s="53">
        <f>IF($J6="","",ROUND(($J6-$J$3)/1000,1)+(_xlfn.RANK.AVG($J6,($J6,$O6,$T6),1)-2)*10)</f>
        <v>26.3</v>
      </c>
      <c r="V6" s="54">
        <f>IF($O6="","",ROUND(($O6-$O$3)/1000,1)+(_xlfn.RANK.AVG($O6,($J6,$O6,$T6),1)-2)*10)</f>
        <v>-5.4</v>
      </c>
      <c r="W6" s="55">
        <f>IF($T6="","",ROUND(($T6-$T$3)/1000,1)+(_xlfn.RANK.AVG($T6,($J6,$O6,$T6),1)-2)*10)</f>
        <v>-21.9</v>
      </c>
      <c r="Y6" s="8" t="s">
        <v>204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1</v>
      </c>
      <c r="E7" s="4" t="s">
        <v>212</v>
      </c>
      <c r="F7" s="8" t="s">
        <v>205</v>
      </c>
      <c r="G7" s="9">
        <v>3000</v>
      </c>
      <c r="H7" s="9">
        <v>-1000</v>
      </c>
      <c r="I7" s="48"/>
      <c r="J7" s="21">
        <f t="shared" si="2"/>
        <v>53300</v>
      </c>
      <c r="K7" s="8" t="s">
        <v>205</v>
      </c>
      <c r="L7" s="9">
        <v>-1500</v>
      </c>
      <c r="M7" s="9"/>
      <c r="N7" s="48"/>
      <c r="O7" s="21">
        <f t="shared" si="3"/>
        <v>28100</v>
      </c>
      <c r="P7" s="8" t="s">
        <v>205</v>
      </c>
      <c r="Q7" s="9">
        <v>-1500</v>
      </c>
      <c r="R7" s="9"/>
      <c r="S7" s="48"/>
      <c r="T7" s="21">
        <f t="shared" si="4"/>
        <v>21600</v>
      </c>
      <c r="U7" s="53">
        <f>IF($J7="","",ROUND(($J7-$J$3)/1000,1)+(_xlfn.RANK.AVG($J7,($J7,$O7,$T7),1)-2)*10)</f>
        <v>28.3</v>
      </c>
      <c r="V7" s="54">
        <f>IF($O7="","",ROUND(($O7-$O$3)/1000,1)+(_xlfn.RANK.AVG($O7,($J7,$O7,$T7),1)-2)*10)</f>
        <v>-6.9</v>
      </c>
      <c r="W7" s="55">
        <f>IF($T7="","",ROUND(($T7-$T$3)/1000,1)+(_xlfn.RANK.AVG($T7,($J7,$O7,$T7),1)-2)*10)</f>
        <v>-23.4</v>
      </c>
      <c r="Y7" s="8" t="s">
        <v>204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2</v>
      </c>
      <c r="E8" s="4" t="s">
        <v>212</v>
      </c>
      <c r="F8" s="8" t="s">
        <v>198</v>
      </c>
      <c r="G8" s="9">
        <v>12000</v>
      </c>
      <c r="H8" s="9">
        <v>2000</v>
      </c>
      <c r="I8" s="48">
        <v>3000</v>
      </c>
      <c r="J8" s="21">
        <f t="shared" si="2"/>
        <v>70300</v>
      </c>
      <c r="K8" s="8" t="s">
        <v>197</v>
      </c>
      <c r="L8" s="9">
        <v>-6000</v>
      </c>
      <c r="M8" s="9"/>
      <c r="N8" s="48">
        <v>-1500</v>
      </c>
      <c r="O8" s="21">
        <f t="shared" si="3"/>
        <v>20600</v>
      </c>
      <c r="P8" s="8" t="s">
        <v>197</v>
      </c>
      <c r="Q8" s="9">
        <v>-6000</v>
      </c>
      <c r="R8" s="9"/>
      <c r="S8" s="48">
        <v>-1500</v>
      </c>
      <c r="T8" s="21">
        <f t="shared" si="4"/>
        <v>14100</v>
      </c>
      <c r="U8" s="53">
        <f>IF($J8="","",ROUND(($J8-$J$3)/1000,1)+(_xlfn.RANK.AVG($J8,($J8,$O8,$T8),1)-2)*10)</f>
        <v>45.3</v>
      </c>
      <c r="V8" s="54">
        <f>IF($O8="","",ROUND(($O8-$O$3)/1000,1)+(_xlfn.RANK.AVG($O8,($J8,$O8,$T8),1)-2)*10)</f>
        <v>-14.4</v>
      </c>
      <c r="W8" s="55">
        <f>IF($T8="","",ROUND(($T8-$T$3)/1000,1)+(_xlfn.RANK.AVG($T8,($J8,$O8,$T8),1)-2)*10)</f>
        <v>-30.9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200</v>
      </c>
      <c r="AF8" s="41" t="s">
        <v>82</v>
      </c>
      <c r="AG8" s="41" t="s">
        <v>84</v>
      </c>
      <c r="AH8" s="41" t="s">
        <v>79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212</v>
      </c>
      <c r="F9" s="8"/>
      <c r="G9" s="9"/>
      <c r="H9" s="9"/>
      <c r="I9" s="48"/>
      <c r="J9" s="21">
        <f t="shared" si="2"/>
        <v>70300</v>
      </c>
      <c r="K9" s="8" t="s">
        <v>206</v>
      </c>
      <c r="L9" s="9">
        <v>-2000</v>
      </c>
      <c r="M9" s="9"/>
      <c r="N9" s="48">
        <v>-4000</v>
      </c>
      <c r="O9" s="21">
        <f t="shared" si="3"/>
        <v>14600</v>
      </c>
      <c r="P9" s="8" t="s">
        <v>207</v>
      </c>
      <c r="Q9" s="9">
        <v>2000</v>
      </c>
      <c r="R9" s="9"/>
      <c r="S9" s="48">
        <v>4000</v>
      </c>
      <c r="T9" s="21">
        <f t="shared" si="4"/>
        <v>20100</v>
      </c>
      <c r="U9" s="53">
        <f>IF($J9="","",ROUND(($J9-$J$3)/1000,1)+(_xlfn.RANK.AVG($J9,($J9,$O9,$T9),1)-2)*10)</f>
        <v>45.3</v>
      </c>
      <c r="V9" s="54">
        <f>IF($O9="","",ROUND(($O9-$O$3)/1000,1)+(_xlfn.RANK.AVG($O9,($J9,$O9,$T9),1)-2)*10)</f>
        <v>-30.4</v>
      </c>
      <c r="W9" s="55">
        <f>IF($T9="","",ROUND(($T9-$T$3)/1000,1)+(_xlfn.RANK.AVG($T9,($J9,$O9,$T9),1)-2)*10)</f>
        <v>-14.9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104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214</v>
      </c>
      <c r="F10" s="8" t="s">
        <v>197</v>
      </c>
      <c r="G10" s="9">
        <v>-5800</v>
      </c>
      <c r="H10" s="9"/>
      <c r="I10" s="48">
        <v>0</v>
      </c>
      <c r="J10" s="21">
        <f t="shared" si="2"/>
        <v>64500</v>
      </c>
      <c r="K10" s="8" t="s">
        <v>198</v>
      </c>
      <c r="L10" s="9">
        <v>11600</v>
      </c>
      <c r="M10" s="9"/>
      <c r="N10" s="48">
        <v>0</v>
      </c>
      <c r="O10" s="21">
        <f t="shared" si="3"/>
        <v>26200</v>
      </c>
      <c r="P10" s="8" t="s">
        <v>197</v>
      </c>
      <c r="Q10" s="9">
        <v>-5800</v>
      </c>
      <c r="R10" s="9"/>
      <c r="S10" s="48">
        <v>0</v>
      </c>
      <c r="T10" s="21">
        <f t="shared" si="4"/>
        <v>14300</v>
      </c>
      <c r="U10" s="53">
        <f>IF($J10="","",ROUND(($J10-$J$3)/1000,1)+(_xlfn.RANK.AVG($J10,($J10,$O10,$T10),1)-2)*10)</f>
        <v>39.5</v>
      </c>
      <c r="V10" s="54">
        <f>IF($O10="","",ROUND(($O10-$O$3)/1000,1)+(_xlfn.RANK.AVG($O10,($J10,$O10,$T10),1)-2)*10)</f>
        <v>-8.8000000000000007</v>
      </c>
      <c r="W10" s="55">
        <f>IF($T10="","",ROUND(($T10-$T$3)/1000,1)+(_xlfn.RANK.AVG($T10,($J10,$O10,$T10),1)-2)*10)</f>
        <v>-30.7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202</v>
      </c>
      <c r="BA10" s="41" t="s">
        <v>98</v>
      </c>
      <c r="BB10" s="41" t="s">
        <v>86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214</v>
      </c>
      <c r="F11" s="8" t="s">
        <v>206</v>
      </c>
      <c r="G11" s="9">
        <v>-8000</v>
      </c>
      <c r="H11" s="9"/>
      <c r="I11" s="48">
        <v>-1000</v>
      </c>
      <c r="J11" s="21">
        <f t="shared" si="2"/>
        <v>55500</v>
      </c>
      <c r="K11" s="8"/>
      <c r="L11" s="9"/>
      <c r="M11" s="9"/>
      <c r="N11" s="48"/>
      <c r="O11" s="21">
        <f t="shared" si="3"/>
        <v>26200</v>
      </c>
      <c r="P11" s="8" t="s">
        <v>207</v>
      </c>
      <c r="Q11" s="9">
        <v>8000</v>
      </c>
      <c r="R11" s="9"/>
      <c r="S11" s="48">
        <v>1000</v>
      </c>
      <c r="T11" s="21">
        <f t="shared" si="4"/>
        <v>23300</v>
      </c>
      <c r="U11" s="53">
        <f>IF($J11="","",ROUND(($J11-$J$3)/1000,1)+(_xlfn.RANK.AVG($J11,($J11,$O11,$T11),1)-2)*10)</f>
        <v>30.5</v>
      </c>
      <c r="V11" s="54">
        <f>IF($O11="","",ROUND(($O11-$O$3)/1000,1)+(_xlfn.RANK.AVG($O11,($J11,$O11,$T11),1)-2)*10)</f>
        <v>-8.8000000000000007</v>
      </c>
      <c r="W11" s="55">
        <f>IF($T11="","",ROUND(($T11-$T$3)/1000,1)+(_xlfn.RANK.AVG($T11,($J11,$O11,$T11),1)-2)*10)</f>
        <v>-21.7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40</v>
      </c>
      <c r="BU11" s="40" t="s">
        <v>200</v>
      </c>
      <c r="BV11" s="41" t="s">
        <v>85</v>
      </c>
      <c r="BW11" s="41" t="s">
        <v>202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194</v>
      </c>
      <c r="F12" s="8" t="s">
        <v>197</v>
      </c>
      <c r="G12" s="9">
        <v>-500</v>
      </c>
      <c r="H12" s="9"/>
      <c r="I12" s="48">
        <v>0</v>
      </c>
      <c r="J12" s="21">
        <f t="shared" si="2"/>
        <v>55000</v>
      </c>
      <c r="K12" s="8" t="s">
        <v>198</v>
      </c>
      <c r="L12" s="9">
        <v>1200</v>
      </c>
      <c r="M12" s="9"/>
      <c r="N12" s="48">
        <v>0</v>
      </c>
      <c r="O12" s="21">
        <f t="shared" si="3"/>
        <v>27400</v>
      </c>
      <c r="P12" s="8" t="s">
        <v>197</v>
      </c>
      <c r="Q12" s="9">
        <v>-700</v>
      </c>
      <c r="R12" s="9"/>
      <c r="S12" s="48">
        <v>0</v>
      </c>
      <c r="T12" s="21">
        <f t="shared" si="4"/>
        <v>22600</v>
      </c>
      <c r="U12" s="53">
        <f>IF($J12="","",ROUND(($J12-$J$3)/1000,1)+(_xlfn.RANK.AVG($J12,($J12,$O12,$T12),1)-2)*10)</f>
        <v>30</v>
      </c>
      <c r="V12" s="54">
        <f>IF($O12="","",ROUND(($O12-$O$3)/1000,1)+(_xlfn.RANK.AVG($O12,($J12,$O12,$T12),1)-2)*10)</f>
        <v>-7.6</v>
      </c>
      <c r="W12" s="55">
        <f>IF($T12="","",ROUND(($T12-$T$3)/1000,1)+(_xlfn.RANK.AVG($T12,($J12,$O12,$T12),1)-2)*10)</f>
        <v>-22.4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</v>
      </c>
      <c r="AY12" s="30">
        <v>30</v>
      </c>
      <c r="AZ12" s="40" t="s">
        <v>82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212</v>
      </c>
      <c r="F13" s="8" t="s">
        <v>197</v>
      </c>
      <c r="G13" s="9">
        <v>-7500</v>
      </c>
      <c r="H13" s="9"/>
      <c r="I13" s="48">
        <v>0</v>
      </c>
      <c r="J13" s="21">
        <f t="shared" si="2"/>
        <v>47500</v>
      </c>
      <c r="K13" s="8" t="s">
        <v>198</v>
      </c>
      <c r="L13" s="9">
        <v>12000</v>
      </c>
      <c r="M13" s="9"/>
      <c r="N13" s="48">
        <v>0</v>
      </c>
      <c r="O13" s="21">
        <f t="shared" si="3"/>
        <v>39400</v>
      </c>
      <c r="P13" s="8" t="s">
        <v>197</v>
      </c>
      <c r="Q13" s="9">
        <v>-4500</v>
      </c>
      <c r="R13" s="9"/>
      <c r="S13" s="48">
        <v>0</v>
      </c>
      <c r="T13" s="21">
        <f t="shared" si="4"/>
        <v>18100</v>
      </c>
      <c r="U13" s="53">
        <f>IF($J13="","",ROUND(($J13-$J$3)/1000,1)+(_xlfn.RANK.AVG($J13,($J13,$O13,$T13),1)-2)*10)</f>
        <v>22.5</v>
      </c>
      <c r="V13" s="54">
        <f>IF($O13="","",ROUND(($O13-$O$3)/1000,1)+(_xlfn.RANK.AVG($O13,($J13,$O13,$T13),1)-2)*10)</f>
        <v>4.4000000000000004</v>
      </c>
      <c r="W13" s="55">
        <f>IF($T13="","",ROUND(($T13-$T$3)/1000,1)+(_xlfn.RANK.AVG($T13,($J13,$O13,$T13),1)-2)*10)</f>
        <v>-26.9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7</v>
      </c>
      <c r="AY13" s="30" t="s">
        <v>199</v>
      </c>
      <c r="AZ13" s="40" t="s">
        <v>200</v>
      </c>
      <c r="BA13" s="41" t="s">
        <v>82</v>
      </c>
      <c r="BB13" s="41" t="s">
        <v>79</v>
      </c>
      <c r="BC13" s="41" t="s">
        <v>79</v>
      </c>
      <c r="BD13" s="41" t="s">
        <v>201</v>
      </c>
      <c r="BE13" s="41" t="s">
        <v>101</v>
      </c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214</v>
      </c>
      <c r="F14" s="8" t="s">
        <v>207</v>
      </c>
      <c r="G14" s="9">
        <v>8000</v>
      </c>
      <c r="H14" s="9"/>
      <c r="I14" s="48">
        <v>0</v>
      </c>
      <c r="J14" s="21">
        <f t="shared" si="2"/>
        <v>55500</v>
      </c>
      <c r="K14" s="8"/>
      <c r="L14" s="9"/>
      <c r="M14" s="9"/>
      <c r="N14" s="48"/>
      <c r="O14" s="21">
        <f t="shared" si="3"/>
        <v>39400</v>
      </c>
      <c r="P14" s="8" t="s">
        <v>206</v>
      </c>
      <c r="Q14" s="9">
        <v>-8000</v>
      </c>
      <c r="R14" s="9"/>
      <c r="S14" s="48">
        <v>0</v>
      </c>
      <c r="T14" s="21">
        <f t="shared" si="4"/>
        <v>10100</v>
      </c>
      <c r="U14" s="53">
        <f>IF($J14="","",ROUND(($J14-$J$3)/1000,1)+(_xlfn.RANK.AVG($J14,($J14,$O14,$T14),1)-2)*10)</f>
        <v>30.5</v>
      </c>
      <c r="V14" s="54">
        <f>IF($O14="","",ROUND(($O14-$O$3)/1000,1)+(_xlfn.RANK.AVG($O14,($J14,$O14,$T14),1)-2)*10)</f>
        <v>4.4000000000000004</v>
      </c>
      <c r="W14" s="55">
        <f>IF($T14="","",ROUND(($T14-$T$3)/1000,1)+(_xlfn.RANK.AVG($T14,($J14,$O14,$T14),1)-2)*10)</f>
        <v>-34.9</v>
      </c>
      <c r="Y14" s="8"/>
      <c r="Z14" s="34"/>
      <c r="AA14" s="26"/>
      <c r="AB14" s="26"/>
      <c r="AC14" s="26">
        <v>5</v>
      </c>
      <c r="AD14" s="30" t="s">
        <v>199</v>
      </c>
      <c r="AE14" s="40" t="s">
        <v>104</v>
      </c>
      <c r="AF14" s="41" t="s">
        <v>86</v>
      </c>
      <c r="AG14" s="41" t="s">
        <v>79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194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A2ADC4C8-D3C6-4E92-B528-A857FF1C67B8}">
      <formula1>"ロン,ツモ,放銃,ツモ支払,流局,チョンボ"</formula1>
    </dataValidation>
    <dataValidation type="list" allowBlank="1" showInputMessage="1" showErrorMessage="1" sqref="E4:E30" xr:uid="{E848D76B-059D-49C5-9B0A-F08DA2E4F86E}">
      <formula1>$U$2:$W$2</formula1>
    </dataValidation>
    <dataValidation type="list" allowBlank="1" showInputMessage="1" sqref="F1:T1" xr:uid="{D0A2687D-3CA3-450D-A33B-32B1CCDD2484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2019-10-16T15:49:13Z</dcterms:modified>
</cp:coreProperties>
</file>