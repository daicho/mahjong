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E99786C2-A6EF-4A4F-B5A3-B75E3B781CFB}" xr6:coauthVersionLast="41" xr6:coauthVersionMax="41" xr10:uidLastSave="{00000000-0000-0000-0000-000000000000}"/>
  <bookViews>
    <workbookView xWindow="-120" yWindow="-120" windowWidth="29040" windowHeight="1644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 s="1"/>
  <c r="D14" i="21"/>
  <c r="C14" i="21"/>
  <c r="D13" i="21"/>
  <c r="D12" i="21"/>
  <c r="D11" i="21"/>
  <c r="C11" i="21"/>
  <c r="C12" i="21" s="1"/>
  <c r="C13" i="21" s="1"/>
  <c r="D10" i="21"/>
  <c r="C10" i="21"/>
  <c r="D9" i="21"/>
  <c r="C9" i="21"/>
  <c r="D8" i="21"/>
  <c r="B7" i="21"/>
  <c r="B8" i="21" s="1"/>
  <c r="D6" i="21"/>
  <c r="D7" i="21" s="1"/>
  <c r="C6" i="21"/>
  <c r="C7" i="21" s="1"/>
  <c r="C8" i="21" s="1"/>
  <c r="B6" i="21"/>
  <c r="O5" i="21"/>
  <c r="D5" i="21"/>
  <c r="C5" i="21"/>
  <c r="B5" i="21"/>
  <c r="A5" i="21" s="1"/>
  <c r="A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 s="1"/>
  <c r="T14" i="20"/>
  <c r="O14" i="20"/>
  <c r="J14" i="20"/>
  <c r="U14" i="20" s="1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T12" i="20"/>
  <c r="O12" i="20"/>
  <c r="V12" i="20" s="1"/>
  <c r="J12" i="20"/>
  <c r="D12" i="20"/>
  <c r="C12" i="20"/>
  <c r="B12" i="20"/>
  <c r="A12" i="20"/>
  <c r="D11" i="20"/>
  <c r="C11" i="20"/>
  <c r="D10" i="20"/>
  <c r="D9" i="20"/>
  <c r="C9" i="20"/>
  <c r="C10" i="20" s="1"/>
  <c r="D8" i="20"/>
  <c r="C8" i="20"/>
  <c r="C7" i="20"/>
  <c r="T6" i="20"/>
  <c r="T7" i="20" s="1"/>
  <c r="D6" i="20"/>
  <c r="D7" i="20" s="1"/>
  <c r="C6" i="20"/>
  <c r="B6" i="20"/>
  <c r="B7" i="20" s="1"/>
  <c r="T5" i="20"/>
  <c r="D5" i="20"/>
  <c r="C5" i="20"/>
  <c r="B5" i="20"/>
  <c r="A6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A7" i="21" l="1"/>
  <c r="W4" i="21"/>
  <c r="V4" i="21"/>
  <c r="B9" i="21"/>
  <c r="A8" i="21"/>
  <c r="V5" i="21"/>
  <c r="J5" i="21"/>
  <c r="U4" i="21"/>
  <c r="T5" i="21"/>
  <c r="O6" i="21"/>
  <c r="W14" i="20"/>
  <c r="V14" i="20"/>
  <c r="W13" i="20"/>
  <c r="V13" i="20"/>
  <c r="U12" i="20"/>
  <c r="W12" i="20"/>
  <c r="A5" i="20"/>
  <c r="W4" i="20"/>
  <c r="V4" i="20"/>
  <c r="U4" i="20"/>
  <c r="J6" i="20"/>
  <c r="B8" i="20"/>
  <c r="A8" i="20" s="1"/>
  <c r="T8" i="20"/>
  <c r="W5" i="20"/>
  <c r="A7" i="20"/>
  <c r="O5" i="20"/>
  <c r="W3" i="19"/>
  <c r="V3" i="19"/>
  <c r="U3" i="19"/>
  <c r="B10" i="21" l="1"/>
  <c r="O7" i="21"/>
  <c r="A9" i="21"/>
  <c r="W5" i="21"/>
  <c r="T6" i="21"/>
  <c r="J6" i="21"/>
  <c r="V6" i="21" s="1"/>
  <c r="U5" i="21"/>
  <c r="B9" i="20"/>
  <c r="A9" i="20" s="1"/>
  <c r="T9" i="20"/>
  <c r="J7" i="20"/>
  <c r="V5" i="20"/>
  <c r="O6" i="20"/>
  <c r="U6" i="20" s="1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10" i="21" l="1"/>
  <c r="B11" i="21"/>
  <c r="A11" i="21" s="1"/>
  <c r="U6" i="21"/>
  <c r="J7" i="21"/>
  <c r="O8" i="21"/>
  <c r="W6" i="21"/>
  <c r="T7" i="21"/>
  <c r="W6" i="20"/>
  <c r="J8" i="20"/>
  <c r="T10" i="20"/>
  <c r="V6" i="20"/>
  <c r="O7" i="20"/>
  <c r="W7" i="20" s="1"/>
  <c r="B10" i="20"/>
  <c r="A10" i="20" s="1"/>
  <c r="W11" i="19"/>
  <c r="V11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8" i="21" l="1"/>
  <c r="W7" i="21"/>
  <c r="U7" i="21"/>
  <c r="J8" i="21"/>
  <c r="V7" i="21"/>
  <c r="V8" i="21"/>
  <c r="O9" i="21"/>
  <c r="B12" i="21"/>
  <c r="A12" i="21" s="1"/>
  <c r="T11" i="20"/>
  <c r="O8" i="20"/>
  <c r="V7" i="20"/>
  <c r="U7" i="20"/>
  <c r="B11" i="20"/>
  <c r="A11" i="20" s="1"/>
  <c r="U8" i="20"/>
  <c r="J9" i="20"/>
  <c r="W8" i="20"/>
  <c r="W5" i="19"/>
  <c r="V5" i="19"/>
  <c r="U5" i="19"/>
  <c r="B13" i="21" l="1"/>
  <c r="J9" i="21"/>
  <c r="U8" i="21"/>
  <c r="T9" i="21"/>
  <c r="W8" i="21"/>
  <c r="O10" i="21"/>
  <c r="V8" i="20"/>
  <c r="O9" i="20"/>
  <c r="U9" i="20"/>
  <c r="J10" i="20"/>
  <c r="W9" i="20"/>
  <c r="V9" i="21" l="1"/>
  <c r="B14" i="21"/>
  <c r="A14" i="21" s="1"/>
  <c r="O11" i="21"/>
  <c r="A13" i="21"/>
  <c r="W9" i="21"/>
  <c r="T10" i="21"/>
  <c r="J10" i="21"/>
  <c r="V10" i="21" s="1"/>
  <c r="U9" i="21"/>
  <c r="J11" i="20"/>
  <c r="W10" i="20"/>
  <c r="V9" i="20"/>
  <c r="O10" i="20"/>
  <c r="O12" i="21" l="1"/>
  <c r="V11" i="21"/>
  <c r="W10" i="21"/>
  <c r="T11" i="21"/>
  <c r="U10" i="21"/>
  <c r="J11" i="21"/>
  <c r="V10" i="20"/>
  <c r="O11" i="20"/>
  <c r="U11" i="20" s="1"/>
  <c r="U10" i="20"/>
  <c r="O13" i="21" l="1"/>
  <c r="U11" i="21"/>
  <c r="J12" i="21"/>
  <c r="T12" i="21"/>
  <c r="V12" i="21" s="1"/>
  <c r="W11" i="21"/>
  <c r="W11" i="20"/>
  <c r="V11" i="20"/>
  <c r="O14" i="21" l="1"/>
  <c r="W12" i="21"/>
  <c r="T13" i="21"/>
  <c r="U12" i="21"/>
  <c r="J13" i="21"/>
  <c r="V13" i="21" l="1"/>
  <c r="W13" i="21"/>
  <c r="T14" i="21"/>
  <c r="U13" i="21"/>
  <c r="J14" i="21"/>
  <c r="V14" i="21" s="1"/>
  <c r="U14" i="21" l="1"/>
  <c r="W14" i="21"/>
</calcChain>
</file>

<file path=xl/sharedStrings.xml><?xml version="1.0" encoding="utf-8"?>
<sst xmlns="http://schemas.openxmlformats.org/spreadsheetml/2006/main" count="827" uniqueCount="211">
  <si>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</si>
  <si>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</si>
  <si>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</si>
  <si>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</si>
  <si>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</si>
  <si>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</si>
  <si>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</si>
  <si>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</si>
  <si>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</si>
  <si>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</si>
  <si>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</si>
  <si>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</si>
  <si>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</si>
  <si>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</si>
  <si>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</si>
  <si>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</si>
  <si>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</si>
  <si>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</si>
  <si>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</si>
  <si>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</si>
  <si>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</si>
  <si>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</si>
  <si>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</si>
  <si>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</si>
  <si>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</si>
  <si>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</si>
  <si>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</si>
  <si>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</si>
  <si>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</si>
  <si>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</si>
  <si>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</si>
  <si>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</si>
  <si>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</si>
  <si>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</si>
  <si>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</si>
  <si>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</si>
  <si>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</si>
  <si>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</si>
  <si>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</si>
  <si>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</si>
  <si>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</si>
  <si>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</si>
  <si>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</si>
  <si>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</si>
  <si>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</si>
  <si>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</si>
  <si>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</si>
  <si>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</si>
  <si>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</si>
  <si>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</si>
  <si>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</si>
  <si>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</si>
  <si>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</si>
  <si>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</si>
  <si>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</si>
  <si>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</si>
  <si>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</si>
  <si>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</si>
  <si>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</si>
  <si>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</si>
  <si>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</si>
  <si>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</si>
  <si>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</si>
  <si>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</si>
  <si>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</si>
  <si>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</si>
  <si>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</si>
  <si>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</si>
  <si>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</si>
  <si>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</si>
  <si>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</si>
  <si>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</si>
  <si>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</si>
  <si>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</si>
  <si>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</si>
  <si>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</si>
  <si>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</si>
  <si>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</si>
  <si>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</si>
  <si>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</si>
  <si>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</si>
  <si>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</si>
  <si>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</si>
  <si>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</si>
  <si>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</si>
  <si>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</si>
  <si>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</si>
  <si>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</si>
  <si>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</si>
  <si>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</si>
  <si>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</si>
  <si>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</si>
  <si>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</si>
  <si>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</si>
  <si>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</si>
  <si>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</si>
  <si>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</si>
  <si>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</si>
  <si>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</si>
  <si>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</si>
  <si>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</si>
  <si>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</si>
  <si>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</si>
  <si>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</si>
  <si>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</si>
  <si>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</si>
  <si>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</si>
  <si>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</si>
  <si>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</si>
  <si>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</si>
  <si>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</si>
  <si>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</si>
  <si>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</si>
  <si>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</si>
  <si>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</si>
  <si>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</si>
  <si>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</si>
  <si>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</si>
  <si>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</si>
  <si>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</si>
  <si>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</si>
  <si>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</si>
  <si>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</si>
  <si>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</si>
  <si>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</si>
  <si>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</si>
  <si>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</si>
  <si>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</si>
  <si>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</si>
  <si>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</si>
  <si>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</si>
  <si>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</si>
  <si>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</si>
  <si>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</si>
  <si>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</si>
  <si>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</si>
  <si>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</si>
  <si>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</si>
  <si>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</si>
  <si>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</si>
  <si>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</si>
  <si>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</si>
  <si>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</si>
  <si>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</si>
  <si>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</si>
  <si>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</si>
  <si>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</si>
  <si>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</si>
  <si>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</si>
  <si>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</si>
  <si>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</si>
  <si>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</si>
  <si>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</si>
  <si>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</si>
  <si>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</si>
  <si>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</si>
  <si>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</si>
  <si>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</si>
  <si>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</si>
  <si>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</si>
  <si>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</si>
  <si>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</si>
  <si>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</si>
  <si>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</si>
  <si>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</si>
  <si>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</si>
  <si>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</si>
  <si>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</si>
  <si>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</si>
  <si>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</si>
  <si>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</si>
  <si>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</si>
  <si>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</si>
  <si>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</si>
  <si>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</si>
  <si>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</si>
  <si>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</si>
  <si>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</si>
  <si>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</si>
  <si>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</si>
  <si>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</si>
  <si>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</si>
  <si>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</si>
  <si>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</si>
  <si>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</si>
  <si>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</si>
  <si>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</si>
  <si>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</si>
  <si>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</si>
  <si>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</si>
  <si>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</si>
  <si>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</si>
  <si>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</si>
  <si>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ただ</t>
  </si>
  <si>
    <t>ただ</t>
    <phoneticPr fontId="1"/>
  </si>
  <si>
    <t>ともき</t>
  </si>
  <si>
    <t>ともき</t>
    <phoneticPr fontId="1"/>
  </si>
  <si>
    <t>ロン</t>
  </si>
  <si>
    <t>放銃</t>
  </si>
  <si>
    <t>*</t>
  </si>
  <si>
    <t>51</t>
  </si>
  <si>
    <t>52</t>
  </si>
  <si>
    <t>T</t>
  </si>
  <si>
    <t>N</t>
  </si>
  <si>
    <t>流局</t>
    <phoneticPr fontId="1"/>
  </si>
  <si>
    <t>ツモ支払</t>
  </si>
  <si>
    <t>ツモ</t>
  </si>
  <si>
    <t>01</t>
  </si>
  <si>
    <t>02</t>
  </si>
  <si>
    <t>まっつん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</si>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</sst>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ともき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ただ</v>
      </c>
      <c r="W2" s="16" t="str">
        <f>$P$1</f>
        <v>ともき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1300</v>
      </c>
      <c r="H4" s="9">
        <v>1000</v>
      </c>
      <c r="I4" s="48">
        <v>0</v>
      </c>
      <c r="J4" s="21">
        <f>IF(COUNTA($F4,$K4,$P4)&gt;0,J3+SUM(G4:I4),"")</f>
        <v>37300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-1300</v>
      </c>
      <c r="R4" s="9">
        <v>-1000</v>
      </c>
      <c r="S4" s="48">
        <v>0</v>
      </c>
      <c r="T4" s="21">
        <f>IF(COUNTA($F4,$K4,$P4)&gt;0,T3+SUM(Q4:S4),"")</f>
        <v>32700</v>
      </c>
      <c r="U4" s="53">
        <f>IF($J4="","",ROUND(($J4-$J$3)/1000,1)+(_xlfn.RANK.AVG($J4,($J4,$O4,$T4),1)-2)*10)</f>
        <v>12.3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-12.3</v>
      </c>
      <c r="Y4" s="8"/>
      <c r="Z4" s="34"/>
      <c r="AA4" s="26"/>
      <c r="AB4" s="26"/>
      <c r="AC4" s="26">
        <v>1</v>
      </c>
      <c r="AD4" s="30">
        <v>40</v>
      </c>
      <c r="AE4" s="40" t="s">
        <v>85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37300</v>
      </c>
      <c r="K5" s="8" t="s">
        <v>197</v>
      </c>
      <c r="L5" s="9">
        <v>8000</v>
      </c>
      <c r="M5" s="9">
        <v>1000</v>
      </c>
      <c r="N5" s="48">
        <v>0</v>
      </c>
      <c r="O5" s="21">
        <f t="shared" ref="O5:O30" si="3">IF(COUNTA($F5,$K5,$P5)&gt;0,O4+SUM(L5:N5),"")</f>
        <v>44000</v>
      </c>
      <c r="P5" s="8" t="s">
        <v>198</v>
      </c>
      <c r="Q5" s="9">
        <v>-8000</v>
      </c>
      <c r="R5" s="9">
        <v>-1000</v>
      </c>
      <c r="S5" s="48">
        <v>0</v>
      </c>
      <c r="T5" s="21">
        <f t="shared" ref="T5:T30" si="4">IF(COUNTA($F5,$K5,$P5)&gt;0,T4+SUM(Q5:S5),"")</f>
        <v>23700</v>
      </c>
      <c r="U5" s="53">
        <f>IF($J5="","",ROUND(($J5-$J$3)/1000,1)+(_xlfn.RANK.AVG($J5,($J5,$O5,$T5),1)-2)*10)</f>
        <v>2.2999999999999998</v>
      </c>
      <c r="V5" s="54">
        <f>IF($O5="","",ROUND(($O5-$O$3)/1000,1)+(_xlfn.RANK.AVG($O5,($J5,$O5,$T5),1)-2)*10)</f>
        <v>19</v>
      </c>
      <c r="W5" s="55">
        <f>IF($T5="","",ROUND(($T5-$T$3)/1000,1)+(_xlfn.RANK.AVG($T5,($J5,$O5,$T5),1)-2)*10)</f>
        <v>-21.3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201</v>
      </c>
      <c r="BB5" s="41" t="s">
        <v>85</v>
      </c>
      <c r="BC5" s="41" t="s">
        <v>84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204</v>
      </c>
      <c r="G6" s="9">
        <v>3000</v>
      </c>
      <c r="H6" s="9">
        <v>-1000</v>
      </c>
      <c r="I6" s="48"/>
      <c r="J6" s="21">
        <f t="shared" si="2"/>
        <v>39300</v>
      </c>
      <c r="K6" s="8" t="s">
        <v>204</v>
      </c>
      <c r="L6" s="9">
        <v>-1500</v>
      </c>
      <c r="M6" s="9"/>
      <c r="N6" s="48"/>
      <c r="O6" s="21">
        <f t="shared" si="3"/>
        <v>42500</v>
      </c>
      <c r="P6" s="8" t="s">
        <v>204</v>
      </c>
      <c r="Q6" s="9">
        <v>-1500</v>
      </c>
      <c r="R6" s="9"/>
      <c r="S6" s="48"/>
      <c r="T6" s="21">
        <f t="shared" si="4"/>
        <v>22200</v>
      </c>
      <c r="U6" s="53">
        <f>IF($J6="","",ROUND(($J6-$J$3)/1000,1)+(_xlfn.RANK.AVG($J6,($J6,$O6,$T6),1)-2)*10)</f>
        <v>4.3</v>
      </c>
      <c r="V6" s="54">
        <f>IF($O6="","",ROUND(($O6-$O$3)/1000,1)+(_xlfn.RANK.AVG($O6,($J6,$O6,$T6),1)-2)*10)</f>
        <v>17.5</v>
      </c>
      <c r="W6" s="55">
        <f>IF($T6="","",ROUND(($T6-$T$3)/1000,1)+(_xlfn.RANK.AVG($T6,($J6,$O6,$T6),1)-2)*10)</f>
        <v>-22.8</v>
      </c>
      <c r="Y6" s="8" t="s">
        <v>202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205</v>
      </c>
      <c r="G7" s="9">
        <v>-1700</v>
      </c>
      <c r="H7" s="9"/>
      <c r="I7" s="48">
        <v>-500</v>
      </c>
      <c r="J7" s="21">
        <f t="shared" si="2"/>
        <v>37100</v>
      </c>
      <c r="K7" s="8" t="s">
        <v>205</v>
      </c>
      <c r="L7" s="9">
        <v>-1100</v>
      </c>
      <c r="M7" s="9"/>
      <c r="N7" s="48">
        <v>-500</v>
      </c>
      <c r="O7" s="21">
        <f t="shared" si="3"/>
        <v>40900</v>
      </c>
      <c r="P7" s="8" t="s">
        <v>206</v>
      </c>
      <c r="Q7" s="9">
        <v>2800</v>
      </c>
      <c r="R7" s="9">
        <v>1000</v>
      </c>
      <c r="S7" s="48">
        <v>1000</v>
      </c>
      <c r="T7" s="21">
        <f t="shared" si="4"/>
        <v>27000</v>
      </c>
      <c r="U7" s="53">
        <f>IF($J7="","",ROUND(($J7-$J$3)/1000,1)+(_xlfn.RANK.AVG($J7,($J7,$O7,$T7),1)-2)*10)</f>
        <v>2.1</v>
      </c>
      <c r="V7" s="54">
        <f>IF($O7="","",ROUND(($O7-$O$3)/1000,1)+(_xlfn.RANK.AVG($O7,($J7,$O7,$T7),1)-2)*10)</f>
        <v>15.9</v>
      </c>
      <c r="W7" s="55">
        <f>IF($T7="","",ROUND(($T7-$T$3)/1000,1)+(_xlfn.RANK.AVG($T7,($J7,$O7,$T7),1)-2)*10)</f>
        <v>-18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20</v>
      </c>
      <c r="BU7" s="40" t="s">
        <v>207</v>
      </c>
      <c r="BV7" s="41" t="s">
        <v>82</v>
      </c>
      <c r="BW7" s="41" t="s">
        <v>83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205</v>
      </c>
      <c r="G8" s="9">
        <v>-500</v>
      </c>
      <c r="H8" s="9"/>
      <c r="I8" s="48">
        <v>0</v>
      </c>
      <c r="J8" s="21">
        <f t="shared" si="2"/>
        <v>36600</v>
      </c>
      <c r="K8" s="8" t="s">
        <v>205</v>
      </c>
      <c r="L8" s="9">
        <v>-700</v>
      </c>
      <c r="M8" s="9"/>
      <c r="N8" s="48">
        <v>0</v>
      </c>
      <c r="O8" s="21">
        <f t="shared" si="3"/>
        <v>40200</v>
      </c>
      <c r="P8" s="8" t="s">
        <v>206</v>
      </c>
      <c r="Q8" s="9">
        <v>1200</v>
      </c>
      <c r="R8" s="9"/>
      <c r="S8" s="48">
        <v>0</v>
      </c>
      <c r="T8" s="21">
        <f t="shared" si="4"/>
        <v>28200</v>
      </c>
      <c r="U8" s="53">
        <f>IF($J8="","",ROUND(($J8-$J$3)/1000,1)+(_xlfn.RANK.AVG($J8,($J8,$O8,$T8),1)-2)*10)</f>
        <v>1.6</v>
      </c>
      <c r="V8" s="54">
        <f>IF($O8="","",ROUND(($O8-$O$3)/1000,1)+(_xlfn.RANK.AVG($O8,($J8,$O8,$T8),1)-2)*10)</f>
        <v>15.2</v>
      </c>
      <c r="W8" s="55">
        <f>IF($T8="","",ROUND(($T8-$T$3)/1000,1)+(_xlfn.RANK.AVG($T8,($J8,$O8,$T8),1)-2)*10)</f>
        <v>-16.8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-12000</v>
      </c>
      <c r="H9" s="9"/>
      <c r="I9" s="48">
        <v>0</v>
      </c>
      <c r="J9" s="21">
        <f t="shared" si="2"/>
        <v>24600</v>
      </c>
      <c r="K9" s="8" t="s">
        <v>205</v>
      </c>
      <c r="L9" s="9">
        <v>-12000</v>
      </c>
      <c r="M9" s="9"/>
      <c r="N9" s="48">
        <v>0</v>
      </c>
      <c r="O9" s="21">
        <f t="shared" si="3"/>
        <v>28200</v>
      </c>
      <c r="P9" s="8" t="s">
        <v>206</v>
      </c>
      <c r="Q9" s="9">
        <v>24000</v>
      </c>
      <c r="R9" s="9"/>
      <c r="S9" s="48">
        <v>0</v>
      </c>
      <c r="T9" s="21">
        <f t="shared" si="4"/>
        <v>52200</v>
      </c>
      <c r="U9" s="53">
        <f>IF($J9="","",ROUND(($J9-$J$3)/1000,1)+(_xlfn.RANK.AVG($J9,($J9,$O9,$T9),1)-2)*10)</f>
        <v>-20.399999999999999</v>
      </c>
      <c r="V9" s="54">
        <f>IF($O9="","",ROUND(($O9-$O$3)/1000,1)+(_xlfn.RANK.AVG($O9,($J9,$O9,$T9),1)-2)*10)</f>
        <v>-6.8</v>
      </c>
      <c r="W9" s="55">
        <f>IF($T9="","",ROUND(($T9-$T$3)/1000,1)+(_xlfn.RANK.AVG($T9,($J9,$O9,$T9),1)-2)*10)</f>
        <v>27.2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199</v>
      </c>
      <c r="BU9" s="40" t="s">
        <v>207</v>
      </c>
      <c r="BV9" s="41" t="s">
        <v>82</v>
      </c>
      <c r="BW9" s="41" t="s">
        <v>208</v>
      </c>
      <c r="BX9" s="41" t="s">
        <v>89</v>
      </c>
      <c r="BY9" s="41" t="s">
        <v>80</v>
      </c>
      <c r="BZ9" s="41" t="s">
        <v>80</v>
      </c>
      <c r="CA9" s="41" t="s">
        <v>80</v>
      </c>
      <c r="CB9" s="41" t="s">
        <v>80</v>
      </c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197</v>
      </c>
      <c r="G10" s="9">
        <v>16000</v>
      </c>
      <c r="H10" s="9"/>
      <c r="I10" s="48">
        <v>1000</v>
      </c>
      <c r="J10" s="21">
        <f t="shared" si="2"/>
        <v>41600</v>
      </c>
      <c r="K10" s="8"/>
      <c r="L10" s="9"/>
      <c r="M10" s="9"/>
      <c r="N10" s="48"/>
      <c r="O10" s="21">
        <f t="shared" si="3"/>
        <v>28200</v>
      </c>
      <c r="P10" s="8" t="s">
        <v>198</v>
      </c>
      <c r="Q10" s="9">
        <v>-16000</v>
      </c>
      <c r="R10" s="9"/>
      <c r="S10" s="48">
        <v>-1000</v>
      </c>
      <c r="T10" s="21">
        <f t="shared" si="4"/>
        <v>35200</v>
      </c>
      <c r="U10" s="53">
        <f>IF($J10="","",ROUND(($J10-$J$3)/1000,1)+(_xlfn.RANK.AVG($J10,($J10,$O10,$T10),1)-2)*10)</f>
        <v>16.600000000000001</v>
      </c>
      <c r="V10" s="54">
        <f>IF($O10="","",ROUND(($O10-$O$3)/1000,1)+(_xlfn.RANK.AVG($O10,($J10,$O10,$T10),1)-2)*10)</f>
        <v>-16.8</v>
      </c>
      <c r="W10" s="55">
        <f>IF($T10="","",ROUND(($T10-$T$3)/1000,1)+(_xlfn.RANK.AVG($T10,($J10,$O10,$T10),1)-2)*10)</f>
        <v>0.2</v>
      </c>
      <c r="Y10" s="8"/>
      <c r="Z10" s="34"/>
      <c r="AA10" s="26">
        <v>1</v>
      </c>
      <c r="AB10" s="26"/>
      <c r="AC10" s="26">
        <v>9</v>
      </c>
      <c r="AD10" s="30" t="s">
        <v>199</v>
      </c>
      <c r="AE10" s="40" t="s">
        <v>207</v>
      </c>
      <c r="AF10" s="41" t="s">
        <v>208</v>
      </c>
      <c r="AG10" s="41" t="s">
        <v>84</v>
      </c>
      <c r="AH10" s="41" t="s">
        <v>92</v>
      </c>
      <c r="AI10" s="41" t="s">
        <v>104</v>
      </c>
      <c r="AJ10" s="41" t="s">
        <v>79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>
        <f t="shared" si="2"/>
        <v>41600</v>
      </c>
      <c r="K11" s="8" t="s">
        <v>198</v>
      </c>
      <c r="L11" s="9">
        <v>-8000</v>
      </c>
      <c r="M11" s="9"/>
      <c r="N11" s="48">
        <v>0</v>
      </c>
      <c r="O11" s="21">
        <f t="shared" si="3"/>
        <v>20200</v>
      </c>
      <c r="P11" s="8" t="s">
        <v>197</v>
      </c>
      <c r="Q11" s="9">
        <v>8000</v>
      </c>
      <c r="R11" s="9"/>
      <c r="S11" s="48">
        <v>0</v>
      </c>
      <c r="T11" s="21">
        <f t="shared" si="4"/>
        <v>43200</v>
      </c>
      <c r="U11" s="53">
        <f>IF($J11="","",ROUND(($J11-$J$3)/1000,1)+(_xlfn.RANK.AVG($J11,($J11,$O11,$T11),1)-2)*10)</f>
        <v>6.6</v>
      </c>
      <c r="V11" s="54">
        <f>IF($O11="","",ROUND(($O11-$O$3)/1000,1)+(_xlfn.RANK.AVG($O11,($J11,$O11,$T11),1)-2)*10)</f>
        <v>-24.8</v>
      </c>
      <c r="W11" s="55">
        <f>IF($T11="","",ROUND(($T11-$T$3)/1000,1)+(_xlfn.RANK.AVG($T11,($J11,$O11,$T11),1)-2)*10)</f>
        <v>18.2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199</v>
      </c>
      <c r="BU11" s="40" t="s">
        <v>86</v>
      </c>
      <c r="BV11" s="41" t="s">
        <v>98</v>
      </c>
      <c r="BW11" s="41" t="s">
        <v>100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10E2051-5DD0-430C-9D92-2D1905669A2D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444CC-DAE3-42A5-932C-F46EBB8E0EC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196</v>
      </c>
      <c r="L1" s="72"/>
      <c r="M1" s="72"/>
      <c r="N1" s="73"/>
      <c r="O1" s="74"/>
      <c r="P1" s="71" t="s">
        <v>210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ともき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ともき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205</v>
      </c>
      <c r="G4" s="9">
        <v>-1300</v>
      </c>
      <c r="H4" s="9">
        <v>-1000</v>
      </c>
      <c r="I4" s="48">
        <v>0</v>
      </c>
      <c r="J4" s="21">
        <f>IF(COUNTA($F4,$K4,$P4)&gt;0,J3+SUM(G4:I4),"")</f>
        <v>32700</v>
      </c>
      <c r="K4" s="8" t="s">
        <v>206</v>
      </c>
      <c r="L4" s="9">
        <v>2100</v>
      </c>
      <c r="M4" s="9">
        <v>2000</v>
      </c>
      <c r="N4" s="48">
        <v>0</v>
      </c>
      <c r="O4" s="21">
        <f>IF(COUNTA($F4,$K4,$P4)&gt;0,O3+SUM(L4:N4),"")</f>
        <v>39100</v>
      </c>
      <c r="P4" s="8" t="s">
        <v>205</v>
      </c>
      <c r="Q4" s="9">
        <v>-800</v>
      </c>
      <c r="R4" s="9">
        <v>-1000</v>
      </c>
      <c r="S4" s="48">
        <v>0</v>
      </c>
      <c r="T4" s="21">
        <f>IF(COUNTA($F4,$K4,$P4)&gt;0,T3+SUM(Q4:S4),"")</f>
        <v>33200</v>
      </c>
      <c r="U4" s="53">
        <f>IF($J4="","",ROUND(($J4-$J$3)/1000,1)+(_xlfn.RANK.AVG($J4,($J4,$O4,$T4),1)-2)*10)</f>
        <v>-12.3</v>
      </c>
      <c r="V4" s="54">
        <f>IF($O4="","",ROUND(($O4-$O$3)/1000,1)+(_xlfn.RANK.AVG($O4,($J4,$O4,$T4),1)-2)*10)</f>
        <v>14.1</v>
      </c>
      <c r="W4" s="55">
        <f>IF($T4="","",ROUND(($T4-$T$3)/1000,1)+(_xlfn.RANK.AVG($T4,($J4,$O4,$T4),1)-2)*10)</f>
        <v>-1.8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30</v>
      </c>
      <c r="AZ4" s="40" t="s">
        <v>82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205</v>
      </c>
      <c r="G5" s="9">
        <v>-1500</v>
      </c>
      <c r="H5" s="9"/>
      <c r="I5" s="48">
        <v>0</v>
      </c>
      <c r="J5" s="21">
        <f t="shared" ref="J5:J30" si="2">IF(COUNTA($F5,$K5,$P5)&gt;0,J4+SUM(G5:I5),"")</f>
        <v>31200</v>
      </c>
      <c r="K5" s="8" t="s">
        <v>206</v>
      </c>
      <c r="L5" s="9">
        <v>3000</v>
      </c>
      <c r="M5" s="9"/>
      <c r="N5" s="48">
        <v>0</v>
      </c>
      <c r="O5" s="21">
        <f t="shared" ref="O5:O30" si="3">IF(COUNTA($F5,$K5,$P5)&gt;0,O4+SUM(L5:N5),"")</f>
        <v>42100</v>
      </c>
      <c r="P5" s="8" t="s">
        <v>205</v>
      </c>
      <c r="Q5" s="9">
        <v>-1500</v>
      </c>
      <c r="R5" s="9"/>
      <c r="S5" s="48">
        <v>0</v>
      </c>
      <c r="T5" s="21">
        <f t="shared" ref="T5:T30" si="4">IF(COUNTA($F5,$K5,$P5)&gt;0,T4+SUM(Q5:S5),"")</f>
        <v>31700</v>
      </c>
      <c r="U5" s="53">
        <f>IF($J5="","",ROUND(($J5-$J$3)/1000,1)+(_xlfn.RANK.AVG($J5,($J5,$O5,$T5),1)-2)*10)</f>
        <v>-13.8</v>
      </c>
      <c r="V5" s="54">
        <f>IF($O5="","",ROUND(($O5-$O$3)/1000,1)+(_xlfn.RANK.AVG($O5,($J5,$O5,$T5),1)-2)*10)</f>
        <v>17.100000000000001</v>
      </c>
      <c r="W5" s="55">
        <f>IF($T5="","",ROUND(($T5-$T$3)/1000,1)+(_xlfn.RANK.AVG($T5,($J5,$O5,$T5),1)-2)*10)</f>
        <v>-3.3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30</v>
      </c>
      <c r="AZ5" s="40" t="s">
        <v>82</v>
      </c>
      <c r="BA5" s="41" t="s">
        <v>201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204</v>
      </c>
      <c r="G6" s="9">
        <v>-3000</v>
      </c>
      <c r="H6" s="9"/>
      <c r="I6" s="48"/>
      <c r="J6" s="21">
        <f t="shared" si="2"/>
        <v>28200</v>
      </c>
      <c r="K6" s="8" t="s">
        <v>204</v>
      </c>
      <c r="L6" s="9">
        <v>1500</v>
      </c>
      <c r="M6" s="9">
        <v>-1000</v>
      </c>
      <c r="N6" s="48"/>
      <c r="O6" s="21">
        <f t="shared" si="3"/>
        <v>42600</v>
      </c>
      <c r="P6" s="8" t="s">
        <v>204</v>
      </c>
      <c r="Q6" s="9">
        <v>1500</v>
      </c>
      <c r="R6" s="9">
        <v>-1000</v>
      </c>
      <c r="S6" s="48"/>
      <c r="T6" s="21">
        <f t="shared" si="4"/>
        <v>32200</v>
      </c>
      <c r="U6" s="53">
        <f>IF($J6="","",ROUND(($J6-$J$3)/1000,1)+(_xlfn.RANK.AVG($J6,($J6,$O6,$T6),1)-2)*10)</f>
        <v>-16.8</v>
      </c>
      <c r="V6" s="54">
        <f>IF($O6="","",ROUND(($O6-$O$3)/1000,1)+(_xlfn.RANK.AVG($O6,($J6,$O6,$T6),1)-2)*10)</f>
        <v>17.600000000000001</v>
      </c>
      <c r="W6" s="55">
        <f>IF($T6="","",ROUND(($T6-$T$3)/1000,1)+(_xlfn.RANK.AVG($T6,($J6,$O6,$T6),1)-2)*10)</f>
        <v>-2.8</v>
      </c>
      <c r="Y6" s="8" t="s">
        <v>203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">
        <v>195</v>
      </c>
      <c r="F7" s="8" t="s">
        <v>205</v>
      </c>
      <c r="G7" s="9">
        <v>-1500</v>
      </c>
      <c r="H7" s="9"/>
      <c r="I7" s="48">
        <v>-1000</v>
      </c>
      <c r="J7" s="21">
        <f t="shared" si="2"/>
        <v>25700</v>
      </c>
      <c r="K7" s="8" t="s">
        <v>206</v>
      </c>
      <c r="L7" s="9">
        <v>3000</v>
      </c>
      <c r="M7" s="9">
        <v>2000</v>
      </c>
      <c r="N7" s="48">
        <v>2000</v>
      </c>
      <c r="O7" s="21">
        <f t="shared" si="3"/>
        <v>49600</v>
      </c>
      <c r="P7" s="8" t="s">
        <v>205</v>
      </c>
      <c r="Q7" s="9">
        <v>-1500</v>
      </c>
      <c r="R7" s="9"/>
      <c r="S7" s="48">
        <v>-1000</v>
      </c>
      <c r="T7" s="21">
        <f t="shared" si="4"/>
        <v>29700</v>
      </c>
      <c r="U7" s="53">
        <f>IF($J7="","",ROUND(($J7-$J$3)/1000,1)+(_xlfn.RANK.AVG($J7,($J7,$O7,$T7),1)-2)*10)</f>
        <v>-19.3</v>
      </c>
      <c r="V7" s="54">
        <f>IF($O7="","",ROUND(($O7-$O$3)/1000,1)+(_xlfn.RANK.AVG($O7,($J7,$O7,$T7),1)-2)*10)</f>
        <v>24.6</v>
      </c>
      <c r="W7" s="55">
        <f>IF($T7="","",ROUND(($T7-$T$3)/1000,1)+(_xlfn.RANK.AVG($T7,($J7,$O7,$T7),1)-2)*10)</f>
        <v>-5.3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82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25700</v>
      </c>
      <c r="K8" s="8" t="s">
        <v>198</v>
      </c>
      <c r="L8" s="9">
        <v>-5200</v>
      </c>
      <c r="M8" s="9"/>
      <c r="N8" s="48">
        <v>-3000</v>
      </c>
      <c r="O8" s="21">
        <f t="shared" si="3"/>
        <v>41400</v>
      </c>
      <c r="P8" s="8" t="s">
        <v>197</v>
      </c>
      <c r="Q8" s="9">
        <v>5200</v>
      </c>
      <c r="R8" s="9"/>
      <c r="S8" s="48">
        <v>3000</v>
      </c>
      <c r="T8" s="21">
        <f t="shared" si="4"/>
        <v>37900</v>
      </c>
      <c r="U8" s="53">
        <f>IF($J8="","",ROUND(($J8-$J$3)/1000,1)+(_xlfn.RANK.AVG($J8,($J8,$O8,$T8),1)-2)*10)</f>
        <v>-19.3</v>
      </c>
      <c r="V8" s="54">
        <f>IF($O8="","",ROUND(($O8-$O$3)/1000,1)+(_xlfn.RANK.AVG($O8,($J8,$O8,$T8),1)-2)*10)</f>
        <v>16.399999999999999</v>
      </c>
      <c r="W8" s="55">
        <f>IF($T8="","",ROUND(($T8-$T$3)/1000,1)+(_xlfn.RANK.AVG($T8,($J8,$O8,$T8),1)-2)*10)</f>
        <v>2.9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207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209</v>
      </c>
      <c r="F9" s="8"/>
      <c r="G9" s="9"/>
      <c r="H9" s="9"/>
      <c r="I9" s="48"/>
      <c r="J9" s="21">
        <f t="shared" si="2"/>
        <v>25700</v>
      </c>
      <c r="K9" s="8" t="s">
        <v>197</v>
      </c>
      <c r="L9" s="9">
        <v>8000</v>
      </c>
      <c r="M9" s="9"/>
      <c r="N9" s="48">
        <v>0</v>
      </c>
      <c r="O9" s="21">
        <f t="shared" si="3"/>
        <v>49400</v>
      </c>
      <c r="P9" s="8" t="s">
        <v>198</v>
      </c>
      <c r="Q9" s="9">
        <v>-8000</v>
      </c>
      <c r="R9" s="9"/>
      <c r="S9" s="48">
        <v>0</v>
      </c>
      <c r="T9" s="21">
        <f t="shared" si="4"/>
        <v>29900</v>
      </c>
      <c r="U9" s="53">
        <f>IF($J9="","",ROUND(($J9-$J$3)/1000,1)+(_xlfn.RANK.AVG($J9,($J9,$O9,$T9),1)-2)*10)</f>
        <v>-19.3</v>
      </c>
      <c r="V9" s="54">
        <f>IF($O9="","",ROUND(($O9-$O$3)/1000,1)+(_xlfn.RANK.AVG($O9,($J9,$O9,$T9),1)-2)*10)</f>
        <v>24.4</v>
      </c>
      <c r="W9" s="55">
        <f>IF($T9="","",ROUND(($T9-$T$3)/1000,1)+(_xlfn.RANK.AVG($T9,($J9,$O9,$T9),1)-2)*10)</f>
        <v>-5.0999999999999996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207</v>
      </c>
      <c r="BA9" s="41" t="s">
        <v>208</v>
      </c>
      <c r="BB9" s="41" t="s">
        <v>79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-1300</v>
      </c>
      <c r="H10" s="9">
        <v>-1000</v>
      </c>
      <c r="I10" s="48">
        <v>0</v>
      </c>
      <c r="J10" s="21">
        <f t="shared" si="2"/>
        <v>23400</v>
      </c>
      <c r="K10" s="8"/>
      <c r="L10" s="9"/>
      <c r="M10" s="9"/>
      <c r="N10" s="48"/>
      <c r="O10" s="21">
        <f t="shared" si="3"/>
        <v>49400</v>
      </c>
      <c r="P10" s="8" t="s">
        <v>197</v>
      </c>
      <c r="Q10" s="9">
        <v>1300</v>
      </c>
      <c r="R10" s="9">
        <v>1000</v>
      </c>
      <c r="S10" s="48">
        <v>0</v>
      </c>
      <c r="T10" s="21">
        <f t="shared" si="4"/>
        <v>32200</v>
      </c>
      <c r="U10" s="53">
        <f>IF($J10="","",ROUND(($J10-$J$3)/1000,1)+(_xlfn.RANK.AVG($J10,($J10,$O10,$T10),1)-2)*10)</f>
        <v>-21.6</v>
      </c>
      <c r="V10" s="54">
        <f>IF($O10="","",ROUND(($O10-$O$3)/1000,1)+(_xlfn.RANK.AVG($O10,($J10,$O10,$T10),1)-2)*10)</f>
        <v>24.4</v>
      </c>
      <c r="W10" s="55">
        <f>IF($T10="","",ROUND(($T10-$T$3)/1000,1)+(_xlfn.RANK.AVG($T10,($J10,$O10,$T10),1)-2)*10)</f>
        <v>-2.8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</v>
      </c>
      <c r="BT10" s="30">
        <v>40</v>
      </c>
      <c r="BU10" s="40" t="s">
        <v>207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-12000</v>
      </c>
      <c r="H11" s="9"/>
      <c r="I11" s="48">
        <v>0</v>
      </c>
      <c r="J11" s="21">
        <f t="shared" si="2"/>
        <v>11400</v>
      </c>
      <c r="K11" s="8" t="s">
        <v>197</v>
      </c>
      <c r="L11" s="9">
        <v>12000</v>
      </c>
      <c r="M11" s="9"/>
      <c r="N11" s="48">
        <v>0</v>
      </c>
      <c r="O11" s="21">
        <f t="shared" si="3"/>
        <v>61400</v>
      </c>
      <c r="P11" s="8"/>
      <c r="Q11" s="9"/>
      <c r="R11" s="9"/>
      <c r="S11" s="48"/>
      <c r="T11" s="21">
        <f t="shared" si="4"/>
        <v>32200</v>
      </c>
      <c r="U11" s="53">
        <f>IF($J11="","",ROUND(($J11-$J$3)/1000,1)+(_xlfn.RANK.AVG($J11,($J11,$O11,$T11),1)-2)*10)</f>
        <v>-33.6</v>
      </c>
      <c r="V11" s="54">
        <f>IF($O11="","",ROUND(($O11-$O$3)/1000,1)+(_xlfn.RANK.AVG($O11,($J11,$O11,$T11),1)-2)*10)</f>
        <v>36.4</v>
      </c>
      <c r="W11" s="55">
        <f>IF($T11="","",ROUND(($T11-$T$3)/1000,1)+(_xlfn.RANK.AVG($T11,($J11,$O11,$T11),1)-2)*10)</f>
        <v>-2.8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199</v>
      </c>
      <c r="AZ11" s="40" t="s">
        <v>207</v>
      </c>
      <c r="BA11" s="41" t="s">
        <v>79</v>
      </c>
      <c r="BB11" s="41" t="s">
        <v>201</v>
      </c>
      <c r="BC11" s="41" t="s">
        <v>201</v>
      </c>
      <c r="BD11" s="41" t="s">
        <v>86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195</v>
      </c>
      <c r="F12" s="8" t="s">
        <v>205</v>
      </c>
      <c r="G12" s="9">
        <v>-1500</v>
      </c>
      <c r="H12" s="9"/>
      <c r="I12" s="48">
        <v>-500</v>
      </c>
      <c r="J12" s="21">
        <f t="shared" si="2"/>
        <v>9400</v>
      </c>
      <c r="K12" s="8" t="s">
        <v>206</v>
      </c>
      <c r="L12" s="9">
        <v>3000</v>
      </c>
      <c r="M12" s="9"/>
      <c r="N12" s="48">
        <v>1000</v>
      </c>
      <c r="O12" s="21">
        <f t="shared" si="3"/>
        <v>65400</v>
      </c>
      <c r="P12" s="8" t="s">
        <v>205</v>
      </c>
      <c r="Q12" s="9">
        <v>-1500</v>
      </c>
      <c r="R12" s="9"/>
      <c r="S12" s="48">
        <v>-500</v>
      </c>
      <c r="T12" s="21">
        <f t="shared" si="4"/>
        <v>30200</v>
      </c>
      <c r="U12" s="53">
        <f>IF($J12="","",ROUND(($J12-$J$3)/1000,1)+(_xlfn.RANK.AVG($J12,($J12,$O12,$T12),1)-2)*10)</f>
        <v>-35.6</v>
      </c>
      <c r="V12" s="54">
        <f>IF($O12="","",ROUND(($O12-$O$3)/1000,1)+(_xlfn.RANK.AVG($O12,($J12,$O12,$T12),1)-2)*10)</f>
        <v>40.4</v>
      </c>
      <c r="W12" s="55">
        <f>IF($T12="","",ROUND(($T12-$T$3)/1000,1)+(_xlfn.RANK.AVG($T12,($J12,$O12,$T12),1)-2)*10)</f>
        <v>-4.8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2</v>
      </c>
      <c r="AY12" s="30">
        <v>30</v>
      </c>
      <c r="AZ12" s="40" t="s">
        <v>82</v>
      </c>
      <c r="BA12" s="41" t="s">
        <v>84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195</v>
      </c>
      <c r="F13" s="8" t="s">
        <v>205</v>
      </c>
      <c r="G13" s="9">
        <v>-1500</v>
      </c>
      <c r="H13" s="9"/>
      <c r="I13" s="48">
        <v>-1000</v>
      </c>
      <c r="J13" s="21">
        <f t="shared" si="2"/>
        <v>6900</v>
      </c>
      <c r="K13" s="8" t="s">
        <v>205</v>
      </c>
      <c r="L13" s="9">
        <v>-2500</v>
      </c>
      <c r="M13" s="9"/>
      <c r="N13" s="48">
        <v>-1000</v>
      </c>
      <c r="O13" s="21">
        <f t="shared" si="3"/>
        <v>61900</v>
      </c>
      <c r="P13" s="8" t="s">
        <v>206</v>
      </c>
      <c r="Q13" s="9">
        <v>4000</v>
      </c>
      <c r="R13" s="9"/>
      <c r="S13" s="48">
        <v>2000</v>
      </c>
      <c r="T13" s="21">
        <f t="shared" si="4"/>
        <v>36200</v>
      </c>
      <c r="U13" s="53">
        <f>IF($J13="","",ROUND(($J13-$J$3)/1000,1)+(_xlfn.RANK.AVG($J13,($J13,$O13,$T13),1)-2)*10)</f>
        <v>-38.1</v>
      </c>
      <c r="V13" s="54">
        <f>IF($O13="","",ROUND(($O13-$O$3)/1000,1)+(_xlfn.RANK.AVG($O13,($J13,$O13,$T13),1)-2)*10)</f>
        <v>36.9</v>
      </c>
      <c r="W13" s="55">
        <f>IF($T13="","",ROUND(($T13-$T$3)/1000,1)+(_xlfn.RANK.AVG($T13,($J13,$O13,$T13),1)-2)*10)</f>
        <v>1.2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3</v>
      </c>
      <c r="BT13" s="30">
        <v>30</v>
      </c>
      <c r="BU13" s="40" t="s">
        <v>82</v>
      </c>
      <c r="BV13" s="41" t="s">
        <v>201</v>
      </c>
      <c r="BW13" s="41" t="s">
        <v>79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209</v>
      </c>
      <c r="F14" s="8" t="s">
        <v>204</v>
      </c>
      <c r="G14" s="9">
        <v>1500</v>
      </c>
      <c r="H14" s="9"/>
      <c r="I14" s="48"/>
      <c r="J14" s="21">
        <f t="shared" si="2"/>
        <v>8400</v>
      </c>
      <c r="K14" s="8" t="s">
        <v>204</v>
      </c>
      <c r="L14" s="9">
        <v>1500</v>
      </c>
      <c r="M14" s="9"/>
      <c r="N14" s="48"/>
      <c r="O14" s="21">
        <f t="shared" si="3"/>
        <v>63400</v>
      </c>
      <c r="P14" s="8" t="s">
        <v>204</v>
      </c>
      <c r="Q14" s="9">
        <v>-3000</v>
      </c>
      <c r="R14" s="9"/>
      <c r="S14" s="48"/>
      <c r="T14" s="21">
        <f t="shared" si="4"/>
        <v>33200</v>
      </c>
      <c r="U14" s="53">
        <f>IF($J14="","",ROUND(($J14-$J$3)/1000,1)+(_xlfn.RANK.AVG($J14,($J14,$O14,$T14),1)-2)*10)</f>
        <v>-36.6</v>
      </c>
      <c r="V14" s="54">
        <f>IF($O14="","",ROUND(($O14-$O$3)/1000,1)+(_xlfn.RANK.AVG($O14,($J14,$O14,$T14),1)-2)*10)</f>
        <v>38.4</v>
      </c>
      <c r="W14" s="55">
        <f>IF($T14="","",ROUND(($T14-$T$3)/1000,1)+(_xlfn.RANK.AVG($T14,($J14,$O14,$T14),1)-2)*10)</f>
        <v>-1.8</v>
      </c>
      <c r="Y14" s="8" t="s">
        <v>202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202</v>
      </c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203</v>
      </c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A9990B54-BCC8-4613-882E-912813ABE91D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4A2B5FAB-7E68-436E-A684-19429BC3C72D}">
      <formula1>"ロン,ツモ,放銃,ツモ支払,流局,チョンボ"</formula1>
    </dataValidation>
    <dataValidation type="list" allowBlank="1" showInputMessage="1" showErrorMessage="1" sqref="E4:E30" xr:uid="{B5635AA8-65AA-4D5F-9193-D84E27BB78C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A4BDB-180C-488E-BE60-397FB1CEC335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196</v>
      </c>
      <c r="L1" s="72"/>
      <c r="M1" s="72"/>
      <c r="N1" s="73"/>
      <c r="O1" s="74"/>
      <c r="P1" s="71" t="s">
        <v>210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ともき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ともき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204</v>
      </c>
      <c r="G4" s="9">
        <v>-1500</v>
      </c>
      <c r="H4" s="9"/>
      <c r="I4" s="48"/>
      <c r="J4" s="21">
        <f>IF(COUNTA($F4,$K4,$P4)&gt;0,J3+SUM(G4:I4),"")</f>
        <v>33500</v>
      </c>
      <c r="K4" s="8" t="s">
        <v>204</v>
      </c>
      <c r="L4" s="9">
        <v>-1500</v>
      </c>
      <c r="M4" s="9"/>
      <c r="N4" s="48"/>
      <c r="O4" s="21">
        <f>IF(COUNTA($F4,$K4,$P4)&gt;0,O3+SUM(L4:N4),"")</f>
        <v>33500</v>
      </c>
      <c r="P4" s="8" t="s">
        <v>204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203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195</v>
      </c>
      <c r="F5" s="8" t="s">
        <v>198</v>
      </c>
      <c r="G5" s="9">
        <v>-7700</v>
      </c>
      <c r="H5" s="9"/>
      <c r="I5" s="48">
        <v>-1000</v>
      </c>
      <c r="J5" s="21">
        <f t="shared" ref="J5:J30" si="2">IF(COUNTA($F5,$K5,$P5)&gt;0,J4+SUM(G5:I5),"")</f>
        <v>24800</v>
      </c>
      <c r="K5" s="8" t="s">
        <v>197</v>
      </c>
      <c r="L5" s="9">
        <v>7700</v>
      </c>
      <c r="M5" s="9">
        <v>1000</v>
      </c>
      <c r="N5" s="48">
        <v>1000</v>
      </c>
      <c r="O5" s="21">
        <f t="shared" ref="O5:O30" si="3">IF(COUNTA($F5,$K5,$P5)&gt;0,O4+SUM(L5:N5),"")</f>
        <v>43200</v>
      </c>
      <c r="P5" s="8"/>
      <c r="Q5" s="9"/>
      <c r="R5" s="9"/>
      <c r="S5" s="48"/>
      <c r="T5" s="21">
        <f t="shared" ref="T5:T30" si="4">IF(COUNTA($F5,$K5,$P5)&gt;0,T4+SUM(Q5:S5),"")</f>
        <v>37000</v>
      </c>
      <c r="U5" s="53">
        <f>IF($J5="","",ROUND(($J5-$J$3)/1000,1)+(_xlfn.RANK.AVG($J5,($J5,$O5,$T5),1)-2)*10)</f>
        <v>-20.2</v>
      </c>
      <c r="V5" s="54">
        <f>IF($O5="","",ROUND(($O5-$O$3)/1000,1)+(_xlfn.RANK.AVG($O5,($J5,$O5,$T5),1)-2)*10)</f>
        <v>18.2</v>
      </c>
      <c r="W5" s="55">
        <f>IF($T5="","",ROUND(($T5-$T$3)/1000,1)+(_xlfn.RANK.AVG($T5,($J5,$O5,$T5),1)-2)*10)</f>
        <v>2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207</v>
      </c>
      <c r="BA5" s="41" t="s">
        <v>86</v>
      </c>
      <c r="BB5" s="41" t="s">
        <v>201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197</v>
      </c>
      <c r="G6" s="9">
        <v>7700</v>
      </c>
      <c r="H6" s="9">
        <v>1000</v>
      </c>
      <c r="I6" s="48">
        <v>2000</v>
      </c>
      <c r="J6" s="21">
        <f t="shared" si="2"/>
        <v>35500</v>
      </c>
      <c r="K6" s="8"/>
      <c r="L6" s="9"/>
      <c r="M6" s="9">
        <v>-1000</v>
      </c>
      <c r="N6" s="48"/>
      <c r="O6" s="21">
        <f t="shared" si="3"/>
        <v>42200</v>
      </c>
      <c r="P6" s="8" t="s">
        <v>198</v>
      </c>
      <c r="Q6" s="9">
        <v>-7700</v>
      </c>
      <c r="R6" s="9"/>
      <c r="S6" s="48">
        <v>-2000</v>
      </c>
      <c r="T6" s="21">
        <f t="shared" si="4"/>
        <v>27300</v>
      </c>
      <c r="U6" s="53">
        <f>IF($J6="","",ROUND(($J6-$J$3)/1000,1)+(_xlfn.RANK.AVG($J6,($J6,$O6,$T6),1)-2)*10)</f>
        <v>0.5</v>
      </c>
      <c r="V6" s="54">
        <f>IF($O6="","",ROUND(($O6-$O$3)/1000,1)+(_xlfn.RANK.AVG($O6,($J6,$O6,$T6),1)-2)*10)</f>
        <v>17.2</v>
      </c>
      <c r="W6" s="55">
        <f>IF($T6="","",ROUND(($T6-$T$3)/1000,1)+(_xlfn.RANK.AVG($T6,($J6,$O6,$T6),1)-2)*10)</f>
        <v>-17.7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104</v>
      </c>
      <c r="AF6" s="41" t="s">
        <v>201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209</v>
      </c>
      <c r="F7" s="8" t="s">
        <v>204</v>
      </c>
      <c r="G7" s="9">
        <v>1500</v>
      </c>
      <c r="H7" s="9">
        <v>-1000</v>
      </c>
      <c r="I7" s="48"/>
      <c r="J7" s="21">
        <f t="shared" si="2"/>
        <v>36000</v>
      </c>
      <c r="K7" s="8" t="s">
        <v>204</v>
      </c>
      <c r="L7" s="9">
        <v>-3000</v>
      </c>
      <c r="M7" s="9"/>
      <c r="N7" s="48"/>
      <c r="O7" s="21">
        <f t="shared" si="3"/>
        <v>39200</v>
      </c>
      <c r="P7" s="8" t="s">
        <v>204</v>
      </c>
      <c r="Q7" s="9">
        <v>1500</v>
      </c>
      <c r="R7" s="9">
        <v>-1000</v>
      </c>
      <c r="S7" s="48"/>
      <c r="T7" s="21">
        <f t="shared" si="4"/>
        <v>27800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14.2</v>
      </c>
      <c r="W7" s="55">
        <f>IF($T7="","",ROUND(($T7-$T$3)/1000,1)+(_xlfn.RANK.AVG($T7,($J7,$O7,$T7),1)-2)*10)</f>
        <v>-17.2</v>
      </c>
      <c r="Y7" s="8" t="s">
        <v>202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2</v>
      </c>
      <c r="E8" s="4" t="s">
        <v>209</v>
      </c>
      <c r="F8" s="8" t="s">
        <v>198</v>
      </c>
      <c r="G8" s="9">
        <v>-3900</v>
      </c>
      <c r="H8" s="9"/>
      <c r="I8" s="48">
        <v>-1000</v>
      </c>
      <c r="J8" s="21">
        <f t="shared" si="2"/>
        <v>31100</v>
      </c>
      <c r="K8" s="8"/>
      <c r="L8" s="9"/>
      <c r="M8" s="9"/>
      <c r="N8" s="48"/>
      <c r="O8" s="21">
        <f t="shared" si="3"/>
        <v>39200</v>
      </c>
      <c r="P8" s="8" t="s">
        <v>197</v>
      </c>
      <c r="Q8" s="9">
        <v>3900</v>
      </c>
      <c r="R8" s="9">
        <v>2000</v>
      </c>
      <c r="S8" s="48">
        <v>1000</v>
      </c>
      <c r="T8" s="21">
        <f t="shared" si="4"/>
        <v>34700</v>
      </c>
      <c r="U8" s="53">
        <f>IF($J8="","",ROUND(($J8-$J$3)/1000,1)+(_xlfn.RANK.AVG($J8,($J8,$O8,$T8),1)-2)*10)</f>
        <v>-13.9</v>
      </c>
      <c r="V8" s="54">
        <f>IF($O8="","",ROUND(($O8-$O$3)/1000,1)+(_xlfn.RANK.AVG($O8,($J8,$O8,$T8),1)-2)*10)</f>
        <v>14.2</v>
      </c>
      <c r="W8" s="55">
        <f>IF($T8="","",ROUND(($T8-$T$3)/1000,1)+(_xlfn.RANK.AVG($T8,($J8,$O8,$T8),1)-2)*10)</f>
        <v>-0.3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207</v>
      </c>
      <c r="BV8" s="41" t="s">
        <v>84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209</v>
      </c>
      <c r="F9" s="8"/>
      <c r="G9" s="9"/>
      <c r="H9" s="9"/>
      <c r="I9" s="48"/>
      <c r="J9" s="21">
        <f t="shared" si="2"/>
        <v>31100</v>
      </c>
      <c r="K9" s="8" t="s">
        <v>197</v>
      </c>
      <c r="L9" s="9">
        <v>8000</v>
      </c>
      <c r="M9" s="9">
        <v>1000</v>
      </c>
      <c r="N9" s="48">
        <v>2000</v>
      </c>
      <c r="O9" s="21">
        <f t="shared" si="3"/>
        <v>50200</v>
      </c>
      <c r="P9" s="8" t="s">
        <v>198</v>
      </c>
      <c r="Q9" s="9">
        <v>-8000</v>
      </c>
      <c r="R9" s="9">
        <v>-1000</v>
      </c>
      <c r="S9" s="48">
        <v>-2000</v>
      </c>
      <c r="T9" s="21">
        <f t="shared" si="4"/>
        <v>23700</v>
      </c>
      <c r="U9" s="53">
        <f>IF($J9="","",ROUND(($J9-$J$3)/1000,1)+(_xlfn.RANK.AVG($J9,($J9,$O9,$T9),1)-2)*10)</f>
        <v>-3.9</v>
      </c>
      <c r="V9" s="54">
        <f>IF($O9="","",ROUND(($O9-$O$3)/1000,1)+(_xlfn.RANK.AVG($O9,($J9,$O9,$T9),1)-2)*10)</f>
        <v>25.2</v>
      </c>
      <c r="W9" s="55">
        <f>IF($T9="","",ROUND(($T9-$T$3)/1000,1)+(_xlfn.RANK.AVG($T9,($J9,$O9,$T9),1)-2)*10)</f>
        <v>-21.3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104</v>
      </c>
      <c r="BA9" s="41" t="s">
        <v>86</v>
      </c>
      <c r="BB9" s="41" t="s">
        <v>86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206</v>
      </c>
      <c r="G10" s="9">
        <v>7800</v>
      </c>
      <c r="H10" s="9">
        <v>1000</v>
      </c>
      <c r="I10" s="48">
        <v>0</v>
      </c>
      <c r="J10" s="21">
        <f t="shared" si="2"/>
        <v>39900</v>
      </c>
      <c r="K10" s="8" t="s">
        <v>205</v>
      </c>
      <c r="L10" s="9">
        <v>-3900</v>
      </c>
      <c r="M10" s="9">
        <v>-1000</v>
      </c>
      <c r="N10" s="48">
        <v>0</v>
      </c>
      <c r="O10" s="21">
        <f t="shared" si="3"/>
        <v>45300</v>
      </c>
      <c r="P10" s="8" t="s">
        <v>205</v>
      </c>
      <c r="Q10" s="9">
        <v>-3900</v>
      </c>
      <c r="R10" s="9"/>
      <c r="S10" s="48">
        <v>0</v>
      </c>
      <c r="T10" s="21">
        <f t="shared" si="4"/>
        <v>19800</v>
      </c>
      <c r="U10" s="53">
        <f>IF($J10="","",ROUND(($J10-$J$3)/1000,1)+(_xlfn.RANK.AVG($J10,($J10,$O10,$T10),1)-2)*10)</f>
        <v>4.9000000000000004</v>
      </c>
      <c r="V10" s="54">
        <f>IF($O10="","",ROUND(($O10-$O$3)/1000,1)+(_xlfn.RANK.AVG($O10,($J10,$O10,$T10),1)-2)*10)</f>
        <v>20.3</v>
      </c>
      <c r="W10" s="55">
        <f>IF($T10="","",ROUND(($T10-$T$3)/1000,1)+(_xlfn.RANK.AVG($T10,($J10,$O10,$T10),1)-2)*10)</f>
        <v>-25.2</v>
      </c>
      <c r="Y10" s="8"/>
      <c r="Z10" s="34"/>
      <c r="AA10" s="26">
        <v>1</v>
      </c>
      <c r="AB10" s="26"/>
      <c r="AC10" s="26">
        <v>4</v>
      </c>
      <c r="AD10" s="30">
        <v>20</v>
      </c>
      <c r="AE10" s="40" t="s">
        <v>207</v>
      </c>
      <c r="AF10" s="41" t="s">
        <v>82</v>
      </c>
      <c r="AG10" s="41" t="s">
        <v>201</v>
      </c>
      <c r="AH10" s="41" t="s">
        <v>83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205</v>
      </c>
      <c r="G11" s="9">
        <v>-3300</v>
      </c>
      <c r="H11" s="9"/>
      <c r="I11" s="48">
        <v>-500</v>
      </c>
      <c r="J11" s="21">
        <f t="shared" si="2"/>
        <v>36100</v>
      </c>
      <c r="K11" s="8" t="s">
        <v>205</v>
      </c>
      <c r="L11" s="9">
        <v>-2000</v>
      </c>
      <c r="M11" s="9"/>
      <c r="N11" s="48">
        <v>-500</v>
      </c>
      <c r="O11" s="21">
        <f t="shared" si="3"/>
        <v>42800</v>
      </c>
      <c r="P11" s="8" t="s">
        <v>206</v>
      </c>
      <c r="Q11" s="9">
        <v>5300</v>
      </c>
      <c r="R11" s="9"/>
      <c r="S11" s="48">
        <v>1000</v>
      </c>
      <c r="T11" s="21">
        <f t="shared" si="4"/>
        <v>26100</v>
      </c>
      <c r="U11" s="53">
        <f>IF($J11="","",ROUND(($J11-$J$3)/1000,1)+(_xlfn.RANK.AVG($J11,($J11,$O11,$T11),1)-2)*10)</f>
        <v>1.1000000000000001</v>
      </c>
      <c r="V11" s="54">
        <f>IF($O11="","",ROUND(($O11-$O$3)/1000,1)+(_xlfn.RANK.AVG($O11,($J11,$O11,$T11),1)-2)*10)</f>
        <v>17.8</v>
      </c>
      <c r="W11" s="55">
        <f>IF($T11="","",ROUND(($T11-$T$3)/1000,1)+(_xlfn.RANK.AVG($T11,($J11,$O11,$T11),1)-2)*10)</f>
        <v>-18.899999999999999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40</v>
      </c>
      <c r="BU11" s="40" t="s">
        <v>86</v>
      </c>
      <c r="BV11" s="41" t="s">
        <v>104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205</v>
      </c>
      <c r="G12" s="9">
        <v>-3000</v>
      </c>
      <c r="H12" s="9"/>
      <c r="I12" s="48">
        <v>0</v>
      </c>
      <c r="J12" s="21">
        <f t="shared" si="2"/>
        <v>33100</v>
      </c>
      <c r="K12" s="8" t="s">
        <v>206</v>
      </c>
      <c r="L12" s="9">
        <v>6000</v>
      </c>
      <c r="M12" s="9"/>
      <c r="N12" s="48">
        <v>0</v>
      </c>
      <c r="O12" s="21">
        <f t="shared" si="3"/>
        <v>48800</v>
      </c>
      <c r="P12" s="8" t="s">
        <v>205</v>
      </c>
      <c r="Q12" s="9">
        <v>-3000</v>
      </c>
      <c r="R12" s="9"/>
      <c r="S12" s="48">
        <v>0</v>
      </c>
      <c r="T12" s="21">
        <f t="shared" si="4"/>
        <v>23100</v>
      </c>
      <c r="U12" s="53">
        <f>IF($J12="","",ROUND(($J12-$J$3)/1000,1)+(_xlfn.RANK.AVG($J12,($J12,$O12,$T12),1)-2)*10)</f>
        <v>-1.9</v>
      </c>
      <c r="V12" s="54">
        <f>IF($O12="","",ROUND(($O12-$O$3)/1000,1)+(_xlfn.RANK.AVG($O12,($J12,$O12,$T12),1)-2)*10)</f>
        <v>23.8</v>
      </c>
      <c r="W12" s="55">
        <f>IF($T12="","",ROUND(($T12-$T$3)/1000,1)+(_xlfn.RANK.AVG($T12,($J12,$O12,$T12),1)-2)*10)</f>
        <v>-21.9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30</v>
      </c>
      <c r="AZ12" s="40" t="s">
        <v>207</v>
      </c>
      <c r="BA12" s="41" t="s">
        <v>82</v>
      </c>
      <c r="BB12" s="41" t="s">
        <v>201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195</v>
      </c>
      <c r="F13" s="8" t="s">
        <v>197</v>
      </c>
      <c r="G13" s="9">
        <v>6400</v>
      </c>
      <c r="H13" s="9"/>
      <c r="I13" s="48">
        <v>1000</v>
      </c>
      <c r="J13" s="21">
        <f t="shared" si="2"/>
        <v>40500</v>
      </c>
      <c r="K13" s="8" t="s">
        <v>198</v>
      </c>
      <c r="L13" s="9">
        <v>-6400</v>
      </c>
      <c r="M13" s="9"/>
      <c r="N13" s="48">
        <v>-1000</v>
      </c>
      <c r="O13" s="21">
        <f t="shared" si="3"/>
        <v>41400</v>
      </c>
      <c r="P13" s="8"/>
      <c r="Q13" s="9"/>
      <c r="R13" s="9"/>
      <c r="S13" s="48"/>
      <c r="T13" s="21">
        <f t="shared" si="4"/>
        <v>23100</v>
      </c>
      <c r="U13" s="53">
        <f>IF($J13="","",ROUND(($J13-$J$3)/1000,1)+(_xlfn.RANK.AVG($J13,($J13,$O13,$T13),1)-2)*10)</f>
        <v>5.5</v>
      </c>
      <c r="V13" s="54">
        <f>IF($O13="","",ROUND(($O13-$O$3)/1000,1)+(_xlfn.RANK.AVG($O13,($J13,$O13,$T13),1)-2)*10)</f>
        <v>16.399999999999999</v>
      </c>
      <c r="W13" s="55">
        <f>IF($T13="","",ROUND(($T13-$T$3)/1000,1)+(_xlfn.RANK.AVG($T13,($J13,$O13,$T13),1)-2)*10)</f>
        <v>-21.9</v>
      </c>
      <c r="Y13" s="8"/>
      <c r="Z13" s="34"/>
      <c r="AA13" s="26">
        <v>1</v>
      </c>
      <c r="AB13" s="26"/>
      <c r="AC13" s="26">
        <v>4</v>
      </c>
      <c r="AD13" s="30">
        <v>25</v>
      </c>
      <c r="AE13" s="40" t="s">
        <v>91</v>
      </c>
      <c r="AF13" s="41" t="s">
        <v>101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209</v>
      </c>
      <c r="F14" s="8" t="s">
        <v>197</v>
      </c>
      <c r="G14" s="9">
        <v>8000</v>
      </c>
      <c r="H14" s="9"/>
      <c r="I14" s="48">
        <v>0</v>
      </c>
      <c r="J14" s="21">
        <f t="shared" si="2"/>
        <v>48500</v>
      </c>
      <c r="K14" s="8"/>
      <c r="L14" s="9"/>
      <c r="M14" s="9"/>
      <c r="N14" s="48"/>
      <c r="O14" s="21">
        <f t="shared" si="3"/>
        <v>41400</v>
      </c>
      <c r="P14" s="8" t="s">
        <v>198</v>
      </c>
      <c r="Q14" s="9">
        <v>-8000</v>
      </c>
      <c r="R14" s="9"/>
      <c r="S14" s="48">
        <v>0</v>
      </c>
      <c r="T14" s="21">
        <f t="shared" si="4"/>
        <v>15100</v>
      </c>
      <c r="U14" s="53">
        <f>IF($J14="","",ROUND(($J14-$J$3)/1000,1)+(_xlfn.RANK.AVG($J14,($J14,$O14,$T14),1)-2)*10)</f>
        <v>23.5</v>
      </c>
      <c r="V14" s="54">
        <f>IF($O14="","",ROUND(($O14-$O$3)/1000,1)+(_xlfn.RANK.AVG($O14,($J14,$O14,$T14),1)-2)*10)</f>
        <v>6.4</v>
      </c>
      <c r="W14" s="55">
        <f>IF($T14="","",ROUND(($T14-$T$3)/1000,1)+(_xlfn.RANK.AVG($T14,($J14,$O14,$T14),1)-2)*10)</f>
        <v>-29.9</v>
      </c>
      <c r="Y14" s="8"/>
      <c r="Z14" s="34"/>
      <c r="AA14" s="26">
        <v>1</v>
      </c>
      <c r="AB14" s="26"/>
      <c r="AC14" s="26">
        <v>5</v>
      </c>
      <c r="AD14" s="30" t="s">
        <v>199</v>
      </c>
      <c r="AE14" s="40" t="s">
        <v>207</v>
      </c>
      <c r="AF14" s="41" t="s">
        <v>83</v>
      </c>
      <c r="AG14" s="41" t="s">
        <v>208</v>
      </c>
      <c r="AH14" s="41" t="s">
        <v>80</v>
      </c>
      <c r="AI14" s="41" t="s">
        <v>80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191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D7DF133B-ECAF-4783-9350-157125A92ADB}">
      <formula1>$U$2:$W$2</formula1>
    </dataValidation>
    <dataValidation type="list" showInputMessage="1" showErrorMessage="1" sqref="K4:K30 P4:P30 F4:F30" xr:uid="{C3192763-49E1-412F-AAE8-A01AB8981A6A}">
      <formula1>"ロン,ツモ,放銃,ツモ支払,流局,チョンボ"</formula1>
    </dataValidation>
    <dataValidation type="list" allowBlank="1" showInputMessage="1" sqref="F1:T1" xr:uid="{DE85C092-A3B0-46E7-BFF4-D8CDAC886C76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2019-12-13T16:14:25Z</dcterms:modified>
</cp:coreProperties>
</file>