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5DC3BB95-621C-44CC-B2A2-919EB0A91B6E}" xr6:coauthVersionLast="41" xr6:coauthVersionMax="41" xr10:uidLastSave="{00000000-0000-0000-0000-000000000000}"/>
  <bookViews>
    <workbookView xWindow="-120" yWindow="-120" windowWidth="29040" windowHeight="1644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9" i="21"/>
  <c r="C9" i="21"/>
  <c r="D8" i="21"/>
  <c r="D7" i="21"/>
  <c r="C7" i="21"/>
  <c r="C8" i="21" s="1"/>
  <c r="B7" i="21"/>
  <c r="B8" i="21" s="1"/>
  <c r="D6" i="21"/>
  <c r="C6" i="21"/>
  <c r="B6" i="21"/>
  <c r="A6" i="21" s="1"/>
  <c r="O5" i="21"/>
  <c r="O6" i="21" s="1"/>
  <c r="J5" i="21"/>
  <c r="J6" i="21" s="1"/>
  <c r="D5" i="21"/>
  <c r="C5" i="21"/>
  <c r="B5" i="21"/>
  <c r="A5" i="21" s="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O11" i="20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 s="1"/>
  <c r="D9" i="20"/>
  <c r="C9" i="20"/>
  <c r="D8" i="20"/>
  <c r="C8" i="20"/>
  <c r="D7" i="20"/>
  <c r="C7" i="20"/>
  <c r="B7" i="20"/>
  <c r="B8" i="20" s="1"/>
  <c r="D6" i="20"/>
  <c r="C6" i="20"/>
  <c r="B6" i="20"/>
  <c r="T5" i="20"/>
  <c r="O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A7" i="21" l="1"/>
  <c r="V4" i="21"/>
  <c r="J7" i="21"/>
  <c r="O7" i="21"/>
  <c r="W5" i="21"/>
  <c r="T6" i="21"/>
  <c r="U6" i="21" s="1"/>
  <c r="B9" i="21"/>
  <c r="A9" i="21" s="1"/>
  <c r="U5" i="21"/>
  <c r="V5" i="21"/>
  <c r="U4" i="21"/>
  <c r="A8" i="21"/>
  <c r="W4" i="21"/>
  <c r="V11" i="20"/>
  <c r="W11" i="20"/>
  <c r="W10" i="20"/>
  <c r="U10" i="20"/>
  <c r="V10" i="20"/>
  <c r="A6" i="20"/>
  <c r="W4" i="20"/>
  <c r="U4" i="20"/>
  <c r="B9" i="20"/>
  <c r="A7" i="20"/>
  <c r="A8" i="20" s="1"/>
  <c r="J5" i="20"/>
  <c r="V4" i="20"/>
  <c r="O6" i="20"/>
  <c r="T6" i="20"/>
  <c r="W3" i="19"/>
  <c r="V3" i="19"/>
  <c r="U3" i="19"/>
  <c r="U7" i="21" l="1"/>
  <c r="J8" i="21"/>
  <c r="B10" i="21"/>
  <c r="A10" i="21"/>
  <c r="W6" i="21"/>
  <c r="T7" i="21"/>
  <c r="O8" i="21"/>
  <c r="V7" i="21"/>
  <c r="V6" i="21"/>
  <c r="A9" i="20"/>
  <c r="O7" i="20"/>
  <c r="T7" i="20"/>
  <c r="J6" i="20"/>
  <c r="W6" i="20" s="1"/>
  <c r="U5" i="20"/>
  <c r="W5" i="20"/>
  <c r="V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O8" i="19"/>
  <c r="V8" i="19" s="1"/>
  <c r="J8" i="19"/>
  <c r="D8" i="19"/>
  <c r="C8" i="19"/>
  <c r="B8" i="19"/>
  <c r="A8" i="19" s="1"/>
  <c r="T7" i="19"/>
  <c r="W7" i="19" s="1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U4" i="19" s="1"/>
  <c r="W2" i="19"/>
  <c r="V2" i="19"/>
  <c r="U2" i="19"/>
  <c r="BO1" i="19"/>
  <c r="AT1" i="19"/>
  <c r="Y1" i="19"/>
  <c r="V8" i="21" l="1"/>
  <c r="O9" i="21"/>
  <c r="W7" i="21"/>
  <c r="T8" i="21"/>
  <c r="U8" i="21"/>
  <c r="J9" i="21"/>
  <c r="B11" i="21"/>
  <c r="A11" i="21" s="1"/>
  <c r="O8" i="20"/>
  <c r="V7" i="20"/>
  <c r="U6" i="20"/>
  <c r="J7" i="20"/>
  <c r="W7" i="20"/>
  <c r="T8" i="20"/>
  <c r="V6" i="20"/>
  <c r="U9" i="19"/>
  <c r="V9" i="19"/>
  <c r="W9" i="19"/>
  <c r="U8" i="19"/>
  <c r="W8" i="19"/>
  <c r="U7" i="19"/>
  <c r="V7" i="19"/>
  <c r="W6" i="19"/>
  <c r="U6" i="19"/>
  <c r="V6" i="19"/>
  <c r="V4" i="19"/>
  <c r="T5" i="19"/>
  <c r="W5" i="19" s="1"/>
  <c r="W4" i="19"/>
  <c r="J5" i="19"/>
  <c r="O5" i="19"/>
  <c r="O10" i="21" l="1"/>
  <c r="J10" i="21"/>
  <c r="W8" i="21"/>
  <c r="T9" i="21"/>
  <c r="O9" i="20"/>
  <c r="T9" i="20"/>
  <c r="U7" i="20"/>
  <c r="J8" i="20"/>
  <c r="W8" i="20" s="1"/>
  <c r="V5" i="19"/>
  <c r="U5" i="19"/>
  <c r="W9" i="21" l="1"/>
  <c r="T10" i="21"/>
  <c r="U10" i="21" s="1"/>
  <c r="J11" i="21"/>
  <c r="V9" i="21"/>
  <c r="U9" i="21"/>
  <c r="O11" i="21"/>
  <c r="V8" i="20"/>
  <c r="U8" i="20"/>
  <c r="J9" i="20"/>
  <c r="W10" i="21" l="1"/>
  <c r="T11" i="21"/>
  <c r="V11" i="21"/>
  <c r="U11" i="21"/>
  <c r="V10" i="21"/>
  <c r="U9" i="20"/>
  <c r="V9" i="20"/>
  <c r="W9" i="20"/>
  <c r="W11" i="21" l="1"/>
</calcChain>
</file>

<file path=xl/sharedStrings.xml><?xml version="1.0" encoding="utf-8"?>
<sst xmlns="http://schemas.openxmlformats.org/spreadsheetml/2006/main" count="759" uniqueCount="210">
  <si>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</si>
  <si>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</si>
  <si>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</si>
  <si>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</si>
  <si>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</si>
  <si>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</si>
  <si>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</si>
  <si>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</si>
  <si>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</si>
  <si>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</si>
  <si>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</si>
  <si>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</si>
  <si>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</si>
  <si>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</si>
  <si>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</si>
  <si>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</si>
  <si>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</si>
  <si>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</si>
  <si>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</si>
  <si>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</si>
  <si>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</si>
  <si>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</si>
  <si>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</si>
  <si>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</si>
  <si>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</si>
  <si>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</si>
  <si>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</si>
  <si>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</si>
  <si>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</si>
  <si>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</si>
  <si>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</si>
  <si>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</si>
  <si>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</si>
  <si>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</si>
  <si>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</si>
  <si>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</si>
  <si>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</si>
  <si>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</si>
  <si>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</si>
  <si>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</si>
  <si>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</si>
  <si>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</si>
  <si>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</si>
  <si>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</si>
  <si>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</si>
  <si>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</si>
  <si>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</si>
  <si>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</si>
  <si>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</si>
  <si>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</si>
  <si>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</si>
  <si>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</si>
  <si>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</si>
  <si>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</si>
  <si>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</si>
  <si>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</si>
  <si>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</si>
  <si>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</si>
  <si>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</si>
  <si>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</si>
  <si>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</si>
  <si>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</si>
  <si>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</si>
  <si>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</si>
  <si>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</si>
  <si>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</si>
  <si>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</si>
  <si>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</si>
  <si>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</si>
  <si>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</si>
  <si>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</si>
  <si>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</si>
  <si>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</si>
  <si>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</si>
  <si>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</si>
  <si>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</si>
  <si>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</si>
  <si>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</si>
  <si>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</si>
  <si>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</si>
  <si>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</si>
  <si>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</si>
  <si>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</si>
  <si>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</si>
  <si>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</si>
  <si>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</si>
  <si>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</si>
  <si>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</si>
  <si>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</si>
  <si>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</si>
  <si>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</si>
  <si>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</si>
  <si>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</si>
  <si>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</si>
  <si>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</si>
  <si>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</si>
  <si>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</si>
  <si>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</si>
  <si>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</si>
  <si>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</si>
  <si>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</si>
  <si>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</si>
  <si>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</si>
  <si>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</si>
  <si>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</si>
  <si>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</si>
  <si>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</si>
  <si>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</si>
  <si>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</si>
  <si>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</si>
  <si>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</si>
  <si>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</si>
  <si>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</si>
  <si>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</si>
  <si>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</si>
  <si>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</si>
  <si>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</si>
  <si>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</si>
  <si>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</si>
  <si>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</si>
  <si>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</si>
  <si>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</si>
  <si>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</si>
  <si>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</si>
  <si>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</si>
  <si>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</si>
  <si>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</si>
  <si>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</si>
  <si>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</si>
  <si>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</si>
  <si>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</si>
  <si>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</si>
  <si>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</si>
  <si>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</si>
  <si>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</si>
  <si>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</si>
  <si>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</si>
  <si>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</si>
  <si>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</si>
  <si>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</si>
  <si>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</si>
  <si>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</si>
  <si>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</si>
  <si>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</si>
  <si>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</si>
  <si>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</si>
  <si>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</si>
  <si>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</si>
  <si>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</si>
  <si>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</si>
  <si>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</si>
  <si>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</si>
  <si>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</si>
  <si>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</si>
  <si>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</si>
  <si>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</si>
  <si>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</si>
  <si>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</si>
  <si>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</si>
  <si>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</si>
  <si>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</si>
  <si>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</si>
  <si>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</si>
  <si>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</si>
  <si>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</si>
  <si>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</si>
  <si>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</si>
  <si>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</si>
  <si>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</si>
  <si>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</si>
  <si>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</si>
  <si>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</si>
  <si>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</si>
  <si>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</si>
  <si>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</si>
  <si>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</si>
  <si>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</si>
  <si>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</si>
  <si>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</si>
  <si>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</si>
  <si>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</si>
  <si>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</si>
  <si>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</si>
  <si>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</si>
  <si>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</si>
  <si>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</si>
  <si>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</si>
  <si>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</si>
  <si>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</si>
  <si>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</si>
  <si>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</si>
  <si>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</si>
  <si>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</si>
  <si>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だいち</t>
  </si>
  <si>
    <t>だいち</t>
    <phoneticPr fontId="1"/>
  </si>
  <si>
    <t>たかの</t>
  </si>
  <si>
    <t>たかの</t>
    <phoneticPr fontId="1"/>
  </si>
  <si>
    <t>ツモ支払</t>
  </si>
  <si>
    <t>ツモ</t>
  </si>
  <si>
    <t>ロン</t>
  </si>
  <si>
    <t>放銃</t>
  </si>
  <si>
    <t>01</t>
  </si>
  <si>
    <t>52</t>
  </si>
  <si>
    <t>*</t>
  </si>
  <si>
    <t>02</t>
  </si>
  <si>
    <t>りくと</t>
  </si>
  <si>
    <t>りくと</t>
    <phoneticPr fontId="1"/>
  </si>
  <si>
    <t>ただ</t>
  </si>
  <si>
    <t>ただ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</si>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</sst>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だいち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197</v>
      </c>
      <c r="L4" s="9">
        <v>-500</v>
      </c>
      <c r="M4" s="9"/>
      <c r="N4" s="48">
        <v>0</v>
      </c>
      <c r="O4" s="21">
        <f>IF(COUNTA($F4,$K4,$P4)&gt;0,O3+SUM(L4:N4),"")</f>
        <v>34500</v>
      </c>
      <c r="P4" s="8" t="s">
        <v>198</v>
      </c>
      <c r="Q4" s="9">
        <v>1200</v>
      </c>
      <c r="R4" s="9"/>
      <c r="S4" s="48">
        <v>0</v>
      </c>
      <c r="T4" s="21">
        <f>IF(COUNTA($F4,$K4,$P4)&gt;0,T3+SUM(Q4:S4),"")</f>
        <v>36200</v>
      </c>
      <c r="U4" s="53">
        <f>IF($J4="","",ROUND(($J4-$J$3)/1000,1)+(_xlfn.RANK.AVG($J4,($J4,$O4,$T4),1)-2)*10)</f>
        <v>-10.7</v>
      </c>
      <c r="V4" s="54">
        <f>IF($O4="","",ROUND(($O4-$O$3)/1000,1)+(_xlfn.RANK.AVG($O4,($J4,$O4,$T4),1)-2)*10)</f>
        <v>-0.5</v>
      </c>
      <c r="W4" s="55">
        <f>IF($T4="","",ROUND(($T4-$T$3)/1000,1)+(_xlfn.RANK.AVG($T4,($J4,$O4,$T4),1)-2)*10)</f>
        <v>11.2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</v>
      </c>
      <c r="BT4" s="30">
        <v>30</v>
      </c>
      <c r="BU4" s="40" t="s">
        <v>82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5200</v>
      </c>
      <c r="H5" s="9"/>
      <c r="I5" s="48">
        <v>0</v>
      </c>
      <c r="J5" s="21">
        <f t="shared" ref="J5:J30" si="2">IF(COUNTA($F5,$K5,$P5)&gt;0,J4+SUM(G5:I5),"")</f>
        <v>39500</v>
      </c>
      <c r="K5" s="8"/>
      <c r="L5" s="9"/>
      <c r="M5" s="9"/>
      <c r="N5" s="48"/>
      <c r="O5" s="21">
        <f t="shared" ref="O5:O30" si="3">IF(COUNTA($F5,$K5,$P5)&gt;0,O4+SUM(L5:N5),"")</f>
        <v>34500</v>
      </c>
      <c r="P5" s="8" t="s">
        <v>200</v>
      </c>
      <c r="Q5" s="9">
        <v>-5200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14.5</v>
      </c>
      <c r="V5" s="54">
        <f>IF($O5="","",ROUND(($O5-$O$3)/1000,1)+(_xlfn.RANK.AVG($O5,($J5,$O5,$T5),1)-2)*10)</f>
        <v>-0.5</v>
      </c>
      <c r="W5" s="55">
        <f>IF($T5="","",ROUND(($T5-$T$3)/1000,1)+(_xlfn.RANK.AVG($T5,($J5,$O5,$T5),1)-2)*10)</f>
        <v>-14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201</v>
      </c>
      <c r="AF5" s="41" t="s">
        <v>80</v>
      </c>
      <c r="AG5" s="41" t="s">
        <v>202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-8000</v>
      </c>
      <c r="H6" s="9"/>
      <c r="I6" s="48">
        <v>0</v>
      </c>
      <c r="J6" s="21">
        <f t="shared" si="2"/>
        <v>31500</v>
      </c>
      <c r="K6" s="8" t="s">
        <v>199</v>
      </c>
      <c r="L6" s="9">
        <v>8000</v>
      </c>
      <c r="M6" s="9"/>
      <c r="N6" s="48">
        <v>0</v>
      </c>
      <c r="O6" s="21">
        <f t="shared" si="3"/>
        <v>42500</v>
      </c>
      <c r="P6" s="8"/>
      <c r="Q6" s="9"/>
      <c r="R6" s="9"/>
      <c r="S6" s="48"/>
      <c r="T6" s="21">
        <f t="shared" si="4"/>
        <v>31000</v>
      </c>
      <c r="U6" s="53">
        <f>IF($J6="","",ROUND(($J6-$J$3)/1000,1)+(_xlfn.RANK.AVG($J6,($J6,$O6,$T6),1)-2)*10)</f>
        <v>-3.5</v>
      </c>
      <c r="V6" s="54">
        <f>IF($O6="","",ROUND(($O6-$O$3)/1000,1)+(_xlfn.RANK.AVG($O6,($J6,$O6,$T6),1)-2)*10)</f>
        <v>17.5</v>
      </c>
      <c r="W6" s="55">
        <f>IF($T6="","",ROUND(($T6-$T$3)/1000,1)+(_xlfn.RANK.AVG($T6,($J6,$O6,$T6),1)-2)*10)</f>
        <v>-14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203</v>
      </c>
      <c r="AZ6" s="40" t="s">
        <v>201</v>
      </c>
      <c r="BA6" s="41" t="s">
        <v>202</v>
      </c>
      <c r="BB6" s="41" t="s">
        <v>79</v>
      </c>
      <c r="BC6" s="41" t="s">
        <v>80</v>
      </c>
      <c r="BD6" s="41" t="s">
        <v>86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200</v>
      </c>
      <c r="G7" s="9">
        <v>-1000</v>
      </c>
      <c r="H7" s="9"/>
      <c r="I7" s="48">
        <v>0</v>
      </c>
      <c r="J7" s="21">
        <f t="shared" si="2"/>
        <v>30500</v>
      </c>
      <c r="K7" s="8" t="s">
        <v>199</v>
      </c>
      <c r="L7" s="9">
        <v>1000</v>
      </c>
      <c r="M7" s="9"/>
      <c r="N7" s="48">
        <v>0</v>
      </c>
      <c r="O7" s="21">
        <f t="shared" si="3"/>
        <v>43500</v>
      </c>
      <c r="P7" s="8"/>
      <c r="Q7" s="9"/>
      <c r="R7" s="9"/>
      <c r="S7" s="48"/>
      <c r="T7" s="21">
        <f t="shared" si="4"/>
        <v>31000</v>
      </c>
      <c r="U7" s="53">
        <f>IF($J7="","",ROUND(($J7-$J$3)/1000,1)+(_xlfn.RANK.AVG($J7,($J7,$O7,$T7),1)-2)*10)</f>
        <v>-14.5</v>
      </c>
      <c r="V7" s="54">
        <f>IF($O7="","",ROUND(($O7-$O$3)/1000,1)+(_xlfn.RANK.AVG($O7,($J7,$O7,$T7),1)-2)*10)</f>
        <v>18.5</v>
      </c>
      <c r="W7" s="55">
        <f>IF($T7="","",ROUND(($T7-$T$3)/1000,1)+(_xlfn.RANK.AVG($T7,($J7,$O7,$T7),1)-2)*10)</f>
        <v>-4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-1500</v>
      </c>
      <c r="H8" s="9"/>
      <c r="I8" s="48">
        <v>0</v>
      </c>
      <c r="J8" s="21">
        <f t="shared" si="2"/>
        <v>29000</v>
      </c>
      <c r="K8" s="8" t="s">
        <v>197</v>
      </c>
      <c r="L8" s="9">
        <v>-2500</v>
      </c>
      <c r="M8" s="9"/>
      <c r="N8" s="48">
        <v>0</v>
      </c>
      <c r="O8" s="21">
        <f t="shared" si="3"/>
        <v>41000</v>
      </c>
      <c r="P8" s="8" t="s">
        <v>198</v>
      </c>
      <c r="Q8" s="9">
        <v>4000</v>
      </c>
      <c r="R8" s="9"/>
      <c r="S8" s="48">
        <v>0</v>
      </c>
      <c r="T8" s="21">
        <f t="shared" si="4"/>
        <v>35000</v>
      </c>
      <c r="U8" s="53">
        <f>IF($J8="","",ROUND(($J8-$J$3)/1000,1)+(_xlfn.RANK.AVG($J8,($J8,$O8,$T8),1)-2)*10)</f>
        <v>-16</v>
      </c>
      <c r="V8" s="54">
        <f>IF($O8="","",ROUND(($O8-$O$3)/1000,1)+(_xlfn.RANK.AVG($O8,($J8,$O8,$T8),1)-2)*10)</f>
        <v>16</v>
      </c>
      <c r="W8" s="55">
        <f>IF($T8="","",ROUND(($T8-$T$3)/1000,1)+(_xlfn.RANK.AVG($T8,($J8,$O8,$T8),1)-2)*10)</f>
        <v>0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201</v>
      </c>
      <c r="BV8" s="41" t="s">
        <v>82</v>
      </c>
      <c r="BW8" s="41" t="s">
        <v>85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198</v>
      </c>
      <c r="G9" s="9">
        <v>8000</v>
      </c>
      <c r="H9" s="9"/>
      <c r="I9" s="48">
        <v>0</v>
      </c>
      <c r="J9" s="21">
        <f t="shared" si="2"/>
        <v>37000</v>
      </c>
      <c r="K9" s="8" t="s">
        <v>197</v>
      </c>
      <c r="L9" s="9">
        <v>-3000</v>
      </c>
      <c r="M9" s="9"/>
      <c r="N9" s="48">
        <v>0</v>
      </c>
      <c r="O9" s="21">
        <f t="shared" si="3"/>
        <v>38000</v>
      </c>
      <c r="P9" s="8" t="s">
        <v>197</v>
      </c>
      <c r="Q9" s="9">
        <v>-5000</v>
      </c>
      <c r="R9" s="9"/>
      <c r="S9" s="48">
        <v>0</v>
      </c>
      <c r="T9" s="21">
        <f t="shared" si="4"/>
        <v>30000</v>
      </c>
      <c r="U9" s="53">
        <f>IF($J9="","",ROUND(($J9-$J$3)/1000,1)+(_xlfn.RANK.AVG($J9,($J9,$O9,$T9),1)-2)*10)</f>
        <v>2</v>
      </c>
      <c r="V9" s="54">
        <f>IF($O9="","",ROUND(($O9-$O$3)/1000,1)+(_xlfn.RANK.AVG($O9,($J9,$O9,$T9),1)-2)*10)</f>
        <v>13</v>
      </c>
      <c r="W9" s="55">
        <f>IF($T9="","",ROUND(($T9-$T$3)/1000,1)+(_xlfn.RANK.AVG($T9,($J9,$O9,$T9),1)-2)*10)</f>
        <v>-15</v>
      </c>
      <c r="Y9" s="8"/>
      <c r="Z9" s="34"/>
      <c r="AA9" s="26"/>
      <c r="AB9" s="26">
        <v>1</v>
      </c>
      <c r="AC9" s="26">
        <v>5</v>
      </c>
      <c r="AD9" s="30" t="s">
        <v>203</v>
      </c>
      <c r="AE9" s="40" t="s">
        <v>86</v>
      </c>
      <c r="AF9" s="41" t="s">
        <v>86</v>
      </c>
      <c r="AG9" s="41" t="s">
        <v>104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7039971-2F58-4013-A18A-61BE7B1DACF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18CC5-1DB7-4199-BCFB-61742C33E520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198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197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203</v>
      </c>
      <c r="AZ4" s="40" t="s">
        <v>86</v>
      </c>
      <c r="BA4" s="41" t="s">
        <v>86</v>
      </c>
      <c r="BB4" s="41" t="s">
        <v>104</v>
      </c>
      <c r="BC4" s="41" t="s">
        <v>202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-1100</v>
      </c>
      <c r="H5" s="9"/>
      <c r="I5" s="48">
        <v>0</v>
      </c>
      <c r="J5" s="21">
        <f t="shared" ref="J5:J30" si="2">IF(COUNTA($F5,$K5,$P5)&gt;0,J4+SUM(G5:I5),"")</f>
        <v>28900</v>
      </c>
      <c r="K5" s="8" t="s">
        <v>197</v>
      </c>
      <c r="L5" s="9">
        <v>-1700</v>
      </c>
      <c r="M5" s="9"/>
      <c r="N5" s="48">
        <v>0</v>
      </c>
      <c r="O5" s="21">
        <f t="shared" ref="O5:O30" si="3">IF(COUNTA($F5,$K5,$P5)&gt;0,O4+SUM(L5:N5),"")</f>
        <v>41300</v>
      </c>
      <c r="P5" s="8" t="s">
        <v>198</v>
      </c>
      <c r="Q5" s="9">
        <v>2800</v>
      </c>
      <c r="R5" s="9"/>
      <c r="S5" s="48">
        <v>0</v>
      </c>
      <c r="T5" s="21">
        <f t="shared" ref="T5:T30" si="4">IF(COUNTA($F5,$K5,$P5)&gt;0,T4+SUM(Q5:S5),"")</f>
        <v>34800</v>
      </c>
      <c r="U5" s="53">
        <f>IF($J5="","",ROUND(($J5-$J$3)/1000,1)+(_xlfn.RANK.AVG($J5,($J5,$O5,$T5),1)-2)*10)</f>
        <v>-16.100000000000001</v>
      </c>
      <c r="V5" s="54">
        <f>IF($O5="","",ROUND(($O5-$O$3)/1000,1)+(_xlfn.RANK.AVG($O5,($J5,$O5,$T5),1)-2)*10)</f>
        <v>16.3</v>
      </c>
      <c r="W5" s="55">
        <f>IF($T5="","",ROUND(($T5-$T$3)/1000,1)+(_xlfn.RANK.AVG($T5,($J5,$O5,$T5),1)-2)*10)</f>
        <v>-0.2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40</v>
      </c>
      <c r="BU5" s="40" t="s">
        <v>98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199</v>
      </c>
      <c r="G6" s="9">
        <v>2600</v>
      </c>
      <c r="H6" s="9"/>
      <c r="I6" s="48">
        <v>0</v>
      </c>
      <c r="J6" s="21">
        <f t="shared" si="2"/>
        <v>31500</v>
      </c>
      <c r="K6" s="8"/>
      <c r="L6" s="9"/>
      <c r="M6" s="9"/>
      <c r="N6" s="48"/>
      <c r="O6" s="21">
        <f t="shared" si="3"/>
        <v>41300</v>
      </c>
      <c r="P6" s="8" t="s">
        <v>200</v>
      </c>
      <c r="Q6" s="9">
        <v>-2600</v>
      </c>
      <c r="R6" s="9"/>
      <c r="S6" s="48">
        <v>0</v>
      </c>
      <c r="T6" s="21">
        <f t="shared" si="4"/>
        <v>32200</v>
      </c>
      <c r="U6" s="53">
        <f>IF($J6="","",ROUND(($J6-$J$3)/1000,1)+(_xlfn.RANK.AVG($J6,($J6,$O6,$T6),1)-2)*10)</f>
        <v>-13.5</v>
      </c>
      <c r="V6" s="54">
        <f>IF($O6="","",ROUND(($O6-$O$3)/1000,1)+(_xlfn.RANK.AVG($O6,($J6,$O6,$T6),1)-2)*10)</f>
        <v>16.3</v>
      </c>
      <c r="W6" s="55">
        <f>IF($T6="","",ROUND(($T6-$T$3)/1000,1)+(_xlfn.RANK.AVG($T6,($J6,$O6,$T6),1)-2)*10)</f>
        <v>-2.8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201</v>
      </c>
      <c r="AF6" s="41" t="s">
        <v>202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3000</v>
      </c>
      <c r="H7" s="9"/>
      <c r="I7" s="48">
        <v>0</v>
      </c>
      <c r="J7" s="21">
        <f t="shared" si="2"/>
        <v>34500</v>
      </c>
      <c r="K7" s="8" t="s">
        <v>197</v>
      </c>
      <c r="L7" s="9">
        <v>-1500</v>
      </c>
      <c r="M7" s="9"/>
      <c r="N7" s="48">
        <v>0</v>
      </c>
      <c r="O7" s="21">
        <f t="shared" si="3"/>
        <v>39800</v>
      </c>
      <c r="P7" s="8" t="s">
        <v>197</v>
      </c>
      <c r="Q7" s="9">
        <v>-1500</v>
      </c>
      <c r="R7" s="9"/>
      <c r="S7" s="48">
        <v>0</v>
      </c>
      <c r="T7" s="21">
        <f t="shared" si="4"/>
        <v>30700</v>
      </c>
      <c r="U7" s="53">
        <f>IF($J7="","",ROUND(($J7-$J$3)/1000,1)+(_xlfn.RANK.AVG($J7,($J7,$O7,$T7),1)-2)*10)</f>
        <v>-0.5</v>
      </c>
      <c r="V7" s="54">
        <f>IF($O7="","",ROUND(($O7-$O$3)/1000,1)+(_xlfn.RANK.AVG($O7,($J7,$O7,$T7),1)-2)*10)</f>
        <v>14.8</v>
      </c>
      <c r="W7" s="55">
        <f>IF($T7="","",ROUND(($T7-$T$3)/1000,1)+(_xlfn.RANK.AVG($T7,($J7,$O7,$T7),1)-2)*10)</f>
        <v>-14.3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34500</v>
      </c>
      <c r="K8" s="8" t="s">
        <v>199</v>
      </c>
      <c r="L8" s="9">
        <v>1000</v>
      </c>
      <c r="M8" s="9">
        <v>1000</v>
      </c>
      <c r="N8" s="48">
        <v>1000</v>
      </c>
      <c r="O8" s="21">
        <f t="shared" si="3"/>
        <v>42800</v>
      </c>
      <c r="P8" s="8" t="s">
        <v>200</v>
      </c>
      <c r="Q8" s="9">
        <v>-1000</v>
      </c>
      <c r="R8" s="9">
        <v>-1000</v>
      </c>
      <c r="S8" s="48">
        <v>-1000</v>
      </c>
      <c r="T8" s="21">
        <f t="shared" si="4"/>
        <v>27700</v>
      </c>
      <c r="U8" s="53">
        <f>IF($J8="","",ROUND(($J8-$J$3)/1000,1)+(_xlfn.RANK.AVG($J8,($J8,$O8,$T8),1)-2)*10)</f>
        <v>-0.5</v>
      </c>
      <c r="V8" s="54">
        <f>IF($O8="","",ROUND(($O8-$O$3)/1000,1)+(_xlfn.RANK.AVG($O8,($J8,$O8,$T8),1)-2)*10)</f>
        <v>17.8</v>
      </c>
      <c r="W8" s="55">
        <f>IF($T8="","",ROUND(($T8-$T$3)/1000,1)+(_xlfn.RANK.AVG($T8,($J8,$O8,$T8),1)-2)*10)</f>
        <v>-17.3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/>
      <c r="G9" s="9"/>
      <c r="H9" s="9"/>
      <c r="I9" s="48"/>
      <c r="J9" s="21">
        <f t="shared" si="2"/>
        <v>34500</v>
      </c>
      <c r="K9" s="8" t="s">
        <v>199</v>
      </c>
      <c r="L9" s="9">
        <v>11600</v>
      </c>
      <c r="M9" s="9">
        <v>1000</v>
      </c>
      <c r="N9" s="48">
        <v>0</v>
      </c>
      <c r="O9" s="21">
        <f t="shared" si="3"/>
        <v>55400</v>
      </c>
      <c r="P9" s="8" t="s">
        <v>200</v>
      </c>
      <c r="Q9" s="9">
        <v>-11600</v>
      </c>
      <c r="R9" s="9">
        <v>-1000</v>
      </c>
      <c r="S9" s="48">
        <v>0</v>
      </c>
      <c r="T9" s="21">
        <f t="shared" si="4"/>
        <v>15100</v>
      </c>
      <c r="U9" s="53">
        <f>IF($J9="","",ROUND(($J9-$J$3)/1000,1)+(_xlfn.RANK.AVG($J9,($J9,$O9,$T9),1)-2)*10)</f>
        <v>-0.5</v>
      </c>
      <c r="V9" s="54">
        <f>IF($O9="","",ROUND(($O9-$O$3)/1000,1)+(_xlfn.RANK.AVG($O9,($J9,$O9,$T9),1)-2)*10)</f>
        <v>30.4</v>
      </c>
      <c r="W9" s="55">
        <f>IF($T9="","",ROUND(($T9-$T$3)/1000,1)+(_xlfn.RANK.AVG($T9,($J9,$O9,$T9),1)-2)*10)</f>
        <v>-29.9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4</v>
      </c>
      <c r="AY9" s="30">
        <v>30</v>
      </c>
      <c r="AZ9" s="40" t="s">
        <v>83</v>
      </c>
      <c r="BA9" s="41" t="s">
        <v>84</v>
      </c>
      <c r="BB9" s="41" t="s">
        <v>79</v>
      </c>
      <c r="BC9" s="41" t="s">
        <v>202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199</v>
      </c>
      <c r="G10" s="9">
        <v>2000</v>
      </c>
      <c r="H10" s="9"/>
      <c r="I10" s="48">
        <v>1000</v>
      </c>
      <c r="J10" s="21">
        <f t="shared" si="2"/>
        <v>37500</v>
      </c>
      <c r="K10" s="8" t="s">
        <v>200</v>
      </c>
      <c r="L10" s="9">
        <v>-2000</v>
      </c>
      <c r="M10" s="9"/>
      <c r="N10" s="48">
        <v>-1000</v>
      </c>
      <c r="O10" s="21">
        <f t="shared" si="3"/>
        <v>52400</v>
      </c>
      <c r="P10" s="8"/>
      <c r="Q10" s="9"/>
      <c r="R10" s="9"/>
      <c r="S10" s="48"/>
      <c r="T10" s="21">
        <f t="shared" si="4"/>
        <v>15100</v>
      </c>
      <c r="U10" s="53">
        <f>IF($J10="","",ROUND(($J10-$J$3)/1000,1)+(_xlfn.RANK.AVG($J10,($J10,$O10,$T10),1)-2)*10)</f>
        <v>2.5</v>
      </c>
      <c r="V10" s="54">
        <f>IF($O10="","",ROUND(($O10-$O$3)/1000,1)+(_xlfn.RANK.AVG($O10,($J10,$O10,$T10),1)-2)*10)</f>
        <v>27.4</v>
      </c>
      <c r="W10" s="55">
        <f>IF($T10="","",ROUND(($T10-$T$3)/1000,1)+(_xlfn.RANK.AVG($T10,($J10,$O10,$T10),1)-2)*10)</f>
        <v>-29.9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197</v>
      </c>
      <c r="G11" s="9">
        <v>-3000</v>
      </c>
      <c r="H11" s="9"/>
      <c r="I11" s="48">
        <v>0</v>
      </c>
      <c r="J11" s="21">
        <f t="shared" si="2"/>
        <v>34500</v>
      </c>
      <c r="K11" s="8" t="s">
        <v>198</v>
      </c>
      <c r="L11" s="9">
        <v>8000</v>
      </c>
      <c r="M11" s="9"/>
      <c r="N11" s="48">
        <v>0</v>
      </c>
      <c r="O11" s="21">
        <f t="shared" si="3"/>
        <v>60400</v>
      </c>
      <c r="P11" s="8" t="s">
        <v>197</v>
      </c>
      <c r="Q11" s="9">
        <v>-5000</v>
      </c>
      <c r="R11" s="9"/>
      <c r="S11" s="48">
        <v>0</v>
      </c>
      <c r="T11" s="21">
        <f t="shared" si="4"/>
        <v>10100</v>
      </c>
      <c r="U11" s="53">
        <f>IF($J11="","",ROUND(($J11-$J$3)/1000,1)+(_xlfn.RANK.AVG($J11,($J11,$O11,$T11),1)-2)*10)</f>
        <v>-0.5</v>
      </c>
      <c r="V11" s="54">
        <f>IF($O11="","",ROUND(($O11-$O$3)/1000,1)+(_xlfn.RANK.AVG($O11,($J11,$O11,$T11),1)-2)*10)</f>
        <v>35.4</v>
      </c>
      <c r="W11" s="55">
        <f>IF($T11="","",ROUND(($T11-$T$3)/1000,1)+(_xlfn.RANK.AVG($T11,($J11,$O11,$T11),1)-2)*10)</f>
        <v>-34.9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40</v>
      </c>
      <c r="AZ11" s="40" t="s">
        <v>201</v>
      </c>
      <c r="BA11" s="41" t="s">
        <v>82</v>
      </c>
      <c r="BB11" s="41" t="s">
        <v>202</v>
      </c>
      <c r="BC11" s="41" t="s">
        <v>204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122B69FD-DA0A-442F-A9C4-AAD650915FD9}">
      <formula1>"たかの,だいち,ただ,りくと,れんたろう,まっつん,のり,ぱぱ,ほたに,"</formula1>
    </dataValidation>
    <dataValidation type="list" showInputMessage="1" showErrorMessage="1" sqref="K4:K30 P4:P30 F4:F30" xr:uid="{D6F4D7BC-811E-4915-84D3-15C31D4A0F96}">
      <formula1>"ロン,ツモ,放銃,ツモ支払,流局,チョンボ"</formula1>
    </dataValidation>
    <dataValidation type="list" allowBlank="1" showInputMessage="1" showErrorMessage="1" sqref="E4:E30" xr:uid="{D53ED7DD-6E65-4BB5-839B-7DE65B43581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C545E-7F81-4CBF-A5E9-7A63C910EDB7}">
  <sheetPr codeName="Sheet12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206</v>
      </c>
      <c r="L1" s="72"/>
      <c r="M1" s="72"/>
      <c r="N1" s="73"/>
      <c r="O1" s="74"/>
      <c r="P1" s="71" t="s">
        <v>208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205</v>
      </c>
      <c r="F4" s="8" t="s">
        <v>209</v>
      </c>
      <c r="G4" s="9">
        <v>6000</v>
      </c>
      <c r="H4" s="9"/>
      <c r="I4" s="48"/>
      <c r="J4" s="21">
        <f>IF(COUNTA($F4,$K4,$P4)&gt;0,J3+SUM(G4:I4),"")</f>
        <v>41000</v>
      </c>
      <c r="K4" s="8" t="s">
        <v>209</v>
      </c>
      <c r="L4" s="9">
        <v>-12000</v>
      </c>
      <c r="M4" s="9"/>
      <c r="N4" s="48"/>
      <c r="O4" s="21">
        <f>IF(COUNTA($F4,$K4,$P4)&gt;0,O3+SUM(L4:N4),"")</f>
        <v>23000</v>
      </c>
      <c r="P4" s="8" t="s">
        <v>209</v>
      </c>
      <c r="Q4" s="9">
        <v>6000</v>
      </c>
      <c r="R4" s="9"/>
      <c r="S4" s="48"/>
      <c r="T4" s="21">
        <f>IF(COUNTA($F4,$K4,$P4)&gt;0,T3+SUM(Q4:S4),"")</f>
        <v>41000</v>
      </c>
      <c r="U4" s="53">
        <f>IF($J4="","",ROUND(($J4-$J$3)/1000,1)+(_xlfn.RANK.AVG($J4,($J4,$O4,$T4),1)-2)*10)</f>
        <v>11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11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>
        <v>1</v>
      </c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207</v>
      </c>
      <c r="F5" s="8"/>
      <c r="G5" s="9"/>
      <c r="H5" s="9">
        <v>-1000</v>
      </c>
      <c r="I5" s="48"/>
      <c r="J5" s="21">
        <f t="shared" ref="J5:J30" si="2">IF(COUNTA($F5,$K5,$P5)&gt;0,J4+SUM(G5:I5),"")</f>
        <v>40000</v>
      </c>
      <c r="K5" s="8" t="s">
        <v>200</v>
      </c>
      <c r="L5" s="9">
        <v>-3900</v>
      </c>
      <c r="M5" s="9"/>
      <c r="N5" s="48">
        <v>0</v>
      </c>
      <c r="O5" s="21">
        <f t="shared" ref="O5:O30" si="3">IF(COUNTA($F5,$K5,$P5)&gt;0,O4+SUM(L5:N5),"")</f>
        <v>19100</v>
      </c>
      <c r="P5" s="8" t="s">
        <v>199</v>
      </c>
      <c r="Q5" s="9">
        <v>3900</v>
      </c>
      <c r="R5" s="9">
        <v>1000</v>
      </c>
      <c r="S5" s="48">
        <v>0</v>
      </c>
      <c r="T5" s="21">
        <f t="shared" ref="T5:T30" si="4">IF(COUNTA($F5,$K5,$P5)&gt;0,T4+SUM(Q5:S5),"")</f>
        <v>45900</v>
      </c>
      <c r="U5" s="53">
        <f>IF($J5="","",ROUND(($J5-$J$3)/1000,1)+(_xlfn.RANK.AVG($J5,($J5,$O5,$T5),1)-2)*10)</f>
        <v>5</v>
      </c>
      <c r="V5" s="54">
        <f>IF($O5="","",ROUND(($O5-$O$3)/1000,1)+(_xlfn.RANK.AVG($O5,($J5,$O5,$T5),1)-2)*10)</f>
        <v>-25.9</v>
      </c>
      <c r="W5" s="55">
        <f>IF($T5="","",ROUND(($T5-$T$3)/1000,1)+(_xlfn.RANK.AVG($T5,($J5,$O5,$T5),1)-2)*10)</f>
        <v>20.9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86</v>
      </c>
      <c r="BV5" s="41" t="s">
        <v>202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207</v>
      </c>
      <c r="F6" s="8" t="s">
        <v>199</v>
      </c>
      <c r="G6" s="9">
        <v>5200</v>
      </c>
      <c r="H6" s="9"/>
      <c r="I6" s="48">
        <v>1000</v>
      </c>
      <c r="J6" s="21">
        <f t="shared" si="2"/>
        <v>46200</v>
      </c>
      <c r="K6" s="8"/>
      <c r="L6" s="9"/>
      <c r="M6" s="9"/>
      <c r="N6" s="48"/>
      <c r="O6" s="21">
        <f t="shared" si="3"/>
        <v>19100</v>
      </c>
      <c r="P6" s="8" t="s">
        <v>200</v>
      </c>
      <c r="Q6" s="9">
        <v>-5200</v>
      </c>
      <c r="R6" s="9"/>
      <c r="S6" s="48">
        <v>-1000</v>
      </c>
      <c r="T6" s="21">
        <f t="shared" si="4"/>
        <v>39700</v>
      </c>
      <c r="U6" s="53">
        <f>IF($J6="","",ROUND(($J6-$J$3)/1000,1)+(_xlfn.RANK.AVG($J6,($J6,$O6,$T6),1)-2)*10)</f>
        <v>21.2</v>
      </c>
      <c r="V6" s="54">
        <f>IF($O6="","",ROUND(($O6-$O$3)/1000,1)+(_xlfn.RANK.AVG($O6,($J6,$O6,$T6),1)-2)*10)</f>
        <v>-25.9</v>
      </c>
      <c r="W6" s="55">
        <f>IF($T6="","",ROUND(($T6-$T$3)/1000,1)+(_xlfn.RANK.AVG($T6,($J6,$O6,$T6),1)-2)*10)</f>
        <v>4.7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201</v>
      </c>
      <c r="AF6" s="41" t="s">
        <v>204</v>
      </c>
      <c r="AG6" s="41" t="s">
        <v>202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46200</v>
      </c>
      <c r="K7" s="8" t="s">
        <v>199</v>
      </c>
      <c r="L7" s="9">
        <v>12000</v>
      </c>
      <c r="M7" s="9"/>
      <c r="N7" s="48">
        <v>0</v>
      </c>
      <c r="O7" s="21">
        <f t="shared" si="3"/>
        <v>31100</v>
      </c>
      <c r="P7" s="8" t="s">
        <v>200</v>
      </c>
      <c r="Q7" s="9">
        <v>-12000</v>
      </c>
      <c r="R7" s="9"/>
      <c r="S7" s="48">
        <v>0</v>
      </c>
      <c r="T7" s="21">
        <f t="shared" si="4"/>
        <v>27700</v>
      </c>
      <c r="U7" s="53">
        <f>IF($J7="","",ROUND(($J7-$J$3)/1000,1)+(_xlfn.RANK.AVG($J7,($J7,$O7,$T7),1)-2)*10)</f>
        <v>21.2</v>
      </c>
      <c r="V7" s="54">
        <f>IF($O7="","",ROUND(($O7-$O$3)/1000,1)+(_xlfn.RANK.AVG($O7,($J7,$O7,$T7),1)-2)*10)</f>
        <v>-3.9</v>
      </c>
      <c r="W7" s="55">
        <f>IF($T7="","",ROUND(($T7-$T$3)/1000,1)+(_xlfn.RANK.AVG($T7,($J7,$O7,$T7),1)-2)*10)</f>
        <v>-17.3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7</v>
      </c>
      <c r="AY7" s="30" t="s">
        <v>203</v>
      </c>
      <c r="AZ7" s="40" t="s">
        <v>104</v>
      </c>
      <c r="BA7" s="41" t="s">
        <v>86</v>
      </c>
      <c r="BB7" s="41" t="s">
        <v>86</v>
      </c>
      <c r="BC7" s="41" t="s">
        <v>86</v>
      </c>
      <c r="BD7" s="41" t="s">
        <v>98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205</v>
      </c>
      <c r="F8" s="8"/>
      <c r="G8" s="9"/>
      <c r="H8" s="9"/>
      <c r="I8" s="48"/>
      <c r="J8" s="21">
        <f t="shared" si="2"/>
        <v>46200</v>
      </c>
      <c r="K8" s="8" t="s">
        <v>199</v>
      </c>
      <c r="L8" s="9">
        <v>12000</v>
      </c>
      <c r="M8" s="9"/>
      <c r="N8" s="48">
        <v>0</v>
      </c>
      <c r="O8" s="21">
        <f t="shared" si="3"/>
        <v>43100</v>
      </c>
      <c r="P8" s="8" t="s">
        <v>200</v>
      </c>
      <c r="Q8" s="9">
        <v>-12000</v>
      </c>
      <c r="R8" s="9"/>
      <c r="S8" s="48">
        <v>0</v>
      </c>
      <c r="T8" s="21">
        <f t="shared" si="4"/>
        <v>15700</v>
      </c>
      <c r="U8" s="53">
        <f>IF($J8="","",ROUND(($J8-$J$3)/1000,1)+(_xlfn.RANK.AVG($J8,($J8,$O8,$T8),1)-2)*10)</f>
        <v>21.2</v>
      </c>
      <c r="V8" s="54">
        <f>IF($O8="","",ROUND(($O8-$O$3)/1000,1)+(_xlfn.RANK.AVG($O8,($J8,$O8,$T8),1)-2)*10)</f>
        <v>8.1</v>
      </c>
      <c r="W8" s="55">
        <f>IF($T8="","",ROUND(($T8-$T$3)/1000,1)+(_xlfn.RANK.AVG($T8,($J8,$O8,$T8),1)-2)*10)</f>
        <v>-29.3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203</v>
      </c>
      <c r="AZ8" s="40" t="s">
        <v>201</v>
      </c>
      <c r="BA8" s="41" t="s">
        <v>204</v>
      </c>
      <c r="BB8" s="41" t="s">
        <v>86</v>
      </c>
      <c r="BC8" s="41" t="s">
        <v>79</v>
      </c>
      <c r="BD8" s="41" t="s">
        <v>80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205</v>
      </c>
      <c r="F9" s="8" t="s">
        <v>197</v>
      </c>
      <c r="G9" s="9">
        <v>-5800</v>
      </c>
      <c r="H9" s="9"/>
      <c r="I9" s="48">
        <v>-500</v>
      </c>
      <c r="J9" s="21">
        <f t="shared" si="2"/>
        <v>39900</v>
      </c>
      <c r="K9" s="8" t="s">
        <v>198</v>
      </c>
      <c r="L9" s="9">
        <v>11600</v>
      </c>
      <c r="M9" s="9"/>
      <c r="N9" s="48">
        <v>1000</v>
      </c>
      <c r="O9" s="21">
        <f t="shared" si="3"/>
        <v>55700</v>
      </c>
      <c r="P9" s="8" t="s">
        <v>197</v>
      </c>
      <c r="Q9" s="9">
        <v>-5800</v>
      </c>
      <c r="R9" s="9"/>
      <c r="S9" s="48">
        <v>-500</v>
      </c>
      <c r="T9" s="21">
        <f t="shared" si="4"/>
        <v>9400</v>
      </c>
      <c r="U9" s="53">
        <f>IF($J9="","",ROUND(($J9-$J$3)/1000,1)+(_xlfn.RANK.AVG($J9,($J9,$O9,$T9),1)-2)*10)</f>
        <v>4.9000000000000004</v>
      </c>
      <c r="V9" s="54">
        <f>IF($O9="","",ROUND(($O9-$O$3)/1000,1)+(_xlfn.RANK.AVG($O9,($J9,$O9,$T9),1)-2)*10)</f>
        <v>30.7</v>
      </c>
      <c r="W9" s="55">
        <f>IF($T9="","",ROUND(($T9-$T$3)/1000,1)+(_xlfn.RANK.AVG($T9,($J9,$O9,$T9),1)-2)*10)</f>
        <v>-35.6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201</v>
      </c>
      <c r="BA9" s="41" t="s">
        <v>82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205</v>
      </c>
      <c r="F10" s="8"/>
      <c r="G10" s="9"/>
      <c r="H10" s="9"/>
      <c r="I10" s="48"/>
      <c r="J10" s="21">
        <f t="shared" si="2"/>
        <v>39900</v>
      </c>
      <c r="K10" s="8" t="s">
        <v>199</v>
      </c>
      <c r="L10" s="9">
        <v>11600</v>
      </c>
      <c r="M10" s="9"/>
      <c r="N10" s="48">
        <v>2000</v>
      </c>
      <c r="O10" s="21">
        <f t="shared" si="3"/>
        <v>69300</v>
      </c>
      <c r="P10" s="8" t="s">
        <v>200</v>
      </c>
      <c r="Q10" s="9">
        <v>-11600</v>
      </c>
      <c r="R10" s="9"/>
      <c r="S10" s="48">
        <v>-2000</v>
      </c>
      <c r="T10" s="21">
        <f t="shared" si="4"/>
        <v>-4200</v>
      </c>
      <c r="U10" s="53">
        <f>IF($J10="","",ROUND(($J10-$J$3)/1000,1)+(_xlfn.RANK.AVG($J10,($J10,$O10,$T10),1)-2)*10)</f>
        <v>4.9000000000000004</v>
      </c>
      <c r="V10" s="54">
        <f>IF($O10="","",ROUND(($O10-$O$3)/1000,1)+(_xlfn.RANK.AVG($O10,($J10,$O10,$T10),1)-2)*10)</f>
        <v>44.3</v>
      </c>
      <c r="W10" s="55">
        <f>IF($T10="","",ROUND(($T10-$T$3)/1000,1)+(_xlfn.RANK.AVG($T10,($J10,$O10,$T10),1)-2)*10)</f>
        <v>-49.2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104</v>
      </c>
      <c r="BB10" s="41" t="s">
        <v>202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">
        <v>205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5555B217-9CA1-4257-BF21-C238EB316694}">
      <formula1>$U$2:$W$2</formula1>
    </dataValidation>
    <dataValidation type="list" showInputMessage="1" showErrorMessage="1" sqref="K4:K30 P4:P30 F4:F30" xr:uid="{9FA85113-937B-4BF8-B141-91634C15BF12}">
      <formula1>"ロン,ツモ,放銃,ツモ支払,流局,チョンボ"</formula1>
    </dataValidation>
    <dataValidation type="list" allowBlank="1" showInputMessage="1" sqref="F1:T1" xr:uid="{F4D7AA6F-FDC4-4902-85FD-927E4682AB2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2019-10-09T15:26:04Z</dcterms:modified>
</cp:coreProperties>
</file>