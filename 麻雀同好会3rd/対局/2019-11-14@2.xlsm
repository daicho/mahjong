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A8B0A86B-0A8E-4023-92A4-3D09B00D2629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19" l="1"/>
  <c r="V13" i="19"/>
  <c r="W13" i="19"/>
  <c r="W12" i="19"/>
  <c r="V12" i="19"/>
  <c r="V11" i="19"/>
  <c r="W11" i="19"/>
  <c r="U10" i="19"/>
  <c r="U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<sst xmlns="http://schemas.openxmlformats.org/spreadsheetml/2006/main" count="596" uniqueCount="209">
  <si>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</si>
  <si>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</si>
  <si>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</si>
  <si>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</si>
  <si>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</si>
  <si>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</si>
  <si>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</si>
  <si>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</si>
  <si>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</si>
  <si>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</si>
  <si>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</si>
  <si>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</si>
  <si>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</si>
  <si>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</si>
  <si>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</si>
  <si>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</si>
  <si>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</si>
  <si>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</si>
  <si>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</si>
  <si>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</si>
  <si>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</si>
  <si>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</si>
  <si>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</si>
  <si>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</si>
  <si>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</si>
  <si>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</si>
  <si>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</si>
  <si>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</si>
  <si>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</si>
  <si>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</si>
  <si>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</si>
  <si>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</si>
  <si>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</si>
  <si>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</si>
  <si>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</si>
  <si>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</si>
  <si>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</si>
  <si>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</si>
  <si>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</si>
  <si>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</si>
  <si>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</si>
  <si>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</si>
  <si>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</si>
  <si>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</si>
  <si>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</si>
  <si>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</si>
  <si>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</si>
  <si>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</si>
  <si>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</si>
  <si>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</si>
  <si>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</si>
  <si>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</si>
  <si>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</si>
  <si>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</si>
  <si>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</si>
  <si>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</si>
  <si>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</si>
  <si>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</si>
  <si>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</si>
  <si>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</si>
  <si>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</si>
  <si>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</si>
  <si>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</si>
  <si>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</si>
  <si>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</si>
  <si>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</si>
  <si>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</si>
  <si>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</si>
  <si>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</si>
  <si>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</si>
  <si>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</si>
  <si>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</si>
  <si>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</si>
  <si>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</si>
  <si>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</si>
  <si>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</si>
  <si>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</si>
  <si>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</si>
  <si>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</si>
  <si>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</si>
  <si>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</si>
  <si>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</si>
  <si>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</si>
  <si>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</si>
  <si>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</si>
  <si>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</si>
  <si>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</si>
  <si>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</si>
  <si>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</si>
  <si>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</si>
  <si>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</si>
  <si>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</si>
  <si>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</si>
  <si>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</si>
  <si>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</si>
  <si>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</si>
  <si>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</si>
  <si>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</si>
  <si>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</si>
  <si>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</si>
  <si>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</si>
  <si>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</si>
  <si>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</si>
  <si>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</si>
  <si>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</si>
  <si>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</si>
  <si>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</si>
  <si>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</si>
  <si>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</si>
  <si>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</si>
  <si>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</si>
  <si>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</si>
  <si>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</si>
  <si>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</si>
  <si>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</si>
  <si>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</si>
  <si>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</si>
  <si>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</si>
  <si>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</si>
  <si>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</si>
  <si>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</si>
  <si>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</si>
  <si>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</si>
  <si>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</si>
  <si>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</si>
  <si>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</si>
  <si>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</si>
  <si>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</si>
  <si>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</si>
  <si>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</si>
  <si>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</si>
  <si>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</si>
  <si>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</si>
  <si>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</si>
  <si>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</si>
  <si>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</si>
  <si>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</si>
  <si>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</si>
  <si>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</si>
  <si>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</si>
  <si>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</si>
  <si>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</si>
  <si>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</si>
  <si>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</si>
  <si>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</si>
  <si>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</si>
  <si>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</si>
  <si>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</si>
  <si>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</si>
  <si>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</si>
  <si>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</si>
  <si>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</si>
  <si>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</si>
  <si>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</si>
  <si>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</si>
  <si>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</si>
  <si>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</si>
  <si>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</si>
  <si>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</si>
  <si>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</si>
  <si>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</si>
  <si>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</si>
  <si>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</si>
  <si>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</si>
  <si>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</si>
  <si>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</si>
  <si>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</si>
  <si>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</si>
  <si>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</si>
  <si>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</si>
  <si>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</si>
  <si>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</si>
  <si>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</si>
  <si>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</si>
  <si>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</si>
  <si>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</si>
  <si>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</si>
  <si>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</si>
  <si>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</si>
  <si>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</si>
  <si>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</si>
  <si>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</si>
  <si>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</si>
  <si>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</si>
  <si>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</si>
  <si>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</si>
  <si>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</si>
  <si>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</si>
  <si>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</si>
  <si>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</si>
  <si>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</si>
  <si>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</si>
  <si>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</si>
  <si>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りくと</t>
  </si>
  <si>
    <t>りくと</t>
    <phoneticPr fontId="1"/>
  </si>
  <si>
    <t>ぱぱ</t>
  </si>
  <si>
    <t>ぱぱ</t>
    <phoneticPr fontId="1"/>
  </si>
  <si>
    <t>ツモ支払</t>
  </si>
  <si>
    <t>ツモ</t>
  </si>
  <si>
    <t>01</t>
  </si>
  <si>
    <t>52</t>
  </si>
  <si>
    <t>ロン</t>
  </si>
  <si>
    <t>放銃</t>
  </si>
  <si>
    <t>51</t>
  </si>
  <si>
    <t>*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</si>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</sst>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りくと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ぱぱ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198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197</v>
      </c>
      <c r="Q4" s="9">
        <v>-2500</v>
      </c>
      <c r="R4" s="9"/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IF($J4="","",ROUND(($J4-$J$3)/1000,1)+(_xlfn.RANK.AVG($J4,($J4,$O4,$T4),1)-2)*10)</f>
        <v>-1.5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-12.5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30</v>
      </c>
      <c r="AZ4" s="40" t="s">
        <v>199</v>
      </c>
      <c r="BA4" s="41" t="s">
        <v>79</v>
      </c>
      <c r="BB4" s="41" t="s">
        <v>200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2000</v>
      </c>
      <c r="H5" s="9"/>
      <c r="I5" s="48">
        <v>0</v>
      </c>
      <c r="J5" s="21">
        <f t="shared" ref="J5:J30" si="2">IF(COUNTA($F5,$K5,$P5)&gt;0,J4+SUM(G5:I5),"")</f>
        <v>35500</v>
      </c>
      <c r="K5" s="8"/>
      <c r="L5" s="9"/>
      <c r="M5" s="9"/>
      <c r="N5" s="48"/>
      <c r="O5" s="21">
        <f t="shared" ref="O5:O30" si="3">IF(COUNTA($F5,$K5,$P5)&gt;0,O4+SUM(L5:N5),"")</f>
        <v>39000</v>
      </c>
      <c r="P5" s="8" t="s">
        <v>202</v>
      </c>
      <c r="Q5" s="9">
        <v>-2000</v>
      </c>
      <c r="R5" s="9"/>
      <c r="S5" s="48">
        <v>0</v>
      </c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14</v>
      </c>
      <c r="W5" s="55">
        <f>IF($T5="","",ROUND(($T5-$T$3)/1000,1)+(_xlfn.RANK.AVG($T5,($J5,$O5,$T5),1)-2)*10)</f>
        <v>-14.5</v>
      </c>
      <c r="Y5" s="8"/>
      <c r="Z5" s="34"/>
      <c r="AA5" s="26"/>
      <c r="AB5" s="26">
        <v>1</v>
      </c>
      <c r="AC5" s="26">
        <v>1</v>
      </c>
      <c r="AD5" s="30">
        <v>40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201</v>
      </c>
      <c r="G6" s="9">
        <v>12000</v>
      </c>
      <c r="H6" s="9">
        <v>1000</v>
      </c>
      <c r="I6" s="48">
        <v>1000</v>
      </c>
      <c r="J6" s="21">
        <f t="shared" si="2"/>
        <v>49500</v>
      </c>
      <c r="K6" s="8"/>
      <c r="L6" s="9"/>
      <c r="M6" s="9"/>
      <c r="N6" s="48"/>
      <c r="O6" s="21">
        <f t="shared" si="3"/>
        <v>39000</v>
      </c>
      <c r="P6" s="8" t="s">
        <v>202</v>
      </c>
      <c r="Q6" s="9">
        <v>-12000</v>
      </c>
      <c r="R6" s="9">
        <v>-1000</v>
      </c>
      <c r="S6" s="48">
        <v>-1000</v>
      </c>
      <c r="T6" s="21">
        <f t="shared" si="4"/>
        <v>16500</v>
      </c>
      <c r="U6" s="53">
        <f>IF($J6="","",ROUND(($J6-$J$3)/1000,1)+(_xlfn.RANK.AVG($J6,($J6,$O6,$T6),1)-2)*10)</f>
        <v>24.5</v>
      </c>
      <c r="V6" s="54">
        <f>IF($O6="","",ROUND(($O6-$O$3)/1000,1)+(_xlfn.RANK.AVG($O6,($J6,$O6,$T6),1)-2)*10)</f>
        <v>4</v>
      </c>
      <c r="W6" s="55">
        <f>IF($T6="","",ROUND(($T6-$T$3)/1000,1)+(_xlfn.RANK.AVG($T6,($J6,$O6,$T6),1)-2)*10)</f>
        <v>-28.5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203</v>
      </c>
      <c r="AF6" s="41" t="s">
        <v>79</v>
      </c>
      <c r="AG6" s="41" t="s">
        <v>80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202</v>
      </c>
      <c r="G7" s="9">
        <v>-5200</v>
      </c>
      <c r="H7" s="9"/>
      <c r="I7" s="48">
        <v>-2000</v>
      </c>
      <c r="J7" s="21">
        <f t="shared" si="2"/>
        <v>42300</v>
      </c>
      <c r="K7" s="8" t="s">
        <v>201</v>
      </c>
      <c r="L7" s="9">
        <v>5200</v>
      </c>
      <c r="M7" s="9"/>
      <c r="N7" s="48">
        <v>2000</v>
      </c>
      <c r="O7" s="21">
        <f t="shared" si="3"/>
        <v>46200</v>
      </c>
      <c r="P7" s="8"/>
      <c r="Q7" s="9"/>
      <c r="R7" s="9"/>
      <c r="S7" s="48"/>
      <c r="T7" s="21">
        <f t="shared" si="4"/>
        <v>16500</v>
      </c>
      <c r="U7" s="53">
        <f>IF($J7="","",ROUND(($J7-$J$3)/1000,1)+(_xlfn.RANK.AVG($J7,($J7,$O7,$T7),1)-2)*10)</f>
        <v>7.3</v>
      </c>
      <c r="V7" s="54">
        <f>IF($O7="","",ROUND(($O7-$O$3)/1000,1)+(_xlfn.RANK.AVG($O7,($J7,$O7,$T7),1)-2)*10)</f>
        <v>21.2</v>
      </c>
      <c r="W7" s="55">
        <f>IF($T7="","",ROUND(($T7-$T$3)/1000,1)+(_xlfn.RANK.AVG($T7,($J7,$O7,$T7),1)-2)*10)</f>
        <v>-28.5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199</v>
      </c>
      <c r="BA7" s="41" t="s">
        <v>84</v>
      </c>
      <c r="BB7" s="41" t="s">
        <v>200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-4500</v>
      </c>
      <c r="H8" s="9"/>
      <c r="I8" s="48">
        <v>0</v>
      </c>
      <c r="J8" s="21">
        <f t="shared" si="2"/>
        <v>37800</v>
      </c>
      <c r="K8" s="8" t="s">
        <v>197</v>
      </c>
      <c r="L8" s="9">
        <v>-7500</v>
      </c>
      <c r="M8" s="9"/>
      <c r="N8" s="48">
        <v>0</v>
      </c>
      <c r="O8" s="21">
        <f t="shared" si="3"/>
        <v>38700</v>
      </c>
      <c r="P8" s="8" t="s">
        <v>198</v>
      </c>
      <c r="Q8" s="9">
        <v>12000</v>
      </c>
      <c r="R8" s="9"/>
      <c r="S8" s="48">
        <v>0</v>
      </c>
      <c r="T8" s="21">
        <f t="shared" si="4"/>
        <v>28500</v>
      </c>
      <c r="U8" s="53">
        <f>IF($J8="","",ROUND(($J8-$J$3)/1000,1)+(_xlfn.RANK.AVG($J8,($J8,$O8,$T8),1)-2)*10)</f>
        <v>2.8</v>
      </c>
      <c r="V8" s="54">
        <f>IF($O8="","",ROUND(($O8-$O$3)/1000,1)+(_xlfn.RANK.AVG($O8,($J8,$O8,$T8),1)-2)*10)</f>
        <v>13.7</v>
      </c>
      <c r="W8" s="55">
        <f>IF($T8="","",ROUND(($T8-$T$3)/1000,1)+(_xlfn.RANK.AVG($T8,($J8,$O8,$T8),1)-2)*10)</f>
        <v>-16.5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204</v>
      </c>
      <c r="BU8" s="40" t="s">
        <v>199</v>
      </c>
      <c r="BV8" s="41" t="s">
        <v>82</v>
      </c>
      <c r="BW8" s="41" t="s">
        <v>79</v>
      </c>
      <c r="BX8" s="41" t="s">
        <v>80</v>
      </c>
      <c r="BY8" s="41" t="s">
        <v>80</v>
      </c>
      <c r="BZ8" s="41" t="s">
        <v>205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208</v>
      </c>
      <c r="G9" s="9">
        <v>1500</v>
      </c>
      <c r="H9" s="9"/>
      <c r="I9" s="48"/>
      <c r="J9" s="21">
        <f t="shared" si="2"/>
        <v>39300</v>
      </c>
      <c r="K9" s="8" t="s">
        <v>208</v>
      </c>
      <c r="L9" s="9">
        <v>-3000</v>
      </c>
      <c r="M9" s="9"/>
      <c r="N9" s="48"/>
      <c r="O9" s="21">
        <f t="shared" si="3"/>
        <v>35700</v>
      </c>
      <c r="P9" s="8" t="s">
        <v>208</v>
      </c>
      <c r="Q9" s="9">
        <v>1500</v>
      </c>
      <c r="R9" s="9"/>
      <c r="S9" s="48"/>
      <c r="T9" s="21">
        <f t="shared" si="4"/>
        <v>30000</v>
      </c>
      <c r="U9" s="53">
        <f>IF($J9="","",ROUND(($J9-$J$3)/1000,1)+(_xlfn.RANK.AVG($J9,($J9,$O9,$T9),1)-2)*10)</f>
        <v>14.3</v>
      </c>
      <c r="V9" s="54">
        <f>IF($O9="","",ROUND(($O9-$O$3)/1000,1)+(_xlfn.RANK.AVG($O9,($J9,$O9,$T9),1)-2)*10)</f>
        <v>0.7</v>
      </c>
      <c r="W9" s="55">
        <f>IF($T9="","",ROUND(($T9-$T$3)/1000,1)+(_xlfn.RANK.AVG($T9,($J9,$O9,$T9),1)-2)*10)</f>
        <v>-15</v>
      </c>
      <c r="Y9" s="8" t="s">
        <v>206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197</v>
      </c>
      <c r="G10" s="9">
        <v>-800</v>
      </c>
      <c r="H10" s="9"/>
      <c r="I10" s="48">
        <v>-500</v>
      </c>
      <c r="J10" s="21">
        <f t="shared" si="2"/>
        <v>38000</v>
      </c>
      <c r="K10" s="8" t="s">
        <v>198</v>
      </c>
      <c r="L10" s="9">
        <v>2100</v>
      </c>
      <c r="M10" s="9"/>
      <c r="N10" s="48">
        <v>1000</v>
      </c>
      <c r="O10" s="21">
        <f t="shared" si="3"/>
        <v>38800</v>
      </c>
      <c r="P10" s="8" t="s">
        <v>197</v>
      </c>
      <c r="Q10" s="9">
        <v>-1300</v>
      </c>
      <c r="R10" s="9"/>
      <c r="S10" s="48">
        <v>-500</v>
      </c>
      <c r="T10" s="21">
        <f t="shared" si="4"/>
        <v>28200</v>
      </c>
      <c r="U10" s="53">
        <f>IF($J10="","",ROUND(($J10-$J$3)/1000,1)+(_xlfn.RANK.AVG($J10,($J10,$O10,$T10),1)-2)*10)</f>
        <v>3</v>
      </c>
      <c r="V10" s="54">
        <f>IF($O10="","",ROUND(($O10-$O$3)/1000,1)+(_xlfn.RANK.AVG($O10,($J10,$O10,$T10),1)-2)*10)</f>
        <v>13.8</v>
      </c>
      <c r="W10" s="55">
        <f>IF($T10="","",ROUND(($T10-$T$3)/1000,1)+(_xlfn.RANK.AVG($T10,($J10,$O10,$T10),1)-2)*10)</f>
        <v>-16.8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82</v>
      </c>
      <c r="BA10" s="41" t="s">
        <v>200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201</v>
      </c>
      <c r="G11" s="9">
        <v>2900</v>
      </c>
      <c r="H11" s="9"/>
      <c r="I11" s="48">
        <v>0</v>
      </c>
      <c r="J11" s="21">
        <f t="shared" si="2"/>
        <v>40900</v>
      </c>
      <c r="K11" s="8"/>
      <c r="L11" s="9"/>
      <c r="M11" s="9"/>
      <c r="N11" s="48"/>
      <c r="O11" s="21">
        <f t="shared" si="3"/>
        <v>38800</v>
      </c>
      <c r="P11" s="8" t="s">
        <v>202</v>
      </c>
      <c r="Q11" s="9">
        <v>-2900</v>
      </c>
      <c r="R11" s="9"/>
      <c r="S11" s="48">
        <v>0</v>
      </c>
      <c r="T11" s="21">
        <f t="shared" si="4"/>
        <v>25300</v>
      </c>
      <c r="U11" s="53">
        <f>IF($J11="","",ROUND(($J11-$J$3)/1000,1)+(_xlfn.RANK.AVG($J11,($J11,$O11,$T11),1)-2)*10)</f>
        <v>15.9</v>
      </c>
      <c r="V11" s="54">
        <f>IF($O11="","",ROUND(($O11-$O$3)/1000,1)+(_xlfn.RANK.AVG($O11,($J11,$O11,$T11),1)-2)*10)</f>
        <v>3.8</v>
      </c>
      <c r="W11" s="55">
        <f>IF($T11="","",ROUND(($T11-$T$3)/1000,1)+(_xlfn.RANK.AVG($T11,($J11,$O11,$T11),1)-2)*10)</f>
        <v>-19.7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200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197</v>
      </c>
      <c r="G12" s="9">
        <v>-3300</v>
      </c>
      <c r="H12" s="9"/>
      <c r="I12" s="48">
        <v>-500</v>
      </c>
      <c r="J12" s="21">
        <f t="shared" si="2"/>
        <v>37100</v>
      </c>
      <c r="K12" s="8" t="s">
        <v>198</v>
      </c>
      <c r="L12" s="9">
        <v>5300</v>
      </c>
      <c r="M12" s="9"/>
      <c r="N12" s="48">
        <v>1000</v>
      </c>
      <c r="O12" s="21">
        <f t="shared" si="3"/>
        <v>45100</v>
      </c>
      <c r="P12" s="8" t="s">
        <v>197</v>
      </c>
      <c r="Q12" s="9">
        <v>-2000</v>
      </c>
      <c r="R12" s="9"/>
      <c r="S12" s="48">
        <v>-500</v>
      </c>
      <c r="T12" s="21">
        <f t="shared" si="4"/>
        <v>22800</v>
      </c>
      <c r="U12" s="53">
        <f>IF($J12="","",ROUND(($J12-$J$3)/1000,1)+(_xlfn.RANK.AVG($J12,($J12,$O12,$T12),1)-2)*10)</f>
        <v>2.1</v>
      </c>
      <c r="V12" s="54">
        <f>IF($O12="","",ROUND(($O12-$O$3)/1000,1)+(_xlfn.RANK.AVG($O12,($J12,$O12,$T12),1)-2)*10)</f>
        <v>20.100000000000001</v>
      </c>
      <c r="W12" s="55">
        <f>IF($T12="","",ROUND(($T12-$T$3)/1000,1)+(_xlfn.RANK.AVG($T12,($J12,$O12,$T12),1)-2)*10)</f>
        <v>-22.2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20</v>
      </c>
      <c r="AZ12" s="40" t="s">
        <v>199</v>
      </c>
      <c r="BA12" s="41" t="s">
        <v>82</v>
      </c>
      <c r="BB12" s="41" t="s">
        <v>83</v>
      </c>
      <c r="BC12" s="41" t="s">
        <v>79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>
        <v>-1000</v>
      </c>
      <c r="I13" s="48"/>
      <c r="J13" s="21">
        <f t="shared" si="2"/>
        <v>36100</v>
      </c>
      <c r="K13" s="8" t="s">
        <v>201</v>
      </c>
      <c r="L13" s="9">
        <v>2900</v>
      </c>
      <c r="M13" s="9">
        <v>1000</v>
      </c>
      <c r="N13" s="48">
        <v>0</v>
      </c>
      <c r="O13" s="21">
        <f t="shared" si="3"/>
        <v>49000</v>
      </c>
      <c r="P13" s="8" t="s">
        <v>202</v>
      </c>
      <c r="Q13" s="9">
        <v>-2900</v>
      </c>
      <c r="R13" s="9"/>
      <c r="S13" s="48">
        <v>0</v>
      </c>
      <c r="T13" s="21">
        <f t="shared" si="4"/>
        <v>19900</v>
      </c>
      <c r="U13" s="53">
        <f>IF($J13="","",ROUND(($J13-$J$3)/1000,1)+(_xlfn.RANK.AVG($J13,($J13,$O13,$T13),1)-2)*10)</f>
        <v>1.1000000000000001</v>
      </c>
      <c r="V13" s="54">
        <f>IF($O13="","",ROUND(($O13-$O$3)/1000,1)+(_xlfn.RANK.AVG($O13,($J13,$O13,$T13),1)-2)*10)</f>
        <v>24</v>
      </c>
      <c r="W13" s="55">
        <f>IF($T13="","",ROUND(($T13-$T$3)/1000,1)+(_xlfn.RANK.AVG($T13,($J13,$O13,$T13),1)-2)*10)</f>
        <v>-25.1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B530059-E5E7-48DD-99EC-63E31274319F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2019-11-14T08:52:26Z</dcterms:modified>
</cp:coreProperties>
</file>