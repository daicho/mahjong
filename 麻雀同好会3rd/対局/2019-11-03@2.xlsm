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3E2AB425-0EF4-4569-985B-5F25739F929A}" xr6:coauthVersionLast="41" xr6:coauthVersionMax="41" xr10:uidLastSave="{00000000-0000-0000-0000-000000000000}"/>
  <bookViews>
    <workbookView xWindow="-120" yWindow="-120" windowWidth="20730" windowHeight="1131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O12" i="20"/>
  <c r="J12" i="20"/>
  <c r="D12" i="20"/>
  <c r="C12" i="20"/>
  <c r="B12" i="20"/>
  <c r="A12" i="20"/>
  <c r="T11" i="20"/>
  <c r="O11" i="20"/>
  <c r="J11" i="20"/>
  <c r="U11" i="20" s="1"/>
  <c r="D11" i="20"/>
  <c r="C11" i="20"/>
  <c r="B11" i="20"/>
  <c r="A11" i="20" s="1"/>
  <c r="T10" i="20"/>
  <c r="O10" i="20"/>
  <c r="J10" i="20"/>
  <c r="U10" i="20" s="1"/>
  <c r="D10" i="20"/>
  <c r="C10" i="20"/>
  <c r="B10" i="20"/>
  <c r="A10" i="20" s="1"/>
  <c r="T9" i="20"/>
  <c r="O9" i="20"/>
  <c r="J9" i="20"/>
  <c r="U9" i="20" s="1"/>
  <c r="D9" i="20"/>
  <c r="C9" i="20"/>
  <c r="B9" i="20"/>
  <c r="A9" i="20" s="1"/>
  <c r="T8" i="20"/>
  <c r="O8" i="20"/>
  <c r="J8" i="20"/>
  <c r="D8" i="20"/>
  <c r="C8" i="20"/>
  <c r="B8" i="20"/>
  <c r="A8" i="20"/>
  <c r="D7" i="20"/>
  <c r="C7" i="20"/>
  <c r="D6" i="20"/>
  <c r="C6" i="20"/>
  <c r="T5" i="20"/>
  <c r="O5" i="20"/>
  <c r="D5" i="20"/>
  <c r="C5" i="20"/>
  <c r="B5" i="20"/>
  <c r="B6" i="20" s="1"/>
  <c r="T4" i="20"/>
  <c r="O4" i="20"/>
  <c r="V4" i="20" s="1"/>
  <c r="J4" i="20"/>
  <c r="W3" i="20"/>
  <c r="V3" i="20"/>
  <c r="U3" i="20"/>
  <c r="W2" i="20"/>
  <c r="V2" i="20"/>
  <c r="U2" i="20"/>
  <c r="BO1" i="20"/>
  <c r="AT1" i="20"/>
  <c r="Y1" i="20"/>
  <c r="V12" i="20" l="1"/>
  <c r="W12" i="20"/>
  <c r="U12" i="20"/>
  <c r="V11" i="20"/>
  <c r="W11" i="20"/>
  <c r="V10" i="20"/>
  <c r="W10" i="20"/>
  <c r="V9" i="20"/>
  <c r="W9" i="20"/>
  <c r="U8" i="20"/>
  <c r="W8" i="20"/>
  <c r="V8" i="20"/>
  <c r="W4" i="20"/>
  <c r="U4" i="20"/>
  <c r="B7" i="20"/>
  <c r="A7" i="20" s="1"/>
  <c r="J5" i="20"/>
  <c r="V5" i="20" s="1"/>
  <c r="O6" i="20"/>
  <c r="A5" i="20"/>
  <c r="A6" i="20" s="1"/>
  <c r="T6" i="20"/>
  <c r="W3" i="19"/>
  <c r="V3" i="19"/>
  <c r="U3" i="19"/>
  <c r="W5" i="20" l="1"/>
  <c r="T7" i="20"/>
  <c r="O7" i="20"/>
  <c r="U5" i="20"/>
  <c r="J6" i="20"/>
  <c r="W6" i="20" s="1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V9" i="19" s="1"/>
  <c r="J9" i="19"/>
  <c r="U9" i="19" s="1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W7" i="20" l="1"/>
  <c r="U6" i="20"/>
  <c r="J7" i="20"/>
  <c r="U7" i="20" s="1"/>
  <c r="V6" i="20"/>
  <c r="U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V7" i="20" l="1"/>
  <c r="W5" i="19"/>
  <c r="V5" i="19"/>
  <c r="U5" i="19"/>
</calcChain>
</file>

<file path=xl/sharedStrings.xml><?xml version="1.0" encoding="utf-8"?>
<sst xmlns="http://schemas.openxmlformats.org/spreadsheetml/2006/main" count="674" uniqueCount="210">
  <si>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</si>
  <si>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</si>
  <si>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</si>
  <si>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</si>
  <si>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</si>
  <si>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</si>
  <si>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</si>
  <si>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</si>
  <si>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</si>
  <si>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</si>
  <si>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</si>
  <si>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</si>
  <si>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</si>
  <si>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</si>
  <si>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</si>
  <si>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</si>
  <si>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</si>
  <si>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</si>
  <si>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</si>
  <si>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</si>
  <si>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</si>
  <si>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</si>
  <si>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</si>
  <si>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</si>
  <si>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</si>
  <si>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</si>
  <si>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</si>
  <si>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</si>
  <si>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</si>
  <si>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</si>
  <si>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</si>
  <si>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</si>
  <si>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</si>
  <si>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</si>
  <si>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</si>
  <si>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</si>
  <si>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</si>
  <si>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</si>
  <si>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</si>
  <si>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</si>
  <si>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</si>
  <si>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</si>
  <si>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</si>
  <si>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</si>
  <si>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</si>
  <si>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</si>
  <si>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</si>
  <si>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</si>
  <si>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</si>
  <si>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</si>
  <si>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</si>
  <si>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</si>
  <si>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</si>
  <si>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</si>
  <si>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</si>
  <si>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</si>
  <si>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</si>
  <si>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</si>
  <si>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</si>
  <si>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</si>
  <si>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</si>
  <si>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</si>
  <si>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</si>
  <si>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</si>
  <si>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</si>
  <si>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</si>
  <si>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</si>
  <si>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</si>
  <si>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</si>
  <si>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</si>
  <si>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</si>
  <si>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</si>
  <si>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</si>
  <si>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</si>
  <si>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</si>
  <si>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</si>
  <si>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</si>
  <si>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</si>
  <si>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</si>
  <si>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</si>
  <si>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</si>
  <si>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</si>
  <si>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</si>
  <si>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</si>
  <si>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</si>
  <si>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</si>
  <si>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</si>
  <si>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</si>
  <si>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</si>
  <si>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</si>
  <si>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</si>
  <si>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</si>
  <si>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</si>
  <si>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</si>
  <si>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</si>
  <si>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</si>
  <si>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</si>
  <si>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</si>
  <si>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</si>
  <si>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</si>
  <si>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</si>
  <si>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</si>
  <si>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</si>
  <si>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</si>
  <si>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</si>
  <si>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</si>
  <si>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</si>
  <si>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</si>
  <si>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</si>
  <si>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</si>
  <si>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</si>
  <si>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</si>
  <si>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</si>
  <si>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</si>
  <si>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</si>
  <si>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</si>
  <si>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</si>
  <si>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</si>
  <si>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</si>
  <si>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</si>
  <si>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</si>
  <si>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</si>
  <si>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</si>
  <si>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</si>
  <si>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</si>
  <si>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</si>
  <si>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</si>
  <si>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</si>
  <si>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</si>
  <si>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</si>
  <si>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</si>
  <si>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</si>
  <si>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</si>
  <si>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</si>
  <si>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</si>
  <si>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</si>
  <si>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</si>
  <si>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</si>
  <si>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</si>
  <si>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</si>
  <si>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</si>
  <si>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</si>
  <si>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</si>
  <si>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</si>
  <si>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</si>
  <si>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</si>
  <si>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</si>
  <si>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</si>
  <si>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</si>
  <si>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</si>
  <si>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</si>
  <si>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</si>
  <si>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</si>
  <si>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</si>
  <si>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</si>
  <si>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</si>
  <si>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</si>
  <si>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</si>
  <si>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</si>
  <si>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</si>
  <si>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</si>
  <si>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</si>
  <si>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</si>
  <si>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</si>
  <si>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</si>
  <si>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</si>
  <si>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</si>
  <si>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</si>
  <si>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</si>
  <si>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</si>
  <si>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</si>
  <si>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</si>
  <si>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</si>
  <si>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</si>
  <si>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</si>
  <si>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</si>
  <si>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</si>
  <si>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</si>
  <si>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</si>
  <si>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</si>
  <si>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</si>
  <si>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</si>
  <si>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</si>
  <si>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</si>
  <si>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</si>
  <si>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</si>
  <si>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</si>
  <si>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</si>
  <si>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</si>
  <si>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</si>
  <si>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</si>
  <si>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りくと</t>
  </si>
  <si>
    <t>りくと</t>
    <phoneticPr fontId="1"/>
  </si>
  <si>
    <t>ただ</t>
  </si>
  <si>
    <t>ただ</t>
    <phoneticPr fontId="1"/>
  </si>
  <si>
    <t>だいち</t>
  </si>
  <si>
    <t>だいち</t>
    <phoneticPr fontId="1"/>
  </si>
  <si>
    <t>チョンボ</t>
  </si>
  <si>
    <t>ツモ支払</t>
  </si>
  <si>
    <t>ツモ</t>
  </si>
  <si>
    <t>放銃</t>
  </si>
  <si>
    <t>ロン</t>
  </si>
  <si>
    <t>52</t>
  </si>
  <si>
    <t>*</t>
  </si>
  <si>
    <t>01</t>
  </si>
  <si>
    <t>02</t>
  </si>
  <si>
    <t>T</t>
  </si>
  <si>
    <t>N</t>
  </si>
  <si>
    <t>流局</t>
    <phoneticPr fontId="1"/>
  </si>
  <si>
    <t>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</si>
</sst>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りくと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ただ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ただ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197</v>
      </c>
      <c r="G4" s="9">
        <v>-8000</v>
      </c>
      <c r="H4" s="9"/>
      <c r="I4" s="48"/>
      <c r="J4" s="21">
        <f>IF(COUNTA($F4,$K4,$P4)&gt;0,J3+SUM(G4:I4),"")</f>
        <v>27000</v>
      </c>
      <c r="K4" s="8" t="s">
        <v>197</v>
      </c>
      <c r="L4" s="9">
        <v>5000</v>
      </c>
      <c r="M4" s="9"/>
      <c r="N4" s="48"/>
      <c r="O4" s="21">
        <f>IF(COUNTA($F4,$K4,$P4)&gt;0,O3+SUM(L4:N4),"")</f>
        <v>40000</v>
      </c>
      <c r="P4" s="8" t="s">
        <v>197</v>
      </c>
      <c r="Q4" s="9">
        <v>3000</v>
      </c>
      <c r="R4" s="9"/>
      <c r="S4" s="48"/>
      <c r="T4" s="21">
        <f>IF(COUNTA($F4,$K4,$P4)&gt;0,T3+SUM(Q4:S4),"")</f>
        <v>38000</v>
      </c>
      <c r="U4" s="53">
        <f>IF($J4="","",ROUND(($J4-$J$3)/1000,1)+(_xlfn.RANK.AVG($J4,($J4,$O4,$T4),1)-2)*10)</f>
        <v>-18</v>
      </c>
      <c r="V4" s="54">
        <f>IF($O4="","",ROUND(($O4-$O$3)/1000,1)+(_xlfn.RANK.AVG($O4,($J4,$O4,$T4),1)-2)*10)</f>
        <v>15</v>
      </c>
      <c r="W4" s="55">
        <f>IF($T4="","",ROUND(($T4-$T$3)/1000,1)+(_xlfn.RANK.AVG($T4,($J4,$O4,$T4),1)-2)*10)</f>
        <v>3</v>
      </c>
      <c r="Y4" s="8"/>
      <c r="Z4" s="34">
        <v>1</v>
      </c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198</v>
      </c>
      <c r="G5" s="9">
        <v>-1800</v>
      </c>
      <c r="H5" s="9">
        <v>-1000</v>
      </c>
      <c r="I5" s="48">
        <v>0</v>
      </c>
      <c r="J5" s="21">
        <f t="shared" ref="J5:J30" si="2">IF(COUNTA($F5,$K5,$P5)&gt;0,J4+SUM(G5:I5),"")</f>
        <v>24200</v>
      </c>
      <c r="K5" s="8" t="s">
        <v>198</v>
      </c>
      <c r="L5" s="9">
        <v>-2900</v>
      </c>
      <c r="M5" s="9"/>
      <c r="N5" s="48">
        <v>0</v>
      </c>
      <c r="O5" s="21">
        <f t="shared" ref="O5:O30" si="3">IF(COUNTA($F5,$K5,$P5)&gt;0,O4+SUM(L5:N5),"")</f>
        <v>37100</v>
      </c>
      <c r="P5" s="8" t="s">
        <v>199</v>
      </c>
      <c r="Q5" s="9">
        <v>4700</v>
      </c>
      <c r="R5" s="9">
        <v>1000</v>
      </c>
      <c r="S5" s="48">
        <v>0</v>
      </c>
      <c r="T5" s="21">
        <f t="shared" ref="T5:T30" si="4">IF(COUNTA($F5,$K5,$P5)&gt;0,T4+SUM(Q5:S5),"")</f>
        <v>43700</v>
      </c>
      <c r="U5" s="53">
        <f>IF($J5="","",ROUND(($J5-$J$3)/1000,1)+(_xlfn.RANK.AVG($J5,($J5,$O5,$T5),1)-2)*10)</f>
        <v>-20.8</v>
      </c>
      <c r="V5" s="54">
        <f>IF($O5="","",ROUND(($O5-$O$3)/1000,1)+(_xlfn.RANK.AVG($O5,($J5,$O5,$T5),1)-2)*10)</f>
        <v>2.1</v>
      </c>
      <c r="W5" s="55">
        <f>IF($T5="","",ROUND(($T5-$T$3)/1000,1)+(_xlfn.RANK.AVG($T5,($J5,$O5,$T5),1)-2)*10)</f>
        <v>18.7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2</v>
      </c>
      <c r="BT5" s="30">
        <v>70</v>
      </c>
      <c r="BU5" s="40" t="s">
        <v>86</v>
      </c>
      <c r="BV5" s="41" t="s">
        <v>93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200</v>
      </c>
      <c r="G6" s="9">
        <v>-2900</v>
      </c>
      <c r="H6" s="9"/>
      <c r="I6" s="48">
        <v>0</v>
      </c>
      <c r="J6" s="21">
        <f t="shared" si="2"/>
        <v>21300</v>
      </c>
      <c r="K6" s="8"/>
      <c r="L6" s="9"/>
      <c r="M6" s="9"/>
      <c r="N6" s="48"/>
      <c r="O6" s="21">
        <f t="shared" si="3"/>
        <v>37100</v>
      </c>
      <c r="P6" s="8" t="s">
        <v>201</v>
      </c>
      <c r="Q6" s="9">
        <v>2900</v>
      </c>
      <c r="R6" s="9"/>
      <c r="S6" s="48">
        <v>0</v>
      </c>
      <c r="T6" s="21">
        <f t="shared" si="4"/>
        <v>46600</v>
      </c>
      <c r="U6" s="53">
        <f>IF($J6="","",ROUND(($J6-$J$3)/1000,1)+(_xlfn.RANK.AVG($J6,($J6,$O6,$T6),1)-2)*10)</f>
        <v>-23.7</v>
      </c>
      <c r="V6" s="54">
        <f>IF($O6="","",ROUND(($O6-$O$3)/1000,1)+(_xlfn.RANK.AVG($O6,($J6,$O6,$T6),1)-2)*10)</f>
        <v>2.1</v>
      </c>
      <c r="W6" s="55">
        <f>IF($T6="","",ROUND(($T6-$T$3)/1000,1)+(_xlfn.RANK.AVG($T6,($J6,$O6,$T6),1)-2)*10)</f>
        <v>21.6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2</v>
      </c>
      <c r="BT6" s="30">
        <v>30</v>
      </c>
      <c r="BU6" s="40" t="s">
        <v>86</v>
      </c>
      <c r="BV6" s="41" t="s">
        <v>202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195</v>
      </c>
      <c r="F7" s="8" t="s">
        <v>198</v>
      </c>
      <c r="G7" s="9">
        <v>-24000</v>
      </c>
      <c r="H7" s="9"/>
      <c r="I7" s="48">
        <v>-500</v>
      </c>
      <c r="J7" s="21">
        <f t="shared" si="2"/>
        <v>-3200</v>
      </c>
      <c r="K7" s="8" t="s">
        <v>198</v>
      </c>
      <c r="L7" s="9">
        <v>-24000</v>
      </c>
      <c r="M7" s="9"/>
      <c r="N7" s="48">
        <v>-500</v>
      </c>
      <c r="O7" s="21">
        <f t="shared" si="3"/>
        <v>12600</v>
      </c>
      <c r="P7" s="8" t="s">
        <v>199</v>
      </c>
      <c r="Q7" s="9">
        <v>48000</v>
      </c>
      <c r="R7" s="9"/>
      <c r="S7" s="48">
        <v>1000</v>
      </c>
      <c r="T7" s="21">
        <f t="shared" si="4"/>
        <v>95600</v>
      </c>
      <c r="U7" s="53">
        <f>IF($J7="","",ROUND(($J7-$J$3)/1000,1)+(_xlfn.RANK.AVG($J7,($J7,$O7,$T7),1)-2)*10)</f>
        <v>-48.2</v>
      </c>
      <c r="V7" s="54">
        <f>IF($O7="","",ROUND(($O7-$O$3)/1000,1)+(_xlfn.RANK.AVG($O7,($J7,$O7,$T7),1)-2)*10)</f>
        <v>-22.4</v>
      </c>
      <c r="W7" s="55">
        <f>IF($T7="","",ROUND(($T7-$T$3)/1000,1)+(_xlfn.RANK.AVG($T7,($J7,$O7,$T7),1)-2)*10)</f>
        <v>70.599999999999994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13</v>
      </c>
      <c r="BT7" s="30" t="s">
        <v>203</v>
      </c>
      <c r="BU7" s="40" t="s">
        <v>107</v>
      </c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IF($J8="","",ROUND(($J8-$J$3)/1000,1)+(_xlfn.RANK.AVG($J8,($J8,$O8,$T8),1)-2)*10)</f>
        <v/>
      </c>
      <c r="V8" s="54" t="str">
        <f>IF($O8="","",ROUND(($O8-$O$3)/1000,1)+(_xlfn.RANK.AVG($O8,($J8,$O8,$T8),1)-2)*10)</f>
        <v/>
      </c>
      <c r="W8" s="55" t="str">
        <f>IF($T8="","",ROUND(($T8-$T$3)/1000,1)+(_xlfn.RANK.AVG($T8,($J8,$O8,$T8),1)-2)*10)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9B25E285-2B51-4DE0-9CDC-07908BB71986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F007F5-90D4-44AE-953B-3F435EC6088B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りくと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ただ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ただ</v>
      </c>
      <c r="W2" s="16" t="str">
        <f>$P$1</f>
        <v>だいち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201</v>
      </c>
      <c r="G4" s="9">
        <v>8000</v>
      </c>
      <c r="H4" s="9"/>
      <c r="I4" s="48">
        <v>0</v>
      </c>
      <c r="J4" s="21">
        <f>IF(COUNTA($F4,$K4,$P4)&gt;0,J3+SUM(G4:I4),"")</f>
        <v>43000</v>
      </c>
      <c r="K4" s="8" t="s">
        <v>200</v>
      </c>
      <c r="L4" s="9">
        <v>-8000</v>
      </c>
      <c r="M4" s="9"/>
      <c r="N4" s="48">
        <v>0</v>
      </c>
      <c r="O4" s="21">
        <f>IF(COUNTA($F4,$K4,$P4)&gt;0,O3+SUM(L4:N4),"")</f>
        <v>27000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18</v>
      </c>
      <c r="V4" s="54">
        <f>IF($O4="","",ROUND(($O4-$O$3)/1000,1)+(_xlfn.RANK.AVG($O4,($J4,$O4,$T4),1)-2)*10)</f>
        <v>-18</v>
      </c>
      <c r="W4" s="55">
        <f>IF($T4="","",ROUND(($T4-$T$3)/1000,1)+(_xlfn.RANK.AVG($T4,($J4,$O4,$T4),1)-2)*10)</f>
        <v>0</v>
      </c>
      <c r="Y4" s="8"/>
      <c r="Z4" s="34"/>
      <c r="AA4" s="26">
        <v>1</v>
      </c>
      <c r="AB4" s="26"/>
      <c r="AC4" s="26">
        <v>5</v>
      </c>
      <c r="AD4" s="30" t="s">
        <v>203</v>
      </c>
      <c r="AE4" s="40" t="s">
        <v>204</v>
      </c>
      <c r="AF4" s="41" t="s">
        <v>205</v>
      </c>
      <c r="AG4" s="41" t="s">
        <v>79</v>
      </c>
      <c r="AH4" s="41" t="s">
        <v>80</v>
      </c>
      <c r="AI4" s="41" t="s">
        <v>202</v>
      </c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208</v>
      </c>
      <c r="G5" s="9">
        <v>3000</v>
      </c>
      <c r="H5" s="9">
        <v>-1000</v>
      </c>
      <c r="I5" s="48"/>
      <c r="J5" s="21">
        <f t="shared" ref="J5:J30" si="2">IF(COUNTA($F5,$K5,$P5)&gt;0,J4+SUM(G5:I5),"")</f>
        <v>45000</v>
      </c>
      <c r="K5" s="8" t="s">
        <v>208</v>
      </c>
      <c r="L5" s="9">
        <v>-1500</v>
      </c>
      <c r="M5" s="9"/>
      <c r="N5" s="48"/>
      <c r="O5" s="21">
        <f t="shared" ref="O5:O30" si="3">IF(COUNTA($F5,$K5,$P5)&gt;0,O4+SUM(L5:N5),"")</f>
        <v>25500</v>
      </c>
      <c r="P5" s="8" t="s">
        <v>208</v>
      </c>
      <c r="Q5" s="9">
        <v>-1500</v>
      </c>
      <c r="R5" s="9"/>
      <c r="S5" s="48"/>
      <c r="T5" s="21">
        <f t="shared" ref="T5:T30" si="4">IF(COUNTA($F5,$K5,$P5)&gt;0,T4+SUM(Q5:S5),"")</f>
        <v>33500</v>
      </c>
      <c r="U5" s="53">
        <f>IF($J5="","",ROUND(($J5-$J$3)/1000,1)+(_xlfn.RANK.AVG($J5,($J5,$O5,$T5),1)-2)*10)</f>
        <v>20</v>
      </c>
      <c r="V5" s="54">
        <f>IF($O5="","",ROUND(($O5-$O$3)/1000,1)+(_xlfn.RANK.AVG($O5,($J5,$O5,$T5),1)-2)*10)</f>
        <v>-19.5</v>
      </c>
      <c r="W5" s="55">
        <f>IF($T5="","",ROUND(($T5-$T$3)/1000,1)+(_xlfn.RANK.AVG($T5,($J5,$O5,$T5),1)-2)*10)</f>
        <v>-1.5</v>
      </c>
      <c r="Y5" s="8" t="s">
        <v>206</v>
      </c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207</v>
      </c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207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1</v>
      </c>
      <c r="D6" s="18">
        <f t="shared" si="1"/>
        <v>1</v>
      </c>
      <c r="E6" s="4" t="s">
        <v>191</v>
      </c>
      <c r="F6" s="8" t="s">
        <v>201</v>
      </c>
      <c r="G6" s="9">
        <v>12000</v>
      </c>
      <c r="H6" s="9">
        <v>1000</v>
      </c>
      <c r="I6" s="48">
        <v>1000</v>
      </c>
      <c r="J6" s="21">
        <f t="shared" si="2"/>
        <v>59000</v>
      </c>
      <c r="K6" s="8"/>
      <c r="L6" s="9"/>
      <c r="M6" s="9"/>
      <c r="N6" s="48"/>
      <c r="O6" s="21">
        <f t="shared" si="3"/>
        <v>25500</v>
      </c>
      <c r="P6" s="8" t="s">
        <v>200</v>
      </c>
      <c r="Q6" s="9">
        <v>-12000</v>
      </c>
      <c r="R6" s="9"/>
      <c r="S6" s="48">
        <v>-1000</v>
      </c>
      <c r="T6" s="21">
        <f t="shared" si="4"/>
        <v>20500</v>
      </c>
      <c r="U6" s="53">
        <f>IF($J6="","",ROUND(($J6-$J$3)/1000,1)+(_xlfn.RANK.AVG($J6,($J6,$O6,$T6),1)-2)*10)</f>
        <v>34</v>
      </c>
      <c r="V6" s="54">
        <f>IF($O6="","",ROUND(($O6-$O$3)/1000,1)+(_xlfn.RANK.AVG($O6,($J6,$O6,$T6),1)-2)*10)</f>
        <v>-9.5</v>
      </c>
      <c r="W6" s="55">
        <f>IF($T6="","",ROUND(($T6-$T$3)/1000,1)+(_xlfn.RANK.AVG($T6,($J6,$O6,$T6),1)-2)*10)</f>
        <v>-24.5</v>
      </c>
      <c r="Y6" s="8"/>
      <c r="Z6" s="34"/>
      <c r="AA6" s="26">
        <v>1</v>
      </c>
      <c r="AB6" s="26"/>
      <c r="AC6" s="26">
        <v>5</v>
      </c>
      <c r="AD6" s="30" t="s">
        <v>203</v>
      </c>
      <c r="AE6" s="40" t="s">
        <v>204</v>
      </c>
      <c r="AF6" s="41" t="s">
        <v>79</v>
      </c>
      <c r="AG6" s="41" t="s">
        <v>79</v>
      </c>
      <c r="AH6" s="41" t="s">
        <v>79</v>
      </c>
      <c r="AI6" s="41" t="s">
        <v>202</v>
      </c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2</v>
      </c>
      <c r="D7" s="18">
        <f t="shared" si="1"/>
        <v>0</v>
      </c>
      <c r="E7" s="4" t="s">
        <v>191</v>
      </c>
      <c r="F7" s="8" t="s">
        <v>198</v>
      </c>
      <c r="G7" s="9">
        <v>-10000</v>
      </c>
      <c r="H7" s="9">
        <v>-1000</v>
      </c>
      <c r="I7" s="48">
        <v>-1000</v>
      </c>
      <c r="J7" s="21">
        <f t="shared" si="2"/>
        <v>47000</v>
      </c>
      <c r="K7" s="8" t="s">
        <v>199</v>
      </c>
      <c r="L7" s="9">
        <v>16000</v>
      </c>
      <c r="M7" s="9">
        <v>1000</v>
      </c>
      <c r="N7" s="48">
        <v>2000</v>
      </c>
      <c r="O7" s="21">
        <f t="shared" si="3"/>
        <v>44500</v>
      </c>
      <c r="P7" s="8" t="s">
        <v>198</v>
      </c>
      <c r="Q7" s="9">
        <v>-6000</v>
      </c>
      <c r="R7" s="9"/>
      <c r="S7" s="48">
        <v>-1000</v>
      </c>
      <c r="T7" s="21">
        <f t="shared" si="4"/>
        <v>13500</v>
      </c>
      <c r="U7" s="53">
        <f>IF($J7="","",ROUND(($J7-$J$3)/1000,1)+(_xlfn.RANK.AVG($J7,($J7,$O7,$T7),1)-2)*10)</f>
        <v>22</v>
      </c>
      <c r="V7" s="54">
        <f>IF($O7="","",ROUND(($O7-$O$3)/1000,1)+(_xlfn.RANK.AVG($O7,($J7,$O7,$T7),1)-2)*10)</f>
        <v>9.5</v>
      </c>
      <c r="W7" s="55">
        <f>IF($T7="","",ROUND(($T7-$T$3)/1000,1)+(_xlfn.RANK.AVG($T7,($J7,$O7,$T7),1)-2)*10)</f>
        <v>-31.5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8</v>
      </c>
      <c r="AY7" s="30" t="s">
        <v>203</v>
      </c>
      <c r="AZ7" s="40" t="s">
        <v>204</v>
      </c>
      <c r="BA7" s="41" t="s">
        <v>82</v>
      </c>
      <c r="BB7" s="41" t="s">
        <v>84</v>
      </c>
      <c r="BC7" s="41" t="s">
        <v>92</v>
      </c>
      <c r="BD7" s="41" t="s">
        <v>104</v>
      </c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199</v>
      </c>
      <c r="G8" s="9">
        <v>12000</v>
      </c>
      <c r="H8" s="9">
        <v>2000</v>
      </c>
      <c r="I8" s="48">
        <v>0</v>
      </c>
      <c r="J8" s="21">
        <f t="shared" si="2"/>
        <v>61000</v>
      </c>
      <c r="K8" s="8" t="s">
        <v>198</v>
      </c>
      <c r="L8" s="9">
        <v>-7500</v>
      </c>
      <c r="M8" s="9">
        <v>-1000</v>
      </c>
      <c r="N8" s="48">
        <v>0</v>
      </c>
      <c r="O8" s="21">
        <f t="shared" si="3"/>
        <v>36000</v>
      </c>
      <c r="P8" s="8" t="s">
        <v>198</v>
      </c>
      <c r="Q8" s="9">
        <v>-4500</v>
      </c>
      <c r="R8" s="9">
        <v>-1000</v>
      </c>
      <c r="S8" s="48">
        <v>0</v>
      </c>
      <c r="T8" s="21">
        <f t="shared" si="4"/>
        <v>8000</v>
      </c>
      <c r="U8" s="53">
        <f>IF($J8="","",ROUND(($J8-$J$3)/1000,1)+(_xlfn.RANK.AVG($J8,($J8,$O8,$T8),1)-2)*10)</f>
        <v>36</v>
      </c>
      <c r="V8" s="54">
        <f>IF($O8="","",ROUND(($O8-$O$3)/1000,1)+(_xlfn.RANK.AVG($O8,($J8,$O8,$T8),1)-2)*10)</f>
        <v>1</v>
      </c>
      <c r="W8" s="55">
        <f>IF($T8="","",ROUND(($T8-$T$3)/1000,1)+(_xlfn.RANK.AVG($T8,($J8,$O8,$T8),1)-2)*10)</f>
        <v>-37</v>
      </c>
      <c r="Y8" s="8"/>
      <c r="Z8" s="34"/>
      <c r="AA8" s="26">
        <v>1</v>
      </c>
      <c r="AB8" s="26"/>
      <c r="AC8" s="26">
        <v>6</v>
      </c>
      <c r="AD8" s="30" t="s">
        <v>203</v>
      </c>
      <c r="AE8" s="40" t="s">
        <v>204</v>
      </c>
      <c r="AF8" s="41" t="s">
        <v>82</v>
      </c>
      <c r="AG8" s="41" t="s">
        <v>84</v>
      </c>
      <c r="AH8" s="41" t="s">
        <v>83</v>
      </c>
      <c r="AI8" s="41" t="s">
        <v>79</v>
      </c>
      <c r="AJ8" s="41" t="s">
        <v>79</v>
      </c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195</v>
      </c>
      <c r="F9" s="8"/>
      <c r="G9" s="9"/>
      <c r="H9" s="9"/>
      <c r="I9" s="48"/>
      <c r="J9" s="21">
        <f t="shared" si="2"/>
        <v>61000</v>
      </c>
      <c r="K9" s="8" t="s">
        <v>200</v>
      </c>
      <c r="L9" s="9">
        <v>-18000</v>
      </c>
      <c r="M9" s="9"/>
      <c r="N9" s="48">
        <v>0</v>
      </c>
      <c r="O9" s="21">
        <f t="shared" si="3"/>
        <v>18000</v>
      </c>
      <c r="P9" s="8" t="s">
        <v>201</v>
      </c>
      <c r="Q9" s="9">
        <v>18000</v>
      </c>
      <c r="R9" s="9"/>
      <c r="S9" s="48">
        <v>0</v>
      </c>
      <c r="T9" s="21">
        <f t="shared" si="4"/>
        <v>26000</v>
      </c>
      <c r="U9" s="53">
        <f>IF($J9="","",ROUND(($J9-$J$3)/1000,1)+(_xlfn.RANK.AVG($J9,($J9,$O9,$T9),1)-2)*10)</f>
        <v>36</v>
      </c>
      <c r="V9" s="54">
        <f>IF($O9="","",ROUND(($O9-$O$3)/1000,1)+(_xlfn.RANK.AVG($O9,($J9,$O9,$T9),1)-2)*10)</f>
        <v>-27</v>
      </c>
      <c r="W9" s="55">
        <f>IF($T9="","",ROUND(($T9-$T$3)/1000,1)+(_xlfn.RANK.AVG($T9,($J9,$O9,$T9),1)-2)*10)</f>
        <v>-9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7</v>
      </c>
      <c r="BT9" s="30" t="s">
        <v>203</v>
      </c>
      <c r="BU9" s="40" t="s">
        <v>92</v>
      </c>
      <c r="BV9" s="41" t="s">
        <v>104</v>
      </c>
      <c r="BW9" s="41" t="s">
        <v>202</v>
      </c>
      <c r="BX9" s="41" t="s">
        <v>84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195</v>
      </c>
      <c r="F10" s="8" t="s">
        <v>208</v>
      </c>
      <c r="G10" s="9">
        <v>1500</v>
      </c>
      <c r="H10" s="9">
        <v>-1000</v>
      </c>
      <c r="I10" s="48"/>
      <c r="J10" s="21">
        <f t="shared" si="2"/>
        <v>61500</v>
      </c>
      <c r="K10" s="8" t="s">
        <v>208</v>
      </c>
      <c r="L10" s="9">
        <v>-3000</v>
      </c>
      <c r="M10" s="9"/>
      <c r="N10" s="48"/>
      <c r="O10" s="21">
        <f t="shared" si="3"/>
        <v>15000</v>
      </c>
      <c r="P10" s="8" t="s">
        <v>208</v>
      </c>
      <c r="Q10" s="9">
        <v>1500</v>
      </c>
      <c r="R10" s="9">
        <v>-1000</v>
      </c>
      <c r="S10" s="48"/>
      <c r="T10" s="21">
        <f t="shared" si="4"/>
        <v>26500</v>
      </c>
      <c r="U10" s="53">
        <f>IF($J10="","",ROUND(($J10-$J$3)/1000,1)+(_xlfn.RANK.AVG($J10,($J10,$O10,$T10),1)-2)*10)</f>
        <v>36.5</v>
      </c>
      <c r="V10" s="54">
        <f>IF($O10="","",ROUND(($O10-$O$3)/1000,1)+(_xlfn.RANK.AVG($O10,($J10,$O10,$T10),1)-2)*10)</f>
        <v>-30</v>
      </c>
      <c r="W10" s="55">
        <f>IF($T10="","",ROUND(($T10-$T$3)/1000,1)+(_xlfn.RANK.AVG($T10,($J10,$O10,$T10),1)-2)*10)</f>
        <v>-8.5</v>
      </c>
      <c r="Y10" s="8" t="s">
        <v>206</v>
      </c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207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206</v>
      </c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2</v>
      </c>
      <c r="D11" s="18">
        <f t="shared" si="1"/>
        <v>2</v>
      </c>
      <c r="E11" s="4" t="s">
        <v>195</v>
      </c>
      <c r="F11" s="8" t="s">
        <v>199</v>
      </c>
      <c r="G11" s="9">
        <v>4000</v>
      </c>
      <c r="H11" s="9">
        <v>2000</v>
      </c>
      <c r="I11" s="48">
        <v>2000</v>
      </c>
      <c r="J11" s="21">
        <f t="shared" si="2"/>
        <v>69500</v>
      </c>
      <c r="K11" s="8" t="s">
        <v>198</v>
      </c>
      <c r="L11" s="9">
        <v>-1500</v>
      </c>
      <c r="M11" s="9"/>
      <c r="N11" s="48">
        <v>-1000</v>
      </c>
      <c r="O11" s="21">
        <f t="shared" si="3"/>
        <v>12500</v>
      </c>
      <c r="P11" s="8" t="s">
        <v>198</v>
      </c>
      <c r="Q11" s="9">
        <v>-2500</v>
      </c>
      <c r="R11" s="9"/>
      <c r="S11" s="48">
        <v>-1000</v>
      </c>
      <c r="T11" s="21">
        <f t="shared" si="4"/>
        <v>23000</v>
      </c>
      <c r="U11" s="53">
        <f>IF($J11="","",ROUND(($J11-$J$3)/1000,1)+(_xlfn.RANK.AVG($J11,($J11,$O11,$T11),1)-2)*10)</f>
        <v>44.5</v>
      </c>
      <c r="V11" s="54">
        <f>IF($O11="","",ROUND(($O11-$O$3)/1000,1)+(_xlfn.RANK.AVG($O11,($J11,$O11,$T11),1)-2)*10)</f>
        <v>-32.5</v>
      </c>
      <c r="W11" s="55">
        <f>IF($T11="","",ROUND(($T11-$T$3)/1000,1)+(_xlfn.RANK.AVG($T11,($J11,$O11,$T11),1)-2)*10)</f>
        <v>-12</v>
      </c>
      <c r="Y11" s="8"/>
      <c r="Z11" s="34"/>
      <c r="AA11" s="26"/>
      <c r="AB11" s="26"/>
      <c r="AC11" s="26">
        <v>3</v>
      </c>
      <c r="AD11" s="30">
        <v>30</v>
      </c>
      <c r="AE11" s="40" t="s">
        <v>82</v>
      </c>
      <c r="AF11" s="41" t="s">
        <v>84</v>
      </c>
      <c r="AG11" s="41" t="s">
        <v>202</v>
      </c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191</v>
      </c>
      <c r="F12" s="8"/>
      <c r="G12" s="9"/>
      <c r="H12" s="9"/>
      <c r="I12" s="48"/>
      <c r="J12" s="21">
        <f t="shared" si="2"/>
        <v>69500</v>
      </c>
      <c r="K12" s="8" t="s">
        <v>201</v>
      </c>
      <c r="L12" s="9">
        <v>8000</v>
      </c>
      <c r="M12" s="9">
        <v>1000</v>
      </c>
      <c r="N12" s="48">
        <v>0</v>
      </c>
      <c r="O12" s="21">
        <f t="shared" si="3"/>
        <v>21500</v>
      </c>
      <c r="P12" s="8" t="s">
        <v>200</v>
      </c>
      <c r="Q12" s="9">
        <v>-8000</v>
      </c>
      <c r="R12" s="9">
        <v>-1000</v>
      </c>
      <c r="S12" s="48">
        <v>0</v>
      </c>
      <c r="T12" s="21">
        <f t="shared" si="4"/>
        <v>14000</v>
      </c>
      <c r="U12" s="53">
        <f>IF($J12="","",ROUND(($J12-$J$3)/1000,1)+(_xlfn.RANK.AVG($J12,($J12,$O12,$T12),1)-2)*10)</f>
        <v>44.5</v>
      </c>
      <c r="V12" s="54">
        <f>IF($O12="","",ROUND(($O12-$O$3)/1000,1)+(_xlfn.RANK.AVG($O12,($J12,$O12,$T12),1)-2)*10)</f>
        <v>-13.5</v>
      </c>
      <c r="W12" s="55">
        <f>IF($T12="","",ROUND(($T12-$T$3)/1000,1)+(_xlfn.RANK.AVG($T12,($J12,$O12,$T12),1)-2)*10)</f>
        <v>-31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5</v>
      </c>
      <c r="AY12" s="30" t="s">
        <v>203</v>
      </c>
      <c r="AZ12" s="40" t="s">
        <v>209</v>
      </c>
      <c r="BA12" s="41" t="s">
        <v>205</v>
      </c>
      <c r="BB12" s="41" t="s">
        <v>85</v>
      </c>
      <c r="BC12" s="41" t="s">
        <v>79</v>
      </c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西</v>
      </c>
      <c r="B13" s="18">
        <f t="shared" si="5"/>
        <v>1</v>
      </c>
      <c r="C13" s="18">
        <f t="shared" si="6"/>
        <v>0</v>
      </c>
      <c r="D13" s="18">
        <f t="shared" si="1"/>
        <v>0</v>
      </c>
      <c r="E13" s="4" t="s">
        <v>193</v>
      </c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showInputMessage="1" showErrorMessage="1" sqref="K4:K30 P4:P30 F4:F30" xr:uid="{11BD3ECE-FEB7-4E37-BACE-7200D7EEAFFE}">
      <formula1>"ロン,ツモ,放銃,ツモ支払,流局,チョンボ"</formula1>
    </dataValidation>
    <dataValidation type="list" allowBlank="1" showInputMessage="1" showErrorMessage="1" sqref="E4:E30" xr:uid="{76D1345A-E1DD-4AA2-9130-1CF815C37BC9}">
      <formula1>$U$2:$W$2</formula1>
    </dataValidation>
    <dataValidation type="list" allowBlank="1" showInputMessage="1" sqref="F1:T1" xr:uid="{99F9E0DC-F205-4D46-8AEC-314235F05B2C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2019-11-03T11:30:46Z</dcterms:modified>
</cp:coreProperties>
</file>