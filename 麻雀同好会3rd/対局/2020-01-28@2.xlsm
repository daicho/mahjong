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B8435FB-DE39-4B76-A7B8-260D191AAD85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2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D10" i="23"/>
  <c r="C10" i="23"/>
  <c r="D9" i="23"/>
  <c r="C9" i="23"/>
  <c r="D8" i="23"/>
  <c r="C8" i="23"/>
  <c r="D7" i="23"/>
  <c r="D6" i="23"/>
  <c r="T5" i="23"/>
  <c r="T6" i="23" s="1"/>
  <c r="O5" i="23"/>
  <c r="D5" i="23"/>
  <c r="C5" i="23"/>
  <c r="C6" i="23" s="1"/>
  <c r="C7" i="23" s="1"/>
  <c r="B5" i="23"/>
  <c r="B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O10" i="22"/>
  <c r="J10" i="22"/>
  <c r="U10" i="22" s="1"/>
  <c r="D10" i="22"/>
  <c r="C10" i="22"/>
  <c r="B10" i="22"/>
  <c r="A10" i="22" s="1"/>
  <c r="T9" i="22"/>
  <c r="O9" i="22"/>
  <c r="J9" i="22"/>
  <c r="D9" i="22"/>
  <c r="C9" i="22"/>
  <c r="B9" i="22"/>
  <c r="A9" i="22"/>
  <c r="T8" i="22"/>
  <c r="O8" i="22"/>
  <c r="V8" i="22" s="1"/>
  <c r="J8" i="22"/>
  <c r="D8" i="22"/>
  <c r="C8" i="22"/>
  <c r="B8" i="22"/>
  <c r="A8" i="22" s="1"/>
  <c r="T7" i="22"/>
  <c r="O7" i="22"/>
  <c r="V7" i="22" s="1"/>
  <c r="J7" i="22"/>
  <c r="U7" i="22" s="1"/>
  <c r="D7" i="22"/>
  <c r="C7" i="22"/>
  <c r="B7" i="22"/>
  <c r="A7" i="22" s="1"/>
  <c r="T6" i="22"/>
  <c r="O6" i="22"/>
  <c r="J6" i="22"/>
  <c r="U6" i="22" s="1"/>
  <c r="D6" i="22"/>
  <c r="C6" i="22"/>
  <c r="B6" i="22"/>
  <c r="A6" i="22"/>
  <c r="T5" i="22"/>
  <c r="O5" i="22"/>
  <c r="J5" i="22"/>
  <c r="D5" i="22"/>
  <c r="C5" i="22"/>
  <c r="B5" i="22"/>
  <c r="A5" i="22"/>
  <c r="T4" i="22"/>
  <c r="O4" i="22"/>
  <c r="V4" i="22" s="1"/>
  <c r="J4" i="22"/>
  <c r="W3" i="22"/>
  <c r="V3" i="22"/>
  <c r="U3" i="22"/>
  <c r="W2" i="22"/>
  <c r="V2" i="22"/>
  <c r="U2" i="22"/>
  <c r="BO1" i="22"/>
  <c r="AT1" i="22"/>
  <c r="Y1" i="22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D16" i="20"/>
  <c r="D15" i="20"/>
  <c r="C15" i="20"/>
  <c r="C16" i="20" s="1"/>
  <c r="D14" i="20"/>
  <c r="C14" i="20"/>
  <c r="C13" i="20"/>
  <c r="D12" i="20"/>
  <c r="D13" i="20" s="1"/>
  <c r="C12" i="20"/>
  <c r="D11" i="20"/>
  <c r="C11" i="20"/>
  <c r="C9" i="20"/>
  <c r="C10" i="20" s="1"/>
  <c r="D8" i="20"/>
  <c r="D9" i="20" s="1"/>
  <c r="D10" i="20" s="1"/>
  <c r="C8" i="20"/>
  <c r="D7" i="20"/>
  <c r="D6" i="20"/>
  <c r="T5" i="20"/>
  <c r="T6" i="20" s="1"/>
  <c r="O5" i="20"/>
  <c r="D5" i="20"/>
  <c r="T4" i="20"/>
  <c r="O4" i="20"/>
  <c r="V4" i="20" s="1"/>
  <c r="J4" i="20"/>
  <c r="E4" i="20"/>
  <c r="C5" i="20" s="1"/>
  <c r="C6" i="20" s="1"/>
  <c r="C7" i="20" s="1"/>
  <c r="W3" i="20"/>
  <c r="V3" i="20"/>
  <c r="U3" i="20"/>
  <c r="W2" i="20"/>
  <c r="V2" i="20"/>
  <c r="U2" i="20"/>
  <c r="BO1" i="20"/>
  <c r="AT1" i="20"/>
  <c r="Y1" i="20"/>
  <c r="U4" i="23" l="1"/>
  <c r="W4" i="23"/>
  <c r="B7" i="23"/>
  <c r="T7" i="23"/>
  <c r="J5" i="23"/>
  <c r="V5" i="23" s="1"/>
  <c r="O6" i="23"/>
  <c r="V4" i="23"/>
  <c r="A5" i="23"/>
  <c r="A6" i="23"/>
  <c r="V10" i="22"/>
  <c r="W10" i="22"/>
  <c r="U9" i="22"/>
  <c r="V9" i="22"/>
  <c r="W9" i="22"/>
  <c r="U8" i="22"/>
  <c r="W8" i="22"/>
  <c r="W7" i="22"/>
  <c r="V6" i="22"/>
  <c r="W6" i="22"/>
  <c r="U5" i="22"/>
  <c r="V5" i="22"/>
  <c r="W5" i="22"/>
  <c r="W4" i="22"/>
  <c r="U4" i="22"/>
  <c r="W4" i="20"/>
  <c r="U4" i="20"/>
  <c r="T7" i="20"/>
  <c r="B5" i="20"/>
  <c r="J5" i="20"/>
  <c r="V5" i="20" s="1"/>
  <c r="O6" i="20"/>
  <c r="E4" i="19"/>
  <c r="A7" i="23" l="1"/>
  <c r="O7" i="23"/>
  <c r="W5" i="23"/>
  <c r="U5" i="23"/>
  <c r="J6" i="23"/>
  <c r="V6" i="23" s="1"/>
  <c r="T8" i="23"/>
  <c r="B8" i="23"/>
  <c r="A8" i="23" s="1"/>
  <c r="T8" i="20"/>
  <c r="O7" i="20"/>
  <c r="W5" i="20"/>
  <c r="U5" i="20"/>
  <c r="J6" i="20"/>
  <c r="V6" i="20" s="1"/>
  <c r="A5" i="20"/>
  <c r="B6" i="20"/>
  <c r="A6" i="20" s="1"/>
  <c r="W3" i="19"/>
  <c r="V3" i="19"/>
  <c r="U3" i="19"/>
  <c r="O8" i="23" l="1"/>
  <c r="B9" i="23"/>
  <c r="A9" i="23" s="1"/>
  <c r="T9" i="23"/>
  <c r="U6" i="23"/>
  <c r="J7" i="23"/>
  <c r="V7" i="23" s="1"/>
  <c r="W6" i="23"/>
  <c r="U6" i="20"/>
  <c r="J7" i="20"/>
  <c r="W6" i="20"/>
  <c r="O8" i="20"/>
  <c r="B7" i="20"/>
  <c r="A7" i="20" s="1"/>
  <c r="T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O16" i="19"/>
  <c r="J16" i="19"/>
  <c r="D16" i="19"/>
  <c r="C16" i="19"/>
  <c r="B16" i="19"/>
  <c r="A16" i="19" s="1"/>
  <c r="T15" i="19"/>
  <c r="O15" i="19"/>
  <c r="V15" i="19" s="1"/>
  <c r="J15" i="19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3" l="1"/>
  <c r="J8" i="23"/>
  <c r="W7" i="23"/>
  <c r="T10" i="23"/>
  <c r="B10" i="23"/>
  <c r="A10" i="23" s="1"/>
  <c r="O9" i="23"/>
  <c r="U7" i="20"/>
  <c r="J8" i="20"/>
  <c r="W7" i="20"/>
  <c r="T10" i="20"/>
  <c r="V7" i="20"/>
  <c r="B8" i="20"/>
  <c r="A8" i="20" s="1"/>
  <c r="O9" i="20"/>
  <c r="V16" i="19"/>
  <c r="W16" i="19"/>
  <c r="U16" i="19"/>
  <c r="U15" i="19"/>
  <c r="W15" i="19"/>
  <c r="V14" i="19"/>
  <c r="W14" i="19"/>
  <c r="U14" i="19"/>
  <c r="U13" i="19"/>
  <c r="W13" i="19"/>
  <c r="V13" i="19"/>
  <c r="W12" i="19"/>
  <c r="U12" i="19"/>
  <c r="V11" i="19"/>
  <c r="W11" i="19"/>
  <c r="U10" i="19"/>
  <c r="U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3" l="1"/>
  <c r="J9" i="23"/>
  <c r="W8" i="23"/>
  <c r="O10" i="23"/>
  <c r="V8" i="23"/>
  <c r="V9" i="20"/>
  <c r="O10" i="20"/>
  <c r="U8" i="20"/>
  <c r="J9" i="20"/>
  <c r="W8" i="20"/>
  <c r="V8" i="20"/>
  <c r="B9" i="20"/>
  <c r="A9" i="20" s="1"/>
  <c r="T11" i="20"/>
  <c r="W5" i="19"/>
  <c r="V5" i="19"/>
  <c r="U5" i="19"/>
  <c r="U9" i="23" l="1"/>
  <c r="J10" i="23"/>
  <c r="W9" i="23"/>
  <c r="V9" i="23"/>
  <c r="O11" i="20"/>
  <c r="T12" i="20"/>
  <c r="B10" i="20"/>
  <c r="U9" i="20"/>
  <c r="J10" i="20"/>
  <c r="V10" i="20" s="1"/>
  <c r="W9" i="20"/>
  <c r="U10" i="23" l="1"/>
  <c r="W10" i="23"/>
  <c r="V10" i="23"/>
  <c r="J11" i="20"/>
  <c r="V11" i="20" s="1"/>
  <c r="U10" i="20"/>
  <c r="W10" i="20"/>
  <c r="O12" i="20"/>
  <c r="B11" i="20"/>
  <c r="A10" i="20"/>
  <c r="T13" i="20"/>
  <c r="B12" i="20" l="1"/>
  <c r="O13" i="20"/>
  <c r="A11" i="20"/>
  <c r="T14" i="20"/>
  <c r="J12" i="20"/>
  <c r="V12" i="20" s="1"/>
  <c r="U11" i="20"/>
  <c r="W11" i="20"/>
  <c r="A12" i="20" l="1"/>
  <c r="U12" i="20"/>
  <c r="J13" i="20"/>
  <c r="W12" i="20"/>
  <c r="T15" i="20"/>
  <c r="O14" i="20"/>
  <c r="B13" i="20"/>
  <c r="A13" i="20" s="1"/>
  <c r="V13" i="20" l="1"/>
  <c r="T16" i="20"/>
  <c r="V14" i="20"/>
  <c r="O15" i="20"/>
  <c r="J14" i="20"/>
  <c r="U13" i="20"/>
  <c r="W13" i="20"/>
  <c r="A14" i="20"/>
  <c r="B14" i="20"/>
  <c r="J15" i="20" l="1"/>
  <c r="U14" i="20"/>
  <c r="W14" i="20"/>
  <c r="V15" i="20"/>
  <c r="O16" i="20"/>
  <c r="B15" i="20"/>
  <c r="A15" i="20" s="1"/>
  <c r="B16" i="20" l="1"/>
  <c r="A16" i="20" s="1"/>
  <c r="U15" i="20"/>
  <c r="J16" i="20"/>
  <c r="W15" i="20"/>
  <c r="U16" i="20" l="1"/>
  <c r="W16" i="20"/>
  <c r="V16" i="20"/>
</calcChain>
</file>

<file path=xl/sharedStrings.xml><?xml version="1.0" encoding="utf-8"?>
<sst xmlns="http://schemas.openxmlformats.org/spreadsheetml/2006/main" count="901" uniqueCount="215">
  <si>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</si>
  <si>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</si>
  <si>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</si>
  <si>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</si>
  <si>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</si>
  <si>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</si>
  <si>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</si>
  <si>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</si>
  <si>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</si>
  <si>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</si>
  <si>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</si>
  <si>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</si>
  <si>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</si>
  <si>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</si>
  <si>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</si>
  <si>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</si>
  <si>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</si>
  <si>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</si>
  <si>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</si>
  <si>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</si>
  <si>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</si>
  <si>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</si>
  <si>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</si>
  <si>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</si>
  <si>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</si>
  <si>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</si>
  <si>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</si>
  <si>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</si>
  <si>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</si>
  <si>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</si>
  <si>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</si>
  <si>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</si>
  <si>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</si>
  <si>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</si>
  <si>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</si>
  <si>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</si>
  <si>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</si>
  <si>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</si>
  <si>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</si>
  <si>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</si>
  <si>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</si>
  <si>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</si>
  <si>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</si>
  <si>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</si>
  <si>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</si>
  <si>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</si>
  <si>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</si>
  <si>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</si>
  <si>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</si>
  <si>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</si>
  <si>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</si>
  <si>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</si>
  <si>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</si>
  <si>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</si>
  <si>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</si>
  <si>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</si>
  <si>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</si>
  <si>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</si>
  <si>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</si>
  <si>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</si>
  <si>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</si>
  <si>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</si>
  <si>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</si>
  <si>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</si>
  <si>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</si>
  <si>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</si>
  <si>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</si>
  <si>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</si>
  <si>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</si>
  <si>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</si>
  <si>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</si>
  <si>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</si>
  <si>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</si>
  <si>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</si>
  <si>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</si>
  <si>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</si>
  <si>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</si>
  <si>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</si>
  <si>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</si>
  <si>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</si>
  <si>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</si>
  <si>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</si>
  <si>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</si>
  <si>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</si>
  <si>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</si>
  <si>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</si>
  <si>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</si>
  <si>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</si>
  <si>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</si>
  <si>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</si>
  <si>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</si>
  <si>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</si>
  <si>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</si>
  <si>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</si>
  <si>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</si>
  <si>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</si>
  <si>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</si>
  <si>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</si>
  <si>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</si>
  <si>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</si>
  <si>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</si>
  <si>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</si>
  <si>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</si>
  <si>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</si>
  <si>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</si>
  <si>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</si>
  <si>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</si>
  <si>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</si>
  <si>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</si>
  <si>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</si>
  <si>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</si>
  <si>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</si>
  <si>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</si>
  <si>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</si>
  <si>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</si>
  <si>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</si>
  <si>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</si>
  <si>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</si>
  <si>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</si>
  <si>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</si>
  <si>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</si>
  <si>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</si>
  <si>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</si>
  <si>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</si>
  <si>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</si>
  <si>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</si>
  <si>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</si>
  <si>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</si>
  <si>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</si>
  <si>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</si>
  <si>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</si>
  <si>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</si>
  <si>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</si>
  <si>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</si>
  <si>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</si>
  <si>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</si>
  <si>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</si>
  <si>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</si>
  <si>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</si>
  <si>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</si>
  <si>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</si>
  <si>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</si>
  <si>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</si>
  <si>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</si>
  <si>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</si>
  <si>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</si>
  <si>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</si>
  <si>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</si>
  <si>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</si>
  <si>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</si>
  <si>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</si>
  <si>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</si>
  <si>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</si>
  <si>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</si>
  <si>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</si>
  <si>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</si>
  <si>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</si>
  <si>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</si>
  <si>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</si>
  <si>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</si>
  <si>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</si>
  <si>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</si>
  <si>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</si>
  <si>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</si>
  <si>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</si>
  <si>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</si>
  <si>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</si>
  <si>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</si>
  <si>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</si>
  <si>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</si>
  <si>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</si>
  <si>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</si>
  <si>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</si>
  <si>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</si>
  <si>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</si>
  <si>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</si>
  <si>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</si>
  <si>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</si>
  <si>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</si>
  <si>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</si>
  <si>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</si>
  <si>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</si>
  <si>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</si>
  <si>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</si>
  <si>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</si>
  <si>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</si>
  <si>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</si>
  <si>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</si>
  <si>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</si>
  <si>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</si>
  <si>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</si>
  <si>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</si>
  <si>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</si>
  <si>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まっつん</t>
  </si>
  <si>
    <t>まっつん</t>
    <phoneticPr fontId="1"/>
  </si>
  <si>
    <t>だいち</t>
  </si>
  <si>
    <t>だいち</t>
    <phoneticPr fontId="1"/>
  </si>
  <si>
    <t>ツモ</t>
  </si>
  <si>
    <t>ツモ支払</t>
  </si>
  <si>
    <t>T</t>
  </si>
  <si>
    <t>N</t>
  </si>
  <si>
    <t>流局</t>
    <phoneticPr fontId="1"/>
  </si>
  <si>
    <t>01</t>
  </si>
  <si>
    <t>*</t>
  </si>
  <si>
    <t>52</t>
  </si>
  <si>
    <t>放銃</t>
  </si>
  <si>
    <t>ロン</t>
  </si>
  <si>
    <t>02</t>
  </si>
  <si>
    <t>ただ</t>
  </si>
  <si>
    <t>ただ</t>
    <phoneticPr fontId="1"/>
  </si>
  <si>
    <t>流局</t>
    <phoneticPr fontId="1"/>
  </si>
  <si>
    <t>ともき</t>
  </si>
  <si>
    <t>ともき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</si>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</sst>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たかの</v>
      </c>
      <c r="F4" s="8" t="s">
        <v>197</v>
      </c>
      <c r="G4" s="9">
        <v>4000</v>
      </c>
      <c r="H4" s="9">
        <v>1000</v>
      </c>
      <c r="I4" s="48">
        <v>0</v>
      </c>
      <c r="J4" s="21">
        <f>IF(COUNTA($F4,$K4,$P4)&gt;0,J3+SUM(G4:I4),"")</f>
        <v>40000</v>
      </c>
      <c r="K4" s="8" t="s">
        <v>198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198</v>
      </c>
      <c r="Q4" s="9">
        <v>-2000</v>
      </c>
      <c r="R4" s="9">
        <v>-1000</v>
      </c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15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-13</v>
      </c>
      <c r="Y4" s="8"/>
      <c r="Z4" s="34"/>
      <c r="AA4" s="26"/>
      <c r="AB4" s="26"/>
      <c r="AC4" s="26">
        <v>3</v>
      </c>
      <c r="AD4" s="30">
        <v>20</v>
      </c>
      <c r="AE4" s="40" t="s">
        <v>82</v>
      </c>
      <c r="AF4" s="41" t="s">
        <v>84</v>
      </c>
      <c r="AG4" s="41" t="s">
        <v>83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1500</v>
      </c>
      <c r="H5" s="9"/>
      <c r="I5" s="48"/>
      <c r="J5" s="21">
        <f t="shared" ref="J5:J30" si="2">IF(COUNTA($F5,$K5,$P5)&gt;0,J4+SUM(G5:I5),"")</f>
        <v>41500</v>
      </c>
      <c r="K5" s="8" t="s">
        <v>201</v>
      </c>
      <c r="L5" s="9">
        <v>-3000</v>
      </c>
      <c r="M5" s="9"/>
      <c r="N5" s="48"/>
      <c r="O5" s="21">
        <f t="shared" ref="O5:O30" si="3">IF(COUNTA($F5,$K5,$P5)&gt;0,O4+SUM(L5:N5),"")</f>
        <v>30000</v>
      </c>
      <c r="P5" s="8" t="s">
        <v>201</v>
      </c>
      <c r="Q5" s="9">
        <v>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16.5</v>
      </c>
      <c r="V5" s="54">
        <f>IF($O5="","",ROUND(($O5-$O$3)/1000,1)+(_xlfn.RANK.AVG($O5,($J5,$O5,$T5),1)-2)*10)</f>
        <v>-15</v>
      </c>
      <c r="W5" s="55">
        <f>IF($T5="","",ROUND(($T5-$T$3)/1000,1)+(_xlfn.RANK.AVG($T5,($J5,$O5,$T5),1)-2)*10)</f>
        <v>-1.5</v>
      </c>
      <c r="Y5" s="8" t="s">
        <v>199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197</v>
      </c>
      <c r="G6" s="9">
        <v>12000</v>
      </c>
      <c r="H6" s="9"/>
      <c r="I6" s="48">
        <v>2000</v>
      </c>
      <c r="J6" s="21">
        <f t="shared" si="2"/>
        <v>55500</v>
      </c>
      <c r="K6" s="8" t="s">
        <v>198</v>
      </c>
      <c r="L6" s="9">
        <v>-6000</v>
      </c>
      <c r="M6" s="9"/>
      <c r="N6" s="48">
        <v>-1000</v>
      </c>
      <c r="O6" s="21">
        <f t="shared" si="3"/>
        <v>23000</v>
      </c>
      <c r="P6" s="8" t="s">
        <v>198</v>
      </c>
      <c r="Q6" s="9">
        <v>-6000</v>
      </c>
      <c r="R6" s="9"/>
      <c r="S6" s="48">
        <v>-1000</v>
      </c>
      <c r="T6" s="21">
        <f t="shared" si="4"/>
        <v>26500</v>
      </c>
      <c r="U6" s="53">
        <f>IF($J6="","",ROUND(($J6-$J$3)/1000,1)+(_xlfn.RANK.AVG($J6,($J6,$O6,$T6),1)-2)*10)</f>
        <v>30.5</v>
      </c>
      <c r="V6" s="54">
        <f>IF($O6="","",ROUND(($O6-$O$3)/1000,1)+(_xlfn.RANK.AVG($O6,($J6,$O6,$T6),1)-2)*10)</f>
        <v>-22</v>
      </c>
      <c r="W6" s="55">
        <f>IF($T6="","",ROUND(($T6-$T$3)/1000,1)+(_xlfn.RANK.AVG($T6,($J6,$O6,$T6),1)-2)*10)</f>
        <v>-8.5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202</v>
      </c>
      <c r="AF6" s="41" t="s">
        <v>82</v>
      </c>
      <c r="AG6" s="41" t="s">
        <v>96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198</v>
      </c>
      <c r="G7" s="9">
        <v>-7500</v>
      </c>
      <c r="H7" s="9"/>
      <c r="I7" s="48">
        <v>-1500</v>
      </c>
      <c r="J7" s="21">
        <f t="shared" si="2"/>
        <v>46500</v>
      </c>
      <c r="K7" s="8" t="s">
        <v>197</v>
      </c>
      <c r="L7" s="9">
        <v>12000</v>
      </c>
      <c r="M7" s="9">
        <v>1000</v>
      </c>
      <c r="N7" s="48">
        <v>3000</v>
      </c>
      <c r="O7" s="21">
        <f t="shared" si="3"/>
        <v>39000</v>
      </c>
      <c r="P7" s="8" t="s">
        <v>198</v>
      </c>
      <c r="Q7" s="9">
        <v>-4500</v>
      </c>
      <c r="R7" s="9">
        <v>-1000</v>
      </c>
      <c r="S7" s="48">
        <v>-1500</v>
      </c>
      <c r="T7" s="21">
        <f t="shared" si="4"/>
        <v>19500</v>
      </c>
      <c r="U7" s="53">
        <f>IF($J7="","",ROUND(($J7-$J$3)/1000,1)+(_xlfn.RANK.AVG($J7,($J7,$O7,$T7),1)-2)*10)</f>
        <v>21.5</v>
      </c>
      <c r="V7" s="54">
        <f>IF($O7="","",ROUND(($O7-$O$3)/1000,1)+(_xlfn.RANK.AVG($O7,($J7,$O7,$T7),1)-2)*10)</f>
        <v>4</v>
      </c>
      <c r="W7" s="55">
        <f>IF($T7="","",ROUND(($T7-$T$3)/1000,1)+(_xlfn.RANK.AVG($T7,($J7,$O7,$T7),1)-2)*10)</f>
        <v>-25.5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203</v>
      </c>
      <c r="AZ7" s="40" t="s">
        <v>104</v>
      </c>
      <c r="BA7" s="41" t="s">
        <v>82</v>
      </c>
      <c r="BB7" s="41" t="s">
        <v>84</v>
      </c>
      <c r="BC7" s="41" t="s">
        <v>204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201</v>
      </c>
      <c r="G8" s="9">
        <v>-1500</v>
      </c>
      <c r="H8" s="9"/>
      <c r="I8" s="48"/>
      <c r="J8" s="21">
        <f t="shared" si="2"/>
        <v>45000</v>
      </c>
      <c r="K8" s="8" t="s">
        <v>201</v>
      </c>
      <c r="L8" s="9">
        <v>3000</v>
      </c>
      <c r="M8" s="9">
        <v>-1000</v>
      </c>
      <c r="N8" s="48"/>
      <c r="O8" s="21">
        <f t="shared" si="3"/>
        <v>41000</v>
      </c>
      <c r="P8" s="8" t="s">
        <v>201</v>
      </c>
      <c r="Q8" s="9">
        <v>-1500</v>
      </c>
      <c r="R8" s="9"/>
      <c r="S8" s="48"/>
      <c r="T8" s="21">
        <f t="shared" si="4"/>
        <v>18000</v>
      </c>
      <c r="U8" s="53">
        <f>IF($J8="","",ROUND(($J8-$J$3)/1000,1)+(_xlfn.RANK.AVG($J8,($J8,$O8,$T8),1)-2)*10)</f>
        <v>20</v>
      </c>
      <c r="V8" s="54">
        <f>IF($O8="","",ROUND(($O8-$O$3)/1000,1)+(_xlfn.RANK.AVG($O8,($J8,$O8,$T8),1)-2)*10)</f>
        <v>6</v>
      </c>
      <c r="W8" s="55">
        <f>IF($T8="","",ROUND(($T8-$T$3)/1000,1)+(_xlfn.RANK.AVG($T8,($J8,$O8,$T8),1)-2)*10)</f>
        <v>-27</v>
      </c>
      <c r="Y8" s="8" t="s">
        <v>200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199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201</v>
      </c>
      <c r="G9" s="9">
        <v>-1500</v>
      </c>
      <c r="H9" s="9"/>
      <c r="I9" s="48"/>
      <c r="J9" s="21">
        <f t="shared" si="2"/>
        <v>43500</v>
      </c>
      <c r="K9" s="8" t="s">
        <v>201</v>
      </c>
      <c r="L9" s="9">
        <v>3000</v>
      </c>
      <c r="M9" s="9">
        <v>-1000</v>
      </c>
      <c r="N9" s="48"/>
      <c r="O9" s="21">
        <f t="shared" si="3"/>
        <v>43000</v>
      </c>
      <c r="P9" s="8" t="s">
        <v>201</v>
      </c>
      <c r="Q9" s="9">
        <v>-1500</v>
      </c>
      <c r="R9" s="9"/>
      <c r="S9" s="48"/>
      <c r="T9" s="21">
        <f t="shared" si="4"/>
        <v>16500</v>
      </c>
      <c r="U9" s="53">
        <f>IF($J9="","",ROUND(($J9-$J$3)/1000,1)+(_xlfn.RANK.AVG($J9,($J9,$O9,$T9),1)-2)*10)</f>
        <v>18.5</v>
      </c>
      <c r="V9" s="54">
        <f>IF($O9="","",ROUND(($O9-$O$3)/1000,1)+(_xlfn.RANK.AVG($O9,($J9,$O9,$T9),1)-2)*10)</f>
        <v>8</v>
      </c>
      <c r="W9" s="55">
        <f>IF($T9="","",ROUND(($T9-$T$3)/1000,1)+(_xlfn.RANK.AVG($T9,($J9,$O9,$T9),1)-2)*10)</f>
        <v>-28.5</v>
      </c>
      <c r="Y9" s="8" t="s">
        <v>200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199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2</v>
      </c>
      <c r="E10" s="4" t="s">
        <v>193</v>
      </c>
      <c r="F10" s="8" t="s">
        <v>205</v>
      </c>
      <c r="G10" s="9">
        <v>-8000</v>
      </c>
      <c r="H10" s="9"/>
      <c r="I10" s="48">
        <v>-2000</v>
      </c>
      <c r="J10" s="21">
        <f t="shared" si="2"/>
        <v>33500</v>
      </c>
      <c r="K10" s="8"/>
      <c r="L10" s="9"/>
      <c r="M10" s="9"/>
      <c r="N10" s="48"/>
      <c r="O10" s="21">
        <f t="shared" si="3"/>
        <v>43000</v>
      </c>
      <c r="P10" s="8" t="s">
        <v>206</v>
      </c>
      <c r="Q10" s="9">
        <v>8000</v>
      </c>
      <c r="R10" s="9">
        <v>2000</v>
      </c>
      <c r="S10" s="48">
        <v>2000</v>
      </c>
      <c r="T10" s="21">
        <f t="shared" si="4"/>
        <v>28500</v>
      </c>
      <c r="U10" s="53">
        <f>IF($J10="","",ROUND(($J10-$J$3)/1000,1)+(_xlfn.RANK.AVG($J10,($J10,$O10,$T10),1)-2)*10)</f>
        <v>-1.5</v>
      </c>
      <c r="V10" s="54">
        <f>IF($O10="","",ROUND(($O10-$O$3)/1000,1)+(_xlfn.RANK.AVG($O10,($J10,$O10,$T10),1)-2)*10)</f>
        <v>18</v>
      </c>
      <c r="W10" s="55">
        <f>IF($T10="","",ROUND(($T10-$T$3)/1000,1)+(_xlfn.RANK.AVG($T10,($J10,$O10,$T10),1)-2)*10)</f>
        <v>-16.5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203</v>
      </c>
      <c r="BU10" s="40" t="s">
        <v>104</v>
      </c>
      <c r="BV10" s="41" t="s">
        <v>86</v>
      </c>
      <c r="BW10" s="41" t="s">
        <v>86</v>
      </c>
      <c r="BX10" s="41" t="s">
        <v>204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-3000</v>
      </c>
      <c r="H11" s="9"/>
      <c r="I11" s="48">
        <v>0</v>
      </c>
      <c r="J11" s="21">
        <f t="shared" si="2"/>
        <v>30500</v>
      </c>
      <c r="K11" s="8" t="s">
        <v>197</v>
      </c>
      <c r="L11" s="9">
        <v>8000</v>
      </c>
      <c r="M11" s="9"/>
      <c r="N11" s="48">
        <v>0</v>
      </c>
      <c r="O11" s="21">
        <f t="shared" si="3"/>
        <v>51000</v>
      </c>
      <c r="P11" s="8" t="s">
        <v>198</v>
      </c>
      <c r="Q11" s="9">
        <v>-5000</v>
      </c>
      <c r="R11" s="9"/>
      <c r="S11" s="48">
        <v>0</v>
      </c>
      <c r="T11" s="21">
        <f t="shared" si="4"/>
        <v>23500</v>
      </c>
      <c r="U11" s="53">
        <f>IF($J11="","",ROUND(($J11-$J$3)/1000,1)+(_xlfn.RANK.AVG($J11,($J11,$O11,$T11),1)-2)*10)</f>
        <v>-4.5</v>
      </c>
      <c r="V11" s="54">
        <f>IF($O11="","",ROUND(($O11-$O$3)/1000,1)+(_xlfn.RANK.AVG($O11,($J11,$O11,$T11),1)-2)*10)</f>
        <v>26</v>
      </c>
      <c r="W11" s="55">
        <f>IF($T11="","",ROUND(($T11-$T$3)/1000,1)+(_xlfn.RANK.AVG($T11,($J11,$O11,$T11),1)-2)*10)</f>
        <v>-21.5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60</v>
      </c>
      <c r="AZ11" s="40" t="s">
        <v>202</v>
      </c>
      <c r="BA11" s="41" t="s">
        <v>82</v>
      </c>
      <c r="BB11" s="41" t="s">
        <v>79</v>
      </c>
      <c r="BC11" s="41" t="s">
        <v>80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201</v>
      </c>
      <c r="G12" s="9">
        <v>3000</v>
      </c>
      <c r="H12" s="9"/>
      <c r="I12" s="48"/>
      <c r="J12" s="21">
        <f t="shared" si="2"/>
        <v>33500</v>
      </c>
      <c r="K12" s="8" t="s">
        <v>201</v>
      </c>
      <c r="L12" s="9">
        <v>-1500</v>
      </c>
      <c r="M12" s="9"/>
      <c r="N12" s="48"/>
      <c r="O12" s="21">
        <f t="shared" si="3"/>
        <v>49500</v>
      </c>
      <c r="P12" s="8" t="s">
        <v>201</v>
      </c>
      <c r="Q12" s="9">
        <v>-1500</v>
      </c>
      <c r="R12" s="9"/>
      <c r="S12" s="48"/>
      <c r="T12" s="21">
        <f t="shared" si="4"/>
        <v>22000</v>
      </c>
      <c r="U12" s="53">
        <f>IF($J12="","",ROUND(($J12-$J$3)/1000,1)+(_xlfn.RANK.AVG($J12,($J12,$O12,$T12),1)-2)*10)</f>
        <v>-1.5</v>
      </c>
      <c r="V12" s="54">
        <f>IF($O12="","",ROUND(($O12-$O$3)/1000,1)+(_xlfn.RANK.AVG($O12,($J12,$O12,$T12),1)-2)*10)</f>
        <v>24.5</v>
      </c>
      <c r="W12" s="55">
        <f>IF($T12="","",ROUND(($T12-$T$3)/1000,1)+(_xlfn.RANK.AVG($T12,($J12,$O12,$T12),1)-2)*10)</f>
        <v>-23</v>
      </c>
      <c r="Y12" s="8" t="s">
        <v>199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200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200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>
        <f t="shared" si="2"/>
        <v>33500</v>
      </c>
      <c r="K13" s="8" t="s">
        <v>206</v>
      </c>
      <c r="L13" s="9">
        <v>8000</v>
      </c>
      <c r="M13" s="9"/>
      <c r="N13" s="48">
        <v>1000</v>
      </c>
      <c r="O13" s="21">
        <f t="shared" si="3"/>
        <v>58500</v>
      </c>
      <c r="P13" s="8" t="s">
        <v>205</v>
      </c>
      <c r="Q13" s="9">
        <v>-8000</v>
      </c>
      <c r="R13" s="9"/>
      <c r="S13" s="48">
        <v>-1000</v>
      </c>
      <c r="T13" s="21">
        <f t="shared" si="4"/>
        <v>13000</v>
      </c>
      <c r="U13" s="53">
        <f>IF($J13="","",ROUND(($J13-$J$3)/1000,1)+(_xlfn.RANK.AVG($J13,($J13,$O13,$T13),1)-2)*10)</f>
        <v>-1.5</v>
      </c>
      <c r="V13" s="54">
        <f>IF($O13="","",ROUND(($O13-$O$3)/1000,1)+(_xlfn.RANK.AVG($O13,($J13,$O13,$T13),1)-2)*10)</f>
        <v>33.5</v>
      </c>
      <c r="W13" s="55">
        <f>IF($T13="","",ROUND(($T13-$T$3)/1000,1)+(_xlfn.RANK.AVG($T13,($J13,$O13,$T13),1)-2)*10)</f>
        <v>-32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4</v>
      </c>
      <c r="AY13" s="30">
        <v>40</v>
      </c>
      <c r="AZ13" s="40" t="s">
        <v>104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33500</v>
      </c>
      <c r="K14" s="8" t="s">
        <v>206</v>
      </c>
      <c r="L14" s="9">
        <v>9600</v>
      </c>
      <c r="M14" s="9"/>
      <c r="N14" s="48">
        <v>0</v>
      </c>
      <c r="O14" s="21">
        <f t="shared" si="3"/>
        <v>68100</v>
      </c>
      <c r="P14" s="8" t="s">
        <v>205</v>
      </c>
      <c r="Q14" s="9">
        <v>-9600</v>
      </c>
      <c r="R14" s="9"/>
      <c r="S14" s="48">
        <v>0</v>
      </c>
      <c r="T14" s="21">
        <f t="shared" si="4"/>
        <v>3400</v>
      </c>
      <c r="U14" s="53">
        <f>IF($J14="","",ROUND(($J14-$J$3)/1000,1)+(_xlfn.RANK.AVG($J14,($J14,$O14,$T14),1)-2)*10)</f>
        <v>-1.5</v>
      </c>
      <c r="V14" s="54">
        <f>IF($O14="","",ROUND(($O14-$O$3)/1000,1)+(_xlfn.RANK.AVG($O14,($J14,$O14,$T14),1)-2)*10)</f>
        <v>43.1</v>
      </c>
      <c r="W14" s="55">
        <f>IF($T14="","",ROUND(($T14-$T$3)/1000,1)+(_xlfn.RANK.AVG($T14,($J14,$O14,$T14),1)-2)*10)</f>
        <v>-41.6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25</v>
      </c>
      <c r="AZ14" s="40" t="s">
        <v>202</v>
      </c>
      <c r="BA14" s="41" t="s">
        <v>207</v>
      </c>
      <c r="BB14" s="41" t="s">
        <v>101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">
        <v>193</v>
      </c>
      <c r="F15" s="8" t="s">
        <v>201</v>
      </c>
      <c r="G15" s="9">
        <v>0</v>
      </c>
      <c r="H15" s="9"/>
      <c r="I15" s="48"/>
      <c r="J15" s="21">
        <f t="shared" si="2"/>
        <v>33500</v>
      </c>
      <c r="K15" s="8" t="s">
        <v>201</v>
      </c>
      <c r="L15" s="9">
        <v>0</v>
      </c>
      <c r="M15" s="9"/>
      <c r="N15" s="48"/>
      <c r="O15" s="21">
        <f t="shared" si="3"/>
        <v>68100</v>
      </c>
      <c r="P15" s="8" t="s">
        <v>201</v>
      </c>
      <c r="Q15" s="9">
        <v>0</v>
      </c>
      <c r="R15" s="9"/>
      <c r="S15" s="48"/>
      <c r="T15" s="21">
        <f t="shared" si="4"/>
        <v>3400</v>
      </c>
      <c r="U15" s="53">
        <f>IF($J15="","",ROUND(($J15-$J$3)/1000,1)+(_xlfn.RANK.AVG($J15,($J15,$O15,$T15),1)-2)*10)</f>
        <v>-1.5</v>
      </c>
      <c r="V15" s="54">
        <f>IF($O15="","",ROUND(($O15-$O$3)/1000,1)+(_xlfn.RANK.AVG($O15,($J15,$O15,$T15),1)-2)*10)</f>
        <v>43.1</v>
      </c>
      <c r="W15" s="55">
        <f>IF($T15="","",ROUND(($T15-$T$3)/1000,1)+(_xlfn.RANK.AVG($T15,($J15,$O15,$T15),1)-2)*10)</f>
        <v>-41.6</v>
      </c>
      <c r="Y15" s="8" t="s">
        <v>199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199</v>
      </c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199</v>
      </c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2</v>
      </c>
      <c r="D16" s="18">
        <f t="shared" si="1"/>
        <v>0</v>
      </c>
      <c r="E16" s="4" t="s">
        <v>193</v>
      </c>
      <c r="F16" s="8" t="s">
        <v>197</v>
      </c>
      <c r="G16" s="9">
        <v>7700</v>
      </c>
      <c r="H16" s="9">
        <v>1000</v>
      </c>
      <c r="I16" s="48">
        <v>2000</v>
      </c>
      <c r="J16" s="21">
        <f t="shared" si="2"/>
        <v>44200</v>
      </c>
      <c r="K16" s="8" t="s">
        <v>198</v>
      </c>
      <c r="L16" s="9">
        <v>-4800</v>
      </c>
      <c r="M16" s="9">
        <v>-1000</v>
      </c>
      <c r="N16" s="48">
        <v>-1000</v>
      </c>
      <c r="O16" s="21">
        <f t="shared" si="3"/>
        <v>61300</v>
      </c>
      <c r="P16" s="8" t="s">
        <v>198</v>
      </c>
      <c r="Q16" s="9">
        <v>-2900</v>
      </c>
      <c r="R16" s="9"/>
      <c r="S16" s="48">
        <v>-1000</v>
      </c>
      <c r="T16" s="21">
        <f t="shared" si="4"/>
        <v>-500</v>
      </c>
      <c r="U16" s="53">
        <f>IF($J16="","",ROUND(($J16-$J$3)/1000,1)+(_xlfn.RANK.AVG($J16,($J16,$O16,$T16),1)-2)*10)</f>
        <v>9.1999999999999993</v>
      </c>
      <c r="V16" s="54">
        <f>IF($O16="","",ROUND(($O16-$O$3)/1000,1)+(_xlfn.RANK.AVG($O16,($J16,$O16,$T16),1)-2)*10)</f>
        <v>36.299999999999997</v>
      </c>
      <c r="W16" s="55">
        <f>IF($T16="","",ROUND(($T16-$T$3)/1000,1)+(_xlfn.RANK.AVG($T16,($J16,$O16,$T16),1)-2)*10)</f>
        <v>-45.5</v>
      </c>
      <c r="Y16" s="8"/>
      <c r="Z16" s="34"/>
      <c r="AA16" s="26"/>
      <c r="AB16" s="26"/>
      <c r="AC16" s="26">
        <v>4</v>
      </c>
      <c r="AD16" s="30">
        <v>30</v>
      </c>
      <c r="AE16" s="40" t="s">
        <v>82</v>
      </c>
      <c r="AF16" s="41" t="s">
        <v>104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ABCC684-9C7F-4375-86B3-EBF13CBD7BEC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5077-9DB8-4488-8E4D-8552614D223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209</v>
      </c>
      <c r="G1" s="72"/>
      <c r="H1" s="72"/>
      <c r="I1" s="73"/>
      <c r="J1" s="74"/>
      <c r="K1" s="71" t="s">
        <v>196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206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203</v>
      </c>
      <c r="AZ4" s="40" t="s">
        <v>104</v>
      </c>
      <c r="BA4" s="41" t="s">
        <v>86</v>
      </c>
      <c r="BB4" s="41" t="s">
        <v>86</v>
      </c>
      <c r="BC4" s="41" t="s">
        <v>204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-9000</v>
      </c>
      <c r="H5" s="9"/>
      <c r="I5" s="48">
        <v>0</v>
      </c>
      <c r="J5" s="21">
        <f t="shared" ref="J5:J30" si="2">IF(COUNTA($F5,$K5,$P5)&gt;0,J4+SUM(G5:I5),"")</f>
        <v>26000</v>
      </c>
      <c r="K5" s="8" t="s">
        <v>197</v>
      </c>
      <c r="L5" s="9">
        <v>18000</v>
      </c>
      <c r="M5" s="9"/>
      <c r="N5" s="48">
        <v>0</v>
      </c>
      <c r="O5" s="21">
        <f t="shared" ref="O5:O30" si="3">IF(COUNTA($F5,$K5,$P5)&gt;0,O4+SUM(L5:N5),"")</f>
        <v>65000</v>
      </c>
      <c r="P5" s="8" t="s">
        <v>198</v>
      </c>
      <c r="Q5" s="9">
        <v>-9000</v>
      </c>
      <c r="R5" s="9"/>
      <c r="S5" s="48">
        <v>0</v>
      </c>
      <c r="T5" s="21">
        <f t="shared" ref="T5:T30" si="4">IF(COUNTA($F5,$K5,$P5)&gt;0,T4+SUM(Q5:S5),"")</f>
        <v>14000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40</v>
      </c>
      <c r="W5" s="55">
        <f>IF($T5="","",ROUND(($T5-$T$3)/1000,1)+(_xlfn.RANK.AVG($T5,($J5,$O5,$T5),1)-2)*10)</f>
        <v>-31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6</v>
      </c>
      <c r="AY5" s="30" t="s">
        <v>203</v>
      </c>
      <c r="AZ5" s="40" t="s">
        <v>82</v>
      </c>
      <c r="BA5" s="41" t="s">
        <v>83</v>
      </c>
      <c r="BB5" s="41" t="s">
        <v>204</v>
      </c>
      <c r="BC5" s="41" t="s">
        <v>204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206</v>
      </c>
      <c r="G6" s="9">
        <v>8000</v>
      </c>
      <c r="H6" s="9"/>
      <c r="I6" s="48">
        <v>1000</v>
      </c>
      <c r="J6" s="21">
        <f t="shared" si="2"/>
        <v>35000</v>
      </c>
      <c r="K6" s="8"/>
      <c r="L6" s="9"/>
      <c r="M6" s="9"/>
      <c r="N6" s="48"/>
      <c r="O6" s="21">
        <f t="shared" si="3"/>
        <v>65000</v>
      </c>
      <c r="P6" s="8" t="s">
        <v>205</v>
      </c>
      <c r="Q6" s="9">
        <v>-8000</v>
      </c>
      <c r="R6" s="9"/>
      <c r="S6" s="48">
        <v>-1000</v>
      </c>
      <c r="T6" s="21">
        <f t="shared" si="4"/>
        <v>5000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40</v>
      </c>
      <c r="W6" s="55">
        <f>IF($T6="","",ROUND(($T6-$T$3)/1000,1)+(_xlfn.RANK.AVG($T6,($J6,$O6,$T6),1)-2)*10)</f>
        <v>-40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86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210</v>
      </c>
      <c r="G7" s="9">
        <v>-3000</v>
      </c>
      <c r="H7" s="9"/>
      <c r="I7" s="48"/>
      <c r="J7" s="21">
        <f t="shared" si="2"/>
        <v>32000</v>
      </c>
      <c r="K7" s="8" t="s">
        <v>210</v>
      </c>
      <c r="L7" s="9">
        <v>1500</v>
      </c>
      <c r="M7" s="9">
        <v>-1000</v>
      </c>
      <c r="N7" s="48"/>
      <c r="O7" s="21">
        <f t="shared" si="3"/>
        <v>65500</v>
      </c>
      <c r="P7" s="8" t="s">
        <v>210</v>
      </c>
      <c r="Q7" s="9">
        <v>1500</v>
      </c>
      <c r="R7" s="9">
        <v>-1000</v>
      </c>
      <c r="S7" s="48"/>
      <c r="T7" s="21">
        <f t="shared" si="4"/>
        <v>5500</v>
      </c>
      <c r="U7" s="53">
        <f>IF($J7="","",ROUND(($J7-$J$3)/1000,1)+(_xlfn.RANK.AVG($J7,($J7,$O7,$T7),1)-2)*10)</f>
        <v>-3</v>
      </c>
      <c r="V7" s="54">
        <f>IF($O7="","",ROUND(($O7-$O$3)/1000,1)+(_xlfn.RANK.AVG($O7,($J7,$O7,$T7),1)-2)*10)</f>
        <v>40.5</v>
      </c>
      <c r="W7" s="55">
        <f>IF($T7="","",ROUND(($T7-$T$3)/1000,1)+(_xlfn.RANK.AVG($T7,($J7,$O7,$T7),1)-2)*10)</f>
        <v>-39.5</v>
      </c>
      <c r="Y7" s="8" t="s">
        <v>200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199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199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2</v>
      </c>
      <c r="E8" s="4" t="s">
        <v>193</v>
      </c>
      <c r="F8" s="8" t="s">
        <v>198</v>
      </c>
      <c r="G8" s="9">
        <v>-3000</v>
      </c>
      <c r="H8" s="9"/>
      <c r="I8" s="48">
        <v>-500</v>
      </c>
      <c r="J8" s="21">
        <f t="shared" si="2"/>
        <v>28500</v>
      </c>
      <c r="K8" s="8" t="s">
        <v>198</v>
      </c>
      <c r="L8" s="9">
        <v>-3000</v>
      </c>
      <c r="M8" s="9"/>
      <c r="N8" s="48">
        <v>-500</v>
      </c>
      <c r="O8" s="21">
        <f t="shared" si="3"/>
        <v>62000</v>
      </c>
      <c r="P8" s="8" t="s">
        <v>197</v>
      </c>
      <c r="Q8" s="9">
        <v>6000</v>
      </c>
      <c r="R8" s="9">
        <v>2000</v>
      </c>
      <c r="S8" s="48">
        <v>1000</v>
      </c>
      <c r="T8" s="21">
        <f t="shared" si="4"/>
        <v>14500</v>
      </c>
      <c r="U8" s="53">
        <f>IF($J8="","",ROUND(($J8-$J$3)/1000,1)+(_xlfn.RANK.AVG($J8,($J8,$O8,$T8),1)-2)*10)</f>
        <v>-6.5</v>
      </c>
      <c r="V8" s="54">
        <f>IF($O8="","",ROUND(($O8-$O$3)/1000,1)+(_xlfn.RANK.AVG($O8,($J8,$O8,$T8),1)-2)*10)</f>
        <v>37</v>
      </c>
      <c r="W8" s="55">
        <f>IF($T8="","",ROUND(($T8-$T$3)/1000,1)+(_xlfn.RANK.AVG($T8,($J8,$O8,$T8),1)-2)*10)</f>
        <v>-30.5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104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206</v>
      </c>
      <c r="G9" s="9">
        <v>1000</v>
      </c>
      <c r="H9" s="9"/>
      <c r="I9" s="48">
        <v>2000</v>
      </c>
      <c r="J9" s="21">
        <f t="shared" si="2"/>
        <v>31500</v>
      </c>
      <c r="K9" s="8" t="s">
        <v>205</v>
      </c>
      <c r="L9" s="9">
        <v>-1000</v>
      </c>
      <c r="M9" s="9"/>
      <c r="N9" s="48">
        <v>-2000</v>
      </c>
      <c r="O9" s="21">
        <f t="shared" si="3"/>
        <v>59000</v>
      </c>
      <c r="P9" s="8"/>
      <c r="Q9" s="9"/>
      <c r="R9" s="9"/>
      <c r="S9" s="48"/>
      <c r="T9" s="21">
        <f t="shared" si="4"/>
        <v>14500</v>
      </c>
      <c r="U9" s="53">
        <f>IF($J9="","",ROUND(($J9-$J$3)/1000,1)+(_xlfn.RANK.AVG($J9,($J9,$O9,$T9),1)-2)*10)</f>
        <v>-3.5</v>
      </c>
      <c r="V9" s="54">
        <f>IF($O9="","",ROUND(($O9-$O$3)/1000,1)+(_xlfn.RANK.AVG($O9,($J9,$O9,$T9),1)-2)*10)</f>
        <v>34</v>
      </c>
      <c r="W9" s="55">
        <f>IF($T9="","",ROUND(($T9-$T$3)/1000,1)+(_xlfn.RANK.AVG($T9,($J9,$O9,$T9),1)-2)*10)</f>
        <v>-30.5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208</v>
      </c>
      <c r="F10" s="8" t="s">
        <v>206</v>
      </c>
      <c r="G10" s="9">
        <v>1500</v>
      </c>
      <c r="H10" s="9"/>
      <c r="I10" s="48">
        <v>0</v>
      </c>
      <c r="J10" s="21">
        <f t="shared" si="2"/>
        <v>33000</v>
      </c>
      <c r="K10" s="8" t="s">
        <v>205</v>
      </c>
      <c r="L10" s="9">
        <v>-1500</v>
      </c>
      <c r="M10" s="9"/>
      <c r="N10" s="48">
        <v>0</v>
      </c>
      <c r="O10" s="21">
        <f t="shared" si="3"/>
        <v>57500</v>
      </c>
      <c r="P10" s="8"/>
      <c r="Q10" s="9"/>
      <c r="R10" s="9"/>
      <c r="S10" s="48"/>
      <c r="T10" s="21">
        <f t="shared" si="4"/>
        <v>14500</v>
      </c>
      <c r="U10" s="53">
        <f>IF($J10="","",ROUND(($J10-$J$3)/1000,1)+(_xlfn.RANK.AVG($J10,($J10,$O10,$T10),1)-2)*10)</f>
        <v>-2</v>
      </c>
      <c r="V10" s="54">
        <f>IF($O10="","",ROUND(($O10-$O$3)/1000,1)+(_xlfn.RANK.AVG($O10,($J10,$O10,$T10),1)-2)*10)</f>
        <v>32.5</v>
      </c>
      <c r="W10" s="55">
        <f>IF($T10="","",ROUND(($T10-$T$3)/1000,1)+(_xlfn.RANK.AVG($T10,($J10,$O10,$T10),1)-2)*10)</f>
        <v>-30.5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208</v>
      </c>
      <c r="F11" s="8" t="s">
        <v>197</v>
      </c>
      <c r="G11" s="9">
        <v>11600</v>
      </c>
      <c r="H11" s="9"/>
      <c r="I11" s="48">
        <v>1000</v>
      </c>
      <c r="J11" s="21">
        <f t="shared" si="2"/>
        <v>45600</v>
      </c>
      <c r="K11" s="8" t="s">
        <v>198</v>
      </c>
      <c r="L11" s="9">
        <v>-5800</v>
      </c>
      <c r="M11" s="9"/>
      <c r="N11" s="48">
        <v>-500</v>
      </c>
      <c r="O11" s="21">
        <f t="shared" si="3"/>
        <v>51200</v>
      </c>
      <c r="P11" s="8" t="s">
        <v>198</v>
      </c>
      <c r="Q11" s="9">
        <v>-5800</v>
      </c>
      <c r="R11" s="9"/>
      <c r="S11" s="48">
        <v>-500</v>
      </c>
      <c r="T11" s="21">
        <f t="shared" si="4"/>
        <v>8200</v>
      </c>
      <c r="U11" s="53">
        <f>IF($J11="","",ROUND(($J11-$J$3)/1000,1)+(_xlfn.RANK.AVG($J11,($J11,$O11,$T11),1)-2)*10)</f>
        <v>10.6</v>
      </c>
      <c r="V11" s="54">
        <f>IF($O11="","",ROUND(($O11-$O$3)/1000,1)+(_xlfn.RANK.AVG($O11,($J11,$O11,$T11),1)-2)*10)</f>
        <v>26.2</v>
      </c>
      <c r="W11" s="55">
        <f>IF($T11="","",ROUND(($T11-$T$3)/1000,1)+(_xlfn.RANK.AVG($T11,($J11,$O11,$T11),1)-2)*10)</f>
        <v>-36.799999999999997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202</v>
      </c>
      <c r="AF11" s="41" t="s">
        <v>82</v>
      </c>
      <c r="AG11" s="41" t="s">
        <v>204</v>
      </c>
      <c r="AH11" s="41" t="s">
        <v>207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208</v>
      </c>
      <c r="F12" s="8" t="s">
        <v>206</v>
      </c>
      <c r="G12" s="9">
        <v>7700</v>
      </c>
      <c r="H12" s="9"/>
      <c r="I12" s="48">
        <v>2000</v>
      </c>
      <c r="J12" s="21">
        <f t="shared" si="2"/>
        <v>55300</v>
      </c>
      <c r="K12" s="8"/>
      <c r="L12" s="9"/>
      <c r="M12" s="9"/>
      <c r="N12" s="48"/>
      <c r="O12" s="21">
        <f t="shared" si="3"/>
        <v>51200</v>
      </c>
      <c r="P12" s="8" t="s">
        <v>205</v>
      </c>
      <c r="Q12" s="9">
        <v>-7700</v>
      </c>
      <c r="R12" s="9"/>
      <c r="S12" s="48">
        <v>-2000</v>
      </c>
      <c r="T12" s="21">
        <f t="shared" si="4"/>
        <v>-1500</v>
      </c>
      <c r="U12" s="53">
        <f>IF($J12="","",ROUND(($J12-$J$3)/1000,1)+(_xlfn.RANK.AVG($J12,($J12,$O12,$T12),1)-2)*10)</f>
        <v>30.3</v>
      </c>
      <c r="V12" s="54">
        <f>IF($O12="","",ROUND(($O12-$O$3)/1000,1)+(_xlfn.RANK.AVG($O12,($J12,$O12,$T12),1)-2)*10)</f>
        <v>16.2</v>
      </c>
      <c r="W12" s="55">
        <f>IF($T12="","",ROUND(($T12-$T$3)/1000,1)+(_xlfn.RANK.AVG($T12,($J12,$O12,$T12),1)-2)*10)</f>
        <v>-46.5</v>
      </c>
      <c r="Y12" s="8"/>
      <c r="Z12" s="34"/>
      <c r="AA12" s="26"/>
      <c r="AB12" s="26"/>
      <c r="AC12" s="26">
        <v>3</v>
      </c>
      <c r="AD12" s="30">
        <v>40</v>
      </c>
      <c r="AE12" s="40" t="s">
        <v>86</v>
      </c>
      <c r="AF12" s="41" t="s">
        <v>79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1586E9BA-AB22-43F1-A53E-B05C4C964EFA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9D56A574-9937-40FC-A0FE-1C14CAB6B73B}">
      <formula1>"ロン,ツモ,放銃,ツモ支払,流局,チョンボ"</formula1>
    </dataValidation>
    <dataValidation type="list" allowBlank="1" showInputMessage="1" showErrorMessage="1" sqref="E4:E30" xr:uid="{A5890C1B-329A-453B-B317-9670C1171B8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7D4E9-42D0-454F-B200-FA1D84AA926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212</v>
      </c>
      <c r="G1" s="72"/>
      <c r="H1" s="72"/>
      <c r="I1" s="73"/>
      <c r="J1" s="74"/>
      <c r="K1" s="71" t="s">
        <v>214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ともき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ともき</v>
      </c>
      <c r="V2" s="69" t="str">
        <f>$K$1</f>
        <v>れんたろう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211</v>
      </c>
      <c r="F4" s="8" t="s">
        <v>210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210</v>
      </c>
      <c r="L4" s="9">
        <v>-3000</v>
      </c>
      <c r="M4" s="9"/>
      <c r="N4" s="48"/>
      <c r="O4" s="21">
        <f>IF(COUNTA($F4,$K4,$P4)&gt;0,O3+SUM(L4:N4),"")</f>
        <v>32000</v>
      </c>
      <c r="P4" s="8" t="s">
        <v>210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199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200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199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211</v>
      </c>
      <c r="F5" s="8" t="s">
        <v>206</v>
      </c>
      <c r="G5" s="9">
        <v>12000</v>
      </c>
      <c r="H5" s="9">
        <v>2000</v>
      </c>
      <c r="I5" s="48">
        <v>1000</v>
      </c>
      <c r="J5" s="21">
        <f t="shared" ref="J5:J30" si="2">IF(COUNTA($F5,$K5,$P5)&gt;0,J4+SUM(G5:I5),"")</f>
        <v>50500</v>
      </c>
      <c r="K5" s="8"/>
      <c r="L5" s="9"/>
      <c r="M5" s="9">
        <v>-1000</v>
      </c>
      <c r="N5" s="48"/>
      <c r="O5" s="21">
        <f t="shared" ref="O5:O30" si="3">IF(COUNTA($F5,$K5,$P5)&gt;0,O4+SUM(L5:N5),"")</f>
        <v>31000</v>
      </c>
      <c r="P5" s="8" t="s">
        <v>205</v>
      </c>
      <c r="Q5" s="9">
        <v>-12000</v>
      </c>
      <c r="R5" s="9"/>
      <c r="S5" s="48">
        <v>-1000</v>
      </c>
      <c r="T5" s="21">
        <f t="shared" ref="T5:T30" si="4">IF(COUNTA($F5,$K5,$P5)&gt;0,T4+SUM(Q5:S5),"")</f>
        <v>23500</v>
      </c>
      <c r="U5" s="53">
        <f>IF($J5="","",ROUND(($J5-$J$3)/1000,1)+(_xlfn.RANK.AVG($J5,($J5,$O5,$T5),1)-2)*10)</f>
        <v>25.5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-21.5</v>
      </c>
      <c r="Y5" s="8"/>
      <c r="Z5" s="34"/>
      <c r="AA5" s="26">
        <v>1</v>
      </c>
      <c r="AB5" s="26"/>
      <c r="AC5" s="26">
        <v>5</v>
      </c>
      <c r="AD5" s="30" t="s">
        <v>203</v>
      </c>
      <c r="AE5" s="40" t="s">
        <v>202</v>
      </c>
      <c r="AF5" s="41" t="s">
        <v>79</v>
      </c>
      <c r="AG5" s="41" t="s">
        <v>84</v>
      </c>
      <c r="AH5" s="41" t="s">
        <v>93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211</v>
      </c>
      <c r="F6" s="8" t="s">
        <v>206</v>
      </c>
      <c r="G6" s="9">
        <v>3900</v>
      </c>
      <c r="H6" s="9"/>
      <c r="I6" s="48">
        <v>2000</v>
      </c>
      <c r="J6" s="21">
        <f t="shared" si="2"/>
        <v>56400</v>
      </c>
      <c r="K6" s="8" t="s">
        <v>205</v>
      </c>
      <c r="L6" s="9">
        <v>-3900</v>
      </c>
      <c r="M6" s="9"/>
      <c r="N6" s="48">
        <v>-2000</v>
      </c>
      <c r="O6" s="21">
        <f t="shared" si="3"/>
        <v>25100</v>
      </c>
      <c r="P6" s="8"/>
      <c r="Q6" s="9"/>
      <c r="R6" s="9"/>
      <c r="S6" s="48"/>
      <c r="T6" s="21">
        <f t="shared" si="4"/>
        <v>23500</v>
      </c>
      <c r="U6" s="53">
        <f>IF($J6="","",ROUND(($J6-$J$3)/1000,1)+(_xlfn.RANK.AVG($J6,($J6,$O6,$T6),1)-2)*10)</f>
        <v>31.4</v>
      </c>
      <c r="V6" s="54">
        <f>IF($O6="","",ROUND(($O6-$O$3)/1000,1)+(_xlfn.RANK.AVG($O6,($J6,$O6,$T6),1)-2)*10)</f>
        <v>-9.9</v>
      </c>
      <c r="W6" s="55">
        <f>IF($T6="","",ROUND(($T6-$T$3)/1000,1)+(_xlfn.RANK.AVG($T6,($J6,$O6,$T6),1)-2)*10)</f>
        <v>-21.5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202</v>
      </c>
      <c r="AF6" s="41" t="s">
        <v>204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211</v>
      </c>
      <c r="F7" s="8"/>
      <c r="G7" s="9"/>
      <c r="H7" s="9">
        <v>-1000</v>
      </c>
      <c r="I7" s="48"/>
      <c r="J7" s="21">
        <f t="shared" si="2"/>
        <v>55400</v>
      </c>
      <c r="K7" s="8" t="s">
        <v>206</v>
      </c>
      <c r="L7" s="9">
        <v>8000</v>
      </c>
      <c r="M7" s="9">
        <v>2000</v>
      </c>
      <c r="N7" s="48">
        <v>3000</v>
      </c>
      <c r="O7" s="21">
        <f t="shared" si="3"/>
        <v>38100</v>
      </c>
      <c r="P7" s="8" t="s">
        <v>205</v>
      </c>
      <c r="Q7" s="9">
        <v>-8000</v>
      </c>
      <c r="R7" s="9">
        <v>-1000</v>
      </c>
      <c r="S7" s="48">
        <v>-3000</v>
      </c>
      <c r="T7" s="21">
        <f t="shared" si="4"/>
        <v>11500</v>
      </c>
      <c r="U7" s="53">
        <f>IF($J7="","",ROUND(($J7-$J$3)/1000,1)+(_xlfn.RANK.AVG($J7,($J7,$O7,$T7),1)-2)*10)</f>
        <v>30.4</v>
      </c>
      <c r="V7" s="54">
        <f>IF($O7="","",ROUND(($O7-$O$3)/1000,1)+(_xlfn.RANK.AVG($O7,($J7,$O7,$T7),1)-2)*10)</f>
        <v>3.1</v>
      </c>
      <c r="W7" s="55">
        <f>IF($T7="","",ROUND(($T7-$T$3)/1000,1)+(_xlfn.RANK.AVG($T7,($J7,$O7,$T7),1)-2)*10)</f>
        <v>-33.5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79</v>
      </c>
      <c r="BA7" s="41" t="s">
        <v>86</v>
      </c>
      <c r="BB7" s="41" t="s">
        <v>104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213</v>
      </c>
      <c r="F8" s="8" t="s">
        <v>205</v>
      </c>
      <c r="G8" s="9">
        <v>-12000</v>
      </c>
      <c r="H8" s="9"/>
      <c r="I8" s="48">
        <v>0</v>
      </c>
      <c r="J8" s="21">
        <f t="shared" si="2"/>
        <v>43400</v>
      </c>
      <c r="K8" s="8" t="s">
        <v>206</v>
      </c>
      <c r="L8" s="9">
        <v>12000</v>
      </c>
      <c r="M8" s="9"/>
      <c r="N8" s="48">
        <v>0</v>
      </c>
      <c r="O8" s="21">
        <f t="shared" si="3"/>
        <v>50100</v>
      </c>
      <c r="P8" s="8"/>
      <c r="Q8" s="9"/>
      <c r="R8" s="9"/>
      <c r="S8" s="48"/>
      <c r="T8" s="21">
        <f t="shared" si="4"/>
        <v>11500</v>
      </c>
      <c r="U8" s="53">
        <f>IF($J8="","",ROUND(($J8-$J$3)/1000,1)+(_xlfn.RANK.AVG($J8,($J8,$O8,$T8),1)-2)*10)</f>
        <v>8.4</v>
      </c>
      <c r="V8" s="54">
        <f>IF($O8="","",ROUND(($O8-$O$3)/1000,1)+(_xlfn.RANK.AVG($O8,($J8,$O8,$T8),1)-2)*10)</f>
        <v>25.1</v>
      </c>
      <c r="W8" s="55">
        <f>IF($T8="","",ROUND(($T8-$T$3)/1000,1)+(_xlfn.RANK.AVG($T8,($J8,$O8,$T8),1)-2)*10)</f>
        <v>-33.5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203</v>
      </c>
      <c r="AZ8" s="40" t="s">
        <v>86</v>
      </c>
      <c r="BA8" s="41" t="s">
        <v>86</v>
      </c>
      <c r="BB8" s="41" t="s">
        <v>204</v>
      </c>
      <c r="BC8" s="41" t="s">
        <v>204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213</v>
      </c>
      <c r="F9" s="8" t="s">
        <v>206</v>
      </c>
      <c r="G9" s="9">
        <v>12000</v>
      </c>
      <c r="H9" s="9"/>
      <c r="I9" s="48">
        <v>1000</v>
      </c>
      <c r="J9" s="21">
        <f t="shared" si="2"/>
        <v>56400</v>
      </c>
      <c r="K9" s="8" t="s">
        <v>205</v>
      </c>
      <c r="L9" s="9">
        <v>-12000</v>
      </c>
      <c r="M9" s="9"/>
      <c r="N9" s="48">
        <v>-1000</v>
      </c>
      <c r="O9" s="21">
        <f t="shared" si="3"/>
        <v>37100</v>
      </c>
      <c r="P9" s="8"/>
      <c r="Q9" s="9"/>
      <c r="R9" s="9"/>
      <c r="S9" s="48"/>
      <c r="T9" s="21">
        <f t="shared" si="4"/>
        <v>11500</v>
      </c>
      <c r="U9" s="53">
        <f>IF($J9="","",ROUND(($J9-$J$3)/1000,1)+(_xlfn.RANK.AVG($J9,($J9,$O9,$T9),1)-2)*10)</f>
        <v>31.4</v>
      </c>
      <c r="V9" s="54">
        <f>IF($O9="","",ROUND(($O9-$O$3)/1000,1)+(_xlfn.RANK.AVG($O9,($J9,$O9,$T9),1)-2)*10)</f>
        <v>2.1</v>
      </c>
      <c r="W9" s="55">
        <f>IF($T9="","",ROUND(($T9-$T$3)/1000,1)+(_xlfn.RANK.AVG($T9,($J9,$O9,$T9),1)-2)*10)</f>
        <v>-33.5</v>
      </c>
      <c r="Y9" s="8"/>
      <c r="Z9" s="34"/>
      <c r="AA9" s="26">
        <v>1</v>
      </c>
      <c r="AB9" s="26"/>
      <c r="AC9" s="26">
        <v>7</v>
      </c>
      <c r="AD9" s="30" t="s">
        <v>203</v>
      </c>
      <c r="AE9" s="40" t="s">
        <v>202</v>
      </c>
      <c r="AF9" s="41" t="s">
        <v>207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55400</v>
      </c>
      <c r="K10" s="8" t="s">
        <v>206</v>
      </c>
      <c r="L10" s="9">
        <v>12000</v>
      </c>
      <c r="M10" s="9">
        <v>1000</v>
      </c>
      <c r="N10" s="48">
        <v>0</v>
      </c>
      <c r="O10" s="21">
        <f t="shared" si="3"/>
        <v>50100</v>
      </c>
      <c r="P10" s="8" t="s">
        <v>205</v>
      </c>
      <c r="Q10" s="9">
        <v>-12000</v>
      </c>
      <c r="R10" s="9"/>
      <c r="S10" s="48">
        <v>0</v>
      </c>
      <c r="T10" s="21">
        <f t="shared" si="4"/>
        <v>-500</v>
      </c>
      <c r="U10" s="53">
        <f>IF($J10="","",ROUND(($J10-$J$3)/1000,1)+(_xlfn.RANK.AVG($J10,($J10,$O10,$T10),1)-2)*10)</f>
        <v>30.4</v>
      </c>
      <c r="V10" s="54">
        <f>IF($O10="","",ROUND(($O10-$O$3)/1000,1)+(_xlfn.RANK.AVG($O10,($J10,$O10,$T10),1)-2)*10)</f>
        <v>15.1</v>
      </c>
      <c r="W10" s="55">
        <f>IF($T10="","",ROUND(($T10-$T$3)/1000,1)+(_xlfn.RANK.AVG($T10,($J10,$O10,$T10),1)-2)*10)</f>
        <v>-45.5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6</v>
      </c>
      <c r="AY10" s="30" t="s">
        <v>203</v>
      </c>
      <c r="AZ10" s="40" t="s">
        <v>79</v>
      </c>
      <c r="BA10" s="41" t="s">
        <v>79</v>
      </c>
      <c r="BB10" s="41" t="s">
        <v>79</v>
      </c>
      <c r="BC10" s="41" t="s">
        <v>79</v>
      </c>
      <c r="BD10" s="41" t="s">
        <v>86</v>
      </c>
      <c r="BE10" s="41" t="s">
        <v>204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71CF304-FC70-431B-B9DA-65E02A1681E7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89BD1DF6-BEE6-4788-9D4E-FAA43B2A3F96}">
      <formula1>"ロン,ツモ,放銃,ツモ支払,流局,チョンボ"</formula1>
    </dataValidation>
    <dataValidation type="list" allowBlank="1" showInputMessage="1" showErrorMessage="1" sqref="E4:E30" xr:uid="{D0577994-B500-42CC-A381-D61FDAF57D9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2B1DC-5CB7-4B4D-AAC7-F647400586CD}">
  <sheetPr codeName="Sheet14">
    <pageSetUpPr fitToPage="1"/>
  </sheetPr>
  <dimension ref="A1:CI30"/>
  <sheetViews>
    <sheetView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214</v>
      </c>
      <c r="L1" s="72"/>
      <c r="M1" s="72"/>
      <c r="N1" s="73"/>
      <c r="O1" s="74"/>
      <c r="P1" s="71" t="s">
        <v>212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ともき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ともき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-5000</v>
      </c>
      <c r="H4" s="9">
        <v>-1000</v>
      </c>
      <c r="I4" s="48">
        <v>0</v>
      </c>
      <c r="J4" s="21">
        <f>IF(COUNTA($F4,$K4,$P4)&gt;0,J3+SUM(G4:I4),"")</f>
        <v>29000</v>
      </c>
      <c r="K4" s="8" t="s">
        <v>198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IF($J4="","",ROUND(($J4-$J$3)/1000,1)+(_xlfn.RANK.AVG($J4,($J4,$O4,$T4),1)-2)*10)</f>
        <v>-16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203</v>
      </c>
      <c r="BU4" s="40" t="s">
        <v>202</v>
      </c>
      <c r="BV4" s="41" t="s">
        <v>82</v>
      </c>
      <c r="BW4" s="41" t="s">
        <v>80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213</v>
      </c>
      <c r="F5" s="8" t="s">
        <v>206</v>
      </c>
      <c r="G5" s="9">
        <v>32000</v>
      </c>
      <c r="H5" s="9"/>
      <c r="I5" s="48">
        <v>0</v>
      </c>
      <c r="J5" s="21">
        <f t="shared" ref="J5:J30" si="2">IF(COUNTA($F5,$K5,$P5)&gt;0,J4+SUM(G5:I5),"")</f>
        <v>61000</v>
      </c>
      <c r="K5" s="8" t="s">
        <v>205</v>
      </c>
      <c r="L5" s="9">
        <v>-32000</v>
      </c>
      <c r="M5" s="9"/>
      <c r="N5" s="48">
        <v>0</v>
      </c>
      <c r="O5" s="21">
        <f t="shared" ref="O5:O30" si="3">IF(COUNTA($F5,$K5,$P5)&gt;0,O4+SUM(L5:N5),"")</f>
        <v>0</v>
      </c>
      <c r="P5" s="8"/>
      <c r="Q5" s="9"/>
      <c r="R5" s="9"/>
      <c r="S5" s="48"/>
      <c r="T5" s="21">
        <f t="shared" ref="T5:T30" si="4">IF(COUNTA($F5,$K5,$P5)&gt;0,T4+SUM(Q5:S5),"")</f>
        <v>44000</v>
      </c>
      <c r="U5" s="53">
        <f>IF($J5="","",ROUND(($J5-$J$3)/1000,1)+(_xlfn.RANK.AVG($J5,($J5,$O5,$T5),1)-2)*10)</f>
        <v>36</v>
      </c>
      <c r="V5" s="54">
        <f>IF($O5="","",ROUND(($O5-$O$3)/1000,1)+(_xlfn.RANK.AVG($O5,($J5,$O5,$T5),1)-2)*10)</f>
        <v>-45</v>
      </c>
      <c r="W5" s="55">
        <f>IF($T5="","",ROUND(($T5-$T$3)/1000,1)+(_xlfn.RANK.AVG($T5,($J5,$O5,$T5),1)-2)*10)</f>
        <v>9</v>
      </c>
      <c r="Y5" s="8"/>
      <c r="Z5" s="34"/>
      <c r="AA5" s="26"/>
      <c r="AB5" s="26"/>
      <c r="AC5" s="26">
        <v>13</v>
      </c>
      <c r="AD5" s="30" t="s">
        <v>203</v>
      </c>
      <c r="AE5" s="40" t="s">
        <v>107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211</v>
      </c>
      <c r="F6" s="8" t="s">
        <v>205</v>
      </c>
      <c r="G6" s="9">
        <v>-3900</v>
      </c>
      <c r="H6" s="9"/>
      <c r="I6" s="48">
        <v>0</v>
      </c>
      <c r="J6" s="21">
        <f t="shared" si="2"/>
        <v>57100</v>
      </c>
      <c r="K6" s="8"/>
      <c r="L6" s="9"/>
      <c r="M6" s="9"/>
      <c r="N6" s="48"/>
      <c r="O6" s="21">
        <f t="shared" si="3"/>
        <v>0</v>
      </c>
      <c r="P6" s="8" t="s">
        <v>206</v>
      </c>
      <c r="Q6" s="9">
        <v>3900</v>
      </c>
      <c r="R6" s="9"/>
      <c r="S6" s="48">
        <v>0</v>
      </c>
      <c r="T6" s="21">
        <f t="shared" si="4"/>
        <v>47900</v>
      </c>
      <c r="U6" s="53">
        <f>IF($J6="","",ROUND(($J6-$J$3)/1000,1)+(_xlfn.RANK.AVG($J6,($J6,$O6,$T6),1)-2)*10)</f>
        <v>32.1</v>
      </c>
      <c r="V6" s="54">
        <f>IF($O6="","",ROUND(($O6-$O$3)/1000,1)+(_xlfn.RANK.AVG($O6,($J6,$O6,$T6),1)-2)*10)</f>
        <v>-45</v>
      </c>
      <c r="W6" s="55">
        <f>IF($T6="","",ROUND(($T6-$T$3)/1000,1)+(_xlfn.RANK.AVG($T6,($J6,$O6,$T6),1)-2)*10)</f>
        <v>12.9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202</v>
      </c>
      <c r="BV6" s="41" t="s">
        <v>204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211</v>
      </c>
      <c r="F7" s="8" t="s">
        <v>197</v>
      </c>
      <c r="G7" s="9">
        <v>1500</v>
      </c>
      <c r="H7" s="9"/>
      <c r="I7" s="48">
        <v>1000</v>
      </c>
      <c r="J7" s="21">
        <f t="shared" si="2"/>
        <v>59600</v>
      </c>
      <c r="K7" s="8" t="s">
        <v>198</v>
      </c>
      <c r="L7" s="9">
        <v>-600</v>
      </c>
      <c r="M7" s="9"/>
      <c r="N7" s="48">
        <v>-500</v>
      </c>
      <c r="O7" s="21">
        <f t="shared" si="3"/>
        <v>-1100</v>
      </c>
      <c r="P7" s="8" t="s">
        <v>198</v>
      </c>
      <c r="Q7" s="9">
        <v>-900</v>
      </c>
      <c r="R7" s="9"/>
      <c r="S7" s="48">
        <v>-500</v>
      </c>
      <c r="T7" s="21">
        <f t="shared" si="4"/>
        <v>46500</v>
      </c>
      <c r="U7" s="53">
        <f>IF($J7="","",ROUND(($J7-$J$3)/1000,1)+(_xlfn.RANK.AVG($J7,($J7,$O7,$T7),1)-2)*10)</f>
        <v>34.6</v>
      </c>
      <c r="V7" s="54">
        <f>IF($O7="","",ROUND(($O7-$O$3)/1000,1)+(_xlfn.RANK.AVG($O7,($J7,$O7,$T7),1)-2)*10)</f>
        <v>-46.1</v>
      </c>
      <c r="W7" s="55">
        <f>IF($T7="","",ROUND(($T7-$T$3)/1000,1)+(_xlfn.RANK.AVG($T7,($J7,$O7,$T7),1)-2)*10)</f>
        <v>11.5</v>
      </c>
      <c r="Y7" s="8"/>
      <c r="Z7" s="34"/>
      <c r="AA7" s="26"/>
      <c r="AB7" s="26"/>
      <c r="AC7" s="26">
        <v>2</v>
      </c>
      <c r="AD7" s="30">
        <v>20</v>
      </c>
      <c r="AE7" s="40" t="s">
        <v>85</v>
      </c>
      <c r="AF7" s="41" t="s">
        <v>83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0B064F2-DA3A-49D9-B5C7-28A5DC1125A1}">
      <formula1>$U$2:$W$2</formula1>
    </dataValidation>
    <dataValidation type="list" showInputMessage="1" showErrorMessage="1" sqref="K4:K30 P4:P30 F4:F30" xr:uid="{9E9DBC5E-2DAA-47F0-91A6-BFD199B02CEC}">
      <formula1>"ロン,ツモ,放銃,ツモ支払,流局,チョンボ"</formula1>
    </dataValidation>
    <dataValidation type="list" allowBlank="1" showInputMessage="1" sqref="F1:T1" xr:uid="{3FDB9065-A894-4B5B-8D2E-553FB4F4EDE9}">
      <formula1>"だいち,れんたろう,ただ,りくと,まっつん,たかの,のり,ともき,ぱぱ,たか,"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2020-01-31T16:15:53Z</dcterms:modified>
</cp:coreProperties>
</file>