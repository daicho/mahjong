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75384C51-06E5-46A0-BCD4-C1D074C8A3FD}" xr6:coauthVersionLast="41" xr6:coauthVersionMax="41" xr10:uidLastSave="{00000000-0000-0000-0000-000000000000}"/>
  <bookViews>
    <workbookView xWindow="-120" yWindow="-120" windowWidth="20730" windowHeight="1131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D11" i="20"/>
  <c r="D10" i="20"/>
  <c r="C10" i="20"/>
  <c r="C11" i="20" s="1"/>
  <c r="D9" i="20"/>
  <c r="C9" i="20"/>
  <c r="D8" i="20"/>
  <c r="C8" i="20"/>
  <c r="D7" i="20"/>
  <c r="D6" i="20"/>
  <c r="C6" i="20"/>
  <c r="C7" i="20" s="1"/>
  <c r="J5" i="20"/>
  <c r="J6" i="20" s="1"/>
  <c r="D5" i="20"/>
  <c r="C5" i="20"/>
  <c r="B5" i="20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V4" i="20" l="1"/>
  <c r="W4" i="20"/>
  <c r="J7" i="20"/>
  <c r="T6" i="20"/>
  <c r="B6" i="20"/>
  <c r="A6" i="20" s="1"/>
  <c r="O5" i="20"/>
  <c r="U4" i="20"/>
  <c r="A5" i="20"/>
  <c r="W3" i="19"/>
  <c r="V3" i="19"/>
  <c r="U3" i="19"/>
  <c r="J8" i="20" l="1"/>
  <c r="V5" i="20"/>
  <c r="O6" i="20"/>
  <c r="U5" i="20"/>
  <c r="B7" i="20"/>
  <c r="A7" i="20"/>
  <c r="T7" i="20"/>
  <c r="W6" i="20"/>
  <c r="W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J9" i="20" l="1"/>
  <c r="T8" i="20"/>
  <c r="B8" i="20"/>
  <c r="A8" i="20"/>
  <c r="O7" i="20"/>
  <c r="W7" i="20" s="1"/>
  <c r="V6" i="20"/>
  <c r="U6" i="20"/>
  <c r="V11" i="19"/>
  <c r="W11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0" i="20" l="1"/>
  <c r="V7" i="20"/>
  <c r="O8" i="20"/>
  <c r="U7" i="20"/>
  <c r="B9" i="20"/>
  <c r="W8" i="20"/>
  <c r="T9" i="20"/>
  <c r="W5" i="19"/>
  <c r="V5" i="19"/>
  <c r="U5" i="19"/>
  <c r="J11" i="20" l="1"/>
  <c r="T10" i="20"/>
  <c r="B10" i="20"/>
  <c r="A9" i="20"/>
  <c r="V8" i="20"/>
  <c r="O9" i="20"/>
  <c r="U8" i="20"/>
  <c r="V9" i="20" l="1"/>
  <c r="O10" i="20"/>
  <c r="U9" i="20"/>
  <c r="T11" i="20"/>
  <c r="B11" i="20"/>
  <c r="A11" i="20" s="1"/>
  <c r="A10" i="20"/>
  <c r="W9" i="20"/>
  <c r="V10" i="20" l="1"/>
  <c r="O11" i="20"/>
  <c r="U10" i="20"/>
  <c r="W11" i="20"/>
  <c r="W10" i="20"/>
  <c r="V11" i="20" l="1"/>
  <c r="U11" i="20"/>
</calcChain>
</file>

<file path=xl/sharedStrings.xml><?xml version="1.0" encoding="utf-8"?>
<sst xmlns="http://schemas.openxmlformats.org/spreadsheetml/2006/main" count="682" uniqueCount="207">
  <si>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</si>
  <si>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</si>
  <si>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</si>
  <si>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</si>
  <si>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</si>
  <si>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</si>
  <si>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</si>
  <si>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</si>
  <si>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</si>
  <si>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</si>
  <si>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</si>
  <si>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</si>
  <si>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</si>
  <si>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</si>
  <si>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</si>
  <si>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</si>
  <si>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</si>
  <si>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</si>
  <si>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</si>
  <si>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</si>
  <si>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</si>
  <si>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</si>
  <si>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</si>
  <si>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</si>
  <si>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</si>
  <si>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</si>
  <si>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</si>
  <si>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</si>
  <si>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</si>
  <si>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</si>
  <si>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</si>
  <si>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</si>
  <si>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</si>
  <si>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</si>
  <si>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</si>
  <si>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</si>
  <si>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</si>
  <si>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</si>
  <si>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</si>
  <si>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</si>
  <si>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</si>
  <si>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</si>
  <si>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</si>
  <si>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</si>
  <si>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</si>
  <si>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</si>
  <si>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</si>
  <si>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</si>
  <si>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</si>
  <si>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</si>
  <si>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</si>
  <si>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</si>
  <si>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</si>
  <si>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</si>
  <si>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</si>
  <si>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</si>
  <si>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</si>
  <si>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</si>
  <si>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</si>
  <si>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</si>
  <si>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</si>
  <si>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</si>
  <si>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</si>
  <si>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</si>
  <si>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</si>
  <si>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</si>
  <si>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</si>
  <si>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</si>
  <si>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</si>
  <si>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</si>
  <si>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</si>
  <si>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</si>
  <si>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</si>
  <si>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</si>
  <si>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</si>
  <si>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</si>
  <si>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</si>
  <si>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</si>
  <si>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</si>
  <si>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</si>
  <si>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</si>
  <si>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</si>
  <si>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</si>
  <si>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</si>
  <si>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</si>
  <si>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</si>
  <si>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</si>
  <si>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</si>
  <si>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</si>
  <si>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</si>
  <si>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</si>
  <si>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</si>
  <si>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</si>
  <si>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</si>
  <si>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</si>
  <si>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</si>
  <si>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</si>
  <si>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</si>
  <si>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</si>
  <si>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</si>
  <si>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</si>
  <si>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</si>
  <si>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</si>
  <si>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</si>
  <si>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</si>
  <si>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</si>
  <si>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</si>
  <si>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</si>
  <si>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</si>
  <si>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</si>
  <si>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</si>
  <si>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</si>
  <si>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</si>
  <si>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</si>
  <si>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</si>
  <si>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</si>
  <si>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</si>
  <si>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</si>
  <si>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</si>
  <si>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</si>
  <si>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</si>
  <si>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</si>
  <si>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</si>
  <si>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</si>
  <si>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</si>
  <si>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</si>
  <si>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</si>
  <si>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</si>
  <si>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</si>
  <si>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</si>
  <si>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</si>
  <si>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</si>
  <si>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</si>
  <si>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</si>
  <si>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</si>
  <si>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</si>
  <si>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</si>
  <si>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</si>
  <si>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</si>
  <si>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</si>
  <si>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</si>
  <si>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</si>
  <si>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</si>
  <si>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</si>
  <si>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</si>
  <si>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</si>
  <si>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</si>
  <si>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</si>
  <si>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</si>
  <si>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</si>
  <si>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</si>
  <si>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</si>
  <si>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</si>
  <si>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</si>
  <si>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</si>
  <si>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</si>
  <si>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</si>
  <si>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</si>
  <si>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</si>
  <si>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</si>
  <si>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</si>
  <si>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</si>
  <si>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</si>
  <si>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</si>
  <si>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</si>
  <si>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</si>
  <si>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</si>
  <si>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</si>
  <si>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</si>
  <si>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</si>
  <si>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</si>
  <si>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</si>
  <si>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</si>
  <si>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</si>
  <si>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</si>
  <si>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</si>
  <si>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</si>
  <si>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</si>
  <si>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</si>
  <si>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</si>
  <si>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</si>
  <si>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</si>
  <si>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</si>
  <si>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</si>
  <si>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</si>
  <si>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</si>
  <si>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</si>
  <si>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</si>
  <si>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</si>
  <si>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</si>
  <si>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</si>
  <si>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</si>
  <si>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</si>
  <si>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れんたろう</t>
  </si>
  <si>
    <t>れんたろう</t>
    <phoneticPr fontId="1"/>
  </si>
  <si>
    <t>ただ</t>
  </si>
  <si>
    <t>ただ</t>
    <phoneticPr fontId="1"/>
  </si>
  <si>
    <t>放銃</t>
  </si>
  <si>
    <t>ロン</t>
  </si>
  <si>
    <t>ツモ支払</t>
  </si>
  <si>
    <t>ツモ</t>
  </si>
  <si>
    <t>01</t>
  </si>
  <si>
    <t>52</t>
  </si>
  <si>
    <t>*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</si>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</sst>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-1600</v>
      </c>
      <c r="M4" s="9">
        <v>-1000</v>
      </c>
      <c r="N4" s="48">
        <v>0</v>
      </c>
      <c r="O4" s="21">
        <f>IF(COUNTA($F4,$K4,$P4)&gt;0,O3+SUM(L4:N4),"")</f>
        <v>32400</v>
      </c>
      <c r="P4" s="8" t="s">
        <v>198</v>
      </c>
      <c r="Q4" s="9">
        <v>1600</v>
      </c>
      <c r="R4" s="9">
        <v>1000</v>
      </c>
      <c r="S4" s="48">
        <v>0</v>
      </c>
      <c r="T4" s="21">
        <f>IF(COUNTA($F4,$K4,$P4)&gt;0,T3+SUM(Q4:S4),"")</f>
        <v>37600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-12.6</v>
      </c>
      <c r="W4" s="55">
        <f>IF($T4="","",ROUND(($T4-$T$3)/1000,1)+(_xlfn.RANK.AVG($T4,($J4,$O4,$T4),1)-2)*10)</f>
        <v>12.6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25</v>
      </c>
      <c r="BU4" s="40" t="s">
        <v>101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199</v>
      </c>
      <c r="G5" s="9">
        <v>-2000</v>
      </c>
      <c r="H5" s="9">
        <v>-1000</v>
      </c>
      <c r="I5" s="48">
        <v>0</v>
      </c>
      <c r="J5" s="21">
        <f t="shared" ref="J5:J30" si="2">IF(COUNTA($F5,$K5,$P5)&gt;0,J4+SUM(G5:I5),"")</f>
        <v>32000</v>
      </c>
      <c r="K5" s="8" t="s">
        <v>199</v>
      </c>
      <c r="L5" s="9">
        <v>-2000</v>
      </c>
      <c r="M5" s="9"/>
      <c r="N5" s="48">
        <v>0</v>
      </c>
      <c r="O5" s="21">
        <f t="shared" ref="O5:O30" si="3">IF(COUNTA($F5,$K5,$P5)&gt;0,O4+SUM(L5:N5),"")</f>
        <v>30400</v>
      </c>
      <c r="P5" s="8" t="s">
        <v>200</v>
      </c>
      <c r="Q5" s="9">
        <v>4000</v>
      </c>
      <c r="R5" s="9">
        <v>1000</v>
      </c>
      <c r="S5" s="48">
        <v>0</v>
      </c>
      <c r="T5" s="21">
        <f t="shared" ref="T5:T30" si="4">IF(COUNTA($F5,$K5,$P5)&gt;0,T4+SUM(Q5:S5),"")</f>
        <v>42600</v>
      </c>
      <c r="U5" s="53">
        <f>IF($J5="","",ROUND(($J5-$J$3)/1000,1)+(_xlfn.RANK.AVG($J5,($J5,$O5,$T5),1)-2)*10)</f>
        <v>-3</v>
      </c>
      <c r="V5" s="54">
        <f>IF($O5="","",ROUND(($O5-$O$3)/1000,1)+(_xlfn.RANK.AVG($O5,($J5,$O5,$T5),1)-2)*10)</f>
        <v>-14.6</v>
      </c>
      <c r="W5" s="55">
        <f>IF($T5="","",ROUND(($T5-$T$3)/1000,1)+(_xlfn.RANK.AVG($T5,($J5,$O5,$T5),1)-2)*10)</f>
        <v>17.600000000000001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20</v>
      </c>
      <c r="BU5" s="40" t="s">
        <v>201</v>
      </c>
      <c r="BV5" s="41" t="s">
        <v>83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32000</v>
      </c>
      <c r="K6" s="8" t="s">
        <v>197</v>
      </c>
      <c r="L6" s="9">
        <v>-2900</v>
      </c>
      <c r="M6" s="9"/>
      <c r="N6" s="48">
        <v>-1000</v>
      </c>
      <c r="O6" s="21">
        <f t="shared" si="3"/>
        <v>26500</v>
      </c>
      <c r="P6" s="8" t="s">
        <v>198</v>
      </c>
      <c r="Q6" s="9">
        <v>2900</v>
      </c>
      <c r="R6" s="9"/>
      <c r="S6" s="48">
        <v>1000</v>
      </c>
      <c r="T6" s="21">
        <f t="shared" si="4"/>
        <v>46500</v>
      </c>
      <c r="U6" s="53">
        <f>IF($J6="","",ROUND(($J6-$J$3)/1000,1)+(_xlfn.RANK.AVG($J6,($J6,$O6,$T6),1)-2)*10)</f>
        <v>-3</v>
      </c>
      <c r="V6" s="54">
        <f>IF($O6="","",ROUND(($O6-$O$3)/1000,1)+(_xlfn.RANK.AVG($O6,($J6,$O6,$T6),1)-2)*10)</f>
        <v>-18.5</v>
      </c>
      <c r="W6" s="55">
        <f>IF($T6="","",ROUND(($T6-$T$3)/1000,1)+(_xlfn.RANK.AVG($T6,($J6,$O6,$T6),1)-2)*10)</f>
        <v>21.5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 t="s">
        <v>199</v>
      </c>
      <c r="G7" s="9">
        <v>-1500</v>
      </c>
      <c r="H7" s="9"/>
      <c r="I7" s="48">
        <v>-1000</v>
      </c>
      <c r="J7" s="21">
        <f t="shared" si="2"/>
        <v>29500</v>
      </c>
      <c r="K7" s="8" t="s">
        <v>200</v>
      </c>
      <c r="L7" s="9">
        <v>4000</v>
      </c>
      <c r="M7" s="9">
        <v>1000</v>
      </c>
      <c r="N7" s="48">
        <v>2000</v>
      </c>
      <c r="O7" s="21">
        <f t="shared" si="3"/>
        <v>33500</v>
      </c>
      <c r="P7" s="8" t="s">
        <v>199</v>
      </c>
      <c r="Q7" s="9">
        <v>-2500</v>
      </c>
      <c r="R7" s="9">
        <v>-1000</v>
      </c>
      <c r="S7" s="48">
        <v>-1000</v>
      </c>
      <c r="T7" s="21">
        <f t="shared" si="4"/>
        <v>42000</v>
      </c>
      <c r="U7" s="53">
        <f>IF($J7="","",ROUND(($J7-$J$3)/1000,1)+(_xlfn.RANK.AVG($J7,($J7,$O7,$T7),1)-2)*10)</f>
        <v>-15.5</v>
      </c>
      <c r="V7" s="54">
        <f>IF($O7="","",ROUND(($O7-$O$3)/1000,1)+(_xlfn.RANK.AVG($O7,($J7,$O7,$T7),1)-2)*10)</f>
        <v>-1.5</v>
      </c>
      <c r="W7" s="55">
        <f>IF($T7="","",ROUND(($T7-$T$3)/1000,1)+(_xlfn.RANK.AVG($T7,($J7,$O7,$T7),1)-2)*10)</f>
        <v>17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3</v>
      </c>
      <c r="AY7" s="30">
        <v>30</v>
      </c>
      <c r="AZ7" s="40" t="s">
        <v>86</v>
      </c>
      <c r="BA7" s="41" t="s">
        <v>86</v>
      </c>
      <c r="BB7" s="41" t="s">
        <v>202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199</v>
      </c>
      <c r="G8" s="9">
        <v>-5000</v>
      </c>
      <c r="H8" s="9"/>
      <c r="I8" s="48">
        <v>0</v>
      </c>
      <c r="J8" s="21">
        <f t="shared" si="2"/>
        <v>24500</v>
      </c>
      <c r="K8" s="8" t="s">
        <v>199</v>
      </c>
      <c r="L8" s="9">
        <v>-3000</v>
      </c>
      <c r="M8" s="9"/>
      <c r="N8" s="48">
        <v>0</v>
      </c>
      <c r="O8" s="21">
        <f t="shared" si="3"/>
        <v>30500</v>
      </c>
      <c r="P8" s="8" t="s">
        <v>200</v>
      </c>
      <c r="Q8" s="9">
        <v>8000</v>
      </c>
      <c r="R8" s="9"/>
      <c r="S8" s="48">
        <v>0</v>
      </c>
      <c r="T8" s="21">
        <f t="shared" si="4"/>
        <v>50000</v>
      </c>
      <c r="U8" s="53">
        <f>IF($J8="","",ROUND(($J8-$J$3)/1000,1)+(_xlfn.RANK.AVG($J8,($J8,$O8,$T8),1)-2)*10)</f>
        <v>-20.5</v>
      </c>
      <c r="V8" s="54">
        <f>IF($O8="","",ROUND(($O8-$O$3)/1000,1)+(_xlfn.RANK.AVG($O8,($J8,$O8,$T8),1)-2)*10)</f>
        <v>-4.5</v>
      </c>
      <c r="W8" s="55">
        <f>IF($T8="","",ROUND(($T8-$T$3)/1000,1)+(_xlfn.RANK.AVG($T8,($J8,$O8,$T8),1)-2)*10)</f>
        <v>25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203</v>
      </c>
      <c r="BU8" s="40" t="s">
        <v>86</v>
      </c>
      <c r="BV8" s="41" t="s">
        <v>79</v>
      </c>
      <c r="BW8" s="41" t="s">
        <v>202</v>
      </c>
      <c r="BX8" s="41" t="s">
        <v>79</v>
      </c>
      <c r="BY8" s="41" t="s">
        <v>202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200</v>
      </c>
      <c r="G9" s="9">
        <v>4000</v>
      </c>
      <c r="H9" s="9"/>
      <c r="I9" s="48">
        <v>0</v>
      </c>
      <c r="J9" s="21">
        <f t="shared" si="2"/>
        <v>28500</v>
      </c>
      <c r="K9" s="8" t="s">
        <v>199</v>
      </c>
      <c r="L9" s="9">
        <v>-2500</v>
      </c>
      <c r="M9" s="9"/>
      <c r="N9" s="48">
        <v>0</v>
      </c>
      <c r="O9" s="21">
        <f t="shared" si="3"/>
        <v>28000</v>
      </c>
      <c r="P9" s="8" t="s">
        <v>199</v>
      </c>
      <c r="Q9" s="9">
        <v>-1500</v>
      </c>
      <c r="R9" s="9"/>
      <c r="S9" s="48">
        <v>0</v>
      </c>
      <c r="T9" s="21">
        <f t="shared" si="4"/>
        <v>48500</v>
      </c>
      <c r="U9" s="53">
        <f>IF($J9="","",ROUND(($J9-$J$3)/1000,1)+(_xlfn.RANK.AVG($J9,($J9,$O9,$T9),1)-2)*10)</f>
        <v>-6.5</v>
      </c>
      <c r="V9" s="54">
        <f>IF($O9="","",ROUND(($O9-$O$3)/1000,1)+(_xlfn.RANK.AVG($O9,($J9,$O9,$T9),1)-2)*10)</f>
        <v>-17</v>
      </c>
      <c r="W9" s="55">
        <f>IF($T9="","",ROUND(($T9-$T$3)/1000,1)+(_xlfn.RANK.AVG($T9,($J9,$O9,$T9),1)-2)*10)</f>
        <v>23.5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79</v>
      </c>
      <c r="AF9" s="41" t="s">
        <v>86</v>
      </c>
      <c r="AG9" s="41" t="s">
        <v>202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206</v>
      </c>
      <c r="G10" s="9">
        <v>-1500</v>
      </c>
      <c r="H10" s="9"/>
      <c r="I10" s="48"/>
      <c r="J10" s="21">
        <f t="shared" si="2"/>
        <v>27000</v>
      </c>
      <c r="K10" s="8" t="s">
        <v>206</v>
      </c>
      <c r="L10" s="9">
        <v>3000</v>
      </c>
      <c r="M10" s="9">
        <v>-1000</v>
      </c>
      <c r="N10" s="48"/>
      <c r="O10" s="21">
        <f t="shared" si="3"/>
        <v>30000</v>
      </c>
      <c r="P10" s="8" t="s">
        <v>206</v>
      </c>
      <c r="Q10" s="9">
        <v>-1500</v>
      </c>
      <c r="R10" s="9"/>
      <c r="S10" s="48"/>
      <c r="T10" s="21">
        <f t="shared" si="4"/>
        <v>47000</v>
      </c>
      <c r="U10" s="53">
        <f>IF($J10="","",ROUND(($J10-$J$3)/1000,1)+(_xlfn.RANK.AVG($J10,($J10,$O10,$T10),1)-2)*10)</f>
        <v>-18</v>
      </c>
      <c r="V10" s="54">
        <f>IF($O10="","",ROUND(($O10-$O$3)/1000,1)+(_xlfn.RANK.AVG($O10,($J10,$O10,$T10),1)-2)*10)</f>
        <v>-5</v>
      </c>
      <c r="W10" s="55">
        <f>IF($T10="","",ROUND(($T10-$T$3)/1000,1)+(_xlfn.RANK.AVG($T10,($J10,$O10,$T10),1)-2)*10)</f>
        <v>22</v>
      </c>
      <c r="Y10" s="8" t="s">
        <v>204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204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">
        <v>191</v>
      </c>
      <c r="F11" s="8" t="s">
        <v>199</v>
      </c>
      <c r="G11" s="9">
        <v>-4000</v>
      </c>
      <c r="H11" s="9"/>
      <c r="I11" s="48">
        <v>-500</v>
      </c>
      <c r="J11" s="21">
        <f t="shared" si="2"/>
        <v>22500</v>
      </c>
      <c r="K11" s="8" t="s">
        <v>199</v>
      </c>
      <c r="L11" s="9">
        <v>-2400</v>
      </c>
      <c r="M11" s="9"/>
      <c r="N11" s="48">
        <v>-500</v>
      </c>
      <c r="O11" s="21">
        <f t="shared" si="3"/>
        <v>27100</v>
      </c>
      <c r="P11" s="8" t="s">
        <v>200</v>
      </c>
      <c r="Q11" s="9">
        <v>6400</v>
      </c>
      <c r="R11" s="9">
        <v>1000</v>
      </c>
      <c r="S11" s="48">
        <v>1000</v>
      </c>
      <c r="T11" s="21">
        <f t="shared" si="4"/>
        <v>55400</v>
      </c>
      <c r="U11" s="53">
        <f>IF($J11="","",ROUND(($J11-$J$3)/1000,1)+(_xlfn.RANK.AVG($J11,($J11,$O11,$T11),1)-2)*10)</f>
        <v>-22.5</v>
      </c>
      <c r="V11" s="54">
        <f>IF($O11="","",ROUND(($O11-$O$3)/1000,1)+(_xlfn.RANK.AVG($O11,($J11,$O11,$T11),1)-2)*10)</f>
        <v>-7.9</v>
      </c>
      <c r="W11" s="55">
        <f>IF($T11="","",ROUND(($T11-$T$3)/1000,1)+(_xlfn.RANK.AVG($T11,($J11,$O11,$T11),1)-2)*10)</f>
        <v>30.4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3</v>
      </c>
      <c r="BT11" s="30">
        <v>50</v>
      </c>
      <c r="BU11" s="40" t="s">
        <v>86</v>
      </c>
      <c r="BV11" s="41" t="s">
        <v>79</v>
      </c>
      <c r="BW11" s="41" t="s">
        <v>79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8B74685-82E0-468A-8AA9-68D7858C4D09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64B06-7836-4C5D-877B-D3505AF2BB9A}">
  <sheetPr codeName="Sheet11">
    <pageSetUpPr fitToPage="1"/>
  </sheetPr>
  <dimension ref="A1:CI30"/>
  <sheetViews>
    <sheetView tabSelected="1" zoomScaleNormal="100" workbookViewId="0">
      <selection activeCell="E5" sqref="E5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198</v>
      </c>
      <c r="G4" s="9">
        <v>1500</v>
      </c>
      <c r="H4" s="9"/>
      <c r="I4" s="48">
        <v>0</v>
      </c>
      <c r="J4" s="21">
        <f>IF(COUNTA($F4,$K4,$P4)&gt;0,J3+SUM(G4:I4),"")</f>
        <v>36500</v>
      </c>
      <c r="K4" s="8"/>
      <c r="L4" s="9"/>
      <c r="M4" s="9"/>
      <c r="N4" s="48"/>
      <c r="O4" s="21">
        <f>IF(COUNTA($F4,$K4,$P4)&gt;0,O3+SUM(L4:N4),"")</f>
        <v>35000</v>
      </c>
      <c r="P4" s="8" t="s">
        <v>197</v>
      </c>
      <c r="Q4" s="9">
        <v>-1500</v>
      </c>
      <c r="R4" s="9"/>
      <c r="S4" s="48">
        <v>0</v>
      </c>
      <c r="T4" s="21">
        <f>IF(COUNTA($F4,$K4,$P4)&gt;0,T3+SUM(Q4:S4),"")</f>
        <v>33500</v>
      </c>
      <c r="U4" s="53">
        <f>IF($J4="","",ROUND(($J4-$J$3)/1000,1)+(_xlfn.RANK.AVG($J4,($J4,$O4,$T4),1)-2)*10)</f>
        <v>11.5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-11.5</v>
      </c>
      <c r="Y4" s="8"/>
      <c r="Z4" s="34"/>
      <c r="AA4" s="26"/>
      <c r="AB4" s="26">
        <v>1</v>
      </c>
      <c r="AC4" s="26">
        <v>1</v>
      </c>
      <c r="AD4" s="30">
        <v>30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199</v>
      </c>
      <c r="G5" s="9">
        <v>-4800</v>
      </c>
      <c r="H5" s="9"/>
      <c r="I5" s="48">
        <v>-500</v>
      </c>
      <c r="J5" s="21">
        <f t="shared" ref="J5:J30" si="2">IF(COUNTA($F5,$K5,$P5)&gt;0,J4+SUM(G5:I5),"")</f>
        <v>31200</v>
      </c>
      <c r="K5" s="8" t="s">
        <v>200</v>
      </c>
      <c r="L5" s="9">
        <v>7700</v>
      </c>
      <c r="M5" s="9">
        <v>1000</v>
      </c>
      <c r="N5" s="48">
        <v>1000</v>
      </c>
      <c r="O5" s="21">
        <f t="shared" ref="O5:O30" si="3">IF(COUNTA($F5,$K5,$P5)&gt;0,O4+SUM(L5:N5),"")</f>
        <v>44700</v>
      </c>
      <c r="P5" s="8" t="s">
        <v>199</v>
      </c>
      <c r="Q5" s="9">
        <v>-2900</v>
      </c>
      <c r="R5" s="9">
        <v>-1000</v>
      </c>
      <c r="S5" s="48">
        <v>-500</v>
      </c>
      <c r="T5" s="21">
        <f t="shared" ref="T5:T30" si="4">IF(COUNTA($F5,$K5,$P5)&gt;0,T4+SUM(Q5:S5),"")</f>
        <v>29100</v>
      </c>
      <c r="U5" s="53">
        <f>IF($J5="","",ROUND(($J5-$J$3)/1000,1)+(_xlfn.RANK.AVG($J5,($J5,$O5,$T5),1)-2)*10)</f>
        <v>-3.8</v>
      </c>
      <c r="V5" s="54">
        <f>IF($O5="","",ROUND(($O5-$O$3)/1000,1)+(_xlfn.RANK.AVG($O5,($J5,$O5,$T5),1)-2)*10)</f>
        <v>19.7</v>
      </c>
      <c r="W5" s="55">
        <f>IF($T5="","",ROUND(($T5-$T$3)/1000,1)+(_xlfn.RANK.AVG($T5,($J5,$O5,$T5),1)-2)*10)</f>
        <v>-15.9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201</v>
      </c>
      <c r="BA5" s="41" t="s">
        <v>82</v>
      </c>
      <c r="BB5" s="41" t="s">
        <v>86</v>
      </c>
      <c r="BC5" s="41" t="s">
        <v>202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197</v>
      </c>
      <c r="G6" s="9">
        <v>-2600</v>
      </c>
      <c r="H6" s="9"/>
      <c r="I6" s="48">
        <v>0</v>
      </c>
      <c r="J6" s="21">
        <f t="shared" si="2"/>
        <v>28600</v>
      </c>
      <c r="K6" s="8"/>
      <c r="L6" s="9"/>
      <c r="M6" s="9"/>
      <c r="N6" s="48"/>
      <c r="O6" s="21">
        <f t="shared" si="3"/>
        <v>44700</v>
      </c>
      <c r="P6" s="8" t="s">
        <v>198</v>
      </c>
      <c r="Q6" s="9">
        <v>2600</v>
      </c>
      <c r="R6" s="9"/>
      <c r="S6" s="48">
        <v>0</v>
      </c>
      <c r="T6" s="21">
        <f t="shared" si="4"/>
        <v>31700</v>
      </c>
      <c r="U6" s="53">
        <f>IF($J6="","",ROUND(($J6-$J$3)/1000,1)+(_xlfn.RANK.AVG($J6,($J6,$O6,$T6),1)-2)*10)</f>
        <v>-16.399999999999999</v>
      </c>
      <c r="V6" s="54">
        <f>IF($O6="","",ROUND(($O6-$O$3)/1000,1)+(_xlfn.RANK.AVG($O6,($J6,$O6,$T6),1)-2)*10)</f>
        <v>19.7</v>
      </c>
      <c r="W6" s="55">
        <f>IF($T6="","",ROUND(($T6-$T$3)/1000,1)+(_xlfn.RANK.AVG($T6,($J6,$O6,$T6),1)-2)*10)</f>
        <v>-3.3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40</v>
      </c>
      <c r="BU6" s="40" t="s">
        <v>86</v>
      </c>
      <c r="BV6" s="41" t="s">
        <v>202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200</v>
      </c>
      <c r="G7" s="9">
        <v>1500</v>
      </c>
      <c r="H7" s="9">
        <v>1000</v>
      </c>
      <c r="I7" s="48">
        <v>0</v>
      </c>
      <c r="J7" s="21">
        <f t="shared" si="2"/>
        <v>31100</v>
      </c>
      <c r="K7" s="8" t="s">
        <v>199</v>
      </c>
      <c r="L7" s="9">
        <v>-600</v>
      </c>
      <c r="M7" s="9">
        <v>-1000</v>
      </c>
      <c r="N7" s="48">
        <v>0</v>
      </c>
      <c r="O7" s="21">
        <f t="shared" si="3"/>
        <v>43100</v>
      </c>
      <c r="P7" s="8" t="s">
        <v>199</v>
      </c>
      <c r="Q7" s="9">
        <v>-900</v>
      </c>
      <c r="R7" s="9"/>
      <c r="S7" s="48">
        <v>0</v>
      </c>
      <c r="T7" s="21">
        <f t="shared" si="4"/>
        <v>30800</v>
      </c>
      <c r="U7" s="53">
        <f>IF($J7="","",ROUND(($J7-$J$3)/1000,1)+(_xlfn.RANK.AVG($J7,($J7,$O7,$T7),1)-2)*10)</f>
        <v>-3.9</v>
      </c>
      <c r="V7" s="54">
        <f>IF($O7="","",ROUND(($O7-$O$3)/1000,1)+(_xlfn.RANK.AVG($O7,($J7,$O7,$T7),1)-2)*10)</f>
        <v>18.100000000000001</v>
      </c>
      <c r="W7" s="55">
        <f>IF($T7="","",ROUND(($T7-$T$3)/1000,1)+(_xlfn.RANK.AVG($T7,($J7,$O7,$T7),1)-2)*10)</f>
        <v>-14.2</v>
      </c>
      <c r="Y7" s="8"/>
      <c r="Z7" s="34"/>
      <c r="AA7" s="26"/>
      <c r="AB7" s="26"/>
      <c r="AC7" s="26">
        <v>2</v>
      </c>
      <c r="AD7" s="30">
        <v>20</v>
      </c>
      <c r="AE7" s="40" t="s">
        <v>82</v>
      </c>
      <c r="AF7" s="41" t="s">
        <v>83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199</v>
      </c>
      <c r="G8" s="9">
        <v>-7500</v>
      </c>
      <c r="H8" s="9"/>
      <c r="I8" s="48">
        <v>0</v>
      </c>
      <c r="J8" s="21">
        <f t="shared" si="2"/>
        <v>23600</v>
      </c>
      <c r="K8" s="8" t="s">
        <v>200</v>
      </c>
      <c r="L8" s="9">
        <v>12000</v>
      </c>
      <c r="M8" s="9"/>
      <c r="N8" s="48">
        <v>0</v>
      </c>
      <c r="O8" s="21">
        <f t="shared" si="3"/>
        <v>55100</v>
      </c>
      <c r="P8" s="8" t="s">
        <v>199</v>
      </c>
      <c r="Q8" s="9">
        <v>-4500</v>
      </c>
      <c r="R8" s="9"/>
      <c r="S8" s="48">
        <v>0</v>
      </c>
      <c r="T8" s="21">
        <f t="shared" si="4"/>
        <v>26300</v>
      </c>
      <c r="U8" s="53">
        <f>IF($J8="","",ROUND(($J8-$J$3)/1000,1)+(_xlfn.RANK.AVG($J8,($J8,$O8,$T8),1)-2)*10)</f>
        <v>-21.4</v>
      </c>
      <c r="V8" s="54">
        <f>IF($O8="","",ROUND(($O8-$O$3)/1000,1)+(_xlfn.RANK.AVG($O8,($J8,$O8,$T8),1)-2)*10)</f>
        <v>30.1</v>
      </c>
      <c r="W8" s="55">
        <f>IF($T8="","",ROUND(($T8-$T$3)/1000,1)+(_xlfn.RANK.AVG($T8,($J8,$O8,$T8),1)-2)*10)</f>
        <v>-8.6999999999999993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6</v>
      </c>
      <c r="AY8" s="30" t="s">
        <v>203</v>
      </c>
      <c r="AZ8" s="40" t="s">
        <v>104</v>
      </c>
      <c r="BA8" s="41" t="s">
        <v>86</v>
      </c>
      <c r="BB8" s="41" t="s">
        <v>86</v>
      </c>
      <c r="BC8" s="41" t="s">
        <v>79</v>
      </c>
      <c r="BD8" s="41" t="s">
        <v>93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199</v>
      </c>
      <c r="G9" s="9">
        <v>-9000</v>
      </c>
      <c r="H9" s="9"/>
      <c r="I9" s="48">
        <v>0</v>
      </c>
      <c r="J9" s="21">
        <f t="shared" si="2"/>
        <v>14600</v>
      </c>
      <c r="K9" s="8" t="s">
        <v>200</v>
      </c>
      <c r="L9" s="9">
        <v>18000</v>
      </c>
      <c r="M9" s="9"/>
      <c r="N9" s="48">
        <v>0</v>
      </c>
      <c r="O9" s="21">
        <f t="shared" si="3"/>
        <v>73100</v>
      </c>
      <c r="P9" s="8" t="s">
        <v>199</v>
      </c>
      <c r="Q9" s="9">
        <v>-9000</v>
      </c>
      <c r="R9" s="9"/>
      <c r="S9" s="48">
        <v>0</v>
      </c>
      <c r="T9" s="21">
        <f t="shared" si="4"/>
        <v>17300</v>
      </c>
      <c r="U9" s="53">
        <f>IF($J9="","",ROUND(($J9-$J$3)/1000,1)+(_xlfn.RANK.AVG($J9,($J9,$O9,$T9),1)-2)*10)</f>
        <v>-30.4</v>
      </c>
      <c r="V9" s="54">
        <f>IF($O9="","",ROUND(($O9-$O$3)/1000,1)+(_xlfn.RANK.AVG($O9,($J9,$O9,$T9),1)-2)*10)</f>
        <v>48.1</v>
      </c>
      <c r="W9" s="55">
        <f>IF($T9="","",ROUND(($T9-$T$3)/1000,1)+(_xlfn.RANK.AVG($T9,($J9,$O9,$T9),1)-2)*10)</f>
        <v>-17.7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7</v>
      </c>
      <c r="AY9" s="30" t="s">
        <v>203</v>
      </c>
      <c r="AZ9" s="40" t="s">
        <v>201</v>
      </c>
      <c r="BA9" s="41" t="s">
        <v>82</v>
      </c>
      <c r="BB9" s="41" t="s">
        <v>96</v>
      </c>
      <c r="BC9" s="41" t="s">
        <v>104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197</v>
      </c>
      <c r="G10" s="9">
        <v>-56000</v>
      </c>
      <c r="H10" s="9"/>
      <c r="I10" s="48">
        <v>-1000</v>
      </c>
      <c r="J10" s="21">
        <f t="shared" si="2"/>
        <v>-42400</v>
      </c>
      <c r="K10" s="8" t="s">
        <v>198</v>
      </c>
      <c r="L10" s="9">
        <v>48000</v>
      </c>
      <c r="M10" s="9"/>
      <c r="N10" s="48">
        <v>1000</v>
      </c>
      <c r="O10" s="21">
        <f t="shared" si="3"/>
        <v>122100</v>
      </c>
      <c r="P10" s="8" t="s">
        <v>198</v>
      </c>
      <c r="Q10" s="9">
        <v>8000</v>
      </c>
      <c r="R10" s="9"/>
      <c r="S10" s="48"/>
      <c r="T10" s="21">
        <f t="shared" si="4"/>
        <v>25300</v>
      </c>
      <c r="U10" s="53">
        <f>IF($J10="","",ROUND(($J10-$J$3)/1000,1)+(_xlfn.RANK.AVG($J10,($J10,$O10,$T10),1)-2)*10)</f>
        <v>-87.4</v>
      </c>
      <c r="V10" s="54">
        <f>IF($O10="","",ROUND(($O10-$O$3)/1000,1)+(_xlfn.RANK.AVG($O10,($J10,$O10,$T10),1)-2)*10)</f>
        <v>97.1</v>
      </c>
      <c r="W10" s="55">
        <f>IF($T10="","",ROUND(($T10-$T$3)/1000,1)+(_xlfn.RANK.AVG($T10,($J10,$O10,$T10),1)-2)*10)</f>
        <v>-9.6999999999999993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13</v>
      </c>
      <c r="AY10" s="30" t="s">
        <v>203</v>
      </c>
      <c r="AZ10" s="40" t="s">
        <v>107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40</v>
      </c>
      <c r="BU10" s="40" t="s">
        <v>86</v>
      </c>
      <c r="BV10" s="41" t="s">
        <v>98</v>
      </c>
      <c r="BW10" s="41" t="s">
        <v>202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70C81DA7-FB40-437E-AD87-327EDB32D309}">
      <formula1>"たかの,だいち,ただ,りくと,れんたろう,まっつん,のり,ぱぱ,ほたに,いっしー,"</formula1>
    </dataValidation>
    <dataValidation type="list" showInputMessage="1" showErrorMessage="1" sqref="K4:K30 P4:P30 F4:F30" xr:uid="{EA94A1DF-D195-4CE0-9649-3DA8F1EF0F70}">
      <formula1>"ロン,ツモ,放銃,ツモ支払,流局,チョンボ"</formula1>
    </dataValidation>
    <dataValidation type="list" allowBlank="1" showInputMessage="1" showErrorMessage="1" sqref="E4:E30" xr:uid="{B1B729CD-F588-4DA0-B915-562B720411D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2019-11-16T16:16:01Z</dcterms:modified>
</cp:coreProperties>
</file>