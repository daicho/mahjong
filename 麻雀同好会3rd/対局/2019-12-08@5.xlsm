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対局\"/>
    </mc:Choice>
  </mc:AlternateContent>
  <xr:revisionPtr revIDLastSave="0" documentId="13_ncr:1_{9FD5F92D-9301-4761-9AE4-F05ED0E66952}" xr6:coauthVersionLast="41" xr6:coauthVersionMax="41" xr10:uidLastSave="{00000000-0000-0000-0000-000000000000}"/>
  <bookViews>
    <workbookView xWindow="-110" yWindow="-110" windowWidth="18220" windowHeight="116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3" i="19" l="1"/>
  <c r="W13" i="19"/>
  <c r="V13" i="19"/>
  <c r="W12" i="19"/>
  <c r="V12" i="19"/>
  <c r="U12" i="19"/>
  <c r="W11" i="19"/>
  <c r="U10" i="19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<sst xmlns="http://schemas.openxmlformats.org/spreadsheetml/2006/main" count="605" uniqueCount="205">
  <si>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</si>
  <si>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</si>
  <si>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</si>
  <si>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</si>
  <si>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</si>
  <si>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</si>
  <si>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</si>
  <si>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</si>
  <si>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</si>
  <si>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</si>
  <si>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</si>
  <si>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</si>
  <si>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</si>
  <si>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</si>
  <si>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</si>
  <si>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</si>
  <si>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</si>
  <si>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</si>
  <si>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</si>
  <si>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</si>
  <si>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</si>
  <si>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</si>
  <si>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</si>
  <si>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</si>
  <si>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</si>
  <si>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</si>
  <si>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</si>
  <si>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</si>
  <si>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</si>
  <si>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</si>
  <si>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</si>
  <si>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</si>
  <si>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</si>
  <si>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</si>
  <si>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</si>
  <si>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</si>
  <si>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</si>
  <si>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</si>
  <si>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</si>
  <si>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</si>
  <si>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</si>
  <si>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</si>
  <si>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</si>
  <si>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</si>
  <si>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</si>
  <si>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</si>
  <si>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</si>
  <si>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</si>
  <si>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</si>
  <si>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</si>
  <si>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</si>
  <si>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</si>
  <si>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</si>
  <si>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</si>
  <si>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</si>
  <si>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</si>
  <si>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</si>
  <si>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</si>
  <si>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</si>
  <si>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</si>
  <si>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</si>
  <si>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</si>
  <si>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</si>
  <si>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</si>
  <si>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</si>
  <si>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</si>
  <si>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</si>
  <si>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</si>
  <si>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</si>
  <si>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</si>
  <si>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</si>
  <si>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</si>
  <si>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</si>
  <si>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</si>
  <si>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</si>
  <si>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</si>
  <si>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</si>
  <si>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</si>
  <si>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</si>
  <si>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</si>
  <si>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</si>
  <si>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</si>
  <si>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</si>
  <si>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</si>
  <si>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</si>
  <si>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</si>
  <si>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</si>
  <si>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</si>
  <si>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</si>
  <si>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</si>
  <si>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</si>
  <si>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</si>
  <si>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</si>
  <si>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</si>
  <si>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</si>
  <si>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</si>
  <si>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</si>
  <si>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</si>
  <si>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</si>
  <si>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</si>
  <si>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</si>
  <si>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</si>
  <si>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</si>
  <si>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</si>
  <si>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</si>
  <si>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</si>
  <si>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</si>
  <si>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</si>
  <si>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</si>
  <si>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</si>
  <si>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</si>
  <si>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</si>
  <si>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</si>
  <si>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</si>
  <si>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</si>
  <si>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</si>
  <si>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</si>
  <si>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</si>
  <si>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</si>
  <si>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</si>
  <si>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</si>
  <si>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</si>
  <si>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</si>
  <si>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</si>
  <si>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</si>
  <si>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</si>
  <si>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</si>
  <si>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</si>
  <si>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</si>
  <si>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</si>
  <si>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</si>
  <si>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</si>
  <si>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</si>
  <si>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</si>
  <si>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</si>
  <si>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</si>
  <si>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</si>
  <si>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</si>
  <si>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</si>
  <si>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</si>
  <si>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</si>
  <si>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</si>
  <si>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</si>
  <si>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</si>
  <si>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</si>
  <si>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</si>
  <si>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</si>
  <si>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</si>
  <si>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</si>
  <si>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</si>
  <si>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</si>
  <si>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</si>
  <si>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</si>
  <si>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</si>
  <si>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</si>
  <si>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</si>
  <si>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</si>
  <si>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</si>
  <si>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</si>
  <si>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</si>
  <si>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</si>
  <si>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</si>
  <si>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</si>
  <si>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</si>
  <si>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</si>
  <si>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</si>
  <si>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</si>
  <si>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</si>
  <si>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</si>
  <si>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</si>
  <si>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</si>
  <si>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</si>
  <si>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</si>
  <si>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</si>
  <si>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</si>
  <si>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</si>
  <si>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</si>
  <si>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</si>
  <si>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</si>
  <si>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</si>
  <si>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</si>
  <si>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</si>
  <si>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</si>
  <si>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</si>
  <si>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</si>
  <si>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</si>
  <si>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</si>
  <si>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</si>
  <si>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</si>
  <si>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</si>
  <si>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</si>
  <si>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</si>
  <si>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りくと</t>
  </si>
  <si>
    <t>のり</t>
  </si>
  <si>
    <t>ロン</t>
  </si>
  <si>
    <t>放銃</t>
  </si>
  <si>
    <t>*</t>
  </si>
  <si>
    <t>流局</t>
  </si>
  <si>
    <t>T</t>
  </si>
  <si>
    <t>N</t>
  </si>
  <si>
    <t>ツモ支払</t>
  </si>
  <si>
    <t>ツモ</t>
  </si>
  <si>
    <t>01</t>
  </si>
  <si>
    <t>02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</si>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</sst>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;\-0;0"/>
    <numFmt numFmtId="165" formatCode="\+0.0;\-0.0;\±0"/>
  </numFmts>
  <fonts count="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64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64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64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64" fontId="0" fillId="0" borderId="2" xfId="0" applyNumberFormat="1" applyFill="1" applyBorder="1" applyAlignment="1">
      <alignment vertical="center" shrinkToFit="1"/>
    </xf>
    <xf numFmtId="164" fontId="0" fillId="0" borderId="1" xfId="0" applyNumberFormat="1" applyFill="1" applyBorder="1" applyAlignment="1">
      <alignment vertical="center" shrinkToFit="1"/>
    </xf>
    <xf numFmtId="164" fontId="0" fillId="0" borderId="3" xfId="0" applyNumberFormat="1" applyFill="1" applyBorder="1" applyAlignment="1">
      <alignment vertical="center" shrinkToFit="1"/>
    </xf>
    <xf numFmtId="165" fontId="0" fillId="3" borderId="8" xfId="0" applyNumberFormat="1" applyFill="1" applyBorder="1" applyAlignment="1">
      <alignment vertical="center" shrinkToFit="1"/>
    </xf>
    <xf numFmtId="165" fontId="0" fillId="3" borderId="2" xfId="0" applyNumberFormat="1" applyFill="1" applyBorder="1" applyAlignment="1">
      <alignment vertical="center" shrinkToFit="1"/>
    </xf>
    <xf numFmtId="165" fontId="0" fillId="3" borderId="9" xfId="0" applyNumberFormat="1" applyFill="1" applyBorder="1" applyAlignment="1">
      <alignment vertical="center" shrinkToFit="1"/>
    </xf>
    <xf numFmtId="165" fontId="0" fillId="3" borderId="4" xfId="0" applyNumberFormat="1" applyFill="1" applyBorder="1" applyAlignment="1">
      <alignment vertical="center" shrinkToFit="1"/>
    </xf>
    <xf numFmtId="165" fontId="0" fillId="3" borderId="1" xfId="0" applyNumberFormat="1" applyFill="1" applyBorder="1" applyAlignment="1">
      <alignment vertical="center" shrinkToFit="1"/>
    </xf>
    <xf numFmtId="165" fontId="0" fillId="3" borderId="5" xfId="0" applyNumberFormat="1" applyFill="1" applyBorder="1" applyAlignment="1">
      <alignment vertical="center" shrinkToFit="1"/>
    </xf>
    <xf numFmtId="165" fontId="0" fillId="3" borderId="6" xfId="0" applyNumberFormat="1" applyFill="1" applyBorder="1" applyAlignment="1">
      <alignment vertical="center" shrinkToFit="1"/>
    </xf>
    <xf numFmtId="165" fontId="0" fillId="3" borderId="3" xfId="0" applyNumberFormat="1" applyFill="1" applyBorder="1" applyAlignment="1">
      <alignment vertical="center" shrinkToFit="1"/>
    </xf>
    <xf numFmtId="165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topLeftCell="C1" zoomScaleNormal="100" workbookViewId="0">
      <selection activeCell="E14" sqref="E14"/>
    </sheetView>
  </sheetViews>
  <sheetFormatPr defaultColWidth="9" defaultRowHeight="14.5"/>
  <cols>
    <col min="1" max="4" width="5.269531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453125" style="24" bestFit="1" customWidth="1"/>
    <col min="25" max="30" width="3.453125" style="25" customWidth="1"/>
    <col min="31" max="45" width="3.453125" style="25" bestFit="1" customWidth="1"/>
    <col min="46" max="51" width="3.453125" style="25" customWidth="1"/>
    <col min="52" max="66" width="3.453125" style="25" bestFit="1" customWidth="1"/>
    <col min="67" max="72" width="3.453125" style="25" customWidth="1"/>
    <col min="73" max="87" width="3.453125" style="25" bestFit="1" customWidth="1"/>
    <col min="88" max="16384" width="9" style="24"/>
  </cols>
  <sheetData>
    <row r="1" spans="1:87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だいち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りくと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のり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りくと</v>
      </c>
      <c r="W2" s="16" t="str">
        <f>$P$1</f>
        <v>のり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194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/>
      <c r="L4" s="9"/>
      <c r="M4" s="9"/>
      <c r="N4" s="48"/>
      <c r="O4" s="21">
        <f>IF(COUNTA($F4,$K4,$P4)&gt;0,O3+SUM(L4:N4),"")</f>
        <v>35000</v>
      </c>
      <c r="P4" s="8" t="s">
        <v>195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-22</v>
      </c>
      <c r="Y4" s="8"/>
      <c r="Z4" s="34"/>
      <c r="AA4" s="26"/>
      <c r="AB4" s="26">
        <v>1</v>
      </c>
      <c r="AC4" s="26">
        <v>5</v>
      </c>
      <c r="AD4" s="30" t="s">
        <v>196</v>
      </c>
      <c r="AE4" s="40" t="s">
        <v>104</v>
      </c>
      <c r="AF4" s="41" t="s">
        <v>86</v>
      </c>
      <c r="AG4" s="41" t="s">
        <v>86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194</v>
      </c>
      <c r="G5" s="9">
        <v>2900</v>
      </c>
      <c r="H5" s="9"/>
      <c r="I5" s="48">
        <v>1000</v>
      </c>
      <c r="J5" s="21">
        <f t="shared" ref="J5:J30" si="2">IF(COUNTA($F5,$K5,$P5)&gt;0,J4+SUM(G5:I5),"")</f>
        <v>50900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195</v>
      </c>
      <c r="Q5" s="9">
        <v>-2900</v>
      </c>
      <c r="R5" s="9"/>
      <c r="S5" s="48">
        <v>-1000</v>
      </c>
      <c r="T5" s="21">
        <f t="shared" ref="T5:T30" si="4">IF(COUNTA($F5,$K5,$P5)&gt;0,T4+SUM(Q5:S5),"")</f>
        <v>19100</v>
      </c>
      <c r="U5" s="53">
        <f>IF($J5="","",ROUND(($J5-$J$3)/1000,1)+(_xlfn.RANK.AVG($J5,($J5,$O5,$T5),1)-2)*10)</f>
        <v>25.9</v>
      </c>
      <c r="V5" s="54">
        <f>IF($O5="","",ROUND(($O5-$O$3)/1000,1)+(_xlfn.RANK.AVG($O5,($J5,$O5,$T5),1)-2)*10)</f>
        <v>0</v>
      </c>
      <c r="W5" s="55">
        <f>IF($T5="","",ROUND(($T5-$T$3)/1000,1)+(_xlfn.RANK.AVG($T5,($J5,$O5,$T5),1)-2)*10)</f>
        <v>-25.9</v>
      </c>
      <c r="Y5" s="8"/>
      <c r="Z5" s="34"/>
      <c r="AA5" s="26"/>
      <c r="AB5" s="26">
        <v>1</v>
      </c>
      <c r="AC5" s="26">
        <v>2</v>
      </c>
      <c r="AD5" s="30">
        <v>30</v>
      </c>
      <c r="AE5" s="40" t="s">
        <v>86</v>
      </c>
      <c r="AF5" s="41" t="s">
        <v>79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197</v>
      </c>
      <c r="G6" s="9">
        <v>1500</v>
      </c>
      <c r="H6" s="9"/>
      <c r="I6" s="48"/>
      <c r="J6" s="21">
        <f t="shared" si="2"/>
        <v>52400</v>
      </c>
      <c r="K6" s="8" t="s">
        <v>197</v>
      </c>
      <c r="L6" s="9">
        <v>1500</v>
      </c>
      <c r="M6" s="9"/>
      <c r="N6" s="48"/>
      <c r="O6" s="21">
        <f t="shared" si="3"/>
        <v>36500</v>
      </c>
      <c r="P6" s="8" t="s">
        <v>197</v>
      </c>
      <c r="Q6" s="9">
        <v>-3000</v>
      </c>
      <c r="R6" s="9"/>
      <c r="S6" s="48"/>
      <c r="T6" s="21">
        <f t="shared" si="4"/>
        <v>16100</v>
      </c>
      <c r="U6" s="53">
        <f>IF($J6="","",ROUND(($J6-$J$3)/1000,1)+(_xlfn.RANK.AVG($J6,($J6,$O6,$T6),1)-2)*10)</f>
        <v>27.4</v>
      </c>
      <c r="V6" s="54">
        <f>IF($O6="","",ROUND(($O6-$O$3)/1000,1)+(_xlfn.RANK.AVG($O6,($J6,$O6,$T6),1)-2)*10)</f>
        <v>1.5</v>
      </c>
      <c r="W6" s="55">
        <f>IF($T6="","",ROUND(($T6-$T$3)/1000,1)+(_xlfn.RANK.AVG($T6,($J6,$O6,$T6),1)-2)*10)</f>
        <v>-28.9</v>
      </c>
      <c r="Y6" s="8" t="s">
        <v>198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198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199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200</v>
      </c>
      <c r="G7" s="9">
        <v>-7500</v>
      </c>
      <c r="H7" s="9"/>
      <c r="I7" s="48">
        <v>-1500</v>
      </c>
      <c r="J7" s="21">
        <f t="shared" si="2"/>
        <v>43400</v>
      </c>
      <c r="K7" s="8" t="s">
        <v>201</v>
      </c>
      <c r="L7" s="9">
        <v>12000</v>
      </c>
      <c r="M7" s="9">
        <v>1000</v>
      </c>
      <c r="N7" s="48">
        <v>3000</v>
      </c>
      <c r="O7" s="21">
        <f t="shared" si="3"/>
        <v>52500</v>
      </c>
      <c r="P7" s="8" t="s">
        <v>200</v>
      </c>
      <c r="Q7" s="9">
        <v>-4500</v>
      </c>
      <c r="R7" s="9">
        <v>-1000</v>
      </c>
      <c r="S7" s="48">
        <v>-1500</v>
      </c>
      <c r="T7" s="21">
        <f t="shared" si="4"/>
        <v>9100</v>
      </c>
      <c r="U7" s="53">
        <f>IF($J7="","",ROUND(($J7-$J$3)/1000,1)+(_xlfn.RANK.AVG($J7,($J7,$O7,$T7),1)-2)*10)</f>
        <v>8.4</v>
      </c>
      <c r="V7" s="54">
        <f>IF($O7="","",ROUND(($O7-$O$3)/1000,1)+(_xlfn.RANK.AVG($O7,($J7,$O7,$T7),1)-2)*10)</f>
        <v>27.5</v>
      </c>
      <c r="W7" s="55">
        <f>IF($T7="","",ROUND(($T7-$T$3)/1000,1)+(_xlfn.RANK.AVG($T7,($J7,$O7,$T7),1)-2)*10)</f>
        <v>-35.9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196</v>
      </c>
      <c r="AZ7" s="40" t="s">
        <v>202</v>
      </c>
      <c r="BA7" s="41" t="s">
        <v>82</v>
      </c>
      <c r="BB7" s="41" t="s">
        <v>203</v>
      </c>
      <c r="BC7" s="41" t="s">
        <v>83</v>
      </c>
      <c r="BD7" s="41" t="s">
        <v>79</v>
      </c>
      <c r="BE7" s="41" t="s">
        <v>80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200</v>
      </c>
      <c r="G8" s="9">
        <v>-1500</v>
      </c>
      <c r="H8" s="9"/>
      <c r="I8" s="48">
        <v>0</v>
      </c>
      <c r="J8" s="21">
        <f t="shared" si="2"/>
        <v>41900</v>
      </c>
      <c r="K8" s="8" t="s">
        <v>200</v>
      </c>
      <c r="L8" s="9">
        <v>-2500</v>
      </c>
      <c r="M8" s="9">
        <v>-1000</v>
      </c>
      <c r="N8" s="48">
        <v>0</v>
      </c>
      <c r="O8" s="21">
        <f t="shared" si="3"/>
        <v>49000</v>
      </c>
      <c r="P8" s="8" t="s">
        <v>201</v>
      </c>
      <c r="Q8" s="9">
        <v>4000</v>
      </c>
      <c r="R8" s="9">
        <v>1000</v>
      </c>
      <c r="S8" s="48">
        <v>0</v>
      </c>
      <c r="T8" s="21">
        <f t="shared" si="4"/>
        <v>14100</v>
      </c>
      <c r="U8" s="53">
        <f>IF($J8="","",ROUND(($J8-$J$3)/1000,1)+(_xlfn.RANK.AVG($J8,($J8,$O8,$T8),1)-2)*10)</f>
        <v>6.9</v>
      </c>
      <c r="V8" s="54">
        <f>IF($O8="","",ROUND(($O8-$O$3)/1000,1)+(_xlfn.RANK.AVG($O8,($J8,$O8,$T8),1)-2)*10)</f>
        <v>24</v>
      </c>
      <c r="W8" s="55">
        <f>IF($T8="","",ROUND(($T8-$T$3)/1000,1)+(_xlfn.RANK.AVG($T8,($J8,$O8,$T8),1)-2)*10)</f>
        <v>-30.9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30</v>
      </c>
      <c r="BU8" s="40" t="s">
        <v>202</v>
      </c>
      <c r="BV8" s="41" t="s">
        <v>82</v>
      </c>
      <c r="BW8" s="41" t="s">
        <v>203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200</v>
      </c>
      <c r="G9" s="9">
        <v>-1500</v>
      </c>
      <c r="H9" s="9"/>
      <c r="I9" s="48">
        <v>0</v>
      </c>
      <c r="J9" s="21">
        <f t="shared" si="2"/>
        <v>40400</v>
      </c>
      <c r="K9" s="8" t="s">
        <v>201</v>
      </c>
      <c r="L9" s="9">
        <v>4000</v>
      </c>
      <c r="M9" s="9"/>
      <c r="N9" s="48">
        <v>0</v>
      </c>
      <c r="O9" s="21">
        <f t="shared" si="3"/>
        <v>53000</v>
      </c>
      <c r="P9" s="8" t="s">
        <v>200</v>
      </c>
      <c r="Q9" s="9">
        <v>-2500</v>
      </c>
      <c r="R9" s="9"/>
      <c r="S9" s="48">
        <v>0</v>
      </c>
      <c r="T9" s="21">
        <f t="shared" si="4"/>
        <v>11600</v>
      </c>
      <c r="U9" s="53">
        <f>IF($J9="","",ROUND(($J9-$J$3)/1000,1)+(_xlfn.RANK.AVG($J9,($J9,$O9,$T9),1)-2)*10)</f>
        <v>5.4</v>
      </c>
      <c r="V9" s="54">
        <f>IF($O9="","",ROUND(($O9-$O$3)/1000,1)+(_xlfn.RANK.AVG($O9,($J9,$O9,$T9),1)-2)*10)</f>
        <v>28</v>
      </c>
      <c r="W9" s="55">
        <f>IF($T9="","",ROUND(($T9-$T$3)/1000,1)+(_xlfn.RANK.AVG($T9,($J9,$O9,$T9),1)-2)*10)</f>
        <v>-33.4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3</v>
      </c>
      <c r="AY9" s="30">
        <v>30</v>
      </c>
      <c r="AZ9" s="40" t="s">
        <v>82</v>
      </c>
      <c r="BA9" s="41" t="s">
        <v>79</v>
      </c>
      <c r="BB9" s="41" t="s">
        <v>204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201</v>
      </c>
      <c r="G10" s="9">
        <v>3000</v>
      </c>
      <c r="H10" s="9">
        <v>1000</v>
      </c>
      <c r="I10" s="48">
        <v>0</v>
      </c>
      <c r="J10" s="21">
        <f t="shared" si="2"/>
        <v>44400</v>
      </c>
      <c r="K10" s="8" t="s">
        <v>200</v>
      </c>
      <c r="L10" s="9">
        <v>-1500</v>
      </c>
      <c r="M10" s="9"/>
      <c r="N10" s="48">
        <v>0</v>
      </c>
      <c r="O10" s="21">
        <f t="shared" si="3"/>
        <v>51500</v>
      </c>
      <c r="P10" s="8" t="s">
        <v>200</v>
      </c>
      <c r="Q10" s="9">
        <v>-1500</v>
      </c>
      <c r="R10" s="9">
        <v>-1000</v>
      </c>
      <c r="S10" s="48">
        <v>0</v>
      </c>
      <c r="T10" s="21">
        <f t="shared" si="4"/>
        <v>9100</v>
      </c>
      <c r="U10" s="53">
        <f>IF($J10="","",ROUND(($J10-$J$3)/1000,1)+(_xlfn.RANK.AVG($J10,($J10,$O10,$T10),1)-2)*10)</f>
        <v>9.4</v>
      </c>
      <c r="V10" s="54">
        <f>IF($O10="","",ROUND(($O10-$O$3)/1000,1)+(_xlfn.RANK.AVG($O10,($J10,$O10,$T10),1)-2)*10)</f>
        <v>26.5</v>
      </c>
      <c r="W10" s="55">
        <f>IF($T10="","",ROUND(($T10-$T$3)/1000,1)+(_xlfn.RANK.AVG($T10,($J10,$O10,$T10),1)-2)*10)</f>
        <v>-35.9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86</v>
      </c>
      <c r="AF10" s="41" t="s">
        <v>204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195</v>
      </c>
      <c r="G11" s="9">
        <v>-5200</v>
      </c>
      <c r="H11" s="9"/>
      <c r="I11" s="48">
        <v>-1000</v>
      </c>
      <c r="J11" s="21">
        <f t="shared" si="2"/>
        <v>38200</v>
      </c>
      <c r="K11" s="8"/>
      <c r="L11" s="9"/>
      <c r="M11" s="9"/>
      <c r="N11" s="48"/>
      <c r="O11" s="21">
        <f t="shared" si="3"/>
        <v>51500</v>
      </c>
      <c r="P11" s="8" t="s">
        <v>194</v>
      </c>
      <c r="Q11" s="9">
        <v>5200</v>
      </c>
      <c r="R11" s="9"/>
      <c r="S11" s="48">
        <v>1000</v>
      </c>
      <c r="T11" s="21">
        <f t="shared" si="4"/>
        <v>15300</v>
      </c>
      <c r="U11" s="53">
        <f>IF($J11="","",ROUND(($J11-$J$3)/1000,1)+(_xlfn.RANK.AVG($J11,($J11,$O11,$T11),1)-2)*10)</f>
        <v>3.2</v>
      </c>
      <c r="V11" s="54">
        <f>IF($O11="","",ROUND(($O11-$O$3)/1000,1)+(_xlfn.RANK.AVG($O11,($J11,$O11,$T11),1)-2)*10)</f>
        <v>26.5</v>
      </c>
      <c r="W11" s="55">
        <f>IF($T11="","",ROUND(($T11-$T$3)/1000,1)+(_xlfn.RANK.AVG($T11,($J11,$O11,$T11),1)-2)*10)</f>
        <v>-29.7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40</v>
      </c>
      <c r="BU11" s="40" t="s">
        <v>202</v>
      </c>
      <c r="BV11" s="41" t="s">
        <v>204</v>
      </c>
      <c r="BW11" s="41" t="s">
        <v>86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192</v>
      </c>
      <c r="F12" s="8" t="s">
        <v>200</v>
      </c>
      <c r="G12" s="9">
        <v>-5800</v>
      </c>
      <c r="H12" s="9"/>
      <c r="I12" s="48">
        <v>0</v>
      </c>
      <c r="J12" s="21">
        <f t="shared" si="2"/>
        <v>32400</v>
      </c>
      <c r="K12" s="8" t="s">
        <v>201</v>
      </c>
      <c r="L12" s="9">
        <v>11600</v>
      </c>
      <c r="M12" s="9"/>
      <c r="N12" s="48">
        <v>0</v>
      </c>
      <c r="O12" s="21">
        <f t="shared" si="3"/>
        <v>63100</v>
      </c>
      <c r="P12" s="8" t="s">
        <v>200</v>
      </c>
      <c r="Q12" s="9">
        <v>-5800</v>
      </c>
      <c r="R12" s="9"/>
      <c r="S12" s="48">
        <v>0</v>
      </c>
      <c r="T12" s="21">
        <f t="shared" si="4"/>
        <v>9500</v>
      </c>
      <c r="U12" s="53">
        <f>IF($J12="","",ROUND(($J12-$J$3)/1000,1)+(_xlfn.RANK.AVG($J12,($J12,$O12,$T12),1)-2)*10)</f>
        <v>-2.6</v>
      </c>
      <c r="V12" s="54">
        <f>IF($O12="","",ROUND(($O12-$O$3)/1000,1)+(_xlfn.RANK.AVG($O12,($J12,$O12,$T12),1)-2)*10)</f>
        <v>38.1</v>
      </c>
      <c r="W12" s="55">
        <f>IF($T12="","",ROUND(($T12-$T$3)/1000,1)+(_xlfn.RANK.AVG($T12,($J12,$O12,$T12),1)-2)*10)</f>
        <v>-35.5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4</v>
      </c>
      <c r="AY12" s="30">
        <v>30</v>
      </c>
      <c r="AZ12" s="40" t="s">
        <v>202</v>
      </c>
      <c r="BA12" s="41" t="s">
        <v>82</v>
      </c>
      <c r="BB12" s="41" t="s">
        <v>86</v>
      </c>
      <c r="BC12" s="41" t="s">
        <v>79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192</v>
      </c>
      <c r="F13" s="8" t="s">
        <v>194</v>
      </c>
      <c r="G13" s="9">
        <v>12000</v>
      </c>
      <c r="H13" s="9">
        <v>1000</v>
      </c>
      <c r="I13" s="48">
        <v>1000</v>
      </c>
      <c r="J13" s="21">
        <f t="shared" si="2"/>
        <v>46400</v>
      </c>
      <c r="K13" s="8"/>
      <c r="L13" s="9"/>
      <c r="M13" s="9"/>
      <c r="N13" s="48"/>
      <c r="O13" s="21">
        <f t="shared" si="3"/>
        <v>63100</v>
      </c>
      <c r="P13" s="8" t="s">
        <v>195</v>
      </c>
      <c r="Q13" s="9">
        <v>-12000</v>
      </c>
      <c r="R13" s="9">
        <v>-1000</v>
      </c>
      <c r="S13" s="48">
        <v>-1000</v>
      </c>
      <c r="T13" s="21">
        <f t="shared" si="4"/>
        <v>-4500</v>
      </c>
      <c r="U13" s="53">
        <f>IF($J13="","",ROUND(($J13-$J$3)/1000,1)+(_xlfn.RANK.AVG($J13,($J13,$O13,$T13),1)-2)*10)</f>
        <v>11.4</v>
      </c>
      <c r="V13" s="54">
        <f>IF($O13="","",ROUND(($O13-$O$3)/1000,1)+(_xlfn.RANK.AVG($O13,($J13,$O13,$T13),1)-2)*10)</f>
        <v>38.1</v>
      </c>
      <c r="W13" s="55">
        <f>IF($T13="","",ROUND(($T13-$T$3)/1000,1)+(_xlfn.RANK.AVG($T13,($J13,$O13,$T13),1)-2)*10)</f>
        <v>-49.5</v>
      </c>
      <c r="Y13" s="8"/>
      <c r="Z13" s="34"/>
      <c r="AA13" s="26">
        <v>1</v>
      </c>
      <c r="AB13" s="26"/>
      <c r="AC13" s="26">
        <v>7</v>
      </c>
      <c r="AD13" s="30" t="s">
        <v>196</v>
      </c>
      <c r="AE13" s="40" t="s">
        <v>202</v>
      </c>
      <c r="AF13" s="41" t="s">
        <v>101</v>
      </c>
      <c r="AG13" s="41" t="s">
        <v>79</v>
      </c>
      <c r="AH13" s="41" t="s">
        <v>79</v>
      </c>
      <c r="AI13" s="41" t="s">
        <v>80</v>
      </c>
      <c r="AJ13" s="41" t="s">
        <v>80</v>
      </c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258F454-3558-464C-9315-F28847646226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4.5"/>
  <cols>
    <col min="1" max="1" width="9" style="36" customWidth="1"/>
    <col min="2" max="2" width="6.453125" style="36" customWidth="1"/>
    <col min="3" max="3" width="19.26953125" style="15" bestFit="1" customWidth="1"/>
    <col min="4" max="5" width="6.453125" style="15" customWidth="1"/>
  </cols>
  <sheetData>
    <row r="1" spans="1: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>
      <c r="A2" s="36" t="s">
        <v>77</v>
      </c>
      <c r="B2" s="36" t="s">
        <v>139</v>
      </c>
      <c r="C2" s="15" t="s">
        <v>132</v>
      </c>
      <c r="D2" s="15">
        <v>1</v>
      </c>
    </row>
    <row r="3" spans="1:5">
      <c r="A3" s="36" t="s">
        <v>78</v>
      </c>
      <c r="B3" s="36" t="s">
        <v>148</v>
      </c>
      <c r="C3" s="15" t="s">
        <v>31</v>
      </c>
      <c r="D3" s="15">
        <v>1</v>
      </c>
    </row>
    <row r="4" spans="1: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>
      <c r="A5" s="36" t="s">
        <v>80</v>
      </c>
      <c r="B5" s="36" t="s">
        <v>142</v>
      </c>
      <c r="C5" s="15" t="s">
        <v>33</v>
      </c>
      <c r="D5" s="15">
        <v>1</v>
      </c>
    </row>
    <row r="6" spans="1:5">
      <c r="A6" s="36" t="s">
        <v>81</v>
      </c>
      <c r="C6" s="15" t="s">
        <v>34</v>
      </c>
      <c r="D6" s="15">
        <v>1</v>
      </c>
      <c r="E6" s="15">
        <v>1</v>
      </c>
    </row>
    <row r="7" spans="1:5">
      <c r="A7" s="36" t="s">
        <v>82</v>
      </c>
      <c r="B7" s="36" t="s">
        <v>140</v>
      </c>
      <c r="C7" s="15" t="s">
        <v>35</v>
      </c>
      <c r="D7" s="15">
        <v>1</v>
      </c>
    </row>
    <row r="8" spans="1:5">
      <c r="A8" s="36" t="s">
        <v>83</v>
      </c>
      <c r="B8" s="36" t="s">
        <v>144</v>
      </c>
      <c r="C8" s="15" t="s">
        <v>36</v>
      </c>
      <c r="D8" s="15">
        <v>1</v>
      </c>
    </row>
    <row r="9" spans="1:5">
      <c r="A9" s="36" t="s">
        <v>84</v>
      </c>
      <c r="B9" s="36" t="s">
        <v>146</v>
      </c>
      <c r="C9" s="15" t="s">
        <v>37</v>
      </c>
      <c r="D9" s="15">
        <v>1</v>
      </c>
    </row>
    <row r="10" spans="1: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>
      <c r="A16" s="36" t="s">
        <v>91</v>
      </c>
      <c r="B16" s="36" t="s">
        <v>157</v>
      </c>
      <c r="C16" s="15" t="s">
        <v>43</v>
      </c>
      <c r="D16" s="15">
        <v>2</v>
      </c>
    </row>
    <row r="17" spans="1: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>
      <c r="A19" s="36" t="s">
        <v>94</v>
      </c>
      <c r="C19" s="15" t="s">
        <v>45</v>
      </c>
      <c r="D19" s="15">
        <v>2</v>
      </c>
      <c r="E19" s="15">
        <v>1</v>
      </c>
    </row>
    <row r="20" spans="1: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>
      <c r="A26" s="36" t="s">
        <v>101</v>
      </c>
      <c r="B26" s="36" t="s">
        <v>154</v>
      </c>
      <c r="C26" s="15" t="s">
        <v>52</v>
      </c>
      <c r="D26" s="15">
        <v>2</v>
      </c>
    </row>
    <row r="27" spans="1:5">
      <c r="A27" s="36" t="s">
        <v>102</v>
      </c>
      <c r="B27" s="36" t="s">
        <v>164</v>
      </c>
      <c r="C27" s="15" t="s">
        <v>53</v>
      </c>
      <c r="D27" s="15">
        <v>3</v>
      </c>
    </row>
    <row r="28" spans="1: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>
      <c r="A32" s="36" t="s">
        <v>107</v>
      </c>
      <c r="B32" s="36" t="s">
        <v>169</v>
      </c>
      <c r="C32" s="15" t="s">
        <v>57</v>
      </c>
      <c r="D32" s="15">
        <v>13</v>
      </c>
    </row>
    <row r="33" spans="1:5">
      <c r="A33" s="36" t="s">
        <v>108</v>
      </c>
      <c r="B33" s="36" t="s">
        <v>170</v>
      </c>
      <c r="C33" s="15" t="s">
        <v>58</v>
      </c>
      <c r="D33" s="15">
        <v>13</v>
      </c>
    </row>
    <row r="34" spans="1: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>
      <c r="A41" s="36" t="s">
        <v>116</v>
      </c>
      <c r="B41" s="36" t="s">
        <v>178</v>
      </c>
      <c r="C41" s="15" t="s">
        <v>66</v>
      </c>
      <c r="D41" s="15">
        <v>13</v>
      </c>
    </row>
    <row r="42" spans="1:5">
      <c r="A42" s="36" t="s">
        <v>117</v>
      </c>
      <c r="B42" s="36" t="s">
        <v>179</v>
      </c>
      <c r="C42" s="15" t="s">
        <v>67</v>
      </c>
      <c r="D42" s="15">
        <v>13</v>
      </c>
    </row>
    <row r="43" spans="1:5">
      <c r="A43" s="36" t="s">
        <v>118</v>
      </c>
      <c r="B43" s="36" t="s">
        <v>180</v>
      </c>
      <c r="C43" s="15" t="s">
        <v>68</v>
      </c>
      <c r="D43" s="15">
        <v>13</v>
      </c>
    </row>
    <row r="44" spans="1:5">
      <c r="A44" s="36" t="s">
        <v>119</v>
      </c>
      <c r="B44" s="36" t="s">
        <v>181</v>
      </c>
      <c r="C44" s="15" t="s">
        <v>69</v>
      </c>
      <c r="D44" s="15">
        <v>13</v>
      </c>
    </row>
    <row r="45" spans="1:5">
      <c r="A45" s="36" t="s">
        <v>120</v>
      </c>
      <c r="B45" s="36" t="s">
        <v>182</v>
      </c>
      <c r="C45" s="15" t="s">
        <v>70</v>
      </c>
      <c r="D45" s="15">
        <v>26</v>
      </c>
    </row>
    <row r="46" spans="1:5">
      <c r="A46" s="36" t="s">
        <v>121</v>
      </c>
      <c r="B46" s="36" t="s">
        <v>183</v>
      </c>
      <c r="C46" s="15" t="s">
        <v>71</v>
      </c>
      <c r="D46" s="15">
        <v>26</v>
      </c>
    </row>
    <row r="47" spans="1:5">
      <c r="A47" s="36" t="s">
        <v>122</v>
      </c>
      <c r="B47" s="36" t="s">
        <v>184</v>
      </c>
      <c r="C47" s="15" t="s">
        <v>72</v>
      </c>
      <c r="D47" s="15">
        <v>26</v>
      </c>
    </row>
    <row r="48" spans="1:5">
      <c r="A48" s="36" t="s">
        <v>123</v>
      </c>
      <c r="B48" s="36" t="s">
        <v>185</v>
      </c>
      <c r="C48" s="15" t="s">
        <v>73</v>
      </c>
      <c r="D48" s="15">
        <v>13</v>
      </c>
    </row>
    <row r="49" spans="1:5">
      <c r="A49" s="36" t="s">
        <v>124</v>
      </c>
      <c r="B49" s="36" t="s">
        <v>186</v>
      </c>
      <c r="C49" s="15" t="s">
        <v>74</v>
      </c>
      <c r="D49" s="15">
        <v>13</v>
      </c>
    </row>
    <row r="50" spans="1:5">
      <c r="A50" s="36" t="s">
        <v>125</v>
      </c>
      <c r="C50" s="15" t="s">
        <v>75</v>
      </c>
      <c r="D50" s="15">
        <v>13</v>
      </c>
    </row>
    <row r="51" spans="1:5">
      <c r="A51" s="36" t="s">
        <v>126</v>
      </c>
      <c r="B51" s="36" t="s">
        <v>187</v>
      </c>
      <c r="C51" s="15" t="s">
        <v>76</v>
      </c>
      <c r="D51" s="15">
        <v>13</v>
      </c>
    </row>
    <row r="52" spans="1:5">
      <c r="A52" s="36" t="s">
        <v>134</v>
      </c>
      <c r="B52" s="36" t="s">
        <v>158</v>
      </c>
      <c r="C52" s="15" t="s">
        <v>135</v>
      </c>
      <c r="D52" s="15">
        <v>2</v>
      </c>
    </row>
    <row r="53" spans="1: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4.5"/>
  <cols>
    <col min="1" max="12" width="9" style="32"/>
    <col min="13" max="13" width="9" style="32" customWidth="1"/>
    <col min="14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E3" s="32">
        <v>3900</v>
      </c>
      <c r="F3" s="32">
        <v>7700</v>
      </c>
    </row>
    <row r="4" spans="1:13">
      <c r="A4" s="15">
        <v>25</v>
      </c>
      <c r="D4" s="32">
        <v>2400</v>
      </c>
      <c r="E4" s="32">
        <v>4800</v>
      </c>
      <c r="F4" s="32">
        <v>9600</v>
      </c>
    </row>
    <row r="5" spans="1:13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4.5"/>
  <cols>
    <col min="1" max="16384" width="9" style="32"/>
  </cols>
  <sheetData>
    <row r="1" spans="1:13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cp:lastPrinted>2018-10-03T09:15:05Z</cp:lastPrinted>
  <dcterms:created xsi:type="dcterms:W3CDTF">2018-10-02T11:54:05Z</dcterms:created>
  <dcterms:modified xsi:type="dcterms:W3CDTF">2019-12-08T15:44:47Z</dcterms:modified>
</cp:coreProperties>
</file>