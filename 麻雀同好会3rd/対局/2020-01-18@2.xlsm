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7FC25C62-41A1-4788-9830-2C8A2914E18D}" xr6:coauthVersionLast="41" xr6:coauthVersionMax="41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D13" i="20"/>
  <c r="C13" i="20"/>
  <c r="C14" i="20" s="1"/>
  <c r="D12" i="20"/>
  <c r="D11" i="20"/>
  <c r="C11" i="20"/>
  <c r="C12" i="20" s="1"/>
  <c r="D10" i="20"/>
  <c r="C10" i="20"/>
  <c r="D9" i="20"/>
  <c r="C9" i="20"/>
  <c r="D8" i="20"/>
  <c r="C8" i="20"/>
  <c r="D7" i="20"/>
  <c r="C7" i="20"/>
  <c r="D6" i="20"/>
  <c r="C6" i="20"/>
  <c r="T5" i="20"/>
  <c r="T6" i="20" s="1"/>
  <c r="O5" i="20"/>
  <c r="D5" i="20"/>
  <c r="T4" i="20"/>
  <c r="O4" i="20"/>
  <c r="V4" i="20" s="1"/>
  <c r="J4" i="20"/>
  <c r="U4" i="20" s="1"/>
  <c r="E4" i="20"/>
  <c r="C5" i="20" s="1"/>
  <c r="W3" i="20"/>
  <c r="V3" i="20"/>
  <c r="U3" i="20"/>
  <c r="W2" i="20"/>
  <c r="V2" i="20"/>
  <c r="U2" i="20"/>
  <c r="BO1" i="20"/>
  <c r="AT1" i="20"/>
  <c r="Y1" i="20"/>
  <c r="W4" i="20" l="1"/>
  <c r="T7" i="20"/>
  <c r="B5" i="20"/>
  <c r="J5" i="20"/>
  <c r="V5" i="20" s="1"/>
  <c r="O6" i="20"/>
  <c r="O7" i="20" l="1"/>
  <c r="T8" i="20"/>
  <c r="W5" i="20"/>
  <c r="U5" i="20"/>
  <c r="J6" i="20"/>
  <c r="V6" i="20" s="1"/>
  <c r="B6" i="20"/>
  <c r="A5" i="20"/>
  <c r="A6" i="20" l="1"/>
  <c r="O8" i="20"/>
  <c r="V7" i="20"/>
  <c r="B7" i="20"/>
  <c r="U6" i="20"/>
  <c r="J7" i="20"/>
  <c r="W6" i="20"/>
  <c r="T9" i="20"/>
  <c r="T10" i="20" l="1"/>
  <c r="O9" i="20"/>
  <c r="B8" i="20"/>
  <c r="U7" i="20"/>
  <c r="J8" i="20"/>
  <c r="V8" i="20" s="1"/>
  <c r="W7" i="20"/>
  <c r="A7" i="20"/>
  <c r="A8" i="20" s="1"/>
  <c r="U8" i="20" l="1"/>
  <c r="J9" i="20"/>
  <c r="W8" i="20"/>
  <c r="T11" i="20"/>
  <c r="B9" i="20"/>
  <c r="A9" i="20" s="1"/>
  <c r="O10" i="20"/>
  <c r="U9" i="20" l="1"/>
  <c r="J10" i="20"/>
  <c r="W9" i="20"/>
  <c r="V9" i="20"/>
  <c r="B10" i="20"/>
  <c r="A10" i="20" s="1"/>
  <c r="T12" i="20"/>
  <c r="O11" i="20"/>
  <c r="U10" i="20" l="1"/>
  <c r="J11" i="20"/>
  <c r="W10" i="20"/>
  <c r="T13" i="20"/>
  <c r="B11" i="20"/>
  <c r="A11" i="20" s="1"/>
  <c r="V11" i="20"/>
  <c r="O12" i="20"/>
  <c r="V10" i="20"/>
  <c r="U11" i="20" l="1"/>
  <c r="J12" i="20"/>
  <c r="W11" i="20"/>
  <c r="T14" i="20"/>
  <c r="B12" i="20"/>
  <c r="O13" i="20"/>
  <c r="V12" i="20"/>
  <c r="O14" i="20" l="1"/>
  <c r="B13" i="20"/>
  <c r="A13" i="20" s="1"/>
  <c r="A12" i="20"/>
  <c r="U12" i="20"/>
  <c r="J13" i="20"/>
  <c r="W12" i="20"/>
  <c r="U13" i="20" l="1"/>
  <c r="J14" i="20"/>
  <c r="W13" i="20"/>
  <c r="B14" i="20"/>
  <c r="A14" i="20" s="1"/>
  <c r="V14" i="20"/>
  <c r="V13" i="20"/>
  <c r="U14" i="20" l="1"/>
  <c r="W14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4" i="19" l="1"/>
  <c r="W14" i="19"/>
  <c r="U13" i="19"/>
  <c r="V13" i="19"/>
  <c r="W12" i="19"/>
  <c r="V12" i="19"/>
  <c r="V11" i="19"/>
  <c r="W11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<sst xmlns="http://schemas.openxmlformats.org/spreadsheetml/2006/main" count="720" uniqueCount="209">
  <si>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</si>
  <si>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</si>
  <si>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</si>
  <si>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</si>
  <si>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</si>
  <si>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</si>
  <si>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</si>
  <si>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</si>
  <si>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</si>
  <si>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</si>
  <si>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</si>
  <si>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</si>
  <si>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</si>
  <si>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</si>
  <si>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</si>
  <si>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</si>
  <si>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</si>
  <si>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</si>
  <si>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</si>
  <si>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</si>
  <si>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</si>
  <si>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</si>
  <si>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</si>
  <si>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</si>
  <si>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</si>
  <si>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</si>
  <si>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</si>
  <si>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</si>
  <si>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</si>
  <si>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</si>
  <si>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</si>
  <si>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</si>
  <si>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</si>
  <si>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</si>
  <si>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</si>
  <si>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</si>
  <si>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</si>
  <si>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</si>
  <si>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</si>
  <si>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</si>
  <si>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</si>
  <si>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</si>
  <si>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</si>
  <si>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</si>
  <si>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</si>
  <si>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</si>
  <si>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</si>
  <si>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</si>
  <si>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</si>
  <si>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</si>
  <si>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</si>
  <si>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</si>
  <si>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</si>
  <si>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</si>
  <si>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</si>
  <si>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</si>
  <si>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</si>
  <si>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</si>
  <si>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</si>
  <si>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</si>
  <si>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</si>
  <si>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</si>
  <si>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</si>
  <si>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</si>
  <si>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</si>
  <si>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</si>
  <si>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</si>
  <si>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</si>
  <si>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</si>
  <si>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</si>
  <si>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</si>
  <si>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</si>
  <si>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</si>
  <si>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</si>
  <si>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</si>
  <si>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</si>
  <si>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</si>
  <si>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</si>
  <si>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</si>
  <si>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</si>
  <si>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</si>
  <si>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</si>
  <si>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</si>
  <si>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</si>
  <si>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</si>
  <si>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</si>
  <si>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</si>
  <si>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</si>
  <si>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</si>
  <si>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</si>
  <si>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</si>
  <si>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</si>
  <si>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</si>
  <si>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</si>
  <si>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</si>
  <si>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</si>
  <si>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</si>
  <si>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</si>
  <si>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</si>
  <si>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</si>
  <si>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</si>
  <si>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</si>
  <si>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</si>
  <si>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</si>
  <si>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</si>
  <si>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</si>
  <si>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</si>
  <si>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</si>
  <si>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</si>
  <si>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</si>
  <si>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</si>
  <si>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</si>
  <si>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</si>
  <si>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</si>
  <si>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</si>
  <si>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</si>
  <si>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</si>
  <si>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</si>
  <si>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</si>
  <si>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</si>
  <si>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</si>
  <si>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</si>
  <si>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</si>
  <si>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</si>
  <si>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</si>
  <si>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</si>
  <si>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</si>
  <si>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</si>
  <si>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</si>
  <si>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</si>
  <si>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</si>
  <si>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</si>
  <si>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</si>
  <si>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</si>
  <si>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</si>
  <si>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</si>
  <si>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</si>
  <si>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</si>
  <si>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</si>
  <si>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</si>
  <si>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</si>
  <si>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</si>
  <si>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</si>
  <si>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</si>
  <si>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</si>
  <si>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</si>
  <si>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</si>
  <si>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</si>
  <si>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</si>
  <si>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</si>
  <si>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</si>
  <si>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</si>
  <si>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</si>
  <si>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</si>
  <si>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</si>
  <si>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</si>
  <si>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</si>
  <si>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</si>
  <si>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</si>
  <si>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</si>
  <si>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</si>
  <si>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</si>
  <si>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</si>
  <si>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</si>
  <si>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</si>
  <si>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</si>
  <si>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</si>
  <si>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</si>
  <si>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</si>
  <si>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</si>
  <si>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</si>
  <si>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</si>
  <si>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</si>
  <si>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</si>
  <si>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</si>
  <si>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</si>
  <si>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</si>
  <si>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</si>
  <si>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</si>
  <si>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</si>
  <si>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</si>
  <si>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</si>
  <si>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</si>
  <si>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</si>
  <si>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</si>
  <si>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</si>
  <si>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</si>
  <si>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</si>
  <si>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</si>
  <si>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</si>
  <si>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</si>
  <si>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</si>
  <si>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</si>
  <si>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</si>
  <si>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</si>
  <si>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りくと</t>
  </si>
  <si>
    <t>りくと</t>
    <phoneticPr fontId="1"/>
  </si>
  <si>
    <t>ロン</t>
  </si>
  <si>
    <t>放銃</t>
  </si>
  <si>
    <t>*</t>
  </si>
  <si>
    <t>52</t>
  </si>
  <si>
    <t>01</t>
  </si>
  <si>
    <t>ツモ</t>
  </si>
  <si>
    <t>ツモ支払</t>
  </si>
  <si>
    <t>T</t>
  </si>
  <si>
    <t>N</t>
  </si>
  <si>
    <t>流局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</si>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</sst>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>
        <v>5</v>
      </c>
      <c r="AD4" s="30" t="s">
        <v>199</v>
      </c>
      <c r="AE4" s="40" t="s">
        <v>101</v>
      </c>
      <c r="AF4" s="41" t="s">
        <v>200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-8000</v>
      </c>
      <c r="H5" s="9">
        <v>-1000</v>
      </c>
      <c r="I5" s="48">
        <v>-1000</v>
      </c>
      <c r="J5" s="21">
        <f t="shared" ref="J5:J30" si="2">IF(COUNTA($F5,$K5,$P5)&gt;0,J4+SUM(G5:I5),"")</f>
        <v>37000</v>
      </c>
      <c r="K5" s="8" t="s">
        <v>197</v>
      </c>
      <c r="L5" s="9">
        <v>8000</v>
      </c>
      <c r="M5" s="9">
        <v>1000</v>
      </c>
      <c r="N5" s="48">
        <v>1000</v>
      </c>
      <c r="O5" s="21">
        <f t="shared" ref="O5:O30" si="3">IF(COUNTA($F5,$K5,$P5)&gt;0,O4+SUM(L5:N5),"")</f>
        <v>45000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20</v>
      </c>
      <c r="W5" s="55">
        <f>IF($T5="","",ROUND(($T5-$T$3)/1000,1)+(_xlfn.RANK.AVG($T5,($J5,$O5,$T5),1)-2)*10)</f>
        <v>-22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201</v>
      </c>
      <c r="BA5" s="41" t="s">
        <v>86</v>
      </c>
      <c r="BB5" s="41" t="s">
        <v>79</v>
      </c>
      <c r="BC5" s="41" t="s">
        <v>80</v>
      </c>
      <c r="BD5" s="41" t="s">
        <v>200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37000</v>
      </c>
      <c r="K6" s="8" t="s">
        <v>198</v>
      </c>
      <c r="L6" s="9">
        <v>-12000</v>
      </c>
      <c r="M6" s="9">
        <v>-1000</v>
      </c>
      <c r="N6" s="48">
        <v>0</v>
      </c>
      <c r="O6" s="21">
        <f t="shared" si="3"/>
        <v>32000</v>
      </c>
      <c r="P6" s="8" t="s">
        <v>197</v>
      </c>
      <c r="Q6" s="9">
        <v>12000</v>
      </c>
      <c r="R6" s="9">
        <v>1000</v>
      </c>
      <c r="S6" s="48">
        <v>0</v>
      </c>
      <c r="T6" s="21">
        <f t="shared" si="4"/>
        <v>36000</v>
      </c>
      <c r="U6" s="53">
        <f>IF($J6="","",ROUND(($J6-$J$3)/1000,1)+(_xlfn.RANK.AVG($J6,($J6,$O6,$T6),1)-2)*10)</f>
        <v>12</v>
      </c>
      <c r="V6" s="54">
        <f>IF($O6="","",ROUND(($O6-$O$3)/1000,1)+(_xlfn.RANK.AVG($O6,($J6,$O6,$T6),1)-2)*10)</f>
        <v>-13</v>
      </c>
      <c r="W6" s="55">
        <f>IF($T6="","",ROUND(($T6-$T$3)/1000,1)+(_xlfn.RANK.AVG($T6,($J6,$O6,$T6),1)-2)*10)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7</v>
      </c>
      <c r="BT6" s="30" t="s">
        <v>199</v>
      </c>
      <c r="BU6" s="40" t="s">
        <v>98</v>
      </c>
      <c r="BV6" s="41" t="s">
        <v>104</v>
      </c>
      <c r="BW6" s="41" t="s">
        <v>86</v>
      </c>
      <c r="BX6" s="41" t="s">
        <v>100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5200</v>
      </c>
      <c r="H7" s="9"/>
      <c r="I7" s="48">
        <v>0</v>
      </c>
      <c r="J7" s="21">
        <f t="shared" si="2"/>
        <v>42200</v>
      </c>
      <c r="K7" s="8" t="s">
        <v>198</v>
      </c>
      <c r="L7" s="9">
        <v>-5200</v>
      </c>
      <c r="M7" s="9"/>
      <c r="N7" s="48">
        <v>0</v>
      </c>
      <c r="O7" s="21">
        <f t="shared" si="3"/>
        <v>26800</v>
      </c>
      <c r="P7" s="8"/>
      <c r="Q7" s="9"/>
      <c r="R7" s="9"/>
      <c r="S7" s="48"/>
      <c r="T7" s="21">
        <f t="shared" si="4"/>
        <v>36000</v>
      </c>
      <c r="U7" s="53">
        <f>IF($J7="","",ROUND(($J7-$J$3)/1000,1)+(_xlfn.RANK.AVG($J7,($J7,$O7,$T7),1)-2)*10)</f>
        <v>17.2</v>
      </c>
      <c r="V7" s="54">
        <f>IF($O7="","",ROUND(($O7-$O$3)/1000,1)+(_xlfn.RANK.AVG($O7,($J7,$O7,$T7),1)-2)*10)</f>
        <v>-18.2</v>
      </c>
      <c r="W7" s="55">
        <f>IF($T7="","",ROUND(($T7-$T$3)/1000,1)+(_xlfn.RANK.AVG($T7,($J7,$O7,$T7),1)-2)*10)</f>
        <v>1</v>
      </c>
      <c r="Y7" s="8"/>
      <c r="Z7" s="34"/>
      <c r="AA7" s="26"/>
      <c r="AB7" s="26"/>
      <c r="AC7" s="26">
        <v>3</v>
      </c>
      <c r="AD7" s="30">
        <v>40</v>
      </c>
      <c r="AE7" s="40" t="s">
        <v>103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18000</v>
      </c>
      <c r="H8" s="9"/>
      <c r="I8" s="48">
        <v>0</v>
      </c>
      <c r="J8" s="21">
        <f t="shared" si="2"/>
        <v>60200</v>
      </c>
      <c r="K8" s="8" t="s">
        <v>203</v>
      </c>
      <c r="L8" s="9">
        <v>-9000</v>
      </c>
      <c r="M8" s="9"/>
      <c r="N8" s="48">
        <v>0</v>
      </c>
      <c r="O8" s="21">
        <f t="shared" si="3"/>
        <v>17800</v>
      </c>
      <c r="P8" s="8" t="s">
        <v>203</v>
      </c>
      <c r="Q8" s="9">
        <v>-9000</v>
      </c>
      <c r="R8" s="9"/>
      <c r="S8" s="48">
        <v>0</v>
      </c>
      <c r="T8" s="21">
        <f t="shared" si="4"/>
        <v>27000</v>
      </c>
      <c r="U8" s="53">
        <f>IF($J8="","",ROUND(($J8-$J$3)/1000,1)+(_xlfn.RANK.AVG($J8,($J8,$O8,$T8),1)-2)*10)</f>
        <v>35.200000000000003</v>
      </c>
      <c r="V8" s="54">
        <f>IF($O8="","",ROUND(($O8-$O$3)/1000,1)+(_xlfn.RANK.AVG($O8,($J8,$O8,$T8),1)-2)*10)</f>
        <v>-27.2</v>
      </c>
      <c r="W8" s="55">
        <f>IF($T8="","",ROUND(($T8-$T$3)/1000,1)+(_xlfn.RANK.AVG($T8,($J8,$O8,$T8),1)-2)*10)</f>
        <v>-8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201</v>
      </c>
      <c r="AF8" s="41" t="s">
        <v>82</v>
      </c>
      <c r="AG8" s="41" t="s">
        <v>104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203</v>
      </c>
      <c r="G9" s="9">
        <v>-2500</v>
      </c>
      <c r="H9" s="9"/>
      <c r="I9" s="48">
        <v>-500</v>
      </c>
      <c r="J9" s="21">
        <f t="shared" si="2"/>
        <v>57200</v>
      </c>
      <c r="K9" s="8" t="s">
        <v>202</v>
      </c>
      <c r="L9" s="9">
        <v>4000</v>
      </c>
      <c r="M9" s="9"/>
      <c r="N9" s="48">
        <v>1000</v>
      </c>
      <c r="O9" s="21">
        <f t="shared" si="3"/>
        <v>22800</v>
      </c>
      <c r="P9" s="8" t="s">
        <v>203</v>
      </c>
      <c r="Q9" s="9">
        <v>-1500</v>
      </c>
      <c r="R9" s="9"/>
      <c r="S9" s="48">
        <v>-500</v>
      </c>
      <c r="T9" s="21">
        <f t="shared" si="4"/>
        <v>25000</v>
      </c>
      <c r="U9" s="53">
        <f>IF($J9="","",ROUND(($J9-$J$3)/1000,1)+(_xlfn.RANK.AVG($J9,($J9,$O9,$T9),1)-2)*10)</f>
        <v>32.200000000000003</v>
      </c>
      <c r="V9" s="54">
        <f>IF($O9="","",ROUND(($O9-$O$3)/1000,1)+(_xlfn.RANK.AVG($O9,($J9,$O9,$T9),1)-2)*10)</f>
        <v>-22.2</v>
      </c>
      <c r="W9" s="55">
        <f>IF($T9="","",ROUND(($T9-$T$3)/1000,1)+(_xlfn.RANK.AVG($T9,($J9,$O9,$T9),1)-2)*10)</f>
        <v>-10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57200</v>
      </c>
      <c r="K10" s="8" t="s">
        <v>197</v>
      </c>
      <c r="L10" s="9">
        <v>7700</v>
      </c>
      <c r="M10" s="9"/>
      <c r="N10" s="48">
        <v>0</v>
      </c>
      <c r="O10" s="21">
        <f t="shared" si="3"/>
        <v>30500</v>
      </c>
      <c r="P10" s="8" t="s">
        <v>198</v>
      </c>
      <c r="Q10" s="9">
        <v>-7700</v>
      </c>
      <c r="R10" s="9"/>
      <c r="S10" s="48">
        <v>0</v>
      </c>
      <c r="T10" s="21">
        <f t="shared" si="4"/>
        <v>17300</v>
      </c>
      <c r="U10" s="53">
        <f>IF($J10="","",ROUND(($J10-$J$3)/1000,1)+(_xlfn.RANK.AVG($J10,($J10,$O10,$T10),1)-2)*10)</f>
        <v>32.200000000000003</v>
      </c>
      <c r="V10" s="54">
        <f>IF($O10="","",ROUND(($O10-$O$3)/1000,1)+(_xlfn.RANK.AVG($O10,($J10,$O10,$T10),1)-2)*10)</f>
        <v>-4.5</v>
      </c>
      <c r="W10" s="55">
        <f>IF($T10="","",ROUND(($T10-$T$3)/1000,1)+(_xlfn.RANK.AVG($T10,($J10,$O10,$T10),1)-2)*10)</f>
        <v>-27.7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201</v>
      </c>
      <c r="BA10" s="41" t="s">
        <v>86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206</v>
      </c>
      <c r="G11" s="9">
        <v>1500</v>
      </c>
      <c r="H11" s="9">
        <v>-1000</v>
      </c>
      <c r="I11" s="48"/>
      <c r="J11" s="21">
        <f t="shared" si="2"/>
        <v>57700</v>
      </c>
      <c r="K11" s="8" t="s">
        <v>206</v>
      </c>
      <c r="L11" s="9">
        <v>1500</v>
      </c>
      <c r="M11" s="9">
        <v>-1000</v>
      </c>
      <c r="N11" s="48"/>
      <c r="O11" s="21">
        <f t="shared" si="3"/>
        <v>31000</v>
      </c>
      <c r="P11" s="8" t="s">
        <v>206</v>
      </c>
      <c r="Q11" s="9">
        <v>-3000</v>
      </c>
      <c r="R11" s="9"/>
      <c r="S11" s="48"/>
      <c r="T11" s="21">
        <f t="shared" si="4"/>
        <v>14300</v>
      </c>
      <c r="U11" s="53">
        <f>IF($J11="","",ROUND(($J11-$J$3)/1000,1)+(_xlfn.RANK.AVG($J11,($J11,$O11,$T11),1)-2)*10)</f>
        <v>32.700000000000003</v>
      </c>
      <c r="V11" s="54">
        <f>IF($O11="","",ROUND(($O11-$O$3)/1000,1)+(_xlfn.RANK.AVG($O11,($J11,$O11,$T11),1)-2)*10)</f>
        <v>-4</v>
      </c>
      <c r="W11" s="55">
        <f>IF($T11="","",ROUND(($T11-$T$3)/1000,1)+(_xlfn.RANK.AVG($T11,($J11,$O11,$T11),1)-2)*10)</f>
        <v>-30.7</v>
      </c>
      <c r="Y11" s="8" t="s">
        <v>204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">
        <v>193</v>
      </c>
      <c r="F12" s="8" t="s">
        <v>198</v>
      </c>
      <c r="G12" s="9">
        <v>-8000</v>
      </c>
      <c r="H12" s="9"/>
      <c r="I12" s="48">
        <v>-2000</v>
      </c>
      <c r="J12" s="21">
        <f t="shared" si="2"/>
        <v>47700</v>
      </c>
      <c r="K12" s="8"/>
      <c r="L12" s="9"/>
      <c r="M12" s="9"/>
      <c r="N12" s="48"/>
      <c r="O12" s="21">
        <f t="shared" si="3"/>
        <v>31000</v>
      </c>
      <c r="P12" s="8" t="s">
        <v>197</v>
      </c>
      <c r="Q12" s="9">
        <v>8000</v>
      </c>
      <c r="R12" s="9">
        <v>2000</v>
      </c>
      <c r="S12" s="48">
        <v>2000</v>
      </c>
      <c r="T12" s="21">
        <f t="shared" si="4"/>
        <v>26300</v>
      </c>
      <c r="U12" s="53">
        <f>IF($J12="","",ROUND(($J12-$J$3)/1000,1)+(_xlfn.RANK.AVG($J12,($J12,$O12,$T12),1)-2)*10)</f>
        <v>22.7</v>
      </c>
      <c r="V12" s="54">
        <f>IF($O12="","",ROUND(($O12-$O$3)/1000,1)+(_xlfn.RANK.AVG($O12,($J12,$O12,$T12),1)-2)*10)</f>
        <v>-4</v>
      </c>
      <c r="W12" s="55">
        <f>IF($T12="","",ROUND(($T12-$T$3)/1000,1)+(_xlfn.RANK.AVG($T12,($J12,$O12,$T12),1)-2)*10)</f>
        <v>-18.7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201</v>
      </c>
      <c r="BV12" s="41" t="s">
        <v>207</v>
      </c>
      <c r="BW12" s="41" t="s">
        <v>86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206</v>
      </c>
      <c r="G13" s="9">
        <v>-1500</v>
      </c>
      <c r="H13" s="9"/>
      <c r="I13" s="48"/>
      <c r="J13" s="21">
        <f t="shared" si="2"/>
        <v>46200</v>
      </c>
      <c r="K13" s="8" t="s">
        <v>206</v>
      </c>
      <c r="L13" s="9">
        <v>-1500</v>
      </c>
      <c r="M13" s="9"/>
      <c r="N13" s="48"/>
      <c r="O13" s="21">
        <f t="shared" si="3"/>
        <v>29500</v>
      </c>
      <c r="P13" s="8" t="s">
        <v>206</v>
      </c>
      <c r="Q13" s="9">
        <v>3000</v>
      </c>
      <c r="R13" s="9">
        <v>-1000</v>
      </c>
      <c r="S13" s="48"/>
      <c r="T13" s="21">
        <f t="shared" si="4"/>
        <v>28300</v>
      </c>
      <c r="U13" s="53">
        <f>IF($J13="","",ROUND(($J13-$J$3)/1000,1)+(_xlfn.RANK.AVG($J13,($J13,$O13,$T13),1)-2)*10)</f>
        <v>21.2</v>
      </c>
      <c r="V13" s="54">
        <f>IF($O13="","",ROUND(($O13-$O$3)/1000,1)+(_xlfn.RANK.AVG($O13,($J13,$O13,$T13),1)-2)*10)</f>
        <v>-5.5</v>
      </c>
      <c r="W13" s="55">
        <f>IF($T13="","",ROUND(($T13-$T$3)/1000,1)+(_xlfn.RANK.AVG($T13,($J13,$O13,$T13),1)-2)*10)</f>
        <v>-16.7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1</v>
      </c>
      <c r="E14" s="4" t="s">
        <v>195</v>
      </c>
      <c r="F14" s="8" t="s">
        <v>197</v>
      </c>
      <c r="G14" s="9">
        <v>8000</v>
      </c>
      <c r="H14" s="9">
        <v>1000</v>
      </c>
      <c r="I14" s="48">
        <v>1000</v>
      </c>
      <c r="J14" s="21">
        <f t="shared" si="2"/>
        <v>56200</v>
      </c>
      <c r="K14" s="8" t="s">
        <v>198</v>
      </c>
      <c r="L14" s="9">
        <v>-8000</v>
      </c>
      <c r="M14" s="9"/>
      <c r="N14" s="48">
        <v>-1000</v>
      </c>
      <c r="O14" s="21">
        <f t="shared" si="3"/>
        <v>20500</v>
      </c>
      <c r="P14" s="8"/>
      <c r="Q14" s="9"/>
      <c r="R14" s="9"/>
      <c r="S14" s="48"/>
      <c r="T14" s="21">
        <f t="shared" si="4"/>
        <v>28300</v>
      </c>
      <c r="U14" s="53">
        <f>IF($J14="","",ROUND(($J14-$J$3)/1000,1)+(_xlfn.RANK.AVG($J14,($J14,$O14,$T14),1)-2)*10)</f>
        <v>31.2</v>
      </c>
      <c r="V14" s="54">
        <f>IF($O14="","",ROUND(($O14-$O$3)/1000,1)+(_xlfn.RANK.AVG($O14,($J14,$O14,$T14),1)-2)*10)</f>
        <v>-24.5</v>
      </c>
      <c r="W14" s="55">
        <f>IF($T14="","",ROUND(($T14-$T$3)/1000,1)+(_xlfn.RANK.AVG($T14,($J14,$O14,$T14),1)-2)*10)</f>
        <v>-6.7</v>
      </c>
      <c r="Y14" s="8"/>
      <c r="Z14" s="34"/>
      <c r="AA14" s="26"/>
      <c r="AB14" s="26"/>
      <c r="AC14" s="26">
        <v>4</v>
      </c>
      <c r="AD14" s="30">
        <v>40</v>
      </c>
      <c r="AE14" s="40" t="s">
        <v>85</v>
      </c>
      <c r="AF14" s="41" t="s">
        <v>84</v>
      </c>
      <c r="AG14" s="41" t="s">
        <v>79</v>
      </c>
      <c r="AH14" s="41" t="s">
        <v>200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64558D9-5BDF-4CA6-AB7E-724EE018AF5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5142-FA5C-4E04-A80C-9F922B3E6FB3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201</v>
      </c>
      <c r="BA4" s="41" t="s">
        <v>101</v>
      </c>
      <c r="BB4" s="41" t="s">
        <v>80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-11600</v>
      </c>
      <c r="H5" s="9"/>
      <c r="I5" s="48">
        <v>0</v>
      </c>
      <c r="J5" s="21">
        <f t="shared" ref="J5:J30" si="2">IF(COUNTA($F5,$K5,$P5)&gt;0,J4+SUM(G5:I5),"")</f>
        <v>23400</v>
      </c>
      <c r="K5" s="8" t="s">
        <v>197</v>
      </c>
      <c r="L5" s="9">
        <v>11600</v>
      </c>
      <c r="M5" s="9"/>
      <c r="N5" s="48">
        <v>0</v>
      </c>
      <c r="O5" s="21">
        <f t="shared" ref="O5:O30" si="3">IF(COUNTA($F5,$K5,$P5)&gt;0,O4+SUM(L5:N5),"")</f>
        <v>54600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-21.6</v>
      </c>
      <c r="V5" s="54">
        <f>IF($O5="","",ROUND(($O5-$O$3)/1000,1)+(_xlfn.RANK.AVG($O5,($J5,$O5,$T5),1)-2)*10)</f>
        <v>29.6</v>
      </c>
      <c r="W5" s="55">
        <f>IF($T5="","",ROUND(($T5-$T$3)/1000,1)+(_xlfn.RANK.AVG($T5,($J5,$O5,$T5),1)-2)*10)</f>
        <v>-8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201</v>
      </c>
      <c r="BA5" s="41" t="s">
        <v>83</v>
      </c>
      <c r="BB5" s="41" t="s">
        <v>79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208</v>
      </c>
      <c r="G6" s="9">
        <v>-1500</v>
      </c>
      <c r="H6" s="9"/>
      <c r="I6" s="48"/>
      <c r="J6" s="21">
        <f t="shared" si="2"/>
        <v>21900</v>
      </c>
      <c r="K6" s="8" t="s">
        <v>208</v>
      </c>
      <c r="L6" s="9">
        <v>3000</v>
      </c>
      <c r="M6" s="9">
        <v>-1000</v>
      </c>
      <c r="N6" s="48"/>
      <c r="O6" s="21">
        <f t="shared" si="3"/>
        <v>56600</v>
      </c>
      <c r="P6" s="8" t="s">
        <v>208</v>
      </c>
      <c r="Q6" s="9">
        <v>-1500</v>
      </c>
      <c r="R6" s="9"/>
      <c r="S6" s="48"/>
      <c r="T6" s="21">
        <f t="shared" si="4"/>
        <v>25500</v>
      </c>
      <c r="U6" s="53">
        <f>IF($J6="","",ROUND(($J6-$J$3)/1000,1)+(_xlfn.RANK.AVG($J6,($J6,$O6,$T6),1)-2)*10)</f>
        <v>-23.1</v>
      </c>
      <c r="V6" s="54">
        <f>IF($O6="","",ROUND(($O6-$O$3)/1000,1)+(_xlfn.RANK.AVG($O6,($J6,$O6,$T6),1)-2)*10)</f>
        <v>31.6</v>
      </c>
      <c r="W6" s="55">
        <f>IF($T6="","",ROUND(($T6-$T$3)/1000,1)+(_xlfn.RANK.AVG($T6,($J6,$O6,$T6),1)-2)*10)</f>
        <v>-9.5</v>
      </c>
      <c r="Y6" s="8" t="s">
        <v>205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193</v>
      </c>
      <c r="F7" s="8" t="s">
        <v>198</v>
      </c>
      <c r="G7" s="9">
        <v>-4800</v>
      </c>
      <c r="H7" s="9">
        <v>-1000</v>
      </c>
      <c r="I7" s="48">
        <v>-2000</v>
      </c>
      <c r="J7" s="21">
        <f t="shared" si="2"/>
        <v>14100</v>
      </c>
      <c r="K7" s="8" t="s">
        <v>197</v>
      </c>
      <c r="L7" s="9">
        <v>4800</v>
      </c>
      <c r="M7" s="9">
        <v>2000</v>
      </c>
      <c r="N7" s="48">
        <v>2000</v>
      </c>
      <c r="O7" s="21">
        <f t="shared" si="3"/>
        <v>65400</v>
      </c>
      <c r="P7" s="8"/>
      <c r="Q7" s="9"/>
      <c r="R7" s="9"/>
      <c r="S7" s="48"/>
      <c r="T7" s="21">
        <f t="shared" si="4"/>
        <v>25500</v>
      </c>
      <c r="U7" s="53">
        <f>IF($J7="","",ROUND(($J7-$J$3)/1000,1)+(_xlfn.RANK.AVG($J7,($J7,$O7,$T7),1)-2)*10)</f>
        <v>-30.9</v>
      </c>
      <c r="V7" s="54">
        <f>IF($O7="","",ROUND(($O7-$O$3)/1000,1)+(_xlfn.RANK.AVG($O7,($J7,$O7,$T7),1)-2)*10)</f>
        <v>40.4</v>
      </c>
      <c r="W7" s="55">
        <f>IF($T7="","",ROUND(($T7-$T$3)/1000,1)+(_xlfn.RANK.AVG($T7,($J7,$O7,$T7),1)-2)*10)</f>
        <v>-9.5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50</v>
      </c>
      <c r="AZ7" s="40" t="s">
        <v>96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203</v>
      </c>
      <c r="G8" s="9">
        <v>-2000</v>
      </c>
      <c r="H8" s="9"/>
      <c r="I8" s="48">
        <v>-1500</v>
      </c>
      <c r="J8" s="21">
        <f t="shared" si="2"/>
        <v>10600</v>
      </c>
      <c r="K8" s="8" t="s">
        <v>202</v>
      </c>
      <c r="L8" s="9">
        <v>4000</v>
      </c>
      <c r="M8" s="9">
        <v>1000</v>
      </c>
      <c r="N8" s="48">
        <v>3000</v>
      </c>
      <c r="O8" s="21">
        <f t="shared" si="3"/>
        <v>73400</v>
      </c>
      <c r="P8" s="8" t="s">
        <v>203</v>
      </c>
      <c r="Q8" s="9">
        <v>-2000</v>
      </c>
      <c r="R8" s="9">
        <v>-1000</v>
      </c>
      <c r="S8" s="48">
        <v>-1500</v>
      </c>
      <c r="T8" s="21">
        <f t="shared" si="4"/>
        <v>21000</v>
      </c>
      <c r="U8" s="53">
        <f>IF($J8="","",ROUND(($J8-$J$3)/1000,1)+(_xlfn.RANK.AVG($J8,($J8,$O8,$T8),1)-2)*10)</f>
        <v>-34.4</v>
      </c>
      <c r="V8" s="54">
        <f>IF($O8="","",ROUND(($O8-$O$3)/1000,1)+(_xlfn.RANK.AVG($O8,($J8,$O8,$T8),1)-2)*10)</f>
        <v>48.4</v>
      </c>
      <c r="W8" s="55">
        <f>IF($T8="","",ROUND(($T8-$T$3)/1000,1)+(_xlfn.RANK.AVG($T8,($J8,$O8,$T8),1)-2)*10)</f>
        <v>-14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200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193</v>
      </c>
      <c r="F9" s="8" t="s">
        <v>203</v>
      </c>
      <c r="G9" s="9">
        <v>-6000</v>
      </c>
      <c r="H9" s="9"/>
      <c r="I9" s="48">
        <v>-2000</v>
      </c>
      <c r="J9" s="21">
        <f t="shared" si="2"/>
        <v>2600</v>
      </c>
      <c r="K9" s="8" t="s">
        <v>203</v>
      </c>
      <c r="L9" s="9">
        <v>-10000</v>
      </c>
      <c r="M9" s="9">
        <v>-1000</v>
      </c>
      <c r="N9" s="48">
        <v>-2000</v>
      </c>
      <c r="O9" s="21">
        <f t="shared" si="3"/>
        <v>60400</v>
      </c>
      <c r="P9" s="8" t="s">
        <v>202</v>
      </c>
      <c r="Q9" s="9">
        <v>16000</v>
      </c>
      <c r="R9" s="9">
        <v>1000</v>
      </c>
      <c r="S9" s="48">
        <v>4000</v>
      </c>
      <c r="T9" s="21">
        <f t="shared" si="4"/>
        <v>42000</v>
      </c>
      <c r="U9" s="53">
        <f>IF($J9="","",ROUND(($J9-$J$3)/1000,1)+(_xlfn.RANK.AVG($J9,($J9,$O9,$T9),1)-2)*10)</f>
        <v>-42.4</v>
      </c>
      <c r="V9" s="54">
        <f>IF($O9="","",ROUND(($O9-$O$3)/1000,1)+(_xlfn.RANK.AVG($O9,($J9,$O9,$T9),1)-2)*10)</f>
        <v>35.4</v>
      </c>
      <c r="W9" s="55">
        <f>IF($T9="","",ROUND(($T9-$T$3)/1000,1)+(_xlfn.RANK.AVG($T9,($J9,$O9,$T9),1)-2)*10)</f>
        <v>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199</v>
      </c>
      <c r="BU9" s="40" t="s">
        <v>201</v>
      </c>
      <c r="BV9" s="41" t="s">
        <v>82</v>
      </c>
      <c r="BW9" s="41" t="s">
        <v>101</v>
      </c>
      <c r="BX9" s="41" t="s">
        <v>200</v>
      </c>
      <c r="BY9" s="41" t="s">
        <v>200</v>
      </c>
      <c r="BZ9" s="41" t="s">
        <v>104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2600</v>
      </c>
      <c r="K10" s="8" t="s">
        <v>197</v>
      </c>
      <c r="L10" s="9">
        <v>8000</v>
      </c>
      <c r="M10" s="9"/>
      <c r="N10" s="48">
        <v>0</v>
      </c>
      <c r="O10" s="21">
        <f t="shared" si="3"/>
        <v>68400</v>
      </c>
      <c r="P10" s="8" t="s">
        <v>198</v>
      </c>
      <c r="Q10" s="9">
        <v>-8000</v>
      </c>
      <c r="R10" s="9"/>
      <c r="S10" s="48">
        <v>0</v>
      </c>
      <c r="T10" s="21">
        <f t="shared" si="4"/>
        <v>34000</v>
      </c>
      <c r="U10" s="53">
        <f>IF($J10="","",ROUND(($J10-$J$3)/1000,1)+(_xlfn.RANK.AVG($J10,($J10,$O10,$T10),1)-2)*10)</f>
        <v>-42.4</v>
      </c>
      <c r="V10" s="54">
        <f>IF($O10="","",ROUND(($O10-$O$3)/1000,1)+(_xlfn.RANK.AVG($O10,($J10,$O10,$T10),1)-2)*10)</f>
        <v>43.4</v>
      </c>
      <c r="W10" s="55">
        <f>IF($T10="","",ROUND(($T10-$T$3)/1000,1)+(_xlfn.RANK.AVG($T10,($J10,$O10,$T10),1)-2)*10)</f>
        <v>-1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199</v>
      </c>
      <c r="AZ10" s="40" t="s">
        <v>104</v>
      </c>
      <c r="BA10" s="41" t="s">
        <v>86</v>
      </c>
      <c r="BB10" s="41" t="s">
        <v>98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2600</v>
      </c>
      <c r="K11" s="8" t="s">
        <v>197</v>
      </c>
      <c r="L11" s="9">
        <v>2600</v>
      </c>
      <c r="M11" s="9"/>
      <c r="N11" s="48">
        <v>0</v>
      </c>
      <c r="O11" s="21">
        <f t="shared" si="3"/>
        <v>71000</v>
      </c>
      <c r="P11" s="8" t="s">
        <v>198</v>
      </c>
      <c r="Q11" s="9">
        <v>-2600</v>
      </c>
      <c r="R11" s="9"/>
      <c r="S11" s="48">
        <v>0</v>
      </c>
      <c r="T11" s="21">
        <f t="shared" si="4"/>
        <v>31400</v>
      </c>
      <c r="U11" s="53">
        <f>IF($J11="","",ROUND(($J11-$J$3)/1000,1)+(_xlfn.RANK.AVG($J11,($J11,$O11,$T11),1)-2)*10)</f>
        <v>-42.4</v>
      </c>
      <c r="V11" s="54">
        <f>IF($O11="","",ROUND(($O11-$O$3)/1000,1)+(_xlfn.RANK.AVG($O11,($J11,$O11,$T11),1)-2)*10)</f>
        <v>46</v>
      </c>
      <c r="W11" s="55">
        <f>IF($T11="","",ROUND(($T11-$T$3)/1000,1)+(_xlfn.RANK.AVG($T11,($J11,$O11,$T11),1)-2)*10)</f>
        <v>-3.6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40</v>
      </c>
      <c r="AZ11" s="40" t="s">
        <v>200</v>
      </c>
      <c r="BA11" s="41" t="s">
        <v>85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2600</v>
      </c>
      <c r="K12" s="8" t="s">
        <v>198</v>
      </c>
      <c r="L12" s="9">
        <v>-5200</v>
      </c>
      <c r="M12" s="9"/>
      <c r="N12" s="48">
        <v>0</v>
      </c>
      <c r="O12" s="21">
        <f t="shared" si="3"/>
        <v>65800</v>
      </c>
      <c r="P12" s="8" t="s">
        <v>197</v>
      </c>
      <c r="Q12" s="9">
        <v>5200</v>
      </c>
      <c r="R12" s="9"/>
      <c r="S12" s="48">
        <v>0</v>
      </c>
      <c r="T12" s="21">
        <f t="shared" si="4"/>
        <v>36600</v>
      </c>
      <c r="U12" s="53">
        <f>IF($J12="","",ROUND(($J12-$J$3)/1000,1)+(_xlfn.RANK.AVG($J12,($J12,$O12,$T12),1)-2)*10)</f>
        <v>-42.4</v>
      </c>
      <c r="V12" s="54">
        <f>IF($O12="","",ROUND(($O12-$O$3)/1000,1)+(_xlfn.RANK.AVG($O12,($J12,$O12,$T12),1)-2)*10)</f>
        <v>40.799999999999997</v>
      </c>
      <c r="W12" s="55">
        <f>IF($T12="","",ROUND(($T12-$T$3)/1000,1)+(_xlfn.RANK.AVG($T12,($J12,$O12,$T12),1)-2)*10)</f>
        <v>1.6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86</v>
      </c>
      <c r="BV12" s="41" t="s">
        <v>86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198</v>
      </c>
      <c r="G13" s="9">
        <v>-2900</v>
      </c>
      <c r="H13" s="9"/>
      <c r="I13" s="48">
        <v>0</v>
      </c>
      <c r="J13" s="21">
        <f t="shared" si="2"/>
        <v>-300</v>
      </c>
      <c r="K13" s="8"/>
      <c r="L13" s="9"/>
      <c r="M13" s="9"/>
      <c r="N13" s="48"/>
      <c r="O13" s="21">
        <f t="shared" si="3"/>
        <v>65800</v>
      </c>
      <c r="P13" s="8" t="s">
        <v>197</v>
      </c>
      <c r="Q13" s="9">
        <v>2900</v>
      </c>
      <c r="R13" s="9"/>
      <c r="S13" s="48">
        <v>0</v>
      </c>
      <c r="T13" s="21">
        <f t="shared" si="4"/>
        <v>39500</v>
      </c>
      <c r="U13" s="53">
        <f>IF($J13="","",ROUND(($J13-$J$3)/1000,1)+(_xlfn.RANK.AVG($J13,($J13,$O13,$T13),1)-2)*10)</f>
        <v>-45.3</v>
      </c>
      <c r="V13" s="54">
        <f>IF($O13="","",ROUND(($O13-$O$3)/1000,1)+(_xlfn.RANK.AVG($O13,($J13,$O13,$T13),1)-2)*10)</f>
        <v>40.799999999999997</v>
      </c>
      <c r="W13" s="55">
        <f>IF($T13="","",ROUND(($T13-$T$3)/1000,1)+(_xlfn.RANK.AVG($T13,($J13,$O13,$T13),1)-2)*10)</f>
        <v>4.5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2</v>
      </c>
      <c r="BT13" s="30">
        <v>30</v>
      </c>
      <c r="BU13" s="40" t="s">
        <v>83</v>
      </c>
      <c r="BV13" s="41" t="s">
        <v>201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BBABA4C-C25C-4B0E-81D6-B30E0E47E5D0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70F43D70-048C-4BCC-AA40-08ABDE72DB00}">
      <formula1>"ロン,ツモ,放銃,ツモ支払,流局,チョンボ"</formula1>
    </dataValidation>
    <dataValidation type="list" allowBlank="1" showInputMessage="1" showErrorMessage="1" sqref="E4:E30" xr:uid="{2CCDEC39-EB7A-4300-8C8C-D474E60399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2020-01-18T07:28:11Z</dcterms:modified>
</cp:coreProperties>
</file>