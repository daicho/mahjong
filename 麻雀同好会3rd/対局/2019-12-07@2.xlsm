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022A5BE-9636-4924-AA7E-60A865EF7D11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2" i="19" l="1"/>
  <c r="W12" i="19"/>
  <c r="V11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<sst xmlns="http://schemas.openxmlformats.org/spreadsheetml/2006/main" count="594" uniqueCount="205">
  <si>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</si>
  <si>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</si>
  <si>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</si>
  <si>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</si>
  <si>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</si>
  <si>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</si>
  <si>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</si>
  <si>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</si>
  <si>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</si>
  <si>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</si>
  <si>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</si>
  <si>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</si>
  <si>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</si>
  <si>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</si>
  <si>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</si>
  <si>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</si>
  <si>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</si>
  <si>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</si>
  <si>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</si>
  <si>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</si>
  <si>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</si>
  <si>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</si>
  <si>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</si>
  <si>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</si>
  <si>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</si>
  <si>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</si>
  <si>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</si>
  <si>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</si>
  <si>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</si>
  <si>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</si>
  <si>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</si>
  <si>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</si>
  <si>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</si>
  <si>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</si>
  <si>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</si>
  <si>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</si>
  <si>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</si>
  <si>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</si>
  <si>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</si>
  <si>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</si>
  <si>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</si>
  <si>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</si>
  <si>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</si>
  <si>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</si>
  <si>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</si>
  <si>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</si>
  <si>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</si>
  <si>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</si>
  <si>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</si>
  <si>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</si>
  <si>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</si>
  <si>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</si>
  <si>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</si>
  <si>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</si>
  <si>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</si>
  <si>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</si>
  <si>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</si>
  <si>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</si>
  <si>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</si>
  <si>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</si>
  <si>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</si>
  <si>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</si>
  <si>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</si>
  <si>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</si>
  <si>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</si>
  <si>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</si>
  <si>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</si>
  <si>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</si>
  <si>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</si>
  <si>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</si>
  <si>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</si>
  <si>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</si>
  <si>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</si>
  <si>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</si>
  <si>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</si>
  <si>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</si>
  <si>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</si>
  <si>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</si>
  <si>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</si>
  <si>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</si>
  <si>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</si>
  <si>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</si>
  <si>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</si>
  <si>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</si>
  <si>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</si>
  <si>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</si>
  <si>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</si>
  <si>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</si>
  <si>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</si>
  <si>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</si>
  <si>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</si>
  <si>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</si>
  <si>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</si>
  <si>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</si>
  <si>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</si>
  <si>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</si>
  <si>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</si>
  <si>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</si>
  <si>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</si>
  <si>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</si>
  <si>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</si>
  <si>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</si>
  <si>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</si>
  <si>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</si>
  <si>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</si>
  <si>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</si>
  <si>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</si>
  <si>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</si>
  <si>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</si>
  <si>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</si>
  <si>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</si>
  <si>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</si>
  <si>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</si>
  <si>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</si>
  <si>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</si>
  <si>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</si>
  <si>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</si>
  <si>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</si>
  <si>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</si>
  <si>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</si>
  <si>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</si>
  <si>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</si>
  <si>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</si>
  <si>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</si>
  <si>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</si>
  <si>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</si>
  <si>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</si>
  <si>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</si>
  <si>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</si>
  <si>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</si>
  <si>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</si>
  <si>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</si>
  <si>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</si>
  <si>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</si>
  <si>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</si>
  <si>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</si>
  <si>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</si>
  <si>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</si>
  <si>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</si>
  <si>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</si>
  <si>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</si>
  <si>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</si>
  <si>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</si>
  <si>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</si>
  <si>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</si>
  <si>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</si>
  <si>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</si>
  <si>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</si>
  <si>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</si>
  <si>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</si>
  <si>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</si>
  <si>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</si>
  <si>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</si>
  <si>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</si>
  <si>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</si>
  <si>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</si>
  <si>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</si>
  <si>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</si>
  <si>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</si>
  <si>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</si>
  <si>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</si>
  <si>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</si>
  <si>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</si>
  <si>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</si>
  <si>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</si>
  <si>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</si>
  <si>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</si>
  <si>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</si>
  <si>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</si>
  <si>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</si>
  <si>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</si>
  <si>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</si>
  <si>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</si>
  <si>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</si>
  <si>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</si>
  <si>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</si>
  <si>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</si>
  <si>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</si>
  <si>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</si>
  <si>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</si>
  <si>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</si>
  <si>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</si>
  <si>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</si>
  <si>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</si>
  <si>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</si>
  <si>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</si>
  <si>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</si>
  <si>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</si>
  <si>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</si>
  <si>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</si>
  <si>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</si>
  <si>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</si>
  <si>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だいち</t>
  </si>
  <si>
    <t>ともき</t>
  </si>
  <si>
    <t>放銃</t>
  </si>
  <si>
    <t>ロン</t>
  </si>
  <si>
    <t>N</t>
  </si>
  <si>
    <t>T</t>
  </si>
  <si>
    <t>流局</t>
    <phoneticPr fontId="1"/>
  </si>
  <si>
    <t>01</t>
  </si>
  <si>
    <t>ツモ支払</t>
  </si>
  <si>
    <t>ツモ</t>
  </si>
  <si>
    <t>*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</si>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</sst>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ともき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ともき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-1500</v>
      </c>
      <c r="H5" s="9"/>
      <c r="I5" s="48"/>
      <c r="J5" s="21">
        <f t="shared" ref="J5:J30" si="2">IF(COUNTA($F5,$K5,$P5)&gt;0,J4+SUM(G5:I5),"")</f>
        <v>31500</v>
      </c>
      <c r="K5" s="8" t="s">
        <v>198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198</v>
      </c>
      <c r="Q5" s="9">
        <v>3000</v>
      </c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15</v>
      </c>
      <c r="Y5" s="8" t="s">
        <v>196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196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195</v>
      </c>
      <c r="G6" s="9">
        <v>3900</v>
      </c>
      <c r="H6" s="9"/>
      <c r="I6" s="48">
        <v>1000</v>
      </c>
      <c r="J6" s="21">
        <f t="shared" si="2"/>
        <v>36400</v>
      </c>
      <c r="K6" s="8" t="s">
        <v>194</v>
      </c>
      <c r="L6" s="9">
        <v>-3900</v>
      </c>
      <c r="M6" s="9"/>
      <c r="N6" s="48">
        <v>-1000</v>
      </c>
      <c r="O6" s="21">
        <f t="shared" si="3"/>
        <v>28600</v>
      </c>
      <c r="P6" s="8"/>
      <c r="Q6" s="9"/>
      <c r="R6" s="9"/>
      <c r="S6" s="48"/>
      <c r="T6" s="21">
        <f t="shared" si="4"/>
        <v>40000</v>
      </c>
      <c r="U6" s="53">
        <f>IF($J6="","",ROUND(($J6-$J$3)/1000,1)+(_xlfn.RANK.AVG($J6,($J6,$O6,$T6),1)-2)*10)</f>
        <v>1.4</v>
      </c>
      <c r="V6" s="54">
        <f>IF($O6="","",ROUND(($O6-$O$3)/1000,1)+(_xlfn.RANK.AVG($O6,($J6,$O6,$T6),1)-2)*10)</f>
        <v>-16.399999999999999</v>
      </c>
      <c r="W6" s="55">
        <f>IF($T6="","",ROUND(($T6-$T$3)/1000,1)+(_xlfn.RANK.AVG($T6,($J6,$O6,$T6),1)-2)*10)</f>
        <v>15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104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-5200</v>
      </c>
      <c r="H7" s="9"/>
      <c r="I7" s="48">
        <v>0</v>
      </c>
      <c r="J7" s="21">
        <f t="shared" si="2"/>
        <v>31200</v>
      </c>
      <c r="K7" s="8"/>
      <c r="L7" s="9"/>
      <c r="M7" s="9"/>
      <c r="N7" s="48"/>
      <c r="O7" s="21">
        <f t="shared" si="3"/>
        <v>28600</v>
      </c>
      <c r="P7" s="8" t="s">
        <v>195</v>
      </c>
      <c r="Q7" s="9">
        <v>5200</v>
      </c>
      <c r="R7" s="9"/>
      <c r="S7" s="48">
        <v>0</v>
      </c>
      <c r="T7" s="21">
        <f t="shared" si="4"/>
        <v>45200</v>
      </c>
      <c r="U7" s="53">
        <f>IF($J7="","",ROUND(($J7-$J$3)/1000,1)+(_xlfn.RANK.AVG($J7,($J7,$O7,$T7),1)-2)*10)</f>
        <v>-3.8</v>
      </c>
      <c r="V7" s="54">
        <f>IF($O7="","",ROUND(($O7-$O$3)/1000,1)+(_xlfn.RANK.AVG($O7,($J7,$O7,$T7),1)-2)*10)</f>
        <v>-16.399999999999999</v>
      </c>
      <c r="W7" s="55">
        <f>IF($T7="","",ROUND(($T7-$T$3)/1000,1)+(_xlfn.RANK.AVG($T7,($J7,$O7,$T7),1)-2)*10)</f>
        <v>20.2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199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200</v>
      </c>
      <c r="G8" s="9">
        <v>-9000</v>
      </c>
      <c r="H8" s="9"/>
      <c r="I8" s="48">
        <v>0</v>
      </c>
      <c r="J8" s="21">
        <f t="shared" si="2"/>
        <v>22200</v>
      </c>
      <c r="K8" s="8" t="s">
        <v>201</v>
      </c>
      <c r="L8" s="9">
        <v>18000</v>
      </c>
      <c r="M8" s="9"/>
      <c r="N8" s="48">
        <v>0</v>
      </c>
      <c r="O8" s="21">
        <f t="shared" si="3"/>
        <v>46600</v>
      </c>
      <c r="P8" s="8" t="s">
        <v>200</v>
      </c>
      <c r="Q8" s="9">
        <v>-9000</v>
      </c>
      <c r="R8" s="9"/>
      <c r="S8" s="48">
        <v>0</v>
      </c>
      <c r="T8" s="21">
        <f t="shared" si="4"/>
        <v>36200</v>
      </c>
      <c r="U8" s="53">
        <f>IF($J8="","",ROUND(($J8-$J$3)/1000,1)+(_xlfn.RANK.AVG($J8,($J8,$O8,$T8),1)-2)*10)</f>
        <v>-22.8</v>
      </c>
      <c r="V8" s="54">
        <f>IF($O8="","",ROUND(($O8-$O$3)/1000,1)+(_xlfn.RANK.AVG($O8,($J8,$O8,$T8),1)-2)*10)</f>
        <v>21.6</v>
      </c>
      <c r="W8" s="55">
        <f>IF($T8="","",ROUND(($T8-$T$3)/1000,1)+(_xlfn.RANK.AVG($T8,($J8,$O8,$T8),1)-2)*10)</f>
        <v>1.2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202</v>
      </c>
      <c r="AZ8" s="40" t="s">
        <v>86</v>
      </c>
      <c r="BA8" s="41" t="s">
        <v>79</v>
      </c>
      <c r="BB8" s="41" t="s">
        <v>79</v>
      </c>
      <c r="BC8" s="41" t="s">
        <v>79</v>
      </c>
      <c r="BD8" s="41" t="s">
        <v>203</v>
      </c>
      <c r="BE8" s="41" t="s">
        <v>203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200</v>
      </c>
      <c r="G9" s="9">
        <v>-1100</v>
      </c>
      <c r="H9" s="9"/>
      <c r="I9" s="48">
        <v>-500</v>
      </c>
      <c r="J9" s="21">
        <f t="shared" si="2"/>
        <v>20600</v>
      </c>
      <c r="K9" s="8" t="s">
        <v>201</v>
      </c>
      <c r="L9" s="9">
        <v>2200</v>
      </c>
      <c r="M9" s="9"/>
      <c r="N9" s="48">
        <v>1000</v>
      </c>
      <c r="O9" s="21">
        <f t="shared" si="3"/>
        <v>49800</v>
      </c>
      <c r="P9" s="8" t="s">
        <v>200</v>
      </c>
      <c r="Q9" s="9">
        <v>-1100</v>
      </c>
      <c r="R9" s="9"/>
      <c r="S9" s="48">
        <v>-500</v>
      </c>
      <c r="T9" s="21">
        <f t="shared" si="4"/>
        <v>34600</v>
      </c>
      <c r="U9" s="53">
        <f>IF($J9="","",ROUND(($J9-$J$3)/1000,1)+(_xlfn.RANK.AVG($J9,($J9,$O9,$T9),1)-2)*10)</f>
        <v>-24.4</v>
      </c>
      <c r="V9" s="54">
        <f>IF($O9="","",ROUND(($O9-$O$3)/1000,1)+(_xlfn.RANK.AVG($O9,($J9,$O9,$T9),1)-2)*10)</f>
        <v>24.8</v>
      </c>
      <c r="W9" s="55">
        <f>IF($T9="","",ROUND(($T9-$T$3)/1000,1)+(_xlfn.RANK.AVG($T9,($J9,$O9,$T9),1)-2)*10)</f>
        <v>-0.4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40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192</v>
      </c>
      <c r="F10" s="8"/>
      <c r="G10" s="9"/>
      <c r="H10" s="9"/>
      <c r="I10" s="48"/>
      <c r="J10" s="21">
        <f t="shared" si="2"/>
        <v>20600</v>
      </c>
      <c r="K10" s="8" t="s">
        <v>195</v>
      </c>
      <c r="L10" s="9">
        <v>2900</v>
      </c>
      <c r="M10" s="9"/>
      <c r="N10" s="48">
        <v>2000</v>
      </c>
      <c r="O10" s="21">
        <f t="shared" si="3"/>
        <v>54700</v>
      </c>
      <c r="P10" s="8" t="s">
        <v>194</v>
      </c>
      <c r="Q10" s="9">
        <v>-2900</v>
      </c>
      <c r="R10" s="9"/>
      <c r="S10" s="48">
        <v>-2000</v>
      </c>
      <c r="T10" s="21">
        <f t="shared" si="4"/>
        <v>29700</v>
      </c>
      <c r="U10" s="53">
        <f>IF($J10="","",ROUND(($J10-$J$3)/1000,1)+(_xlfn.RANK.AVG($J10,($J10,$O10,$T10),1)-2)*10)</f>
        <v>-24.4</v>
      </c>
      <c r="V10" s="54">
        <f>IF($O10="","",ROUND(($O10-$O$3)/1000,1)+(_xlfn.RANK.AVG($O10,($J10,$O10,$T10),1)-2)*10)</f>
        <v>29.7</v>
      </c>
      <c r="W10" s="55">
        <f>IF($T10="","",ROUND(($T10-$T$3)/1000,1)+(_xlfn.RANK.AVG($T10,($J10,$O10,$T10),1)-2)*10)</f>
        <v>-5.3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192</v>
      </c>
      <c r="F11" s="8" t="s">
        <v>200</v>
      </c>
      <c r="G11" s="9">
        <v>-4500</v>
      </c>
      <c r="H11" s="9"/>
      <c r="I11" s="48">
        <v>-1500</v>
      </c>
      <c r="J11" s="21">
        <f t="shared" si="2"/>
        <v>14600</v>
      </c>
      <c r="K11" s="8" t="s">
        <v>200</v>
      </c>
      <c r="L11" s="9">
        <v>-7500</v>
      </c>
      <c r="M11" s="9">
        <v>-1000</v>
      </c>
      <c r="N11" s="48">
        <v>-1500</v>
      </c>
      <c r="O11" s="21">
        <f t="shared" si="3"/>
        <v>44700</v>
      </c>
      <c r="P11" s="8" t="s">
        <v>201</v>
      </c>
      <c r="Q11" s="9">
        <v>12000</v>
      </c>
      <c r="R11" s="9">
        <v>1000</v>
      </c>
      <c r="S11" s="48">
        <v>3000</v>
      </c>
      <c r="T11" s="21">
        <f t="shared" si="4"/>
        <v>45700</v>
      </c>
      <c r="U11" s="53">
        <f>IF($J11="","",ROUND(($J11-$J$3)/1000,1)+(_xlfn.RANK.AVG($J11,($J11,$O11,$T11),1)-2)*10)</f>
        <v>-30.4</v>
      </c>
      <c r="V11" s="54">
        <f>IF($O11="","",ROUND(($O11-$O$3)/1000,1)+(_xlfn.RANK.AVG($O11,($J11,$O11,$T11),1)-2)*10)</f>
        <v>9.6999999999999993</v>
      </c>
      <c r="W11" s="55">
        <f>IF($T11="","",ROUND(($T11-$T$3)/1000,1)+(_xlfn.RANK.AVG($T11,($J11,$O11,$T11),1)-2)*10)</f>
        <v>20.7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7</v>
      </c>
      <c r="BT11" s="30" t="s">
        <v>202</v>
      </c>
      <c r="BU11" s="40" t="s">
        <v>104</v>
      </c>
      <c r="BV11" s="41" t="s">
        <v>86</v>
      </c>
      <c r="BW11" s="41" t="s">
        <v>98</v>
      </c>
      <c r="BX11" s="41" t="s">
        <v>100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200</v>
      </c>
      <c r="G12" s="9">
        <v>-6000</v>
      </c>
      <c r="H12" s="9"/>
      <c r="I12" s="48">
        <v>0</v>
      </c>
      <c r="J12" s="21">
        <f t="shared" si="2"/>
        <v>8600</v>
      </c>
      <c r="K12" s="8" t="s">
        <v>200</v>
      </c>
      <c r="L12" s="9">
        <v>-6000</v>
      </c>
      <c r="M12" s="9"/>
      <c r="N12" s="48">
        <v>0</v>
      </c>
      <c r="O12" s="21">
        <f t="shared" si="3"/>
        <v>38700</v>
      </c>
      <c r="P12" s="8" t="s">
        <v>201</v>
      </c>
      <c r="Q12" s="9">
        <v>12000</v>
      </c>
      <c r="R12" s="9"/>
      <c r="S12" s="48">
        <v>0</v>
      </c>
      <c r="T12" s="21">
        <f t="shared" si="4"/>
        <v>57700</v>
      </c>
      <c r="U12" s="53">
        <f>IF($J12="","",ROUND(($J12-$J$3)/1000,1)+(_xlfn.RANK.AVG($J12,($J12,$O12,$T12),1)-2)*10)</f>
        <v>-36.4</v>
      </c>
      <c r="V12" s="54">
        <f>IF($O12="","",ROUND(($O12-$O$3)/1000,1)+(_xlfn.RANK.AVG($O12,($J12,$O12,$T12),1)-2)*10)</f>
        <v>3.7</v>
      </c>
      <c r="W12" s="55">
        <f>IF($T12="","",ROUND(($T12-$T$3)/1000,1)+(_xlfn.RANK.AVG($T12,($J12,$O12,$T12),1)-2)*10)</f>
        <v>32.700000000000003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202</v>
      </c>
      <c r="BU12" s="40" t="s">
        <v>199</v>
      </c>
      <c r="BV12" s="41" t="s">
        <v>82</v>
      </c>
      <c r="BW12" s="41" t="s">
        <v>204</v>
      </c>
      <c r="BX12" s="41" t="s">
        <v>79</v>
      </c>
      <c r="BY12" s="41" t="s">
        <v>80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5CA89A9-E4DE-45D4-9D5B-65E76849DB1B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2019-12-06T16:38:28Z</dcterms:modified>
</cp:coreProperties>
</file>