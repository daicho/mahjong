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017FADEB-C963-48C6-AF89-06AE0C972408}" xr6:coauthVersionLast="41" xr6:coauthVersionMax="41" xr10:uidLastSave="{00000000-0000-0000-0000-000000000000}"/>
  <bookViews>
    <workbookView xWindow="-110" yWindow="-110" windowWidth="18220" windowHeight="116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D11" i="20"/>
  <c r="C11" i="20"/>
  <c r="B11" i="20"/>
  <c r="A11" i="20" s="1"/>
  <c r="D10" i="20"/>
  <c r="C10" i="20"/>
  <c r="D9" i="20"/>
  <c r="C9" i="20"/>
  <c r="D8" i="20"/>
  <c r="C8" i="20"/>
  <c r="D7" i="20"/>
  <c r="D6" i="20"/>
  <c r="C6" i="20"/>
  <c r="C7" i="20" s="1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U11" i="20" l="1"/>
  <c r="W11" i="20"/>
  <c r="V11" i="20"/>
  <c r="A5" i="20"/>
  <c r="W4" i="20"/>
  <c r="V4" i="20"/>
  <c r="B7" i="20"/>
  <c r="O6" i="20"/>
  <c r="U5" i="20"/>
  <c r="U4" i="20"/>
  <c r="T5" i="20"/>
  <c r="V5" i="20" s="1"/>
  <c r="A6" i="20"/>
  <c r="J6" i="20"/>
  <c r="W3" i="19"/>
  <c r="V3" i="19"/>
  <c r="U3" i="19"/>
  <c r="T6" i="20" l="1"/>
  <c r="W5" i="20"/>
  <c r="V6" i="20"/>
  <c r="O7" i="20"/>
  <c r="B8" i="20"/>
  <c r="A8" i="20" s="1"/>
  <c r="J7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6" i="20" l="1"/>
  <c r="T7" i="20"/>
  <c r="V7" i="20" s="1"/>
  <c r="U6" i="20"/>
  <c r="O8" i="20"/>
  <c r="U7" i="20"/>
  <c r="J8" i="20"/>
  <c r="B9" i="20"/>
  <c r="A9" i="20" s="1"/>
  <c r="U10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A10" i="20" s="1"/>
  <c r="O9" i="20"/>
  <c r="J9" i="20"/>
  <c r="T8" i="20"/>
  <c r="W7" i="20"/>
  <c r="W5" i="19"/>
  <c r="V5" i="19"/>
  <c r="U5" i="19"/>
  <c r="J10" i="20" l="1"/>
  <c r="O10" i="20"/>
  <c r="W8" i="20"/>
  <c r="T9" i="20"/>
  <c r="U9" i="20" s="1"/>
  <c r="V8" i="20"/>
  <c r="U8" i="20"/>
  <c r="V9" i="20" l="1"/>
  <c r="T10" i="20"/>
  <c r="U10" i="20" s="1"/>
  <c r="W9" i="20"/>
  <c r="V10" i="20" l="1"/>
  <c r="W10" i="20"/>
</calcChain>
</file>

<file path=xl/sharedStrings.xml><?xml version="1.0" encoding="utf-8"?>
<sst xmlns="http://schemas.openxmlformats.org/spreadsheetml/2006/main" count="695" uniqueCount="206">
  <si>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</si>
  <si>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</si>
  <si>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</si>
  <si>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</si>
  <si>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</si>
  <si>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</si>
  <si>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</si>
  <si>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</si>
  <si>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</si>
  <si>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</si>
  <si>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</si>
  <si>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</si>
  <si>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</si>
  <si>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</si>
  <si>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</si>
  <si>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</si>
  <si>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</si>
  <si>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</si>
  <si>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</si>
  <si>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</si>
  <si>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</si>
  <si>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</si>
  <si>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</si>
  <si>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</si>
  <si>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</si>
  <si>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</si>
  <si>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</si>
  <si>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</si>
  <si>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</si>
  <si>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</si>
  <si>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</si>
  <si>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</si>
  <si>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</si>
  <si>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</si>
  <si>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</si>
  <si>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</si>
  <si>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</si>
  <si>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</si>
  <si>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</si>
  <si>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</si>
  <si>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</si>
  <si>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</si>
  <si>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</si>
  <si>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</si>
  <si>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</si>
  <si>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</si>
  <si>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</si>
  <si>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</si>
  <si>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</si>
  <si>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</si>
  <si>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</si>
  <si>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</si>
  <si>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</si>
  <si>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</si>
  <si>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</si>
  <si>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</si>
  <si>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</si>
  <si>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</si>
  <si>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</si>
  <si>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</si>
  <si>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</si>
  <si>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</si>
  <si>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</si>
  <si>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</si>
  <si>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</si>
  <si>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</si>
  <si>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</si>
  <si>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</si>
  <si>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</si>
  <si>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</si>
  <si>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</si>
  <si>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</si>
  <si>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</si>
  <si>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</si>
  <si>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</si>
  <si>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</si>
  <si>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</si>
  <si>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</si>
  <si>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</si>
  <si>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</si>
  <si>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</si>
  <si>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</si>
  <si>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</si>
  <si>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</si>
  <si>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</si>
  <si>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</si>
  <si>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</si>
  <si>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</si>
  <si>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</si>
  <si>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</si>
  <si>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</si>
  <si>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</si>
  <si>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</si>
  <si>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</si>
  <si>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</si>
  <si>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</si>
  <si>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</si>
  <si>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</si>
  <si>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</si>
  <si>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</si>
  <si>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</si>
  <si>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</si>
  <si>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</si>
  <si>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</si>
  <si>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</si>
  <si>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</si>
  <si>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</si>
  <si>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</si>
  <si>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</si>
  <si>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</si>
  <si>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</si>
  <si>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</si>
  <si>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</si>
  <si>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</si>
  <si>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</si>
  <si>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</si>
  <si>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</si>
  <si>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</si>
  <si>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</si>
  <si>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</si>
  <si>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</si>
  <si>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</si>
  <si>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</si>
  <si>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</si>
  <si>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</si>
  <si>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</si>
  <si>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</si>
  <si>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</si>
  <si>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</si>
  <si>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</si>
  <si>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</si>
  <si>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</si>
  <si>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</si>
  <si>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</si>
  <si>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</si>
  <si>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</si>
  <si>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</si>
  <si>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</si>
  <si>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</si>
  <si>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</si>
  <si>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</si>
  <si>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</si>
  <si>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</si>
  <si>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</si>
  <si>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</si>
  <si>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</si>
  <si>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</si>
  <si>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</si>
  <si>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</si>
  <si>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</si>
  <si>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</si>
  <si>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</si>
  <si>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</si>
  <si>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</si>
  <si>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</si>
  <si>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</si>
  <si>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</si>
  <si>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</si>
  <si>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</si>
  <si>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</si>
  <si>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</si>
  <si>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</si>
  <si>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</si>
  <si>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</si>
  <si>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</si>
  <si>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</si>
  <si>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</si>
  <si>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</si>
  <si>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</si>
  <si>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</si>
  <si>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</si>
  <si>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</si>
  <si>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</si>
  <si>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</si>
  <si>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</si>
  <si>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</si>
  <si>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</si>
  <si>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</si>
  <si>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</si>
  <si>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</si>
  <si>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</si>
  <si>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</si>
  <si>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</si>
  <si>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</si>
  <si>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</si>
  <si>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</si>
  <si>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</si>
  <si>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</si>
  <si>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</si>
  <si>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</si>
  <si>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</si>
  <si>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</si>
  <si>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ともき</t>
  </si>
  <si>
    <t>たかの</t>
  </si>
  <si>
    <t>ツモ支払</t>
  </si>
  <si>
    <t>ツモ</t>
  </si>
  <si>
    <t>放銃</t>
  </si>
  <si>
    <t>ロン</t>
  </si>
  <si>
    <t>01</t>
  </si>
  <si>
    <t>52</t>
  </si>
  <si>
    <t>*</t>
  </si>
  <si>
    <t>流局</t>
  </si>
  <si>
    <t>T</t>
  </si>
  <si>
    <t>N</t>
  </si>
  <si>
    <t>だいち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</si>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</sst>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ともき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ともき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96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-2000</v>
      </c>
      <c r="H5" s="9">
        <v>-1000</v>
      </c>
      <c r="I5" s="48">
        <v>0</v>
      </c>
      <c r="J5" s="21">
        <f t="shared" ref="J5:J30" si="2">IF(COUNTA($F5,$K5,$P5)&gt;0,J4+SUM(G5:I5),"")</f>
        <v>29500</v>
      </c>
      <c r="K5" s="8" t="s">
        <v>194</v>
      </c>
      <c r="L5" s="9">
        <v>-3300</v>
      </c>
      <c r="M5" s="9"/>
      <c r="N5" s="48">
        <v>0</v>
      </c>
      <c r="O5" s="21">
        <f t="shared" ref="O5:O30" si="3">IF(COUNTA($F5,$K5,$P5)&gt;0,O4+SUM(L5:N5),"")</f>
        <v>30200</v>
      </c>
      <c r="P5" s="8" t="s">
        <v>195</v>
      </c>
      <c r="Q5" s="9">
        <v>5300</v>
      </c>
      <c r="R5" s="9">
        <v>1000</v>
      </c>
      <c r="S5" s="48">
        <v>0</v>
      </c>
      <c r="T5" s="21">
        <f t="shared" ref="T5:T30" si="4">IF(COUNTA($F5,$K5,$P5)&gt;0,T4+SUM(Q5:S5),"")</f>
        <v>45300</v>
      </c>
      <c r="U5" s="53">
        <f>IF($J5="","",ROUND(($J5-$J$3)/1000,1)+(_xlfn.RANK.AVG($J5,($J5,$O5,$T5),1)-2)*10)</f>
        <v>-15.5</v>
      </c>
      <c r="V5" s="54">
        <f>IF($O5="","",ROUND(($O5-$O$3)/1000,1)+(_xlfn.RANK.AVG($O5,($J5,$O5,$T5),1)-2)*10)</f>
        <v>-4.8</v>
      </c>
      <c r="W5" s="55">
        <f>IF($T5="","",ROUND(($T5-$T$3)/1000,1)+(_xlfn.RANK.AVG($T5,($J5,$O5,$T5),1)-2)*10)</f>
        <v>20.3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20</v>
      </c>
      <c r="BU5" s="40" t="s">
        <v>82</v>
      </c>
      <c r="BV5" s="41" t="s">
        <v>83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196</v>
      </c>
      <c r="G6" s="9">
        <v>-10900</v>
      </c>
      <c r="H6" s="9"/>
      <c r="I6" s="48">
        <v>0</v>
      </c>
      <c r="J6" s="21">
        <f t="shared" si="2"/>
        <v>18600</v>
      </c>
      <c r="K6" s="8" t="s">
        <v>197</v>
      </c>
      <c r="L6" s="9">
        <v>8000</v>
      </c>
      <c r="M6" s="9"/>
      <c r="N6" s="48">
        <v>0</v>
      </c>
      <c r="O6" s="21">
        <f t="shared" si="3"/>
        <v>38200</v>
      </c>
      <c r="P6" s="8" t="s">
        <v>197</v>
      </c>
      <c r="Q6" s="9">
        <v>2900</v>
      </c>
      <c r="R6" s="9"/>
      <c r="S6" s="48"/>
      <c r="T6" s="21">
        <f t="shared" si="4"/>
        <v>48200</v>
      </c>
      <c r="U6" s="53">
        <f>IF($J6="","",ROUND(($J6-$J$3)/1000,1)+(_xlfn.RANK.AVG($J6,($J6,$O6,$T6),1)-2)*10)</f>
        <v>-26.4</v>
      </c>
      <c r="V6" s="54">
        <f>IF($O6="","",ROUND(($O6-$O$3)/1000,1)+(_xlfn.RANK.AVG($O6,($J6,$O6,$T6),1)-2)*10)</f>
        <v>3.2</v>
      </c>
      <c r="W6" s="55">
        <f>IF($T6="","",ROUND(($T6-$T$3)/1000,1)+(_xlfn.RANK.AVG($T6,($J6,$O6,$T6),1)-2)*10)</f>
        <v>23.2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198</v>
      </c>
      <c r="BA6" s="41" t="s">
        <v>79</v>
      </c>
      <c r="BB6" s="41" t="s">
        <v>80</v>
      </c>
      <c r="BC6" s="41" t="s">
        <v>199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199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12000</v>
      </c>
      <c r="H7" s="9"/>
      <c r="I7" s="48">
        <v>1000</v>
      </c>
      <c r="J7" s="21">
        <f t="shared" si="2"/>
        <v>31600</v>
      </c>
      <c r="K7" s="8" t="s">
        <v>196</v>
      </c>
      <c r="L7" s="9">
        <v>-12000</v>
      </c>
      <c r="M7" s="9"/>
      <c r="N7" s="48">
        <v>-1000</v>
      </c>
      <c r="O7" s="21">
        <f t="shared" si="3"/>
        <v>25200</v>
      </c>
      <c r="P7" s="8"/>
      <c r="Q7" s="9"/>
      <c r="R7" s="9"/>
      <c r="S7" s="48"/>
      <c r="T7" s="21">
        <f t="shared" si="4"/>
        <v>48200</v>
      </c>
      <c r="U7" s="53">
        <f>IF($J7="","",ROUND(($J7-$J$3)/1000,1)+(_xlfn.RANK.AVG($J7,($J7,$O7,$T7),1)-2)*10)</f>
        <v>-3.4</v>
      </c>
      <c r="V7" s="54">
        <f>IF($O7="","",ROUND(($O7-$O$3)/1000,1)+(_xlfn.RANK.AVG($O7,($J7,$O7,$T7),1)-2)*10)</f>
        <v>-19.8</v>
      </c>
      <c r="W7" s="55">
        <f>IF($T7="","",ROUND(($T7-$T$3)/1000,1)+(_xlfn.RANK.AVG($T7,($J7,$O7,$T7),1)-2)*10)</f>
        <v>23.2</v>
      </c>
      <c r="Y7" s="8"/>
      <c r="Z7" s="34"/>
      <c r="AA7" s="26"/>
      <c r="AB7" s="26">
        <v>1</v>
      </c>
      <c r="AC7" s="26">
        <v>7</v>
      </c>
      <c r="AD7" s="30" t="s">
        <v>200</v>
      </c>
      <c r="AE7" s="40" t="s">
        <v>98</v>
      </c>
      <c r="AF7" s="41" t="s">
        <v>104</v>
      </c>
      <c r="AG7" s="41" t="s">
        <v>86</v>
      </c>
      <c r="AH7" s="41" t="s">
        <v>86</v>
      </c>
      <c r="AI7" s="41" t="s">
        <v>86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-1300</v>
      </c>
      <c r="H8" s="9"/>
      <c r="I8" s="48">
        <v>0</v>
      </c>
      <c r="J8" s="21">
        <f t="shared" si="2"/>
        <v>30300</v>
      </c>
      <c r="K8" s="8" t="s">
        <v>194</v>
      </c>
      <c r="L8" s="9">
        <v>-800</v>
      </c>
      <c r="M8" s="9"/>
      <c r="N8" s="48">
        <v>0</v>
      </c>
      <c r="O8" s="21">
        <f t="shared" si="3"/>
        <v>24400</v>
      </c>
      <c r="P8" s="8" t="s">
        <v>195</v>
      </c>
      <c r="Q8" s="9">
        <v>2100</v>
      </c>
      <c r="R8" s="9"/>
      <c r="S8" s="48">
        <v>0</v>
      </c>
      <c r="T8" s="21">
        <f t="shared" si="4"/>
        <v>50300</v>
      </c>
      <c r="U8" s="53">
        <f>IF($J8="","",ROUND(($J8-$J$3)/1000,1)+(_xlfn.RANK.AVG($J8,($J8,$O8,$T8),1)-2)*10)</f>
        <v>-4.7</v>
      </c>
      <c r="V8" s="54">
        <f>IF($O8="","",ROUND(($O8-$O$3)/1000,1)+(_xlfn.RANK.AVG($O8,($J8,$O8,$T8),1)-2)*10)</f>
        <v>-20.6</v>
      </c>
      <c r="W8" s="55">
        <f>IF($T8="","",ROUND(($T8-$T$3)/1000,1)+(_xlfn.RANK.AVG($T8,($J8,$O8,$T8),1)-2)*10)</f>
        <v>25.3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199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194</v>
      </c>
      <c r="G9" s="9">
        <v>-600</v>
      </c>
      <c r="H9" s="9"/>
      <c r="I9" s="48">
        <v>0</v>
      </c>
      <c r="J9" s="21">
        <f t="shared" si="2"/>
        <v>29700</v>
      </c>
      <c r="K9" s="8" t="s">
        <v>194</v>
      </c>
      <c r="L9" s="9">
        <v>-900</v>
      </c>
      <c r="M9" s="9"/>
      <c r="N9" s="48">
        <v>0</v>
      </c>
      <c r="O9" s="21">
        <f t="shared" si="3"/>
        <v>23500</v>
      </c>
      <c r="P9" s="8" t="s">
        <v>195</v>
      </c>
      <c r="Q9" s="9">
        <v>1500</v>
      </c>
      <c r="R9" s="9"/>
      <c r="S9" s="48">
        <v>0</v>
      </c>
      <c r="T9" s="21">
        <f t="shared" si="4"/>
        <v>51800</v>
      </c>
      <c r="U9" s="53">
        <f>IF($J9="","",ROUND(($J9-$J$3)/1000,1)+(_xlfn.RANK.AVG($J9,($J9,$O9,$T9),1)-2)*10)</f>
        <v>-5.3</v>
      </c>
      <c r="V9" s="54">
        <f>IF($O9="","",ROUND(($O9-$O$3)/1000,1)+(_xlfn.RANK.AVG($O9,($J9,$O9,$T9),1)-2)*10)</f>
        <v>-21.5</v>
      </c>
      <c r="W9" s="55">
        <f>IF($T9="","",ROUND(($T9-$T$3)/1000,1)+(_xlfn.RANK.AVG($T9,($J9,$O9,$T9),1)-2)*10)</f>
        <v>26.8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20</v>
      </c>
      <c r="BU9" s="40" t="s">
        <v>82</v>
      </c>
      <c r="BV9" s="41" t="s">
        <v>83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201</v>
      </c>
      <c r="G10" s="9">
        <v>1500</v>
      </c>
      <c r="H10" s="9"/>
      <c r="I10" s="48"/>
      <c r="J10" s="21">
        <f t="shared" si="2"/>
        <v>31200</v>
      </c>
      <c r="K10" s="8" t="s">
        <v>201</v>
      </c>
      <c r="L10" s="9">
        <v>-3000</v>
      </c>
      <c r="M10" s="9"/>
      <c r="N10" s="48"/>
      <c r="O10" s="21">
        <f t="shared" si="3"/>
        <v>20500</v>
      </c>
      <c r="P10" s="8" t="s">
        <v>201</v>
      </c>
      <c r="Q10" s="9">
        <v>1500</v>
      </c>
      <c r="R10" s="9"/>
      <c r="S10" s="48"/>
      <c r="T10" s="21">
        <f t="shared" si="4"/>
        <v>53300</v>
      </c>
      <c r="U10" s="53">
        <f>IF($J10="","",ROUND(($J10-$J$3)/1000,1)+(_xlfn.RANK.AVG($J10,($J10,$O10,$T10),1)-2)*10)</f>
        <v>-3.8</v>
      </c>
      <c r="V10" s="54">
        <f>IF($O10="","",ROUND(($O10-$O$3)/1000,1)+(_xlfn.RANK.AVG($O10,($J10,$O10,$T10),1)-2)*10)</f>
        <v>-24.5</v>
      </c>
      <c r="W10" s="55">
        <f>IF($T10="","",ROUND(($T10-$T$3)/1000,1)+(_xlfn.RANK.AVG($T10,($J10,$O10,$T10),1)-2)*10)</f>
        <v>28.3</v>
      </c>
      <c r="Y10" s="8" t="s">
        <v>202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7536340-ADA0-4278-8FEA-3714D388E98C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FD4B8-BDB8-44B0-BF5E-05A3061EFFB7}">
  <sheetPr codeName="Sheet11">
    <pageSetUpPr fitToPage="1"/>
  </sheetPr>
  <dimension ref="A1:CI30"/>
  <sheetViews>
    <sheetView tabSelected="1" topLeftCell="C1" zoomScaleNormal="100" workbookViewId="0">
      <selection activeCell="E4" sqref="E4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ともき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ともき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12000</v>
      </c>
      <c r="H5" s="9"/>
      <c r="I5" s="48">
        <v>0</v>
      </c>
      <c r="J5" s="21">
        <f t="shared" ref="J5:J30" si="2">IF(COUNTA($F5,$K5,$P5)&gt;0,J4+SUM(G5:I5),"")</f>
        <v>44500</v>
      </c>
      <c r="K5" s="8" t="s">
        <v>194</v>
      </c>
      <c r="L5" s="9">
        <v>-7500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194</v>
      </c>
      <c r="Q5" s="9">
        <v>-4500</v>
      </c>
      <c r="R5" s="9"/>
      <c r="S5" s="48">
        <v>0</v>
      </c>
      <c r="T5" s="21">
        <f t="shared" ref="T5:T30" si="4">IF(COUNTA($F5,$K5,$P5)&gt;0,T4+SUM(Q5:S5),"")</f>
        <v>34500</v>
      </c>
      <c r="U5" s="53">
        <f>IF($J5="","",ROUND(($J5-$J$3)/1000,1)+(_xlfn.RANK.AVG($J5,($J5,$O5,$T5),1)-2)*10)</f>
        <v>19.5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-0.5</v>
      </c>
      <c r="Y5" s="8"/>
      <c r="Z5" s="34"/>
      <c r="AA5" s="26"/>
      <c r="AB5" s="26">
        <v>1</v>
      </c>
      <c r="AC5" s="26">
        <v>7</v>
      </c>
      <c r="AD5" s="30" t="s">
        <v>200</v>
      </c>
      <c r="AE5" s="40" t="s">
        <v>85</v>
      </c>
      <c r="AF5" s="41" t="s">
        <v>98</v>
      </c>
      <c r="AG5" s="41" t="s">
        <v>79</v>
      </c>
      <c r="AH5" s="41" t="s">
        <v>79</v>
      </c>
      <c r="AI5" s="41" t="s">
        <v>79</v>
      </c>
      <c r="AJ5" s="41" t="s">
        <v>89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-1500</v>
      </c>
      <c r="H6" s="9"/>
      <c r="I6" s="48">
        <v>0</v>
      </c>
      <c r="J6" s="21">
        <f t="shared" si="2"/>
        <v>43000</v>
      </c>
      <c r="K6" s="8" t="s">
        <v>194</v>
      </c>
      <c r="L6" s="9">
        <v>-1500</v>
      </c>
      <c r="M6" s="9"/>
      <c r="N6" s="48">
        <v>0</v>
      </c>
      <c r="O6" s="21">
        <f t="shared" si="3"/>
        <v>24500</v>
      </c>
      <c r="P6" s="8" t="s">
        <v>195</v>
      </c>
      <c r="Q6" s="9">
        <v>3000</v>
      </c>
      <c r="R6" s="9"/>
      <c r="S6" s="48">
        <v>0</v>
      </c>
      <c r="T6" s="21">
        <f t="shared" si="4"/>
        <v>37500</v>
      </c>
      <c r="U6" s="53">
        <f>IF($J6="","",ROUND(($J6-$J$3)/1000,1)+(_xlfn.RANK.AVG($J6,($J6,$O6,$T6),1)-2)*10)</f>
        <v>18</v>
      </c>
      <c r="V6" s="54">
        <f>IF($O6="","",ROUND(($O6-$O$3)/1000,1)+(_xlfn.RANK.AVG($O6,($J6,$O6,$T6),1)-2)*10)</f>
        <v>-20.5</v>
      </c>
      <c r="W6" s="55">
        <f>IF($T6="","",ROUND(($T6-$T$3)/1000,1)+(_xlfn.RANK.AVG($T6,($J6,$O6,$T6),1)-2)*10)</f>
        <v>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85</v>
      </c>
      <c r="BV6" s="41" t="s">
        <v>199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1500</v>
      </c>
      <c r="H7" s="9">
        <v>-1000</v>
      </c>
      <c r="I7" s="48"/>
      <c r="J7" s="21">
        <f t="shared" si="2"/>
        <v>43500</v>
      </c>
      <c r="K7" s="8" t="s">
        <v>201</v>
      </c>
      <c r="L7" s="9">
        <v>-3000</v>
      </c>
      <c r="M7" s="9"/>
      <c r="N7" s="48"/>
      <c r="O7" s="21">
        <f t="shared" si="3"/>
        <v>21500</v>
      </c>
      <c r="P7" s="8" t="s">
        <v>201</v>
      </c>
      <c r="Q7" s="9">
        <v>1500</v>
      </c>
      <c r="R7" s="9"/>
      <c r="S7" s="48"/>
      <c r="T7" s="21">
        <f t="shared" si="4"/>
        <v>39000</v>
      </c>
      <c r="U7" s="53">
        <f>IF($J7="","",ROUND(($J7-$J$3)/1000,1)+(_xlfn.RANK.AVG($J7,($J7,$O7,$T7),1)-2)*10)</f>
        <v>18.5</v>
      </c>
      <c r="V7" s="54">
        <f>IF($O7="","",ROUND(($O7-$O$3)/1000,1)+(_xlfn.RANK.AVG($O7,($J7,$O7,$T7),1)-2)*10)</f>
        <v>-23.5</v>
      </c>
      <c r="W7" s="55">
        <f>IF($T7="","",ROUND(($T7-$T$3)/1000,1)+(_xlfn.RANK.AVG($T7,($J7,$O7,$T7),1)-2)*10)</f>
        <v>4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193</v>
      </c>
      <c r="F8" s="8" t="s">
        <v>197</v>
      </c>
      <c r="G8" s="9">
        <v>7700</v>
      </c>
      <c r="H8" s="9">
        <v>2000</v>
      </c>
      <c r="I8" s="48">
        <v>2000</v>
      </c>
      <c r="J8" s="21">
        <f t="shared" si="2"/>
        <v>55200</v>
      </c>
      <c r="K8" s="8" t="s">
        <v>196</v>
      </c>
      <c r="L8" s="9">
        <v>-7700</v>
      </c>
      <c r="M8" s="9">
        <v>-1000</v>
      </c>
      <c r="N8" s="48">
        <v>-2000</v>
      </c>
      <c r="O8" s="21">
        <f t="shared" si="3"/>
        <v>10800</v>
      </c>
      <c r="P8" s="8"/>
      <c r="Q8" s="9"/>
      <c r="R8" s="9"/>
      <c r="S8" s="48"/>
      <c r="T8" s="21">
        <f t="shared" si="4"/>
        <v>39000</v>
      </c>
      <c r="U8" s="53">
        <f>IF($J8="","",ROUND(($J8-$J$3)/1000,1)+(_xlfn.RANK.AVG($J8,($J8,$O8,$T8),1)-2)*10)</f>
        <v>30.2</v>
      </c>
      <c r="V8" s="54">
        <f>IF($O8="","",ROUND(($O8-$O$3)/1000,1)+(_xlfn.RANK.AVG($O8,($J8,$O8,$T8),1)-2)*10)</f>
        <v>-34.200000000000003</v>
      </c>
      <c r="W8" s="55">
        <f>IF($T8="","",ROUND(($T8-$T$3)/1000,1)+(_xlfn.RANK.AVG($T8,($J8,$O8,$T8),1)-2)*10)</f>
        <v>4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104</v>
      </c>
      <c r="AF8" s="41" t="s">
        <v>86</v>
      </c>
      <c r="AG8" s="41" t="s">
        <v>199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194</v>
      </c>
      <c r="G9" s="9">
        <v>-5000</v>
      </c>
      <c r="H9" s="9"/>
      <c r="I9" s="48">
        <v>0</v>
      </c>
      <c r="J9" s="21">
        <f t="shared" si="2"/>
        <v>50200</v>
      </c>
      <c r="K9" s="8" t="s">
        <v>195</v>
      </c>
      <c r="L9" s="9">
        <v>8000</v>
      </c>
      <c r="M9" s="9"/>
      <c r="N9" s="48">
        <v>0</v>
      </c>
      <c r="O9" s="21">
        <f t="shared" si="3"/>
        <v>18800</v>
      </c>
      <c r="P9" s="8" t="s">
        <v>194</v>
      </c>
      <c r="Q9" s="9">
        <v>-3000</v>
      </c>
      <c r="R9" s="9"/>
      <c r="S9" s="48">
        <v>0</v>
      </c>
      <c r="T9" s="21">
        <f t="shared" si="4"/>
        <v>36000</v>
      </c>
      <c r="U9" s="53">
        <f>IF($J9="","",ROUND(($J9-$J$3)/1000,1)+(_xlfn.RANK.AVG($J9,($J9,$O9,$T9),1)-2)*10)</f>
        <v>25.2</v>
      </c>
      <c r="V9" s="54">
        <f>IF($O9="","",ROUND(($O9-$O$3)/1000,1)+(_xlfn.RANK.AVG($O9,($J9,$O9,$T9),1)-2)*10)</f>
        <v>-26.2</v>
      </c>
      <c r="W9" s="55">
        <f>IF($T9="","",ROUND(($T9-$T$3)/1000,1)+(_xlfn.RANK.AVG($T9,($J9,$O9,$T9),1)-2)*10)</f>
        <v>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200</v>
      </c>
      <c r="AZ9" s="40" t="s">
        <v>198</v>
      </c>
      <c r="BA9" s="41" t="s">
        <v>82</v>
      </c>
      <c r="BB9" s="41" t="s">
        <v>205</v>
      </c>
      <c r="BC9" s="41" t="s">
        <v>86</v>
      </c>
      <c r="BD9" s="41" t="s">
        <v>84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197</v>
      </c>
      <c r="G10" s="9">
        <v>12000</v>
      </c>
      <c r="H10" s="9"/>
      <c r="I10" s="48"/>
      <c r="J10" s="21">
        <f t="shared" si="2"/>
        <v>62200</v>
      </c>
      <c r="K10" s="8" t="s">
        <v>196</v>
      </c>
      <c r="L10" s="9">
        <v>-17200</v>
      </c>
      <c r="M10" s="9">
        <v>-1000</v>
      </c>
      <c r="N10" s="48">
        <v>0</v>
      </c>
      <c r="O10" s="21">
        <f t="shared" si="3"/>
        <v>600</v>
      </c>
      <c r="P10" s="8" t="s">
        <v>197</v>
      </c>
      <c r="Q10" s="9">
        <v>5200</v>
      </c>
      <c r="R10" s="9">
        <v>1000</v>
      </c>
      <c r="S10" s="48">
        <v>0</v>
      </c>
      <c r="T10" s="21">
        <f t="shared" si="4"/>
        <v>42200</v>
      </c>
      <c r="U10" s="53">
        <f>IF($J10="","",ROUND(($J10-$J$3)/1000,1)+(_xlfn.RANK.AVG($J10,($J10,$O10,$T10),1)-2)*10)</f>
        <v>37.200000000000003</v>
      </c>
      <c r="V10" s="54">
        <f>IF($O10="","",ROUND(($O10-$O$3)/1000,1)+(_xlfn.RANK.AVG($O10,($J10,$O10,$T10),1)-2)*10)</f>
        <v>-44.4</v>
      </c>
      <c r="W10" s="55">
        <f>IF($T10="","",ROUND(($T10-$T$3)/1000,1)+(_xlfn.RANK.AVG($T10,($J10,$O10,$T10),1)-2)*10)</f>
        <v>7.2</v>
      </c>
      <c r="Y10" s="8"/>
      <c r="Z10" s="34"/>
      <c r="AA10" s="26"/>
      <c r="AB10" s="26"/>
      <c r="AC10" s="26">
        <v>6</v>
      </c>
      <c r="AD10" s="30" t="s">
        <v>200</v>
      </c>
      <c r="AE10" s="40" t="s">
        <v>96</v>
      </c>
      <c r="AF10" s="41" t="s">
        <v>98</v>
      </c>
      <c r="AG10" s="41" t="s">
        <v>88</v>
      </c>
      <c r="AH10" s="41" t="s">
        <v>86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198</v>
      </c>
      <c r="BV10" s="41" t="s">
        <v>88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195</v>
      </c>
      <c r="G11" s="9">
        <v>5300</v>
      </c>
      <c r="H11" s="9"/>
      <c r="I11" s="48">
        <v>0</v>
      </c>
      <c r="J11" s="21">
        <f t="shared" si="2"/>
        <v>67500</v>
      </c>
      <c r="K11" s="8" t="s">
        <v>194</v>
      </c>
      <c r="L11" s="9">
        <v>-2000</v>
      </c>
      <c r="M11" s="9"/>
      <c r="N11" s="48">
        <v>0</v>
      </c>
      <c r="O11" s="21">
        <f t="shared" si="3"/>
        <v>-1400</v>
      </c>
      <c r="P11" s="8" t="s">
        <v>194</v>
      </c>
      <c r="Q11" s="9">
        <v>-3300</v>
      </c>
      <c r="R11" s="9"/>
      <c r="S11" s="48">
        <v>0</v>
      </c>
      <c r="T11" s="21">
        <f t="shared" si="4"/>
        <v>38900</v>
      </c>
      <c r="U11" s="53">
        <f>IF($J11="","",ROUND(($J11-$J$3)/1000,1)+(_xlfn.RANK.AVG($J11,($J11,$O11,$T11),1)-2)*10)</f>
        <v>42.5</v>
      </c>
      <c r="V11" s="54">
        <f>IF($O11="","",ROUND(($O11-$O$3)/1000,1)+(_xlfn.RANK.AVG($O11,($J11,$O11,$T11),1)-2)*10)</f>
        <v>-46.4</v>
      </c>
      <c r="W11" s="55">
        <f>IF($T11="","",ROUND(($T11-$T$3)/1000,1)+(_xlfn.RANK.AVG($T11,($J11,$O11,$T11),1)-2)*10)</f>
        <v>3.9</v>
      </c>
      <c r="Y11" s="8"/>
      <c r="Z11" s="34"/>
      <c r="AA11" s="26"/>
      <c r="AB11" s="26">
        <v>1</v>
      </c>
      <c r="AC11" s="26">
        <v>3</v>
      </c>
      <c r="AD11" s="30">
        <v>40</v>
      </c>
      <c r="AE11" s="40" t="s">
        <v>86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204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404ED1F2-F202-4EE2-BCEC-0F697E0E2C94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B2A836C0-2E6D-4AAC-B7F6-237316550FCB}">
      <formula1>"ロン,ツモ,放銃,ツモ支払,流局,チョンボ"</formula1>
    </dataValidation>
    <dataValidation type="list" allowBlank="1" showInputMessage="1" showErrorMessage="1" sqref="E4:E30" xr:uid="{DDE6F4E1-FB7C-4A02-91A3-BB1D9721420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2019-12-09T15:48:35Z</dcterms:modified>
</cp:coreProperties>
</file>