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E1753DFF-E136-4FD2-B6C3-BC7B3AB5E653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O19" i="19"/>
  <c r="J19" i="19"/>
  <c r="U19" i="19" s="1"/>
  <c r="D19" i="19"/>
  <c r="C19" i="19"/>
  <c r="B19" i="19"/>
  <c r="A19" i="19" s="1"/>
  <c r="T18" i="19"/>
  <c r="O18" i="19"/>
  <c r="J18" i="19"/>
  <c r="U18" i="19" s="1"/>
  <c r="D18" i="19"/>
  <c r="C18" i="19"/>
  <c r="B18" i="19"/>
  <c r="A18" i="19"/>
  <c r="T17" i="19"/>
  <c r="O17" i="19"/>
  <c r="J17" i="19"/>
  <c r="D17" i="19"/>
  <c r="C17" i="19"/>
  <c r="B17" i="19"/>
  <c r="A17" i="19" s="1"/>
  <c r="T16" i="19"/>
  <c r="O16" i="19"/>
  <c r="V16" i="19" s="1"/>
  <c r="J16" i="19"/>
  <c r="U16" i="19" s="1"/>
  <c r="D16" i="19"/>
  <c r="C16" i="19"/>
  <c r="B16" i="19"/>
  <c r="A16" i="19"/>
  <c r="T15" i="19"/>
  <c r="W15" i="19" s="1"/>
  <c r="O15" i="19"/>
  <c r="J15" i="19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9" i="19" l="1"/>
  <c r="W19" i="19"/>
  <c r="W18" i="19"/>
  <c r="V18" i="19"/>
  <c r="U17" i="19"/>
  <c r="V17" i="19"/>
  <c r="W17" i="19"/>
  <c r="W16" i="19"/>
  <c r="U15" i="19"/>
  <c r="V15" i="19"/>
  <c r="U14" i="19"/>
  <c r="W14" i="19"/>
  <c r="V14" i="19"/>
  <c r="U13" i="19"/>
  <c r="W13" i="19"/>
  <c r="V13" i="19"/>
  <c r="W12" i="19"/>
  <c r="V11" i="19"/>
  <c r="U11" i="19"/>
  <c r="W11" i="19"/>
  <c r="V10" i="19"/>
  <c r="W10" i="19"/>
  <c r="V8" i="19"/>
  <c r="U8" i="19"/>
  <c r="W8" i="19"/>
  <c r="W7" i="19"/>
  <c r="U7" i="19"/>
  <c r="V7" i="19"/>
  <c r="V6" i="19"/>
  <c r="W6" i="19"/>
  <c r="U6" i="19"/>
  <c r="U4" i="19"/>
  <c r="V4" i="19"/>
  <c r="T5" i="19"/>
  <c r="W4" i="19"/>
  <c r="J5" i="19"/>
  <c r="O5" i="19"/>
  <c r="V5" i="19" l="1"/>
  <c r="U5" i="19"/>
  <c r="W5" i="19"/>
</calcChain>
</file>

<file path=xl/sharedStrings.xml><?xml version="1.0" encoding="utf-8"?>
<sst xmlns="http://schemas.openxmlformats.org/spreadsheetml/2006/main" count="642" uniqueCount="205">
  <si>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</si>
  <si>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</si>
  <si>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</si>
  <si>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</si>
  <si>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</si>
  <si>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</si>
  <si>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</si>
  <si>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</si>
  <si>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</si>
  <si>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</si>
  <si>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</si>
  <si>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</si>
  <si>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</si>
  <si>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</si>
  <si>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</si>
  <si>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</si>
  <si>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</si>
  <si>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</si>
  <si>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</si>
  <si>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</si>
  <si>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</si>
  <si>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</si>
  <si>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</si>
  <si>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</si>
  <si>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</si>
  <si>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</si>
  <si>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</si>
  <si>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</si>
  <si>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</si>
  <si>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</si>
  <si>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</si>
  <si>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</si>
  <si>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</si>
  <si>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</si>
  <si>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</si>
  <si>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</si>
  <si>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</si>
  <si>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</si>
  <si>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</si>
  <si>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</si>
  <si>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</si>
  <si>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</si>
  <si>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</si>
  <si>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</si>
  <si>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</si>
  <si>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</si>
  <si>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</si>
  <si>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</si>
  <si>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</si>
  <si>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</si>
  <si>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</si>
  <si>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</si>
  <si>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</si>
  <si>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</si>
  <si>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</si>
  <si>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</si>
  <si>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</si>
  <si>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</si>
  <si>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</si>
  <si>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</si>
  <si>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</si>
  <si>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</si>
  <si>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</si>
  <si>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</si>
  <si>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</si>
  <si>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</si>
  <si>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</si>
  <si>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</si>
  <si>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</si>
  <si>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</si>
  <si>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</si>
  <si>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</si>
  <si>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</si>
  <si>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</si>
  <si>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</si>
  <si>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</si>
  <si>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</si>
  <si>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</si>
  <si>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</si>
  <si>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</si>
  <si>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</si>
  <si>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</si>
  <si>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</si>
  <si>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</si>
  <si>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</si>
  <si>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</si>
  <si>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</si>
  <si>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</si>
  <si>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</si>
  <si>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</si>
  <si>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</si>
  <si>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</si>
  <si>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</si>
  <si>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</si>
  <si>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</si>
  <si>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</si>
  <si>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</si>
  <si>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</si>
  <si>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</si>
  <si>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</si>
  <si>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</si>
  <si>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</si>
  <si>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</si>
  <si>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</si>
  <si>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</si>
  <si>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</si>
  <si>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</si>
  <si>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</si>
  <si>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</si>
  <si>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</si>
  <si>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</si>
  <si>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</si>
  <si>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</si>
  <si>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</si>
  <si>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</si>
  <si>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</si>
  <si>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</si>
  <si>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</si>
  <si>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</si>
  <si>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</si>
  <si>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</si>
  <si>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</si>
  <si>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</si>
  <si>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</si>
  <si>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</si>
  <si>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</si>
  <si>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</si>
  <si>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</si>
  <si>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</si>
  <si>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</si>
  <si>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</si>
  <si>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</si>
  <si>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</si>
  <si>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</si>
  <si>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</si>
  <si>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</si>
  <si>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</si>
  <si>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</si>
  <si>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</si>
  <si>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</si>
  <si>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</si>
  <si>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</si>
  <si>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</si>
  <si>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</si>
  <si>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</si>
  <si>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</si>
  <si>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</si>
  <si>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</si>
  <si>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</si>
  <si>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</si>
  <si>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</si>
  <si>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</si>
  <si>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</si>
  <si>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</si>
  <si>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</si>
  <si>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</si>
  <si>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</si>
  <si>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</si>
  <si>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</si>
  <si>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</si>
  <si>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</si>
  <si>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</si>
  <si>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</si>
  <si>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</si>
  <si>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</si>
  <si>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</si>
  <si>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</si>
  <si>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</si>
  <si>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</si>
  <si>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</si>
  <si>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</si>
  <si>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</si>
  <si>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</si>
  <si>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</si>
  <si>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</si>
  <si>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</si>
  <si>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</si>
  <si>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</si>
  <si>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</si>
  <si>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</si>
  <si>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</si>
  <si>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</si>
  <si>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</si>
  <si>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</si>
  <si>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</si>
  <si>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</si>
  <si>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</si>
  <si>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</si>
  <si>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</si>
  <si>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</si>
  <si>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</si>
  <si>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</si>
  <si>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れんたろう</t>
  </si>
  <si>
    <t>ただ</t>
  </si>
  <si>
    <t>N</t>
  </si>
  <si>
    <t>T</t>
  </si>
  <si>
    <t>流局</t>
    <phoneticPr fontId="1"/>
  </si>
  <si>
    <t>放銃</t>
  </si>
  <si>
    <t>ロン</t>
  </si>
  <si>
    <t>01</t>
  </si>
  <si>
    <t>52</t>
  </si>
  <si>
    <t>ツモ</t>
  </si>
  <si>
    <t>ツモ支払</t>
  </si>
  <si>
    <t>*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</si>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</sst>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R19" sqref="R1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まっつん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/>
      <c r="N4" s="48"/>
      <c r="O4" s="21">
        <f>IF(COUNTA($F4,$K4,$P4)&gt;0,O3+SUM(L4:N4),"")</f>
        <v>36500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197</v>
      </c>
      <c r="G5" s="9">
        <v>-1500</v>
      </c>
      <c r="H5" s="9"/>
      <c r="I5" s="48">
        <v>-1000</v>
      </c>
      <c r="J5" s="21">
        <f t="shared" ref="J5:J30" si="2">IF(COUNTA($F5,$K5,$P5)&gt;0,J4+SUM(G5:I5),"")</f>
        <v>29500</v>
      </c>
      <c r="K5" s="8" t="s">
        <v>198</v>
      </c>
      <c r="L5" s="9">
        <v>1500</v>
      </c>
      <c r="M5" s="9">
        <v>1000</v>
      </c>
      <c r="N5" s="48">
        <v>1000</v>
      </c>
      <c r="O5" s="21">
        <f t="shared" ref="O5:O30" si="3">IF(COUNTA($F5,$K5,$P5)&gt;0,O4+SUM(L5:N5),"")</f>
        <v>40000</v>
      </c>
      <c r="P5" s="8"/>
      <c r="Q5" s="9"/>
      <c r="R5" s="9"/>
      <c r="S5" s="48"/>
      <c r="T5" s="21">
        <f t="shared" ref="T5:T30" si="4">IF(COUNTA($F5,$K5,$P5)&gt;0,T4+SUM(Q5:S5),"")</f>
        <v>35500</v>
      </c>
      <c r="U5" s="53">
        <f>IF($J5="","",ROUND(($J5-$J$3)/1000,1)+(_xlfn.RANK.AVG($J5,($J5,$O5,$T5),1)-2)*10)</f>
        <v>-15.5</v>
      </c>
      <c r="V5" s="54">
        <f>IF($O5="","",ROUND(($O5-$O$3)/1000,1)+(_xlfn.RANK.AVG($O5,($J5,$O5,$T5),1)-2)*10)</f>
        <v>15</v>
      </c>
      <c r="W5" s="55">
        <f>IF($T5="","",ROUND(($T5-$T$3)/1000,1)+(_xlfn.RANK.AVG($T5,($J5,$O5,$T5),1)-2)*10)</f>
        <v>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198</v>
      </c>
      <c r="G6" s="9">
        <v>5200</v>
      </c>
      <c r="H6" s="9"/>
      <c r="I6" s="48">
        <v>2000</v>
      </c>
      <c r="J6" s="21">
        <f t="shared" si="2"/>
        <v>36700</v>
      </c>
      <c r="K6" s="8" t="s">
        <v>197</v>
      </c>
      <c r="L6" s="9">
        <v>-5200</v>
      </c>
      <c r="M6" s="9"/>
      <c r="N6" s="48">
        <v>-2000</v>
      </c>
      <c r="O6" s="21">
        <f t="shared" si="3"/>
        <v>32800</v>
      </c>
      <c r="P6" s="8"/>
      <c r="Q6" s="9"/>
      <c r="R6" s="9"/>
      <c r="S6" s="48"/>
      <c r="T6" s="21">
        <f t="shared" si="4"/>
        <v>35500</v>
      </c>
      <c r="U6" s="53">
        <f>IF($J6="","",ROUND(($J6-$J$3)/1000,1)+(_xlfn.RANK.AVG($J6,($J6,$O6,$T6),1)-2)*10)</f>
        <v>11.7</v>
      </c>
      <c r="V6" s="54">
        <f>IF($O6="","",ROUND(($O6-$O$3)/1000,1)+(_xlfn.RANK.AVG($O6,($J6,$O6,$T6),1)-2)*10)</f>
        <v>-12.2</v>
      </c>
      <c r="W6" s="55">
        <f>IF($T6="","",ROUND(($T6-$T$3)/1000,1)+(_xlfn.RANK.AVG($T6,($J6,$O6,$T6),1)-2)*10)</f>
        <v>0.5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199</v>
      </c>
      <c r="AF6" s="41" t="s">
        <v>200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36700</v>
      </c>
      <c r="K7" s="8" t="s">
        <v>197</v>
      </c>
      <c r="L7" s="9">
        <v>-7700</v>
      </c>
      <c r="M7" s="9">
        <v>-1000</v>
      </c>
      <c r="N7" s="48">
        <v>0</v>
      </c>
      <c r="O7" s="21">
        <f t="shared" si="3"/>
        <v>24100</v>
      </c>
      <c r="P7" s="8" t="s">
        <v>198</v>
      </c>
      <c r="Q7" s="9">
        <v>7700</v>
      </c>
      <c r="R7" s="9">
        <v>1000</v>
      </c>
      <c r="S7" s="48">
        <v>0</v>
      </c>
      <c r="T7" s="21">
        <f t="shared" si="4"/>
        <v>44200</v>
      </c>
      <c r="U7" s="53">
        <f>IF($J7="","",ROUND(($J7-$J$3)/1000,1)+(_xlfn.RANK.AVG($J7,($J7,$O7,$T7),1)-2)*10)</f>
        <v>1.7</v>
      </c>
      <c r="V7" s="54">
        <f>IF($O7="","",ROUND(($O7-$O$3)/1000,1)+(_xlfn.RANK.AVG($O7,($J7,$O7,$T7),1)-2)*10)</f>
        <v>-20.9</v>
      </c>
      <c r="W7" s="55">
        <f>IF($T7="","",ROUND(($T7-$T$3)/1000,1)+(_xlfn.RANK.AVG($T7,($J7,$O7,$T7),1)-2)*10)</f>
        <v>19.2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199</v>
      </c>
      <c r="BV7" s="41" t="s">
        <v>86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196</v>
      </c>
      <c r="G8" s="9">
        <v>-1500</v>
      </c>
      <c r="H8" s="9"/>
      <c r="I8" s="48"/>
      <c r="J8" s="21">
        <f t="shared" si="2"/>
        <v>35200</v>
      </c>
      <c r="K8" s="8" t="s">
        <v>196</v>
      </c>
      <c r="L8" s="9">
        <v>-1500</v>
      </c>
      <c r="M8" s="9"/>
      <c r="N8" s="48"/>
      <c r="O8" s="21">
        <f t="shared" si="3"/>
        <v>22600</v>
      </c>
      <c r="P8" s="8" t="s">
        <v>196</v>
      </c>
      <c r="Q8" s="9">
        <v>3000</v>
      </c>
      <c r="R8" s="9">
        <v>-1000</v>
      </c>
      <c r="S8" s="48"/>
      <c r="T8" s="21">
        <f t="shared" si="4"/>
        <v>46200</v>
      </c>
      <c r="U8" s="53">
        <f>IF($J8="","",ROUND(($J8-$J$3)/1000,1)+(_xlfn.RANK.AVG($J8,($J8,$O8,$T8),1)-2)*10)</f>
        <v>0.2</v>
      </c>
      <c r="V8" s="54">
        <f>IF($O8="","",ROUND(($O8-$O$3)/1000,1)+(_xlfn.RANK.AVG($O8,($J8,$O8,$T8),1)-2)*10)</f>
        <v>-22.4</v>
      </c>
      <c r="W8" s="55">
        <f>IF($T8="","",ROUND(($T8-$T$3)/1000,1)+(_xlfn.RANK.AVG($T8,($J8,$O8,$T8),1)-2)*10)</f>
        <v>21.2</v>
      </c>
      <c r="Y8" s="8" t="s">
        <v>194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1</v>
      </c>
      <c r="E9" s="4" t="s">
        <v>193</v>
      </c>
      <c r="F9" s="8" t="s">
        <v>197</v>
      </c>
      <c r="G9" s="9">
        <v>-2900</v>
      </c>
      <c r="H9" s="9">
        <v>-1000</v>
      </c>
      <c r="I9" s="48">
        <v>-2000</v>
      </c>
      <c r="J9" s="21">
        <f t="shared" si="2"/>
        <v>29300</v>
      </c>
      <c r="K9" s="8"/>
      <c r="L9" s="9"/>
      <c r="M9" s="9"/>
      <c r="N9" s="48"/>
      <c r="O9" s="21">
        <f t="shared" si="3"/>
        <v>22600</v>
      </c>
      <c r="P9" s="8" t="s">
        <v>198</v>
      </c>
      <c r="Q9" s="9">
        <v>2900</v>
      </c>
      <c r="R9" s="9">
        <v>2000</v>
      </c>
      <c r="S9" s="48">
        <v>2000</v>
      </c>
      <c r="T9" s="21">
        <f t="shared" si="4"/>
        <v>53100</v>
      </c>
      <c r="U9" s="53">
        <f>IF($J9="","",ROUND(($J9-$J$3)/1000,1)+(_xlfn.RANK.AVG($J9,($J9,$O9,$T9),1)-2)*10)</f>
        <v>-5.7</v>
      </c>
      <c r="V9" s="54">
        <f>IF($O9="","",ROUND(($O9-$O$3)/1000,1)+(_xlfn.RANK.AVG($O9,($J9,$O9,$T9),1)-2)*10)</f>
        <v>-22.4</v>
      </c>
      <c r="W9" s="55">
        <f>IF($T9="","",ROUND(($T9-$T$3)/1000,1)+(_xlfn.RANK.AVG($T9,($J9,$O9,$T9),1)-2)*10)</f>
        <v>28.1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200</v>
      </c>
      <c r="BV9" s="41" t="s">
        <v>85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193</v>
      </c>
      <c r="F10" s="8" t="s">
        <v>196</v>
      </c>
      <c r="G10" s="9">
        <v>1500</v>
      </c>
      <c r="H10" s="9"/>
      <c r="I10" s="48"/>
      <c r="J10" s="21">
        <f t="shared" si="2"/>
        <v>30800</v>
      </c>
      <c r="K10" s="8" t="s">
        <v>196</v>
      </c>
      <c r="L10" s="9">
        <v>-3000</v>
      </c>
      <c r="M10" s="9"/>
      <c r="N10" s="48"/>
      <c r="O10" s="21">
        <f t="shared" si="3"/>
        <v>19600</v>
      </c>
      <c r="P10" s="8" t="s">
        <v>196</v>
      </c>
      <c r="Q10" s="9">
        <v>1500</v>
      </c>
      <c r="R10" s="9"/>
      <c r="S10" s="48"/>
      <c r="T10" s="21">
        <f t="shared" si="4"/>
        <v>54600</v>
      </c>
      <c r="U10" s="53">
        <f>IF($J10="","",ROUND(($J10-$J$3)/1000,1)+(_xlfn.RANK.AVG($J10,($J10,$O10,$T10),1)-2)*10)</f>
        <v>-4.2</v>
      </c>
      <c r="V10" s="54">
        <f>IF($O10="","",ROUND(($O10-$O$3)/1000,1)+(_xlfn.RANK.AVG($O10,($J10,$O10,$T10),1)-2)*10)</f>
        <v>-25.4</v>
      </c>
      <c r="W10" s="55">
        <f>IF($T10="","",ROUND(($T10-$T$3)/1000,1)+(_xlfn.RANK.AVG($T10,($J10,$O10,$T10),1)-2)*10)</f>
        <v>29.6</v>
      </c>
      <c r="Y10" s="8" t="s">
        <v>195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195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">
        <v>193</v>
      </c>
      <c r="F11" s="8" t="s">
        <v>201</v>
      </c>
      <c r="G11" s="9">
        <v>2100</v>
      </c>
      <c r="H11" s="9"/>
      <c r="I11" s="48">
        <v>4000</v>
      </c>
      <c r="J11" s="21">
        <f t="shared" si="2"/>
        <v>36900</v>
      </c>
      <c r="K11" s="8" t="s">
        <v>202</v>
      </c>
      <c r="L11" s="9">
        <v>-800</v>
      </c>
      <c r="M11" s="9"/>
      <c r="N11" s="48">
        <v>-2000</v>
      </c>
      <c r="O11" s="21">
        <f t="shared" si="3"/>
        <v>16800</v>
      </c>
      <c r="P11" s="8" t="s">
        <v>202</v>
      </c>
      <c r="Q11" s="9">
        <v>-1300</v>
      </c>
      <c r="R11" s="9"/>
      <c r="S11" s="48">
        <v>-2000</v>
      </c>
      <c r="T11" s="21">
        <f t="shared" si="4"/>
        <v>51300</v>
      </c>
      <c r="U11" s="53">
        <f>IF($J11="","",ROUND(($J11-$J$3)/1000,1)+(_xlfn.RANK.AVG($J11,($J11,$O11,$T11),1)-2)*10)</f>
        <v>1.9</v>
      </c>
      <c r="V11" s="54">
        <f>IF($O11="","",ROUND(($O11-$O$3)/1000,1)+(_xlfn.RANK.AVG($O11,($J11,$O11,$T11),1)-2)*10)</f>
        <v>-28.2</v>
      </c>
      <c r="W11" s="55">
        <f>IF($T11="","",ROUND(($T11-$T$3)/1000,1)+(_xlfn.RANK.AVG($T11,($J11,$O11,$T11),1)-2)*10)</f>
        <v>26.3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201</v>
      </c>
      <c r="G12" s="9">
        <v>12000</v>
      </c>
      <c r="H12" s="9">
        <v>1000</v>
      </c>
      <c r="I12" s="48">
        <v>0</v>
      </c>
      <c r="J12" s="21">
        <f t="shared" si="2"/>
        <v>49900</v>
      </c>
      <c r="K12" s="8" t="s">
        <v>202</v>
      </c>
      <c r="L12" s="9">
        <v>-6000</v>
      </c>
      <c r="M12" s="9">
        <v>-1000</v>
      </c>
      <c r="N12" s="48">
        <v>0</v>
      </c>
      <c r="O12" s="21">
        <f t="shared" si="3"/>
        <v>9800</v>
      </c>
      <c r="P12" s="8" t="s">
        <v>202</v>
      </c>
      <c r="Q12" s="9">
        <v>-6000</v>
      </c>
      <c r="R12" s="9"/>
      <c r="S12" s="48">
        <v>0</v>
      </c>
      <c r="T12" s="21">
        <f t="shared" si="4"/>
        <v>45300</v>
      </c>
      <c r="U12" s="53">
        <f>IF($J12="","",ROUND(($J12-$J$3)/1000,1)+(_xlfn.RANK.AVG($J12,($J12,$O12,$T12),1)-2)*10)</f>
        <v>24.9</v>
      </c>
      <c r="V12" s="54">
        <f>IF($O12="","",ROUND(($O12-$O$3)/1000,1)+(_xlfn.RANK.AVG($O12,($J12,$O12,$T12),1)-2)*10)</f>
        <v>-35.200000000000003</v>
      </c>
      <c r="W12" s="55">
        <f>IF($T12="","",ROUND(($T12-$T$3)/1000,1)+(_xlfn.RANK.AVG($T12,($J12,$O12,$T12),1)-2)*10)</f>
        <v>10.3</v>
      </c>
      <c r="Y12" s="8"/>
      <c r="Z12" s="34"/>
      <c r="AA12" s="26">
        <v>1</v>
      </c>
      <c r="AB12" s="26"/>
      <c r="AC12" s="26">
        <v>5</v>
      </c>
      <c r="AD12" s="30" t="s">
        <v>203</v>
      </c>
      <c r="AE12" s="40" t="s">
        <v>85</v>
      </c>
      <c r="AF12" s="41" t="s">
        <v>83</v>
      </c>
      <c r="AG12" s="41" t="s">
        <v>84</v>
      </c>
      <c r="AH12" s="41" t="s">
        <v>199</v>
      </c>
      <c r="AI12" s="41" t="s">
        <v>82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191</v>
      </c>
      <c r="F13" s="8" t="s">
        <v>196</v>
      </c>
      <c r="G13" s="9">
        <v>-3000</v>
      </c>
      <c r="H13" s="9"/>
      <c r="I13" s="48"/>
      <c r="J13" s="21">
        <f t="shared" si="2"/>
        <v>46900</v>
      </c>
      <c r="K13" s="8" t="s">
        <v>196</v>
      </c>
      <c r="L13" s="9">
        <v>1500</v>
      </c>
      <c r="M13" s="9">
        <v>-1000</v>
      </c>
      <c r="N13" s="48"/>
      <c r="O13" s="21">
        <f t="shared" si="3"/>
        <v>10300</v>
      </c>
      <c r="P13" s="8" t="s">
        <v>196</v>
      </c>
      <c r="Q13" s="9">
        <v>1500</v>
      </c>
      <c r="R13" s="9">
        <v>-1000</v>
      </c>
      <c r="S13" s="48"/>
      <c r="T13" s="21">
        <f t="shared" si="4"/>
        <v>45800</v>
      </c>
      <c r="U13" s="53">
        <f>IF($J13="","",ROUND(($J13-$J$3)/1000,1)+(_xlfn.RANK.AVG($J13,($J13,$O13,$T13),1)-2)*10)</f>
        <v>21.9</v>
      </c>
      <c r="V13" s="54">
        <f>IF($O13="","",ROUND(($O13-$O$3)/1000,1)+(_xlfn.RANK.AVG($O13,($J13,$O13,$T13),1)-2)*10)</f>
        <v>-34.700000000000003</v>
      </c>
      <c r="W13" s="55">
        <f>IF($T13="","",ROUND(($T13-$T$3)/1000,1)+(_xlfn.RANK.AVG($T13,($J13,$O13,$T13),1)-2)*10)</f>
        <v>10.8</v>
      </c>
      <c r="Y13" s="8" t="s">
        <v>194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195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195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2</v>
      </c>
      <c r="D14" s="18">
        <f t="shared" si="1"/>
        <v>2</v>
      </c>
      <c r="E14" s="4" t="s">
        <v>192</v>
      </c>
      <c r="F14" s="8" t="s">
        <v>197</v>
      </c>
      <c r="G14" s="9">
        <v>-12000</v>
      </c>
      <c r="H14" s="9"/>
      <c r="I14" s="48">
        <v>-2000</v>
      </c>
      <c r="J14" s="21">
        <f t="shared" si="2"/>
        <v>32900</v>
      </c>
      <c r="K14" s="8" t="s">
        <v>198</v>
      </c>
      <c r="L14" s="9">
        <v>12000</v>
      </c>
      <c r="M14" s="9">
        <v>2000</v>
      </c>
      <c r="N14" s="48">
        <v>2000</v>
      </c>
      <c r="O14" s="21">
        <f t="shared" si="3"/>
        <v>26300</v>
      </c>
      <c r="P14" s="8"/>
      <c r="Q14" s="9"/>
      <c r="R14" s="9"/>
      <c r="S14" s="48"/>
      <c r="T14" s="21">
        <f t="shared" si="4"/>
        <v>45800</v>
      </c>
      <c r="U14" s="53">
        <f>IF($J14="","",ROUND(($J14-$J$3)/1000,1)+(_xlfn.RANK.AVG($J14,($J14,$O14,$T14),1)-2)*10)</f>
        <v>-2.1</v>
      </c>
      <c r="V14" s="54">
        <f>IF($O14="","",ROUND(($O14-$O$3)/1000,1)+(_xlfn.RANK.AVG($O14,($J14,$O14,$T14),1)-2)*10)</f>
        <v>-18.7</v>
      </c>
      <c r="W14" s="55">
        <f>IF($T14="","",ROUND(($T14-$T$3)/1000,1)+(_xlfn.RANK.AVG($T14,($J14,$O14,$T14),1)-2)*10)</f>
        <v>20.8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203</v>
      </c>
      <c r="AZ14" s="40" t="s">
        <v>199</v>
      </c>
      <c r="BA14" s="41" t="s">
        <v>96</v>
      </c>
      <c r="BB14" s="41" t="s">
        <v>98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3</v>
      </c>
      <c r="D15" s="18">
        <f t="shared" si="1"/>
        <v>0</v>
      </c>
      <c r="E15" s="4" t="s">
        <v>192</v>
      </c>
      <c r="F15" s="8"/>
      <c r="G15" s="9"/>
      <c r="H15" s="9"/>
      <c r="I15" s="48"/>
      <c r="J15" s="21">
        <f t="shared" si="2"/>
        <v>32900</v>
      </c>
      <c r="K15" s="8" t="s">
        <v>198</v>
      </c>
      <c r="L15" s="9">
        <v>2400</v>
      </c>
      <c r="M15" s="9"/>
      <c r="N15" s="48">
        <v>3000</v>
      </c>
      <c r="O15" s="21">
        <f t="shared" si="3"/>
        <v>31700</v>
      </c>
      <c r="P15" s="8" t="s">
        <v>197</v>
      </c>
      <c r="Q15" s="9">
        <v>-2400</v>
      </c>
      <c r="R15" s="9"/>
      <c r="S15" s="48">
        <v>-3000</v>
      </c>
      <c r="T15" s="21">
        <f t="shared" si="4"/>
        <v>40400</v>
      </c>
      <c r="U15" s="53">
        <f>IF($J15="","",ROUND(($J15-$J$3)/1000,1)+(_xlfn.RANK.AVG($J15,($J15,$O15,$T15),1)-2)*10)</f>
        <v>-2.1</v>
      </c>
      <c r="V15" s="54">
        <f>IF($O15="","",ROUND(($O15-$O$3)/1000,1)+(_xlfn.RANK.AVG($O15,($J15,$O15,$T15),1)-2)*10)</f>
        <v>-13.3</v>
      </c>
      <c r="W15" s="55">
        <f>IF($T15="","",ROUND(($T15-$T$3)/1000,1)+(_xlfn.RANK.AVG($T15,($J15,$O15,$T15),1)-2)*10)</f>
        <v>15.4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25</v>
      </c>
      <c r="AZ15" s="40" t="s">
        <v>101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4</v>
      </c>
      <c r="D16" s="18">
        <f t="shared" si="1"/>
        <v>0</v>
      </c>
      <c r="E16" s="4" t="s">
        <v>192</v>
      </c>
      <c r="F16" s="8" t="s">
        <v>197</v>
      </c>
      <c r="G16" s="9">
        <v>-12000</v>
      </c>
      <c r="H16" s="9"/>
      <c r="I16" s="48">
        <v>-4000</v>
      </c>
      <c r="J16" s="21">
        <f t="shared" si="2"/>
        <v>16900</v>
      </c>
      <c r="K16" s="8"/>
      <c r="L16" s="9"/>
      <c r="M16" s="9"/>
      <c r="N16" s="48"/>
      <c r="O16" s="21">
        <f t="shared" si="3"/>
        <v>31700</v>
      </c>
      <c r="P16" s="8" t="s">
        <v>198</v>
      </c>
      <c r="Q16" s="9">
        <v>12000</v>
      </c>
      <c r="R16" s="9"/>
      <c r="S16" s="48">
        <v>4000</v>
      </c>
      <c r="T16" s="21">
        <f t="shared" si="4"/>
        <v>56400</v>
      </c>
      <c r="U16" s="53">
        <f>IF($J16="","",ROUND(($J16-$J$3)/1000,1)+(_xlfn.RANK.AVG($J16,($J16,$O16,$T16),1)-2)*10)</f>
        <v>-28.1</v>
      </c>
      <c r="V16" s="54">
        <f>IF($O16="","",ROUND(($O16-$O$3)/1000,1)+(_xlfn.RANK.AVG($O16,($J16,$O16,$T16),1)-2)*10)</f>
        <v>-3.3</v>
      </c>
      <c r="W16" s="55">
        <f>IF($T16="","",ROUND(($T16-$T$3)/1000,1)+(_xlfn.RANK.AVG($T16,($J16,$O16,$T16),1)-2)*10)</f>
        <v>31.4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6</v>
      </c>
      <c r="BT16" s="30" t="s">
        <v>203</v>
      </c>
      <c r="BU16" s="40" t="s">
        <v>199</v>
      </c>
      <c r="BV16" s="41" t="s">
        <v>85</v>
      </c>
      <c r="BW16" s="41" t="s">
        <v>200</v>
      </c>
      <c r="BX16" s="41" t="s">
        <v>200</v>
      </c>
      <c r="BY16" s="41" t="s">
        <v>80</v>
      </c>
      <c r="BZ16" s="41" t="s">
        <v>80</v>
      </c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196</v>
      </c>
      <c r="G17" s="9">
        <v>1500</v>
      </c>
      <c r="H17" s="9">
        <v>-1000</v>
      </c>
      <c r="I17" s="48"/>
      <c r="J17" s="21">
        <f t="shared" si="2"/>
        <v>17400</v>
      </c>
      <c r="K17" s="8" t="s">
        <v>196</v>
      </c>
      <c r="L17" s="9">
        <v>-3000</v>
      </c>
      <c r="M17" s="9"/>
      <c r="N17" s="48"/>
      <c r="O17" s="21">
        <f t="shared" si="3"/>
        <v>28700</v>
      </c>
      <c r="P17" s="8" t="s">
        <v>196</v>
      </c>
      <c r="Q17" s="9">
        <v>1500</v>
      </c>
      <c r="R17" s="9"/>
      <c r="S17" s="48"/>
      <c r="T17" s="21">
        <f t="shared" si="4"/>
        <v>57900</v>
      </c>
      <c r="U17" s="53">
        <f>IF($J17="","",ROUND(($J17-$J$3)/1000,1)+(_xlfn.RANK.AVG($J17,($J17,$O17,$T17),1)-2)*10)</f>
        <v>-27.6</v>
      </c>
      <c r="V17" s="54">
        <f>IF($O17="","",ROUND(($O17-$O$3)/1000,1)+(_xlfn.RANK.AVG($O17,($J17,$O17,$T17),1)-2)*10)</f>
        <v>-6.3</v>
      </c>
      <c r="W17" s="55">
        <f>IF($T17="","",ROUND(($T17-$T$3)/1000,1)+(_xlfn.RANK.AVG($T17,($J17,$O17,$T17),1)-2)*10)</f>
        <v>32.9</v>
      </c>
      <c r="Y17" s="8" t="s">
        <v>195</v>
      </c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194</v>
      </c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195</v>
      </c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1</v>
      </c>
      <c r="D18" s="18">
        <f t="shared" si="1"/>
        <v>1</v>
      </c>
      <c r="E18" s="4" t="s">
        <v>193</v>
      </c>
      <c r="F18" s="8" t="s">
        <v>198</v>
      </c>
      <c r="G18" s="9">
        <v>8000</v>
      </c>
      <c r="H18" s="9">
        <v>1000</v>
      </c>
      <c r="I18" s="48">
        <v>1000</v>
      </c>
      <c r="J18" s="21">
        <f t="shared" si="2"/>
        <v>27400</v>
      </c>
      <c r="K18" s="8"/>
      <c r="L18" s="9"/>
      <c r="M18" s="9"/>
      <c r="N18" s="48"/>
      <c r="O18" s="21">
        <f t="shared" si="3"/>
        <v>28700</v>
      </c>
      <c r="P18" s="8" t="s">
        <v>197</v>
      </c>
      <c r="Q18" s="9">
        <v>-8000</v>
      </c>
      <c r="R18" s="9"/>
      <c r="S18" s="48">
        <v>-1000</v>
      </c>
      <c r="T18" s="21">
        <f t="shared" si="4"/>
        <v>48900</v>
      </c>
      <c r="U18" s="53">
        <f>IF($J18="","",ROUND(($J18-$J$3)/1000,1)+(_xlfn.RANK.AVG($J18,($J18,$O18,$T18),1)-2)*10)</f>
        <v>-17.600000000000001</v>
      </c>
      <c r="V18" s="54">
        <f>IF($O18="","",ROUND(($O18-$O$3)/1000,1)+(_xlfn.RANK.AVG($O18,($J18,$O18,$T18),1)-2)*10)</f>
        <v>-6.3</v>
      </c>
      <c r="W18" s="55">
        <f>IF($T18="","",ROUND(($T18-$T$3)/1000,1)+(_xlfn.RANK.AVG($T18,($J18,$O18,$T18),1)-2)*10)</f>
        <v>23.9</v>
      </c>
      <c r="Y18" s="8"/>
      <c r="Z18" s="34"/>
      <c r="AA18" s="26"/>
      <c r="AB18" s="26">
        <v>1</v>
      </c>
      <c r="AC18" s="26">
        <v>5</v>
      </c>
      <c r="AD18" s="30" t="s">
        <v>203</v>
      </c>
      <c r="AE18" s="40" t="s">
        <v>86</v>
      </c>
      <c r="AF18" s="41" t="s">
        <v>86</v>
      </c>
      <c r="AG18" s="41" t="s">
        <v>104</v>
      </c>
      <c r="AH18" s="41" t="s">
        <v>86</v>
      </c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">
        <v>191</v>
      </c>
      <c r="F19" s="8" t="s">
        <v>202</v>
      </c>
      <c r="G19" s="9">
        <v>-15000</v>
      </c>
      <c r="H19" s="9"/>
      <c r="I19" s="48">
        <v>0</v>
      </c>
      <c r="J19" s="21">
        <f t="shared" si="2"/>
        <v>12400</v>
      </c>
      <c r="K19" s="8" t="s">
        <v>202</v>
      </c>
      <c r="L19" s="9">
        <v>-9000</v>
      </c>
      <c r="M19" s="9"/>
      <c r="N19" s="48">
        <v>0</v>
      </c>
      <c r="O19" s="21">
        <f t="shared" si="3"/>
        <v>19700</v>
      </c>
      <c r="P19" s="8" t="s">
        <v>201</v>
      </c>
      <c r="Q19" s="9">
        <v>24000</v>
      </c>
      <c r="R19" s="9"/>
      <c r="S19" s="48">
        <v>0</v>
      </c>
      <c r="T19" s="21">
        <f t="shared" si="4"/>
        <v>72900</v>
      </c>
      <c r="U19" s="53">
        <f>IF($J19="","",ROUND(($J19-$J$3)/1000,1)+(_xlfn.RANK.AVG($J19,($J19,$O19,$T19),1)-2)*10)</f>
        <v>-32.6</v>
      </c>
      <c r="V19" s="54">
        <f>IF($O19="","",ROUND(($O19-$O$3)/1000,1)+(_xlfn.RANK.AVG($O19,($J19,$O19,$T19),1)-2)*10)</f>
        <v>-15.3</v>
      </c>
      <c r="W19" s="55">
        <f>IF($T19="","",ROUND(($T19-$T$3)/1000,1)+(_xlfn.RANK.AVG($T19,($J19,$O19,$T19),1)-2)*10)</f>
        <v>47.9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11</v>
      </c>
      <c r="BT19" s="30" t="s">
        <v>203</v>
      </c>
      <c r="BU19" s="40" t="s">
        <v>204</v>
      </c>
      <c r="BV19" s="41" t="s">
        <v>82</v>
      </c>
      <c r="BW19" s="41" t="s">
        <v>83</v>
      </c>
      <c r="BX19" s="41" t="s">
        <v>200</v>
      </c>
      <c r="BY19" s="41" t="s">
        <v>106</v>
      </c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>西</v>
      </c>
      <c r="B20" s="18">
        <f t="shared" si="5"/>
        <v>1</v>
      </c>
      <c r="C20" s="18">
        <f t="shared" si="6"/>
        <v>0</v>
      </c>
      <c r="D20" s="18">
        <f t="shared" si="1"/>
        <v>0</v>
      </c>
      <c r="E20" s="4" t="s">
        <v>192</v>
      </c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D26AA6F-B501-4F62-9FA4-B55B1F9EDDC4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2019-10-08T15:35:44Z</dcterms:modified>
</cp:coreProperties>
</file>