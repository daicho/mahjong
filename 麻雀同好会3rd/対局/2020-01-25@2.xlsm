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3DA9399F-7D4C-4565-BC82-841869DDFF8A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C12" i="21"/>
  <c r="D10" i="21"/>
  <c r="D11" i="21" s="1"/>
  <c r="D9" i="21"/>
  <c r="C9" i="21"/>
  <c r="C10" i="21" s="1"/>
  <c r="C11" i="21" s="1"/>
  <c r="D8" i="21"/>
  <c r="D7" i="21"/>
  <c r="C7" i="21"/>
  <c r="C8" i="21" s="1"/>
  <c r="D6" i="21"/>
  <c r="T5" i="21"/>
  <c r="O5" i="21"/>
  <c r="D5" i="21"/>
  <c r="C5" i="21"/>
  <c r="C6" i="21" s="1"/>
  <c r="T4" i="21"/>
  <c r="O4" i="21"/>
  <c r="J4" i="21"/>
  <c r="E4" i="21"/>
  <c r="B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O13" i="20"/>
  <c r="J13" i="20"/>
  <c r="D13" i="20"/>
  <c r="C13" i="20"/>
  <c r="B13" i="20"/>
  <c r="A13" i="20"/>
  <c r="T12" i="20"/>
  <c r="W12" i="20" s="1"/>
  <c r="O12" i="20"/>
  <c r="V12" i="20" s="1"/>
  <c r="J12" i="20"/>
  <c r="D12" i="20"/>
  <c r="C12" i="20"/>
  <c r="B12" i="20"/>
  <c r="A12" i="20" s="1"/>
  <c r="D11" i="20"/>
  <c r="C11" i="20"/>
  <c r="D10" i="20"/>
  <c r="C10" i="20"/>
  <c r="D9" i="20"/>
  <c r="D8" i="20"/>
  <c r="C8" i="20"/>
  <c r="C9" i="20" s="1"/>
  <c r="D7" i="20"/>
  <c r="C7" i="20"/>
  <c r="D6" i="20"/>
  <c r="C6" i="20"/>
  <c r="J5" i="20"/>
  <c r="D5" i="20"/>
  <c r="T4" i="20"/>
  <c r="O4" i="20"/>
  <c r="O5" i="20" s="1"/>
  <c r="J4" i="20"/>
  <c r="E4" i="20"/>
  <c r="C5" i="20" s="1"/>
  <c r="W3" i="20"/>
  <c r="V3" i="20"/>
  <c r="U3" i="20"/>
  <c r="W2" i="20"/>
  <c r="V2" i="20"/>
  <c r="U2" i="20"/>
  <c r="BO1" i="20"/>
  <c r="AT1" i="20"/>
  <c r="Y1" i="20"/>
  <c r="U4" i="21" l="1"/>
  <c r="W5" i="21"/>
  <c r="B6" i="21"/>
  <c r="A5" i="21"/>
  <c r="V5" i="21"/>
  <c r="J5" i="21"/>
  <c r="V4" i="21"/>
  <c r="W4" i="21"/>
  <c r="O6" i="21"/>
  <c r="T6" i="21"/>
  <c r="V13" i="20"/>
  <c r="W13" i="20"/>
  <c r="U13" i="20"/>
  <c r="U12" i="20"/>
  <c r="W4" i="20"/>
  <c r="U5" i="20"/>
  <c r="V5" i="20"/>
  <c r="O6" i="20"/>
  <c r="V4" i="20"/>
  <c r="T5" i="20"/>
  <c r="J6" i="20"/>
  <c r="U4" i="20"/>
  <c r="B5" i="20"/>
  <c r="E4" i="19"/>
  <c r="A6" i="21" l="1"/>
  <c r="T7" i="21"/>
  <c r="O7" i="21"/>
  <c r="B7" i="21"/>
  <c r="A7" i="21" s="1"/>
  <c r="J6" i="21"/>
  <c r="W6" i="21" s="1"/>
  <c r="U5" i="21"/>
  <c r="J7" i="20"/>
  <c r="B6" i="20"/>
  <c r="A5" i="20"/>
  <c r="A6" i="20" s="1"/>
  <c r="W5" i="20"/>
  <c r="T6" i="20"/>
  <c r="U6" i="20" s="1"/>
  <c r="V6" i="20"/>
  <c r="O7" i="20"/>
  <c r="W3" i="19"/>
  <c r="V3" i="19"/>
  <c r="U3" i="19"/>
  <c r="V6" i="21" l="1"/>
  <c r="U6" i="21"/>
  <c r="J7" i="21"/>
  <c r="B8" i="21"/>
  <c r="O8" i="21"/>
  <c r="V7" i="21"/>
  <c r="W7" i="21"/>
  <c r="T8" i="21"/>
  <c r="W6" i="20"/>
  <c r="T7" i="20"/>
  <c r="V7" i="20" s="1"/>
  <c r="J8" i="20"/>
  <c r="O8" i="20"/>
  <c r="B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1" l="1"/>
  <c r="O9" i="21"/>
  <c r="B9" i="21"/>
  <c r="A8" i="21"/>
  <c r="U7" i="21"/>
  <c r="J8" i="21"/>
  <c r="W8" i="21" s="1"/>
  <c r="B8" i="20"/>
  <c r="A8" i="20"/>
  <c r="A7" i="20"/>
  <c r="W7" i="20"/>
  <c r="T8" i="20"/>
  <c r="V8" i="20" s="1"/>
  <c r="O9" i="20"/>
  <c r="U8" i="20"/>
  <c r="J9" i="20"/>
  <c r="U7" i="20"/>
  <c r="W11" i="19"/>
  <c r="U11" i="19"/>
  <c r="V11" i="19"/>
  <c r="U10" i="19"/>
  <c r="V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9" i="21" l="1"/>
  <c r="V8" i="21"/>
  <c r="U8" i="21"/>
  <c r="J9" i="21"/>
  <c r="W9" i="21" s="1"/>
  <c r="T10" i="21"/>
  <c r="B10" i="21"/>
  <c r="A10" i="21" s="1"/>
  <c r="V9" i="21"/>
  <c r="O10" i="21"/>
  <c r="B9" i="20"/>
  <c r="A9" i="20" s="1"/>
  <c r="O10" i="20"/>
  <c r="J10" i="20"/>
  <c r="W8" i="20"/>
  <c r="T9" i="20"/>
  <c r="U9" i="20" s="1"/>
  <c r="W5" i="19"/>
  <c r="V5" i="19"/>
  <c r="U5" i="19"/>
  <c r="O11" i="21" l="1"/>
  <c r="B11" i="21"/>
  <c r="T11" i="21"/>
  <c r="J10" i="21"/>
  <c r="V10" i="21" s="1"/>
  <c r="U9" i="21"/>
  <c r="B10" i="20"/>
  <c r="A10" i="20"/>
  <c r="W9" i="20"/>
  <c r="T10" i="20"/>
  <c r="U10" i="20"/>
  <c r="J11" i="20"/>
  <c r="O11" i="20"/>
  <c r="V9" i="20"/>
  <c r="W10" i="21" l="1"/>
  <c r="B12" i="21"/>
  <c r="A11" i="21"/>
  <c r="O12" i="21"/>
  <c r="U10" i="21"/>
  <c r="J11" i="21"/>
  <c r="T12" i="21"/>
  <c r="V10" i="20"/>
  <c r="B11" i="20"/>
  <c r="A11" i="20"/>
  <c r="W10" i="20"/>
  <c r="T11" i="20"/>
  <c r="V11" i="20" s="1"/>
  <c r="A12" i="21" l="1"/>
  <c r="W11" i="21"/>
  <c r="U11" i="21"/>
  <c r="J12" i="21"/>
  <c r="V11" i="21"/>
  <c r="U11" i="20"/>
  <c r="W11" i="20"/>
  <c r="U12" i="21" l="1"/>
  <c r="W12" i="21"/>
  <c r="V12" i="21"/>
</calcChain>
</file>

<file path=xl/sharedStrings.xml><?xml version="1.0" encoding="utf-8"?>
<sst xmlns="http://schemas.openxmlformats.org/spreadsheetml/2006/main" count="791" uniqueCount="209">
  <si>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</si>
  <si>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</si>
  <si>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</si>
  <si>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</si>
  <si>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</si>
  <si>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</si>
  <si>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</si>
  <si>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</si>
  <si>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</si>
  <si>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</si>
  <si>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</si>
  <si>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</si>
  <si>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</si>
  <si>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</si>
  <si>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</si>
  <si>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</si>
  <si>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</si>
  <si>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</si>
  <si>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</si>
  <si>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</si>
  <si>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</si>
  <si>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</si>
  <si>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</si>
  <si>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</si>
  <si>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</si>
  <si>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</si>
  <si>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</si>
  <si>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</si>
  <si>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</si>
  <si>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</si>
  <si>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</si>
  <si>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</si>
  <si>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</si>
  <si>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</si>
  <si>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</si>
  <si>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</si>
  <si>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</si>
  <si>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</si>
  <si>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</si>
  <si>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</si>
  <si>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</si>
  <si>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</si>
  <si>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</si>
  <si>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</si>
  <si>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</si>
  <si>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</si>
  <si>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</si>
  <si>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</si>
  <si>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</si>
  <si>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</si>
  <si>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</si>
  <si>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</si>
  <si>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</si>
  <si>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</si>
  <si>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</si>
  <si>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</si>
  <si>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</si>
  <si>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</si>
  <si>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</si>
  <si>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</si>
  <si>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</si>
  <si>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</si>
  <si>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</si>
  <si>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</si>
  <si>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</si>
  <si>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</si>
  <si>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</si>
  <si>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</si>
  <si>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</si>
  <si>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</si>
  <si>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</si>
  <si>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</si>
  <si>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</si>
  <si>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</si>
  <si>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</si>
  <si>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</si>
  <si>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</si>
  <si>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</si>
  <si>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</si>
  <si>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</si>
  <si>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</si>
  <si>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</si>
  <si>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</si>
  <si>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</si>
  <si>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</si>
  <si>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</si>
  <si>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</si>
  <si>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</si>
  <si>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</si>
  <si>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</si>
  <si>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</si>
  <si>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</si>
  <si>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</si>
  <si>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</si>
  <si>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</si>
  <si>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</si>
  <si>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</si>
  <si>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</si>
  <si>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</si>
  <si>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</si>
  <si>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</si>
  <si>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</si>
  <si>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</si>
  <si>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</si>
  <si>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</si>
  <si>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</si>
  <si>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</si>
  <si>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</si>
  <si>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</si>
  <si>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</si>
  <si>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</si>
  <si>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</si>
  <si>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</si>
  <si>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</si>
  <si>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</si>
  <si>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</si>
  <si>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</si>
  <si>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</si>
  <si>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</si>
  <si>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</si>
  <si>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</si>
  <si>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</si>
  <si>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</si>
  <si>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</si>
  <si>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</si>
  <si>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</si>
  <si>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</si>
  <si>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</si>
  <si>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</si>
  <si>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</si>
  <si>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</si>
  <si>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</si>
  <si>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</si>
  <si>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</si>
  <si>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</si>
  <si>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</si>
  <si>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</si>
  <si>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</si>
  <si>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</si>
  <si>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</si>
  <si>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</si>
  <si>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</si>
  <si>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</si>
  <si>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</si>
  <si>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</si>
  <si>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</si>
  <si>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</si>
  <si>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</si>
  <si>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</si>
  <si>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</si>
  <si>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</si>
  <si>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</si>
  <si>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</si>
  <si>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</si>
  <si>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</si>
  <si>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</si>
  <si>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</si>
  <si>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</si>
  <si>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</si>
  <si>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</si>
  <si>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</si>
  <si>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</si>
  <si>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</si>
  <si>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</si>
  <si>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</si>
  <si>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</si>
  <si>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</si>
  <si>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</si>
  <si>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</si>
  <si>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</si>
  <si>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</si>
  <si>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</si>
  <si>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</si>
  <si>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</si>
  <si>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</si>
  <si>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</si>
  <si>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</si>
  <si>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</si>
  <si>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</si>
  <si>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</si>
  <si>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</si>
  <si>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</si>
  <si>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</si>
  <si>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</si>
  <si>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</si>
  <si>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</si>
  <si>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</si>
  <si>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</si>
  <si>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</si>
  <si>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</si>
  <si>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</si>
  <si>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</si>
  <si>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</si>
  <si>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ともき</t>
  </si>
  <si>
    <t>ともき</t>
    <phoneticPr fontId="1"/>
  </si>
  <si>
    <t>ただ</t>
  </si>
  <si>
    <t>ただ</t>
    <phoneticPr fontId="1"/>
  </si>
  <si>
    <t>ツモ</t>
  </si>
  <si>
    <t>ツモ支払</t>
  </si>
  <si>
    <t>01</t>
  </si>
  <si>
    <t>放銃</t>
  </si>
  <si>
    <t>ロン</t>
  </si>
  <si>
    <t>*</t>
  </si>
  <si>
    <t>52</t>
  </si>
  <si>
    <t>のり</t>
  </si>
  <si>
    <t>のり</t>
    <phoneticPr fontId="1"/>
  </si>
  <si>
    <t>N</t>
  </si>
  <si>
    <t>流局</t>
    <phoneticPr fontId="1"/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</si>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</sst>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ともき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ともき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198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199</v>
      </c>
      <c r="AF4" s="41" t="s">
        <v>82</v>
      </c>
      <c r="AG4" s="41" t="s">
        <v>86</v>
      </c>
      <c r="AH4" s="41" t="s">
        <v>86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48000</v>
      </c>
      <c r="K5" s="8" t="s">
        <v>200</v>
      </c>
      <c r="L5" s="9">
        <v>-8000</v>
      </c>
      <c r="M5" s="9"/>
      <c r="N5" s="48">
        <v>-1000</v>
      </c>
      <c r="O5" s="21">
        <f t="shared" ref="O5:O30" si="3">IF(COUNTA($F5,$K5,$P5)&gt;0,O4+SUM(L5:N5),"")</f>
        <v>19000</v>
      </c>
      <c r="P5" s="8" t="s">
        <v>201</v>
      </c>
      <c r="Q5" s="9">
        <v>8000</v>
      </c>
      <c r="R5" s="9"/>
      <c r="S5" s="48">
        <v>1000</v>
      </c>
      <c r="T5" s="21">
        <f t="shared" ref="T5:T30" si="4">IF(COUNTA($F5,$K5,$P5)&gt;0,T4+SUM(Q5:S5),"")</f>
        <v>38000</v>
      </c>
      <c r="U5" s="53">
        <f>IF($J5="","",ROUND(($J5-$J$3)/1000,1)+(_xlfn.RANK.AVG($J5,($J5,$O5,$T5),1)-2)*10)</f>
        <v>23</v>
      </c>
      <c r="V5" s="54">
        <f>IF($O5="","",ROUND(($O5-$O$3)/1000,1)+(_xlfn.RANK.AVG($O5,($J5,$O5,$T5),1)-2)*10)</f>
        <v>-26</v>
      </c>
      <c r="W5" s="55">
        <f>IF($T5="","",ROUND(($T5-$T$3)/1000,1)+(_xlfn.RANK.AVG($T5,($J5,$O5,$T5),1)-2)*10)</f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40</v>
      </c>
      <c r="BU5" s="40" t="s">
        <v>93</v>
      </c>
      <c r="BV5" s="41" t="s">
        <v>86</v>
      </c>
      <c r="BW5" s="41" t="s">
        <v>86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-1500</v>
      </c>
      <c r="H6" s="9"/>
      <c r="I6" s="48">
        <v>0</v>
      </c>
      <c r="J6" s="21">
        <f t="shared" si="2"/>
        <v>46500</v>
      </c>
      <c r="K6" s="8" t="s">
        <v>198</v>
      </c>
      <c r="L6" s="9">
        <v>-2500</v>
      </c>
      <c r="M6" s="9"/>
      <c r="N6" s="48">
        <v>0</v>
      </c>
      <c r="O6" s="21">
        <f t="shared" si="3"/>
        <v>16500</v>
      </c>
      <c r="P6" s="8" t="s">
        <v>197</v>
      </c>
      <c r="Q6" s="9">
        <v>4000</v>
      </c>
      <c r="R6" s="9"/>
      <c r="S6" s="48">
        <v>0</v>
      </c>
      <c r="T6" s="21">
        <f t="shared" si="4"/>
        <v>42000</v>
      </c>
      <c r="U6" s="53">
        <f>IF($J6="","",ROUND(($J6-$J$3)/1000,1)+(_xlfn.RANK.AVG($J6,($J6,$O6,$T6),1)-2)*10)</f>
        <v>21.5</v>
      </c>
      <c r="V6" s="54">
        <f>IF($O6="","",ROUND(($O6-$O$3)/1000,1)+(_xlfn.RANK.AVG($O6,($J6,$O6,$T6),1)-2)*10)</f>
        <v>-28.5</v>
      </c>
      <c r="W6" s="55">
        <f>IF($T6="","",ROUND(($T6-$T$3)/1000,1)+(_xlfn.RANK.AVG($T6,($J6,$O6,$T6),1)-2)*10)</f>
        <v>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199</v>
      </c>
      <c r="BV6" s="41" t="s">
        <v>82</v>
      </c>
      <c r="BW6" s="41" t="s">
        <v>80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197</v>
      </c>
      <c r="G7" s="9">
        <v>5300</v>
      </c>
      <c r="H7" s="9"/>
      <c r="I7" s="48">
        <v>0</v>
      </c>
      <c r="J7" s="21">
        <f t="shared" si="2"/>
        <v>51800</v>
      </c>
      <c r="K7" s="8" t="s">
        <v>198</v>
      </c>
      <c r="L7" s="9">
        <v>-2000</v>
      </c>
      <c r="M7" s="9"/>
      <c r="N7" s="48">
        <v>0</v>
      </c>
      <c r="O7" s="21">
        <f t="shared" si="3"/>
        <v>14500</v>
      </c>
      <c r="P7" s="8" t="s">
        <v>198</v>
      </c>
      <c r="Q7" s="9">
        <v>-3300</v>
      </c>
      <c r="R7" s="9"/>
      <c r="S7" s="48">
        <v>0</v>
      </c>
      <c r="T7" s="21">
        <f t="shared" si="4"/>
        <v>38700</v>
      </c>
      <c r="U7" s="53">
        <f>IF($J7="","",ROUND(($J7-$J$3)/1000,1)+(_xlfn.RANK.AVG($J7,($J7,$O7,$T7),1)-2)*10)</f>
        <v>26.8</v>
      </c>
      <c r="V7" s="54">
        <f>IF($O7="","",ROUND(($O7-$O$3)/1000,1)+(_xlfn.RANK.AVG($O7,($J7,$O7,$T7),1)-2)*10)</f>
        <v>-30.5</v>
      </c>
      <c r="W7" s="55">
        <f>IF($T7="","",ROUND(($T7-$T$3)/1000,1)+(_xlfn.RANK.AVG($T7,($J7,$O7,$T7),1)-2)*10)</f>
        <v>3.7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199</v>
      </c>
      <c r="AF7" s="41" t="s">
        <v>82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11600</v>
      </c>
      <c r="H8" s="9"/>
      <c r="I8" s="48">
        <v>0</v>
      </c>
      <c r="J8" s="21">
        <f t="shared" si="2"/>
        <v>63400</v>
      </c>
      <c r="K8" s="8" t="s">
        <v>198</v>
      </c>
      <c r="L8" s="9">
        <v>-5800</v>
      </c>
      <c r="M8" s="9"/>
      <c r="N8" s="48">
        <v>0</v>
      </c>
      <c r="O8" s="21">
        <f t="shared" si="3"/>
        <v>8700</v>
      </c>
      <c r="P8" s="8" t="s">
        <v>198</v>
      </c>
      <c r="Q8" s="9">
        <v>-5800</v>
      </c>
      <c r="R8" s="9"/>
      <c r="S8" s="48">
        <v>0</v>
      </c>
      <c r="T8" s="21">
        <f t="shared" si="4"/>
        <v>32900</v>
      </c>
      <c r="U8" s="53">
        <f>IF($J8="","",ROUND(($J8-$J$3)/1000,1)+(_xlfn.RANK.AVG($J8,($J8,$O8,$T8),1)-2)*10)</f>
        <v>38.4</v>
      </c>
      <c r="V8" s="54">
        <f>IF($O8="","",ROUND(($O8-$O$3)/1000,1)+(_xlfn.RANK.AVG($O8,($J8,$O8,$T8),1)-2)*10)</f>
        <v>-36.299999999999997</v>
      </c>
      <c r="W8" s="55">
        <f>IF($T8="","",ROUND(($T8-$T$3)/1000,1)+(_xlfn.RANK.AVG($T8,($J8,$O8,$T8),1)-2)*10)</f>
        <v>-2.1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199</v>
      </c>
      <c r="AF8" s="41" t="s">
        <v>82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198</v>
      </c>
      <c r="G9" s="9">
        <v>-4000</v>
      </c>
      <c r="H9" s="9"/>
      <c r="I9" s="48">
        <v>-500</v>
      </c>
      <c r="J9" s="21">
        <f t="shared" si="2"/>
        <v>58900</v>
      </c>
      <c r="K9" s="8" t="s">
        <v>197</v>
      </c>
      <c r="L9" s="9">
        <v>6400</v>
      </c>
      <c r="M9" s="9"/>
      <c r="N9" s="48">
        <v>1000</v>
      </c>
      <c r="O9" s="21">
        <f t="shared" si="3"/>
        <v>16100</v>
      </c>
      <c r="P9" s="8" t="s">
        <v>198</v>
      </c>
      <c r="Q9" s="9">
        <v>-2400</v>
      </c>
      <c r="R9" s="9"/>
      <c r="S9" s="48">
        <v>-500</v>
      </c>
      <c r="T9" s="21">
        <f t="shared" si="4"/>
        <v>30000</v>
      </c>
      <c r="U9" s="53">
        <f>IF($J9="","",ROUND(($J9-$J$3)/1000,1)+(_xlfn.RANK.AVG($J9,($J9,$O9,$T9),1)-2)*10)</f>
        <v>33.9</v>
      </c>
      <c r="V9" s="54">
        <f>IF($O9="","",ROUND(($O9-$O$3)/1000,1)+(_xlfn.RANK.AVG($O9,($J9,$O9,$T9),1)-2)*10)</f>
        <v>-28.9</v>
      </c>
      <c r="W9" s="55">
        <f>IF($T9="","",ROUND(($T9-$T$3)/1000,1)+(_xlfn.RANK.AVG($T9,($J9,$O9,$T9),1)-2)*10)</f>
        <v>-5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50</v>
      </c>
      <c r="AZ9" s="40" t="s">
        <v>89</v>
      </c>
      <c r="BA9" s="41" t="s">
        <v>86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201</v>
      </c>
      <c r="G10" s="9">
        <v>1300</v>
      </c>
      <c r="H10" s="9">
        <v>1000</v>
      </c>
      <c r="I10" s="48">
        <v>0</v>
      </c>
      <c r="J10" s="21">
        <f t="shared" si="2"/>
        <v>61200</v>
      </c>
      <c r="K10" s="8"/>
      <c r="L10" s="9"/>
      <c r="M10" s="9">
        <v>-1000</v>
      </c>
      <c r="N10" s="48"/>
      <c r="O10" s="21">
        <f t="shared" si="3"/>
        <v>15100</v>
      </c>
      <c r="P10" s="8" t="s">
        <v>200</v>
      </c>
      <c r="Q10" s="9">
        <v>-1300</v>
      </c>
      <c r="R10" s="9"/>
      <c r="S10" s="48">
        <v>0</v>
      </c>
      <c r="T10" s="21">
        <f t="shared" si="4"/>
        <v>28700</v>
      </c>
      <c r="U10" s="53">
        <f>IF($J10="","",ROUND(($J10-$J$3)/1000,1)+(_xlfn.RANK.AVG($J10,($J10,$O10,$T10),1)-2)*10)</f>
        <v>36.200000000000003</v>
      </c>
      <c r="V10" s="54">
        <f>IF($O10="","",ROUND(($O10-$O$3)/1000,1)+(_xlfn.RANK.AVG($O10,($J10,$O10,$T10),1)-2)*10)</f>
        <v>-29.9</v>
      </c>
      <c r="W10" s="55">
        <f>IF($T10="","",ROUND(($T10-$T$3)/1000,1)+(_xlfn.RANK.AVG($T10,($J10,$O10,$T10),1)-2)*10)</f>
        <v>-6.3</v>
      </c>
      <c r="Y10" s="8"/>
      <c r="Z10" s="34"/>
      <c r="AA10" s="26">
        <v>1</v>
      </c>
      <c r="AB10" s="26"/>
      <c r="AC10" s="26">
        <v>1</v>
      </c>
      <c r="AD10" s="30">
        <v>40</v>
      </c>
      <c r="AE10" s="40" t="s">
        <v>199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-4500</v>
      </c>
      <c r="H11" s="9"/>
      <c r="I11" s="48">
        <v>0</v>
      </c>
      <c r="J11" s="21">
        <f t="shared" si="2"/>
        <v>56700</v>
      </c>
      <c r="K11" s="8" t="s">
        <v>197</v>
      </c>
      <c r="L11" s="9">
        <v>12000</v>
      </c>
      <c r="M11" s="9"/>
      <c r="N11" s="48">
        <v>0</v>
      </c>
      <c r="O11" s="21">
        <f t="shared" si="3"/>
        <v>27100</v>
      </c>
      <c r="P11" s="8" t="s">
        <v>198</v>
      </c>
      <c r="Q11" s="9">
        <v>-7500</v>
      </c>
      <c r="R11" s="9"/>
      <c r="S11" s="48">
        <v>0</v>
      </c>
      <c r="T11" s="21">
        <f t="shared" si="4"/>
        <v>21200</v>
      </c>
      <c r="U11" s="53">
        <f>IF($J11="","",ROUND(($J11-$J$3)/1000,1)+(_xlfn.RANK.AVG($J11,($J11,$O11,$T11),1)-2)*10)</f>
        <v>31.7</v>
      </c>
      <c r="V11" s="54">
        <f>IF($O11="","",ROUND(($O11-$O$3)/1000,1)+(_xlfn.RANK.AVG($O11,($J11,$O11,$T11),1)-2)*10)</f>
        <v>-7.9</v>
      </c>
      <c r="W11" s="55">
        <f>IF($T11="","",ROUND(($T11-$T$3)/1000,1)+(_xlfn.RANK.AVG($T11,($J11,$O11,$T11),1)-2)*10)</f>
        <v>-23.8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202</v>
      </c>
      <c r="AZ11" s="40" t="s">
        <v>199</v>
      </c>
      <c r="BA11" s="41" t="s">
        <v>82</v>
      </c>
      <c r="BB11" s="41" t="s">
        <v>79</v>
      </c>
      <c r="BC11" s="41" t="s">
        <v>79</v>
      </c>
      <c r="BD11" s="41" t="s">
        <v>80</v>
      </c>
      <c r="BE11" s="41" t="s">
        <v>203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786646C-07F8-47AD-8549-9679542D8392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81853-CA99-4EBA-9468-73F65B6960C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205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のり</v>
      </c>
      <c r="F4" s="8" t="s">
        <v>198</v>
      </c>
      <c r="G4" s="9">
        <v>-2500</v>
      </c>
      <c r="H4" s="9">
        <v>-1000</v>
      </c>
      <c r="I4" s="48">
        <v>0</v>
      </c>
      <c r="J4" s="21">
        <f>IF(COUNTA($F4,$K4,$P4)&gt;0,J3+SUM(G4:I4),"")</f>
        <v>31500</v>
      </c>
      <c r="K4" s="8" t="s">
        <v>198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4000</v>
      </c>
      <c r="R4" s="9">
        <v>1000</v>
      </c>
      <c r="S4" s="48">
        <v>0</v>
      </c>
      <c r="T4" s="21">
        <f>IF(COUNTA($F4,$K4,$P4)&gt;0,T3+SUM(Q4:S4),"")</f>
        <v>40000</v>
      </c>
      <c r="U4" s="53">
        <f>IF($J4="","",ROUND(($J4-$J$3)/1000,1)+(_xlfn.RANK.AVG($J4,($J4,$O4,$T4),1)-2)*10)</f>
        <v>-13.5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199</v>
      </c>
      <c r="BV4" s="41" t="s">
        <v>82</v>
      </c>
      <c r="BW4" s="41" t="s">
        <v>203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-7700</v>
      </c>
      <c r="H5" s="9"/>
      <c r="I5" s="48">
        <v>0</v>
      </c>
      <c r="J5" s="21">
        <f t="shared" ref="J5:J30" si="2">IF(COUNTA($F5,$K5,$P5)&gt;0,J4+SUM(G5:I5),"")</f>
        <v>23800</v>
      </c>
      <c r="K5" s="8" t="s">
        <v>201</v>
      </c>
      <c r="L5" s="9">
        <v>7700</v>
      </c>
      <c r="M5" s="9"/>
      <c r="N5" s="48">
        <v>0</v>
      </c>
      <c r="O5" s="21">
        <f t="shared" ref="O5:O30" si="3">IF(COUNTA($F5,$K5,$P5)&gt;0,O4+SUM(L5:N5),"")</f>
        <v>41200</v>
      </c>
      <c r="P5" s="8"/>
      <c r="Q5" s="9"/>
      <c r="R5" s="9"/>
      <c r="S5" s="48"/>
      <c r="T5" s="21">
        <f t="shared" ref="T5:T30" si="4">IF(COUNTA($F5,$K5,$P5)&gt;0,T4+SUM(Q5:S5),"")</f>
        <v>40000</v>
      </c>
      <c r="U5" s="53">
        <f>IF($J5="","",ROUND(($J5-$J$3)/1000,1)+(_xlfn.RANK.AVG($J5,($J5,$O5,$T5),1)-2)*10)</f>
        <v>-21.2</v>
      </c>
      <c r="V5" s="54">
        <f>IF($O5="","",ROUND(($O5-$O$3)/1000,1)+(_xlfn.RANK.AVG($O5,($J5,$O5,$T5),1)-2)*10)</f>
        <v>16.2</v>
      </c>
      <c r="W5" s="55">
        <f>IF($T5="","",ROUND(($T5-$T$3)/1000,1)+(_xlfn.RANK.AVG($T5,($J5,$O5,$T5),1)-2)*10)</f>
        <v>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40</v>
      </c>
      <c r="AZ5" s="40" t="s">
        <v>92</v>
      </c>
      <c r="BA5" s="41" t="s">
        <v>203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23800</v>
      </c>
      <c r="K6" s="8" t="s">
        <v>200</v>
      </c>
      <c r="L6" s="9">
        <v>-5200</v>
      </c>
      <c r="M6" s="9">
        <v>-1000</v>
      </c>
      <c r="N6" s="48">
        <v>-1000</v>
      </c>
      <c r="O6" s="21">
        <f t="shared" si="3"/>
        <v>34000</v>
      </c>
      <c r="P6" s="8" t="s">
        <v>201</v>
      </c>
      <c r="Q6" s="9">
        <v>5200</v>
      </c>
      <c r="R6" s="9">
        <v>1000</v>
      </c>
      <c r="S6" s="48">
        <v>1000</v>
      </c>
      <c r="T6" s="21">
        <f t="shared" si="4"/>
        <v>47200</v>
      </c>
      <c r="U6" s="53">
        <f>IF($J6="","",ROUND(($J6-$J$3)/1000,1)+(_xlfn.RANK.AVG($J6,($J6,$O6,$T6),1)-2)*10)</f>
        <v>-21.2</v>
      </c>
      <c r="V6" s="54">
        <f>IF($O6="","",ROUND(($O6-$O$3)/1000,1)+(_xlfn.RANK.AVG($O6,($J6,$O6,$T6),1)-2)*10)</f>
        <v>-1</v>
      </c>
      <c r="W6" s="55">
        <f>IF($T6="","",ROUND(($T6-$T$3)/1000,1)+(_xlfn.RANK.AVG($T6,($J6,$O6,$T6),1)-2)*10)</f>
        <v>22.2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40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-800</v>
      </c>
      <c r="H7" s="9"/>
      <c r="I7" s="48">
        <v>0</v>
      </c>
      <c r="J7" s="21">
        <f t="shared" si="2"/>
        <v>23000</v>
      </c>
      <c r="K7" s="8" t="s">
        <v>198</v>
      </c>
      <c r="L7" s="9">
        <v>-800</v>
      </c>
      <c r="M7" s="9"/>
      <c r="N7" s="48">
        <v>0</v>
      </c>
      <c r="O7" s="21">
        <f t="shared" si="3"/>
        <v>33200</v>
      </c>
      <c r="P7" s="8" t="s">
        <v>197</v>
      </c>
      <c r="Q7" s="9">
        <v>1600</v>
      </c>
      <c r="R7" s="9"/>
      <c r="S7" s="48">
        <v>0</v>
      </c>
      <c r="T7" s="21">
        <f t="shared" si="4"/>
        <v>48800</v>
      </c>
      <c r="U7" s="53">
        <f>IF($J7="","",ROUND(($J7-$J$3)/1000,1)+(_xlfn.RANK.AVG($J7,($J7,$O7,$T7),1)-2)*10)</f>
        <v>-22</v>
      </c>
      <c r="V7" s="54">
        <f>IF($O7="","",ROUND(($O7-$O$3)/1000,1)+(_xlfn.RANK.AVG($O7,($J7,$O7,$T7),1)-2)*10)</f>
        <v>-1.8</v>
      </c>
      <c r="W7" s="55">
        <f>IF($T7="","",ROUND(($T7-$T$3)/1000,1)+(_xlfn.RANK.AVG($T7,($J7,$O7,$T7),1)-2)*10)</f>
        <v>23.8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198</v>
      </c>
      <c r="G8" s="9">
        <v>-1500</v>
      </c>
      <c r="H8" s="9"/>
      <c r="I8" s="48">
        <v>-500</v>
      </c>
      <c r="J8" s="21">
        <f t="shared" si="2"/>
        <v>21000</v>
      </c>
      <c r="K8" s="8" t="s">
        <v>197</v>
      </c>
      <c r="L8" s="9">
        <v>4000</v>
      </c>
      <c r="M8" s="9"/>
      <c r="N8" s="48">
        <v>1000</v>
      </c>
      <c r="O8" s="21">
        <f t="shared" si="3"/>
        <v>38200</v>
      </c>
      <c r="P8" s="8" t="s">
        <v>198</v>
      </c>
      <c r="Q8" s="9">
        <v>-2500</v>
      </c>
      <c r="R8" s="9"/>
      <c r="S8" s="48">
        <v>-500</v>
      </c>
      <c r="T8" s="21">
        <f t="shared" si="4"/>
        <v>45800</v>
      </c>
      <c r="U8" s="53">
        <f>IF($J8="","",ROUND(($J8-$J$3)/1000,1)+(_xlfn.RANK.AVG($J8,($J8,$O8,$T8),1)-2)*10)</f>
        <v>-24</v>
      </c>
      <c r="V8" s="54">
        <f>IF($O8="","",ROUND(($O8-$O$3)/1000,1)+(_xlfn.RANK.AVG($O8,($J8,$O8,$T8),1)-2)*10)</f>
        <v>3.2</v>
      </c>
      <c r="W8" s="55">
        <f>IF($T8="","",ROUND(($T8-$T$3)/1000,1)+(_xlfn.RANK.AVG($T8,($J8,$O8,$T8),1)-2)*10)</f>
        <v>20.8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199</v>
      </c>
      <c r="BA8" s="41" t="s">
        <v>82</v>
      </c>
      <c r="BB8" s="41" t="s">
        <v>203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201</v>
      </c>
      <c r="G9" s="9">
        <v>12000</v>
      </c>
      <c r="H9" s="9">
        <v>1000</v>
      </c>
      <c r="I9" s="48">
        <v>0</v>
      </c>
      <c r="J9" s="21">
        <f t="shared" si="2"/>
        <v>34000</v>
      </c>
      <c r="K9" s="8" t="s">
        <v>200</v>
      </c>
      <c r="L9" s="9">
        <v>-12000</v>
      </c>
      <c r="M9" s="9">
        <v>-1000</v>
      </c>
      <c r="N9" s="48">
        <v>0</v>
      </c>
      <c r="O9" s="21">
        <f t="shared" si="3"/>
        <v>25200</v>
      </c>
      <c r="P9" s="8"/>
      <c r="Q9" s="9"/>
      <c r="R9" s="9"/>
      <c r="S9" s="48"/>
      <c r="T9" s="21">
        <f t="shared" si="4"/>
        <v>45800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-19.8</v>
      </c>
      <c r="W9" s="55">
        <f>IF($T9="","",ROUND(($T9-$T$3)/1000,1)+(_xlfn.RANK.AVG($T9,($J9,$O9,$T9),1)-2)*10)</f>
        <v>20.8</v>
      </c>
      <c r="Y9" s="8"/>
      <c r="Z9" s="34"/>
      <c r="AA9" s="26"/>
      <c r="AB9" s="26">
        <v>1</v>
      </c>
      <c r="AC9" s="26">
        <v>5</v>
      </c>
      <c r="AD9" s="30" t="s">
        <v>202</v>
      </c>
      <c r="AE9" s="40" t="s">
        <v>104</v>
      </c>
      <c r="AF9" s="41" t="s">
        <v>98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204</v>
      </c>
      <c r="F10" s="8" t="s">
        <v>207</v>
      </c>
      <c r="G10" s="9">
        <v>0</v>
      </c>
      <c r="H10" s="9"/>
      <c r="I10" s="48"/>
      <c r="J10" s="21">
        <f t="shared" si="2"/>
        <v>34000</v>
      </c>
      <c r="K10" s="8" t="s">
        <v>207</v>
      </c>
      <c r="L10" s="9">
        <v>0</v>
      </c>
      <c r="M10" s="9"/>
      <c r="N10" s="48"/>
      <c r="O10" s="21">
        <f t="shared" si="3"/>
        <v>25200</v>
      </c>
      <c r="P10" s="8" t="s">
        <v>207</v>
      </c>
      <c r="Q10" s="9">
        <v>0</v>
      </c>
      <c r="R10" s="9"/>
      <c r="S10" s="48"/>
      <c r="T10" s="21">
        <f t="shared" si="4"/>
        <v>45800</v>
      </c>
      <c r="U10" s="53">
        <f>IF($J10="","",ROUND(($J10-$J$3)/1000,1)+(_xlfn.RANK.AVG($J10,($J10,$O10,$T10),1)-2)*10)</f>
        <v>-1</v>
      </c>
      <c r="V10" s="54">
        <f>IF($O10="","",ROUND(($O10-$O$3)/1000,1)+(_xlfn.RANK.AVG($O10,($J10,$O10,$T10),1)-2)*10)</f>
        <v>-19.8</v>
      </c>
      <c r="W10" s="55">
        <f>IF($T10="","",ROUND(($T10-$T$3)/1000,1)+(_xlfn.RANK.AVG($T10,($J10,$O10,$T10),1)-2)*10)</f>
        <v>20.8</v>
      </c>
      <c r="Y10" s="8" t="s">
        <v>206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195</v>
      </c>
      <c r="F11" s="8"/>
      <c r="G11" s="9"/>
      <c r="H11" s="9">
        <v>-1000</v>
      </c>
      <c r="I11" s="48"/>
      <c r="J11" s="21">
        <f t="shared" si="2"/>
        <v>33000</v>
      </c>
      <c r="K11" s="8" t="s">
        <v>200</v>
      </c>
      <c r="L11" s="9">
        <v>-2600</v>
      </c>
      <c r="M11" s="9"/>
      <c r="N11" s="48">
        <v>-2000</v>
      </c>
      <c r="O11" s="21">
        <f t="shared" si="3"/>
        <v>20600</v>
      </c>
      <c r="P11" s="8" t="s">
        <v>201</v>
      </c>
      <c r="Q11" s="9">
        <v>2600</v>
      </c>
      <c r="R11" s="9">
        <v>1000</v>
      </c>
      <c r="S11" s="48">
        <v>2000</v>
      </c>
      <c r="T11" s="21">
        <f t="shared" si="4"/>
        <v>51400</v>
      </c>
      <c r="U11" s="53">
        <f>IF($J11="","",ROUND(($J11-$J$3)/1000,1)+(_xlfn.RANK.AVG($J11,($J11,$O11,$T11),1)-2)*10)</f>
        <v>-2</v>
      </c>
      <c r="V11" s="54">
        <f>IF($O11="","",ROUND(($O11-$O$3)/1000,1)+(_xlfn.RANK.AVG($O11,($J11,$O11,$T11),1)-2)*10)</f>
        <v>-24.4</v>
      </c>
      <c r="W11" s="55">
        <f>IF($T11="","",ROUND(($T11-$T$3)/1000,1)+(_xlfn.RANK.AVG($T11,($J11,$O11,$T11),1)-2)*10)</f>
        <v>26.4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40</v>
      </c>
      <c r="BU11" s="40" t="s">
        <v>86</v>
      </c>
      <c r="BV11" s="41" t="s">
        <v>203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200</v>
      </c>
      <c r="G12" s="9">
        <v>-5800</v>
      </c>
      <c r="H12" s="9"/>
      <c r="I12" s="48">
        <v>0</v>
      </c>
      <c r="J12" s="21">
        <f t="shared" si="2"/>
        <v>27200</v>
      </c>
      <c r="K12" s="8"/>
      <c r="L12" s="9"/>
      <c r="M12" s="9"/>
      <c r="N12" s="48"/>
      <c r="O12" s="21">
        <f t="shared" si="3"/>
        <v>20600</v>
      </c>
      <c r="P12" s="8" t="s">
        <v>201</v>
      </c>
      <c r="Q12" s="9">
        <v>5800</v>
      </c>
      <c r="R12" s="9"/>
      <c r="S12" s="48">
        <v>0</v>
      </c>
      <c r="T12" s="21">
        <f t="shared" si="4"/>
        <v>57200</v>
      </c>
      <c r="U12" s="53">
        <f>IF($J12="","",ROUND(($J12-$J$3)/1000,1)+(_xlfn.RANK.AVG($J12,($J12,$O12,$T12),1)-2)*10)</f>
        <v>-7.8</v>
      </c>
      <c r="V12" s="54">
        <f>IF($O12="","",ROUND(($O12-$O$3)/1000,1)+(_xlfn.RANK.AVG($O12,($J12,$O12,$T12),1)-2)*10)</f>
        <v>-24.4</v>
      </c>
      <c r="W12" s="55">
        <f>IF($T12="","",ROUND(($T12-$T$3)/1000,1)+(_xlfn.RANK.AVG($T12,($J12,$O12,$T12),1)-2)*10)</f>
        <v>32.200000000000003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1E8044C2-534F-4DFE-B438-684CAB6B00AB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403E4AFC-7C4A-4F0D-80A9-E26060ECE4AF}">
      <formula1>"ロン,ツモ,放銃,ツモ支払,流局,チョンボ"</formula1>
    </dataValidation>
    <dataValidation type="list" allowBlank="1" showInputMessage="1" showErrorMessage="1" sqref="E4:E30" xr:uid="{4FC88E9B-D747-4841-888D-A59854BE80E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75A4-9EE0-4A82-81E1-42EE49F006B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のり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198</v>
      </c>
      <c r="L4" s="9">
        <v>-1500</v>
      </c>
      <c r="M4" s="9">
        <v>-1000</v>
      </c>
      <c r="N4" s="48">
        <v>0</v>
      </c>
      <c r="O4" s="21">
        <f>IF(COUNTA($F4,$K4,$P4)&gt;0,O3+SUM(L4:N4),"")</f>
        <v>32500</v>
      </c>
      <c r="P4" s="8" t="s">
        <v>197</v>
      </c>
      <c r="Q4" s="9">
        <v>4000</v>
      </c>
      <c r="R4" s="9">
        <v>1000</v>
      </c>
      <c r="S4" s="48">
        <v>0</v>
      </c>
      <c r="T4" s="21">
        <f>IF(COUNTA($F4,$K4,$P4)&gt;0,T3+SUM(Q4:S4),"")</f>
        <v>40000</v>
      </c>
      <c r="U4" s="53">
        <f>IF($J4="","",ROUND(($J4-$J$3)/1000,1)+(_xlfn.RANK.AVG($J4,($J4,$O4,$T4),1)-2)*10)</f>
        <v>-7.5</v>
      </c>
      <c r="V4" s="54">
        <f>IF($O4="","",ROUND(($O4-$O$3)/1000,1)+(_xlfn.RANK.AVG($O4,($J4,$O4,$T4),1)-2)*10)</f>
        <v>-7.5</v>
      </c>
      <c r="W4" s="55">
        <f>IF($T4="","",ROUND(($T4-$T$3)/1000,1)+(_xlfn.RANK.AVG($T4,($J4,$O4,$T4),1)-2)*10)</f>
        <v>15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199</v>
      </c>
      <c r="BV4" s="41" t="s">
        <v>82</v>
      </c>
      <c r="BW4" s="41" t="s">
        <v>80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/>
      <c r="G5" s="9"/>
      <c r="H5" s="9"/>
      <c r="I5" s="48"/>
      <c r="J5" s="21">
        <f t="shared" ref="J5:J30" si="2">IF(COUNTA($F5,$K5,$P5)&gt;0,J4+SUM(G5:I5),"")</f>
        <v>32500</v>
      </c>
      <c r="K5" s="8" t="s">
        <v>201</v>
      </c>
      <c r="L5" s="9">
        <v>24000</v>
      </c>
      <c r="M5" s="9">
        <v>1000</v>
      </c>
      <c r="N5" s="48">
        <v>0</v>
      </c>
      <c r="O5" s="21">
        <f t="shared" ref="O5:O30" si="3">IF(COUNTA($F5,$K5,$P5)&gt;0,O4+SUM(L5:N5),"")</f>
        <v>57500</v>
      </c>
      <c r="P5" s="8" t="s">
        <v>200</v>
      </c>
      <c r="Q5" s="9">
        <v>-24000</v>
      </c>
      <c r="R5" s="9">
        <v>-1000</v>
      </c>
      <c r="S5" s="48">
        <v>0</v>
      </c>
      <c r="T5" s="21">
        <f t="shared" ref="T5:T30" si="4">IF(COUNTA($F5,$K5,$P5)&gt;0,T4+SUM(Q5:S5),"")</f>
        <v>15000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32.5</v>
      </c>
      <c r="W5" s="55">
        <f>IF($T5="","",ROUND(($T5-$T$3)/1000,1)+(_xlfn.RANK.AVG($T5,($J5,$O5,$T5),1)-2)*10)</f>
        <v>-30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202</v>
      </c>
      <c r="AZ5" s="40" t="s">
        <v>199</v>
      </c>
      <c r="BA5" s="41" t="s">
        <v>79</v>
      </c>
      <c r="BB5" s="41" t="s">
        <v>80</v>
      </c>
      <c r="BC5" s="41" t="s">
        <v>80</v>
      </c>
      <c r="BD5" s="41" t="s">
        <v>80</v>
      </c>
      <c r="BE5" s="41" t="s">
        <v>104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204</v>
      </c>
      <c r="F6" s="8" t="s">
        <v>200</v>
      </c>
      <c r="G6" s="9">
        <v>-7700</v>
      </c>
      <c r="H6" s="9">
        <v>-1000</v>
      </c>
      <c r="I6" s="48">
        <v>-1000</v>
      </c>
      <c r="J6" s="21">
        <f t="shared" si="2"/>
        <v>22800</v>
      </c>
      <c r="K6" s="8"/>
      <c r="L6" s="9"/>
      <c r="M6" s="9"/>
      <c r="N6" s="48"/>
      <c r="O6" s="21">
        <f t="shared" si="3"/>
        <v>57500</v>
      </c>
      <c r="P6" s="8" t="s">
        <v>201</v>
      </c>
      <c r="Q6" s="9">
        <v>7700</v>
      </c>
      <c r="R6" s="9">
        <v>1000</v>
      </c>
      <c r="S6" s="48">
        <v>1000</v>
      </c>
      <c r="T6" s="21">
        <f t="shared" si="4"/>
        <v>24700</v>
      </c>
      <c r="U6" s="53">
        <f>IF($J6="","",ROUND(($J6-$J$3)/1000,1)+(_xlfn.RANK.AVG($J6,($J6,$O6,$T6),1)-2)*10)</f>
        <v>-22.2</v>
      </c>
      <c r="V6" s="54">
        <f>IF($O6="","",ROUND(($O6-$O$3)/1000,1)+(_xlfn.RANK.AVG($O6,($J6,$O6,$T6),1)-2)*10)</f>
        <v>32.5</v>
      </c>
      <c r="W6" s="55">
        <f>IF($T6="","",ROUND(($T6-$T$3)/1000,1)+(_xlfn.RANK.AVG($T6,($J6,$O6,$T6),1)-2)*10)</f>
        <v>-10.3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86</v>
      </c>
      <c r="BW6" s="41" t="s">
        <v>104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197</v>
      </c>
      <c r="G7" s="9">
        <v>2800</v>
      </c>
      <c r="H7" s="9">
        <v>1000</v>
      </c>
      <c r="I7" s="48">
        <v>0</v>
      </c>
      <c r="J7" s="21">
        <f t="shared" si="2"/>
        <v>26600</v>
      </c>
      <c r="K7" s="8" t="s">
        <v>198</v>
      </c>
      <c r="L7" s="9">
        <v>-1100</v>
      </c>
      <c r="M7" s="9"/>
      <c r="N7" s="48">
        <v>0</v>
      </c>
      <c r="O7" s="21">
        <f t="shared" si="3"/>
        <v>56400</v>
      </c>
      <c r="P7" s="8" t="s">
        <v>198</v>
      </c>
      <c r="Q7" s="9">
        <v>-1700</v>
      </c>
      <c r="R7" s="9">
        <v>-1000</v>
      </c>
      <c r="S7" s="48">
        <v>0</v>
      </c>
      <c r="T7" s="21">
        <f t="shared" si="4"/>
        <v>22000</v>
      </c>
      <c r="U7" s="53">
        <f>IF($J7="","",ROUND(($J7-$J$3)/1000,1)+(_xlfn.RANK.AVG($J7,($J7,$O7,$T7),1)-2)*10)</f>
        <v>-8.4</v>
      </c>
      <c r="V7" s="54">
        <f>IF($O7="","",ROUND(($O7-$O$3)/1000,1)+(_xlfn.RANK.AVG($O7,($J7,$O7,$T7),1)-2)*10)</f>
        <v>31.4</v>
      </c>
      <c r="W7" s="55">
        <f>IF($T7="","",ROUND(($T7-$T$3)/1000,1)+(_xlfn.RANK.AVG($T7,($J7,$O7,$T7),1)-2)*10)</f>
        <v>-23</v>
      </c>
      <c r="Y7" s="8"/>
      <c r="Z7" s="34"/>
      <c r="AA7" s="26"/>
      <c r="AB7" s="26"/>
      <c r="AC7" s="26">
        <v>2</v>
      </c>
      <c r="AD7" s="30">
        <v>40</v>
      </c>
      <c r="AE7" s="40" t="s">
        <v>82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-4000</v>
      </c>
      <c r="H8" s="9">
        <v>-1000</v>
      </c>
      <c r="I8" s="48">
        <v>0</v>
      </c>
      <c r="J8" s="21">
        <f t="shared" si="2"/>
        <v>21600</v>
      </c>
      <c r="K8" s="8" t="s">
        <v>197</v>
      </c>
      <c r="L8" s="9">
        <v>6400</v>
      </c>
      <c r="M8" s="9">
        <v>1000</v>
      </c>
      <c r="N8" s="48">
        <v>0</v>
      </c>
      <c r="O8" s="21">
        <f t="shared" si="3"/>
        <v>63800</v>
      </c>
      <c r="P8" s="8" t="s">
        <v>198</v>
      </c>
      <c r="Q8" s="9">
        <v>-2400</v>
      </c>
      <c r="R8" s="9"/>
      <c r="S8" s="48">
        <v>0</v>
      </c>
      <c r="T8" s="21">
        <f t="shared" si="4"/>
        <v>19600</v>
      </c>
      <c r="U8" s="53">
        <f>IF($J8="","",ROUND(($J8-$J$3)/1000,1)+(_xlfn.RANK.AVG($J8,($J8,$O8,$T8),1)-2)*10)</f>
        <v>-13.4</v>
      </c>
      <c r="V8" s="54">
        <f>IF($O8="","",ROUND(($O8-$O$3)/1000,1)+(_xlfn.RANK.AVG($O8,($J8,$O8,$T8),1)-2)*10)</f>
        <v>38.799999999999997</v>
      </c>
      <c r="W8" s="55">
        <f>IF($T8="","",ROUND(($T8-$T$3)/1000,1)+(_xlfn.RANK.AVG($T8,($J8,$O8,$T8),1)-2)*10)</f>
        <v>-25.4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50</v>
      </c>
      <c r="AZ8" s="40" t="s">
        <v>79</v>
      </c>
      <c r="BA8" s="41" t="s">
        <v>93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197</v>
      </c>
      <c r="G9" s="9">
        <v>12000</v>
      </c>
      <c r="H9" s="9"/>
      <c r="I9" s="48">
        <v>0</v>
      </c>
      <c r="J9" s="21">
        <f t="shared" si="2"/>
        <v>33600</v>
      </c>
      <c r="K9" s="8" t="s">
        <v>198</v>
      </c>
      <c r="L9" s="9">
        <v>-7500</v>
      </c>
      <c r="M9" s="9"/>
      <c r="N9" s="48">
        <v>0</v>
      </c>
      <c r="O9" s="21">
        <f t="shared" si="3"/>
        <v>56300</v>
      </c>
      <c r="P9" s="8" t="s">
        <v>198</v>
      </c>
      <c r="Q9" s="9">
        <v>-4500</v>
      </c>
      <c r="R9" s="9"/>
      <c r="S9" s="48">
        <v>0</v>
      </c>
      <c r="T9" s="21">
        <f t="shared" si="4"/>
        <v>15100</v>
      </c>
      <c r="U9" s="53">
        <f>IF($J9="","",ROUND(($J9-$J$3)/1000,1)+(_xlfn.RANK.AVG($J9,($J9,$O9,$T9),1)-2)*10)</f>
        <v>-1.4</v>
      </c>
      <c r="V9" s="54">
        <f>IF($O9="","",ROUND(($O9-$O$3)/1000,1)+(_xlfn.RANK.AVG($O9,($J9,$O9,$T9),1)-2)*10)</f>
        <v>31.3</v>
      </c>
      <c r="W9" s="55">
        <f>IF($T9="","",ROUND(($T9-$T$3)/1000,1)+(_xlfn.RANK.AVG($T9,($J9,$O9,$T9),1)-2)*10)</f>
        <v>-29.9</v>
      </c>
      <c r="Y9" s="8"/>
      <c r="Z9" s="34"/>
      <c r="AA9" s="26">
        <v>1</v>
      </c>
      <c r="AB9" s="26"/>
      <c r="AC9" s="26">
        <v>6</v>
      </c>
      <c r="AD9" s="30" t="s">
        <v>202</v>
      </c>
      <c r="AE9" s="40" t="s">
        <v>199</v>
      </c>
      <c r="AF9" s="41" t="s">
        <v>82</v>
      </c>
      <c r="AG9" s="41" t="s">
        <v>84</v>
      </c>
      <c r="AH9" s="41" t="s">
        <v>79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207</v>
      </c>
      <c r="G10" s="9">
        <v>-1500</v>
      </c>
      <c r="H10" s="9"/>
      <c r="I10" s="48"/>
      <c r="J10" s="21">
        <f t="shared" si="2"/>
        <v>32100</v>
      </c>
      <c r="K10" s="8" t="s">
        <v>207</v>
      </c>
      <c r="L10" s="9">
        <v>-1500</v>
      </c>
      <c r="M10" s="9"/>
      <c r="N10" s="48"/>
      <c r="O10" s="21">
        <f t="shared" si="3"/>
        <v>54800</v>
      </c>
      <c r="P10" s="8" t="s">
        <v>207</v>
      </c>
      <c r="Q10" s="9">
        <v>3000</v>
      </c>
      <c r="R10" s="9"/>
      <c r="S10" s="48"/>
      <c r="T10" s="21">
        <f t="shared" si="4"/>
        <v>18100</v>
      </c>
      <c r="U10" s="53">
        <f>IF($J10="","",ROUND(($J10-$J$3)/1000,1)+(_xlfn.RANK.AVG($J10,($J10,$O10,$T10),1)-2)*10)</f>
        <v>-2.9</v>
      </c>
      <c r="V10" s="54">
        <f>IF($O10="","",ROUND(($O10-$O$3)/1000,1)+(_xlfn.RANK.AVG($O10,($J10,$O10,$T10),1)-2)*10)</f>
        <v>29.8</v>
      </c>
      <c r="W10" s="55">
        <f>IF($T10="","",ROUND(($T10-$T$3)/1000,1)+(_xlfn.RANK.AVG($T10,($J10,$O10,$T10),1)-2)*10)</f>
        <v>-26.9</v>
      </c>
      <c r="Y10" s="8" t="s">
        <v>206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208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32100</v>
      </c>
      <c r="K11" s="8" t="s">
        <v>201</v>
      </c>
      <c r="L11" s="9">
        <v>5200</v>
      </c>
      <c r="M11" s="9"/>
      <c r="N11" s="48">
        <v>1000</v>
      </c>
      <c r="O11" s="21">
        <f t="shared" si="3"/>
        <v>61000</v>
      </c>
      <c r="P11" s="8" t="s">
        <v>200</v>
      </c>
      <c r="Q11" s="9">
        <v>-5200</v>
      </c>
      <c r="R11" s="9"/>
      <c r="S11" s="48">
        <v>-1000</v>
      </c>
      <c r="T11" s="21">
        <f t="shared" si="4"/>
        <v>11900</v>
      </c>
      <c r="U11" s="53">
        <f>IF($J11="","",ROUND(($J11-$J$3)/1000,1)+(_xlfn.RANK.AVG($J11,($J11,$O11,$T11),1)-2)*10)</f>
        <v>-2.9</v>
      </c>
      <c r="V11" s="54">
        <f>IF($O11="","",ROUND(($O11-$O$3)/1000,1)+(_xlfn.RANK.AVG($O11,($J11,$O11,$T11),1)-2)*10)</f>
        <v>36</v>
      </c>
      <c r="W11" s="55">
        <f>IF($T11="","",ROUND(($T11-$T$3)/1000,1)+(_xlfn.RANK.AVG($T11,($J11,$O11,$T11),1)-2)*10)</f>
        <v>-33.1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40</v>
      </c>
      <c r="AZ11" s="40" t="s">
        <v>86</v>
      </c>
      <c r="BA11" s="41" t="s">
        <v>104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598DB91-CC17-4DDA-8658-69845E29E258}">
      <formula1>$U$2:$W$2</formula1>
    </dataValidation>
    <dataValidation type="list" showInputMessage="1" showErrorMessage="1" sqref="K4:K30 P4:P30 F4:F30" xr:uid="{EE3327A9-6BC8-4FFB-832B-D2EF3C0462C7}">
      <formula1>"ロン,ツモ,放銃,ツモ支払,流局,チョンボ"</formula1>
    </dataValidation>
    <dataValidation type="list" allowBlank="1" showInputMessage="1" sqref="F1:T1" xr:uid="{7BFF1304-A24C-41CA-9E0A-D1370D73FE4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2020-01-25T15:23:39Z</dcterms:modified>
</cp:coreProperties>
</file>