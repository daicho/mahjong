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988498D0-5A20-490D-9EB4-228AA6B45E5D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D12" i="20"/>
  <c r="C12" i="20"/>
  <c r="D11" i="20"/>
  <c r="D10" i="20"/>
  <c r="C9" i="20"/>
  <c r="C10" i="20" s="1"/>
  <c r="C11" i="20" s="1"/>
  <c r="D8" i="20"/>
  <c r="D9" i="20" s="1"/>
  <c r="C8" i="20"/>
  <c r="D7" i="20"/>
  <c r="C7" i="20"/>
  <c r="D6" i="20"/>
  <c r="C6" i="20"/>
  <c r="T5" i="20"/>
  <c r="O5" i="20"/>
  <c r="D5" i="20"/>
  <c r="C5" i="20"/>
  <c r="T4" i="20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W4" i="20" l="1"/>
  <c r="V4" i="20"/>
  <c r="U4" i="20"/>
  <c r="B6" i="20"/>
  <c r="A6" i="20" s="1"/>
  <c r="A5" i="20"/>
  <c r="J5" i="20"/>
  <c r="O6" i="20"/>
  <c r="T6" i="20"/>
  <c r="E4" i="19"/>
  <c r="J6" i="20" l="1"/>
  <c r="U5" i="20"/>
  <c r="T7" i="20"/>
  <c r="B7" i="20"/>
  <c r="A7" i="20" s="1"/>
  <c r="O7" i="20"/>
  <c r="W5" i="20"/>
  <c r="V5" i="20"/>
  <c r="W3" i="19"/>
  <c r="V3" i="19"/>
  <c r="U3" i="19"/>
  <c r="T8" i="20" l="1"/>
  <c r="U6" i="20"/>
  <c r="J7" i="20"/>
  <c r="W7" i="20" s="1"/>
  <c r="V6" i="20"/>
  <c r="V7" i="20"/>
  <c r="O8" i="20"/>
  <c r="B8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0" l="1"/>
  <c r="B9" i="20"/>
  <c r="O9" i="20"/>
  <c r="U7" i="20"/>
  <c r="J8" i="20"/>
  <c r="W8" i="20" s="1"/>
  <c r="A8" i="20"/>
  <c r="U12" i="19"/>
  <c r="V12" i="19"/>
  <c r="W12" i="19"/>
  <c r="V11" i="19"/>
  <c r="U11" i="19"/>
  <c r="W11" i="19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8" i="20" l="1"/>
  <c r="U8" i="20"/>
  <c r="J9" i="20"/>
  <c r="B10" i="20"/>
  <c r="T10" i="20"/>
  <c r="O10" i="20"/>
  <c r="A9" i="20"/>
  <c r="W5" i="19"/>
  <c r="V5" i="19"/>
  <c r="U5" i="19"/>
  <c r="B11" i="20" l="1"/>
  <c r="U9" i="20"/>
  <c r="J10" i="20"/>
  <c r="V10" i="20"/>
  <c r="O11" i="20"/>
  <c r="V9" i="20"/>
  <c r="T11" i="20"/>
  <c r="W10" i="20"/>
  <c r="W9" i="20"/>
  <c r="A10" i="20"/>
  <c r="A11" i="20" l="1"/>
  <c r="B12" i="20"/>
  <c r="A12" i="20" s="1"/>
  <c r="T12" i="20"/>
  <c r="O12" i="20"/>
  <c r="V11" i="20"/>
  <c r="U10" i="20"/>
  <c r="J11" i="20"/>
  <c r="W11" i="20" s="1"/>
  <c r="U11" i="20" l="1"/>
  <c r="J12" i="20"/>
  <c r="V12" i="20"/>
  <c r="U12" i="20" l="1"/>
  <c r="W12" i="20"/>
</calcChain>
</file>

<file path=xl/sharedStrings.xml><?xml version="1.0" encoding="utf-8"?>
<sst xmlns="http://schemas.openxmlformats.org/spreadsheetml/2006/main" count="712" uniqueCount="208">
  <si>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</si>
  <si>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</si>
  <si>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</si>
  <si>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</si>
  <si>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</si>
  <si>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</si>
  <si>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</si>
  <si>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</si>
  <si>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</si>
  <si>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</si>
  <si>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</si>
  <si>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</si>
  <si>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</si>
  <si>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</si>
  <si>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</si>
  <si>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</si>
  <si>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</si>
  <si>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</si>
  <si>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</si>
  <si>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</si>
  <si>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</si>
  <si>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</si>
  <si>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</si>
  <si>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</si>
  <si>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</si>
  <si>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</si>
  <si>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</si>
  <si>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</si>
  <si>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</si>
  <si>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</si>
  <si>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</si>
  <si>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</si>
  <si>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</si>
  <si>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</si>
  <si>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</si>
  <si>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</si>
  <si>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</si>
  <si>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</si>
  <si>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</si>
  <si>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</si>
  <si>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</si>
  <si>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</si>
  <si>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</si>
  <si>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</si>
  <si>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</si>
  <si>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</si>
  <si>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</si>
  <si>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</si>
  <si>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</si>
  <si>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</si>
  <si>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</si>
  <si>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</si>
  <si>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</si>
  <si>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</si>
  <si>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</si>
  <si>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</si>
  <si>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</si>
  <si>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</si>
  <si>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</si>
  <si>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</si>
  <si>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</si>
  <si>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</si>
  <si>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</si>
  <si>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</si>
  <si>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</si>
  <si>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</si>
  <si>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</si>
  <si>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</si>
  <si>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</si>
  <si>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</si>
  <si>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</si>
  <si>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</si>
  <si>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</si>
  <si>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</si>
  <si>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</si>
  <si>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</si>
  <si>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</si>
  <si>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</si>
  <si>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</si>
  <si>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</si>
  <si>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</si>
  <si>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</si>
  <si>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</si>
  <si>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</si>
  <si>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</si>
  <si>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</si>
  <si>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</si>
  <si>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</si>
  <si>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</si>
  <si>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</si>
  <si>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</si>
  <si>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</si>
  <si>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</si>
  <si>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</si>
  <si>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</si>
  <si>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</si>
  <si>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</si>
  <si>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</si>
  <si>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</si>
  <si>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</si>
  <si>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</si>
  <si>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</si>
  <si>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</si>
  <si>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</si>
  <si>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</si>
  <si>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</si>
  <si>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</si>
  <si>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</si>
  <si>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</si>
  <si>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</si>
  <si>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</si>
  <si>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</si>
  <si>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</si>
  <si>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</si>
  <si>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</si>
  <si>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</si>
  <si>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</si>
  <si>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</si>
  <si>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</si>
  <si>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</si>
  <si>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</si>
  <si>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</si>
  <si>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</si>
  <si>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</si>
  <si>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</si>
  <si>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</si>
  <si>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</si>
  <si>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</si>
  <si>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</si>
  <si>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</si>
  <si>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</si>
  <si>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</si>
  <si>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</si>
  <si>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</si>
  <si>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</si>
  <si>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</si>
  <si>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</si>
  <si>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</si>
  <si>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</si>
  <si>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</si>
  <si>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</si>
  <si>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</si>
  <si>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</si>
  <si>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</si>
  <si>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</si>
  <si>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</si>
  <si>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</si>
  <si>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</si>
  <si>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</si>
  <si>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</si>
  <si>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</si>
  <si>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</si>
  <si>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</si>
  <si>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</si>
  <si>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</si>
  <si>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</si>
  <si>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</si>
  <si>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</si>
  <si>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</si>
  <si>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</si>
  <si>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</si>
  <si>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</si>
  <si>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</si>
  <si>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</si>
  <si>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</si>
  <si>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</si>
  <si>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</si>
  <si>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</si>
  <si>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</si>
  <si>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</si>
  <si>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</si>
  <si>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</si>
  <si>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</si>
  <si>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</si>
  <si>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</si>
  <si>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</si>
  <si>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</si>
  <si>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</si>
  <si>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</si>
  <si>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</si>
  <si>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</si>
  <si>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</si>
  <si>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</si>
  <si>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</si>
  <si>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</si>
  <si>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</si>
  <si>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</si>
  <si>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</si>
  <si>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</si>
  <si>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</si>
  <si>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</si>
  <si>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</si>
  <si>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</si>
  <si>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ただ</t>
  </si>
  <si>
    <t>ただ</t>
    <phoneticPr fontId="1"/>
  </si>
  <si>
    <t>だいち</t>
  </si>
  <si>
    <t>だいち</t>
    <phoneticPr fontId="1"/>
  </si>
  <si>
    <t>放銃</t>
  </si>
  <si>
    <t>ロン</t>
  </si>
  <si>
    <t>*</t>
  </si>
  <si>
    <t>01</t>
  </si>
  <si>
    <t>ツモ支払</t>
  </si>
  <si>
    <t>ツモ</t>
  </si>
  <si>
    <t>02</t>
  </si>
  <si>
    <t>N</t>
  </si>
  <si>
    <t>T</t>
  </si>
  <si>
    <t>流局</t>
    <phoneticPr fontId="1"/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</si>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</sst>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198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6</v>
      </c>
      <c r="BT4" s="30" t="s">
        <v>199</v>
      </c>
      <c r="BU4" s="40" t="s">
        <v>104</v>
      </c>
      <c r="BV4" s="41" t="s">
        <v>98</v>
      </c>
      <c r="BW4" s="41" t="s">
        <v>86</v>
      </c>
      <c r="BX4" s="41" t="s">
        <v>86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12000</v>
      </c>
      <c r="H5" s="9"/>
      <c r="I5" s="48">
        <v>0</v>
      </c>
      <c r="J5" s="21">
        <f t="shared" ref="J5:J30" si="2">IF(COUNTA($F5,$K5,$P5)&gt;0,J4+SUM(G5:I5),"")</f>
        <v>47000</v>
      </c>
      <c r="K5" s="8" t="s">
        <v>197</v>
      </c>
      <c r="L5" s="9">
        <v>-12000</v>
      </c>
      <c r="M5" s="9"/>
      <c r="N5" s="48">
        <v>0</v>
      </c>
      <c r="O5" s="21">
        <f t="shared" ref="O5:O30" si="3">IF(COUNTA($F5,$K5,$P5)&gt;0,O4+SUM(L5:N5),"")</f>
        <v>11000</v>
      </c>
      <c r="P5" s="8"/>
      <c r="Q5" s="9"/>
      <c r="R5" s="9"/>
      <c r="S5" s="48"/>
      <c r="T5" s="21">
        <f t="shared" ref="T5:T30" si="4">IF(COUNTA($F5,$K5,$P5)&gt;0,T4+SUM(Q5:S5),"")</f>
        <v>47000</v>
      </c>
      <c r="U5" s="53">
        <f>IF($J5="","",ROUND(($J5-$J$3)/1000,1)+(_xlfn.RANK.AVG($J5,($J5,$O5,$T5),1)-2)*10)</f>
        <v>17</v>
      </c>
      <c r="V5" s="54">
        <f>IF($O5="","",ROUND(($O5-$O$3)/1000,1)+(_xlfn.RANK.AVG($O5,($J5,$O5,$T5),1)-2)*10)</f>
        <v>-34</v>
      </c>
      <c r="W5" s="55">
        <f>IF($T5="","",ROUND(($T5-$T$3)/1000,1)+(_xlfn.RANK.AVG($T5,($J5,$O5,$T5),1)-2)*10)</f>
        <v>17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200</v>
      </c>
      <c r="AF5" s="41" t="s">
        <v>84</v>
      </c>
      <c r="AG5" s="41" t="s">
        <v>79</v>
      </c>
      <c r="AH5" s="41" t="s">
        <v>79</v>
      </c>
      <c r="AI5" s="41" t="s">
        <v>80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47000</v>
      </c>
      <c r="K6" s="8" t="s">
        <v>198</v>
      </c>
      <c r="L6" s="9">
        <v>3200</v>
      </c>
      <c r="M6" s="9"/>
      <c r="N6" s="48">
        <v>0</v>
      </c>
      <c r="O6" s="21">
        <f t="shared" si="3"/>
        <v>14200</v>
      </c>
      <c r="P6" s="8" t="s">
        <v>197</v>
      </c>
      <c r="Q6" s="9">
        <v>-3200</v>
      </c>
      <c r="R6" s="9"/>
      <c r="S6" s="48">
        <v>0</v>
      </c>
      <c r="T6" s="21">
        <f t="shared" si="4"/>
        <v>43800</v>
      </c>
      <c r="U6" s="53">
        <f>IF($J6="","",ROUND(($J6-$J$3)/1000,1)+(_xlfn.RANK.AVG($J6,($J6,$O6,$T6),1)-2)*10)</f>
        <v>22</v>
      </c>
      <c r="V6" s="54">
        <f>IF($O6="","",ROUND(($O6-$O$3)/1000,1)+(_xlfn.RANK.AVG($O6,($J6,$O6,$T6),1)-2)*10)</f>
        <v>-30.8</v>
      </c>
      <c r="W6" s="55">
        <f>IF($T6="","",ROUND(($T6-$T$3)/1000,1)+(_xlfn.RANK.AVG($T6,($J6,$O6,$T6),1)-2)*10)</f>
        <v>8.8000000000000007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25</v>
      </c>
      <c r="AZ6" s="40" t="s">
        <v>79</v>
      </c>
      <c r="BA6" s="41" t="s">
        <v>101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-5000</v>
      </c>
      <c r="H7" s="9"/>
      <c r="I7" s="48">
        <v>0</v>
      </c>
      <c r="J7" s="21">
        <f t="shared" si="2"/>
        <v>42000</v>
      </c>
      <c r="K7" s="8" t="s">
        <v>201</v>
      </c>
      <c r="L7" s="9">
        <v>-3000</v>
      </c>
      <c r="M7" s="9"/>
      <c r="N7" s="48">
        <v>0</v>
      </c>
      <c r="O7" s="21">
        <f t="shared" si="3"/>
        <v>11200</v>
      </c>
      <c r="P7" s="8" t="s">
        <v>202</v>
      </c>
      <c r="Q7" s="9">
        <v>8000</v>
      </c>
      <c r="R7" s="9"/>
      <c r="S7" s="48">
        <v>0</v>
      </c>
      <c r="T7" s="21">
        <f t="shared" si="4"/>
        <v>51800</v>
      </c>
      <c r="U7" s="53">
        <f>IF($J7="","",ROUND(($J7-$J$3)/1000,1)+(_xlfn.RANK.AVG($J7,($J7,$O7,$T7),1)-2)*10)</f>
        <v>7</v>
      </c>
      <c r="V7" s="54">
        <f>IF($O7="","",ROUND(($O7-$O$3)/1000,1)+(_xlfn.RANK.AVG($O7,($J7,$O7,$T7),1)-2)*10)</f>
        <v>-33.799999999999997</v>
      </c>
      <c r="W7" s="55">
        <f>IF($T7="","",ROUND(($T7-$T$3)/1000,1)+(_xlfn.RANK.AVG($T7,($J7,$O7,$T7),1)-2)*10)</f>
        <v>26.8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199</v>
      </c>
      <c r="BU7" s="40" t="s">
        <v>200</v>
      </c>
      <c r="BV7" s="41" t="s">
        <v>82</v>
      </c>
      <c r="BW7" s="41" t="s">
        <v>83</v>
      </c>
      <c r="BX7" s="41" t="s">
        <v>85</v>
      </c>
      <c r="BY7" s="41" t="s">
        <v>203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206</v>
      </c>
      <c r="G8" s="9">
        <v>-1500</v>
      </c>
      <c r="H8" s="9"/>
      <c r="I8" s="48"/>
      <c r="J8" s="21">
        <f t="shared" si="2"/>
        <v>40500</v>
      </c>
      <c r="K8" s="8" t="s">
        <v>206</v>
      </c>
      <c r="L8" s="9">
        <v>3000</v>
      </c>
      <c r="M8" s="9"/>
      <c r="N8" s="48"/>
      <c r="O8" s="21">
        <f t="shared" si="3"/>
        <v>14200</v>
      </c>
      <c r="P8" s="8" t="s">
        <v>206</v>
      </c>
      <c r="Q8" s="9">
        <v>-1500</v>
      </c>
      <c r="R8" s="9"/>
      <c r="S8" s="48"/>
      <c r="T8" s="21">
        <f t="shared" si="4"/>
        <v>50300</v>
      </c>
      <c r="U8" s="53">
        <f>IF($J8="","",ROUND(($J8-$J$3)/1000,1)+(_xlfn.RANK.AVG($J8,($J8,$O8,$T8),1)-2)*10)</f>
        <v>5.5</v>
      </c>
      <c r="V8" s="54">
        <f>IF($O8="","",ROUND(($O8-$O$3)/1000,1)+(_xlfn.RANK.AVG($O8,($J8,$O8,$T8),1)-2)*10)</f>
        <v>-30.8</v>
      </c>
      <c r="W8" s="55">
        <f>IF($T8="","",ROUND(($T8-$T$3)/1000,1)+(_xlfn.RANK.AVG($T8,($J8,$O8,$T8),1)-2)*10)</f>
        <v>25.3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201</v>
      </c>
      <c r="G9" s="9">
        <v>-6000</v>
      </c>
      <c r="H9" s="9"/>
      <c r="I9" s="48">
        <v>-500</v>
      </c>
      <c r="J9" s="21">
        <f t="shared" si="2"/>
        <v>34000</v>
      </c>
      <c r="K9" s="8" t="s">
        <v>202</v>
      </c>
      <c r="L9" s="9">
        <v>12000</v>
      </c>
      <c r="M9" s="9"/>
      <c r="N9" s="48">
        <v>1000</v>
      </c>
      <c r="O9" s="21">
        <f t="shared" si="3"/>
        <v>27200</v>
      </c>
      <c r="P9" s="8" t="s">
        <v>201</v>
      </c>
      <c r="Q9" s="9">
        <v>-6000</v>
      </c>
      <c r="R9" s="9"/>
      <c r="S9" s="48">
        <v>-500</v>
      </c>
      <c r="T9" s="21">
        <f t="shared" si="4"/>
        <v>43800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-17.8</v>
      </c>
      <c r="W9" s="55">
        <f>IF($T9="","",ROUND(($T9-$T$3)/1000,1)+(_xlfn.RANK.AVG($T9,($J9,$O9,$T9),1)-2)*10)</f>
        <v>18.8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5</v>
      </c>
      <c r="AY9" s="30" t="s">
        <v>199</v>
      </c>
      <c r="AZ9" s="40" t="s">
        <v>92</v>
      </c>
      <c r="BA9" s="41" t="s">
        <v>79</v>
      </c>
      <c r="BB9" s="41" t="s">
        <v>79</v>
      </c>
      <c r="BC9" s="41" t="s">
        <v>82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197</v>
      </c>
      <c r="G10" s="9">
        <v>-1500</v>
      </c>
      <c r="H10" s="9"/>
      <c r="I10" s="48">
        <v>-2000</v>
      </c>
      <c r="J10" s="21">
        <f t="shared" si="2"/>
        <v>30500</v>
      </c>
      <c r="K10" s="8" t="s">
        <v>198</v>
      </c>
      <c r="L10" s="9">
        <v>1500</v>
      </c>
      <c r="M10" s="9"/>
      <c r="N10" s="48">
        <v>2000</v>
      </c>
      <c r="O10" s="21">
        <f t="shared" si="3"/>
        <v>30700</v>
      </c>
      <c r="P10" s="8"/>
      <c r="Q10" s="9"/>
      <c r="R10" s="9"/>
      <c r="S10" s="48"/>
      <c r="T10" s="21">
        <f t="shared" si="4"/>
        <v>43800</v>
      </c>
      <c r="U10" s="53">
        <f>IF($J10="","",ROUND(($J10-$J$3)/1000,1)+(_xlfn.RANK.AVG($J10,($J10,$O10,$T10),1)-2)*10)</f>
        <v>-14.5</v>
      </c>
      <c r="V10" s="54">
        <f>IF($O10="","",ROUND(($O10-$O$3)/1000,1)+(_xlfn.RANK.AVG($O10,($J10,$O10,$T10),1)-2)*10)</f>
        <v>-4.3</v>
      </c>
      <c r="W10" s="55">
        <f>IF($T10="","",ROUND(($T10-$T$3)/1000,1)+(_xlfn.RANK.AVG($T10,($J10,$O10,$T10),1)-2)*10)</f>
        <v>18.8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30</v>
      </c>
      <c r="AZ10" s="40" t="s">
        <v>83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193</v>
      </c>
      <c r="F11" s="8" t="s">
        <v>202</v>
      </c>
      <c r="G11" s="9">
        <v>7700</v>
      </c>
      <c r="H11" s="9">
        <v>1000</v>
      </c>
      <c r="I11" s="48">
        <v>3000</v>
      </c>
      <c r="J11" s="21">
        <f t="shared" si="2"/>
        <v>42200</v>
      </c>
      <c r="K11" s="8" t="s">
        <v>201</v>
      </c>
      <c r="L11" s="9">
        <v>-4800</v>
      </c>
      <c r="M11" s="9">
        <v>-1000</v>
      </c>
      <c r="N11" s="48">
        <v>-1500</v>
      </c>
      <c r="O11" s="21">
        <f t="shared" si="3"/>
        <v>23400</v>
      </c>
      <c r="P11" s="8" t="s">
        <v>201</v>
      </c>
      <c r="Q11" s="9">
        <v>-2900</v>
      </c>
      <c r="R11" s="9"/>
      <c r="S11" s="48">
        <v>-1500</v>
      </c>
      <c r="T11" s="21">
        <f t="shared" si="4"/>
        <v>39400</v>
      </c>
      <c r="U11" s="53">
        <f>IF($J11="","",ROUND(($J11-$J$3)/1000,1)+(_xlfn.RANK.AVG($J11,($J11,$O11,$T11),1)-2)*10)</f>
        <v>17.2</v>
      </c>
      <c r="V11" s="54">
        <f>IF($O11="","",ROUND(($O11-$O$3)/1000,1)+(_xlfn.RANK.AVG($O11,($J11,$O11,$T11),1)-2)*10)</f>
        <v>-21.6</v>
      </c>
      <c r="W11" s="55">
        <f>IF($T11="","",ROUND(($T11-$T$3)/1000,1)+(_xlfn.RANK.AVG($T11,($J11,$O11,$T11),1)-2)*10)</f>
        <v>4.4000000000000004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104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201</v>
      </c>
      <c r="G12" s="9">
        <v>-4500</v>
      </c>
      <c r="H12" s="9"/>
      <c r="I12" s="48">
        <v>0</v>
      </c>
      <c r="J12" s="21">
        <f t="shared" si="2"/>
        <v>37700</v>
      </c>
      <c r="K12" s="8" t="s">
        <v>202</v>
      </c>
      <c r="L12" s="9">
        <v>12000</v>
      </c>
      <c r="M12" s="9"/>
      <c r="N12" s="48">
        <v>0</v>
      </c>
      <c r="O12" s="21">
        <f t="shared" si="3"/>
        <v>35400</v>
      </c>
      <c r="P12" s="8" t="s">
        <v>201</v>
      </c>
      <c r="Q12" s="9">
        <v>-7500</v>
      </c>
      <c r="R12" s="9"/>
      <c r="S12" s="48">
        <v>0</v>
      </c>
      <c r="T12" s="21">
        <f t="shared" si="4"/>
        <v>31900</v>
      </c>
      <c r="U12" s="53">
        <f>IF($J12="","",ROUND(($J12-$J$3)/1000,1)+(_xlfn.RANK.AVG($J12,($J12,$O12,$T12),1)-2)*10)</f>
        <v>12.7</v>
      </c>
      <c r="V12" s="54">
        <f>IF($O12="","",ROUND(($O12-$O$3)/1000,1)+(_xlfn.RANK.AVG($O12,($J12,$O12,$T12),1)-2)*10)</f>
        <v>0.4</v>
      </c>
      <c r="W12" s="55">
        <f>IF($T12="","",ROUND(($T12-$T$3)/1000,1)+(_xlfn.RANK.AVG($T12,($J12,$O12,$T12),1)-2)*10)</f>
        <v>-13.1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199</v>
      </c>
      <c r="AZ12" s="40" t="s">
        <v>200</v>
      </c>
      <c r="BA12" s="41" t="s">
        <v>82</v>
      </c>
      <c r="BB12" s="41" t="s">
        <v>207</v>
      </c>
      <c r="BC12" s="41" t="s">
        <v>207</v>
      </c>
      <c r="BD12" s="41" t="s">
        <v>84</v>
      </c>
      <c r="BE12" s="41" t="s">
        <v>83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94F1BE1-E755-44D5-9E88-2AE9808BDC00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87537-5E76-405C-B48D-96DD6C849BB8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201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201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202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82</v>
      </c>
      <c r="BW4" s="41" t="s">
        <v>80</v>
      </c>
      <c r="BX4" s="41" t="s">
        <v>207</v>
      </c>
      <c r="BY4" s="41" t="s">
        <v>203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4000</v>
      </c>
      <c r="H5" s="9"/>
      <c r="I5" s="48">
        <v>0</v>
      </c>
      <c r="J5" s="21">
        <f t="shared" ref="J5:J30" si="2">IF(COUNTA($F5,$K5,$P5)&gt;0,J4+SUM(G5:I5),"")</f>
        <v>34000</v>
      </c>
      <c r="K5" s="8" t="s">
        <v>201</v>
      </c>
      <c r="L5" s="9">
        <v>-2500</v>
      </c>
      <c r="M5" s="9"/>
      <c r="N5" s="48">
        <v>0</v>
      </c>
      <c r="O5" s="21">
        <f t="shared" ref="O5:O30" si="3">IF(COUNTA($F5,$K5,$P5)&gt;0,O4+SUM(L5:N5),"")</f>
        <v>29500</v>
      </c>
      <c r="P5" s="8" t="s">
        <v>201</v>
      </c>
      <c r="Q5" s="9">
        <v>-1500</v>
      </c>
      <c r="R5" s="9"/>
      <c r="S5" s="48">
        <v>0</v>
      </c>
      <c r="T5" s="21">
        <f t="shared" ref="T5:T30" si="4">IF(COUNTA($F5,$K5,$P5)&gt;0,T4+SUM(Q5:S5),"")</f>
        <v>41500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-15.5</v>
      </c>
      <c r="W5" s="55">
        <f>IF($T5="","",ROUND(($T5-$T$3)/1000,1)+(_xlfn.RANK.AVG($T5,($J5,$O5,$T5),1)-2)*10)</f>
        <v>16.5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200</v>
      </c>
      <c r="AF5" s="41" t="s">
        <v>82</v>
      </c>
      <c r="AG5" s="41" t="s">
        <v>203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3900</v>
      </c>
      <c r="H6" s="9"/>
      <c r="I6" s="48">
        <v>0</v>
      </c>
      <c r="J6" s="21">
        <f t="shared" si="2"/>
        <v>37900</v>
      </c>
      <c r="K6" s="8"/>
      <c r="L6" s="9"/>
      <c r="M6" s="9"/>
      <c r="N6" s="48"/>
      <c r="O6" s="21">
        <f t="shared" si="3"/>
        <v>29500</v>
      </c>
      <c r="P6" s="8" t="s">
        <v>197</v>
      </c>
      <c r="Q6" s="9">
        <v>-3900</v>
      </c>
      <c r="R6" s="9"/>
      <c r="S6" s="48">
        <v>0</v>
      </c>
      <c r="T6" s="21">
        <f t="shared" si="4"/>
        <v>37600</v>
      </c>
      <c r="U6" s="53">
        <f>IF($J6="","",ROUND(($J6-$J$3)/1000,1)+(_xlfn.RANK.AVG($J6,($J6,$O6,$T6),1)-2)*10)</f>
        <v>12.9</v>
      </c>
      <c r="V6" s="54">
        <f>IF($O6="","",ROUND(($O6-$O$3)/1000,1)+(_xlfn.RANK.AVG($O6,($J6,$O6,$T6),1)-2)*10)</f>
        <v>-15.5</v>
      </c>
      <c r="W6" s="55">
        <f>IF($T6="","",ROUND(($T6-$T$3)/1000,1)+(_xlfn.RANK.AVG($T6,($J6,$O6,$T6),1)-2)*10)</f>
        <v>2.6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-700</v>
      </c>
      <c r="H7" s="9"/>
      <c r="I7" s="48">
        <v>0</v>
      </c>
      <c r="J7" s="21">
        <f t="shared" si="2"/>
        <v>37200</v>
      </c>
      <c r="K7" s="8" t="s">
        <v>202</v>
      </c>
      <c r="L7" s="9">
        <v>1200</v>
      </c>
      <c r="M7" s="9"/>
      <c r="N7" s="48">
        <v>0</v>
      </c>
      <c r="O7" s="21">
        <f t="shared" si="3"/>
        <v>30700</v>
      </c>
      <c r="P7" s="8" t="s">
        <v>201</v>
      </c>
      <c r="Q7" s="9">
        <v>-500</v>
      </c>
      <c r="R7" s="9"/>
      <c r="S7" s="48">
        <v>0</v>
      </c>
      <c r="T7" s="21">
        <f t="shared" si="4"/>
        <v>37100</v>
      </c>
      <c r="U7" s="53">
        <f>IF($J7="","",ROUND(($J7-$J$3)/1000,1)+(_xlfn.RANK.AVG($J7,($J7,$O7,$T7),1)-2)*10)</f>
        <v>12.2</v>
      </c>
      <c r="V7" s="54">
        <f>IF($O7="","",ROUND(($O7-$O$3)/1000,1)+(_xlfn.RANK.AVG($O7,($J7,$O7,$T7),1)-2)*10)</f>
        <v>-14.3</v>
      </c>
      <c r="W7" s="55">
        <f>IF($T7="","",ROUND(($T7-$T$3)/1000,1)+(_xlfn.RANK.AVG($T7,($J7,$O7,$T7),1)-2)*10)</f>
        <v>2.1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-5800</v>
      </c>
      <c r="H8" s="9"/>
      <c r="I8" s="48">
        <v>0</v>
      </c>
      <c r="J8" s="21">
        <f t="shared" si="2"/>
        <v>31400</v>
      </c>
      <c r="K8" s="8" t="s">
        <v>202</v>
      </c>
      <c r="L8" s="9">
        <v>11600</v>
      </c>
      <c r="M8" s="9"/>
      <c r="N8" s="48">
        <v>0</v>
      </c>
      <c r="O8" s="21">
        <f t="shared" si="3"/>
        <v>42300</v>
      </c>
      <c r="P8" s="8" t="s">
        <v>201</v>
      </c>
      <c r="Q8" s="9">
        <v>-5800</v>
      </c>
      <c r="R8" s="9"/>
      <c r="S8" s="48">
        <v>0</v>
      </c>
      <c r="T8" s="21">
        <f t="shared" si="4"/>
        <v>31300</v>
      </c>
      <c r="U8" s="53">
        <f>IF($J8="","",ROUND(($J8-$J$3)/1000,1)+(_xlfn.RANK.AVG($J8,($J8,$O8,$T8),1)-2)*10)</f>
        <v>-3.6</v>
      </c>
      <c r="V8" s="54">
        <f>IF($O8="","",ROUND(($O8-$O$3)/1000,1)+(_xlfn.RANK.AVG($O8,($J8,$O8,$T8),1)-2)*10)</f>
        <v>17.3</v>
      </c>
      <c r="W8" s="55">
        <f>IF($T8="","",ROUND(($T8-$T$3)/1000,1)+(_xlfn.RANK.AVG($T8,($J8,$O8,$T8),1)-2)*10)</f>
        <v>-13.7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79</v>
      </c>
      <c r="BB8" s="41" t="s">
        <v>79</v>
      </c>
      <c r="BC8" s="41" t="s">
        <v>207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31400</v>
      </c>
      <c r="K9" s="8" t="s">
        <v>198</v>
      </c>
      <c r="L9" s="9">
        <v>12000</v>
      </c>
      <c r="M9" s="9"/>
      <c r="N9" s="48">
        <v>1000</v>
      </c>
      <c r="O9" s="21">
        <f t="shared" si="3"/>
        <v>55300</v>
      </c>
      <c r="P9" s="8" t="s">
        <v>197</v>
      </c>
      <c r="Q9" s="9">
        <v>-12000</v>
      </c>
      <c r="R9" s="9"/>
      <c r="S9" s="48">
        <v>-1000</v>
      </c>
      <c r="T9" s="21">
        <f t="shared" si="4"/>
        <v>18300</v>
      </c>
      <c r="U9" s="53">
        <f>IF($J9="","",ROUND(($J9-$J$3)/1000,1)+(_xlfn.RANK.AVG($J9,($J9,$O9,$T9),1)-2)*10)</f>
        <v>-3.6</v>
      </c>
      <c r="V9" s="54">
        <f>IF($O9="","",ROUND(($O9-$O$3)/1000,1)+(_xlfn.RANK.AVG($O9,($J9,$O9,$T9),1)-2)*10)</f>
        <v>30.3</v>
      </c>
      <c r="W9" s="55">
        <f>IF($T9="","",ROUND(($T9-$T$3)/1000,1)+(_xlfn.RANK.AVG($T9,($J9,$O9,$T9),1)-2)*10)</f>
        <v>-26.7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200</v>
      </c>
      <c r="BA9" s="41" t="s">
        <v>79</v>
      </c>
      <c r="BB9" s="41" t="s">
        <v>79</v>
      </c>
      <c r="BC9" s="41" t="s">
        <v>80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31400</v>
      </c>
      <c r="K10" s="8" t="s">
        <v>197</v>
      </c>
      <c r="L10" s="9">
        <v>-7700</v>
      </c>
      <c r="M10" s="9"/>
      <c r="N10" s="48">
        <v>-2000</v>
      </c>
      <c r="O10" s="21">
        <f t="shared" si="3"/>
        <v>45600</v>
      </c>
      <c r="P10" s="8" t="s">
        <v>198</v>
      </c>
      <c r="Q10" s="9">
        <v>7700</v>
      </c>
      <c r="R10" s="9"/>
      <c r="S10" s="48">
        <v>2000</v>
      </c>
      <c r="T10" s="21">
        <f t="shared" si="4"/>
        <v>28000</v>
      </c>
      <c r="U10" s="53">
        <f>IF($J10="","",ROUND(($J10-$J$3)/1000,1)+(_xlfn.RANK.AVG($J10,($J10,$O10,$T10),1)-2)*10)</f>
        <v>-3.6</v>
      </c>
      <c r="V10" s="54">
        <f>IF($O10="","",ROUND(($O10-$O$3)/1000,1)+(_xlfn.RANK.AVG($O10,($J10,$O10,$T10),1)-2)*10)</f>
        <v>20.6</v>
      </c>
      <c r="W10" s="55">
        <f>IF($T10="","",ROUND(($T10-$T$3)/1000,1)+(_xlfn.RANK.AVG($T10,($J10,$O10,$T10),1)-2)*10)</f>
        <v>-17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31400</v>
      </c>
      <c r="K11" s="8" t="s">
        <v>197</v>
      </c>
      <c r="L11" s="9">
        <v>-7700</v>
      </c>
      <c r="M11" s="9"/>
      <c r="N11" s="48">
        <v>0</v>
      </c>
      <c r="O11" s="21">
        <f t="shared" si="3"/>
        <v>37900</v>
      </c>
      <c r="P11" s="8" t="s">
        <v>198</v>
      </c>
      <c r="Q11" s="9">
        <v>7700</v>
      </c>
      <c r="R11" s="9"/>
      <c r="S11" s="48">
        <v>0</v>
      </c>
      <c r="T11" s="21">
        <f t="shared" si="4"/>
        <v>35700</v>
      </c>
      <c r="U11" s="53">
        <f>IF($J11="","",ROUND(($J11-$J$3)/1000,1)+(_xlfn.RANK.AVG($J11,($J11,$O11,$T11),1)-2)*10)</f>
        <v>-13.6</v>
      </c>
      <c r="V11" s="54">
        <f>IF($O11="","",ROUND(($O11-$O$3)/1000,1)+(_xlfn.RANK.AVG($O11,($J11,$O11,$T11),1)-2)*10)</f>
        <v>12.9</v>
      </c>
      <c r="W11" s="55">
        <f>IF($T11="","",ROUND(($T11-$T$3)/1000,1)+(_xlfn.RANK.AVG($T11,($J11,$O11,$T11),1)-2)*10)</f>
        <v>0.7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40</v>
      </c>
      <c r="BU11" s="40" t="s">
        <v>200</v>
      </c>
      <c r="BV11" s="41" t="s">
        <v>85</v>
      </c>
      <c r="BW11" s="41" t="s">
        <v>80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201</v>
      </c>
      <c r="G12" s="9">
        <v>-3000</v>
      </c>
      <c r="H12" s="9"/>
      <c r="I12" s="48">
        <v>-500</v>
      </c>
      <c r="J12" s="21">
        <f t="shared" si="2"/>
        <v>27900</v>
      </c>
      <c r="K12" s="8" t="s">
        <v>202</v>
      </c>
      <c r="L12" s="9">
        <v>8000</v>
      </c>
      <c r="M12" s="9"/>
      <c r="N12" s="48">
        <v>1000</v>
      </c>
      <c r="O12" s="21">
        <f t="shared" si="3"/>
        <v>46900</v>
      </c>
      <c r="P12" s="8" t="s">
        <v>201</v>
      </c>
      <c r="Q12" s="9">
        <v>-5000</v>
      </c>
      <c r="R12" s="9"/>
      <c r="S12" s="48">
        <v>-500</v>
      </c>
      <c r="T12" s="21">
        <f t="shared" si="4"/>
        <v>30200</v>
      </c>
      <c r="U12" s="53">
        <f>IF($J12="","",ROUND(($J12-$J$3)/1000,1)+(_xlfn.RANK.AVG($J12,($J12,$O12,$T12),1)-2)*10)</f>
        <v>-17.100000000000001</v>
      </c>
      <c r="V12" s="54">
        <f>IF($O12="","",ROUND(($O12-$O$3)/1000,1)+(_xlfn.RANK.AVG($O12,($J12,$O12,$T12),1)-2)*10)</f>
        <v>21.9</v>
      </c>
      <c r="W12" s="55">
        <f>IF($T12="","",ROUND(($T12-$T$3)/1000,1)+(_xlfn.RANK.AVG($T12,($J12,$O12,$T12),1)-2)*10)</f>
        <v>-4.8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199</v>
      </c>
      <c r="AZ12" s="40" t="s">
        <v>200</v>
      </c>
      <c r="BA12" s="41" t="s">
        <v>82</v>
      </c>
      <c r="BB12" s="41" t="s">
        <v>104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4A8D6A4-851F-428B-BF46-E428A0730BEA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1C6DDE82-7ABB-46FF-A1BB-DFD5A54ECDCD}">
      <formula1>"ロン,ツモ,放銃,ツモ支払,流局,チョンボ"</formula1>
    </dataValidation>
    <dataValidation type="list" allowBlank="1" showInputMessage="1" showErrorMessage="1" sqref="E4:E30" xr:uid="{E92272A9-91DD-4DD5-BC07-1D89DDC68F9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2020-02-17T08:38:06Z</dcterms:modified>
</cp:coreProperties>
</file>