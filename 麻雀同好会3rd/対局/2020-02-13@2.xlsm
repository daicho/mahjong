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対局\"/>
    </mc:Choice>
  </mc:AlternateContent>
  <xr:revisionPtr revIDLastSave="0" documentId="13_ncr:1_{55C06A19-DF62-4CEF-BDEA-ED5F6FC66977}" xr6:coauthVersionLast="44" xr6:coauthVersionMax="44" xr10:uidLastSave="{00000000-0000-0000-0000-000000000000}"/>
  <bookViews>
    <workbookView xWindow="-108" yWindow="-108" windowWidth="23256" windowHeight="12720" activeTab="1" xr2:uid="{4CDB34E1-560F-4998-ABAB-D6F7F2862621}"/>
  </bookViews>
  <sheets>
    <sheet name="Sheet1" sheetId="19" r:id="rId1"/>
    <sheet name="Sheet2" sheetId="20" r:id="rId2"/>
    <sheet name="役一覧" sheetId="15" state="hidden" r:id="rId3"/>
    <sheet name="点数表(親ロン)" sheetId="4" state="hidden" r:id="rId4"/>
    <sheet name="点数表(親ツモ)" sheetId="9" state="hidden" r:id="rId5"/>
    <sheet name="点数表(子→親)" sheetId="7" state="hidden" r:id="rId6"/>
    <sheet name="点数表(子ロン)" sheetId="3" state="hidden" r:id="rId7"/>
    <sheet name="点数表(子ツモ)" sheetId="10" state="hidden" r:id="rId8"/>
    <sheet name="点数表(子→子)" sheetId="5" state="hidden" r:id="rId9"/>
    <sheet name="点数表(親→子)" sheetId="6" state="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T30" i="20" l="1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D18" i="20"/>
  <c r="C18" i="20"/>
  <c r="D17" i="20"/>
  <c r="D16" i="20"/>
  <c r="D15" i="20"/>
  <c r="C15" i="20"/>
  <c r="C16" i="20" s="1"/>
  <c r="C17" i="20" s="1"/>
  <c r="D14" i="20"/>
  <c r="D13" i="20"/>
  <c r="D11" i="20"/>
  <c r="D12" i="20" s="1"/>
  <c r="D10" i="20"/>
  <c r="D9" i="20"/>
  <c r="C9" i="20"/>
  <c r="C10" i="20" s="1"/>
  <c r="C11" i="20" s="1"/>
  <c r="C12" i="20" s="1"/>
  <c r="C13" i="20" s="1"/>
  <c r="C14" i="20" s="1"/>
  <c r="D8" i="20"/>
  <c r="D7" i="20"/>
  <c r="C7" i="20"/>
  <c r="C8" i="20" s="1"/>
  <c r="D6" i="20"/>
  <c r="C6" i="20"/>
  <c r="T5" i="20"/>
  <c r="D5" i="20"/>
  <c r="C5" i="20"/>
  <c r="T4" i="20"/>
  <c r="O4" i="20"/>
  <c r="O5" i="20" s="1"/>
  <c r="J4" i="20"/>
  <c r="E4" i="20"/>
  <c r="B5" i="20" s="1"/>
  <c r="W3" i="20"/>
  <c r="V3" i="20"/>
  <c r="U3" i="20"/>
  <c r="W2" i="20"/>
  <c r="V2" i="20"/>
  <c r="U2" i="20"/>
  <c r="BO1" i="20"/>
  <c r="AT1" i="20"/>
  <c r="Y1" i="20"/>
  <c r="V4" i="20" l="1"/>
  <c r="W4" i="20"/>
  <c r="B6" i="20"/>
  <c r="A6" i="20" s="1"/>
  <c r="A5" i="20"/>
  <c r="O6" i="20"/>
  <c r="J5" i="20"/>
  <c r="W5" i="20" s="1"/>
  <c r="U4" i="20"/>
  <c r="T6" i="20"/>
  <c r="E4" i="19"/>
  <c r="T7" i="20" l="1"/>
  <c r="B7" i="20"/>
  <c r="U5" i="20"/>
  <c r="J6" i="20"/>
  <c r="W6" i="20" s="1"/>
  <c r="V6" i="20"/>
  <c r="O7" i="20"/>
  <c r="V5" i="20"/>
  <c r="W3" i="19"/>
  <c r="V3" i="19"/>
  <c r="U3" i="19"/>
  <c r="O8" i="20" l="1"/>
  <c r="B8" i="20"/>
  <c r="T8" i="20"/>
  <c r="U6" i="20"/>
  <c r="J7" i="20"/>
  <c r="W7" i="20" s="1"/>
  <c r="A7" i="20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 s="1"/>
  <c r="T18" i="19"/>
  <c r="O18" i="19"/>
  <c r="V18" i="19" s="1"/>
  <c r="J18" i="19"/>
  <c r="D18" i="19"/>
  <c r="C18" i="19"/>
  <c r="B18" i="19"/>
  <c r="A18" i="19"/>
  <c r="T17" i="19"/>
  <c r="O17" i="19"/>
  <c r="V17" i="19" s="1"/>
  <c r="J17" i="19"/>
  <c r="D17" i="19"/>
  <c r="C17" i="19"/>
  <c r="B17" i="19"/>
  <c r="A17" i="19"/>
  <c r="T16" i="19"/>
  <c r="O16" i="19"/>
  <c r="J16" i="19"/>
  <c r="D16" i="19"/>
  <c r="C16" i="19"/>
  <c r="B16" i="19"/>
  <c r="A16" i="19" s="1"/>
  <c r="T15" i="19"/>
  <c r="O15" i="19"/>
  <c r="J15" i="19"/>
  <c r="D15" i="19"/>
  <c r="C15" i="19"/>
  <c r="B15" i="19"/>
  <c r="A15" i="19" s="1"/>
  <c r="T14" i="19"/>
  <c r="O14" i="19"/>
  <c r="J14" i="19"/>
  <c r="U14" i="19" s="1"/>
  <c r="D14" i="19"/>
  <c r="C14" i="19"/>
  <c r="B14" i="19"/>
  <c r="A14" i="19" s="1"/>
  <c r="T13" i="19"/>
  <c r="O13" i="19"/>
  <c r="J13" i="19"/>
  <c r="D13" i="19"/>
  <c r="C13" i="19"/>
  <c r="B13" i="19"/>
  <c r="A13" i="19"/>
  <c r="T12" i="19"/>
  <c r="W12" i="19" s="1"/>
  <c r="O12" i="19"/>
  <c r="J12" i="19"/>
  <c r="D12" i="19"/>
  <c r="C12" i="19"/>
  <c r="B12" i="19"/>
  <c r="A12" i="19"/>
  <c r="T11" i="19"/>
  <c r="W11" i="19" s="1"/>
  <c r="O11" i="19"/>
  <c r="J11" i="19"/>
  <c r="D11" i="19"/>
  <c r="C11" i="19"/>
  <c r="B11" i="19"/>
  <c r="A11" i="19" s="1"/>
  <c r="T10" i="19"/>
  <c r="O10" i="19"/>
  <c r="J10" i="19"/>
  <c r="U10" i="19" s="1"/>
  <c r="D10" i="19"/>
  <c r="C10" i="19"/>
  <c r="B10" i="19"/>
  <c r="A10" i="19" s="1"/>
  <c r="T9" i="19"/>
  <c r="O9" i="19"/>
  <c r="J9" i="19"/>
  <c r="D9" i="19"/>
  <c r="C9" i="19"/>
  <c r="B9" i="19"/>
  <c r="A9" i="19" s="1"/>
  <c r="T8" i="19"/>
  <c r="W8" i="19" s="1"/>
  <c r="O8" i="19"/>
  <c r="J8" i="19"/>
  <c r="D8" i="19"/>
  <c r="C8" i="19"/>
  <c r="B8" i="19"/>
  <c r="A8" i="19" s="1"/>
  <c r="T7" i="19"/>
  <c r="O7" i="19"/>
  <c r="J7" i="19"/>
  <c r="D7" i="19"/>
  <c r="C7" i="19"/>
  <c r="B7" i="19"/>
  <c r="A7" i="19" s="1"/>
  <c r="T6" i="19"/>
  <c r="O6" i="19"/>
  <c r="J6" i="19"/>
  <c r="D6" i="19"/>
  <c r="C6" i="19"/>
  <c r="B6" i="19"/>
  <c r="A6" i="19" s="1"/>
  <c r="D5" i="19"/>
  <c r="C5" i="19"/>
  <c r="B5" i="19"/>
  <c r="A5" i="19" s="1"/>
  <c r="T4" i="19"/>
  <c r="O4" i="19"/>
  <c r="J4" i="19"/>
  <c r="W2" i="19"/>
  <c r="V2" i="19"/>
  <c r="U2" i="19"/>
  <c r="BO1" i="19"/>
  <c r="AT1" i="19"/>
  <c r="Y1" i="19"/>
  <c r="V7" i="20" l="1"/>
  <c r="B9" i="20"/>
  <c r="A9" i="20" s="1"/>
  <c r="O9" i="20"/>
  <c r="J8" i="20"/>
  <c r="V8" i="20" s="1"/>
  <c r="U7" i="20"/>
  <c r="W8" i="20"/>
  <c r="T9" i="20"/>
  <c r="A8" i="20"/>
  <c r="U18" i="19"/>
  <c r="W18" i="19"/>
  <c r="U17" i="19"/>
  <c r="W17" i="19"/>
  <c r="W16" i="19"/>
  <c r="U16" i="19"/>
  <c r="V16" i="19"/>
  <c r="V15" i="19"/>
  <c r="U15" i="19"/>
  <c r="W15" i="19"/>
  <c r="V14" i="19"/>
  <c r="W14" i="19"/>
  <c r="V13" i="19"/>
  <c r="W13" i="19"/>
  <c r="U13" i="19"/>
  <c r="U12" i="19"/>
  <c r="V12" i="19"/>
  <c r="U11" i="19"/>
  <c r="V11" i="19"/>
  <c r="U9" i="19"/>
  <c r="V9" i="19"/>
  <c r="U6" i="19"/>
  <c r="V10" i="19"/>
  <c r="W10" i="19"/>
  <c r="W9" i="19"/>
  <c r="U8" i="19"/>
  <c r="V8" i="19"/>
  <c r="V7" i="19"/>
  <c r="U7" i="19"/>
  <c r="W7" i="19"/>
  <c r="V6" i="19"/>
  <c r="W6" i="19"/>
  <c r="U4" i="19"/>
  <c r="V4" i="19"/>
  <c r="T5" i="19"/>
  <c r="W4" i="19"/>
  <c r="J5" i="19"/>
  <c r="O5" i="19"/>
  <c r="B10" i="20" l="1"/>
  <c r="A10" i="20" s="1"/>
  <c r="T10" i="20"/>
  <c r="U8" i="20"/>
  <c r="J9" i="20"/>
  <c r="W9" i="20" s="1"/>
  <c r="V9" i="20"/>
  <c r="O10" i="20"/>
  <c r="W5" i="19"/>
  <c r="V5" i="19"/>
  <c r="U5" i="19"/>
  <c r="B11" i="20" l="1"/>
  <c r="A11" i="20" s="1"/>
  <c r="O11" i="20"/>
  <c r="U9" i="20"/>
  <c r="J10" i="20"/>
  <c r="V10" i="20" s="1"/>
  <c r="T11" i="20"/>
  <c r="W10" i="20" l="1"/>
  <c r="B12" i="20"/>
  <c r="A12" i="20" s="1"/>
  <c r="T12" i="20"/>
  <c r="U10" i="20"/>
  <c r="J11" i="20"/>
  <c r="O12" i="20"/>
  <c r="W11" i="20" l="1"/>
  <c r="V11" i="20"/>
  <c r="T13" i="20"/>
  <c r="B13" i="20"/>
  <c r="A13" i="20" s="1"/>
  <c r="V12" i="20"/>
  <c r="O13" i="20"/>
  <c r="J12" i="20"/>
  <c r="W12" i="20" s="1"/>
  <c r="U11" i="20"/>
  <c r="T14" i="20" l="1"/>
  <c r="U12" i="20"/>
  <c r="J13" i="20"/>
  <c r="V13" i="20"/>
  <c r="O14" i="20"/>
  <c r="B14" i="20"/>
  <c r="A14" i="20" s="1"/>
  <c r="W13" i="20" l="1"/>
  <c r="V14" i="20"/>
  <c r="O15" i="20"/>
  <c r="T15" i="20"/>
  <c r="B15" i="20"/>
  <c r="A15" i="20"/>
  <c r="U13" i="20"/>
  <c r="J14" i="20"/>
  <c r="W15" i="20" l="1"/>
  <c r="T16" i="20"/>
  <c r="U14" i="20"/>
  <c r="J15" i="20"/>
  <c r="B16" i="20"/>
  <c r="W14" i="20"/>
  <c r="V15" i="20"/>
  <c r="O16" i="20"/>
  <c r="O17" i="20" l="1"/>
  <c r="B17" i="20"/>
  <c r="A16" i="20"/>
  <c r="U15" i="20"/>
  <c r="J16" i="20"/>
  <c r="W16" i="20" s="1"/>
  <c r="T17" i="20"/>
  <c r="V17" i="20" l="1"/>
  <c r="O18" i="20"/>
  <c r="V16" i="20"/>
  <c r="U16" i="20"/>
  <c r="J17" i="20"/>
  <c r="B18" i="20"/>
  <c r="A18" i="20"/>
  <c r="A17" i="20"/>
  <c r="W17" i="20"/>
  <c r="T18" i="20"/>
  <c r="U17" i="20" l="1"/>
  <c r="J18" i="20"/>
  <c r="U18" i="20" s="1"/>
  <c r="W18" i="20" l="1"/>
  <c r="V18" i="20"/>
</calcChain>
</file>

<file path=xl/sharedStrings.xml><?xml version="1.0" encoding="utf-8"?>
<sst xmlns="http://schemas.openxmlformats.org/spreadsheetml/2006/main" count="734" uniqueCount="212">
  <si>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</si>
  <si>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</si>
  <si>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</si>
  <si>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</si>
  <si>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</si>
  <si>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</si>
  <si>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</si>
  <si>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</si>
  <si>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</si>
  <si>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</si>
  <si>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</si>
  <si>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</si>
  <si>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</si>
  <si>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</si>
  <si>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</si>
  <si>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</si>
  <si>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</si>
  <si>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</si>
  <si>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</si>
  <si>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</si>
  <si>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</si>
  <si>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</si>
  <si>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</si>
  <si>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</si>
  <si>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</si>
  <si>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</si>
  <si>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</si>
  <si>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</si>
  <si>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</si>
  <si>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</si>
  <si>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</si>
  <si>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</si>
  <si>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</si>
  <si>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</si>
  <si>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</si>
  <si>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</si>
  <si>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</si>
  <si>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</si>
  <si>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</si>
  <si>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</si>
  <si>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</si>
  <si>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</si>
  <si>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</si>
  <si>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</si>
  <si>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</si>
  <si>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</si>
  <si>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</si>
  <si>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</si>
  <si>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</si>
  <si>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</si>
  <si>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</si>
  <si>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</si>
  <si>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</si>
  <si>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</si>
  <si>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</si>
  <si>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</si>
  <si>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</si>
  <si>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</si>
  <si>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</si>
  <si>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</si>
  <si>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</si>
  <si>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</si>
  <si>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</si>
  <si>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</si>
  <si>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</si>
  <si>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</si>
  <si>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</si>
  <si>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</si>
  <si>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</si>
  <si>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</si>
  <si>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</si>
  <si>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</si>
  <si>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</si>
  <si>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</si>
  <si>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</si>
  <si>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</si>
  <si>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</si>
  <si>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</si>
  <si>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</si>
  <si>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</si>
  <si>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</si>
  <si>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</si>
  <si>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</si>
  <si>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</si>
  <si>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</si>
  <si>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</si>
  <si>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</si>
  <si>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</si>
  <si>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</si>
  <si>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</si>
  <si>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</si>
  <si>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</si>
  <si>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</si>
  <si>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</si>
  <si>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</si>
  <si>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</si>
  <si>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</si>
  <si>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</si>
  <si>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</si>
  <si>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</si>
  <si>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</si>
  <si>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</si>
  <si>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</si>
  <si>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</si>
  <si>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</si>
  <si>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</si>
  <si>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</si>
  <si>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</si>
  <si>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</si>
  <si>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</si>
  <si>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</si>
  <si>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</si>
  <si>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</si>
  <si>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</si>
  <si>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</si>
  <si>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</si>
  <si>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</si>
  <si>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</si>
  <si>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</si>
  <si>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</si>
  <si>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</si>
  <si>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</si>
  <si>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</si>
  <si>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</si>
  <si>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</si>
  <si>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</si>
  <si>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</si>
  <si>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</si>
  <si>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</si>
  <si>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</si>
  <si>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</si>
  <si>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</si>
  <si>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</si>
  <si>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</si>
  <si>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</si>
  <si>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</si>
  <si>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</si>
  <si>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</si>
  <si>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</si>
  <si>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</si>
  <si>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</si>
  <si>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</si>
  <si>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</si>
  <si>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</si>
  <si>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</si>
  <si>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</si>
  <si>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</si>
  <si>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</si>
  <si>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</si>
  <si>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</si>
  <si>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</si>
  <si>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</si>
  <si>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</si>
  <si>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</si>
  <si>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</si>
  <si>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</si>
  <si>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</si>
  <si>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</si>
  <si>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</si>
  <si>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</si>
  <si>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</si>
  <si>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</si>
  <si>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</si>
  <si>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</si>
  <si>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</si>
  <si>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</si>
  <si>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</si>
  <si>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</si>
  <si>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</si>
  <si>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</si>
  <si>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</si>
  <si>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</si>
  <si>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</si>
  <si>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</si>
  <si>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</si>
  <si>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</si>
  <si>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</si>
  <si>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</si>
  <si>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</si>
  <si>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</si>
  <si>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</si>
  <si>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</si>
  <si>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</si>
  <si>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</si>
  <si>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</si>
  <si>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</si>
  <si>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</si>
  <si>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</si>
  <si>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</si>
  <si>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</si>
  <si>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</si>
  <si>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たかの</t>
  </si>
  <si>
    <t>たかの</t>
    <phoneticPr fontId="1"/>
  </si>
  <si>
    <t>りくと</t>
  </si>
  <si>
    <t>りくと</t>
    <phoneticPr fontId="1"/>
  </si>
  <si>
    <t>れんたろう</t>
  </si>
  <si>
    <t>れんたろう</t>
    <phoneticPr fontId="1"/>
  </si>
  <si>
    <t>放銃</t>
  </si>
  <si>
    <t>ロン</t>
  </si>
  <si>
    <t>ツモ支払</t>
  </si>
  <si>
    <t>ツモ</t>
  </si>
  <si>
    <t>52</t>
  </si>
  <si>
    <t>T</t>
  </si>
  <si>
    <t>流局</t>
    <phoneticPr fontId="1"/>
  </si>
  <si>
    <t>*</t>
  </si>
  <si>
    <t>51</t>
  </si>
  <si>
    <t>たかの</t>
    <phoneticPr fontId="1"/>
  </si>
  <si>
    <t>01</t>
  </si>
  <si>
    <t>N</t>
  </si>
  <si>
    <t>だいち</t>
  </si>
  <si>
    <t>だいち</t>
    <phoneticPr fontId="1"/>
  </si>
  <si>
    <t>流局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</si>
</sst>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3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1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192</v>
      </c>
      <c r="G1" s="73"/>
      <c r="H1" s="73"/>
      <c r="I1" s="74"/>
      <c r="J1" s="75"/>
      <c r="K1" s="72" t="s">
        <v>194</v>
      </c>
      <c r="L1" s="73"/>
      <c r="M1" s="73"/>
      <c r="N1" s="74"/>
      <c r="O1" s="75"/>
      <c r="P1" s="72" t="s">
        <v>196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たかの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りくと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れんたろう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5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たかの</v>
      </c>
      <c r="V2" s="64" t="str">
        <f>$K$1</f>
        <v>りくと</v>
      </c>
      <c r="W2" s="16" t="str">
        <f>$P$1</f>
        <v>れんたろう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F1</f>
        <v>たかの</v>
      </c>
      <c r="F4" s="8" t="s">
        <v>197</v>
      </c>
      <c r="G4" s="9">
        <v>-5200</v>
      </c>
      <c r="H4" s="9"/>
      <c r="I4" s="48">
        <v>0</v>
      </c>
      <c r="J4" s="21">
        <f>IF(COUNTA($F4,$K4,$P4)&gt;0,J3+SUM(G4:I4),"")</f>
        <v>29800</v>
      </c>
      <c r="K4" s="8" t="s">
        <v>198</v>
      </c>
      <c r="L4" s="9">
        <v>5200</v>
      </c>
      <c r="M4" s="9"/>
      <c r="N4" s="48">
        <v>0</v>
      </c>
      <c r="O4" s="21">
        <f>IF(COUNTA($F4,$K4,$P4)&gt;0,O3+SUM(L4:N4),"")</f>
        <v>40200</v>
      </c>
      <c r="P4" s="8"/>
      <c r="Q4" s="9"/>
      <c r="R4" s="9"/>
      <c r="S4" s="48"/>
      <c r="T4" s="21">
        <f>IF(COUNTA($F4,$K4,$P4)&gt;0,T3+SUM(Q4:S4),"")</f>
        <v>35000</v>
      </c>
      <c r="U4" s="53">
        <f>IF($J4="","",ROUND(($J4-$J$3)/1000,1)+(_xlfn.RANK.AVG($J4,($J4,$O4,$T4),1)-2)*10)</f>
        <v>-15.2</v>
      </c>
      <c r="V4" s="54">
        <f>IF($O4="","",ROUND(($O4-$O$3)/1000,1)+(_xlfn.RANK.AVG($O4,($J4,$O4,$T4),1)-2)*10)</f>
        <v>15.2</v>
      </c>
      <c r="W4" s="55">
        <f>IF($T4="","",ROUND(($T4-$T$3)/1000,1)+(_xlfn.RANK.AVG($T4,($J4,$O4,$T4),1)-2)*10)</f>
        <v>0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>
        <v>1</v>
      </c>
      <c r="AX4" s="26">
        <v>3</v>
      </c>
      <c r="AY4" s="30">
        <v>40</v>
      </c>
      <c r="AZ4" s="40" t="s">
        <v>86</v>
      </c>
      <c r="BA4" s="41" t="s">
        <v>104</v>
      </c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193</v>
      </c>
      <c r="F5" s="8" t="s">
        <v>198</v>
      </c>
      <c r="G5" s="9">
        <v>3900</v>
      </c>
      <c r="H5" s="9"/>
      <c r="I5" s="48">
        <v>0</v>
      </c>
      <c r="J5" s="21">
        <f t="shared" ref="J5:J30" si="2">IF(COUNTA($F5,$K5,$P5)&gt;0,J4+SUM(G5:I5),"")</f>
        <v>33700</v>
      </c>
      <c r="K5" s="8"/>
      <c r="L5" s="9"/>
      <c r="M5" s="9"/>
      <c r="N5" s="48"/>
      <c r="O5" s="21">
        <f t="shared" ref="O5:O30" si="3">IF(COUNTA($F5,$K5,$P5)&gt;0,O4+SUM(L5:N5),"")</f>
        <v>40200</v>
      </c>
      <c r="P5" s="8" t="s">
        <v>197</v>
      </c>
      <c r="Q5" s="9">
        <v>-3900</v>
      </c>
      <c r="R5" s="9"/>
      <c r="S5" s="48">
        <v>0</v>
      </c>
      <c r="T5" s="21">
        <f t="shared" ref="T5:T30" si="4">IF(COUNTA($F5,$K5,$P5)&gt;0,T4+SUM(Q5:S5),"")</f>
        <v>31100</v>
      </c>
      <c r="U5" s="53">
        <f>IF($J5="","",ROUND(($J5-$J$3)/1000,1)+(_xlfn.RANK.AVG($J5,($J5,$O5,$T5),1)-2)*10)</f>
        <v>-1.3</v>
      </c>
      <c r="V5" s="54">
        <f>IF($O5="","",ROUND(($O5-$O$3)/1000,1)+(_xlfn.RANK.AVG($O5,($J5,$O5,$T5),1)-2)*10)</f>
        <v>15.2</v>
      </c>
      <c r="W5" s="55">
        <f>IF($T5="","",ROUND(($T5-$T$3)/1000,1)+(_xlfn.RANK.AVG($T5,($J5,$O5,$T5),1)-2)*10)</f>
        <v>-13.9</v>
      </c>
      <c r="Y5" s="8"/>
      <c r="Z5" s="34"/>
      <c r="AA5" s="26"/>
      <c r="AB5" s="26">
        <v>1</v>
      </c>
      <c r="AC5" s="26">
        <v>3</v>
      </c>
      <c r="AD5" s="30">
        <v>30</v>
      </c>
      <c r="AE5" s="40" t="s">
        <v>98</v>
      </c>
      <c r="AF5" s="41" t="s">
        <v>86</v>
      </c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195</v>
      </c>
      <c r="F6" s="8" t="s">
        <v>199</v>
      </c>
      <c r="G6" s="9">
        <v>-1500</v>
      </c>
      <c r="H6" s="9"/>
      <c r="I6" s="48">
        <v>0</v>
      </c>
      <c r="J6" s="21">
        <f t="shared" si="2"/>
        <v>32200</v>
      </c>
      <c r="K6" s="8" t="s">
        <v>199</v>
      </c>
      <c r="L6" s="9">
        <v>-1500</v>
      </c>
      <c r="M6" s="9"/>
      <c r="N6" s="48">
        <v>0</v>
      </c>
      <c r="O6" s="21">
        <f t="shared" si="3"/>
        <v>38700</v>
      </c>
      <c r="P6" s="8" t="s">
        <v>200</v>
      </c>
      <c r="Q6" s="9">
        <v>3000</v>
      </c>
      <c r="R6" s="9"/>
      <c r="S6" s="48">
        <v>0</v>
      </c>
      <c r="T6" s="21">
        <f t="shared" si="4"/>
        <v>34100</v>
      </c>
      <c r="U6" s="53">
        <f>IF($J6="","",ROUND(($J6-$J$3)/1000,1)+(_xlfn.RANK.AVG($J6,($J6,$O6,$T6),1)-2)*10)</f>
        <v>-12.8</v>
      </c>
      <c r="V6" s="54">
        <f>IF($O6="","",ROUND(($O6-$O$3)/1000,1)+(_xlfn.RANK.AVG($O6,($J6,$O6,$T6),1)-2)*10)</f>
        <v>13.7</v>
      </c>
      <c r="W6" s="55">
        <f>IF($T6="","",ROUND(($T6-$T$3)/1000,1)+(_xlfn.RANK.AVG($T6,($J6,$O6,$T6),1)-2)*10)</f>
        <v>-0.9</v>
      </c>
      <c r="Y6" s="8"/>
      <c r="Z6" s="34"/>
      <c r="AA6" s="26"/>
      <c r="AB6" s="26">
        <v>1</v>
      </c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>
        <v>1</v>
      </c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>
        <v>2</v>
      </c>
      <c r="BT6" s="30">
        <v>30</v>
      </c>
      <c r="BU6" s="40" t="s">
        <v>86</v>
      </c>
      <c r="BV6" s="41" t="s">
        <v>201</v>
      </c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3</v>
      </c>
      <c r="C7" s="18">
        <f t="shared" si="6"/>
        <v>1</v>
      </c>
      <c r="D7" s="18">
        <f t="shared" si="1"/>
        <v>0</v>
      </c>
      <c r="E7" s="4" t="s">
        <v>195</v>
      </c>
      <c r="F7" s="8" t="s">
        <v>199</v>
      </c>
      <c r="G7" s="9">
        <v>-1500</v>
      </c>
      <c r="H7" s="9"/>
      <c r="I7" s="48">
        <v>-500</v>
      </c>
      <c r="J7" s="21">
        <f t="shared" si="2"/>
        <v>30200</v>
      </c>
      <c r="K7" s="8" t="s">
        <v>199</v>
      </c>
      <c r="L7" s="9">
        <v>-1500</v>
      </c>
      <c r="M7" s="9"/>
      <c r="N7" s="48">
        <v>-500</v>
      </c>
      <c r="O7" s="21">
        <f t="shared" si="3"/>
        <v>36700</v>
      </c>
      <c r="P7" s="8" t="s">
        <v>200</v>
      </c>
      <c r="Q7" s="9">
        <v>3000</v>
      </c>
      <c r="R7" s="9"/>
      <c r="S7" s="48">
        <v>1000</v>
      </c>
      <c r="T7" s="21">
        <f t="shared" si="4"/>
        <v>38100</v>
      </c>
      <c r="U7" s="53">
        <f>IF($J7="","",ROUND(($J7-$J$3)/1000,1)+(_xlfn.RANK.AVG($J7,($J7,$O7,$T7),1)-2)*10)</f>
        <v>-14.8</v>
      </c>
      <c r="V7" s="54">
        <f>IF($O7="","",ROUND(($O7-$O$3)/1000,1)+(_xlfn.RANK.AVG($O7,($J7,$O7,$T7),1)-2)*10)</f>
        <v>1.7</v>
      </c>
      <c r="W7" s="55">
        <f>IF($T7="","",ROUND(($T7-$T$3)/1000,1)+(_xlfn.RANK.AVG($T7,($J7,$O7,$T7),1)-2)*10)</f>
        <v>13.1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>
        <v>1</v>
      </c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>
        <v>2</v>
      </c>
      <c r="BT7" s="30">
        <v>30</v>
      </c>
      <c r="BU7" s="40" t="s">
        <v>82</v>
      </c>
      <c r="BV7" s="41" t="s">
        <v>201</v>
      </c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東</v>
      </c>
      <c r="B8" s="18">
        <f t="shared" si="5"/>
        <v>3</v>
      </c>
      <c r="C8" s="18">
        <f t="shared" si="6"/>
        <v>2</v>
      </c>
      <c r="D8" s="18">
        <f t="shared" si="1"/>
        <v>0</v>
      </c>
      <c r="E8" s="4" t="s">
        <v>195</v>
      </c>
      <c r="F8" s="8" t="s">
        <v>199</v>
      </c>
      <c r="G8" s="9">
        <v>-2900</v>
      </c>
      <c r="H8" s="9"/>
      <c r="I8" s="48">
        <v>-1000</v>
      </c>
      <c r="J8" s="21">
        <f t="shared" si="2"/>
        <v>26300</v>
      </c>
      <c r="K8" s="8" t="s">
        <v>200</v>
      </c>
      <c r="L8" s="9">
        <v>7700</v>
      </c>
      <c r="M8" s="9"/>
      <c r="N8" s="48">
        <v>2000</v>
      </c>
      <c r="O8" s="21">
        <f t="shared" si="3"/>
        <v>46400</v>
      </c>
      <c r="P8" s="8" t="s">
        <v>199</v>
      </c>
      <c r="Q8" s="9">
        <v>-4800</v>
      </c>
      <c r="R8" s="9"/>
      <c r="S8" s="48">
        <v>-1000</v>
      </c>
      <c r="T8" s="21">
        <f t="shared" si="4"/>
        <v>32300</v>
      </c>
      <c r="U8" s="53">
        <f>IF($J8="","",ROUND(($J8-$J$3)/1000,1)+(_xlfn.RANK.AVG($J8,($J8,$O8,$T8),1)-2)*10)</f>
        <v>-18.7</v>
      </c>
      <c r="V8" s="54">
        <f>IF($O8="","",ROUND(($O8-$O$3)/1000,1)+(_xlfn.RANK.AVG($O8,($J8,$O8,$T8),1)-2)*10)</f>
        <v>21.4</v>
      </c>
      <c r="W8" s="55">
        <f>IF($T8="","",ROUND(($T8-$T$3)/1000,1)+(_xlfn.RANK.AVG($T8,($J8,$O8,$T8),1)-2)*10)</f>
        <v>-2.7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>
        <v>1</v>
      </c>
      <c r="AX8" s="26">
        <v>4</v>
      </c>
      <c r="AY8" s="30">
        <v>30</v>
      </c>
      <c r="AZ8" s="40" t="s">
        <v>86</v>
      </c>
      <c r="BA8" s="41" t="s">
        <v>86</v>
      </c>
      <c r="BB8" s="41" t="s">
        <v>104</v>
      </c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>
        <v>1</v>
      </c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1</v>
      </c>
      <c r="C9" s="18">
        <f t="shared" si="6"/>
        <v>0</v>
      </c>
      <c r="D9" s="18">
        <f t="shared" si="1"/>
        <v>0</v>
      </c>
      <c r="E9" s="4" t="s">
        <v>191</v>
      </c>
      <c r="F9" s="8" t="s">
        <v>198</v>
      </c>
      <c r="G9" s="9">
        <v>5800</v>
      </c>
      <c r="H9" s="9"/>
      <c r="I9" s="48">
        <v>0</v>
      </c>
      <c r="J9" s="21">
        <f t="shared" si="2"/>
        <v>32100</v>
      </c>
      <c r="K9" s="8"/>
      <c r="L9" s="9"/>
      <c r="M9" s="9"/>
      <c r="N9" s="48"/>
      <c r="O9" s="21">
        <f t="shared" si="3"/>
        <v>46400</v>
      </c>
      <c r="P9" s="8" t="s">
        <v>197</v>
      </c>
      <c r="Q9" s="9">
        <v>-5800</v>
      </c>
      <c r="R9" s="9"/>
      <c r="S9" s="48">
        <v>0</v>
      </c>
      <c r="T9" s="21">
        <f t="shared" si="4"/>
        <v>26500</v>
      </c>
      <c r="U9" s="53">
        <f>IF($J9="","",ROUND(($J9-$J$3)/1000,1)+(_xlfn.RANK.AVG($J9,($J9,$O9,$T9),1)-2)*10)</f>
        <v>-2.9</v>
      </c>
      <c r="V9" s="54">
        <f>IF($O9="","",ROUND(($O9-$O$3)/1000,1)+(_xlfn.RANK.AVG($O9,($J9,$O9,$T9),1)-2)*10)</f>
        <v>21.4</v>
      </c>
      <c r="W9" s="55">
        <f>IF($T9="","",ROUND(($T9-$T$3)/1000,1)+(_xlfn.RANK.AVG($T9,($J9,$O9,$T9),1)-2)*10)</f>
        <v>-18.5</v>
      </c>
      <c r="Y9" s="8"/>
      <c r="Z9" s="34"/>
      <c r="AA9" s="26"/>
      <c r="AB9" s="26">
        <v>1</v>
      </c>
      <c r="AC9" s="26">
        <v>3</v>
      </c>
      <c r="AD9" s="30">
        <v>30</v>
      </c>
      <c r="AE9" s="40" t="s">
        <v>85</v>
      </c>
      <c r="AF9" s="41" t="s">
        <v>201</v>
      </c>
      <c r="AG9" s="41" t="s">
        <v>79</v>
      </c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南</v>
      </c>
      <c r="B10" s="18">
        <f t="shared" si="5"/>
        <v>1</v>
      </c>
      <c r="C10" s="18">
        <f t="shared" si="6"/>
        <v>1</v>
      </c>
      <c r="D10" s="18">
        <f t="shared" si="1"/>
        <v>0</v>
      </c>
      <c r="E10" s="4" t="s">
        <v>191</v>
      </c>
      <c r="F10" s="8" t="s">
        <v>200</v>
      </c>
      <c r="G10" s="9">
        <v>12000</v>
      </c>
      <c r="H10" s="9">
        <v>1000</v>
      </c>
      <c r="I10" s="48">
        <v>1000</v>
      </c>
      <c r="J10" s="21">
        <f t="shared" si="2"/>
        <v>46100</v>
      </c>
      <c r="K10" s="8" t="s">
        <v>199</v>
      </c>
      <c r="L10" s="9">
        <v>-6000</v>
      </c>
      <c r="M10" s="9">
        <v>-1000</v>
      </c>
      <c r="N10" s="48">
        <v>-500</v>
      </c>
      <c r="O10" s="21">
        <f t="shared" si="3"/>
        <v>38900</v>
      </c>
      <c r="P10" s="8" t="s">
        <v>199</v>
      </c>
      <c r="Q10" s="9">
        <v>-6000</v>
      </c>
      <c r="R10" s="9"/>
      <c r="S10" s="48">
        <v>-500</v>
      </c>
      <c r="T10" s="21">
        <f t="shared" si="4"/>
        <v>20000</v>
      </c>
      <c r="U10" s="53">
        <f>IF($J10="","",ROUND(($J10-$J$3)/1000,1)+(_xlfn.RANK.AVG($J10,($J10,$O10,$T10),1)-2)*10)</f>
        <v>21.1</v>
      </c>
      <c r="V10" s="54">
        <f>IF($O10="","",ROUND(($O10-$O$3)/1000,1)+(_xlfn.RANK.AVG($O10,($J10,$O10,$T10),1)-2)*10)</f>
        <v>3.9</v>
      </c>
      <c r="W10" s="55">
        <f>IF($T10="","",ROUND(($T10-$T$3)/1000,1)+(_xlfn.RANK.AVG($T10,($J10,$O10,$T10),1)-2)*10)</f>
        <v>-25</v>
      </c>
      <c r="Y10" s="8"/>
      <c r="Z10" s="34"/>
      <c r="AA10" s="26"/>
      <c r="AB10" s="26">
        <v>1</v>
      </c>
      <c r="AC10" s="26">
        <v>4</v>
      </c>
      <c r="AD10" s="30">
        <v>40</v>
      </c>
      <c r="AE10" s="40" t="s">
        <v>86</v>
      </c>
      <c r="AF10" s="41" t="s">
        <v>79</v>
      </c>
      <c r="AG10" s="41" t="s">
        <v>79</v>
      </c>
      <c r="AH10" s="41" t="s">
        <v>79</v>
      </c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>
        <v>1</v>
      </c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>南</v>
      </c>
      <c r="B11" s="18">
        <f t="shared" si="5"/>
        <v>1</v>
      </c>
      <c r="C11" s="18">
        <f t="shared" si="6"/>
        <v>2</v>
      </c>
      <c r="D11" s="18">
        <f t="shared" si="1"/>
        <v>0</v>
      </c>
      <c r="E11" s="4" t="s">
        <v>191</v>
      </c>
      <c r="F11" s="8" t="s">
        <v>203</v>
      </c>
      <c r="G11" s="9">
        <v>0</v>
      </c>
      <c r="H11" s="9"/>
      <c r="I11" s="48"/>
      <c r="J11" s="21">
        <f t="shared" si="2"/>
        <v>46100</v>
      </c>
      <c r="K11" s="8" t="s">
        <v>203</v>
      </c>
      <c r="L11" s="9">
        <v>0</v>
      </c>
      <c r="M11" s="9"/>
      <c r="N11" s="48"/>
      <c r="O11" s="21">
        <f t="shared" si="3"/>
        <v>38900</v>
      </c>
      <c r="P11" s="8" t="s">
        <v>203</v>
      </c>
      <c r="Q11" s="9">
        <v>0</v>
      </c>
      <c r="R11" s="9">
        <v>-1000</v>
      </c>
      <c r="S11" s="48"/>
      <c r="T11" s="21">
        <f t="shared" si="4"/>
        <v>19000</v>
      </c>
      <c r="U11" s="53">
        <f>IF($J11="","",ROUND(($J11-$J$3)/1000,1)+(_xlfn.RANK.AVG($J11,($J11,$O11,$T11),1)-2)*10)</f>
        <v>21.1</v>
      </c>
      <c r="V11" s="54">
        <f>IF($O11="","",ROUND(($O11-$O$3)/1000,1)+(_xlfn.RANK.AVG($O11,($J11,$O11,$T11),1)-2)*10)</f>
        <v>3.9</v>
      </c>
      <c r="W11" s="55">
        <f>IF($T11="","",ROUND(($T11-$T$3)/1000,1)+(_xlfn.RANK.AVG($T11,($J11,$O11,$T11),1)-2)*10)</f>
        <v>-26</v>
      </c>
      <c r="Y11" s="8" t="s">
        <v>202</v>
      </c>
      <c r="Z11" s="34"/>
      <c r="AA11" s="26"/>
      <c r="AB11" s="26">
        <v>1</v>
      </c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 t="s">
        <v>202</v>
      </c>
      <c r="AU11" s="34"/>
      <c r="AV11" s="26"/>
      <c r="AW11" s="26">
        <v>1</v>
      </c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 t="s">
        <v>202</v>
      </c>
      <c r="BP11" s="34"/>
      <c r="BQ11" s="26">
        <v>1</v>
      </c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>南</v>
      </c>
      <c r="B12" s="18">
        <f t="shared" si="5"/>
        <v>1</v>
      </c>
      <c r="C12" s="18">
        <f t="shared" si="6"/>
        <v>3</v>
      </c>
      <c r="D12" s="18">
        <f t="shared" si="1"/>
        <v>1</v>
      </c>
      <c r="E12" s="4" t="s">
        <v>191</v>
      </c>
      <c r="F12" s="8" t="s">
        <v>198</v>
      </c>
      <c r="G12" s="9">
        <v>1500</v>
      </c>
      <c r="H12" s="9"/>
      <c r="I12" s="48"/>
      <c r="J12" s="21">
        <f t="shared" si="2"/>
        <v>47600</v>
      </c>
      <c r="K12" s="8" t="s">
        <v>197</v>
      </c>
      <c r="L12" s="9">
        <v>-9500</v>
      </c>
      <c r="M12" s="9">
        <v>-1000</v>
      </c>
      <c r="N12" s="48">
        <v>-3000</v>
      </c>
      <c r="O12" s="21">
        <f t="shared" si="3"/>
        <v>25400</v>
      </c>
      <c r="P12" s="8" t="s">
        <v>198</v>
      </c>
      <c r="Q12" s="9">
        <v>8000</v>
      </c>
      <c r="R12" s="9">
        <v>2000</v>
      </c>
      <c r="S12" s="48">
        <v>3000</v>
      </c>
      <c r="T12" s="21">
        <f t="shared" si="4"/>
        <v>32000</v>
      </c>
      <c r="U12" s="53">
        <f>IF($J12="","",ROUND(($J12-$J$3)/1000,1)+(_xlfn.RANK.AVG($J12,($J12,$O12,$T12),1)-2)*10)</f>
        <v>22.6</v>
      </c>
      <c r="V12" s="54">
        <f>IF($O12="","",ROUND(($O12-$O$3)/1000,1)+(_xlfn.RANK.AVG($O12,($J12,$O12,$T12),1)-2)*10)</f>
        <v>-19.600000000000001</v>
      </c>
      <c r="W12" s="55">
        <f>IF($T12="","",ROUND(($T12-$T$3)/1000,1)+(_xlfn.RANK.AVG($T12,($J12,$O12,$T12),1)-2)*10)</f>
        <v>-3</v>
      </c>
      <c r="Y12" s="8"/>
      <c r="Z12" s="34"/>
      <c r="AA12" s="26"/>
      <c r="AB12" s="26">
        <v>1</v>
      </c>
      <c r="AC12" s="26">
        <v>1</v>
      </c>
      <c r="AD12" s="30">
        <v>30</v>
      </c>
      <c r="AE12" s="40" t="s">
        <v>86</v>
      </c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>
        <v>1</v>
      </c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>
        <v>1</v>
      </c>
      <c r="BR12" s="26"/>
      <c r="BS12" s="26">
        <v>5</v>
      </c>
      <c r="BT12" s="30" t="s">
        <v>204</v>
      </c>
      <c r="BU12" s="40" t="s">
        <v>205</v>
      </c>
      <c r="BV12" s="41" t="s">
        <v>86</v>
      </c>
      <c r="BW12" s="41" t="s">
        <v>84</v>
      </c>
      <c r="BX12" s="41" t="s">
        <v>79</v>
      </c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>南</v>
      </c>
      <c r="B13" s="18">
        <f t="shared" si="5"/>
        <v>1</v>
      </c>
      <c r="C13" s="18">
        <f t="shared" si="6"/>
        <v>4</v>
      </c>
      <c r="D13" s="18">
        <f t="shared" si="1"/>
        <v>0</v>
      </c>
      <c r="E13" s="4" t="s">
        <v>206</v>
      </c>
      <c r="F13" s="8" t="s">
        <v>200</v>
      </c>
      <c r="G13" s="9">
        <v>6000</v>
      </c>
      <c r="H13" s="9"/>
      <c r="I13" s="48">
        <v>4000</v>
      </c>
      <c r="J13" s="21">
        <f t="shared" si="2"/>
        <v>57600</v>
      </c>
      <c r="K13" s="8" t="s">
        <v>199</v>
      </c>
      <c r="L13" s="9">
        <v>-3000</v>
      </c>
      <c r="M13" s="9"/>
      <c r="N13" s="48">
        <v>-2000</v>
      </c>
      <c r="O13" s="21">
        <f t="shared" si="3"/>
        <v>20400</v>
      </c>
      <c r="P13" s="8" t="s">
        <v>199</v>
      </c>
      <c r="Q13" s="9">
        <v>-3000</v>
      </c>
      <c r="R13" s="9"/>
      <c r="S13" s="48">
        <v>-2000</v>
      </c>
      <c r="T13" s="21">
        <f t="shared" si="4"/>
        <v>27000</v>
      </c>
      <c r="U13" s="53">
        <f>IF($J13="","",ROUND(($J13-$J$3)/1000,1)+(_xlfn.RANK.AVG($J13,($J13,$O13,$T13),1)-2)*10)</f>
        <v>32.6</v>
      </c>
      <c r="V13" s="54">
        <f>IF($O13="","",ROUND(($O13-$O$3)/1000,1)+(_xlfn.RANK.AVG($O13,($J13,$O13,$T13),1)-2)*10)</f>
        <v>-24.6</v>
      </c>
      <c r="W13" s="55">
        <f>IF($T13="","",ROUND(($T13-$T$3)/1000,1)+(_xlfn.RANK.AVG($T13,($J13,$O13,$T13),1)-2)*10)</f>
        <v>-8</v>
      </c>
      <c r="Y13" s="8"/>
      <c r="Z13" s="34"/>
      <c r="AA13" s="26"/>
      <c r="AB13" s="26"/>
      <c r="AC13" s="26">
        <v>3</v>
      </c>
      <c r="AD13" s="30">
        <v>30</v>
      </c>
      <c r="AE13" s="40" t="s">
        <v>82</v>
      </c>
      <c r="AF13" s="41" t="s">
        <v>85</v>
      </c>
      <c r="AG13" s="41" t="s">
        <v>84</v>
      </c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>
        <v>1</v>
      </c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>南</v>
      </c>
      <c r="B14" s="18">
        <f t="shared" si="5"/>
        <v>1</v>
      </c>
      <c r="C14" s="18">
        <f t="shared" si="6"/>
        <v>5</v>
      </c>
      <c r="D14" s="18">
        <f t="shared" si="1"/>
        <v>0</v>
      </c>
      <c r="E14" s="4" t="s">
        <v>191</v>
      </c>
      <c r="F14" s="8" t="s">
        <v>199</v>
      </c>
      <c r="G14" s="9">
        <v>-4000</v>
      </c>
      <c r="H14" s="9"/>
      <c r="I14" s="48">
        <v>-2500</v>
      </c>
      <c r="J14" s="21">
        <f t="shared" si="2"/>
        <v>51100</v>
      </c>
      <c r="K14" s="8" t="s">
        <v>200</v>
      </c>
      <c r="L14" s="9">
        <v>6400</v>
      </c>
      <c r="M14" s="9"/>
      <c r="N14" s="48">
        <v>5000</v>
      </c>
      <c r="O14" s="21">
        <f t="shared" si="3"/>
        <v>31800</v>
      </c>
      <c r="P14" s="8" t="s">
        <v>199</v>
      </c>
      <c r="Q14" s="9">
        <v>-2400</v>
      </c>
      <c r="R14" s="9"/>
      <c r="S14" s="48">
        <v>-2500</v>
      </c>
      <c r="T14" s="21">
        <f t="shared" si="4"/>
        <v>22100</v>
      </c>
      <c r="U14" s="53">
        <f>IF($J14="","",ROUND(($J14-$J$3)/1000,1)+(_xlfn.RANK.AVG($J14,($J14,$O14,$T14),1)-2)*10)</f>
        <v>26.1</v>
      </c>
      <c r="V14" s="54">
        <f>IF($O14="","",ROUND(($O14-$O$3)/1000,1)+(_xlfn.RANK.AVG($O14,($J14,$O14,$T14),1)-2)*10)</f>
        <v>-3.2</v>
      </c>
      <c r="W14" s="55">
        <f>IF($T14="","",ROUND(($T14-$T$3)/1000,1)+(_xlfn.RANK.AVG($T14,($J14,$O14,$T14),1)-2)*10)</f>
        <v>-22.9</v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>
        <v>1</v>
      </c>
      <c r="AW14" s="26"/>
      <c r="AX14" s="26">
        <v>4</v>
      </c>
      <c r="AY14" s="30">
        <v>25</v>
      </c>
      <c r="AZ14" s="40" t="s">
        <v>207</v>
      </c>
      <c r="BA14" s="41" t="s">
        <v>82</v>
      </c>
      <c r="BB14" s="41" t="s">
        <v>101</v>
      </c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>南</v>
      </c>
      <c r="B15" s="18">
        <f t="shared" si="5"/>
        <v>2</v>
      </c>
      <c r="C15" s="18">
        <f t="shared" si="6"/>
        <v>0</v>
      </c>
      <c r="D15" s="18">
        <f t="shared" si="1"/>
        <v>0</v>
      </c>
      <c r="E15" s="4" t="s">
        <v>193</v>
      </c>
      <c r="F15" s="8" t="s">
        <v>197</v>
      </c>
      <c r="G15" s="9">
        <v>-12000</v>
      </c>
      <c r="H15" s="9"/>
      <c r="I15" s="48">
        <v>0</v>
      </c>
      <c r="J15" s="21">
        <f t="shared" si="2"/>
        <v>39100</v>
      </c>
      <c r="K15" s="8" t="s">
        <v>198</v>
      </c>
      <c r="L15" s="9">
        <v>12000</v>
      </c>
      <c r="M15" s="9">
        <v>1000</v>
      </c>
      <c r="N15" s="48">
        <v>0</v>
      </c>
      <c r="O15" s="21">
        <f t="shared" si="3"/>
        <v>44800</v>
      </c>
      <c r="P15" s="8"/>
      <c r="Q15" s="9"/>
      <c r="R15" s="9">
        <v>-1000</v>
      </c>
      <c r="S15" s="48"/>
      <c r="T15" s="21">
        <f t="shared" si="4"/>
        <v>21100</v>
      </c>
      <c r="U15" s="53">
        <f>IF($J15="","",ROUND(($J15-$J$3)/1000,1)+(_xlfn.RANK.AVG($J15,($J15,$O15,$T15),1)-2)*10)</f>
        <v>4.0999999999999996</v>
      </c>
      <c r="V15" s="54">
        <f>IF($O15="","",ROUND(($O15-$O$3)/1000,1)+(_xlfn.RANK.AVG($O15,($J15,$O15,$T15),1)-2)*10)</f>
        <v>19.8</v>
      </c>
      <c r="W15" s="55">
        <f>IF($T15="","",ROUND(($T15-$T$3)/1000,1)+(_xlfn.RANK.AVG($T15,($J15,$O15,$T15),1)-2)*10)</f>
        <v>-23.9</v>
      </c>
      <c r="Y15" s="8"/>
      <c r="Z15" s="34"/>
      <c r="AA15" s="26"/>
      <c r="AB15" s="26">
        <v>1</v>
      </c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>
        <v>1</v>
      </c>
      <c r="AW15" s="26"/>
      <c r="AX15" s="26">
        <v>4</v>
      </c>
      <c r="AY15" s="30">
        <v>50</v>
      </c>
      <c r="AZ15" s="40" t="s">
        <v>207</v>
      </c>
      <c r="BA15" s="41" t="s">
        <v>86</v>
      </c>
      <c r="BB15" s="41" t="s">
        <v>79</v>
      </c>
      <c r="BC15" s="41" t="s">
        <v>79</v>
      </c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>
        <v>1</v>
      </c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>南</v>
      </c>
      <c r="B16" s="18">
        <f t="shared" si="5"/>
        <v>2</v>
      </c>
      <c r="C16" s="18">
        <f t="shared" si="6"/>
        <v>1</v>
      </c>
      <c r="D16" s="18">
        <f t="shared" si="1"/>
        <v>0</v>
      </c>
      <c r="E16" s="4" t="s">
        <v>193</v>
      </c>
      <c r="F16" s="8" t="s">
        <v>203</v>
      </c>
      <c r="G16" s="9">
        <v>-3000</v>
      </c>
      <c r="H16" s="9"/>
      <c r="I16" s="48"/>
      <c r="J16" s="21">
        <f t="shared" si="2"/>
        <v>36100</v>
      </c>
      <c r="K16" s="8" t="s">
        <v>203</v>
      </c>
      <c r="L16" s="9">
        <v>1500</v>
      </c>
      <c r="M16" s="9"/>
      <c r="N16" s="48"/>
      <c r="O16" s="21">
        <f t="shared" si="3"/>
        <v>46300</v>
      </c>
      <c r="P16" s="8" t="s">
        <v>203</v>
      </c>
      <c r="Q16" s="9">
        <v>1500</v>
      </c>
      <c r="R16" s="9">
        <v>-1000</v>
      </c>
      <c r="S16" s="48"/>
      <c r="T16" s="21">
        <f t="shared" si="4"/>
        <v>21600</v>
      </c>
      <c r="U16" s="53">
        <f>IF($J16="","",ROUND(($J16-$J$3)/1000,1)+(_xlfn.RANK.AVG($J16,($J16,$O16,$T16),1)-2)*10)</f>
        <v>1.1000000000000001</v>
      </c>
      <c r="V16" s="54">
        <f>IF($O16="","",ROUND(($O16-$O$3)/1000,1)+(_xlfn.RANK.AVG($O16,($J16,$O16,$T16),1)-2)*10)</f>
        <v>21.3</v>
      </c>
      <c r="W16" s="55">
        <f>IF($T16="","",ROUND(($T16-$T$3)/1000,1)+(_xlfn.RANK.AVG($T16,($J16,$O16,$T16),1)-2)*10)</f>
        <v>-23.4</v>
      </c>
      <c r="Y16" s="8" t="s">
        <v>208</v>
      </c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 t="s">
        <v>202</v>
      </c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 t="s">
        <v>202</v>
      </c>
      <c r="BP16" s="34"/>
      <c r="BQ16" s="26">
        <v>1</v>
      </c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>南</v>
      </c>
      <c r="B17" s="18">
        <f t="shared" si="5"/>
        <v>2</v>
      </c>
      <c r="C17" s="18">
        <f t="shared" si="6"/>
        <v>2</v>
      </c>
      <c r="D17" s="18">
        <f t="shared" si="1"/>
        <v>1</v>
      </c>
      <c r="E17" s="4" t="s">
        <v>193</v>
      </c>
      <c r="F17" s="8" t="s">
        <v>199</v>
      </c>
      <c r="G17" s="9">
        <v>-2900</v>
      </c>
      <c r="H17" s="9"/>
      <c r="I17" s="48">
        <v>-1000</v>
      </c>
      <c r="J17" s="21">
        <f t="shared" si="2"/>
        <v>32200</v>
      </c>
      <c r="K17" s="8" t="s">
        <v>199</v>
      </c>
      <c r="L17" s="9">
        <v>-4800</v>
      </c>
      <c r="M17" s="9"/>
      <c r="N17" s="48">
        <v>-1000</v>
      </c>
      <c r="O17" s="21">
        <f t="shared" si="3"/>
        <v>40500</v>
      </c>
      <c r="P17" s="8" t="s">
        <v>200</v>
      </c>
      <c r="Q17" s="9">
        <v>7700</v>
      </c>
      <c r="R17" s="9">
        <v>1000</v>
      </c>
      <c r="S17" s="48">
        <v>2000</v>
      </c>
      <c r="T17" s="21">
        <f t="shared" si="4"/>
        <v>32300</v>
      </c>
      <c r="U17" s="53">
        <f>IF($J17="","",ROUND(($J17-$J$3)/1000,1)+(_xlfn.RANK.AVG($J17,($J17,$O17,$T17),1)-2)*10)</f>
        <v>-12.8</v>
      </c>
      <c r="V17" s="54">
        <f>IF($O17="","",ROUND(($O17-$O$3)/1000,1)+(_xlfn.RANK.AVG($O17,($J17,$O17,$T17),1)-2)*10)</f>
        <v>15.5</v>
      </c>
      <c r="W17" s="55">
        <f>IF($T17="","",ROUND(($T17-$T$3)/1000,1)+(_xlfn.RANK.AVG($T17,($J17,$O17,$T17),1)-2)*10)</f>
        <v>-2.7</v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>
        <v>1</v>
      </c>
      <c r="BR17" s="26"/>
      <c r="BS17" s="26">
        <v>4</v>
      </c>
      <c r="BT17" s="30">
        <v>30</v>
      </c>
      <c r="BU17" s="40" t="s">
        <v>205</v>
      </c>
      <c r="BV17" s="41" t="s">
        <v>82</v>
      </c>
      <c r="BW17" s="41" t="s">
        <v>85</v>
      </c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>南</v>
      </c>
      <c r="B18" s="18">
        <f t="shared" si="5"/>
        <v>3</v>
      </c>
      <c r="C18" s="18">
        <f t="shared" si="6"/>
        <v>0</v>
      </c>
      <c r="D18" s="18">
        <f t="shared" si="1"/>
        <v>0</v>
      </c>
      <c r="E18" s="4" t="s">
        <v>195</v>
      </c>
      <c r="F18" s="8" t="s">
        <v>199</v>
      </c>
      <c r="G18" s="9">
        <v>-1100</v>
      </c>
      <c r="H18" s="9"/>
      <c r="I18" s="48">
        <v>0</v>
      </c>
      <c r="J18" s="21">
        <f t="shared" si="2"/>
        <v>31100</v>
      </c>
      <c r="K18" s="8" t="s">
        <v>200</v>
      </c>
      <c r="L18" s="9">
        <v>2800</v>
      </c>
      <c r="M18" s="9"/>
      <c r="N18" s="48">
        <v>0</v>
      </c>
      <c r="O18" s="21">
        <f t="shared" si="3"/>
        <v>43300</v>
      </c>
      <c r="P18" s="8" t="s">
        <v>199</v>
      </c>
      <c r="Q18" s="9">
        <v>-1700</v>
      </c>
      <c r="R18" s="9"/>
      <c r="S18" s="48">
        <v>0</v>
      </c>
      <c r="T18" s="21">
        <f t="shared" si="4"/>
        <v>30600</v>
      </c>
      <c r="U18" s="53">
        <f>IF($J18="","",ROUND(($J18-$J$3)/1000,1)+(_xlfn.RANK.AVG($J18,($J18,$O18,$T18),1)-2)*10)</f>
        <v>-3.9</v>
      </c>
      <c r="V18" s="54">
        <f>IF($O18="","",ROUND(($O18-$O$3)/1000,1)+(_xlfn.RANK.AVG($O18,($J18,$O18,$T18),1)-2)*10)</f>
        <v>18.3</v>
      </c>
      <c r="W18" s="55">
        <f>IF($T18="","",ROUND(($T18-$T$3)/1000,1)+(_xlfn.RANK.AVG($T18,($J18,$O18,$T18),1)-2)*10)</f>
        <v>-14.4</v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>
        <v>1</v>
      </c>
      <c r="AW18" s="26"/>
      <c r="AX18" s="26">
        <v>3</v>
      </c>
      <c r="AY18" s="30">
        <v>20</v>
      </c>
      <c r="AZ18" s="40" t="s">
        <v>207</v>
      </c>
      <c r="BA18" s="41" t="s">
        <v>82</v>
      </c>
      <c r="BB18" s="41" t="s">
        <v>83</v>
      </c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C4926069-E52E-455C-B974-5FF9E8EBD301}">
      <formula1>"たかの,だいち,ただ,りくと,れんたろう,まっつん,のり,ぱぱ,ほたに,いっしー,ともき,たか,ゆう,"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1BC2F5-BF9C-43BD-A2C2-79A19E97722C}">
  <sheetPr codeName="Sheet11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194</v>
      </c>
      <c r="G1" s="73"/>
      <c r="H1" s="73"/>
      <c r="I1" s="74"/>
      <c r="J1" s="75"/>
      <c r="K1" s="72" t="s">
        <v>210</v>
      </c>
      <c r="L1" s="73"/>
      <c r="M1" s="73"/>
      <c r="N1" s="74"/>
      <c r="O1" s="75"/>
      <c r="P1" s="72" t="s">
        <v>192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りくと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だいち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たかの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5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りくと</v>
      </c>
      <c r="V2" s="69" t="str">
        <f>$K$1</f>
        <v>だいち</v>
      </c>
      <c r="W2" s="16" t="str">
        <f>$P$1</f>
        <v>たかの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F1</f>
        <v>りくと</v>
      </c>
      <c r="F4" s="8" t="s">
        <v>198</v>
      </c>
      <c r="G4" s="9">
        <v>5800</v>
      </c>
      <c r="H4" s="9"/>
      <c r="I4" s="48">
        <v>0</v>
      </c>
      <c r="J4" s="21">
        <f>IF(COUNTA($F4,$K4,$P4)&gt;0,J3+SUM(G4:I4),"")</f>
        <v>40800</v>
      </c>
      <c r="K4" s="8"/>
      <c r="L4" s="9"/>
      <c r="M4" s="9"/>
      <c r="N4" s="48"/>
      <c r="O4" s="21">
        <f>IF(COUNTA($F4,$K4,$P4)&gt;0,O3+SUM(L4:N4),"")</f>
        <v>35000</v>
      </c>
      <c r="P4" s="8" t="s">
        <v>197</v>
      </c>
      <c r="Q4" s="9">
        <v>-5800</v>
      </c>
      <c r="R4" s="9"/>
      <c r="S4" s="48">
        <v>0</v>
      </c>
      <c r="T4" s="21">
        <f>IF(COUNTA($F4,$K4,$P4)&gt;0,T3+SUM(Q4:S4),"")</f>
        <v>29200</v>
      </c>
      <c r="U4" s="53">
        <f>IF($J4="","",ROUND(($J4-$J$3)/1000,1)+(_xlfn.RANK.AVG($J4,($J4,$O4,$T4),1)-2)*10)</f>
        <v>15.8</v>
      </c>
      <c r="V4" s="54">
        <f>IF($O4="","",ROUND(($O4-$O$3)/1000,1)+(_xlfn.RANK.AVG($O4,($J4,$O4,$T4),1)-2)*10)</f>
        <v>0</v>
      </c>
      <c r="W4" s="55">
        <f>IF($T4="","",ROUND(($T4-$T$3)/1000,1)+(_xlfn.RANK.AVG($T4,($J4,$O4,$T4),1)-2)*10)</f>
        <v>-15.8</v>
      </c>
      <c r="Y4" s="8"/>
      <c r="Z4" s="34"/>
      <c r="AA4" s="26"/>
      <c r="AB4" s="26"/>
      <c r="AC4" s="26">
        <v>3</v>
      </c>
      <c r="AD4" s="30">
        <v>30</v>
      </c>
      <c r="AE4" s="40" t="s">
        <v>85</v>
      </c>
      <c r="AF4" s="41" t="s">
        <v>83</v>
      </c>
      <c r="AG4" s="41" t="s">
        <v>201</v>
      </c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>
        <v>1</v>
      </c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193</v>
      </c>
      <c r="F5" s="8" t="s">
        <v>197</v>
      </c>
      <c r="G5" s="9">
        <v>-1300</v>
      </c>
      <c r="H5" s="9"/>
      <c r="I5" s="48">
        <v>-1000</v>
      </c>
      <c r="J5" s="21">
        <f t="shared" ref="J5:J30" si="2">IF(COUNTA($F5,$K5,$P5)&gt;0,J4+SUM(G5:I5),"")</f>
        <v>38500</v>
      </c>
      <c r="K5" s="8"/>
      <c r="L5" s="9"/>
      <c r="M5" s="9"/>
      <c r="N5" s="48"/>
      <c r="O5" s="21">
        <f t="shared" ref="O5:O30" si="3">IF(COUNTA($F5,$K5,$P5)&gt;0,O4+SUM(L5:N5),"")</f>
        <v>35000</v>
      </c>
      <c r="P5" s="8" t="s">
        <v>198</v>
      </c>
      <c r="Q5" s="9">
        <v>1300</v>
      </c>
      <c r="R5" s="9"/>
      <c r="S5" s="48">
        <v>1000</v>
      </c>
      <c r="T5" s="21">
        <f t="shared" ref="T5:T30" si="4">IF(COUNTA($F5,$K5,$P5)&gt;0,T4+SUM(Q5:S5),"")</f>
        <v>31500</v>
      </c>
      <c r="U5" s="53">
        <f>IF($J5="","",ROUND(($J5-$J$3)/1000,1)+(_xlfn.RANK.AVG($J5,($J5,$O5,$T5),1)-2)*10)</f>
        <v>13.5</v>
      </c>
      <c r="V5" s="54">
        <f>IF($O5="","",ROUND(($O5-$O$3)/1000,1)+(_xlfn.RANK.AVG($O5,($J5,$O5,$T5),1)-2)*10)</f>
        <v>0</v>
      </c>
      <c r="W5" s="55">
        <f>IF($T5="","",ROUND(($T5-$T$3)/1000,1)+(_xlfn.RANK.AVG($T5,($J5,$O5,$T5),1)-2)*10)</f>
        <v>-13.5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>
        <v>1</v>
      </c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>
        <v>1</v>
      </c>
      <c r="BT5" s="30">
        <v>40</v>
      </c>
      <c r="BU5" s="40" t="s">
        <v>84</v>
      </c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209</v>
      </c>
      <c r="F6" s="8" t="s">
        <v>197</v>
      </c>
      <c r="G6" s="9">
        <v>-9600</v>
      </c>
      <c r="H6" s="9"/>
      <c r="I6" s="48">
        <v>0</v>
      </c>
      <c r="J6" s="21">
        <f t="shared" si="2"/>
        <v>28900</v>
      </c>
      <c r="K6" s="8" t="s">
        <v>198</v>
      </c>
      <c r="L6" s="9">
        <v>9600</v>
      </c>
      <c r="M6" s="9"/>
      <c r="N6" s="48">
        <v>0</v>
      </c>
      <c r="O6" s="21">
        <f t="shared" si="3"/>
        <v>44600</v>
      </c>
      <c r="P6" s="8"/>
      <c r="Q6" s="9"/>
      <c r="R6" s="9"/>
      <c r="S6" s="48"/>
      <c r="T6" s="21">
        <f t="shared" si="4"/>
        <v>31500</v>
      </c>
      <c r="U6" s="53">
        <f>IF($J6="","",ROUND(($J6-$J$3)/1000,1)+(_xlfn.RANK.AVG($J6,($J6,$O6,$T6),1)-2)*10)</f>
        <v>-16.100000000000001</v>
      </c>
      <c r="V6" s="54">
        <f>IF($O6="","",ROUND(($O6-$O$3)/1000,1)+(_xlfn.RANK.AVG($O6,($J6,$O6,$T6),1)-2)*10)</f>
        <v>19.600000000000001</v>
      </c>
      <c r="W6" s="55">
        <f>IF($T6="","",ROUND(($T6-$T$3)/1000,1)+(_xlfn.RANK.AVG($T6,($J6,$O6,$T6),1)-2)*10)</f>
        <v>-3.5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>
        <v>3</v>
      </c>
      <c r="AY6" s="30">
        <v>50</v>
      </c>
      <c r="AZ6" s="40" t="s">
        <v>104</v>
      </c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2</v>
      </c>
      <c r="C7" s="18">
        <f t="shared" si="6"/>
        <v>1</v>
      </c>
      <c r="D7" s="18">
        <f t="shared" si="1"/>
        <v>0</v>
      </c>
      <c r="E7" s="4" t="s">
        <v>209</v>
      </c>
      <c r="F7" s="8" t="s">
        <v>197</v>
      </c>
      <c r="G7" s="9">
        <v>-8000</v>
      </c>
      <c r="H7" s="9"/>
      <c r="I7" s="48">
        <v>-1000</v>
      </c>
      <c r="J7" s="21">
        <f t="shared" si="2"/>
        <v>19900</v>
      </c>
      <c r="K7" s="8"/>
      <c r="L7" s="9"/>
      <c r="M7" s="9"/>
      <c r="N7" s="48"/>
      <c r="O7" s="21">
        <f t="shared" si="3"/>
        <v>44600</v>
      </c>
      <c r="P7" s="8" t="s">
        <v>198</v>
      </c>
      <c r="Q7" s="9">
        <v>8000</v>
      </c>
      <c r="R7" s="9"/>
      <c r="S7" s="48">
        <v>1000</v>
      </c>
      <c r="T7" s="21">
        <f t="shared" si="4"/>
        <v>40500</v>
      </c>
      <c r="U7" s="53">
        <f>IF($J7="","",ROUND(($J7-$J$3)/1000,1)+(_xlfn.RANK.AVG($J7,($J7,$O7,$T7),1)-2)*10)</f>
        <v>-25.1</v>
      </c>
      <c r="V7" s="54">
        <f>IF($O7="","",ROUND(($O7-$O$3)/1000,1)+(_xlfn.RANK.AVG($O7,($J7,$O7,$T7),1)-2)*10)</f>
        <v>19.600000000000001</v>
      </c>
      <c r="W7" s="55">
        <f>IF($T7="","",ROUND(($T7-$T$3)/1000,1)+(_xlfn.RANK.AVG($T7,($J7,$O7,$T7),1)-2)*10)</f>
        <v>5.5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>
        <v>1</v>
      </c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>
        <v>4</v>
      </c>
      <c r="BT7" s="30">
        <v>50</v>
      </c>
      <c r="BU7" s="40" t="s">
        <v>86</v>
      </c>
      <c r="BV7" s="41" t="s">
        <v>86</v>
      </c>
      <c r="BW7" s="41" t="s">
        <v>79</v>
      </c>
      <c r="BX7" s="41" t="s">
        <v>79</v>
      </c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東</v>
      </c>
      <c r="B8" s="18">
        <f t="shared" si="5"/>
        <v>3</v>
      </c>
      <c r="C8" s="18">
        <f t="shared" si="6"/>
        <v>0</v>
      </c>
      <c r="D8" s="18">
        <f t="shared" si="1"/>
        <v>0</v>
      </c>
      <c r="E8" s="4" t="s">
        <v>191</v>
      </c>
      <c r="F8" s="8" t="s">
        <v>198</v>
      </c>
      <c r="G8" s="9">
        <v>16000</v>
      </c>
      <c r="H8" s="9"/>
      <c r="I8" s="48">
        <v>0</v>
      </c>
      <c r="J8" s="21">
        <f t="shared" si="2"/>
        <v>35900</v>
      </c>
      <c r="K8" s="8"/>
      <c r="L8" s="9"/>
      <c r="M8" s="9"/>
      <c r="N8" s="48"/>
      <c r="O8" s="21">
        <f t="shared" si="3"/>
        <v>44600</v>
      </c>
      <c r="P8" s="8" t="s">
        <v>197</v>
      </c>
      <c r="Q8" s="9">
        <v>-16000</v>
      </c>
      <c r="R8" s="9"/>
      <c r="S8" s="48">
        <v>0</v>
      </c>
      <c r="T8" s="21">
        <f t="shared" si="4"/>
        <v>24500</v>
      </c>
      <c r="U8" s="53">
        <f>IF($J8="","",ROUND(($J8-$J$3)/1000,1)+(_xlfn.RANK.AVG($J8,($J8,$O8,$T8),1)-2)*10)</f>
        <v>0.9</v>
      </c>
      <c r="V8" s="54">
        <f>IF($O8="","",ROUND(($O8-$O$3)/1000,1)+(_xlfn.RANK.AVG($O8,($J8,$O8,$T8),1)-2)*10)</f>
        <v>19.600000000000001</v>
      </c>
      <c r="W8" s="55">
        <f>IF($T8="","",ROUND(($T8-$T$3)/1000,1)+(_xlfn.RANK.AVG($T8,($J8,$O8,$T8),1)-2)*10)</f>
        <v>-20.5</v>
      </c>
      <c r="Y8" s="8"/>
      <c r="Z8" s="34"/>
      <c r="AA8" s="26">
        <v>1</v>
      </c>
      <c r="AB8" s="26"/>
      <c r="AC8" s="26">
        <v>10</v>
      </c>
      <c r="AD8" s="30" t="s">
        <v>204</v>
      </c>
      <c r="AE8" s="40" t="s">
        <v>207</v>
      </c>
      <c r="AF8" s="41" t="s">
        <v>201</v>
      </c>
      <c r="AG8" s="41" t="s">
        <v>86</v>
      </c>
      <c r="AH8" s="41" t="s">
        <v>98</v>
      </c>
      <c r="AI8" s="41" t="s">
        <v>96</v>
      </c>
      <c r="AJ8" s="41" t="s">
        <v>80</v>
      </c>
      <c r="AK8" s="41" t="s">
        <v>80</v>
      </c>
      <c r="AL8" s="41" t="s">
        <v>80</v>
      </c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1</v>
      </c>
      <c r="C9" s="18">
        <f t="shared" si="6"/>
        <v>0</v>
      </c>
      <c r="D9" s="18">
        <f t="shared" si="1"/>
        <v>0</v>
      </c>
      <c r="E9" s="4" t="s">
        <v>193</v>
      </c>
      <c r="F9" s="8" t="s">
        <v>197</v>
      </c>
      <c r="G9" s="9">
        <v>-8000</v>
      </c>
      <c r="H9" s="9"/>
      <c r="I9" s="48">
        <v>0</v>
      </c>
      <c r="J9" s="21">
        <f t="shared" si="2"/>
        <v>27900</v>
      </c>
      <c r="K9" s="8" t="s">
        <v>198</v>
      </c>
      <c r="L9" s="9">
        <v>8000</v>
      </c>
      <c r="M9" s="9"/>
      <c r="N9" s="48">
        <v>0</v>
      </c>
      <c r="O9" s="21">
        <f t="shared" si="3"/>
        <v>52600</v>
      </c>
      <c r="P9" s="8"/>
      <c r="Q9" s="9"/>
      <c r="R9" s="9"/>
      <c r="S9" s="48"/>
      <c r="T9" s="21">
        <f t="shared" si="4"/>
        <v>24500</v>
      </c>
      <c r="U9" s="53">
        <f>IF($J9="","",ROUND(($J9-$J$3)/1000,1)+(_xlfn.RANK.AVG($J9,($J9,$O9,$T9),1)-2)*10)</f>
        <v>-7.1</v>
      </c>
      <c r="V9" s="54">
        <f>IF($O9="","",ROUND(($O9-$O$3)/1000,1)+(_xlfn.RANK.AVG($O9,($J9,$O9,$T9),1)-2)*10)</f>
        <v>27.6</v>
      </c>
      <c r="W9" s="55">
        <f>IF($T9="","",ROUND(($T9-$T$3)/1000,1)+(_xlfn.RANK.AVG($T9,($J9,$O9,$T9),1)-2)*10)</f>
        <v>-20.5</v>
      </c>
      <c r="Y9" s="8"/>
      <c r="Z9" s="34"/>
      <c r="AA9" s="26"/>
      <c r="AB9" s="26">
        <v>1</v>
      </c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>
        <v>4</v>
      </c>
      <c r="AY9" s="30">
        <v>40</v>
      </c>
      <c r="AZ9" s="40" t="s">
        <v>207</v>
      </c>
      <c r="BA9" s="41" t="s">
        <v>79</v>
      </c>
      <c r="BB9" s="41" t="s">
        <v>79</v>
      </c>
      <c r="BC9" s="41" t="s">
        <v>201</v>
      </c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>
        <v>1</v>
      </c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南</v>
      </c>
      <c r="B10" s="18">
        <f t="shared" si="5"/>
        <v>2</v>
      </c>
      <c r="C10" s="18">
        <f t="shared" si="6"/>
        <v>0</v>
      </c>
      <c r="D10" s="18">
        <f t="shared" si="1"/>
        <v>0</v>
      </c>
      <c r="E10" s="4" t="s">
        <v>209</v>
      </c>
      <c r="F10" s="8" t="s">
        <v>211</v>
      </c>
      <c r="G10" s="9">
        <v>1500</v>
      </c>
      <c r="H10" s="9">
        <v>-1000</v>
      </c>
      <c r="I10" s="48"/>
      <c r="J10" s="21">
        <f t="shared" si="2"/>
        <v>28400</v>
      </c>
      <c r="K10" s="8" t="s">
        <v>211</v>
      </c>
      <c r="L10" s="9">
        <v>-3000</v>
      </c>
      <c r="M10" s="9"/>
      <c r="N10" s="48"/>
      <c r="O10" s="21">
        <f t="shared" si="3"/>
        <v>49600</v>
      </c>
      <c r="P10" s="8" t="s">
        <v>211</v>
      </c>
      <c r="Q10" s="9">
        <v>1500</v>
      </c>
      <c r="R10" s="9"/>
      <c r="S10" s="48"/>
      <c r="T10" s="21">
        <f t="shared" si="4"/>
        <v>26000</v>
      </c>
      <c r="U10" s="53">
        <f>IF($J10="","",ROUND(($J10-$J$3)/1000,1)+(_xlfn.RANK.AVG($J10,($J10,$O10,$T10),1)-2)*10)</f>
        <v>-6.6</v>
      </c>
      <c r="V10" s="54">
        <f>IF($O10="","",ROUND(($O10-$O$3)/1000,1)+(_xlfn.RANK.AVG($O10,($J10,$O10,$T10),1)-2)*10)</f>
        <v>24.6</v>
      </c>
      <c r="W10" s="55">
        <f>IF($T10="","",ROUND(($T10-$T$3)/1000,1)+(_xlfn.RANK.AVG($T10,($J10,$O10,$T10),1)-2)*10)</f>
        <v>-19</v>
      </c>
      <c r="Y10" s="8" t="s">
        <v>202</v>
      </c>
      <c r="Z10" s="34"/>
      <c r="AA10" s="26">
        <v>1</v>
      </c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 t="s">
        <v>208</v>
      </c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 t="s">
        <v>202</v>
      </c>
      <c r="BP10" s="34"/>
      <c r="BQ10" s="26"/>
      <c r="BR10" s="26">
        <v>1</v>
      </c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>南</v>
      </c>
      <c r="B11" s="18">
        <f t="shared" si="5"/>
        <v>3</v>
      </c>
      <c r="C11" s="18">
        <f t="shared" si="6"/>
        <v>1</v>
      </c>
      <c r="D11" s="18">
        <f t="shared" si="1"/>
        <v>1</v>
      </c>
      <c r="E11" s="4" t="s">
        <v>191</v>
      </c>
      <c r="F11" s="8"/>
      <c r="G11" s="9"/>
      <c r="H11" s="9"/>
      <c r="I11" s="48"/>
      <c r="J11" s="21">
        <f t="shared" si="2"/>
        <v>28400</v>
      </c>
      <c r="K11" s="8" t="s">
        <v>197</v>
      </c>
      <c r="L11" s="9">
        <v>-3900</v>
      </c>
      <c r="M11" s="9"/>
      <c r="N11" s="48">
        <v>-1000</v>
      </c>
      <c r="O11" s="21">
        <f t="shared" si="3"/>
        <v>44700</v>
      </c>
      <c r="P11" s="8" t="s">
        <v>198</v>
      </c>
      <c r="Q11" s="9">
        <v>3900</v>
      </c>
      <c r="R11" s="9">
        <v>1000</v>
      </c>
      <c r="S11" s="48">
        <v>1000</v>
      </c>
      <c r="T11" s="21">
        <f t="shared" si="4"/>
        <v>31900</v>
      </c>
      <c r="U11" s="53">
        <f>IF($J11="","",ROUND(($J11-$J$3)/1000,1)+(_xlfn.RANK.AVG($J11,($J11,$O11,$T11),1)-2)*10)</f>
        <v>-16.600000000000001</v>
      </c>
      <c r="V11" s="54">
        <f>IF($O11="","",ROUND(($O11-$O$3)/1000,1)+(_xlfn.RANK.AVG($O11,($J11,$O11,$T11),1)-2)*10)</f>
        <v>19.7</v>
      </c>
      <c r="W11" s="55">
        <f>IF($T11="","",ROUND(($T11-$T$3)/1000,1)+(_xlfn.RANK.AVG($T11,($J11,$O11,$T11),1)-2)*10)</f>
        <v>-3.1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>
        <v>1</v>
      </c>
      <c r="BR11" s="26"/>
      <c r="BS11" s="26">
        <v>2</v>
      </c>
      <c r="BT11" s="30">
        <v>40</v>
      </c>
      <c r="BU11" s="40" t="s">
        <v>207</v>
      </c>
      <c r="BV11" s="41" t="s">
        <v>201</v>
      </c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>南</v>
      </c>
      <c r="B12" s="18">
        <f t="shared" si="5"/>
        <v>3</v>
      </c>
      <c r="C12" s="18">
        <f t="shared" si="6"/>
        <v>2</v>
      </c>
      <c r="D12" s="18">
        <f t="shared" si="1"/>
        <v>0</v>
      </c>
      <c r="E12" s="4" t="s">
        <v>191</v>
      </c>
      <c r="F12" s="8" t="s">
        <v>197</v>
      </c>
      <c r="G12" s="9">
        <v>-2600</v>
      </c>
      <c r="H12" s="9"/>
      <c r="I12" s="48">
        <v>-2000</v>
      </c>
      <c r="J12" s="21">
        <f t="shared" si="2"/>
        <v>23800</v>
      </c>
      <c r="K12" s="8" t="s">
        <v>198</v>
      </c>
      <c r="L12" s="9">
        <v>2600</v>
      </c>
      <c r="M12" s="9">
        <v>1000</v>
      </c>
      <c r="N12" s="48">
        <v>2000</v>
      </c>
      <c r="O12" s="21">
        <f t="shared" si="3"/>
        <v>50300</v>
      </c>
      <c r="P12" s="8"/>
      <c r="Q12" s="9"/>
      <c r="R12" s="9">
        <v>-1000</v>
      </c>
      <c r="S12" s="48"/>
      <c r="T12" s="21">
        <f t="shared" si="4"/>
        <v>30900</v>
      </c>
      <c r="U12" s="53">
        <f>IF($J12="","",ROUND(($J12-$J$3)/1000,1)+(_xlfn.RANK.AVG($J12,($J12,$O12,$T12),1)-2)*10)</f>
        <v>-21.2</v>
      </c>
      <c r="V12" s="54">
        <f>IF($O12="","",ROUND(($O12-$O$3)/1000,1)+(_xlfn.RANK.AVG($O12,($J12,$O12,$T12),1)-2)*10)</f>
        <v>25.3</v>
      </c>
      <c r="W12" s="55">
        <f>IF($T12="","",ROUND(($T12-$T$3)/1000,1)+(_xlfn.RANK.AVG($T12,($J12,$O12,$T12),1)-2)*10)</f>
        <v>-4.0999999999999996</v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>
        <v>2</v>
      </c>
      <c r="AY12" s="30">
        <v>40</v>
      </c>
      <c r="AZ12" s="40" t="s">
        <v>86</v>
      </c>
      <c r="BA12" s="41" t="s">
        <v>79</v>
      </c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>
        <v>1</v>
      </c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>西</v>
      </c>
      <c r="B13" s="18">
        <f t="shared" si="5"/>
        <v>1</v>
      </c>
      <c r="C13" s="18">
        <f t="shared" si="6"/>
        <v>0</v>
      </c>
      <c r="D13" s="18">
        <f t="shared" si="1"/>
        <v>0</v>
      </c>
      <c r="E13" s="4" t="s">
        <v>193</v>
      </c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qref="F1:T1" xr:uid="{F58183A5-E59D-4D78-AAAB-1145C5074AED}">
      <formula1>"たかの,だいち,ただ,りくと,れんたろう,まっつん,のり,ぱぱ,ほたに,いっしー,ともき,たか,ゆう,"</formula1>
    </dataValidation>
    <dataValidation type="list" showInputMessage="1" showErrorMessage="1" sqref="K4:K30 P4:P30 F4:F30" xr:uid="{51533E8B-12AA-4581-A477-C2006BBB7525}">
      <formula1>"ロン,ツモ,放銃,ツモ支払,流局,チョンボ"</formula1>
    </dataValidation>
    <dataValidation type="list" allowBlank="1" showInputMessage="1" showErrorMessage="1" sqref="E4:E30" xr:uid="{E0E0089E-F9F6-4548-91E7-1452C6789D72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" x14ac:dyDescent="0.45"/>
  <cols>
    <col min="1" max="1" width="9" style="36" customWidth="1"/>
    <col min="2" max="2" width="6.5" style="36" customWidth="1"/>
    <col min="3" max="3" width="19.19921875" style="15" bestFit="1" customWidth="1"/>
    <col min="4" max="5" width="6.5" style="15" customWidth="1"/>
  </cols>
  <sheetData>
    <row r="1" spans="1:5" x14ac:dyDescent="0.45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5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5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5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5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5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5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5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5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5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5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5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5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5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5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5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5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5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5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5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5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5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5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5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5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5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5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5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5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5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5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5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5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5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5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5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5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5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5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5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5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5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5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5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5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5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5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5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5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5">
      <c r="A50" s="36" t="s">
        <v>125</v>
      </c>
      <c r="C50" s="15" t="s">
        <v>75</v>
      </c>
      <c r="D50" s="15">
        <v>13</v>
      </c>
    </row>
    <row r="51" spans="1:5" x14ac:dyDescent="0.45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5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5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5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" x14ac:dyDescent="0.45"/>
  <cols>
    <col min="1" max="12" width="9" style="32"/>
    <col min="13" max="13" width="9" style="32" customWidth="1"/>
    <col min="14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E3" s="32">
        <v>3900</v>
      </c>
      <c r="F3" s="32">
        <v>7700</v>
      </c>
    </row>
    <row r="4" spans="1:13" x14ac:dyDescent="0.45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5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5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5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5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5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5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5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5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5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5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5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5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2020-02-13T09:04:51Z</dcterms:modified>
</cp:coreProperties>
</file>