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EC28275-3243-4936-8091-D2E9F7C679A1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/>
  <c r="T12" i="21"/>
  <c r="W12" i="21" s="1"/>
  <c r="O12" i="21"/>
  <c r="V12" i="21" s="1"/>
  <c r="J12" i="21"/>
  <c r="U12" i="21" s="1"/>
  <c r="D12" i="21"/>
  <c r="C12" i="21"/>
  <c r="B12" i="21"/>
  <c r="A12" i="21"/>
  <c r="T11" i="21"/>
  <c r="W11" i="21" s="1"/>
  <c r="O11" i="21"/>
  <c r="V11" i="21" s="1"/>
  <c r="J11" i="21"/>
  <c r="U11" i="21" s="1"/>
  <c r="D11" i="21"/>
  <c r="C11" i="21"/>
  <c r="B11" i="21"/>
  <c r="A11" i="21"/>
  <c r="D10" i="21"/>
  <c r="D9" i="21"/>
  <c r="C9" i="21"/>
  <c r="C10" i="21" s="1"/>
  <c r="D8" i="21"/>
  <c r="C8" i="21"/>
  <c r="D7" i="21"/>
  <c r="C7" i="21"/>
  <c r="D6" i="21"/>
  <c r="T5" i="21"/>
  <c r="T6" i="21" s="1"/>
  <c r="O5" i="21"/>
  <c r="D5" i="21"/>
  <c r="C5" i="21"/>
  <c r="C6" i="21" s="1"/>
  <c r="B5" i="21"/>
  <c r="T4" i="21"/>
  <c r="O4" i="21"/>
  <c r="J4" i="2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O10" i="20"/>
  <c r="J10" i="20"/>
  <c r="D10" i="20"/>
  <c r="C10" i="20"/>
  <c r="B10" i="20"/>
  <c r="A10" i="20"/>
  <c r="D9" i="20"/>
  <c r="C9" i="20"/>
  <c r="D8" i="20"/>
  <c r="C8" i="20"/>
  <c r="D7" i="20"/>
  <c r="C7" i="20"/>
  <c r="D6" i="20"/>
  <c r="C6" i="20"/>
  <c r="B6" i="20"/>
  <c r="B7" i="20" s="1"/>
  <c r="T5" i="20"/>
  <c r="D5" i="20"/>
  <c r="C5" i="20"/>
  <c r="B5" i="20"/>
  <c r="A5" i="20"/>
  <c r="T4" i="20"/>
  <c r="O4" i="20"/>
  <c r="O5" i="20" s="1"/>
  <c r="J4" i="20"/>
  <c r="W3" i="20"/>
  <c r="V3" i="20"/>
  <c r="U3" i="20"/>
  <c r="W2" i="20"/>
  <c r="V2" i="20"/>
  <c r="U2" i="20"/>
  <c r="BO1" i="20"/>
  <c r="AT1" i="20"/>
  <c r="Y1" i="20"/>
  <c r="V4" i="21" l="1"/>
  <c r="W4" i="21"/>
  <c r="U4" i="21"/>
  <c r="T7" i="21"/>
  <c r="B6" i="21"/>
  <c r="A6" i="21" s="1"/>
  <c r="J5" i="21"/>
  <c r="V5" i="21" s="1"/>
  <c r="O6" i="21"/>
  <c r="A5" i="21"/>
  <c r="V10" i="20"/>
  <c r="U10" i="20"/>
  <c r="W10" i="20"/>
  <c r="A6" i="20"/>
  <c r="W4" i="20"/>
  <c r="V4" i="20"/>
  <c r="B8" i="20"/>
  <c r="A8" i="20" s="1"/>
  <c r="O6" i="20"/>
  <c r="J5" i="20"/>
  <c r="V5" i="20" s="1"/>
  <c r="A7" i="20"/>
  <c r="U4" i="20"/>
  <c r="T6" i="20"/>
  <c r="W3" i="19"/>
  <c r="V3" i="19"/>
  <c r="U3" i="19"/>
  <c r="T8" i="21" l="1"/>
  <c r="O7" i="21"/>
  <c r="W5" i="21"/>
  <c r="J6" i="21"/>
  <c r="V6" i="21" s="1"/>
  <c r="U5" i="21"/>
  <c r="B7" i="21"/>
  <c r="A7" i="21" s="1"/>
  <c r="W5" i="20"/>
  <c r="T7" i="20"/>
  <c r="J6" i="20"/>
  <c r="U5" i="20"/>
  <c r="O7" i="20"/>
  <c r="B9" i="20"/>
  <c r="A9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T9" i="21" l="1"/>
  <c r="B8" i="21"/>
  <c r="A8" i="21" s="1"/>
  <c r="U6" i="21"/>
  <c r="J7" i="21"/>
  <c r="V7" i="21" s="1"/>
  <c r="W6" i="21"/>
  <c r="O8" i="21"/>
  <c r="U6" i="20"/>
  <c r="J7" i="20"/>
  <c r="W6" i="20"/>
  <c r="T8" i="20"/>
  <c r="V6" i="20"/>
  <c r="O8" i="20"/>
  <c r="U9" i="19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10" i="21" l="1"/>
  <c r="O9" i="21"/>
  <c r="J8" i="21"/>
  <c r="U7" i="21"/>
  <c r="W7" i="21"/>
  <c r="B9" i="21"/>
  <c r="A9" i="21" s="1"/>
  <c r="J8" i="20"/>
  <c r="U7" i="20"/>
  <c r="V7" i="20"/>
  <c r="O9" i="20"/>
  <c r="T9" i="20"/>
  <c r="W7" i="20"/>
  <c r="W5" i="19"/>
  <c r="V5" i="19"/>
  <c r="U5" i="19"/>
  <c r="U8" i="21" l="1"/>
  <c r="J9" i="21"/>
  <c r="V9" i="21" s="1"/>
  <c r="W8" i="21"/>
  <c r="O10" i="21"/>
  <c r="V8" i="21"/>
  <c r="B10" i="21"/>
  <c r="A10" i="21" s="1"/>
  <c r="U8" i="20"/>
  <c r="J9" i="20"/>
  <c r="W8" i="20"/>
  <c r="V8" i="20"/>
  <c r="J10" i="21" l="1"/>
  <c r="U9" i="21"/>
  <c r="W9" i="21"/>
  <c r="U9" i="20"/>
  <c r="W9" i="20"/>
  <c r="V9" i="20"/>
  <c r="V10" i="21" l="1"/>
  <c r="U10" i="21"/>
  <c r="W10" i="21"/>
</calcChain>
</file>

<file path=xl/sharedStrings.xml><?xml version="1.0" encoding="utf-8"?>
<sst xmlns="http://schemas.openxmlformats.org/spreadsheetml/2006/main" count="774" uniqueCount="205">
  <si>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</si>
  <si>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</si>
  <si>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</si>
  <si>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</si>
  <si>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</si>
  <si>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</si>
  <si>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</si>
  <si>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</si>
  <si>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</si>
  <si>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</si>
  <si>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</si>
  <si>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</si>
  <si>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</si>
  <si>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</si>
  <si>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</si>
  <si>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</si>
  <si>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</si>
  <si>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</si>
  <si>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</si>
  <si>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</si>
  <si>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</si>
  <si>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</si>
  <si>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</si>
  <si>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</si>
  <si>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</si>
  <si>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</si>
  <si>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</si>
  <si>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</si>
  <si>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</si>
  <si>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</si>
  <si>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</si>
  <si>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</si>
  <si>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</si>
  <si>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</si>
  <si>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</si>
  <si>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</si>
  <si>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</si>
  <si>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</si>
  <si>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</si>
  <si>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</si>
  <si>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</si>
  <si>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</si>
  <si>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</si>
  <si>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</si>
  <si>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</si>
  <si>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</si>
  <si>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</si>
  <si>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</si>
  <si>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</si>
  <si>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</si>
  <si>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</si>
  <si>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</si>
  <si>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</si>
  <si>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</si>
  <si>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</si>
  <si>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</si>
  <si>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</si>
  <si>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</si>
  <si>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</si>
  <si>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</si>
  <si>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</si>
  <si>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</si>
  <si>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</si>
  <si>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</si>
  <si>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</si>
  <si>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</si>
  <si>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</si>
  <si>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</si>
  <si>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</si>
  <si>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</si>
  <si>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</si>
  <si>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</si>
  <si>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</si>
  <si>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</si>
  <si>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</si>
  <si>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</si>
  <si>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</si>
  <si>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</si>
  <si>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</si>
  <si>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</si>
  <si>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</si>
  <si>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</si>
  <si>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</si>
  <si>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</si>
  <si>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</si>
  <si>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</si>
  <si>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</si>
  <si>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</si>
  <si>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</si>
  <si>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</si>
  <si>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</si>
  <si>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</si>
  <si>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</si>
  <si>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</si>
  <si>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</si>
  <si>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</si>
  <si>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</si>
  <si>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</si>
  <si>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</si>
  <si>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</si>
  <si>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</si>
  <si>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</si>
  <si>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</si>
  <si>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</si>
  <si>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</si>
  <si>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</si>
  <si>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</si>
  <si>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</si>
  <si>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</si>
  <si>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</si>
  <si>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</si>
  <si>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</si>
  <si>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</si>
  <si>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</si>
  <si>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</si>
  <si>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</si>
  <si>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</si>
  <si>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</si>
  <si>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</si>
  <si>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</si>
  <si>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</si>
  <si>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</si>
  <si>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</si>
  <si>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</si>
  <si>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</si>
  <si>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</si>
  <si>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</si>
  <si>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</si>
  <si>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</si>
  <si>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</si>
  <si>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</si>
  <si>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</si>
  <si>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</si>
  <si>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</si>
  <si>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</si>
  <si>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</si>
  <si>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</si>
  <si>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</si>
  <si>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</si>
  <si>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</si>
  <si>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</si>
  <si>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</si>
  <si>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</si>
  <si>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</si>
  <si>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</si>
  <si>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</si>
  <si>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</si>
  <si>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</si>
  <si>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</si>
  <si>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</si>
  <si>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</si>
  <si>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</si>
  <si>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</si>
  <si>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</si>
  <si>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</si>
  <si>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</si>
  <si>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</si>
  <si>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</si>
  <si>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</si>
  <si>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</si>
  <si>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</si>
  <si>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</si>
  <si>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</si>
  <si>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</si>
  <si>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</si>
  <si>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</si>
  <si>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</si>
  <si>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</si>
  <si>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</si>
  <si>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</si>
  <si>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</si>
  <si>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</si>
  <si>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</si>
  <si>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</si>
  <si>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</si>
  <si>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</si>
  <si>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</si>
  <si>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</si>
  <si>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</si>
  <si>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</si>
  <si>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</si>
  <si>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</si>
  <si>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</si>
  <si>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</si>
  <si>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</si>
  <si>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</si>
  <si>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</si>
  <si>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</si>
  <si>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</si>
  <si>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</si>
  <si>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</si>
  <si>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</si>
  <si>
    <t>だいち</t>
    <phoneticPr fontId="1"/>
  </si>
  <si>
    <t>れんたろう</t>
  </si>
  <si>
    <t>れんたろう</t>
    <phoneticPr fontId="1"/>
  </si>
  <si>
    <t>ただ</t>
  </si>
  <si>
    <t>ただ</t>
    <phoneticPr fontId="1"/>
  </si>
  <si>
    <t>ツモ</t>
  </si>
  <si>
    <t>ツモ支払</t>
  </si>
  <si>
    <t>*</t>
  </si>
  <si>
    <t>52</t>
  </si>
  <si>
    <t>01</t>
  </si>
  <si>
    <t>放銃</t>
  </si>
  <si>
    <t>ロン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</si>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</sst>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16000</v>
      </c>
      <c r="H4" s="9"/>
      <c r="I4" s="48">
        <v>0</v>
      </c>
      <c r="J4" s="21">
        <f>IF(COUNTA($F4,$K4,$P4)&gt;0,J3+SUM(G4:I4),"")</f>
        <v>51000</v>
      </c>
      <c r="K4" s="8" t="s">
        <v>198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198</v>
      </c>
      <c r="Q4" s="9">
        <v>-10000</v>
      </c>
      <c r="R4" s="9"/>
      <c r="S4" s="48">
        <v>0</v>
      </c>
      <c r="T4" s="21">
        <f>IF(COUNTA($F4,$K4,$P4)&gt;0,T3+SUM(Q4:S4),"")</f>
        <v>25000</v>
      </c>
      <c r="U4" s="53">
        <f>IF($J4="","",ROUND(($J4-$J$3)/1000,1)+(_xlfn.RANK.AVG($J4,($J4,$O4,$T4),1)-2)*10)</f>
        <v>26</v>
      </c>
      <c r="V4" s="54">
        <f>IF($O4="","",ROUND(($O4-$O$3)/1000,1)+(_xlfn.RANK.AVG($O4,($J4,$O4,$T4),1)-2)*10)</f>
        <v>-6</v>
      </c>
      <c r="W4" s="55">
        <f>IF($T4="","",ROUND(($T4-$T$3)/1000,1)+(_xlfn.RANK.AVG($T4,($J4,$O4,$T4),1)-2)*10)</f>
        <v>-20</v>
      </c>
      <c r="Y4" s="8"/>
      <c r="Z4" s="34"/>
      <c r="AA4" s="26"/>
      <c r="AB4" s="26">
        <v>1</v>
      </c>
      <c r="AC4" s="26">
        <v>8</v>
      </c>
      <c r="AD4" s="30" t="s">
        <v>199</v>
      </c>
      <c r="AE4" s="40" t="s">
        <v>106</v>
      </c>
      <c r="AF4" s="41" t="s">
        <v>200</v>
      </c>
      <c r="AG4" s="41" t="s">
        <v>79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198</v>
      </c>
      <c r="G5" s="9">
        <v>-3300</v>
      </c>
      <c r="H5" s="9"/>
      <c r="I5" s="48">
        <v>0</v>
      </c>
      <c r="J5" s="21">
        <f t="shared" ref="J5:J30" si="2">IF(COUNTA($F5,$K5,$P5)&gt;0,J4+SUM(G5:I5),"")</f>
        <v>47700</v>
      </c>
      <c r="K5" s="8" t="s">
        <v>197</v>
      </c>
      <c r="L5" s="9">
        <v>5300</v>
      </c>
      <c r="M5" s="9"/>
      <c r="N5" s="48">
        <v>0</v>
      </c>
      <c r="O5" s="21">
        <f t="shared" ref="O5:O30" si="3">IF(COUNTA($F5,$K5,$P5)&gt;0,O4+SUM(L5:N5),"")</f>
        <v>34300</v>
      </c>
      <c r="P5" s="8" t="s">
        <v>198</v>
      </c>
      <c r="Q5" s="9">
        <v>-2000</v>
      </c>
      <c r="R5" s="9"/>
      <c r="S5" s="48">
        <v>0</v>
      </c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22.7</v>
      </c>
      <c r="V5" s="54">
        <f>IF($O5="","",ROUND(($O5-$O$3)/1000,1)+(_xlfn.RANK.AVG($O5,($J5,$O5,$T5),1)-2)*10)</f>
        <v>-0.7</v>
      </c>
      <c r="W5" s="55">
        <f>IF($T5="","",ROUND(($T5-$T$3)/1000,1)+(_xlfn.RANK.AVG($T5,($J5,$O5,$T5),1)-2)*10)</f>
        <v>-22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20</v>
      </c>
      <c r="AZ5" s="40" t="s">
        <v>201</v>
      </c>
      <c r="BA5" s="41" t="s">
        <v>82</v>
      </c>
      <c r="BB5" s="41" t="s">
        <v>83</v>
      </c>
      <c r="BC5" s="41" t="s">
        <v>80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47700</v>
      </c>
      <c r="K6" s="8" t="s">
        <v>202</v>
      </c>
      <c r="L6" s="9">
        <v>-5200</v>
      </c>
      <c r="M6" s="9"/>
      <c r="N6" s="48">
        <v>0</v>
      </c>
      <c r="O6" s="21">
        <f t="shared" si="3"/>
        <v>29100</v>
      </c>
      <c r="P6" s="8" t="s">
        <v>203</v>
      </c>
      <c r="Q6" s="9">
        <v>5200</v>
      </c>
      <c r="R6" s="9"/>
      <c r="S6" s="48">
        <v>0</v>
      </c>
      <c r="T6" s="21">
        <f t="shared" si="4"/>
        <v>28200</v>
      </c>
      <c r="U6" s="53">
        <f>IF($J6="","",ROUND(($J6-$J$3)/1000,1)+(_xlfn.RANK.AVG($J6,($J6,$O6,$T6),1)-2)*10)</f>
        <v>22.7</v>
      </c>
      <c r="V6" s="54">
        <f>IF($O6="","",ROUND(($O6-$O$3)/1000,1)+(_xlfn.RANK.AVG($O6,($J6,$O6,$T6),1)-2)*10)</f>
        <v>-5.9</v>
      </c>
      <c r="W6" s="55">
        <f>IF($T6="","",ROUND(($T6-$T$3)/1000,1)+(_xlfn.RANK.AVG($T6,($J6,$O6,$T6),1)-2)*10)</f>
        <v>-16.8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3</v>
      </c>
      <c r="BT6" s="30">
        <v>40</v>
      </c>
      <c r="BU6" s="40" t="s">
        <v>92</v>
      </c>
      <c r="BV6" s="41" t="s">
        <v>79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203</v>
      </c>
      <c r="G7" s="9">
        <v>1300</v>
      </c>
      <c r="H7" s="9">
        <v>1000</v>
      </c>
      <c r="I7" s="48">
        <v>0</v>
      </c>
      <c r="J7" s="21">
        <f t="shared" si="2"/>
        <v>50000</v>
      </c>
      <c r="K7" s="8"/>
      <c r="L7" s="9"/>
      <c r="M7" s="9"/>
      <c r="N7" s="48"/>
      <c r="O7" s="21">
        <f t="shared" si="3"/>
        <v>29100</v>
      </c>
      <c r="P7" s="8" t="s">
        <v>202</v>
      </c>
      <c r="Q7" s="9">
        <v>-1300</v>
      </c>
      <c r="R7" s="9">
        <v>-1000</v>
      </c>
      <c r="S7" s="48">
        <v>0</v>
      </c>
      <c r="T7" s="21">
        <f t="shared" si="4"/>
        <v>25900</v>
      </c>
      <c r="U7" s="53">
        <f>IF($J7="","",ROUND(($J7-$J$3)/1000,1)+(_xlfn.RANK.AVG($J7,($J7,$O7,$T7),1)-2)*10)</f>
        <v>25</v>
      </c>
      <c r="V7" s="54">
        <f>IF($O7="","",ROUND(($O7-$O$3)/1000,1)+(_xlfn.RANK.AVG($O7,($J7,$O7,$T7),1)-2)*10)</f>
        <v>-5.9</v>
      </c>
      <c r="W7" s="55">
        <f>IF($T7="","",ROUND(($T7-$T$3)/1000,1)+(_xlfn.RANK.AVG($T7,($J7,$O7,$T7),1)-2)*10)</f>
        <v>-19.100000000000001</v>
      </c>
      <c r="Y7" s="8"/>
      <c r="Z7" s="34"/>
      <c r="AA7" s="26">
        <v>1</v>
      </c>
      <c r="AB7" s="26"/>
      <c r="AC7" s="26">
        <v>1</v>
      </c>
      <c r="AD7" s="30">
        <v>40</v>
      </c>
      <c r="AE7" s="40" t="s">
        <v>201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50000</v>
      </c>
      <c r="K8" s="8" t="s">
        <v>203</v>
      </c>
      <c r="L8" s="9">
        <v>12000</v>
      </c>
      <c r="M8" s="9"/>
      <c r="N8" s="48">
        <v>0</v>
      </c>
      <c r="O8" s="21">
        <f t="shared" si="3"/>
        <v>41100</v>
      </c>
      <c r="P8" s="8" t="s">
        <v>202</v>
      </c>
      <c r="Q8" s="9">
        <v>-12000</v>
      </c>
      <c r="R8" s="9"/>
      <c r="S8" s="48">
        <v>0</v>
      </c>
      <c r="T8" s="21">
        <f t="shared" si="4"/>
        <v>13900</v>
      </c>
      <c r="U8" s="53">
        <f>IF($J8="","",ROUND(($J8-$J$3)/1000,1)+(_xlfn.RANK.AVG($J8,($J8,$O8,$T8),1)-2)*10)</f>
        <v>25</v>
      </c>
      <c r="V8" s="54">
        <f>IF($O8="","",ROUND(($O8-$O$3)/1000,1)+(_xlfn.RANK.AVG($O8,($J8,$O8,$T8),1)-2)*10)</f>
        <v>6.1</v>
      </c>
      <c r="W8" s="55">
        <f>IF($T8="","",ROUND(($T8-$T$3)/1000,1)+(_xlfn.RANK.AVG($T8,($J8,$O8,$T8),1)-2)*10)</f>
        <v>-31.1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7</v>
      </c>
      <c r="AY8" s="30" t="s">
        <v>199</v>
      </c>
      <c r="AZ8" s="40" t="s">
        <v>201</v>
      </c>
      <c r="BA8" s="41" t="s">
        <v>200</v>
      </c>
      <c r="BB8" s="41" t="s">
        <v>79</v>
      </c>
      <c r="BC8" s="41" t="s">
        <v>79</v>
      </c>
      <c r="BD8" s="41" t="s">
        <v>79</v>
      </c>
      <c r="BE8" s="41" t="s">
        <v>80</v>
      </c>
      <c r="BF8" s="41" t="s">
        <v>80</v>
      </c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-2900</v>
      </c>
      <c r="H9" s="9"/>
      <c r="I9" s="48">
        <v>0</v>
      </c>
      <c r="J9" s="21">
        <f t="shared" si="2"/>
        <v>47100</v>
      </c>
      <c r="K9" s="8" t="s">
        <v>198</v>
      </c>
      <c r="L9" s="9">
        <v>-4800</v>
      </c>
      <c r="M9" s="9"/>
      <c r="N9" s="48">
        <v>0</v>
      </c>
      <c r="O9" s="21">
        <f t="shared" si="3"/>
        <v>36300</v>
      </c>
      <c r="P9" s="8" t="s">
        <v>197</v>
      </c>
      <c r="Q9" s="9">
        <v>7700</v>
      </c>
      <c r="R9" s="9"/>
      <c r="S9" s="48">
        <v>0</v>
      </c>
      <c r="T9" s="21">
        <f t="shared" si="4"/>
        <v>21600</v>
      </c>
      <c r="U9" s="53">
        <f>IF($J9="","",ROUND(($J9-$J$3)/1000,1)+(_xlfn.RANK.AVG($J9,($J9,$O9,$T9),1)-2)*10)</f>
        <v>22.1</v>
      </c>
      <c r="V9" s="54">
        <f>IF($O9="","",ROUND(($O9-$O$3)/1000,1)+(_xlfn.RANK.AVG($O9,($J9,$O9,$T9),1)-2)*10)</f>
        <v>1.3</v>
      </c>
      <c r="W9" s="55">
        <f>IF($T9="","",ROUND(($T9-$T$3)/1000,1)+(_xlfn.RANK.AVG($T9,($J9,$O9,$T9),1)-2)*10)</f>
        <v>-23.4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3</v>
      </c>
      <c r="BT9" s="30">
        <v>60</v>
      </c>
      <c r="BU9" s="40" t="s">
        <v>201</v>
      </c>
      <c r="BV9" s="41" t="s">
        <v>82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E34C54FF-728B-4D58-8F8D-4C86DDD453C5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022A5-836B-42C4-9E89-4FE38E0EBAFA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 t="s">
        <v>198</v>
      </c>
      <c r="L4" s="9">
        <v>-9000</v>
      </c>
      <c r="M4" s="9"/>
      <c r="N4" s="48">
        <v>0</v>
      </c>
      <c r="O4" s="21">
        <f>IF(COUNTA($F4,$K4,$P4)&gt;0,O3+SUM(L4:N4),"")</f>
        <v>26000</v>
      </c>
      <c r="P4" s="8" t="s">
        <v>198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IF($J4="","",ROUND(($J4-$J$3)/1000,1)+(_xlfn.RANK.AVG($J4,($J4,$O4,$T4),1)-2)*10)</f>
        <v>28</v>
      </c>
      <c r="V4" s="54">
        <f>IF($O4="","",ROUND(($O4-$O$3)/1000,1)+(_xlfn.RANK.AVG($O4,($J4,$O4,$T4),1)-2)*10)</f>
        <v>-14</v>
      </c>
      <c r="W4" s="55">
        <f>IF($T4="","",ROUND(($T4-$T$3)/1000,1)+(_xlfn.RANK.AVG($T4,($J4,$O4,$T4),1)-2)*10)</f>
        <v>-14</v>
      </c>
      <c r="Y4" s="8"/>
      <c r="Z4" s="34"/>
      <c r="AA4" s="26"/>
      <c r="AB4" s="26"/>
      <c r="AC4" s="26">
        <v>6</v>
      </c>
      <c r="AD4" s="30" t="s">
        <v>199</v>
      </c>
      <c r="AE4" s="40" t="s">
        <v>82</v>
      </c>
      <c r="AF4" s="41" t="s">
        <v>79</v>
      </c>
      <c r="AG4" s="41" t="s">
        <v>79</v>
      </c>
      <c r="AH4" s="41" t="s">
        <v>79</v>
      </c>
      <c r="AI4" s="41" t="s">
        <v>92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203</v>
      </c>
      <c r="G5" s="9">
        <v>24000</v>
      </c>
      <c r="H5" s="9">
        <v>1000</v>
      </c>
      <c r="I5" s="48">
        <v>1000</v>
      </c>
      <c r="J5" s="21">
        <f t="shared" ref="J5:J30" si="2">IF(COUNTA($F5,$K5,$P5)&gt;0,J4+SUM(G5:I5),"")</f>
        <v>79000</v>
      </c>
      <c r="K5" s="8"/>
      <c r="L5" s="9"/>
      <c r="M5" s="9"/>
      <c r="N5" s="48"/>
      <c r="O5" s="21">
        <f t="shared" ref="O5:O30" si="3">IF(COUNTA($F5,$K5,$P5)&gt;0,O4+SUM(L5:N5),"")</f>
        <v>26000</v>
      </c>
      <c r="P5" s="8" t="s">
        <v>202</v>
      </c>
      <c r="Q5" s="9">
        <v>-24000</v>
      </c>
      <c r="R5" s="9">
        <v>-1000</v>
      </c>
      <c r="S5" s="48">
        <v>-1000</v>
      </c>
      <c r="T5" s="21">
        <f t="shared" ref="T5:T30" si="4">IF(COUNTA($F5,$K5,$P5)&gt;0,T4+SUM(Q5:S5),"")</f>
        <v>0</v>
      </c>
      <c r="U5" s="53">
        <f>IF($J5="","",ROUND(($J5-$J$3)/1000,1)+(_xlfn.RANK.AVG($J5,($J5,$O5,$T5),1)-2)*10)</f>
        <v>54</v>
      </c>
      <c r="V5" s="54">
        <f>IF($O5="","",ROUND(($O5-$O$3)/1000,1)+(_xlfn.RANK.AVG($O5,($J5,$O5,$T5),1)-2)*10)</f>
        <v>-9</v>
      </c>
      <c r="W5" s="55">
        <f>IF($T5="","",ROUND(($T5-$T$3)/1000,1)+(_xlfn.RANK.AVG($T5,($J5,$O5,$T5),1)-2)*10)</f>
        <v>-45</v>
      </c>
      <c r="Y5" s="8"/>
      <c r="Z5" s="34"/>
      <c r="AA5" s="26"/>
      <c r="AB5" s="26">
        <v>1</v>
      </c>
      <c r="AC5" s="26">
        <v>8</v>
      </c>
      <c r="AD5" s="30" t="s">
        <v>199</v>
      </c>
      <c r="AE5" s="40" t="s">
        <v>86</v>
      </c>
      <c r="AF5" s="41" t="s">
        <v>86</v>
      </c>
      <c r="AG5" s="41" t="s">
        <v>86</v>
      </c>
      <c r="AH5" s="41" t="s">
        <v>79</v>
      </c>
      <c r="AI5" s="41" t="s">
        <v>79</v>
      </c>
      <c r="AJ5" s="41" t="s">
        <v>79</v>
      </c>
      <c r="AK5" s="41" t="s">
        <v>98</v>
      </c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195</v>
      </c>
      <c r="F6" s="8" t="s">
        <v>202</v>
      </c>
      <c r="G6" s="9">
        <v>-1300</v>
      </c>
      <c r="H6" s="9"/>
      <c r="I6" s="48">
        <v>-2000</v>
      </c>
      <c r="J6" s="21">
        <f t="shared" si="2"/>
        <v>75700</v>
      </c>
      <c r="K6" s="8"/>
      <c r="L6" s="9"/>
      <c r="M6" s="9"/>
      <c r="N6" s="48"/>
      <c r="O6" s="21">
        <f t="shared" si="3"/>
        <v>26000</v>
      </c>
      <c r="P6" s="8" t="s">
        <v>203</v>
      </c>
      <c r="Q6" s="9">
        <v>1300</v>
      </c>
      <c r="R6" s="9"/>
      <c r="S6" s="48">
        <v>2000</v>
      </c>
      <c r="T6" s="21">
        <f t="shared" si="4"/>
        <v>3300</v>
      </c>
      <c r="U6" s="53">
        <f>IF($J6="","",ROUND(($J6-$J$3)/1000,1)+(_xlfn.RANK.AVG($J6,($J6,$O6,$T6),1)-2)*10)</f>
        <v>50.7</v>
      </c>
      <c r="V6" s="54">
        <f>IF($O6="","",ROUND(($O6-$O$3)/1000,1)+(_xlfn.RANK.AVG($O6,($J6,$O6,$T6),1)-2)*10)</f>
        <v>-9</v>
      </c>
      <c r="W6" s="55">
        <f>IF($T6="","",ROUND(($T6-$T$3)/1000,1)+(_xlfn.RANK.AVG($T6,($J6,$O6,$T6),1)-2)*10)</f>
        <v>-41.7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1</v>
      </c>
      <c r="BT6" s="30">
        <v>40</v>
      </c>
      <c r="BU6" s="40" t="s">
        <v>85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203</v>
      </c>
      <c r="G7" s="9">
        <v>2000</v>
      </c>
      <c r="H7" s="9"/>
      <c r="I7" s="48">
        <v>0</v>
      </c>
      <c r="J7" s="21">
        <f t="shared" si="2"/>
        <v>77700</v>
      </c>
      <c r="K7" s="8" t="s">
        <v>202</v>
      </c>
      <c r="L7" s="9">
        <v>-2000</v>
      </c>
      <c r="M7" s="9"/>
      <c r="N7" s="48">
        <v>0</v>
      </c>
      <c r="O7" s="21">
        <f t="shared" si="3"/>
        <v>24000</v>
      </c>
      <c r="P7" s="8"/>
      <c r="Q7" s="9"/>
      <c r="R7" s="9"/>
      <c r="S7" s="48"/>
      <c r="T7" s="21">
        <f t="shared" si="4"/>
        <v>3300</v>
      </c>
      <c r="U7" s="53">
        <f>IF($J7="","",ROUND(($J7-$J$3)/1000,1)+(_xlfn.RANK.AVG($J7,($J7,$O7,$T7),1)-2)*10)</f>
        <v>52.7</v>
      </c>
      <c r="V7" s="54">
        <f>IF($O7="","",ROUND(($O7-$O$3)/1000,1)+(_xlfn.RANK.AVG($O7,($J7,$O7,$T7),1)-2)*10)</f>
        <v>-11</v>
      </c>
      <c r="W7" s="55">
        <f>IF($T7="","",ROUND(($T7-$T$3)/1000,1)+(_xlfn.RANK.AVG($T7,($J7,$O7,$T7),1)-2)*10)</f>
        <v>-41.7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104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202</v>
      </c>
      <c r="G8" s="9">
        <v>-1000</v>
      </c>
      <c r="H8" s="9"/>
      <c r="I8" s="48">
        <v>0</v>
      </c>
      <c r="J8" s="21">
        <f t="shared" si="2"/>
        <v>76700</v>
      </c>
      <c r="K8" s="8" t="s">
        <v>203</v>
      </c>
      <c r="L8" s="9">
        <v>1000</v>
      </c>
      <c r="M8" s="9">
        <v>1000</v>
      </c>
      <c r="N8" s="48">
        <v>0</v>
      </c>
      <c r="O8" s="21">
        <f t="shared" si="3"/>
        <v>26000</v>
      </c>
      <c r="P8" s="8"/>
      <c r="Q8" s="9"/>
      <c r="R8" s="9">
        <v>-1000</v>
      </c>
      <c r="S8" s="48"/>
      <c r="T8" s="21">
        <f t="shared" si="4"/>
        <v>2300</v>
      </c>
      <c r="U8" s="53">
        <f>IF($J8="","",ROUND(($J8-$J$3)/1000,1)+(_xlfn.RANK.AVG($J8,($J8,$O8,$T8),1)-2)*10)</f>
        <v>51.7</v>
      </c>
      <c r="V8" s="54">
        <f>IF($O8="","",ROUND(($O8-$O$3)/1000,1)+(_xlfn.RANK.AVG($O8,($J8,$O8,$T8),1)-2)*10)</f>
        <v>-9</v>
      </c>
      <c r="W8" s="55">
        <f>IF($T8="","",ROUND(($T8-$T$3)/1000,1)+(_xlfn.RANK.AVG($T8,($J8,$O8,$T8),1)-2)*10)</f>
        <v>-42.7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203</v>
      </c>
      <c r="G9" s="9">
        <v>2900</v>
      </c>
      <c r="H9" s="9"/>
      <c r="I9" s="48">
        <v>0</v>
      </c>
      <c r="J9" s="21">
        <f t="shared" si="2"/>
        <v>79600</v>
      </c>
      <c r="K9" s="8" t="s">
        <v>202</v>
      </c>
      <c r="L9" s="9">
        <v>-2900</v>
      </c>
      <c r="M9" s="9"/>
      <c r="N9" s="48">
        <v>0</v>
      </c>
      <c r="O9" s="21">
        <f t="shared" si="3"/>
        <v>23100</v>
      </c>
      <c r="P9" s="8"/>
      <c r="Q9" s="9"/>
      <c r="R9" s="9"/>
      <c r="S9" s="48"/>
      <c r="T9" s="21">
        <f t="shared" si="4"/>
        <v>2300</v>
      </c>
      <c r="U9" s="53">
        <f>IF($J9="","",ROUND(($J9-$J$3)/1000,1)+(_xlfn.RANK.AVG($J9,($J9,$O9,$T9),1)-2)*10)</f>
        <v>54.6</v>
      </c>
      <c r="V9" s="54">
        <f>IF($O9="","",ROUND(($O9-$O$3)/1000,1)+(_xlfn.RANK.AVG($O9,($J9,$O9,$T9),1)-2)*10)</f>
        <v>-11.9</v>
      </c>
      <c r="W9" s="55">
        <f>IF($T9="","",ROUND(($T9-$T$3)/1000,1)+(_xlfn.RANK.AVG($T9,($J9,$O9,$T9),1)-2)*10)</f>
        <v>-42.7</v>
      </c>
      <c r="Y9" s="8"/>
      <c r="Z9" s="34"/>
      <c r="AA9" s="26"/>
      <c r="AB9" s="26"/>
      <c r="AC9" s="26">
        <v>2</v>
      </c>
      <c r="AD9" s="30">
        <v>30</v>
      </c>
      <c r="AE9" s="40" t="s">
        <v>85</v>
      </c>
      <c r="AF9" s="41" t="s">
        <v>83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195</v>
      </c>
      <c r="F10" s="8" t="s">
        <v>197</v>
      </c>
      <c r="G10" s="9">
        <v>4000</v>
      </c>
      <c r="H10" s="9">
        <v>1000</v>
      </c>
      <c r="I10" s="48">
        <v>1000</v>
      </c>
      <c r="J10" s="21">
        <f t="shared" si="2"/>
        <v>85600</v>
      </c>
      <c r="K10" s="8" t="s">
        <v>198</v>
      </c>
      <c r="L10" s="9">
        <v>-2000</v>
      </c>
      <c r="M10" s="9"/>
      <c r="N10" s="48">
        <v>-500</v>
      </c>
      <c r="O10" s="21">
        <f t="shared" si="3"/>
        <v>20600</v>
      </c>
      <c r="P10" s="8" t="s">
        <v>198</v>
      </c>
      <c r="Q10" s="9">
        <v>-2000</v>
      </c>
      <c r="R10" s="9">
        <v>-1000</v>
      </c>
      <c r="S10" s="48">
        <v>-500</v>
      </c>
      <c r="T10" s="21">
        <f t="shared" si="4"/>
        <v>-1200</v>
      </c>
      <c r="U10" s="53">
        <f>IF($J10="","",ROUND(($J10-$J$3)/1000,1)+(_xlfn.RANK.AVG($J10,($J10,$O10,$T10),1)-2)*10)</f>
        <v>60.6</v>
      </c>
      <c r="V10" s="54">
        <f>IF($O10="","",ROUND(($O10-$O$3)/1000,1)+(_xlfn.RANK.AVG($O10,($J10,$O10,$T10),1)-2)*10)</f>
        <v>-14.4</v>
      </c>
      <c r="W10" s="55">
        <f>IF($T10="","",ROUND(($T10-$T$3)/1000,1)+(_xlfn.RANK.AVG($T10,($J10,$O10,$T10),1)-2)*10)</f>
        <v>-46.2</v>
      </c>
      <c r="Y10" s="8"/>
      <c r="Z10" s="34"/>
      <c r="AA10" s="26">
        <v>1</v>
      </c>
      <c r="AB10" s="26"/>
      <c r="AC10" s="26">
        <v>2</v>
      </c>
      <c r="AD10" s="30">
        <v>40</v>
      </c>
      <c r="AE10" s="40" t="s">
        <v>201</v>
      </c>
      <c r="AF10" s="41" t="s">
        <v>82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B3517291-C705-4DF5-B3CD-FE4601585287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E9E14992-0302-4C98-93D2-CBE8954CB32D}">
      <formula1>"ロン,ツモ,放銃,ツモ支払,流局,チョンボ"</formula1>
    </dataValidation>
    <dataValidation type="list" allowBlank="1" showInputMessage="1" showErrorMessage="1" sqref="E4:E30" xr:uid="{AD3BF176-5489-4AE0-A80F-626F38BB77E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857D7-B03B-4447-9901-508A605EE251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196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192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れんたろう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/>
      <c r="G4" s="9"/>
      <c r="H4" s="9"/>
      <c r="I4" s="48"/>
      <c r="J4" s="21">
        <f>IF(COUNTA($F4,$K4,$P4)&gt;0,J3+SUM(G4:I4),"")</f>
        <v>35000</v>
      </c>
      <c r="K4" s="8" t="s">
        <v>203</v>
      </c>
      <c r="L4" s="9">
        <v>12000</v>
      </c>
      <c r="M4" s="9"/>
      <c r="N4" s="48">
        <v>0</v>
      </c>
      <c r="O4" s="21">
        <f>IF(COUNTA($F4,$K4,$P4)&gt;0,O3+SUM(L4:N4),"")</f>
        <v>47000</v>
      </c>
      <c r="P4" s="8" t="s">
        <v>202</v>
      </c>
      <c r="Q4" s="9">
        <v>-12000</v>
      </c>
      <c r="R4" s="9"/>
      <c r="S4" s="48">
        <v>0</v>
      </c>
      <c r="T4" s="21">
        <f>IF(COUNTA($F4,$K4,$P4)&gt;0,T3+SUM(Q4:S4),"")</f>
        <v>23000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22</v>
      </c>
      <c r="W4" s="55">
        <f>IF($T4="","",ROUND(($T4-$T$3)/1000,1)+(_xlfn.RANK.AVG($T4,($J4,$O4,$T4),1)-2)*10)</f>
        <v>-22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6</v>
      </c>
      <c r="AY4" s="30" t="s">
        <v>199</v>
      </c>
      <c r="AZ4" s="40" t="s">
        <v>201</v>
      </c>
      <c r="BA4" s="41" t="s">
        <v>83</v>
      </c>
      <c r="BB4" s="41" t="s">
        <v>84</v>
      </c>
      <c r="BC4" s="41" t="s">
        <v>80</v>
      </c>
      <c r="BD4" s="41" t="s">
        <v>80</v>
      </c>
      <c r="BE4" s="41" t="s">
        <v>200</v>
      </c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-18000</v>
      </c>
      <c r="H5" s="9"/>
      <c r="I5" s="48">
        <v>0</v>
      </c>
      <c r="J5" s="21">
        <f t="shared" ref="J5:J30" si="2">IF(COUNTA($F5,$K5,$P5)&gt;0,J4+SUM(G5:I5),"")</f>
        <v>17000</v>
      </c>
      <c r="K5" s="8" t="s">
        <v>203</v>
      </c>
      <c r="L5" s="9">
        <v>18000</v>
      </c>
      <c r="M5" s="9"/>
      <c r="N5" s="48">
        <v>0</v>
      </c>
      <c r="O5" s="21">
        <f t="shared" ref="O5:O30" si="3">IF(COUNTA($F5,$K5,$P5)&gt;0,O4+SUM(L5:N5),"")</f>
        <v>65000</v>
      </c>
      <c r="P5" s="8"/>
      <c r="Q5" s="9"/>
      <c r="R5" s="9"/>
      <c r="S5" s="48"/>
      <c r="T5" s="21">
        <f t="shared" ref="T5:T30" si="4">IF(COUNTA($F5,$K5,$P5)&gt;0,T4+SUM(Q5:S5),"")</f>
        <v>23000</v>
      </c>
      <c r="U5" s="53">
        <f>IF($J5="","",ROUND(($J5-$J$3)/1000,1)+(_xlfn.RANK.AVG($J5,($J5,$O5,$T5),1)-2)*10)</f>
        <v>-28</v>
      </c>
      <c r="V5" s="54">
        <f>IF($O5="","",ROUND(($O5-$O$3)/1000,1)+(_xlfn.RANK.AVG($O5,($J5,$O5,$T5),1)-2)*10)</f>
        <v>40</v>
      </c>
      <c r="W5" s="55">
        <f>IF($T5="","",ROUND(($T5-$T$3)/1000,1)+(_xlfn.RANK.AVG($T5,($J5,$O5,$T5),1)-2)*10)</f>
        <v>-12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199</v>
      </c>
      <c r="AZ5" s="40" t="s">
        <v>201</v>
      </c>
      <c r="BA5" s="41" t="s">
        <v>204</v>
      </c>
      <c r="BB5" s="41" t="s">
        <v>83</v>
      </c>
      <c r="BC5" s="41" t="s">
        <v>200</v>
      </c>
      <c r="BD5" s="41" t="s">
        <v>79</v>
      </c>
      <c r="BE5" s="41" t="s">
        <v>80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202</v>
      </c>
      <c r="G6" s="9">
        <v>-2000</v>
      </c>
      <c r="H6" s="9"/>
      <c r="I6" s="48">
        <v>-1000</v>
      </c>
      <c r="J6" s="21">
        <f t="shared" si="2"/>
        <v>14000</v>
      </c>
      <c r="K6" s="8"/>
      <c r="L6" s="9"/>
      <c r="M6" s="9"/>
      <c r="N6" s="48"/>
      <c r="O6" s="21">
        <f t="shared" si="3"/>
        <v>65000</v>
      </c>
      <c r="P6" s="8" t="s">
        <v>203</v>
      </c>
      <c r="Q6" s="9">
        <v>2000</v>
      </c>
      <c r="R6" s="9"/>
      <c r="S6" s="48">
        <v>1000</v>
      </c>
      <c r="T6" s="21">
        <f t="shared" si="4"/>
        <v>26000</v>
      </c>
      <c r="U6" s="53">
        <f>IF($J6="","",ROUND(($J6-$J$3)/1000,1)+(_xlfn.RANK.AVG($J6,($J6,$O6,$T6),1)-2)*10)</f>
        <v>-31</v>
      </c>
      <c r="V6" s="54">
        <f>IF($O6="","",ROUND(($O6-$O$3)/1000,1)+(_xlfn.RANK.AVG($O6,($J6,$O6,$T6),1)-2)*10)</f>
        <v>40</v>
      </c>
      <c r="W6" s="55">
        <f>IF($T6="","",ROUND(($T6-$T$3)/1000,1)+(_xlfn.RANK.AVG($T6,($J6,$O6,$T6),1)-2)*10)</f>
        <v>-9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30</v>
      </c>
      <c r="BU6" s="40" t="s">
        <v>86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203</v>
      </c>
      <c r="G7" s="9">
        <v>12000</v>
      </c>
      <c r="H7" s="9"/>
      <c r="I7" s="48">
        <v>0</v>
      </c>
      <c r="J7" s="21">
        <f t="shared" si="2"/>
        <v>26000</v>
      </c>
      <c r="K7" s="8"/>
      <c r="L7" s="9"/>
      <c r="M7" s="9"/>
      <c r="N7" s="48"/>
      <c r="O7" s="21">
        <f t="shared" si="3"/>
        <v>65000</v>
      </c>
      <c r="P7" s="8" t="s">
        <v>202</v>
      </c>
      <c r="Q7" s="9">
        <v>-12000</v>
      </c>
      <c r="R7" s="9"/>
      <c r="S7" s="48">
        <v>0</v>
      </c>
      <c r="T7" s="21">
        <f t="shared" si="4"/>
        <v>14000</v>
      </c>
      <c r="U7" s="53">
        <f>IF($J7="","",ROUND(($J7-$J$3)/1000,1)+(_xlfn.RANK.AVG($J7,($J7,$O7,$T7),1)-2)*10)</f>
        <v>-9</v>
      </c>
      <c r="V7" s="54">
        <f>IF($O7="","",ROUND(($O7-$O$3)/1000,1)+(_xlfn.RANK.AVG($O7,($J7,$O7,$T7),1)-2)*10)</f>
        <v>40</v>
      </c>
      <c r="W7" s="55">
        <f>IF($T7="","",ROUND(($T7-$T$3)/1000,1)+(_xlfn.RANK.AVG($T7,($J7,$O7,$T7),1)-2)*10)</f>
        <v>-31</v>
      </c>
      <c r="Y7" s="8"/>
      <c r="Z7" s="34"/>
      <c r="AA7" s="26">
        <v>1</v>
      </c>
      <c r="AB7" s="26"/>
      <c r="AC7" s="26">
        <v>7</v>
      </c>
      <c r="AD7" s="30" t="s">
        <v>199</v>
      </c>
      <c r="AE7" s="40" t="s">
        <v>201</v>
      </c>
      <c r="AF7" s="41" t="s">
        <v>83</v>
      </c>
      <c r="AG7" s="41" t="s">
        <v>79</v>
      </c>
      <c r="AH7" s="41" t="s">
        <v>79</v>
      </c>
      <c r="AI7" s="41" t="s">
        <v>80</v>
      </c>
      <c r="AJ7" s="41" t="s">
        <v>80</v>
      </c>
      <c r="AK7" s="41" t="s">
        <v>200</v>
      </c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198</v>
      </c>
      <c r="G8" s="9">
        <v>-7500</v>
      </c>
      <c r="H8" s="9"/>
      <c r="I8" s="48">
        <v>0</v>
      </c>
      <c r="J8" s="21">
        <f t="shared" si="2"/>
        <v>18500</v>
      </c>
      <c r="K8" s="8" t="s">
        <v>198</v>
      </c>
      <c r="L8" s="9">
        <v>-4500</v>
      </c>
      <c r="M8" s="9"/>
      <c r="N8" s="48">
        <v>0</v>
      </c>
      <c r="O8" s="21">
        <f t="shared" si="3"/>
        <v>60500</v>
      </c>
      <c r="P8" s="8" t="s">
        <v>197</v>
      </c>
      <c r="Q8" s="9">
        <v>12000</v>
      </c>
      <c r="R8" s="9"/>
      <c r="S8" s="48">
        <v>0</v>
      </c>
      <c r="T8" s="21">
        <f t="shared" si="4"/>
        <v>26000</v>
      </c>
      <c r="U8" s="53">
        <f>IF($J8="","",ROUND(($J8-$J$3)/1000,1)+(_xlfn.RANK.AVG($J8,($J8,$O8,$T8),1)-2)*10)</f>
        <v>-26.5</v>
      </c>
      <c r="V8" s="54">
        <f>IF($O8="","",ROUND(($O8-$O$3)/1000,1)+(_xlfn.RANK.AVG($O8,($J8,$O8,$T8),1)-2)*10)</f>
        <v>35.5</v>
      </c>
      <c r="W8" s="55">
        <f>IF($T8="","",ROUND(($T8-$T$3)/1000,1)+(_xlfn.RANK.AVG($T8,($J8,$O8,$T8),1)-2)*10)</f>
        <v>-9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7</v>
      </c>
      <c r="BT8" s="30" t="s">
        <v>199</v>
      </c>
      <c r="BU8" s="40" t="s">
        <v>82</v>
      </c>
      <c r="BV8" s="41" t="s">
        <v>104</v>
      </c>
      <c r="BW8" s="41" t="s">
        <v>92</v>
      </c>
      <c r="BX8" s="41" t="s">
        <v>200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198</v>
      </c>
      <c r="G9" s="9">
        <v>-2000</v>
      </c>
      <c r="H9" s="9"/>
      <c r="I9" s="48">
        <v>0</v>
      </c>
      <c r="J9" s="21">
        <f t="shared" si="2"/>
        <v>16500</v>
      </c>
      <c r="K9" s="8" t="s">
        <v>198</v>
      </c>
      <c r="L9" s="9">
        <v>-3300</v>
      </c>
      <c r="M9" s="9"/>
      <c r="N9" s="48">
        <v>0</v>
      </c>
      <c r="O9" s="21">
        <f t="shared" si="3"/>
        <v>57200</v>
      </c>
      <c r="P9" s="8" t="s">
        <v>197</v>
      </c>
      <c r="Q9" s="9">
        <v>5300</v>
      </c>
      <c r="R9" s="9"/>
      <c r="S9" s="48">
        <v>0</v>
      </c>
      <c r="T9" s="21">
        <f t="shared" si="4"/>
        <v>31300</v>
      </c>
      <c r="U9" s="53">
        <f>IF($J9="","",ROUND(($J9-$J$3)/1000,1)+(_xlfn.RANK.AVG($J9,($J9,$O9,$T9),1)-2)*10)</f>
        <v>-28.5</v>
      </c>
      <c r="V9" s="54">
        <f>IF($O9="","",ROUND(($O9-$O$3)/1000,1)+(_xlfn.RANK.AVG($O9,($J9,$O9,$T9),1)-2)*10)</f>
        <v>32.200000000000003</v>
      </c>
      <c r="W9" s="55">
        <f>IF($T9="","",ROUND(($T9-$T$3)/1000,1)+(_xlfn.RANK.AVG($T9,($J9,$O9,$T9),1)-2)*10)</f>
        <v>-3.7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40</v>
      </c>
      <c r="BU9" s="40" t="s">
        <v>79</v>
      </c>
      <c r="BV9" s="41" t="s">
        <v>200</v>
      </c>
      <c r="BW9" s="41" t="s">
        <v>86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198</v>
      </c>
      <c r="G10" s="9">
        <v>-9000</v>
      </c>
      <c r="H10" s="9">
        <v>-1000</v>
      </c>
      <c r="I10" s="48">
        <v>0</v>
      </c>
      <c r="J10" s="21">
        <f t="shared" si="2"/>
        <v>6500</v>
      </c>
      <c r="K10" s="8" t="s">
        <v>198</v>
      </c>
      <c r="L10" s="9">
        <v>-9000</v>
      </c>
      <c r="M10" s="9">
        <v>-1000</v>
      </c>
      <c r="N10" s="48">
        <v>0</v>
      </c>
      <c r="O10" s="21">
        <f t="shared" si="3"/>
        <v>47200</v>
      </c>
      <c r="P10" s="8" t="s">
        <v>197</v>
      </c>
      <c r="Q10" s="9">
        <v>18000</v>
      </c>
      <c r="R10" s="9">
        <v>2000</v>
      </c>
      <c r="S10" s="48">
        <v>0</v>
      </c>
      <c r="T10" s="21">
        <f t="shared" si="4"/>
        <v>51300</v>
      </c>
      <c r="U10" s="53">
        <f>IF($J10="","",ROUND(($J10-$J$3)/1000,1)+(_xlfn.RANK.AVG($J10,($J10,$O10,$T10),1)-2)*10)</f>
        <v>-38.5</v>
      </c>
      <c r="V10" s="54">
        <f>IF($O10="","",ROUND(($O10-$O$3)/1000,1)+(_xlfn.RANK.AVG($O10,($J10,$O10,$T10),1)-2)*10)</f>
        <v>12.2</v>
      </c>
      <c r="W10" s="55">
        <f>IF($T10="","",ROUND(($T10-$T$3)/1000,1)+(_xlfn.RANK.AVG($T10,($J10,$O10,$T10),1)-2)*10)</f>
        <v>26.3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6</v>
      </c>
      <c r="BT10" s="30" t="s">
        <v>199</v>
      </c>
      <c r="BU10" s="40" t="s">
        <v>201</v>
      </c>
      <c r="BV10" s="41" t="s">
        <v>82</v>
      </c>
      <c r="BW10" s="41" t="s">
        <v>79</v>
      </c>
      <c r="BX10" s="41" t="s">
        <v>80</v>
      </c>
      <c r="BY10" s="41" t="s">
        <v>80</v>
      </c>
      <c r="BZ10" s="41" t="s">
        <v>80</v>
      </c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191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4043B270-3120-49B2-9A7D-651DEFE0D081}">
      <formula1>$U$2:$W$2</formula1>
    </dataValidation>
    <dataValidation type="list" showInputMessage="1" showErrorMessage="1" sqref="K4:K30 P4:P30 F4:F30" xr:uid="{B392AF00-223A-4128-90D0-B9E066D8C802}">
      <formula1>"ロン,ツモ,放銃,ツモ支払,流局,チョンボ"</formula1>
    </dataValidation>
    <dataValidation type="list" allowBlank="1" showInputMessage="1" sqref="F1:T1" xr:uid="{07CC8CCB-4FB1-4B0E-A3F3-8698F2ED688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2020-01-10T05:27:00Z</dcterms:modified>
</cp:coreProperties>
</file>