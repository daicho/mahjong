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対局\"/>
    </mc:Choice>
  </mc:AlternateContent>
  <xr:revisionPtr revIDLastSave="0" documentId="13_ncr:1_{F07C3B7D-563E-4586-A63A-39EA6F119077}" xr6:coauthVersionLast="41" xr6:coauthVersionMax="41" xr10:uidLastSave="{00000000-0000-0000-0000-000000000000}"/>
  <bookViews>
    <workbookView xWindow="-98" yWindow="-98" windowWidth="13695" windowHeight="9196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役一覧" sheetId="15" state="hidden" r:id="rId11"/>
    <sheet name="点数表(親ロン)" sheetId="4" state="hidden" r:id="rId12"/>
    <sheet name="点数表(親ツモ)" sheetId="9" state="hidden" r:id="rId13"/>
    <sheet name="点数表(子→親)" sheetId="7" state="hidden" r:id="rId14"/>
    <sheet name="点数表(子ロン)" sheetId="3" state="hidden" r:id="rId15"/>
    <sheet name="点数表(子ツモ)" sheetId="10" state="hidden" r:id="rId16"/>
    <sheet name="点数表(子→子)" sheetId="5" state="hidden" r:id="rId17"/>
    <sheet name="点数表(親→子)" sheetId="6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8" l="1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 s="1"/>
  <c r="D13" i="28"/>
  <c r="C13" i="28"/>
  <c r="D12" i="28"/>
  <c r="C12" i="28"/>
  <c r="D11" i="28"/>
  <c r="C11" i="28"/>
  <c r="D10" i="28"/>
  <c r="C10" i="28"/>
  <c r="D9" i="28"/>
  <c r="D8" i="28"/>
  <c r="C8" i="28"/>
  <c r="C9" i="28" s="1"/>
  <c r="D7" i="28"/>
  <c r="D6" i="28"/>
  <c r="C6" i="28"/>
  <c r="C7" i="28" s="1"/>
  <c r="J5" i="28"/>
  <c r="D5" i="28"/>
  <c r="C5" i="28"/>
  <c r="B5" i="28"/>
  <c r="B6" i="28" s="1"/>
  <c r="T4" i="28"/>
  <c r="O4" i="28"/>
  <c r="J4" i="28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 s="1"/>
  <c r="T13" i="27"/>
  <c r="O13" i="27"/>
  <c r="J13" i="27"/>
  <c r="D13" i="27"/>
  <c r="C13" i="27"/>
  <c r="B13" i="27"/>
  <c r="A13" i="27" s="1"/>
  <c r="T12" i="27"/>
  <c r="O12" i="27"/>
  <c r="J12" i="27"/>
  <c r="D12" i="27"/>
  <c r="C12" i="27"/>
  <c r="B12" i="27"/>
  <c r="A12" i="27"/>
  <c r="T11" i="27"/>
  <c r="O11" i="27"/>
  <c r="J11" i="27"/>
  <c r="D11" i="27"/>
  <c r="C11" i="27"/>
  <c r="B11" i="27"/>
  <c r="A11" i="27" s="1"/>
  <c r="T10" i="27"/>
  <c r="O10" i="27"/>
  <c r="V10" i="27" s="1"/>
  <c r="J10" i="27"/>
  <c r="D10" i="27"/>
  <c r="C10" i="27"/>
  <c r="B10" i="27"/>
  <c r="A10" i="27"/>
  <c r="T9" i="27"/>
  <c r="W9" i="27" s="1"/>
  <c r="O9" i="27"/>
  <c r="J9" i="27"/>
  <c r="D9" i="27"/>
  <c r="C9" i="27"/>
  <c r="B9" i="27"/>
  <c r="A9" i="27" s="1"/>
  <c r="T8" i="27"/>
  <c r="O8" i="27"/>
  <c r="J8" i="27"/>
  <c r="U8" i="27" s="1"/>
  <c r="D8" i="27"/>
  <c r="C8" i="27"/>
  <c r="B8" i="27"/>
  <c r="A8" i="27"/>
  <c r="D7" i="27"/>
  <c r="D6" i="27"/>
  <c r="C6" i="27"/>
  <c r="C7" i="27" s="1"/>
  <c r="O5" i="27"/>
  <c r="O6" i="27" s="1"/>
  <c r="J5" i="27"/>
  <c r="D5" i="27"/>
  <c r="C5" i="27"/>
  <c r="B5" i="27"/>
  <c r="B6" i="27" s="1"/>
  <c r="A5" i="27"/>
  <c r="T4" i="27"/>
  <c r="O4" i="27"/>
  <c r="J4" i="27"/>
  <c r="W3" i="27"/>
  <c r="V3" i="27"/>
  <c r="U3" i="27"/>
  <c r="W2" i="27"/>
  <c r="V2" i="27"/>
  <c r="U2" i="27"/>
  <c r="BO1" i="27"/>
  <c r="AT1" i="27"/>
  <c r="Y1" i="27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D14" i="26"/>
  <c r="C14" i="26"/>
  <c r="D13" i="26"/>
  <c r="D12" i="26"/>
  <c r="D11" i="26"/>
  <c r="D10" i="26"/>
  <c r="D9" i="26"/>
  <c r="C9" i="26"/>
  <c r="C10" i="26" s="1"/>
  <c r="C11" i="26" s="1"/>
  <c r="C12" i="26" s="1"/>
  <c r="C13" i="26" s="1"/>
  <c r="D8" i="26"/>
  <c r="C8" i="26"/>
  <c r="D7" i="26"/>
  <c r="C7" i="26"/>
  <c r="D6" i="26"/>
  <c r="C6" i="26"/>
  <c r="B6" i="26"/>
  <c r="B7" i="26" s="1"/>
  <c r="T5" i="26"/>
  <c r="D5" i="26"/>
  <c r="C5" i="26"/>
  <c r="B5" i="26"/>
  <c r="A5" i="26" s="1"/>
  <c r="T4" i="26"/>
  <c r="O4" i="26"/>
  <c r="O5" i="26" s="1"/>
  <c r="J4" i="26"/>
  <c r="U4" i="26" s="1"/>
  <c r="W3" i="26"/>
  <c r="V3" i="26"/>
  <c r="U3" i="26"/>
  <c r="W2" i="26"/>
  <c r="V2" i="26"/>
  <c r="U2" i="26"/>
  <c r="BO1" i="26"/>
  <c r="AT1" i="26"/>
  <c r="Y1" i="26"/>
  <c r="A5" i="28" l="1"/>
  <c r="V4" i="28"/>
  <c r="W4" i="28"/>
  <c r="U4" i="28"/>
  <c r="B7" i="28"/>
  <c r="A7" i="28" s="1"/>
  <c r="O5" i="28"/>
  <c r="T5" i="28"/>
  <c r="U5" i="28" s="1"/>
  <c r="A6" i="28"/>
  <c r="J6" i="28"/>
  <c r="V13" i="27"/>
  <c r="W13" i="27"/>
  <c r="U13" i="27"/>
  <c r="U12" i="27"/>
  <c r="V12" i="27"/>
  <c r="W12" i="27"/>
  <c r="W11" i="27"/>
  <c r="U11" i="27"/>
  <c r="V11" i="27"/>
  <c r="U10" i="27"/>
  <c r="W10" i="27"/>
  <c r="U9" i="27"/>
  <c r="V9" i="27"/>
  <c r="V8" i="27"/>
  <c r="W8" i="27"/>
  <c r="W4" i="27"/>
  <c r="V4" i="27"/>
  <c r="B7" i="27"/>
  <c r="O7" i="27"/>
  <c r="T5" i="27"/>
  <c r="A6" i="27"/>
  <c r="J6" i="27"/>
  <c r="U4" i="27"/>
  <c r="A6" i="26"/>
  <c r="V4" i="26"/>
  <c r="O6" i="26"/>
  <c r="B8" i="26"/>
  <c r="A8" i="26" s="1"/>
  <c r="J5" i="26"/>
  <c r="T6" i="26"/>
  <c r="A7" i="26"/>
  <c r="W4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O14" i="25"/>
  <c r="V14" i="25" s="1"/>
  <c r="J14" i="25"/>
  <c r="D14" i="25"/>
  <c r="C14" i="25"/>
  <c r="B14" i="25"/>
  <c r="A14" i="25" s="1"/>
  <c r="T13" i="25"/>
  <c r="O13" i="25"/>
  <c r="J13" i="25"/>
  <c r="D13" i="25"/>
  <c r="C13" i="25"/>
  <c r="B13" i="25"/>
  <c r="A13" i="25"/>
  <c r="D12" i="25"/>
  <c r="C12" i="25"/>
  <c r="D11" i="25"/>
  <c r="D10" i="25"/>
  <c r="C10" i="25"/>
  <c r="C11" i="25" s="1"/>
  <c r="D9" i="25"/>
  <c r="C9" i="25"/>
  <c r="D8" i="25"/>
  <c r="C8" i="25"/>
  <c r="D7" i="25"/>
  <c r="C7" i="25"/>
  <c r="D6" i="25"/>
  <c r="C6" i="25"/>
  <c r="D5" i="25"/>
  <c r="C5" i="25"/>
  <c r="B5" i="25"/>
  <c r="B6" i="25" s="1"/>
  <c r="T4" i="25"/>
  <c r="O4" i="25"/>
  <c r="O5" i="25" s="1"/>
  <c r="J4" i="25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D12" i="24"/>
  <c r="D13" i="24" s="1"/>
  <c r="C12" i="24"/>
  <c r="C13" i="24" s="1"/>
  <c r="D10" i="24"/>
  <c r="D11" i="24" s="1"/>
  <c r="C10" i="24"/>
  <c r="C11" i="24" s="1"/>
  <c r="D9" i="24"/>
  <c r="D8" i="24"/>
  <c r="C8" i="24"/>
  <c r="C9" i="24" s="1"/>
  <c r="D6" i="24"/>
  <c r="D7" i="24" s="1"/>
  <c r="C6" i="24"/>
  <c r="C7" i="24" s="1"/>
  <c r="J5" i="24"/>
  <c r="D5" i="24"/>
  <c r="C5" i="24"/>
  <c r="B5" i="24"/>
  <c r="B6" i="24" s="1"/>
  <c r="A5" i="24"/>
  <c r="T4" i="24"/>
  <c r="O4" i="24"/>
  <c r="O5" i="24" s="1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D13" i="23"/>
  <c r="D12" i="23"/>
  <c r="D11" i="23"/>
  <c r="C11" i="23"/>
  <c r="C12" i="23" s="1"/>
  <c r="C13" i="23" s="1"/>
  <c r="D10" i="23"/>
  <c r="C10" i="23"/>
  <c r="D9" i="23"/>
  <c r="C9" i="23"/>
  <c r="D8" i="23"/>
  <c r="C8" i="23"/>
  <c r="D7" i="23"/>
  <c r="D6" i="23"/>
  <c r="B6" i="23"/>
  <c r="B7" i="23" s="1"/>
  <c r="D5" i="23"/>
  <c r="C5" i="23"/>
  <c r="C6" i="23" s="1"/>
  <c r="C7" i="23" s="1"/>
  <c r="B5" i="23"/>
  <c r="A5" i="23" s="1"/>
  <c r="A6" i="23" s="1"/>
  <c r="T4" i="23"/>
  <c r="O4" i="23"/>
  <c r="O5" i="23" s="1"/>
  <c r="J4" i="23"/>
  <c r="U4" i="23" s="1"/>
  <c r="W3" i="23"/>
  <c r="V3" i="23"/>
  <c r="U3" i="23"/>
  <c r="W2" i="23"/>
  <c r="V2" i="23"/>
  <c r="U2" i="23"/>
  <c r="BO1" i="23"/>
  <c r="AT1" i="23"/>
  <c r="Y1" i="23"/>
  <c r="O6" i="28" l="1"/>
  <c r="V5" i="28"/>
  <c r="J7" i="28"/>
  <c r="W5" i="28"/>
  <c r="T6" i="28"/>
  <c r="U6" i="28" s="1"/>
  <c r="B8" i="28"/>
  <c r="A8" i="28" s="1"/>
  <c r="A7" i="27"/>
  <c r="W5" i="27"/>
  <c r="T6" i="27"/>
  <c r="V5" i="27"/>
  <c r="J7" i="27"/>
  <c r="U6" i="27"/>
  <c r="U5" i="27"/>
  <c r="T7" i="26"/>
  <c r="B9" i="26"/>
  <c r="A9" i="26" s="1"/>
  <c r="J6" i="26"/>
  <c r="W6" i="26" s="1"/>
  <c r="U5" i="26"/>
  <c r="V5" i="26"/>
  <c r="W5" i="26"/>
  <c r="V6" i="26"/>
  <c r="O7" i="26"/>
  <c r="W14" i="25"/>
  <c r="U14" i="25"/>
  <c r="W13" i="25"/>
  <c r="U13" i="25"/>
  <c r="V13" i="25"/>
  <c r="A5" i="25"/>
  <c r="W4" i="25"/>
  <c r="V4" i="25"/>
  <c r="B7" i="25"/>
  <c r="O6" i="25"/>
  <c r="J5" i="25"/>
  <c r="V5" i="25" s="1"/>
  <c r="U4" i="25"/>
  <c r="T5" i="25"/>
  <c r="A6" i="25"/>
  <c r="W4" i="24"/>
  <c r="V4" i="24"/>
  <c r="O6" i="24"/>
  <c r="B7" i="24"/>
  <c r="A7" i="24" s="1"/>
  <c r="U4" i="24"/>
  <c r="T5" i="24"/>
  <c r="A6" i="24"/>
  <c r="J6" i="24"/>
  <c r="W4" i="23"/>
  <c r="V4" i="23"/>
  <c r="B8" i="23"/>
  <c r="A8" i="23" s="1"/>
  <c r="O6" i="23"/>
  <c r="J5" i="23"/>
  <c r="A7" i="23"/>
  <c r="T5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O13" i="22"/>
  <c r="J13" i="22"/>
  <c r="D13" i="22"/>
  <c r="C13" i="22"/>
  <c r="B13" i="22"/>
  <c r="A13" i="22" s="1"/>
  <c r="T12" i="22"/>
  <c r="O12" i="22"/>
  <c r="J12" i="22"/>
  <c r="D12" i="22"/>
  <c r="C12" i="22"/>
  <c r="B12" i="22"/>
  <c r="A12" i="22" s="1"/>
  <c r="D11" i="22"/>
  <c r="D10" i="22"/>
  <c r="D9" i="22"/>
  <c r="C9" i="22"/>
  <c r="C10" i="22" s="1"/>
  <c r="C11" i="22" s="1"/>
  <c r="D8" i="22"/>
  <c r="C8" i="22"/>
  <c r="D7" i="22"/>
  <c r="C7" i="22"/>
  <c r="D6" i="22"/>
  <c r="C6" i="22"/>
  <c r="B6" i="22"/>
  <c r="B7" i="22" s="1"/>
  <c r="T5" i="22"/>
  <c r="D5" i="22"/>
  <c r="C5" i="22"/>
  <c r="B5" i="22"/>
  <c r="A5" i="22"/>
  <c r="T4" i="22"/>
  <c r="O4" i="22"/>
  <c r="O5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D12" i="21"/>
  <c r="C12" i="21"/>
  <c r="C13" i="21" s="1"/>
  <c r="D11" i="21"/>
  <c r="C11" i="21"/>
  <c r="D10" i="21"/>
  <c r="C10" i="21"/>
  <c r="D9" i="21"/>
  <c r="D8" i="21"/>
  <c r="C8" i="21"/>
  <c r="C9" i="21" s="1"/>
  <c r="D7" i="21"/>
  <c r="D6" i="21"/>
  <c r="C6" i="21"/>
  <c r="C7" i="21" s="1"/>
  <c r="O5" i="21"/>
  <c r="O6" i="21" s="1"/>
  <c r="J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V13" i="20" s="1"/>
  <c r="J13" i="20"/>
  <c r="D13" i="20"/>
  <c r="C13" i="20"/>
  <c r="B13" i="20"/>
  <c r="A13" i="20" s="1"/>
  <c r="D12" i="20"/>
  <c r="C12" i="20"/>
  <c r="D11" i="20"/>
  <c r="C11" i="20"/>
  <c r="D10" i="20"/>
  <c r="D9" i="20"/>
  <c r="C9" i="20"/>
  <c r="C10" i="20" s="1"/>
  <c r="C8" i="20"/>
  <c r="D7" i="20"/>
  <c r="D8" i="20" s="1"/>
  <c r="C7" i="20"/>
  <c r="D6" i="20"/>
  <c r="D5" i="20"/>
  <c r="C5" i="20"/>
  <c r="C6" i="20" s="1"/>
  <c r="B5" i="20"/>
  <c r="B6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J8" i="28" l="1"/>
  <c r="B9" i="28"/>
  <c r="A9" i="28" s="1"/>
  <c r="W6" i="28"/>
  <c r="T7" i="28"/>
  <c r="U7" i="28" s="1"/>
  <c r="V6" i="28"/>
  <c r="O7" i="28"/>
  <c r="W6" i="27"/>
  <c r="T7" i="27"/>
  <c r="W7" i="27" s="1"/>
  <c r="U7" i="27"/>
  <c r="V6" i="27"/>
  <c r="B10" i="26"/>
  <c r="A10" i="26" s="1"/>
  <c r="O8" i="26"/>
  <c r="V7" i="26"/>
  <c r="U6" i="26"/>
  <c r="J7" i="26"/>
  <c r="W7" i="26"/>
  <c r="T8" i="26"/>
  <c r="A7" i="25"/>
  <c r="W5" i="25"/>
  <c r="T6" i="25"/>
  <c r="V6" i="25"/>
  <c r="O7" i="25"/>
  <c r="U5" i="25"/>
  <c r="J6" i="25"/>
  <c r="B8" i="25"/>
  <c r="A8" i="25" s="1"/>
  <c r="W5" i="24"/>
  <c r="T6" i="24"/>
  <c r="U5" i="24"/>
  <c r="V5" i="24"/>
  <c r="J7" i="24"/>
  <c r="U6" i="24"/>
  <c r="B8" i="24"/>
  <c r="A8" i="24" s="1"/>
  <c r="V6" i="24"/>
  <c r="O7" i="24"/>
  <c r="V5" i="23"/>
  <c r="W5" i="23"/>
  <c r="T6" i="23"/>
  <c r="O7" i="23"/>
  <c r="U5" i="23"/>
  <c r="J6" i="23"/>
  <c r="V6" i="23" s="1"/>
  <c r="B9" i="23"/>
  <c r="A9" i="23" s="1"/>
  <c r="V13" i="22"/>
  <c r="W13" i="22"/>
  <c r="U13" i="22"/>
  <c r="U12" i="22"/>
  <c r="V12" i="22"/>
  <c r="W12" i="22"/>
  <c r="A6" i="22"/>
  <c r="W4" i="22"/>
  <c r="O6" i="22"/>
  <c r="B8" i="22"/>
  <c r="A8" i="22" s="1"/>
  <c r="J5" i="22"/>
  <c r="V5" i="22" s="1"/>
  <c r="T6" i="22"/>
  <c r="A7" i="22"/>
  <c r="U4" i="22"/>
  <c r="V4" i="22"/>
  <c r="A5" i="21"/>
  <c r="W4" i="21"/>
  <c r="V4" i="21"/>
  <c r="B7" i="21"/>
  <c r="A7" i="21" s="1"/>
  <c r="O7" i="21"/>
  <c r="U4" i="21"/>
  <c r="T5" i="21"/>
  <c r="A6" i="21"/>
  <c r="J6" i="21"/>
  <c r="U13" i="20"/>
  <c r="W13" i="20"/>
  <c r="A5" i="20"/>
  <c r="W4" i="20"/>
  <c r="V4" i="20"/>
  <c r="A6" i="20"/>
  <c r="B7" i="20"/>
  <c r="A7" i="20" s="1"/>
  <c r="O6" i="20"/>
  <c r="V5" i="20"/>
  <c r="J5" i="20"/>
  <c r="U4" i="20"/>
  <c r="T5" i="20"/>
  <c r="W3" i="19"/>
  <c r="V3" i="19"/>
  <c r="U3" i="19"/>
  <c r="O8" i="28" l="1"/>
  <c r="U8" i="28" s="1"/>
  <c r="V7" i="28"/>
  <c r="B10" i="28"/>
  <c r="A10" i="28" s="1"/>
  <c r="W7" i="28"/>
  <c r="T8" i="28"/>
  <c r="J9" i="28"/>
  <c r="V7" i="27"/>
  <c r="T9" i="26"/>
  <c r="O9" i="26"/>
  <c r="J8" i="26"/>
  <c r="U7" i="26"/>
  <c r="B11" i="26"/>
  <c r="A11" i="26" s="1"/>
  <c r="O8" i="25"/>
  <c r="B9" i="25"/>
  <c r="A9" i="25" s="1"/>
  <c r="U6" i="25"/>
  <c r="J7" i="25"/>
  <c r="W6" i="25"/>
  <c r="T7" i="25"/>
  <c r="B9" i="24"/>
  <c r="A9" i="24" s="1"/>
  <c r="O8" i="24"/>
  <c r="W6" i="24"/>
  <c r="T7" i="24"/>
  <c r="V7" i="24" s="1"/>
  <c r="J8" i="24"/>
  <c r="O8" i="23"/>
  <c r="B10" i="23"/>
  <c r="A10" i="23" s="1"/>
  <c r="U6" i="23"/>
  <c r="J7" i="23"/>
  <c r="W6" i="23"/>
  <c r="T7" i="23"/>
  <c r="B9" i="22"/>
  <c r="O7" i="22"/>
  <c r="W5" i="22"/>
  <c r="T7" i="22"/>
  <c r="U5" i="22"/>
  <c r="J6" i="22"/>
  <c r="T6" i="21"/>
  <c r="U6" i="21" s="1"/>
  <c r="W5" i="21"/>
  <c r="J7" i="21"/>
  <c r="V5" i="21"/>
  <c r="B8" i="21"/>
  <c r="A8" i="21" s="1"/>
  <c r="O8" i="21"/>
  <c r="U5" i="21"/>
  <c r="W5" i="20"/>
  <c r="T6" i="20"/>
  <c r="O7" i="20"/>
  <c r="U5" i="20"/>
  <c r="J6" i="20"/>
  <c r="V6" i="20" s="1"/>
  <c r="B8" i="20"/>
  <c r="A8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V10" i="19" s="1"/>
  <c r="J10" i="19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10" i="28" l="1"/>
  <c r="B11" i="28"/>
  <c r="A11" i="28" s="1"/>
  <c r="W8" i="28"/>
  <c r="T9" i="28"/>
  <c r="V8" i="28"/>
  <c r="O9" i="28"/>
  <c r="U8" i="26"/>
  <c r="J9" i="26"/>
  <c r="W8" i="26"/>
  <c r="O10" i="26"/>
  <c r="V9" i="26"/>
  <c r="B12" i="26"/>
  <c r="A12" i="26" s="1"/>
  <c r="V8" i="26"/>
  <c r="W9" i="26"/>
  <c r="T10" i="26"/>
  <c r="W7" i="25"/>
  <c r="T8" i="25"/>
  <c r="B10" i="25"/>
  <c r="A10" i="25" s="1"/>
  <c r="U7" i="25"/>
  <c r="J8" i="25"/>
  <c r="V8" i="25" s="1"/>
  <c r="V7" i="25"/>
  <c r="O9" i="25"/>
  <c r="J9" i="24"/>
  <c r="T8" i="24"/>
  <c r="W7" i="24"/>
  <c r="U7" i="24"/>
  <c r="O9" i="24"/>
  <c r="B10" i="24"/>
  <c r="A10" i="24" s="1"/>
  <c r="B11" i="23"/>
  <c r="A11" i="23" s="1"/>
  <c r="U7" i="23"/>
  <c r="J8" i="23"/>
  <c r="V7" i="23"/>
  <c r="W7" i="23"/>
  <c r="T8" i="23"/>
  <c r="V8" i="23" s="1"/>
  <c r="O9" i="23"/>
  <c r="U6" i="22"/>
  <c r="J7" i="22"/>
  <c r="B10" i="22"/>
  <c r="A10" i="22" s="1"/>
  <c r="O8" i="22"/>
  <c r="V7" i="22"/>
  <c r="W7" i="22"/>
  <c r="T8" i="22"/>
  <c r="V6" i="22"/>
  <c r="W6" i="22"/>
  <c r="A9" i="22"/>
  <c r="O9" i="21"/>
  <c r="J8" i="21"/>
  <c r="B9" i="21"/>
  <c r="A9" i="21" s="1"/>
  <c r="W6" i="21"/>
  <c r="T7" i="21"/>
  <c r="U7" i="21" s="1"/>
  <c r="V6" i="21"/>
  <c r="O8" i="20"/>
  <c r="B9" i="20"/>
  <c r="A9" i="20" s="1"/>
  <c r="U6" i="20"/>
  <c r="J7" i="20"/>
  <c r="W6" i="20"/>
  <c r="T7" i="20"/>
  <c r="V12" i="19"/>
  <c r="W12" i="19"/>
  <c r="U11" i="19"/>
  <c r="V11" i="19"/>
  <c r="W11" i="19"/>
  <c r="W10" i="19"/>
  <c r="U10" i="19"/>
  <c r="U9" i="19"/>
  <c r="V9" i="19"/>
  <c r="W9" i="19"/>
  <c r="V8" i="19"/>
  <c r="W8" i="19"/>
  <c r="U8" i="19"/>
  <c r="V7" i="19"/>
  <c r="U7" i="19"/>
  <c r="W7" i="19"/>
  <c r="W6" i="19"/>
  <c r="U6" i="19"/>
  <c r="V6" i="19"/>
  <c r="U4" i="19"/>
  <c r="V4" i="19"/>
  <c r="T5" i="19"/>
  <c r="W4" i="19"/>
  <c r="J5" i="19"/>
  <c r="O5" i="19"/>
  <c r="O10" i="28" l="1"/>
  <c r="V9" i="28"/>
  <c r="B12" i="28"/>
  <c r="A12" i="28" s="1"/>
  <c r="W9" i="28"/>
  <c r="T10" i="28"/>
  <c r="U10" i="28"/>
  <c r="J11" i="28"/>
  <c r="U9" i="28"/>
  <c r="T11" i="26"/>
  <c r="O11" i="26"/>
  <c r="B13" i="26"/>
  <c r="A13" i="26" s="1"/>
  <c r="U9" i="26"/>
  <c r="J10" i="26"/>
  <c r="V10" i="26" s="1"/>
  <c r="U8" i="25"/>
  <c r="J9" i="25"/>
  <c r="B11" i="25"/>
  <c r="A11" i="25" s="1"/>
  <c r="W8" i="25"/>
  <c r="T9" i="25"/>
  <c r="O10" i="25"/>
  <c r="V9" i="25"/>
  <c r="J10" i="24"/>
  <c r="B11" i="24"/>
  <c r="A11" i="24" s="1"/>
  <c r="O10" i="24"/>
  <c r="W8" i="24"/>
  <c r="T9" i="24"/>
  <c r="U9" i="24" s="1"/>
  <c r="V8" i="24"/>
  <c r="U8" i="24"/>
  <c r="O10" i="23"/>
  <c r="U8" i="23"/>
  <c r="J9" i="23"/>
  <c r="W8" i="23"/>
  <c r="T9" i="23"/>
  <c r="B12" i="23"/>
  <c r="A12" i="23" s="1"/>
  <c r="T9" i="22"/>
  <c r="B11" i="22"/>
  <c r="A11" i="22" s="1"/>
  <c r="U7" i="22"/>
  <c r="J8" i="22"/>
  <c r="W8" i="22" s="1"/>
  <c r="O9" i="22"/>
  <c r="B10" i="21"/>
  <c r="A10" i="21" s="1"/>
  <c r="O10" i="21"/>
  <c r="T8" i="21"/>
  <c r="W7" i="21"/>
  <c r="V7" i="21"/>
  <c r="J9" i="21"/>
  <c r="U8" i="21"/>
  <c r="W7" i="20"/>
  <c r="T8" i="20"/>
  <c r="B10" i="20"/>
  <c r="A10" i="20" s="1"/>
  <c r="U7" i="20"/>
  <c r="J8" i="20"/>
  <c r="V7" i="20"/>
  <c r="V8" i="20"/>
  <c r="O9" i="20"/>
  <c r="U5" i="19"/>
  <c r="W5" i="19"/>
  <c r="V5" i="19"/>
  <c r="B13" i="28" l="1"/>
  <c r="A13" i="28" s="1"/>
  <c r="W10" i="28"/>
  <c r="T11" i="28"/>
  <c r="J12" i="28"/>
  <c r="V10" i="28"/>
  <c r="O11" i="28"/>
  <c r="O12" i="26"/>
  <c r="T12" i="26"/>
  <c r="U10" i="26"/>
  <c r="J11" i="26"/>
  <c r="W11" i="26" s="1"/>
  <c r="B14" i="26"/>
  <c r="A14" i="26"/>
  <c r="W10" i="26"/>
  <c r="B12" i="25"/>
  <c r="A12" i="25" s="1"/>
  <c r="O11" i="25"/>
  <c r="W9" i="25"/>
  <c r="T10" i="25"/>
  <c r="U9" i="25"/>
  <c r="J10" i="25"/>
  <c r="V9" i="24"/>
  <c r="V10" i="24"/>
  <c r="O11" i="24"/>
  <c r="W9" i="24"/>
  <c r="T10" i="24"/>
  <c r="B12" i="24"/>
  <c r="U10" i="24"/>
  <c r="J11" i="24"/>
  <c r="U9" i="23"/>
  <c r="J10" i="23"/>
  <c r="B13" i="23"/>
  <c r="A13" i="23" s="1"/>
  <c r="W9" i="23"/>
  <c r="T10" i="23"/>
  <c r="V9" i="23"/>
  <c r="V10" i="23"/>
  <c r="O11" i="23"/>
  <c r="V8" i="22"/>
  <c r="O10" i="22"/>
  <c r="U8" i="22"/>
  <c r="J9" i="22"/>
  <c r="W9" i="22" s="1"/>
  <c r="T10" i="22"/>
  <c r="J10" i="21"/>
  <c r="O11" i="21"/>
  <c r="W8" i="21"/>
  <c r="T9" i="21"/>
  <c r="V8" i="21"/>
  <c r="B11" i="21"/>
  <c r="A11" i="21" s="1"/>
  <c r="B11" i="20"/>
  <c r="A11" i="20" s="1"/>
  <c r="U8" i="20"/>
  <c r="J9" i="20"/>
  <c r="W8" i="20"/>
  <c r="T9" i="20"/>
  <c r="O10" i="20"/>
  <c r="W11" i="28" l="1"/>
  <c r="T12" i="28"/>
  <c r="O12" i="28"/>
  <c r="U12" i="28" s="1"/>
  <c r="V11" i="28"/>
  <c r="J13" i="28"/>
  <c r="U11" i="28"/>
  <c r="T13" i="26"/>
  <c r="U11" i="26"/>
  <c r="J12" i="26"/>
  <c r="V11" i="26"/>
  <c r="V12" i="26"/>
  <c r="O13" i="26"/>
  <c r="U10" i="25"/>
  <c r="J11" i="25"/>
  <c r="O12" i="25"/>
  <c r="V10" i="25"/>
  <c r="W10" i="25"/>
  <c r="T11" i="25"/>
  <c r="V11" i="25" s="1"/>
  <c r="B13" i="24"/>
  <c r="A13" i="24" s="1"/>
  <c r="U11" i="24"/>
  <c r="J12" i="24"/>
  <c r="W10" i="24"/>
  <c r="T11" i="24"/>
  <c r="A12" i="24"/>
  <c r="O12" i="24"/>
  <c r="V11" i="24"/>
  <c r="W10" i="23"/>
  <c r="T11" i="23"/>
  <c r="U10" i="23"/>
  <c r="J11" i="23"/>
  <c r="O12" i="23"/>
  <c r="V11" i="23"/>
  <c r="U9" i="22"/>
  <c r="J10" i="22"/>
  <c r="W10" i="22"/>
  <c r="T11" i="22"/>
  <c r="V9" i="22"/>
  <c r="V10" i="22"/>
  <c r="O11" i="22"/>
  <c r="W9" i="21"/>
  <c r="T10" i="21"/>
  <c r="U10" i="21" s="1"/>
  <c r="V9" i="21"/>
  <c r="O12" i="21"/>
  <c r="J11" i="21"/>
  <c r="B12" i="21"/>
  <c r="U9" i="21"/>
  <c r="V9" i="20"/>
  <c r="U9" i="20"/>
  <c r="J10" i="20"/>
  <c r="V10" i="20"/>
  <c r="O11" i="20"/>
  <c r="W9" i="20"/>
  <c r="T10" i="20"/>
  <c r="B12" i="20"/>
  <c r="A12" i="20" s="1"/>
  <c r="V12" i="28" l="1"/>
  <c r="O13" i="28"/>
  <c r="W12" i="28"/>
  <c r="T13" i="28"/>
  <c r="W13" i="28" s="1"/>
  <c r="O14" i="26"/>
  <c r="U12" i="26"/>
  <c r="J13" i="26"/>
  <c r="W13" i="26"/>
  <c r="T14" i="26"/>
  <c r="W12" i="26"/>
  <c r="W11" i="25"/>
  <c r="T12" i="25"/>
  <c r="U11" i="25"/>
  <c r="J12" i="25"/>
  <c r="U12" i="25" s="1"/>
  <c r="O13" i="24"/>
  <c r="J13" i="24"/>
  <c r="W11" i="24"/>
  <c r="T12" i="24"/>
  <c r="O13" i="23"/>
  <c r="U11" i="23"/>
  <c r="J12" i="23"/>
  <c r="W11" i="23"/>
  <c r="T12" i="23"/>
  <c r="U10" i="22"/>
  <c r="J11" i="22"/>
  <c r="U11" i="22" s="1"/>
  <c r="B13" i="21"/>
  <c r="A13" i="21" s="1"/>
  <c r="O13" i="21"/>
  <c r="J12" i="21"/>
  <c r="W10" i="21"/>
  <c r="T11" i="21"/>
  <c r="V11" i="21" s="1"/>
  <c r="V10" i="21"/>
  <c r="A12" i="21"/>
  <c r="O12" i="20"/>
  <c r="W10" i="20"/>
  <c r="T11" i="20"/>
  <c r="U10" i="20"/>
  <c r="J11" i="20"/>
  <c r="U13" i="28" l="1"/>
  <c r="V13" i="28"/>
  <c r="U13" i="26"/>
  <c r="J14" i="26"/>
  <c r="U14" i="26" s="1"/>
  <c r="W14" i="26"/>
  <c r="V13" i="26"/>
  <c r="V14" i="26"/>
  <c r="W12" i="25"/>
  <c r="V12" i="25"/>
  <c r="W12" i="24"/>
  <c r="T13" i="24"/>
  <c r="W13" i="24" s="1"/>
  <c r="U13" i="24"/>
  <c r="U12" i="24"/>
  <c r="V13" i="24"/>
  <c r="V12" i="24"/>
  <c r="W12" i="23"/>
  <c r="T13" i="23"/>
  <c r="W13" i="23" s="1"/>
  <c r="U12" i="23"/>
  <c r="J13" i="23"/>
  <c r="V12" i="23"/>
  <c r="V11" i="22"/>
  <c r="W11" i="22"/>
  <c r="U11" i="21"/>
  <c r="W11" i="21"/>
  <c r="T12" i="21"/>
  <c r="U12" i="21"/>
  <c r="J13" i="21"/>
  <c r="V12" i="21"/>
  <c r="W11" i="20"/>
  <c r="T12" i="20"/>
  <c r="U11" i="20"/>
  <c r="J12" i="20"/>
  <c r="V11" i="20"/>
  <c r="V12" i="20"/>
  <c r="U13" i="23" l="1"/>
  <c r="V13" i="23"/>
  <c r="U13" i="21"/>
  <c r="V13" i="21"/>
  <c r="W12" i="21"/>
  <c r="T13" i="21"/>
  <c r="W13" i="21" s="1"/>
  <c r="W12" i="20"/>
  <c r="U12" i="20"/>
</calcChain>
</file>

<file path=xl/sharedStrings.xml><?xml version="1.0" encoding="utf-8"?>
<sst xmlns="http://schemas.openxmlformats.org/spreadsheetml/2006/main" count="1592" uniqueCount="210">
  <si>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</si>
  <si>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</si>
  <si>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</si>
  <si>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</si>
  <si>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</si>
  <si>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</si>
  <si>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</si>
  <si>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</si>
  <si>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</si>
  <si>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</si>
  <si>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</si>
  <si>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</si>
  <si>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</si>
  <si>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</si>
  <si>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</si>
  <si>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</si>
  <si>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</si>
  <si>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</si>
  <si>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</si>
  <si>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</si>
  <si>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</si>
  <si>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</si>
  <si>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</si>
  <si>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</si>
  <si>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</si>
  <si>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</si>
  <si>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</si>
  <si>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</si>
  <si>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</si>
  <si>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</si>
  <si>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</si>
  <si>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</si>
  <si>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</si>
  <si>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</si>
  <si>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</si>
  <si>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</si>
  <si>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</si>
  <si>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</si>
  <si>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</si>
  <si>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</si>
  <si>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</si>
  <si>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</si>
  <si>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</si>
  <si>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</si>
  <si>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</si>
  <si>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</si>
  <si>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</si>
  <si>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</si>
  <si>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</si>
  <si>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</si>
  <si>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</si>
  <si>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</si>
  <si>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</si>
  <si>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</si>
  <si>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</si>
  <si>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</si>
  <si>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</si>
  <si>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</si>
  <si>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</si>
  <si>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</si>
  <si>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</si>
  <si>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</si>
  <si>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</si>
  <si>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</si>
  <si>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</si>
  <si>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</si>
  <si>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</si>
  <si>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</si>
  <si>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</si>
  <si>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</si>
  <si>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</si>
  <si>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</si>
  <si>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</si>
  <si>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</si>
  <si>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</si>
  <si>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</si>
  <si>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</si>
  <si>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</si>
  <si>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</si>
  <si>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</si>
  <si>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</si>
  <si>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</si>
  <si>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</si>
  <si>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</si>
  <si>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</si>
  <si>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</si>
  <si>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</si>
  <si>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</si>
  <si>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</si>
  <si>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</si>
  <si>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</si>
  <si>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</si>
  <si>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</si>
  <si>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</si>
  <si>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</si>
  <si>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</si>
  <si>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</si>
  <si>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</si>
  <si>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</si>
  <si>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</si>
  <si>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</si>
  <si>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</si>
  <si>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</si>
  <si>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</si>
  <si>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</si>
  <si>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</si>
  <si>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</si>
  <si>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</si>
  <si>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</si>
  <si>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</si>
  <si>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</si>
  <si>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</si>
  <si>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</si>
  <si>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</si>
  <si>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</si>
  <si>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</si>
  <si>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</si>
  <si>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</si>
  <si>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</si>
  <si>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</si>
  <si>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</si>
  <si>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</si>
  <si>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</si>
  <si>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</si>
  <si>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</si>
  <si>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</si>
  <si>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</si>
  <si>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</si>
  <si>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</si>
  <si>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</si>
  <si>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</si>
  <si>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</si>
  <si>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</si>
  <si>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</si>
  <si>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</si>
  <si>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</si>
  <si>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</si>
  <si>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</si>
  <si>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</si>
  <si>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</si>
  <si>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</si>
  <si>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</si>
  <si>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</si>
  <si>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</si>
  <si>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</si>
  <si>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</si>
  <si>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</si>
  <si>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</si>
  <si>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</si>
  <si>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</si>
  <si>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</si>
  <si>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</si>
  <si>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</si>
  <si>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</si>
  <si>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</si>
  <si>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</si>
  <si>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</si>
  <si>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</si>
  <si>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</si>
  <si>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</si>
  <si>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</si>
  <si>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</si>
  <si>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</si>
  <si>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</si>
  <si>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</si>
  <si>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</si>
  <si>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</si>
  <si>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</si>
  <si>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</si>
  <si>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</si>
  <si>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</si>
  <si>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</si>
  <si>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</si>
  <si>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</si>
  <si>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</si>
  <si>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</si>
  <si>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</si>
  <si>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</si>
  <si>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</si>
  <si>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</si>
  <si>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</si>
  <si>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</si>
  <si>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</si>
  <si>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</si>
  <si>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</si>
  <si>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</si>
  <si>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</si>
  <si>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</si>
  <si>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</si>
  <si>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</si>
  <si>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</si>
  <si>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</si>
  <si>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りくと</t>
    <phoneticPr fontId="1"/>
  </si>
  <si>
    <t>だいち</t>
    <phoneticPr fontId="1"/>
  </si>
  <si>
    <t>ただ</t>
  </si>
  <si>
    <t>流局</t>
  </si>
  <si>
    <t>N</t>
  </si>
  <si>
    <t>T</t>
  </si>
  <si>
    <t>りくと</t>
  </si>
  <si>
    <t>ロン</t>
  </si>
  <si>
    <t>放銃</t>
  </si>
  <si>
    <t>01</t>
  </si>
  <si>
    <t>だいち</t>
  </si>
  <si>
    <t>ツモ</t>
  </si>
  <si>
    <t>ツモ支払</t>
  </si>
  <si>
    <t>*</t>
  </si>
  <si>
    <t>52</t>
  </si>
  <si>
    <t>51</t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</si>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</sst>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195</v>
      </c>
      <c r="G4" s="9">
        <v>-3000</v>
      </c>
      <c r="H4" s="9"/>
      <c r="I4" s="48"/>
      <c r="J4" s="21">
        <f>IF(COUNTA($F4,$K4,$P4)&gt;0,J3+SUM(G4:I4),"")</f>
        <v>32000</v>
      </c>
      <c r="K4" s="8" t="s">
        <v>195</v>
      </c>
      <c r="L4" s="9">
        <v>1500</v>
      </c>
      <c r="M4" s="9"/>
      <c r="N4" s="48"/>
      <c r="O4" s="21">
        <f>IF(COUNTA($F4,$K4,$P4)&gt;0,O3+SUM(L4:N4),"")</f>
        <v>36500</v>
      </c>
      <c r="P4" s="8" t="s">
        <v>195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6.5</v>
      </c>
      <c r="W4" s="55">
        <f>IF($T4="","",ROUND(($T4-$T$3)/1000,1)+(_xlfn.RANK.AVG($T4,($J4,$O4,$T4),1)-2)*10)</f>
        <v>6.5</v>
      </c>
      <c r="Y4" s="8" t="s">
        <v>196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198</v>
      </c>
      <c r="F5" s="8"/>
      <c r="G5" s="9"/>
      <c r="H5" s="9"/>
      <c r="I5" s="48"/>
      <c r="J5" s="21">
        <f t="shared" ref="J5:J30" si="2">IF(COUNTA($F5,$K5,$P5)&gt;0,J4+SUM(G5:I5),"")</f>
        <v>32000</v>
      </c>
      <c r="K5" s="8" t="s">
        <v>199</v>
      </c>
      <c r="L5" s="9">
        <v>7700</v>
      </c>
      <c r="M5" s="9"/>
      <c r="N5" s="48">
        <v>1000</v>
      </c>
      <c r="O5" s="21">
        <f t="shared" ref="O5:O30" si="3">IF(COUNTA($F5,$K5,$P5)&gt;0,O4+SUM(L5:N5),"")</f>
        <v>45200</v>
      </c>
      <c r="P5" s="8" t="s">
        <v>200</v>
      </c>
      <c r="Q5" s="9">
        <v>-7700</v>
      </c>
      <c r="R5" s="9"/>
      <c r="S5" s="48">
        <v>-1000</v>
      </c>
      <c r="T5" s="21">
        <f t="shared" ref="T5:T30" si="4">IF(COUNTA($F5,$K5,$P5)&gt;0,T4+SUM(Q5:S5),"")</f>
        <v>27800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20.2</v>
      </c>
      <c r="W5" s="55">
        <f>IF($T5="","",ROUND(($T5-$T$3)/1000,1)+(_xlfn.RANK.AVG($T5,($J5,$O5,$T5),1)-2)*10)</f>
        <v>-17.2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201</v>
      </c>
      <c r="BA5" s="41" t="s">
        <v>79</v>
      </c>
      <c r="BB5" s="41" t="s">
        <v>80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198</v>
      </c>
      <c r="F6" s="8"/>
      <c r="G6" s="9"/>
      <c r="H6" s="9"/>
      <c r="I6" s="48"/>
      <c r="J6" s="21">
        <f t="shared" si="2"/>
        <v>32000</v>
      </c>
      <c r="K6" s="8" t="s">
        <v>200</v>
      </c>
      <c r="L6" s="9">
        <v>-3900</v>
      </c>
      <c r="M6" s="9"/>
      <c r="N6" s="48">
        <v>-2000</v>
      </c>
      <c r="O6" s="21">
        <f t="shared" si="3"/>
        <v>39300</v>
      </c>
      <c r="P6" s="8" t="s">
        <v>199</v>
      </c>
      <c r="Q6" s="9">
        <v>3900</v>
      </c>
      <c r="R6" s="9"/>
      <c r="S6" s="48">
        <v>2000</v>
      </c>
      <c r="T6" s="21">
        <f t="shared" si="4"/>
        <v>33700</v>
      </c>
      <c r="U6" s="53">
        <f>IF($J6="","",ROUND(($J6-$J$3)/1000,1)+(_xlfn.RANK.AVG($J6,($J6,$O6,$T6),1)-2)*10)</f>
        <v>-13</v>
      </c>
      <c r="V6" s="54">
        <f>IF($O6="","",ROUND(($O6-$O$3)/1000,1)+(_xlfn.RANK.AVG($O6,($J6,$O6,$T6),1)-2)*10)</f>
        <v>14.3</v>
      </c>
      <c r="W6" s="55">
        <f>IF($T6="","",ROUND(($T6-$T$3)/1000,1)+(_xlfn.RANK.AVG($T6,($J6,$O6,$T6),1)-2)*10)</f>
        <v>-1.3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104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195</v>
      </c>
      <c r="G7" s="9">
        <v>0</v>
      </c>
      <c r="H7" s="9">
        <v>-1000</v>
      </c>
      <c r="I7" s="48"/>
      <c r="J7" s="21">
        <f t="shared" si="2"/>
        <v>31000</v>
      </c>
      <c r="K7" s="8" t="s">
        <v>195</v>
      </c>
      <c r="L7" s="9">
        <v>0</v>
      </c>
      <c r="M7" s="9"/>
      <c r="N7" s="48"/>
      <c r="O7" s="21">
        <f t="shared" si="3"/>
        <v>39300</v>
      </c>
      <c r="P7" s="8" t="s">
        <v>195</v>
      </c>
      <c r="Q7" s="9">
        <v>0</v>
      </c>
      <c r="R7" s="9">
        <v>-1000</v>
      </c>
      <c r="S7" s="48"/>
      <c r="T7" s="21">
        <f t="shared" si="4"/>
        <v>32700</v>
      </c>
      <c r="U7" s="53">
        <f>IF($J7="","",ROUND(($J7-$J$3)/1000,1)+(_xlfn.RANK.AVG($J7,($J7,$O7,$T7),1)-2)*10)</f>
        <v>-14</v>
      </c>
      <c r="V7" s="54">
        <f>IF($O7="","",ROUND(($O7-$O$3)/1000,1)+(_xlfn.RANK.AVG($O7,($J7,$O7,$T7),1)-2)*10)</f>
        <v>14.3</v>
      </c>
      <c r="W7" s="55">
        <f>IF($T7="","",ROUND(($T7-$T$3)/1000,1)+(_xlfn.RANK.AVG($T7,($J7,$O7,$T7),1)-2)*10)</f>
        <v>-2.2999999999999998</v>
      </c>
      <c r="Y7" s="8" t="s">
        <v>197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2</v>
      </c>
      <c r="E8" s="4" t="s">
        <v>202</v>
      </c>
      <c r="F8" s="8" t="s">
        <v>200</v>
      </c>
      <c r="G8" s="9">
        <v>-3200</v>
      </c>
      <c r="H8" s="9"/>
      <c r="I8" s="48">
        <v>-1000</v>
      </c>
      <c r="J8" s="21">
        <f t="shared" si="2"/>
        <v>26800</v>
      </c>
      <c r="K8" s="8" t="s">
        <v>199</v>
      </c>
      <c r="L8" s="9">
        <v>3200</v>
      </c>
      <c r="M8" s="9">
        <v>2000</v>
      </c>
      <c r="N8" s="48">
        <v>1000</v>
      </c>
      <c r="O8" s="21">
        <f t="shared" si="3"/>
        <v>45500</v>
      </c>
      <c r="P8" s="8"/>
      <c r="Q8" s="9"/>
      <c r="R8" s="9"/>
      <c r="S8" s="48"/>
      <c r="T8" s="21">
        <f t="shared" si="4"/>
        <v>32700</v>
      </c>
      <c r="U8" s="53">
        <f>IF($J8="","",ROUND(($J8-$J$3)/1000,1)+(_xlfn.RANK.AVG($J8,($J8,$O8,$T8),1)-2)*10)</f>
        <v>-18.2</v>
      </c>
      <c r="V8" s="54">
        <f>IF($O8="","",ROUND(($O8-$O$3)/1000,1)+(_xlfn.RANK.AVG($O8,($J8,$O8,$T8),1)-2)*10)</f>
        <v>20.5</v>
      </c>
      <c r="W8" s="55">
        <f>IF($T8="","",ROUND(($T8-$T$3)/1000,1)+(_xlfn.RANK.AVG($T8,($J8,$O8,$T8),1)-2)*10)</f>
        <v>-2.2999999999999998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50</v>
      </c>
      <c r="AZ8" s="40" t="s">
        <v>201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194</v>
      </c>
      <c r="F9" s="8" t="s">
        <v>203</v>
      </c>
      <c r="G9" s="9">
        <v>18000</v>
      </c>
      <c r="H9" s="9"/>
      <c r="I9" s="48">
        <v>0</v>
      </c>
      <c r="J9" s="21">
        <f t="shared" si="2"/>
        <v>44800</v>
      </c>
      <c r="K9" s="8" t="s">
        <v>204</v>
      </c>
      <c r="L9" s="9">
        <v>-9000</v>
      </c>
      <c r="M9" s="9"/>
      <c r="N9" s="48">
        <v>0</v>
      </c>
      <c r="O9" s="21">
        <f t="shared" si="3"/>
        <v>36500</v>
      </c>
      <c r="P9" s="8" t="s">
        <v>204</v>
      </c>
      <c r="Q9" s="9">
        <v>-9000</v>
      </c>
      <c r="R9" s="9"/>
      <c r="S9" s="48">
        <v>0</v>
      </c>
      <c r="T9" s="21">
        <f t="shared" si="4"/>
        <v>23700</v>
      </c>
      <c r="U9" s="53">
        <f>IF($J9="","",ROUND(($J9-$J$3)/1000,1)+(_xlfn.RANK.AVG($J9,($J9,$O9,$T9),1)-2)*10)</f>
        <v>19.8</v>
      </c>
      <c r="V9" s="54">
        <f>IF($O9="","",ROUND(($O9-$O$3)/1000,1)+(_xlfn.RANK.AVG($O9,($J9,$O9,$T9),1)-2)*10)</f>
        <v>1.5</v>
      </c>
      <c r="W9" s="55">
        <f>IF($T9="","",ROUND(($T9-$T$3)/1000,1)+(_xlfn.RANK.AVG($T9,($J9,$O9,$T9),1)-2)*10)</f>
        <v>-21.3</v>
      </c>
      <c r="Y9" s="8"/>
      <c r="Z9" s="34"/>
      <c r="AA9" s="26">
        <v>1</v>
      </c>
      <c r="AB9" s="26"/>
      <c r="AC9" s="26">
        <v>6</v>
      </c>
      <c r="AD9" s="30" t="s">
        <v>205</v>
      </c>
      <c r="AE9" s="40" t="s">
        <v>201</v>
      </c>
      <c r="AF9" s="41" t="s">
        <v>82</v>
      </c>
      <c r="AG9" s="41" t="s">
        <v>92</v>
      </c>
      <c r="AH9" s="41" t="s">
        <v>79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194</v>
      </c>
      <c r="F10" s="8"/>
      <c r="G10" s="9"/>
      <c r="H10" s="9"/>
      <c r="I10" s="48"/>
      <c r="J10" s="21">
        <f t="shared" si="2"/>
        <v>44800</v>
      </c>
      <c r="K10" s="8" t="s">
        <v>199</v>
      </c>
      <c r="L10" s="9">
        <v>5200</v>
      </c>
      <c r="M10" s="9"/>
      <c r="N10" s="48">
        <v>1000</v>
      </c>
      <c r="O10" s="21">
        <f t="shared" si="3"/>
        <v>42700</v>
      </c>
      <c r="P10" s="8" t="s">
        <v>200</v>
      </c>
      <c r="Q10" s="9">
        <v>-5200</v>
      </c>
      <c r="R10" s="9"/>
      <c r="S10" s="48">
        <v>-1000</v>
      </c>
      <c r="T10" s="21">
        <f t="shared" si="4"/>
        <v>17500</v>
      </c>
      <c r="U10" s="53">
        <f>IF($J10="","",ROUND(($J10-$J$3)/1000,1)+(_xlfn.RANK.AVG($J10,($J10,$O10,$T10),1)-2)*10)</f>
        <v>19.8</v>
      </c>
      <c r="V10" s="54">
        <f>IF($O10="","",ROUND(($O10-$O$3)/1000,1)+(_xlfn.RANK.AVG($O10,($J10,$O10,$T10),1)-2)*10)</f>
        <v>7.7</v>
      </c>
      <c r="W10" s="55">
        <f>IF($T10="","",ROUND(($T10-$T$3)/1000,1)+(_xlfn.RANK.AVG($T10,($J10,$O10,$T10),1)-2)*10)</f>
        <v>-27.5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3</v>
      </c>
      <c r="AY10" s="30">
        <v>40</v>
      </c>
      <c r="AZ10" s="40" t="s">
        <v>86</v>
      </c>
      <c r="BA10" s="41" t="s">
        <v>79</v>
      </c>
      <c r="BB10" s="41" t="s">
        <v>206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198</v>
      </c>
      <c r="F11" s="8"/>
      <c r="G11" s="9"/>
      <c r="H11" s="9"/>
      <c r="I11" s="48"/>
      <c r="J11" s="21">
        <f t="shared" si="2"/>
        <v>44800</v>
      </c>
      <c r="K11" s="8" t="s">
        <v>200</v>
      </c>
      <c r="L11" s="9">
        <v>-32000</v>
      </c>
      <c r="M11" s="9"/>
      <c r="N11" s="48">
        <v>0</v>
      </c>
      <c r="O11" s="21">
        <f t="shared" si="3"/>
        <v>10700</v>
      </c>
      <c r="P11" s="8" t="s">
        <v>199</v>
      </c>
      <c r="Q11" s="9">
        <v>32000</v>
      </c>
      <c r="R11" s="9"/>
      <c r="S11" s="48">
        <v>0</v>
      </c>
      <c r="T11" s="21">
        <f t="shared" si="4"/>
        <v>49500</v>
      </c>
      <c r="U11" s="53">
        <f>IF($J11="","",ROUND(($J11-$J$3)/1000,1)+(_xlfn.RANK.AVG($J11,($J11,$O11,$T11),1)-2)*10)</f>
        <v>9.8000000000000007</v>
      </c>
      <c r="V11" s="54">
        <f>IF($O11="","",ROUND(($O11-$O$3)/1000,1)+(_xlfn.RANK.AVG($O11,($J11,$O11,$T11),1)-2)*10)</f>
        <v>-34.299999999999997</v>
      </c>
      <c r="W11" s="55">
        <f>IF($T11="","",ROUND(($T11-$T$3)/1000,1)+(_xlfn.RANK.AVG($T11,($J11,$O11,$T11),1)-2)*10)</f>
        <v>24.5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13</v>
      </c>
      <c r="BT11" s="30" t="s">
        <v>205</v>
      </c>
      <c r="BU11" s="40" t="s">
        <v>107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202</v>
      </c>
      <c r="F12" s="8" t="s">
        <v>195</v>
      </c>
      <c r="G12" s="9">
        <v>1500</v>
      </c>
      <c r="H12" s="9">
        <v>-1000</v>
      </c>
      <c r="I12" s="48"/>
      <c r="J12" s="21">
        <f t="shared" si="2"/>
        <v>45300</v>
      </c>
      <c r="K12" s="8" t="s">
        <v>195</v>
      </c>
      <c r="L12" s="9">
        <v>-3000</v>
      </c>
      <c r="M12" s="9"/>
      <c r="N12" s="48"/>
      <c r="O12" s="21">
        <f t="shared" si="3"/>
        <v>7700</v>
      </c>
      <c r="P12" s="8" t="s">
        <v>195</v>
      </c>
      <c r="Q12" s="9">
        <v>1500</v>
      </c>
      <c r="R12" s="9"/>
      <c r="S12" s="48"/>
      <c r="T12" s="21">
        <f t="shared" si="4"/>
        <v>51000</v>
      </c>
      <c r="U12" s="53">
        <f>IF($J12="","",ROUND(($J12-$J$3)/1000,1)+(_xlfn.RANK.AVG($J12,($J12,$O12,$T12),1)-2)*10)</f>
        <v>10.3</v>
      </c>
      <c r="V12" s="54">
        <f>IF($O12="","",ROUND(($O12-$O$3)/1000,1)+(_xlfn.RANK.AVG($O12,($J12,$O12,$T12),1)-2)*10)</f>
        <v>-37.299999999999997</v>
      </c>
      <c r="W12" s="55">
        <f>IF($T12="","",ROUND(($T12-$T$3)/1000,1)+(_xlfn.RANK.AVG($T12,($J12,$O12,$T12),1)-2)*10)</f>
        <v>26</v>
      </c>
      <c r="Y12" s="8" t="s">
        <v>197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196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197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AEE77D2-7648-4503-89B6-1F6D50481704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D1997-6CE0-441D-AC23-12F005FD444C}">
  <sheetPr codeName="Sheet11">
    <pageSetUpPr fitToPage="1"/>
  </sheetPr>
  <dimension ref="A1:CI30"/>
  <sheetViews>
    <sheetView topLeftCell="A2" zoomScaleNormal="100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203</v>
      </c>
      <c r="G4" s="9">
        <v>11600</v>
      </c>
      <c r="H4" s="9">
        <v>1000</v>
      </c>
      <c r="I4" s="48">
        <v>0</v>
      </c>
      <c r="J4" s="21">
        <f>IF(COUNTA($F4,$K4,$P4)&gt;0,J3+SUM(G4:I4),"")</f>
        <v>47600</v>
      </c>
      <c r="K4" s="8" t="s">
        <v>204</v>
      </c>
      <c r="L4" s="9">
        <v>-5800</v>
      </c>
      <c r="M4" s="9">
        <v>-1000</v>
      </c>
      <c r="N4" s="48">
        <v>0</v>
      </c>
      <c r="O4" s="21">
        <f>IF(COUNTA($F4,$K4,$P4)&gt;0,O3+SUM(L4:N4),"")</f>
        <v>28200</v>
      </c>
      <c r="P4" s="8" t="s">
        <v>204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22.6</v>
      </c>
      <c r="V4" s="54">
        <f>IF($O4="","",ROUND(($O4-$O$3)/1000,1)+(_xlfn.RANK.AVG($O4,($J4,$O4,$T4),1)-2)*10)</f>
        <v>-16.8</v>
      </c>
      <c r="W4" s="55">
        <f>IF($T4="","",ROUND(($T4-$T$3)/1000,1)+(_xlfn.RANK.AVG($T4,($J4,$O4,$T4),1)-2)*10)</f>
        <v>-5.8</v>
      </c>
      <c r="Y4" s="8"/>
      <c r="Z4" s="34"/>
      <c r="AA4" s="26"/>
      <c r="AB4" s="26"/>
      <c r="AC4" s="26">
        <v>4</v>
      </c>
      <c r="AD4" s="30">
        <v>30</v>
      </c>
      <c r="AE4" s="40" t="s">
        <v>82</v>
      </c>
      <c r="AF4" s="41" t="s">
        <v>104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/>
      <c r="G5" s="9"/>
      <c r="H5" s="9"/>
      <c r="I5" s="48"/>
      <c r="J5" s="21">
        <f t="shared" ref="J5:J30" si="2">IF(COUNTA($F5,$K5,$P5)&gt;0,J4+SUM(G5:I5),"")</f>
        <v>47600</v>
      </c>
      <c r="K5" s="8" t="s">
        <v>199</v>
      </c>
      <c r="L5" s="9">
        <v>8000</v>
      </c>
      <c r="M5" s="9"/>
      <c r="N5" s="48">
        <v>1000</v>
      </c>
      <c r="O5" s="21">
        <f t="shared" ref="O5:O30" si="3">IF(COUNTA($F5,$K5,$P5)&gt;0,O4+SUM(L5:N5),"")</f>
        <v>37200</v>
      </c>
      <c r="P5" s="8" t="s">
        <v>200</v>
      </c>
      <c r="Q5" s="9">
        <v>-8000</v>
      </c>
      <c r="R5" s="9"/>
      <c r="S5" s="48">
        <v>-1000</v>
      </c>
      <c r="T5" s="21">
        <f t="shared" ref="T5:T30" si="4">IF(COUNTA($F5,$K5,$P5)&gt;0,T4+SUM(Q5:S5),"")</f>
        <v>20200</v>
      </c>
      <c r="U5" s="53">
        <f>IF($J5="","",ROUND(($J5-$J$3)/1000,1)+(_xlfn.RANK.AVG($J5,($J5,$O5,$T5),1)-2)*10)</f>
        <v>22.6</v>
      </c>
      <c r="V5" s="54">
        <f>IF($O5="","",ROUND(($O5-$O$3)/1000,1)+(_xlfn.RANK.AVG($O5,($J5,$O5,$T5),1)-2)*10)</f>
        <v>2.2000000000000002</v>
      </c>
      <c r="W5" s="55">
        <f>IF($T5="","",ROUND(($T5-$T$3)/1000,1)+(_xlfn.RANK.AVG($T5,($J5,$O5,$T5),1)-2)*10)</f>
        <v>-24.8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205</v>
      </c>
      <c r="AZ5" s="40" t="s">
        <v>201</v>
      </c>
      <c r="BA5" s="41" t="s">
        <v>101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198</v>
      </c>
      <c r="F6" s="8" t="s">
        <v>204</v>
      </c>
      <c r="G6" s="9">
        <v>-9000</v>
      </c>
      <c r="H6" s="9">
        <v>-1000</v>
      </c>
      <c r="I6" s="48">
        <v>0</v>
      </c>
      <c r="J6" s="21">
        <f t="shared" si="2"/>
        <v>37600</v>
      </c>
      <c r="K6" s="8" t="s">
        <v>203</v>
      </c>
      <c r="L6" s="9">
        <v>18000</v>
      </c>
      <c r="M6" s="9">
        <v>1000</v>
      </c>
      <c r="N6" s="48">
        <v>0</v>
      </c>
      <c r="O6" s="21">
        <f t="shared" si="3"/>
        <v>56200</v>
      </c>
      <c r="P6" s="8" t="s">
        <v>204</v>
      </c>
      <c r="Q6" s="9">
        <v>-9000</v>
      </c>
      <c r="R6" s="9"/>
      <c r="S6" s="48">
        <v>0</v>
      </c>
      <c r="T6" s="21">
        <f t="shared" si="4"/>
        <v>11200</v>
      </c>
      <c r="U6" s="53">
        <f>IF($J6="","",ROUND(($J6-$J$3)/1000,1)+(_xlfn.RANK.AVG($J6,($J6,$O6,$T6),1)-2)*10)</f>
        <v>2.6</v>
      </c>
      <c r="V6" s="54">
        <f>IF($O6="","",ROUND(($O6-$O$3)/1000,1)+(_xlfn.RANK.AVG($O6,($J6,$O6,$T6),1)-2)*10)</f>
        <v>31.2</v>
      </c>
      <c r="W6" s="55">
        <f>IF($T6="","",ROUND(($T6-$T$3)/1000,1)+(_xlfn.RANK.AVG($T6,($J6,$O6,$T6),1)-2)*10)</f>
        <v>-33.799999999999997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7</v>
      </c>
      <c r="AY6" s="30" t="s">
        <v>205</v>
      </c>
      <c r="AZ6" s="40" t="s">
        <v>98</v>
      </c>
      <c r="BA6" s="41" t="s">
        <v>96</v>
      </c>
      <c r="BB6" s="41" t="s">
        <v>85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198</v>
      </c>
      <c r="F7" s="8" t="s">
        <v>199</v>
      </c>
      <c r="G7" s="9">
        <v>2600</v>
      </c>
      <c r="H7" s="9"/>
      <c r="I7" s="48">
        <v>1000</v>
      </c>
      <c r="J7" s="21">
        <f t="shared" si="2"/>
        <v>41200</v>
      </c>
      <c r="K7" s="8" t="s">
        <v>200</v>
      </c>
      <c r="L7" s="9">
        <v>-2600</v>
      </c>
      <c r="M7" s="9"/>
      <c r="N7" s="48">
        <v>-1000</v>
      </c>
      <c r="O7" s="21">
        <f t="shared" si="3"/>
        <v>52600</v>
      </c>
      <c r="P7" s="8"/>
      <c r="Q7" s="9"/>
      <c r="R7" s="9"/>
      <c r="S7" s="48"/>
      <c r="T7" s="21">
        <f t="shared" si="4"/>
        <v>11200</v>
      </c>
      <c r="U7" s="53">
        <f>IF($J7="","",ROUND(($J7-$J$3)/1000,1)+(_xlfn.RANK.AVG($J7,($J7,$O7,$T7),1)-2)*10)</f>
        <v>6.2</v>
      </c>
      <c r="V7" s="54">
        <f>IF($O7="","",ROUND(($O7-$O$3)/1000,1)+(_xlfn.RANK.AVG($O7,($J7,$O7,$T7),1)-2)*10)</f>
        <v>27.6</v>
      </c>
      <c r="W7" s="55">
        <f>IF($T7="","",ROUND(($T7-$T$3)/1000,1)+(_xlfn.RANK.AVG($T7,($J7,$O7,$T7),1)-2)*10)</f>
        <v>-33.799999999999997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201</v>
      </c>
      <c r="AF7" s="41" t="s">
        <v>80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202</v>
      </c>
      <c r="F8" s="8" t="s">
        <v>204</v>
      </c>
      <c r="G8" s="9">
        <v>-3000</v>
      </c>
      <c r="H8" s="9"/>
      <c r="I8" s="48">
        <v>0</v>
      </c>
      <c r="J8" s="21">
        <f t="shared" si="2"/>
        <v>38200</v>
      </c>
      <c r="K8" s="8" t="s">
        <v>204</v>
      </c>
      <c r="L8" s="9">
        <v>-3000</v>
      </c>
      <c r="M8" s="9"/>
      <c r="N8" s="48">
        <v>0</v>
      </c>
      <c r="O8" s="21">
        <f t="shared" si="3"/>
        <v>49600</v>
      </c>
      <c r="P8" s="8" t="s">
        <v>203</v>
      </c>
      <c r="Q8" s="9">
        <v>6000</v>
      </c>
      <c r="R8" s="9"/>
      <c r="S8" s="48">
        <v>0</v>
      </c>
      <c r="T8" s="21">
        <f t="shared" si="4"/>
        <v>17200</v>
      </c>
      <c r="U8" s="53">
        <f>IF($J8="","",ROUND(($J8-$J$3)/1000,1)+(_xlfn.RANK.AVG($J8,($J8,$O8,$T8),1)-2)*10)</f>
        <v>3.2</v>
      </c>
      <c r="V8" s="54">
        <f>IF($O8="","",ROUND(($O8-$O$3)/1000,1)+(_xlfn.RANK.AVG($O8,($J8,$O8,$T8),1)-2)*10)</f>
        <v>24.6</v>
      </c>
      <c r="W8" s="55">
        <f>IF($T8="","",ROUND(($T8-$T$3)/1000,1)+(_xlfn.RANK.AVG($T8,($J8,$O8,$T8),1)-2)*10)</f>
        <v>-27.8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207</v>
      </c>
      <c r="BV8" s="41" t="s">
        <v>82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202</v>
      </c>
      <c r="F9" s="8" t="s">
        <v>199</v>
      </c>
      <c r="G9" s="9">
        <v>2000</v>
      </c>
      <c r="H9" s="9"/>
      <c r="I9" s="48">
        <v>1000</v>
      </c>
      <c r="J9" s="21">
        <f t="shared" si="2"/>
        <v>41200</v>
      </c>
      <c r="K9" s="8" t="s">
        <v>200</v>
      </c>
      <c r="L9" s="9">
        <v>-2000</v>
      </c>
      <c r="M9" s="9"/>
      <c r="N9" s="48">
        <v>-1000</v>
      </c>
      <c r="O9" s="21">
        <f t="shared" si="3"/>
        <v>46600</v>
      </c>
      <c r="P9" s="8"/>
      <c r="Q9" s="9"/>
      <c r="R9" s="9"/>
      <c r="S9" s="48"/>
      <c r="T9" s="21">
        <f t="shared" si="4"/>
        <v>17200</v>
      </c>
      <c r="U9" s="53">
        <f>IF($J9="","",ROUND(($J9-$J$3)/1000,1)+(_xlfn.RANK.AVG($J9,($J9,$O9,$T9),1)-2)*10)</f>
        <v>6.2</v>
      </c>
      <c r="V9" s="54">
        <f>IF($O9="","",ROUND(($O9-$O$3)/1000,1)+(_xlfn.RANK.AVG($O9,($J9,$O9,$T9),1)-2)*10)</f>
        <v>21.6</v>
      </c>
      <c r="W9" s="55">
        <f>IF($T9="","",ROUND(($T9-$T$3)/1000,1)+(_xlfn.RANK.AVG($T9,($J9,$O9,$T9),1)-2)*10)</f>
        <v>-27.8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204</v>
      </c>
      <c r="G10" s="9">
        <v>-700</v>
      </c>
      <c r="H10" s="9"/>
      <c r="I10" s="48">
        <v>0</v>
      </c>
      <c r="J10" s="21">
        <f t="shared" si="2"/>
        <v>40500</v>
      </c>
      <c r="K10" s="8" t="s">
        <v>203</v>
      </c>
      <c r="L10" s="9">
        <v>1200</v>
      </c>
      <c r="M10" s="9"/>
      <c r="N10" s="48">
        <v>0</v>
      </c>
      <c r="O10" s="21">
        <f t="shared" si="3"/>
        <v>47800</v>
      </c>
      <c r="P10" s="8" t="s">
        <v>204</v>
      </c>
      <c r="Q10" s="9">
        <v>-500</v>
      </c>
      <c r="R10" s="9"/>
      <c r="S10" s="48">
        <v>0</v>
      </c>
      <c r="T10" s="21">
        <f t="shared" si="4"/>
        <v>16700</v>
      </c>
      <c r="U10" s="53">
        <f>IF($J10="","",ROUND(($J10-$J$3)/1000,1)+(_xlfn.RANK.AVG($J10,($J10,$O10,$T10),1)-2)*10)</f>
        <v>5.5</v>
      </c>
      <c r="V10" s="54">
        <f>IF($O10="","",ROUND(($O10-$O$3)/1000,1)+(_xlfn.RANK.AVG($O10,($J10,$O10,$T10),1)-2)*10)</f>
        <v>22.8</v>
      </c>
      <c r="W10" s="55">
        <f>IF($T10="","",ROUND(($T10-$T$3)/1000,1)+(_xlfn.RANK.AVG($T10,($J10,$O10,$T10),1)-2)*10)</f>
        <v>-28.3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198</v>
      </c>
      <c r="F11" s="8" t="s">
        <v>199</v>
      </c>
      <c r="G11" s="9">
        <v>2600</v>
      </c>
      <c r="H11" s="9"/>
      <c r="I11" s="48">
        <v>0</v>
      </c>
      <c r="J11" s="21">
        <f t="shared" si="2"/>
        <v>43100</v>
      </c>
      <c r="K11" s="8" t="s">
        <v>200</v>
      </c>
      <c r="L11" s="9">
        <v>-2600</v>
      </c>
      <c r="M11" s="9"/>
      <c r="N11" s="48">
        <v>0</v>
      </c>
      <c r="O11" s="21">
        <f t="shared" si="3"/>
        <v>45200</v>
      </c>
      <c r="P11" s="8"/>
      <c r="Q11" s="9"/>
      <c r="R11" s="9"/>
      <c r="S11" s="48"/>
      <c r="T11" s="21">
        <f t="shared" si="4"/>
        <v>16700</v>
      </c>
      <c r="U11" s="53">
        <f>IF($J11="","",ROUND(($J11-$J$3)/1000,1)+(_xlfn.RANK.AVG($J11,($J11,$O11,$T11),1)-2)*10)</f>
        <v>8.1</v>
      </c>
      <c r="V11" s="54">
        <f>IF($O11="","",ROUND(($O11-$O$3)/1000,1)+(_xlfn.RANK.AVG($O11,($J11,$O11,$T11),1)-2)*10)</f>
        <v>20.2</v>
      </c>
      <c r="W11" s="55">
        <f>IF($T11="","",ROUND(($T11-$T$3)/1000,1)+(_xlfn.RANK.AVG($T11,($J11,$O11,$T11),1)-2)*10)</f>
        <v>-28.3</v>
      </c>
      <c r="Y11" s="8"/>
      <c r="Z11" s="34"/>
      <c r="AA11" s="26"/>
      <c r="AB11" s="26"/>
      <c r="AC11" s="26">
        <v>2</v>
      </c>
      <c r="AD11" s="30">
        <v>40</v>
      </c>
      <c r="AE11" s="40" t="s">
        <v>86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202</v>
      </c>
      <c r="F12" s="8" t="s">
        <v>204</v>
      </c>
      <c r="G12" s="9">
        <v>-9000</v>
      </c>
      <c r="H12" s="9"/>
      <c r="I12" s="48">
        <v>0</v>
      </c>
      <c r="J12" s="21">
        <f t="shared" si="2"/>
        <v>34100</v>
      </c>
      <c r="K12" s="8" t="s">
        <v>204</v>
      </c>
      <c r="L12" s="9">
        <v>-9000</v>
      </c>
      <c r="M12" s="9"/>
      <c r="N12" s="48">
        <v>0</v>
      </c>
      <c r="O12" s="21">
        <f t="shared" si="3"/>
        <v>36200</v>
      </c>
      <c r="P12" s="8" t="s">
        <v>203</v>
      </c>
      <c r="Q12" s="9">
        <v>18000</v>
      </c>
      <c r="R12" s="9"/>
      <c r="S12" s="48">
        <v>0</v>
      </c>
      <c r="T12" s="21">
        <f t="shared" si="4"/>
        <v>34700</v>
      </c>
      <c r="U12" s="53">
        <f>IF($J12="","",ROUND(($J12-$J$3)/1000,1)+(_xlfn.RANK.AVG($J12,($J12,$O12,$T12),1)-2)*10)</f>
        <v>-10.9</v>
      </c>
      <c r="V12" s="54">
        <f>IF($O12="","",ROUND(($O12-$O$3)/1000,1)+(_xlfn.RANK.AVG($O12,($J12,$O12,$T12),1)-2)*10)</f>
        <v>11.2</v>
      </c>
      <c r="W12" s="55">
        <f>IF($T12="","",ROUND(($T12-$T$3)/1000,1)+(_xlfn.RANK.AVG($T12,($J12,$O12,$T12),1)-2)*10)</f>
        <v>-0.3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7</v>
      </c>
      <c r="BT12" s="30" t="s">
        <v>205</v>
      </c>
      <c r="BU12" s="40" t="s">
        <v>104</v>
      </c>
      <c r="BV12" s="41" t="s">
        <v>99</v>
      </c>
      <c r="BW12" s="41" t="s">
        <v>79</v>
      </c>
      <c r="BX12" s="41" t="s">
        <v>79</v>
      </c>
      <c r="BY12" s="41" t="s">
        <v>79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202</v>
      </c>
      <c r="F13" s="8" t="s">
        <v>200</v>
      </c>
      <c r="G13" s="9">
        <v>-8000</v>
      </c>
      <c r="H13" s="9">
        <v>-1000</v>
      </c>
      <c r="I13" s="48">
        <v>-1000</v>
      </c>
      <c r="J13" s="21">
        <f t="shared" si="2"/>
        <v>24100</v>
      </c>
      <c r="K13" s="8" t="s">
        <v>199</v>
      </c>
      <c r="L13" s="9">
        <v>8000</v>
      </c>
      <c r="M13" s="9">
        <v>1000</v>
      </c>
      <c r="N13" s="48">
        <v>1000</v>
      </c>
      <c r="O13" s="21">
        <f t="shared" si="3"/>
        <v>46200</v>
      </c>
      <c r="P13" s="8"/>
      <c r="Q13" s="9"/>
      <c r="R13" s="9"/>
      <c r="S13" s="48"/>
      <c r="T13" s="21">
        <f t="shared" si="4"/>
        <v>34700</v>
      </c>
      <c r="U13" s="53">
        <f>IF($J13="","",ROUND(($J13-$J$3)/1000,1)+(_xlfn.RANK.AVG($J13,($J13,$O13,$T13),1)-2)*10)</f>
        <v>-20.9</v>
      </c>
      <c r="V13" s="54">
        <f>IF($O13="","",ROUND(($O13-$O$3)/1000,1)+(_xlfn.RANK.AVG($O13,($J13,$O13,$T13),1)-2)*10)</f>
        <v>21.2</v>
      </c>
      <c r="W13" s="55">
        <f>IF($T13="","",ROUND(($T13-$T$3)/1000,1)+(_xlfn.RANK.AVG($T13,($J13,$O13,$T13),1)-2)*10)</f>
        <v>-0.3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205</v>
      </c>
      <c r="AZ13" s="40" t="s">
        <v>201</v>
      </c>
      <c r="BA13" s="41" t="s">
        <v>208</v>
      </c>
      <c r="BB13" s="41" t="s">
        <v>206</v>
      </c>
      <c r="BC13" s="41" t="s">
        <v>79</v>
      </c>
      <c r="BD13" s="41" t="s">
        <v>79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83B882E6-1EB4-45A8-85AF-0A06A32A35A0}">
      <formula1>"たかの,だいち,ただ,りくと,れんたろう,まっつん,のり,ぱぱ,"</formula1>
    </dataValidation>
    <dataValidation type="list" showInputMessage="1" showErrorMessage="1" sqref="K4:K30 P4:P30 F4:F30" xr:uid="{9E8EAEFA-4332-442A-8F88-7DFA812EE17E}">
      <formula1>"ロン,ツモ,放銃,ツモ支払,流局,チョンボ"</formula1>
    </dataValidation>
    <dataValidation type="list" allowBlank="1" showInputMessage="1" showErrorMessage="1" sqref="E4:E30" xr:uid="{6F83ACE2-4EBE-4343-BFB7-B519D00F075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AD9D3-7259-448E-9F17-78F42A108F82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 t="s">
        <v>200</v>
      </c>
      <c r="Q4" s="9">
        <v>-8000</v>
      </c>
      <c r="R4" s="9">
        <v>-1000</v>
      </c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19</v>
      </c>
      <c r="W4" s="55">
        <f>IF($T4="","",ROUND(($T4-$T$3)/1000,1)+(_xlfn.RANK.AVG($T4,($J4,$O4,$T4),1)-2)*10)</f>
        <v>-19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205</v>
      </c>
      <c r="AZ4" s="40" t="s">
        <v>201</v>
      </c>
      <c r="BA4" s="41" t="s">
        <v>92</v>
      </c>
      <c r="BB4" s="41" t="s">
        <v>79</v>
      </c>
      <c r="BC4" s="41" t="s">
        <v>206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198</v>
      </c>
      <c r="F5" s="8" t="s">
        <v>199</v>
      </c>
      <c r="G5" s="9">
        <v>12000</v>
      </c>
      <c r="H5" s="9">
        <v>2000</v>
      </c>
      <c r="I5" s="48">
        <v>0</v>
      </c>
      <c r="J5" s="21">
        <f t="shared" ref="J5:J30" si="2">IF(COUNTA($F5,$K5,$P5)&gt;0,J4+SUM(G5:I5),"")</f>
        <v>49000</v>
      </c>
      <c r="K5" s="8" t="s">
        <v>200</v>
      </c>
      <c r="L5" s="9">
        <v>-12000</v>
      </c>
      <c r="M5" s="9">
        <v>-1000</v>
      </c>
      <c r="N5" s="48">
        <v>0</v>
      </c>
      <c r="O5" s="21">
        <f t="shared" ref="O5:O30" si="3">IF(COUNTA($F5,$K5,$P5)&gt;0,O4+SUM(L5:N5),"")</f>
        <v>31000</v>
      </c>
      <c r="P5" s="8"/>
      <c r="Q5" s="9"/>
      <c r="R5" s="9">
        <v>-1000</v>
      </c>
      <c r="S5" s="48"/>
      <c r="T5" s="21">
        <f t="shared" ref="T5:T30" si="4">IF(COUNTA($F5,$K5,$P5)&gt;0,T4+SUM(Q5:S5),"")</f>
        <v>25000</v>
      </c>
      <c r="U5" s="53">
        <f>IF($J5="","",ROUND(($J5-$J$3)/1000,1)+(_xlfn.RANK.AVG($J5,($J5,$O5,$T5),1)-2)*10)</f>
        <v>24</v>
      </c>
      <c r="V5" s="54">
        <f>IF($O5="","",ROUND(($O5-$O$3)/1000,1)+(_xlfn.RANK.AVG($O5,($J5,$O5,$T5),1)-2)*10)</f>
        <v>-4</v>
      </c>
      <c r="W5" s="55">
        <f>IF($T5="","",ROUND(($T5-$T$3)/1000,1)+(_xlfn.RANK.AVG($T5,($J5,$O5,$T5),1)-2)*10)</f>
        <v>-20</v>
      </c>
      <c r="Y5" s="8"/>
      <c r="Z5" s="34"/>
      <c r="AA5" s="26"/>
      <c r="AB5" s="26">
        <v>1</v>
      </c>
      <c r="AC5" s="26">
        <v>6</v>
      </c>
      <c r="AD5" s="30" t="s">
        <v>205</v>
      </c>
      <c r="AE5" s="40" t="s">
        <v>86</v>
      </c>
      <c r="AF5" s="41" t="s">
        <v>104</v>
      </c>
      <c r="AG5" s="41" t="s">
        <v>206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202</v>
      </c>
      <c r="F6" s="8" t="s">
        <v>203</v>
      </c>
      <c r="G6" s="9">
        <v>12000</v>
      </c>
      <c r="H6" s="9">
        <v>1000</v>
      </c>
      <c r="I6" s="48">
        <v>0</v>
      </c>
      <c r="J6" s="21">
        <f t="shared" si="2"/>
        <v>62000</v>
      </c>
      <c r="K6" s="8" t="s">
        <v>204</v>
      </c>
      <c r="L6" s="9">
        <v>-4500</v>
      </c>
      <c r="M6" s="9"/>
      <c r="N6" s="48">
        <v>0</v>
      </c>
      <c r="O6" s="21">
        <f t="shared" si="3"/>
        <v>26500</v>
      </c>
      <c r="P6" s="8" t="s">
        <v>204</v>
      </c>
      <c r="Q6" s="9">
        <v>-7500</v>
      </c>
      <c r="R6" s="9">
        <v>-1000</v>
      </c>
      <c r="S6" s="48">
        <v>0</v>
      </c>
      <c r="T6" s="21">
        <f t="shared" si="4"/>
        <v>16500</v>
      </c>
      <c r="U6" s="53">
        <f>IF($J6="","",ROUND(($J6-$J$3)/1000,1)+(_xlfn.RANK.AVG($J6,($J6,$O6,$T6),1)-2)*10)</f>
        <v>37</v>
      </c>
      <c r="V6" s="54">
        <f>IF($O6="","",ROUND(($O6-$O$3)/1000,1)+(_xlfn.RANK.AVG($O6,($J6,$O6,$T6),1)-2)*10)</f>
        <v>-8.5</v>
      </c>
      <c r="W6" s="55">
        <f>IF($T6="","",ROUND(($T6-$T$3)/1000,1)+(_xlfn.RANK.AVG($T6,($J6,$O6,$T6),1)-2)*10)</f>
        <v>-28.5</v>
      </c>
      <c r="Y6" s="8"/>
      <c r="Z6" s="34"/>
      <c r="AA6" s="26">
        <v>1</v>
      </c>
      <c r="AB6" s="26"/>
      <c r="AC6" s="26">
        <v>6</v>
      </c>
      <c r="AD6" s="30" t="s">
        <v>205</v>
      </c>
      <c r="AE6" s="40" t="s">
        <v>201</v>
      </c>
      <c r="AF6" s="41" t="s">
        <v>82</v>
      </c>
      <c r="AG6" s="41" t="s">
        <v>80</v>
      </c>
      <c r="AH6" s="41" t="s">
        <v>80</v>
      </c>
      <c r="AI6" s="41" t="s">
        <v>80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194</v>
      </c>
      <c r="F7" s="8" t="s">
        <v>200</v>
      </c>
      <c r="G7" s="9">
        <v>-12000</v>
      </c>
      <c r="H7" s="9"/>
      <c r="I7" s="48">
        <v>0</v>
      </c>
      <c r="J7" s="21">
        <f t="shared" si="2"/>
        <v>50000</v>
      </c>
      <c r="K7" s="8" t="s">
        <v>199</v>
      </c>
      <c r="L7" s="9">
        <v>12000</v>
      </c>
      <c r="M7" s="9"/>
      <c r="N7" s="48">
        <v>0</v>
      </c>
      <c r="O7" s="21">
        <f t="shared" si="3"/>
        <v>38500</v>
      </c>
      <c r="P7" s="8"/>
      <c r="Q7" s="9"/>
      <c r="R7" s="9"/>
      <c r="S7" s="48"/>
      <c r="T7" s="21">
        <f t="shared" si="4"/>
        <v>16500</v>
      </c>
      <c r="U7" s="53">
        <f>IF($J7="","",ROUND(($J7-$J$3)/1000,1)+(_xlfn.RANK.AVG($J7,($J7,$O7,$T7),1)-2)*10)</f>
        <v>25</v>
      </c>
      <c r="V7" s="54">
        <f>IF($O7="","",ROUND(($O7-$O$3)/1000,1)+(_xlfn.RANK.AVG($O7,($J7,$O7,$T7),1)-2)*10)</f>
        <v>3.5</v>
      </c>
      <c r="W7" s="55">
        <f>IF($T7="","",ROUND(($T7-$T$3)/1000,1)+(_xlfn.RANK.AVG($T7,($J7,$O7,$T7),1)-2)*10)</f>
        <v>-28.5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7</v>
      </c>
      <c r="AY7" s="30" t="s">
        <v>205</v>
      </c>
      <c r="AZ7" s="40" t="s">
        <v>86</v>
      </c>
      <c r="BA7" s="41" t="s">
        <v>86</v>
      </c>
      <c r="BB7" s="41" t="s">
        <v>86</v>
      </c>
      <c r="BC7" s="41" t="s">
        <v>86</v>
      </c>
      <c r="BD7" s="41" t="s">
        <v>104</v>
      </c>
      <c r="BE7" s="41" t="s">
        <v>206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198</v>
      </c>
      <c r="F8" s="8" t="s">
        <v>204</v>
      </c>
      <c r="G8" s="9">
        <v>-4500</v>
      </c>
      <c r="H8" s="9"/>
      <c r="I8" s="48">
        <v>0</v>
      </c>
      <c r="J8" s="21">
        <f t="shared" si="2"/>
        <v>45500</v>
      </c>
      <c r="K8" s="8" t="s">
        <v>204</v>
      </c>
      <c r="L8" s="9">
        <v>-7500</v>
      </c>
      <c r="M8" s="9"/>
      <c r="N8" s="48">
        <v>0</v>
      </c>
      <c r="O8" s="21">
        <f t="shared" si="3"/>
        <v>31000</v>
      </c>
      <c r="P8" s="8" t="s">
        <v>203</v>
      </c>
      <c r="Q8" s="9">
        <v>12000</v>
      </c>
      <c r="R8" s="9"/>
      <c r="S8" s="48">
        <v>0</v>
      </c>
      <c r="T8" s="21">
        <f t="shared" si="4"/>
        <v>28500</v>
      </c>
      <c r="U8" s="53">
        <f>IF($J8="","",ROUND(($J8-$J$3)/1000,1)+(_xlfn.RANK.AVG($J8,($J8,$O8,$T8),1)-2)*10)</f>
        <v>20.5</v>
      </c>
      <c r="V8" s="54">
        <f>IF($O8="","",ROUND(($O8-$O$3)/1000,1)+(_xlfn.RANK.AVG($O8,($J8,$O8,$T8),1)-2)*10)</f>
        <v>-4</v>
      </c>
      <c r="W8" s="55">
        <f>IF($T8="","",ROUND(($T8-$T$3)/1000,1)+(_xlfn.RANK.AVG($T8,($J8,$O8,$T8),1)-2)*10)</f>
        <v>-16.5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205</v>
      </c>
      <c r="BU8" s="40" t="s">
        <v>201</v>
      </c>
      <c r="BV8" s="41" t="s">
        <v>82</v>
      </c>
      <c r="BW8" s="41" t="s">
        <v>92</v>
      </c>
      <c r="BX8" s="41" t="s">
        <v>206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202</v>
      </c>
      <c r="F9" s="8" t="s">
        <v>200</v>
      </c>
      <c r="G9" s="9">
        <v>-2400</v>
      </c>
      <c r="H9" s="9"/>
      <c r="I9" s="48">
        <v>0</v>
      </c>
      <c r="J9" s="21">
        <f t="shared" si="2"/>
        <v>43100</v>
      </c>
      <c r="K9" s="8"/>
      <c r="L9" s="9"/>
      <c r="M9" s="9">
        <v>-1000</v>
      </c>
      <c r="N9" s="48"/>
      <c r="O9" s="21">
        <f t="shared" si="3"/>
        <v>30000</v>
      </c>
      <c r="P9" s="8" t="s">
        <v>199</v>
      </c>
      <c r="Q9" s="9">
        <v>2400</v>
      </c>
      <c r="R9" s="9">
        <v>1000</v>
      </c>
      <c r="S9" s="48">
        <v>0</v>
      </c>
      <c r="T9" s="21">
        <f t="shared" si="4"/>
        <v>31900</v>
      </c>
      <c r="U9" s="53">
        <f>IF($J9="","",ROUND(($J9-$J$3)/1000,1)+(_xlfn.RANK.AVG($J9,($J9,$O9,$T9),1)-2)*10)</f>
        <v>18.100000000000001</v>
      </c>
      <c r="V9" s="54">
        <f>IF($O9="","",ROUND(($O9-$O$3)/1000,1)+(_xlfn.RANK.AVG($O9,($J9,$O9,$T9),1)-2)*10)</f>
        <v>-15</v>
      </c>
      <c r="W9" s="55">
        <f>IF($T9="","",ROUND(($T9-$T$3)/1000,1)+(_xlfn.RANK.AVG($T9,($J9,$O9,$T9),1)-2)*10)</f>
        <v>-3.1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1</v>
      </c>
      <c r="BT9" s="30">
        <v>50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202</v>
      </c>
      <c r="F10" s="8"/>
      <c r="G10" s="9"/>
      <c r="H10" s="9"/>
      <c r="I10" s="48"/>
      <c r="J10" s="21">
        <f t="shared" si="2"/>
        <v>43100</v>
      </c>
      <c r="K10" s="8" t="s">
        <v>200</v>
      </c>
      <c r="L10" s="9">
        <v>-7700</v>
      </c>
      <c r="M10" s="9"/>
      <c r="N10" s="48">
        <v>-1000</v>
      </c>
      <c r="O10" s="21">
        <f t="shared" si="3"/>
        <v>21300</v>
      </c>
      <c r="P10" s="8" t="s">
        <v>199</v>
      </c>
      <c r="Q10" s="9">
        <v>7700</v>
      </c>
      <c r="R10" s="9"/>
      <c r="S10" s="48">
        <v>1000</v>
      </c>
      <c r="T10" s="21">
        <f t="shared" si="4"/>
        <v>40600</v>
      </c>
      <c r="U10" s="53">
        <f>IF($J10="","",ROUND(($J10-$J$3)/1000,1)+(_xlfn.RANK.AVG($J10,($J10,$O10,$T10),1)-2)*10)</f>
        <v>18.100000000000001</v>
      </c>
      <c r="V10" s="54">
        <f>IF($O10="","",ROUND(($O10-$O$3)/1000,1)+(_xlfn.RANK.AVG($O10,($J10,$O10,$T10),1)-2)*10)</f>
        <v>-23.7</v>
      </c>
      <c r="W10" s="55">
        <f>IF($T10="","",ROUND(($T10-$T$3)/1000,1)+(_xlfn.RANK.AVG($T10,($J10,$O10,$T10),1)-2)*10)</f>
        <v>5.6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201</v>
      </c>
      <c r="BV10" s="41" t="s">
        <v>86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">
        <v>202</v>
      </c>
      <c r="F11" s="8" t="s">
        <v>200</v>
      </c>
      <c r="G11" s="9">
        <v>-3900</v>
      </c>
      <c r="H11" s="9"/>
      <c r="I11" s="48">
        <v>-2000</v>
      </c>
      <c r="J11" s="21">
        <f t="shared" si="2"/>
        <v>37200</v>
      </c>
      <c r="K11" s="8"/>
      <c r="L11" s="9"/>
      <c r="M11" s="9"/>
      <c r="N11" s="48"/>
      <c r="O11" s="21">
        <f t="shared" si="3"/>
        <v>21300</v>
      </c>
      <c r="P11" s="8" t="s">
        <v>199</v>
      </c>
      <c r="Q11" s="9">
        <v>3900</v>
      </c>
      <c r="R11" s="9"/>
      <c r="S11" s="48">
        <v>2000</v>
      </c>
      <c r="T11" s="21">
        <f t="shared" si="4"/>
        <v>46500</v>
      </c>
      <c r="U11" s="53">
        <f>IF($J11="","",ROUND(($J11-$J$3)/1000,1)+(_xlfn.RANK.AVG($J11,($J11,$O11,$T11),1)-2)*10)</f>
        <v>2.2000000000000002</v>
      </c>
      <c r="V11" s="54">
        <f>IF($O11="","",ROUND(($O11-$O$3)/1000,1)+(_xlfn.RANK.AVG($O11,($J11,$O11,$T11),1)-2)*10)</f>
        <v>-23.7</v>
      </c>
      <c r="W11" s="55">
        <f>IF($T11="","",ROUND(($T11-$T$3)/1000,1)+(_xlfn.RANK.AVG($T11,($J11,$O11,$T11),1)-2)*10)</f>
        <v>21.5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201</v>
      </c>
      <c r="BV11" s="41" t="s">
        <v>79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2BFBB2F9-E6AB-4CA3-B322-3E130B037EB1}">
      <formula1>$U$2:$W$2</formula1>
    </dataValidation>
    <dataValidation type="list" showInputMessage="1" showErrorMessage="1" sqref="K4:K30 P4:P30 F4:F30" xr:uid="{6839068E-6552-4830-8A0E-CE0DC05DEE59}">
      <formula1>"ロン,ツモ,放銃,ツモ支払,流局,チョンボ"</formula1>
    </dataValidation>
    <dataValidation type="list" allowBlank="1" showInputMessage="1" sqref="F1:T1" xr:uid="{0737C7A0-B13F-4EB6-9F6B-14C0BF65DF20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8F1DF-B88B-4FC9-B0DE-B31AD116562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198</v>
      </c>
      <c r="F4" s="8" t="s">
        <v>204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203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204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28</v>
      </c>
      <c r="W4" s="55">
        <f>IF($T4="","",ROUND(($T4-$T$3)/1000,1)+(_xlfn.RANK.AVG($T4,($J4,$O4,$T4),1)-2)*10)</f>
        <v>-14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205</v>
      </c>
      <c r="AZ4" s="40" t="s">
        <v>201</v>
      </c>
      <c r="BA4" s="41" t="s">
        <v>82</v>
      </c>
      <c r="BB4" s="41" t="s">
        <v>84</v>
      </c>
      <c r="BC4" s="41" t="s">
        <v>85</v>
      </c>
      <c r="BD4" s="41" t="s">
        <v>83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198</v>
      </c>
      <c r="F5" s="8" t="s">
        <v>204</v>
      </c>
      <c r="G5" s="9">
        <v>-5800</v>
      </c>
      <c r="H5" s="9"/>
      <c r="I5" s="48">
        <v>-500</v>
      </c>
      <c r="J5" s="21">
        <f t="shared" ref="J5:J30" si="2">IF(COUNTA($F5,$K5,$P5)&gt;0,J4+SUM(G5:I5),"")</f>
        <v>19700</v>
      </c>
      <c r="K5" s="8" t="s">
        <v>203</v>
      </c>
      <c r="L5" s="9">
        <v>11600</v>
      </c>
      <c r="M5" s="9"/>
      <c r="N5" s="48">
        <v>1000</v>
      </c>
      <c r="O5" s="21">
        <f t="shared" ref="O5:O30" si="3">IF(COUNTA($F5,$K5,$P5)&gt;0,O4+SUM(L5:N5),"")</f>
        <v>65600</v>
      </c>
      <c r="P5" s="8" t="s">
        <v>204</v>
      </c>
      <c r="Q5" s="9">
        <v>-5800</v>
      </c>
      <c r="R5" s="9"/>
      <c r="S5" s="48">
        <v>-500</v>
      </c>
      <c r="T5" s="21">
        <f t="shared" ref="T5:T30" si="4">IF(COUNTA($F5,$K5,$P5)&gt;0,T4+SUM(Q5:S5),"")</f>
        <v>19700</v>
      </c>
      <c r="U5" s="53">
        <f>IF($J5="","",ROUND(($J5-$J$3)/1000,1)+(_xlfn.RANK.AVG($J5,($J5,$O5,$T5),1)-2)*10)</f>
        <v>-20.3</v>
      </c>
      <c r="V5" s="54">
        <f>IF($O5="","",ROUND(($O5-$O$3)/1000,1)+(_xlfn.RANK.AVG($O5,($J5,$O5,$T5),1)-2)*10)</f>
        <v>40.6</v>
      </c>
      <c r="W5" s="55">
        <f>IF($T5="","",ROUND(($T5-$T$3)/1000,1)+(_xlfn.RANK.AVG($T5,($J5,$O5,$T5),1)-2)*10)</f>
        <v>-20.3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201</v>
      </c>
      <c r="BA5" s="41" t="s">
        <v>82</v>
      </c>
      <c r="BB5" s="41" t="s">
        <v>206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198</v>
      </c>
      <c r="F6" s="8" t="s">
        <v>200</v>
      </c>
      <c r="G6" s="9">
        <v>-12000</v>
      </c>
      <c r="H6" s="9">
        <v>-1000</v>
      </c>
      <c r="I6" s="48">
        <v>-2000</v>
      </c>
      <c r="J6" s="21">
        <f t="shared" si="2"/>
        <v>4700</v>
      </c>
      <c r="K6" s="8" t="s">
        <v>199</v>
      </c>
      <c r="L6" s="9">
        <v>12000</v>
      </c>
      <c r="M6" s="9">
        <v>2000</v>
      </c>
      <c r="N6" s="48">
        <v>2000</v>
      </c>
      <c r="O6" s="21">
        <f t="shared" si="3"/>
        <v>81600</v>
      </c>
      <c r="P6" s="8"/>
      <c r="Q6" s="9"/>
      <c r="R6" s="9">
        <v>-1000</v>
      </c>
      <c r="S6" s="48"/>
      <c r="T6" s="21">
        <f t="shared" si="4"/>
        <v>18700</v>
      </c>
      <c r="U6" s="53">
        <f>IF($J6="","",ROUND(($J6-$J$3)/1000,1)+(_xlfn.RANK.AVG($J6,($J6,$O6,$T6),1)-2)*10)</f>
        <v>-40.299999999999997</v>
      </c>
      <c r="V6" s="54">
        <f>IF($O6="","",ROUND(($O6-$O$3)/1000,1)+(_xlfn.RANK.AVG($O6,($J6,$O6,$T6),1)-2)*10)</f>
        <v>56.6</v>
      </c>
      <c r="W6" s="55">
        <f>IF($T6="","",ROUND(($T6-$T$3)/1000,1)+(_xlfn.RANK.AVG($T6,($J6,$O6,$T6),1)-2)*10)</f>
        <v>-16.3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205</v>
      </c>
      <c r="AZ6" s="40" t="s">
        <v>201</v>
      </c>
      <c r="BA6" s="41" t="s">
        <v>208</v>
      </c>
      <c r="BB6" s="41" t="s">
        <v>84</v>
      </c>
      <c r="BC6" s="41" t="s">
        <v>206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198</v>
      </c>
      <c r="F7" s="8"/>
      <c r="G7" s="9"/>
      <c r="H7" s="9"/>
      <c r="I7" s="48"/>
      <c r="J7" s="21">
        <f t="shared" si="2"/>
        <v>4700</v>
      </c>
      <c r="K7" s="8" t="s">
        <v>200</v>
      </c>
      <c r="L7" s="9">
        <v>-3900</v>
      </c>
      <c r="M7" s="9"/>
      <c r="N7" s="48">
        <v>-3000</v>
      </c>
      <c r="O7" s="21">
        <f t="shared" si="3"/>
        <v>74700</v>
      </c>
      <c r="P7" s="8" t="s">
        <v>199</v>
      </c>
      <c r="Q7" s="9">
        <v>3900</v>
      </c>
      <c r="R7" s="9"/>
      <c r="S7" s="48">
        <v>3000</v>
      </c>
      <c r="T7" s="21">
        <f t="shared" si="4"/>
        <v>25600</v>
      </c>
      <c r="U7" s="53">
        <f>IF($J7="","",ROUND(($J7-$J$3)/1000,1)+(_xlfn.RANK.AVG($J7,($J7,$O7,$T7),1)-2)*10)</f>
        <v>-40.299999999999997</v>
      </c>
      <c r="V7" s="54">
        <f>IF($O7="","",ROUND(($O7-$O$3)/1000,1)+(_xlfn.RANK.AVG($O7,($J7,$O7,$T7),1)-2)*10)</f>
        <v>49.7</v>
      </c>
      <c r="W7" s="55">
        <f>IF($T7="","",ROUND(($T7-$T$3)/1000,1)+(_xlfn.RANK.AVG($T7,($J7,$O7,$T7),1)-2)*10)</f>
        <v>-9.4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201</v>
      </c>
      <c r="BV7" s="41" t="s">
        <v>83</v>
      </c>
      <c r="BW7" s="41" t="s">
        <v>85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202</v>
      </c>
      <c r="F8" s="8" t="s">
        <v>203</v>
      </c>
      <c r="G8" s="9">
        <v>8000</v>
      </c>
      <c r="H8" s="9"/>
      <c r="I8" s="48">
        <v>0</v>
      </c>
      <c r="J8" s="21">
        <f t="shared" si="2"/>
        <v>12700</v>
      </c>
      <c r="K8" s="8" t="s">
        <v>204</v>
      </c>
      <c r="L8" s="9">
        <v>-3000</v>
      </c>
      <c r="M8" s="9"/>
      <c r="N8" s="48">
        <v>0</v>
      </c>
      <c r="O8" s="21">
        <f t="shared" si="3"/>
        <v>71700</v>
      </c>
      <c r="P8" s="8" t="s">
        <v>204</v>
      </c>
      <c r="Q8" s="9">
        <v>-5000</v>
      </c>
      <c r="R8" s="9"/>
      <c r="S8" s="48">
        <v>0</v>
      </c>
      <c r="T8" s="21">
        <f t="shared" si="4"/>
        <v>20600</v>
      </c>
      <c r="U8" s="53">
        <f>IF($J8="","",ROUND(($J8-$J$3)/1000,1)+(_xlfn.RANK.AVG($J8,($J8,$O8,$T8),1)-2)*10)</f>
        <v>-32.299999999999997</v>
      </c>
      <c r="V8" s="54">
        <f>IF($O8="","",ROUND(($O8-$O$3)/1000,1)+(_xlfn.RANK.AVG($O8,($J8,$O8,$T8),1)-2)*10)</f>
        <v>46.7</v>
      </c>
      <c r="W8" s="55">
        <f>IF($T8="","",ROUND(($T8-$T$3)/1000,1)+(_xlfn.RANK.AVG($T8,($J8,$O8,$T8),1)-2)*10)</f>
        <v>-14.4</v>
      </c>
      <c r="Y8" s="8"/>
      <c r="Z8" s="34"/>
      <c r="AA8" s="26"/>
      <c r="AB8" s="26">
        <v>1</v>
      </c>
      <c r="AC8" s="26">
        <v>5</v>
      </c>
      <c r="AD8" s="30" t="s">
        <v>205</v>
      </c>
      <c r="AE8" s="40" t="s">
        <v>86</v>
      </c>
      <c r="AF8" s="41" t="s">
        <v>206</v>
      </c>
      <c r="AG8" s="41" t="s">
        <v>79</v>
      </c>
      <c r="AH8" s="41" t="s">
        <v>79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194</v>
      </c>
      <c r="F9" s="8" t="s">
        <v>204</v>
      </c>
      <c r="G9" s="9">
        <v>-1300</v>
      </c>
      <c r="H9" s="9"/>
      <c r="I9" s="48">
        <v>0</v>
      </c>
      <c r="J9" s="21">
        <f t="shared" si="2"/>
        <v>11400</v>
      </c>
      <c r="K9" s="8" t="s">
        <v>204</v>
      </c>
      <c r="L9" s="9">
        <v>-800</v>
      </c>
      <c r="M9" s="9"/>
      <c r="N9" s="48">
        <v>0</v>
      </c>
      <c r="O9" s="21">
        <f t="shared" si="3"/>
        <v>70900</v>
      </c>
      <c r="P9" s="8" t="s">
        <v>203</v>
      </c>
      <c r="Q9" s="9">
        <v>2100</v>
      </c>
      <c r="R9" s="9"/>
      <c r="S9" s="48">
        <v>0</v>
      </c>
      <c r="T9" s="21">
        <f t="shared" si="4"/>
        <v>22700</v>
      </c>
      <c r="U9" s="53">
        <f>IF($J9="","",ROUND(($J9-$J$3)/1000,1)+(_xlfn.RANK.AVG($J9,($J9,$O9,$T9),1)-2)*10)</f>
        <v>-33.6</v>
      </c>
      <c r="V9" s="54">
        <f>IF($O9="","",ROUND(($O9-$O$3)/1000,1)+(_xlfn.RANK.AVG($O9,($J9,$O9,$T9),1)-2)*10)</f>
        <v>45.9</v>
      </c>
      <c r="W9" s="55">
        <f>IF($T9="","",ROUND(($T9-$T$3)/1000,1)+(_xlfn.RANK.AVG($T9,($J9,$O9,$T9),1)-2)*10)</f>
        <v>-12.3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206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198</v>
      </c>
      <c r="F10" s="8" t="s">
        <v>204</v>
      </c>
      <c r="G10" s="9">
        <v>-1500</v>
      </c>
      <c r="H10" s="9"/>
      <c r="I10" s="48">
        <v>0</v>
      </c>
      <c r="J10" s="21">
        <f t="shared" si="2"/>
        <v>9900</v>
      </c>
      <c r="K10" s="8" t="s">
        <v>204</v>
      </c>
      <c r="L10" s="9">
        <v>-2500</v>
      </c>
      <c r="M10" s="9"/>
      <c r="N10" s="48">
        <v>0</v>
      </c>
      <c r="O10" s="21">
        <f t="shared" si="3"/>
        <v>68400</v>
      </c>
      <c r="P10" s="8" t="s">
        <v>203</v>
      </c>
      <c r="Q10" s="9">
        <v>4000</v>
      </c>
      <c r="R10" s="9"/>
      <c r="S10" s="48">
        <v>0</v>
      </c>
      <c r="T10" s="21">
        <f t="shared" si="4"/>
        <v>26700</v>
      </c>
      <c r="U10" s="53">
        <f>IF($J10="","",ROUND(($J10-$J$3)/1000,1)+(_xlfn.RANK.AVG($J10,($J10,$O10,$T10),1)-2)*10)</f>
        <v>-35.1</v>
      </c>
      <c r="V10" s="54">
        <f>IF($O10="","",ROUND(($O10-$O$3)/1000,1)+(_xlfn.RANK.AVG($O10,($J10,$O10,$T10),1)-2)*10)</f>
        <v>43.4</v>
      </c>
      <c r="W10" s="55">
        <f>IF($T10="","",ROUND(($T10-$T$3)/1000,1)+(_xlfn.RANK.AVG($T10,($J10,$O10,$T10),1)-2)*10)</f>
        <v>-8.3000000000000007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86</v>
      </c>
      <c r="BV10" s="41" t="s">
        <v>86</v>
      </c>
      <c r="BW10" s="41" t="s">
        <v>206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202</v>
      </c>
      <c r="F11" s="8" t="s">
        <v>204</v>
      </c>
      <c r="G11" s="9">
        <v>-2000</v>
      </c>
      <c r="H11" s="9"/>
      <c r="I11" s="48">
        <v>0</v>
      </c>
      <c r="J11" s="21">
        <f t="shared" si="2"/>
        <v>7900</v>
      </c>
      <c r="K11" s="8" t="s">
        <v>204</v>
      </c>
      <c r="L11" s="9">
        <v>-2000</v>
      </c>
      <c r="M11" s="9"/>
      <c r="N11" s="48">
        <v>0</v>
      </c>
      <c r="O11" s="21">
        <f t="shared" si="3"/>
        <v>66400</v>
      </c>
      <c r="P11" s="8" t="s">
        <v>203</v>
      </c>
      <c r="Q11" s="9">
        <v>4000</v>
      </c>
      <c r="R11" s="9"/>
      <c r="S11" s="48">
        <v>0</v>
      </c>
      <c r="T11" s="21">
        <f t="shared" si="4"/>
        <v>30700</v>
      </c>
      <c r="U11" s="53">
        <f>IF($J11="","",ROUND(($J11-$J$3)/1000,1)+(_xlfn.RANK.AVG($J11,($J11,$O11,$T11),1)-2)*10)</f>
        <v>-37.1</v>
      </c>
      <c r="V11" s="54">
        <f>IF($O11="","",ROUND(($O11-$O$3)/1000,1)+(_xlfn.RANK.AVG($O11,($J11,$O11,$T11),1)-2)*10)</f>
        <v>41.4</v>
      </c>
      <c r="W11" s="55">
        <f>IF($T11="","",ROUND(($T11-$T$3)/1000,1)+(_xlfn.RANK.AVG($T11,($J11,$O11,$T11),1)-2)*10)</f>
        <v>-4.3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40</v>
      </c>
      <c r="BU11" s="40" t="s">
        <v>86</v>
      </c>
      <c r="BV11" s="41" t="s">
        <v>206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202</v>
      </c>
      <c r="F12" s="8" t="s">
        <v>204</v>
      </c>
      <c r="G12" s="9">
        <v>-6000</v>
      </c>
      <c r="H12" s="9">
        <v>-1000</v>
      </c>
      <c r="I12" s="48">
        <v>-500</v>
      </c>
      <c r="J12" s="21">
        <f t="shared" si="2"/>
        <v>400</v>
      </c>
      <c r="K12" s="8" t="s">
        <v>204</v>
      </c>
      <c r="L12" s="9">
        <v>-6000</v>
      </c>
      <c r="M12" s="9"/>
      <c r="N12" s="48">
        <v>-500</v>
      </c>
      <c r="O12" s="21">
        <f t="shared" si="3"/>
        <v>59900</v>
      </c>
      <c r="P12" s="8" t="s">
        <v>203</v>
      </c>
      <c r="Q12" s="9">
        <v>12000</v>
      </c>
      <c r="R12" s="9">
        <v>1000</v>
      </c>
      <c r="S12" s="48">
        <v>1000</v>
      </c>
      <c r="T12" s="21">
        <f t="shared" si="4"/>
        <v>44700</v>
      </c>
      <c r="U12" s="53">
        <f>IF($J12="","",ROUND(($J12-$J$3)/1000,1)+(_xlfn.RANK.AVG($J12,($J12,$O12,$T12),1)-2)*10)</f>
        <v>-44.6</v>
      </c>
      <c r="V12" s="54">
        <f>IF($O12="","",ROUND(($O12-$O$3)/1000,1)+(_xlfn.RANK.AVG($O12,($J12,$O12,$T12),1)-2)*10)</f>
        <v>34.9</v>
      </c>
      <c r="W12" s="55">
        <f>IF($T12="","",ROUND(($T12-$T$3)/1000,1)+(_xlfn.RANK.AVG($T12,($J12,$O12,$T12),1)-2)*10)</f>
        <v>9.6999999999999993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5</v>
      </c>
      <c r="BT12" s="30" t="s">
        <v>205</v>
      </c>
      <c r="BU12" s="40" t="s">
        <v>101</v>
      </c>
      <c r="BV12" s="41" t="s">
        <v>79</v>
      </c>
      <c r="BW12" s="41" t="s">
        <v>79</v>
      </c>
      <c r="BX12" s="41" t="s">
        <v>82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202</v>
      </c>
      <c r="F13" s="8" t="s">
        <v>204</v>
      </c>
      <c r="G13" s="9">
        <v>-6000</v>
      </c>
      <c r="H13" s="9"/>
      <c r="I13" s="48">
        <v>-1000</v>
      </c>
      <c r="J13" s="21">
        <f t="shared" si="2"/>
        <v>-6600</v>
      </c>
      <c r="K13" s="8" t="s">
        <v>204</v>
      </c>
      <c r="L13" s="9">
        <v>-6000</v>
      </c>
      <c r="M13" s="9"/>
      <c r="N13" s="48">
        <v>-1000</v>
      </c>
      <c r="O13" s="21">
        <f t="shared" si="3"/>
        <v>52900</v>
      </c>
      <c r="P13" s="8" t="s">
        <v>203</v>
      </c>
      <c r="Q13" s="9">
        <v>12000</v>
      </c>
      <c r="R13" s="9"/>
      <c r="S13" s="48">
        <v>2000</v>
      </c>
      <c r="T13" s="21">
        <f t="shared" si="4"/>
        <v>58700</v>
      </c>
      <c r="U13" s="53">
        <f>IF($J13="","",ROUND(($J13-$J$3)/1000,1)+(_xlfn.RANK.AVG($J13,($J13,$O13,$T13),1)-2)*10)</f>
        <v>-51.6</v>
      </c>
      <c r="V13" s="54">
        <f>IF($O13="","",ROUND(($O13-$O$3)/1000,1)+(_xlfn.RANK.AVG($O13,($J13,$O13,$T13),1)-2)*10)</f>
        <v>17.899999999999999</v>
      </c>
      <c r="W13" s="55">
        <f>IF($T13="","",ROUND(($T13-$T$3)/1000,1)+(_xlfn.RANK.AVG($T13,($J13,$O13,$T13),1)-2)*10)</f>
        <v>33.700000000000003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4</v>
      </c>
      <c r="BT13" s="30">
        <v>40</v>
      </c>
      <c r="BU13" s="40" t="s">
        <v>82</v>
      </c>
      <c r="BV13" s="41" t="s">
        <v>103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3EA5E196-9F12-48F8-8DDF-BB51B3218429}">
      <formula1>"たかの,だいち,ただ,りくと,れんたろう,まっつん,のり,ぱぱ,"</formula1>
    </dataValidation>
    <dataValidation type="list" showInputMessage="1" showErrorMessage="1" sqref="K4:K30 P4:P30 F4:F30" xr:uid="{AB85D856-F3D3-4A68-BBEB-FDE6FE11E51D}">
      <formula1>"ロン,ツモ,放銃,ツモ支払,流局,チョンボ"</formula1>
    </dataValidation>
    <dataValidation type="list" allowBlank="1" showInputMessage="1" showErrorMessage="1" sqref="E4:E30" xr:uid="{EAC0FE21-DF6E-4E0B-B1EF-8197A15A061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59060-B2FC-457E-8D33-78A40533E6FB}">
  <sheetPr codeName="Sheet14">
    <pageSetUpPr fitToPage="1"/>
  </sheetPr>
  <dimension ref="A1:CI30"/>
  <sheetViews>
    <sheetView zoomScale="112" zoomScaleNormal="112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 t="s">
        <v>199</v>
      </c>
      <c r="G4" s="9">
        <v>6400</v>
      </c>
      <c r="H4" s="9">
        <v>1000</v>
      </c>
      <c r="I4" s="48">
        <v>0</v>
      </c>
      <c r="J4" s="21">
        <f>IF(COUNTA($F4,$K4,$P4)&gt;0,J3+SUM(G4:I4),"")</f>
        <v>42400</v>
      </c>
      <c r="K4" s="8" t="s">
        <v>200</v>
      </c>
      <c r="L4" s="9">
        <v>-6400</v>
      </c>
      <c r="M4" s="9"/>
      <c r="N4" s="48">
        <v>0</v>
      </c>
      <c r="O4" s="21">
        <f>IF(COUNTA($F4,$K4,$P4)&gt;0,O3+SUM(L4:N4),"")</f>
        <v>28600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17.399999999999999</v>
      </c>
      <c r="V4" s="54">
        <f>IF($O4="","",ROUND(($O4-$O$3)/1000,1)+(_xlfn.RANK.AVG($O4,($J4,$O4,$T4),1)-2)*10)</f>
        <v>-16.399999999999999</v>
      </c>
      <c r="W4" s="55">
        <f>IF($T4="","",ROUND(($T4-$T$3)/1000,1)+(_xlfn.RANK.AVG($T4,($J4,$O4,$T4),1)-2)*10)</f>
        <v>-1</v>
      </c>
      <c r="Y4" s="8"/>
      <c r="Z4" s="34"/>
      <c r="AA4" s="26"/>
      <c r="AB4" s="26">
        <v>1</v>
      </c>
      <c r="AC4" s="26">
        <v>3</v>
      </c>
      <c r="AD4" s="30">
        <v>50</v>
      </c>
      <c r="AE4" s="40" t="s">
        <v>98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199</v>
      </c>
      <c r="G5" s="9">
        <v>1500</v>
      </c>
      <c r="H5" s="9"/>
      <c r="I5" s="48">
        <v>0</v>
      </c>
      <c r="J5" s="21">
        <f t="shared" ref="J5:J30" si="2">IF(COUNTA($F5,$K5,$P5)&gt;0,J4+SUM(G5:I5),"")</f>
        <v>43900</v>
      </c>
      <c r="K5" s="8"/>
      <c r="L5" s="9"/>
      <c r="M5" s="9"/>
      <c r="N5" s="48"/>
      <c r="O5" s="21">
        <f t="shared" ref="O5:O30" si="3">IF(COUNTA($F5,$K5,$P5)&gt;0,O4+SUM(L5:N5),"")</f>
        <v>28600</v>
      </c>
      <c r="P5" s="8" t="s">
        <v>200</v>
      </c>
      <c r="Q5" s="9">
        <v>-1500</v>
      </c>
      <c r="R5" s="9"/>
      <c r="S5" s="48">
        <v>0</v>
      </c>
      <c r="T5" s="21">
        <f t="shared" ref="T5:T30" si="4">IF(COUNTA($F5,$K5,$P5)&gt;0,T4+SUM(Q5:S5),"")</f>
        <v>32500</v>
      </c>
      <c r="U5" s="53">
        <f>IF($J5="","",ROUND(($J5-$J$3)/1000,1)+(_xlfn.RANK.AVG($J5,($J5,$O5,$T5),1)-2)*10)</f>
        <v>18.899999999999999</v>
      </c>
      <c r="V5" s="54">
        <f>IF($O5="","",ROUND(($O5-$O$3)/1000,1)+(_xlfn.RANK.AVG($O5,($J5,$O5,$T5),1)-2)*10)</f>
        <v>-16.399999999999999</v>
      </c>
      <c r="W5" s="55">
        <f>IF($T5="","",ROUND(($T5-$T$3)/1000,1)+(_xlfn.RANK.AVG($T5,($J5,$O5,$T5),1)-2)*10)</f>
        <v>-2.5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194</v>
      </c>
      <c r="F6" s="8" t="s">
        <v>209</v>
      </c>
      <c r="G6" s="9">
        <v>-12000</v>
      </c>
      <c r="H6" s="9"/>
      <c r="I6" s="48"/>
      <c r="J6" s="21">
        <f t="shared" si="2"/>
        <v>31900</v>
      </c>
      <c r="K6" s="8" t="s">
        <v>209</v>
      </c>
      <c r="L6" s="9">
        <v>6000</v>
      </c>
      <c r="M6" s="9"/>
      <c r="N6" s="48"/>
      <c r="O6" s="21">
        <f t="shared" si="3"/>
        <v>34600</v>
      </c>
      <c r="P6" s="8" t="s">
        <v>209</v>
      </c>
      <c r="Q6" s="9">
        <v>6000</v>
      </c>
      <c r="R6" s="9"/>
      <c r="S6" s="48"/>
      <c r="T6" s="21">
        <f t="shared" si="4"/>
        <v>38500</v>
      </c>
      <c r="U6" s="53">
        <f>IF($J6="","",ROUND(($J6-$J$3)/1000,1)+(_xlfn.RANK.AVG($J6,($J6,$O6,$T6),1)-2)*10)</f>
        <v>-13.1</v>
      </c>
      <c r="V6" s="54">
        <f>IF($O6="","",ROUND(($O6-$O$3)/1000,1)+(_xlfn.RANK.AVG($O6,($J6,$O6,$T6),1)-2)*10)</f>
        <v>-0.4</v>
      </c>
      <c r="W6" s="55">
        <f>IF($T6="","",ROUND(($T6-$T$3)/1000,1)+(_xlfn.RANK.AVG($T6,($J6,$O6,$T6),1)-2)*10)</f>
        <v>13.5</v>
      </c>
      <c r="Y6" s="8"/>
      <c r="Z6" s="34">
        <v>1</v>
      </c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198</v>
      </c>
      <c r="F7" s="8"/>
      <c r="G7" s="9"/>
      <c r="H7" s="9"/>
      <c r="I7" s="48"/>
      <c r="J7" s="21">
        <f t="shared" si="2"/>
        <v>31900</v>
      </c>
      <c r="K7" s="8" t="s">
        <v>200</v>
      </c>
      <c r="L7" s="9">
        <v>-2600</v>
      </c>
      <c r="M7" s="9"/>
      <c r="N7" s="48">
        <v>-1000</v>
      </c>
      <c r="O7" s="21">
        <f t="shared" si="3"/>
        <v>31000</v>
      </c>
      <c r="P7" s="8" t="s">
        <v>199</v>
      </c>
      <c r="Q7" s="9">
        <v>2600</v>
      </c>
      <c r="R7" s="9"/>
      <c r="S7" s="48">
        <v>1000</v>
      </c>
      <c r="T7" s="21">
        <f t="shared" si="4"/>
        <v>42100</v>
      </c>
      <c r="U7" s="53">
        <f>IF($J7="","",ROUND(($J7-$J$3)/1000,1)+(_xlfn.RANK.AVG($J7,($J7,$O7,$T7),1)-2)*10)</f>
        <v>-3.1</v>
      </c>
      <c r="V7" s="54">
        <f>IF($O7="","",ROUND(($O7-$O$3)/1000,1)+(_xlfn.RANK.AVG($O7,($J7,$O7,$T7),1)-2)*10)</f>
        <v>-14</v>
      </c>
      <c r="W7" s="55">
        <f>IF($T7="","",ROUND(($T7-$T$3)/1000,1)+(_xlfn.RANK.AVG($T7,($J7,$O7,$T7),1)-2)*10)</f>
        <v>17.100000000000001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201</v>
      </c>
      <c r="BV7" s="41" t="s">
        <v>208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202</v>
      </c>
      <c r="F8" s="8" t="s">
        <v>200</v>
      </c>
      <c r="G8" s="9">
        <v>-5800</v>
      </c>
      <c r="H8" s="9"/>
      <c r="I8" s="48">
        <v>0</v>
      </c>
      <c r="J8" s="21">
        <f t="shared" si="2"/>
        <v>26100</v>
      </c>
      <c r="K8" s="8"/>
      <c r="L8" s="9"/>
      <c r="M8" s="9"/>
      <c r="N8" s="48"/>
      <c r="O8" s="21">
        <f t="shared" si="3"/>
        <v>31000</v>
      </c>
      <c r="P8" s="8" t="s">
        <v>199</v>
      </c>
      <c r="Q8" s="9">
        <v>5800</v>
      </c>
      <c r="R8" s="9"/>
      <c r="S8" s="48">
        <v>0</v>
      </c>
      <c r="T8" s="21">
        <f t="shared" si="4"/>
        <v>47900</v>
      </c>
      <c r="U8" s="53">
        <f>IF($J8="","",ROUND(($J8-$J$3)/1000,1)+(_xlfn.RANK.AVG($J8,($J8,$O8,$T8),1)-2)*10)</f>
        <v>-18.899999999999999</v>
      </c>
      <c r="V8" s="54">
        <f>IF($O8="","",ROUND(($O8-$O$3)/1000,1)+(_xlfn.RANK.AVG($O8,($J8,$O8,$T8),1)-2)*10)</f>
        <v>-4</v>
      </c>
      <c r="W8" s="55">
        <f>IF($T8="","",ROUND(($T8-$T$3)/1000,1)+(_xlfn.RANK.AVG($T8,($J8,$O8,$T8),1)-2)*10)</f>
        <v>22.9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206</v>
      </c>
      <c r="BW8" s="41" t="s">
        <v>206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202</v>
      </c>
      <c r="F9" s="8" t="s">
        <v>203</v>
      </c>
      <c r="G9" s="9">
        <v>8000</v>
      </c>
      <c r="H9" s="9">
        <v>1000</v>
      </c>
      <c r="I9" s="48">
        <v>1000</v>
      </c>
      <c r="J9" s="21">
        <f t="shared" si="2"/>
        <v>36100</v>
      </c>
      <c r="K9" s="8" t="s">
        <v>204</v>
      </c>
      <c r="L9" s="9">
        <v>-3000</v>
      </c>
      <c r="M9" s="9"/>
      <c r="N9" s="48">
        <v>-500</v>
      </c>
      <c r="O9" s="21">
        <f t="shared" si="3"/>
        <v>27500</v>
      </c>
      <c r="P9" s="8" t="s">
        <v>204</v>
      </c>
      <c r="Q9" s="9">
        <v>-5000</v>
      </c>
      <c r="R9" s="9">
        <v>-1000</v>
      </c>
      <c r="S9" s="48">
        <v>-500</v>
      </c>
      <c r="T9" s="21">
        <f t="shared" si="4"/>
        <v>41400</v>
      </c>
      <c r="U9" s="53">
        <f>IF($J9="","",ROUND(($J9-$J$3)/1000,1)+(_xlfn.RANK.AVG($J9,($J9,$O9,$T9),1)-2)*10)</f>
        <v>1.1000000000000001</v>
      </c>
      <c r="V9" s="54">
        <f>IF($O9="","",ROUND(($O9-$O$3)/1000,1)+(_xlfn.RANK.AVG($O9,($J9,$O9,$T9),1)-2)*10)</f>
        <v>-17.5</v>
      </c>
      <c r="W9" s="55">
        <f>IF($T9="","",ROUND(($T9-$T$3)/1000,1)+(_xlfn.RANK.AVG($T9,($J9,$O9,$T9),1)-2)*10)</f>
        <v>16.399999999999999</v>
      </c>
      <c r="Y9" s="8"/>
      <c r="Z9" s="34"/>
      <c r="AA9" s="26">
        <v>1</v>
      </c>
      <c r="AB9" s="26"/>
      <c r="AC9" s="26">
        <v>5</v>
      </c>
      <c r="AD9" s="30" t="s">
        <v>205</v>
      </c>
      <c r="AE9" s="40" t="s">
        <v>201</v>
      </c>
      <c r="AF9" s="41" t="s">
        <v>82</v>
      </c>
      <c r="AG9" s="41" t="s">
        <v>79</v>
      </c>
      <c r="AH9" s="41" t="s">
        <v>79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195</v>
      </c>
      <c r="G10" s="9">
        <v>1500</v>
      </c>
      <c r="H10" s="9"/>
      <c r="I10" s="48"/>
      <c r="J10" s="21">
        <f t="shared" si="2"/>
        <v>37600</v>
      </c>
      <c r="K10" s="8" t="s">
        <v>195</v>
      </c>
      <c r="L10" s="9">
        <v>1500</v>
      </c>
      <c r="M10" s="9"/>
      <c r="N10" s="48"/>
      <c r="O10" s="21">
        <f t="shared" si="3"/>
        <v>29000</v>
      </c>
      <c r="P10" s="8" t="s">
        <v>195</v>
      </c>
      <c r="Q10" s="9">
        <v>-3000</v>
      </c>
      <c r="R10" s="9"/>
      <c r="S10" s="48"/>
      <c r="T10" s="21">
        <f t="shared" si="4"/>
        <v>38400</v>
      </c>
      <c r="U10" s="53">
        <f>IF($J10="","",ROUND(($J10-$J$3)/1000,1)+(_xlfn.RANK.AVG($J10,($J10,$O10,$T10),1)-2)*10)</f>
        <v>2.6</v>
      </c>
      <c r="V10" s="54">
        <f>IF($O10="","",ROUND(($O10-$O$3)/1000,1)+(_xlfn.RANK.AVG($O10,($J10,$O10,$T10),1)-2)*10)</f>
        <v>-16</v>
      </c>
      <c r="W10" s="55">
        <f>IF($T10="","",ROUND(($T10-$T$3)/1000,1)+(_xlfn.RANK.AVG($T10,($J10,$O10,$T10),1)-2)*10)</f>
        <v>13.4</v>
      </c>
      <c r="Y10" s="8" t="s">
        <v>197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196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194</v>
      </c>
      <c r="F11" s="8" t="s">
        <v>204</v>
      </c>
      <c r="G11" s="9">
        <v>-7500</v>
      </c>
      <c r="H11" s="9"/>
      <c r="I11" s="48">
        <v>-500</v>
      </c>
      <c r="J11" s="21">
        <f t="shared" si="2"/>
        <v>29600</v>
      </c>
      <c r="K11" s="8" t="s">
        <v>204</v>
      </c>
      <c r="L11" s="9">
        <v>-4500</v>
      </c>
      <c r="M11" s="9"/>
      <c r="N11" s="48">
        <v>-500</v>
      </c>
      <c r="O11" s="21">
        <f t="shared" si="3"/>
        <v>24000</v>
      </c>
      <c r="P11" s="8" t="s">
        <v>203</v>
      </c>
      <c r="Q11" s="9">
        <v>12000</v>
      </c>
      <c r="R11" s="9"/>
      <c r="S11" s="48">
        <v>1000</v>
      </c>
      <c r="T11" s="21">
        <f t="shared" si="4"/>
        <v>51400</v>
      </c>
      <c r="U11" s="53">
        <f>IF($J11="","",ROUND(($J11-$J$3)/1000,1)+(_xlfn.RANK.AVG($J11,($J11,$O11,$T11),1)-2)*10)</f>
        <v>-5.4</v>
      </c>
      <c r="V11" s="54">
        <f>IF($O11="","",ROUND(($O11-$O$3)/1000,1)+(_xlfn.RANK.AVG($O11,($J11,$O11,$T11),1)-2)*10)</f>
        <v>-21</v>
      </c>
      <c r="W11" s="55">
        <f>IF($T11="","",ROUND(($T11-$T$3)/1000,1)+(_xlfn.RANK.AVG($T11,($J11,$O11,$T11),1)-2)*10)</f>
        <v>26.4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7</v>
      </c>
      <c r="BT11" s="30" t="s">
        <v>205</v>
      </c>
      <c r="BU11" s="40" t="s">
        <v>201</v>
      </c>
      <c r="BV11" s="41" t="s">
        <v>104</v>
      </c>
      <c r="BW11" s="41" t="s">
        <v>84</v>
      </c>
      <c r="BX11" s="41" t="s">
        <v>86</v>
      </c>
      <c r="BY11" s="41" t="s">
        <v>206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198</v>
      </c>
      <c r="F12" s="8" t="s">
        <v>195</v>
      </c>
      <c r="G12" s="9">
        <v>1500</v>
      </c>
      <c r="H12" s="9"/>
      <c r="I12" s="48"/>
      <c r="J12" s="21">
        <f t="shared" si="2"/>
        <v>31100</v>
      </c>
      <c r="K12" s="8" t="s">
        <v>195</v>
      </c>
      <c r="L12" s="9">
        <v>1500</v>
      </c>
      <c r="M12" s="9"/>
      <c r="N12" s="48"/>
      <c r="O12" s="21">
        <f t="shared" si="3"/>
        <v>25500</v>
      </c>
      <c r="P12" s="8" t="s">
        <v>195</v>
      </c>
      <c r="Q12" s="9">
        <v>-3000</v>
      </c>
      <c r="R12" s="9"/>
      <c r="S12" s="48"/>
      <c r="T12" s="21">
        <f t="shared" si="4"/>
        <v>48400</v>
      </c>
      <c r="U12" s="53">
        <f>IF($J12="","",ROUND(($J12-$J$3)/1000,1)+(_xlfn.RANK.AVG($J12,($J12,$O12,$T12),1)-2)*10)</f>
        <v>-3.9</v>
      </c>
      <c r="V12" s="54">
        <f>IF($O12="","",ROUND(($O12-$O$3)/1000,1)+(_xlfn.RANK.AVG($O12,($J12,$O12,$T12),1)-2)*10)</f>
        <v>-19.5</v>
      </c>
      <c r="W12" s="55">
        <f>IF($T12="","",ROUND(($T12-$T$3)/1000,1)+(_xlfn.RANK.AVG($T12,($J12,$O12,$T12),1)-2)*10)</f>
        <v>23.4</v>
      </c>
      <c r="Y12" s="8" t="s">
        <v>197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196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198</v>
      </c>
      <c r="F13" s="8" t="s">
        <v>204</v>
      </c>
      <c r="G13" s="9">
        <v>-1500</v>
      </c>
      <c r="H13" s="9"/>
      <c r="I13" s="48">
        <v>-500</v>
      </c>
      <c r="J13" s="21">
        <f t="shared" si="2"/>
        <v>29100</v>
      </c>
      <c r="K13" s="8" t="s">
        <v>204</v>
      </c>
      <c r="L13" s="9">
        <v>-2500</v>
      </c>
      <c r="M13" s="9">
        <v>-1000</v>
      </c>
      <c r="N13" s="48">
        <v>-500</v>
      </c>
      <c r="O13" s="21">
        <f t="shared" si="3"/>
        <v>21500</v>
      </c>
      <c r="P13" s="8" t="s">
        <v>203</v>
      </c>
      <c r="Q13" s="9">
        <v>4000</v>
      </c>
      <c r="R13" s="9">
        <v>1000</v>
      </c>
      <c r="S13" s="48">
        <v>1000</v>
      </c>
      <c r="T13" s="21">
        <f t="shared" si="4"/>
        <v>54400</v>
      </c>
      <c r="U13" s="53">
        <f>IF($J13="","",ROUND(($J13-$J$3)/1000,1)+(_xlfn.RANK.AVG($J13,($J13,$O13,$T13),1)-2)*10)</f>
        <v>-5.9</v>
      </c>
      <c r="V13" s="54">
        <f>IF($O13="","",ROUND(($O13-$O$3)/1000,1)+(_xlfn.RANK.AVG($O13,($J13,$O13,$T13),1)-2)*10)</f>
        <v>-23.5</v>
      </c>
      <c r="W13" s="55">
        <f>IF($T13="","",ROUND(($T13-$T$3)/1000,1)+(_xlfn.RANK.AVG($T13,($J13,$O13,$T13),1)-2)*10)</f>
        <v>29.4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3</v>
      </c>
      <c r="BT13" s="30">
        <v>30</v>
      </c>
      <c r="BU13" s="40" t="s">
        <v>201</v>
      </c>
      <c r="BV13" s="41" t="s">
        <v>82</v>
      </c>
      <c r="BW13" s="41" t="s">
        <v>80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42D71C08-A6A8-459F-8FCC-978BCD9E1986}">
      <formula1>$U$2:$W$2</formula1>
    </dataValidation>
    <dataValidation type="list" showInputMessage="1" showErrorMessage="1" sqref="K4:K30 P4:P30 F4:F30" xr:uid="{95945F7B-2045-4626-B9B5-608ED6EC6E50}">
      <formula1>"ロン,ツモ,放銃,ツモ支払,流局,チョンボ"</formula1>
    </dataValidation>
    <dataValidation type="list" allowBlank="1" showInputMessage="1" sqref="F1:T1" xr:uid="{DA223C9D-EA84-4D80-B3D2-BCBE7E4543DC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82AA5-0780-4117-B824-017BD3FFF723}">
  <sheetPr codeName="Sheet15">
    <pageSetUpPr fitToPage="1"/>
  </sheetPr>
  <dimension ref="A1:CI30"/>
  <sheetViews>
    <sheetView topLeftCell="C1" zoomScale="112" zoomScaleNormal="112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199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200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5</v>
      </c>
      <c r="AD4" s="30" t="s">
        <v>205</v>
      </c>
      <c r="AE4" s="40" t="s">
        <v>86</v>
      </c>
      <c r="AF4" s="41" t="s">
        <v>79</v>
      </c>
      <c r="AG4" s="41" t="s">
        <v>79</v>
      </c>
      <c r="AH4" s="41" t="s">
        <v>79</v>
      </c>
      <c r="AI4" s="41" t="s">
        <v>86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204</v>
      </c>
      <c r="G5" s="9">
        <v>-4800</v>
      </c>
      <c r="H5" s="9"/>
      <c r="I5" s="48">
        <v>-500</v>
      </c>
      <c r="J5" s="21">
        <f t="shared" ref="J5:J30" si="2">IF(COUNTA($F5,$K5,$P5)&gt;0,J4+SUM(G5:I5),"")</f>
        <v>41700</v>
      </c>
      <c r="K5" s="8" t="s">
        <v>203</v>
      </c>
      <c r="L5" s="9">
        <v>7700</v>
      </c>
      <c r="M5" s="9">
        <v>1000</v>
      </c>
      <c r="N5" s="48">
        <v>1000</v>
      </c>
      <c r="O5" s="21">
        <f t="shared" ref="O5:O30" si="3">IF(COUNTA($F5,$K5,$P5)&gt;0,O4+SUM(L5:N5),"")</f>
        <v>32700</v>
      </c>
      <c r="P5" s="8" t="s">
        <v>204</v>
      </c>
      <c r="Q5" s="9">
        <v>-2900</v>
      </c>
      <c r="R5" s="9">
        <v>-1000</v>
      </c>
      <c r="S5" s="48">
        <v>-500</v>
      </c>
      <c r="T5" s="21">
        <f t="shared" ref="T5:T30" si="4">IF(COUNTA($F5,$K5,$P5)&gt;0,T4+SUM(Q5:S5),"")</f>
        <v>30600</v>
      </c>
      <c r="U5" s="53">
        <f>IF($J5="","",ROUND(($J5-$J$3)/1000,1)+(_xlfn.RANK.AVG($J5,($J5,$O5,$T5),1)-2)*10)</f>
        <v>16.7</v>
      </c>
      <c r="V5" s="54">
        <f>IF($O5="","",ROUND(($O5-$O$3)/1000,1)+(_xlfn.RANK.AVG($O5,($J5,$O5,$T5),1)-2)*10)</f>
        <v>-2.2999999999999998</v>
      </c>
      <c r="W5" s="55">
        <f>IF($T5="","",ROUND(($T5-$T$3)/1000,1)+(_xlfn.RANK.AVG($T5,($J5,$O5,$T5),1)-2)*10)</f>
        <v>-14.4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30</v>
      </c>
      <c r="AZ5" s="40" t="s">
        <v>98</v>
      </c>
      <c r="BA5" s="41" t="s">
        <v>86</v>
      </c>
      <c r="BB5" s="41" t="s">
        <v>86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198</v>
      </c>
      <c r="F6" s="8"/>
      <c r="G6" s="9"/>
      <c r="H6" s="9"/>
      <c r="I6" s="48"/>
      <c r="J6" s="21">
        <f t="shared" si="2"/>
        <v>41700</v>
      </c>
      <c r="K6" s="8" t="s">
        <v>200</v>
      </c>
      <c r="L6" s="9">
        <v>-7700</v>
      </c>
      <c r="M6" s="9"/>
      <c r="N6" s="48">
        <v>0</v>
      </c>
      <c r="O6" s="21">
        <f t="shared" si="3"/>
        <v>25000</v>
      </c>
      <c r="P6" s="8" t="s">
        <v>199</v>
      </c>
      <c r="Q6" s="9">
        <v>7700</v>
      </c>
      <c r="R6" s="9"/>
      <c r="S6" s="48">
        <v>0</v>
      </c>
      <c r="T6" s="21">
        <f t="shared" si="4"/>
        <v>38300</v>
      </c>
      <c r="U6" s="53">
        <f>IF($J6="","",ROUND(($J6-$J$3)/1000,1)+(_xlfn.RANK.AVG($J6,($J6,$O6,$T6),1)-2)*10)</f>
        <v>16.7</v>
      </c>
      <c r="V6" s="54">
        <f>IF($O6="","",ROUND(($O6-$O$3)/1000,1)+(_xlfn.RANK.AVG($O6,($J6,$O6,$T6),1)-2)*10)</f>
        <v>-20</v>
      </c>
      <c r="W6" s="55">
        <f>IF($T6="","",ROUND(($T6-$T$3)/1000,1)+(_xlfn.RANK.AVG($T6,($J6,$O6,$T6),1)-2)*10)</f>
        <v>3.3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201</v>
      </c>
      <c r="BV6" s="41" t="s">
        <v>208</v>
      </c>
      <c r="BW6" s="41" t="s">
        <v>83</v>
      </c>
      <c r="BX6" s="41" t="s">
        <v>206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200</v>
      </c>
      <c r="G7" s="9">
        <v>-11600</v>
      </c>
      <c r="H7" s="9"/>
      <c r="I7" s="48">
        <v>0</v>
      </c>
      <c r="J7" s="21">
        <f t="shared" si="2"/>
        <v>30100</v>
      </c>
      <c r="K7" s="8"/>
      <c r="L7" s="9"/>
      <c r="M7" s="9">
        <v>-1000</v>
      </c>
      <c r="N7" s="48"/>
      <c r="O7" s="21">
        <f t="shared" si="3"/>
        <v>24000</v>
      </c>
      <c r="P7" s="8" t="s">
        <v>199</v>
      </c>
      <c r="Q7" s="9">
        <v>11600</v>
      </c>
      <c r="R7" s="9">
        <v>1000</v>
      </c>
      <c r="S7" s="48">
        <v>0</v>
      </c>
      <c r="T7" s="21">
        <f t="shared" si="4"/>
        <v>50900</v>
      </c>
      <c r="U7" s="53">
        <f>IF($J7="","",ROUND(($J7-$J$3)/1000,1)+(_xlfn.RANK.AVG($J7,($J7,$O7,$T7),1)-2)*10)</f>
        <v>-4.9000000000000004</v>
      </c>
      <c r="V7" s="54">
        <f>IF($O7="","",ROUND(($O7-$O$3)/1000,1)+(_xlfn.RANK.AVG($O7,($J7,$O7,$T7),1)-2)*10)</f>
        <v>-21</v>
      </c>
      <c r="W7" s="55">
        <f>IF($T7="","",ROUND(($T7-$T$3)/1000,1)+(_xlfn.RANK.AVG($T7,($J7,$O7,$T7),1)-2)*10)</f>
        <v>25.9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86</v>
      </c>
      <c r="BV7" s="41" t="s">
        <v>79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202</v>
      </c>
      <c r="F8" s="8" t="s">
        <v>204</v>
      </c>
      <c r="G8" s="9">
        <v>-800</v>
      </c>
      <c r="H8" s="9"/>
      <c r="I8" s="48">
        <v>-500</v>
      </c>
      <c r="J8" s="21">
        <f t="shared" si="2"/>
        <v>28800</v>
      </c>
      <c r="K8" s="8" t="s">
        <v>203</v>
      </c>
      <c r="L8" s="9">
        <v>2100</v>
      </c>
      <c r="M8" s="9"/>
      <c r="N8" s="48">
        <v>1000</v>
      </c>
      <c r="O8" s="21">
        <f t="shared" si="3"/>
        <v>27100</v>
      </c>
      <c r="P8" s="8" t="s">
        <v>204</v>
      </c>
      <c r="Q8" s="9">
        <v>-1300</v>
      </c>
      <c r="R8" s="9"/>
      <c r="S8" s="48">
        <v>-500</v>
      </c>
      <c r="T8" s="21">
        <f t="shared" si="4"/>
        <v>49100</v>
      </c>
      <c r="U8" s="53">
        <f>IF($J8="","",ROUND(($J8-$J$3)/1000,1)+(_xlfn.RANK.AVG($J8,($J8,$O8,$T8),1)-2)*10)</f>
        <v>-6.2</v>
      </c>
      <c r="V8" s="54">
        <f>IF($O8="","",ROUND(($O8-$O$3)/1000,1)+(_xlfn.RANK.AVG($O8,($J8,$O8,$T8),1)-2)*10)</f>
        <v>-17.899999999999999</v>
      </c>
      <c r="W8" s="55">
        <f>IF($T8="","",ROUND(($T8-$T$3)/1000,1)+(_xlfn.RANK.AVG($T8,($J8,$O8,$T8),1)-2)*10)</f>
        <v>24.1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30</v>
      </c>
      <c r="AZ8" s="40" t="s">
        <v>82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194</v>
      </c>
      <c r="F9" s="8" t="s">
        <v>204</v>
      </c>
      <c r="G9" s="9">
        <v>-1300</v>
      </c>
      <c r="H9" s="9"/>
      <c r="I9" s="48">
        <v>0</v>
      </c>
      <c r="J9" s="21">
        <f t="shared" si="2"/>
        <v>27500</v>
      </c>
      <c r="K9" s="8" t="s">
        <v>204</v>
      </c>
      <c r="L9" s="9">
        <v>-800</v>
      </c>
      <c r="M9" s="9"/>
      <c r="N9" s="48">
        <v>0</v>
      </c>
      <c r="O9" s="21">
        <f t="shared" si="3"/>
        <v>26300</v>
      </c>
      <c r="P9" s="8" t="s">
        <v>203</v>
      </c>
      <c r="Q9" s="9">
        <v>2100</v>
      </c>
      <c r="R9" s="9"/>
      <c r="S9" s="48">
        <v>0</v>
      </c>
      <c r="T9" s="21">
        <f t="shared" si="4"/>
        <v>51200</v>
      </c>
      <c r="U9" s="53">
        <f>IF($J9="","",ROUND(($J9-$J$3)/1000,1)+(_xlfn.RANK.AVG($J9,($J9,$O9,$T9),1)-2)*10)</f>
        <v>-7.5</v>
      </c>
      <c r="V9" s="54">
        <f>IF($O9="","",ROUND(($O9-$O$3)/1000,1)+(_xlfn.RANK.AVG($O9,($J9,$O9,$T9),1)-2)*10)</f>
        <v>-18.7</v>
      </c>
      <c r="W9" s="55">
        <f>IF($T9="","",ROUND(($T9-$T$3)/1000,1)+(_xlfn.RANK.AVG($T9,($J9,$O9,$T9),1)-2)*10)</f>
        <v>26.2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198</v>
      </c>
      <c r="F10" s="8" t="s">
        <v>200</v>
      </c>
      <c r="G10" s="9">
        <v>-12000</v>
      </c>
      <c r="H10" s="9"/>
      <c r="I10" s="48">
        <v>0</v>
      </c>
      <c r="J10" s="21">
        <f t="shared" si="2"/>
        <v>15500</v>
      </c>
      <c r="K10" s="8" t="s">
        <v>199</v>
      </c>
      <c r="L10" s="9">
        <v>12000</v>
      </c>
      <c r="M10" s="9"/>
      <c r="N10" s="48">
        <v>0</v>
      </c>
      <c r="O10" s="21">
        <f t="shared" si="3"/>
        <v>38300</v>
      </c>
      <c r="P10" s="8"/>
      <c r="Q10" s="9"/>
      <c r="R10" s="9"/>
      <c r="S10" s="48"/>
      <c r="T10" s="21">
        <f t="shared" si="4"/>
        <v>51200</v>
      </c>
      <c r="U10" s="53">
        <f>IF($J10="","",ROUND(($J10-$J$3)/1000,1)+(_xlfn.RANK.AVG($J10,($J10,$O10,$T10),1)-2)*10)</f>
        <v>-29.5</v>
      </c>
      <c r="V10" s="54">
        <f>IF($O10="","",ROUND(($O10-$O$3)/1000,1)+(_xlfn.RANK.AVG($O10,($J10,$O10,$T10),1)-2)*10)</f>
        <v>3.3</v>
      </c>
      <c r="W10" s="55">
        <f>IF($T10="","",ROUND(($T10-$T$3)/1000,1)+(_xlfn.RANK.AVG($T10,($J10,$O10,$T10),1)-2)*10)</f>
        <v>26.2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205</v>
      </c>
      <c r="AZ10" s="40" t="s">
        <v>201</v>
      </c>
      <c r="BA10" s="41" t="s">
        <v>208</v>
      </c>
      <c r="BB10" s="41" t="s">
        <v>206</v>
      </c>
      <c r="BC10" s="41" t="s">
        <v>79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198</v>
      </c>
      <c r="F11" s="8" t="s">
        <v>204</v>
      </c>
      <c r="G11" s="9">
        <v>-3000</v>
      </c>
      <c r="H11" s="9"/>
      <c r="I11" s="48">
        <v>-500</v>
      </c>
      <c r="J11" s="21">
        <f t="shared" si="2"/>
        <v>12000</v>
      </c>
      <c r="K11" s="8" t="s">
        <v>204</v>
      </c>
      <c r="L11" s="9">
        <v>-5000</v>
      </c>
      <c r="M11" s="9"/>
      <c r="N11" s="48">
        <v>-500</v>
      </c>
      <c r="O11" s="21">
        <f t="shared" si="3"/>
        <v>32800</v>
      </c>
      <c r="P11" s="8" t="s">
        <v>203</v>
      </c>
      <c r="Q11" s="9">
        <v>8000</v>
      </c>
      <c r="R11" s="9"/>
      <c r="S11" s="48">
        <v>1000</v>
      </c>
      <c r="T11" s="21">
        <f t="shared" si="4"/>
        <v>60200</v>
      </c>
      <c r="U11" s="53">
        <f>IF($J11="","",ROUND(($J11-$J$3)/1000,1)+(_xlfn.RANK.AVG($J11,($J11,$O11,$T11),1)-2)*10)</f>
        <v>-33</v>
      </c>
      <c r="V11" s="54">
        <f>IF($O11="","",ROUND(($O11-$O$3)/1000,1)+(_xlfn.RANK.AVG($O11,($J11,$O11,$T11),1)-2)*10)</f>
        <v>-2.2000000000000002</v>
      </c>
      <c r="W11" s="55">
        <f>IF($T11="","",ROUND(($T11-$T$3)/1000,1)+(_xlfn.RANK.AVG($T11,($J11,$O11,$T11),1)-2)*10)</f>
        <v>35.200000000000003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4</v>
      </c>
      <c r="BT11" s="30">
        <v>40</v>
      </c>
      <c r="BU11" s="40" t="s">
        <v>86</v>
      </c>
      <c r="BV11" s="41" t="s">
        <v>86</v>
      </c>
      <c r="BW11" s="41" t="s">
        <v>79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202</v>
      </c>
      <c r="F12" s="8" t="s">
        <v>204</v>
      </c>
      <c r="G12" s="9">
        <v>-9000</v>
      </c>
      <c r="H12" s="9">
        <v>-1000</v>
      </c>
      <c r="I12" s="48">
        <v>0</v>
      </c>
      <c r="J12" s="21">
        <f t="shared" si="2"/>
        <v>2000</v>
      </c>
      <c r="K12" s="8" t="s">
        <v>204</v>
      </c>
      <c r="L12" s="9">
        <v>-9000</v>
      </c>
      <c r="M12" s="9"/>
      <c r="N12" s="48">
        <v>0</v>
      </c>
      <c r="O12" s="21">
        <f t="shared" si="3"/>
        <v>23800</v>
      </c>
      <c r="P12" s="8" t="s">
        <v>203</v>
      </c>
      <c r="Q12" s="9">
        <v>18000</v>
      </c>
      <c r="R12" s="9">
        <v>1000</v>
      </c>
      <c r="S12" s="48">
        <v>0</v>
      </c>
      <c r="T12" s="21">
        <f t="shared" si="4"/>
        <v>79200</v>
      </c>
      <c r="U12" s="53">
        <f>IF($J12="","",ROUND(($J12-$J$3)/1000,1)+(_xlfn.RANK.AVG($J12,($J12,$O12,$T12),1)-2)*10)</f>
        <v>-43</v>
      </c>
      <c r="V12" s="54">
        <f>IF($O12="","",ROUND(($O12-$O$3)/1000,1)+(_xlfn.RANK.AVG($O12,($J12,$O12,$T12),1)-2)*10)</f>
        <v>-11.2</v>
      </c>
      <c r="W12" s="55">
        <f>IF($T12="","",ROUND(($T12-$T$3)/1000,1)+(_xlfn.RANK.AVG($T12,($J12,$O12,$T12),1)-2)*10)</f>
        <v>54.2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7</v>
      </c>
      <c r="BT12" s="30" t="s">
        <v>205</v>
      </c>
      <c r="BU12" s="40" t="s">
        <v>106</v>
      </c>
      <c r="BV12" s="41" t="s">
        <v>206</v>
      </c>
      <c r="BW12" s="41" t="s">
        <v>79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7C81E097-E213-4764-9DD5-D5CA4F81FC67}">
      <formula1>"たかの,だいち,ただ,りくと,れんたろう,まっつん,のり,ぱぱ,"</formula1>
    </dataValidation>
    <dataValidation type="list" showInputMessage="1" showErrorMessage="1" sqref="K4:K30 P4:P30 F4:F30" xr:uid="{7E427E9C-5113-4B52-BC25-C7331DD319D4}">
      <formula1>"ロン,ツモ,放銃,ツモ支払,流局,チョンボ"</formula1>
    </dataValidation>
    <dataValidation type="list" allowBlank="1" showInputMessage="1" showErrorMessage="1" sqref="E4:E30" xr:uid="{C973181B-1CA6-4E21-9A06-FD821E3946F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F974-A1C0-4F2C-8136-B00561746A7B}">
  <sheetPr codeName="Sheet16">
    <pageSetUpPr fitToPage="1"/>
  </sheetPr>
  <dimension ref="A1:CI30"/>
  <sheetViews>
    <sheetView zoomScale="112" zoomScaleNormal="112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198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 t="s">
        <v>199</v>
      </c>
      <c r="Q4" s="9">
        <v>5200</v>
      </c>
      <c r="R4" s="9"/>
      <c r="S4" s="48">
        <v>0</v>
      </c>
      <c r="T4" s="21">
        <f>IF(COUNTA($F4,$K4,$P4)&gt;0,T3+SUM(Q4:S4),"")</f>
        <v>40200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-15.2</v>
      </c>
      <c r="W4" s="55">
        <f>IF($T4="","",ROUND(($T4-$T$3)/1000,1)+(_xlfn.RANK.AVG($T4,($J4,$O4,$T4),1)-2)*10)</f>
        <v>15.2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40</v>
      </c>
      <c r="BU4" s="40" t="s">
        <v>104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199</v>
      </c>
      <c r="G5" s="9">
        <v>3900</v>
      </c>
      <c r="H5" s="9"/>
      <c r="I5" s="48">
        <v>0</v>
      </c>
      <c r="J5" s="21">
        <f t="shared" ref="J5:J30" si="2">IF(COUNTA($F5,$K5,$P5)&gt;0,J4+SUM(G5:I5),"")</f>
        <v>38900</v>
      </c>
      <c r="K5" s="8"/>
      <c r="L5" s="9"/>
      <c r="M5" s="9"/>
      <c r="N5" s="48"/>
      <c r="O5" s="21">
        <f t="shared" ref="O5:O30" si="3">IF(COUNTA($F5,$K5,$P5)&gt;0,O4+SUM(L5:N5),"")</f>
        <v>29800</v>
      </c>
      <c r="P5" s="8" t="s">
        <v>200</v>
      </c>
      <c r="Q5" s="9">
        <v>-3900</v>
      </c>
      <c r="R5" s="9"/>
      <c r="S5" s="48">
        <v>0</v>
      </c>
      <c r="T5" s="21">
        <f t="shared" ref="T5:T30" si="4">IF(COUNTA($F5,$K5,$P5)&gt;0,T4+SUM(Q5:S5),"")</f>
        <v>36300</v>
      </c>
      <c r="U5" s="53">
        <f>IF($J5="","",ROUND(($J5-$J$3)/1000,1)+(_xlfn.RANK.AVG($J5,($J5,$O5,$T5),1)-2)*10)</f>
        <v>13.9</v>
      </c>
      <c r="V5" s="54">
        <f>IF($O5="","",ROUND(($O5-$O$3)/1000,1)+(_xlfn.RANK.AVG($O5,($J5,$O5,$T5),1)-2)*10)</f>
        <v>-15.2</v>
      </c>
      <c r="W5" s="55">
        <f>IF($T5="","",ROUND(($T5-$T$3)/1000,1)+(_xlfn.RANK.AVG($T5,($J5,$O5,$T5),1)-2)*10)</f>
        <v>1.3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79</v>
      </c>
      <c r="AF5" s="41" t="s">
        <v>86</v>
      </c>
      <c r="AG5" s="41" t="s">
        <v>206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199</v>
      </c>
      <c r="G6" s="9">
        <v>2400</v>
      </c>
      <c r="H6" s="9"/>
      <c r="I6" s="48">
        <v>0</v>
      </c>
      <c r="J6" s="21">
        <f t="shared" si="2"/>
        <v>41300</v>
      </c>
      <c r="K6" s="8" t="s">
        <v>200</v>
      </c>
      <c r="L6" s="9">
        <v>-2400</v>
      </c>
      <c r="M6" s="9"/>
      <c r="N6" s="48">
        <v>0</v>
      </c>
      <c r="O6" s="21">
        <f t="shared" si="3"/>
        <v>27400</v>
      </c>
      <c r="P6" s="8"/>
      <c r="Q6" s="9"/>
      <c r="R6" s="9"/>
      <c r="S6" s="48"/>
      <c r="T6" s="21">
        <f t="shared" si="4"/>
        <v>36300</v>
      </c>
      <c r="U6" s="53">
        <f>IF($J6="","",ROUND(($J6-$J$3)/1000,1)+(_xlfn.RANK.AVG($J6,($J6,$O6,$T6),1)-2)*10)</f>
        <v>16.3</v>
      </c>
      <c r="V6" s="54">
        <f>IF($O6="","",ROUND(($O6-$O$3)/1000,1)+(_xlfn.RANK.AVG($O6,($J6,$O6,$T6),1)-2)*10)</f>
        <v>-17.600000000000001</v>
      </c>
      <c r="W6" s="55">
        <f>IF($T6="","",ROUND(($T6-$T$3)/1000,1)+(_xlfn.RANK.AVG($T6,($J6,$O6,$T6),1)-2)*10)</f>
        <v>1.3</v>
      </c>
      <c r="Y6" s="8"/>
      <c r="Z6" s="34"/>
      <c r="AA6" s="26"/>
      <c r="AB6" s="26"/>
      <c r="AC6" s="26">
        <v>2</v>
      </c>
      <c r="AD6" s="30">
        <v>25</v>
      </c>
      <c r="AE6" s="40" t="s">
        <v>101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194</v>
      </c>
      <c r="F7" s="8" t="s">
        <v>204</v>
      </c>
      <c r="G7" s="9">
        <v>-4800</v>
      </c>
      <c r="H7" s="9"/>
      <c r="I7" s="48">
        <v>-500</v>
      </c>
      <c r="J7" s="21">
        <f t="shared" si="2"/>
        <v>36000</v>
      </c>
      <c r="K7" s="8" t="s">
        <v>204</v>
      </c>
      <c r="L7" s="9">
        <v>-2900</v>
      </c>
      <c r="M7" s="9"/>
      <c r="N7" s="48">
        <v>-500</v>
      </c>
      <c r="O7" s="21">
        <f t="shared" si="3"/>
        <v>24000</v>
      </c>
      <c r="P7" s="8" t="s">
        <v>203</v>
      </c>
      <c r="Q7" s="9">
        <v>7700</v>
      </c>
      <c r="R7" s="9"/>
      <c r="S7" s="48">
        <v>1000</v>
      </c>
      <c r="T7" s="21">
        <f t="shared" si="4"/>
        <v>45000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-21</v>
      </c>
      <c r="W7" s="55">
        <f>IF($T7="","",ROUND(($T7-$T$3)/1000,1)+(_xlfn.RANK.AVG($T7,($J7,$O7,$T7),1)-2)*10)</f>
        <v>20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201</v>
      </c>
      <c r="BV7" s="41" t="s">
        <v>82</v>
      </c>
      <c r="BW7" s="41" t="s">
        <v>80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198</v>
      </c>
      <c r="F8" s="8" t="s">
        <v>199</v>
      </c>
      <c r="G8" s="9">
        <v>8000</v>
      </c>
      <c r="H8" s="9"/>
      <c r="I8" s="48">
        <v>0</v>
      </c>
      <c r="J8" s="21">
        <f t="shared" si="2"/>
        <v>44000</v>
      </c>
      <c r="K8" s="8" t="s">
        <v>200</v>
      </c>
      <c r="L8" s="9">
        <v>-8000</v>
      </c>
      <c r="M8" s="9"/>
      <c r="N8" s="48">
        <v>0</v>
      </c>
      <c r="O8" s="21">
        <f t="shared" si="3"/>
        <v>16000</v>
      </c>
      <c r="P8" s="8"/>
      <c r="Q8" s="9"/>
      <c r="R8" s="9"/>
      <c r="S8" s="48"/>
      <c r="T8" s="21">
        <f t="shared" si="4"/>
        <v>45000</v>
      </c>
      <c r="U8" s="53">
        <f>IF($J8="","",ROUND(($J8-$J$3)/1000,1)+(_xlfn.RANK.AVG($J8,($J8,$O8,$T8),1)-2)*10)</f>
        <v>9</v>
      </c>
      <c r="V8" s="54">
        <f>IF($O8="","",ROUND(($O8-$O$3)/1000,1)+(_xlfn.RANK.AVG($O8,($J8,$O8,$T8),1)-2)*10)</f>
        <v>-29</v>
      </c>
      <c r="W8" s="55">
        <f>IF($T8="","",ROUND(($T8-$T$3)/1000,1)+(_xlfn.RANK.AVG($T8,($J8,$O8,$T8),1)-2)*10)</f>
        <v>20</v>
      </c>
      <c r="Y8" s="8"/>
      <c r="Z8" s="34"/>
      <c r="AA8" s="26"/>
      <c r="AB8" s="26"/>
      <c r="AC8" s="26">
        <v>4</v>
      </c>
      <c r="AD8" s="30">
        <v>40</v>
      </c>
      <c r="AE8" s="40" t="s">
        <v>201</v>
      </c>
      <c r="AF8" s="41" t="s">
        <v>208</v>
      </c>
      <c r="AG8" s="41" t="s">
        <v>86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202</v>
      </c>
      <c r="F9" s="8"/>
      <c r="G9" s="9"/>
      <c r="H9" s="9"/>
      <c r="I9" s="48"/>
      <c r="J9" s="21">
        <f t="shared" si="2"/>
        <v>44000</v>
      </c>
      <c r="K9" s="8" t="s">
        <v>200</v>
      </c>
      <c r="L9" s="9">
        <v>-12000</v>
      </c>
      <c r="M9" s="9"/>
      <c r="N9" s="48">
        <v>0</v>
      </c>
      <c r="O9" s="21">
        <f t="shared" si="3"/>
        <v>4000</v>
      </c>
      <c r="P9" s="8" t="s">
        <v>199</v>
      </c>
      <c r="Q9" s="9">
        <v>12000</v>
      </c>
      <c r="R9" s="9"/>
      <c r="S9" s="48">
        <v>0</v>
      </c>
      <c r="T9" s="21">
        <f t="shared" si="4"/>
        <v>57000</v>
      </c>
      <c r="U9" s="53">
        <f>IF($J9="","",ROUND(($J9-$J$3)/1000,1)+(_xlfn.RANK.AVG($J9,($J9,$O9,$T9),1)-2)*10)</f>
        <v>9</v>
      </c>
      <c r="V9" s="54">
        <f>IF($O9="","",ROUND(($O9-$O$3)/1000,1)+(_xlfn.RANK.AVG($O9,($J9,$O9,$T9),1)-2)*10)</f>
        <v>-41</v>
      </c>
      <c r="W9" s="55">
        <f>IF($T9="","",ROUND(($T9-$T$3)/1000,1)+(_xlfn.RANK.AVG($T9,($J9,$O9,$T9),1)-2)*10)</f>
        <v>32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205</v>
      </c>
      <c r="BU9" s="40" t="s">
        <v>201</v>
      </c>
      <c r="BV9" s="41" t="s">
        <v>208</v>
      </c>
      <c r="BW9" s="41" t="s">
        <v>83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202</v>
      </c>
      <c r="F10" s="8" t="s">
        <v>200</v>
      </c>
      <c r="G10" s="9">
        <v>-2400</v>
      </c>
      <c r="H10" s="9"/>
      <c r="I10" s="48">
        <v>-1000</v>
      </c>
      <c r="J10" s="21">
        <f t="shared" si="2"/>
        <v>40600</v>
      </c>
      <c r="K10" s="8"/>
      <c r="L10" s="9"/>
      <c r="M10" s="9"/>
      <c r="N10" s="48"/>
      <c r="O10" s="21">
        <f t="shared" si="3"/>
        <v>4000</v>
      </c>
      <c r="P10" s="8" t="s">
        <v>199</v>
      </c>
      <c r="Q10" s="9">
        <v>2400</v>
      </c>
      <c r="R10" s="9"/>
      <c r="S10" s="48">
        <v>1000</v>
      </c>
      <c r="T10" s="21">
        <f t="shared" si="4"/>
        <v>60400</v>
      </c>
      <c r="U10" s="53">
        <f>IF($J10="","",ROUND(($J10-$J$3)/1000,1)+(_xlfn.RANK.AVG($J10,($J10,$O10,$T10),1)-2)*10)</f>
        <v>5.6</v>
      </c>
      <c r="V10" s="54">
        <f>IF($O10="","",ROUND(($O10-$O$3)/1000,1)+(_xlfn.RANK.AVG($O10,($J10,$O10,$T10),1)-2)*10)</f>
        <v>-41</v>
      </c>
      <c r="W10" s="55">
        <f>IF($T10="","",ROUND(($T10-$T$3)/1000,1)+(_xlfn.RANK.AVG($T10,($J10,$O10,$T10),1)-2)*10)</f>
        <v>35.4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1</v>
      </c>
      <c r="BT10" s="30">
        <v>50</v>
      </c>
      <c r="BU10" s="40" t="s">
        <v>84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202</v>
      </c>
      <c r="F11" s="8" t="s">
        <v>200</v>
      </c>
      <c r="G11" s="9">
        <v>-2000</v>
      </c>
      <c r="H11" s="9"/>
      <c r="I11" s="48">
        <v>-2000</v>
      </c>
      <c r="J11" s="21">
        <f t="shared" si="2"/>
        <v>36600</v>
      </c>
      <c r="K11" s="8"/>
      <c r="L11" s="9"/>
      <c r="M11" s="9">
        <v>-1000</v>
      </c>
      <c r="N11" s="48"/>
      <c r="O11" s="21">
        <f t="shared" si="3"/>
        <v>3000</v>
      </c>
      <c r="P11" s="8" t="s">
        <v>199</v>
      </c>
      <c r="Q11" s="9">
        <v>2000</v>
      </c>
      <c r="R11" s="9">
        <v>1000</v>
      </c>
      <c r="S11" s="48">
        <v>2000</v>
      </c>
      <c r="T11" s="21">
        <f t="shared" si="4"/>
        <v>65400</v>
      </c>
      <c r="U11" s="53">
        <f>IF($J11="","",ROUND(($J11-$J$3)/1000,1)+(_xlfn.RANK.AVG($J11,($J11,$O11,$T11),1)-2)*10)</f>
        <v>1.6</v>
      </c>
      <c r="V11" s="54">
        <f>IF($O11="","",ROUND(($O11-$O$3)/1000,1)+(_xlfn.RANK.AVG($O11,($J11,$O11,$T11),1)-2)*10)</f>
        <v>-42</v>
      </c>
      <c r="W11" s="55">
        <f>IF($T11="","",ROUND(($T11-$T$3)/1000,1)+(_xlfn.RANK.AVG($T11,($J11,$O11,$T11),1)-2)*10)</f>
        <v>40.4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</v>
      </c>
      <c r="BT11" s="30">
        <v>40</v>
      </c>
      <c r="BU11" s="40" t="s">
        <v>84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202</v>
      </c>
      <c r="F12" s="8" t="s">
        <v>195</v>
      </c>
      <c r="G12" s="9">
        <v>0</v>
      </c>
      <c r="H12" s="9"/>
      <c r="I12" s="48"/>
      <c r="J12" s="21">
        <f t="shared" si="2"/>
        <v>36600</v>
      </c>
      <c r="K12" s="8" t="s">
        <v>195</v>
      </c>
      <c r="L12" s="9">
        <v>0</v>
      </c>
      <c r="M12" s="9">
        <v>-1000</v>
      </c>
      <c r="N12" s="48"/>
      <c r="O12" s="21">
        <f t="shared" si="3"/>
        <v>2000</v>
      </c>
      <c r="P12" s="8" t="s">
        <v>195</v>
      </c>
      <c r="Q12" s="9">
        <v>0</v>
      </c>
      <c r="R12" s="9"/>
      <c r="S12" s="48"/>
      <c r="T12" s="21">
        <f t="shared" si="4"/>
        <v>65400</v>
      </c>
      <c r="U12" s="53">
        <f>IF($J12="","",ROUND(($J12-$J$3)/1000,1)+(_xlfn.RANK.AVG($J12,($J12,$O12,$T12),1)-2)*10)</f>
        <v>1.6</v>
      </c>
      <c r="V12" s="54">
        <f>IF($O12="","",ROUND(($O12-$O$3)/1000,1)+(_xlfn.RANK.AVG($O12,($J12,$O12,$T12),1)-2)*10)</f>
        <v>-43</v>
      </c>
      <c r="W12" s="55">
        <f>IF($T12="","",ROUND(($T12-$T$3)/1000,1)+(_xlfn.RANK.AVG($T12,($J12,$O12,$T12),1)-2)*10)</f>
        <v>40.4</v>
      </c>
      <c r="Y12" s="8" t="s">
        <v>197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197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197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>南</v>
      </c>
      <c r="B13" s="18">
        <f t="shared" si="5"/>
        <v>2</v>
      </c>
      <c r="C13" s="18">
        <f t="shared" si="6"/>
        <v>4</v>
      </c>
      <c r="D13" s="18">
        <f t="shared" si="1"/>
        <v>1</v>
      </c>
      <c r="E13" s="4" t="s">
        <v>202</v>
      </c>
      <c r="F13" s="8" t="s">
        <v>199</v>
      </c>
      <c r="G13" s="9">
        <v>16000</v>
      </c>
      <c r="H13" s="9">
        <v>2000</v>
      </c>
      <c r="I13" s="48">
        <v>4000</v>
      </c>
      <c r="J13" s="21">
        <f t="shared" si="2"/>
        <v>58600</v>
      </c>
      <c r="K13" s="8"/>
      <c r="L13" s="9"/>
      <c r="M13" s="9"/>
      <c r="N13" s="48"/>
      <c r="O13" s="21">
        <f t="shared" si="3"/>
        <v>2000</v>
      </c>
      <c r="P13" s="8" t="s">
        <v>200</v>
      </c>
      <c r="Q13" s="9">
        <v>-16000</v>
      </c>
      <c r="R13" s="9">
        <v>-1000</v>
      </c>
      <c r="S13" s="48">
        <v>-4000</v>
      </c>
      <c r="T13" s="21">
        <f t="shared" si="4"/>
        <v>44400</v>
      </c>
      <c r="U13" s="53">
        <f>IF($J13="","",ROUND(($J13-$J$3)/1000,1)+(_xlfn.RANK.AVG($J13,($J13,$O13,$T13),1)-2)*10)</f>
        <v>33.6</v>
      </c>
      <c r="V13" s="54">
        <f>IF($O13="","",ROUND(($O13-$O$3)/1000,1)+(_xlfn.RANK.AVG($O13,($J13,$O13,$T13),1)-2)*10)</f>
        <v>-43</v>
      </c>
      <c r="W13" s="55">
        <f>IF($T13="","",ROUND(($T13-$T$3)/1000,1)+(_xlfn.RANK.AVG($T13,($J13,$O13,$T13),1)-2)*10)</f>
        <v>9.4</v>
      </c>
      <c r="Y13" s="8"/>
      <c r="Z13" s="34"/>
      <c r="AA13" s="26"/>
      <c r="AB13" s="26">
        <v>1</v>
      </c>
      <c r="AC13" s="26">
        <v>9</v>
      </c>
      <c r="AD13" s="30" t="s">
        <v>205</v>
      </c>
      <c r="AE13" s="40" t="s">
        <v>79</v>
      </c>
      <c r="AF13" s="41" t="s">
        <v>79</v>
      </c>
      <c r="AG13" s="41" t="s">
        <v>79</v>
      </c>
      <c r="AH13" s="41" t="s">
        <v>104</v>
      </c>
      <c r="AI13" s="41" t="s">
        <v>86</v>
      </c>
      <c r="AJ13" s="41" t="s">
        <v>86</v>
      </c>
      <c r="AK13" s="41" t="s">
        <v>86</v>
      </c>
      <c r="AL13" s="41" t="s">
        <v>86</v>
      </c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194</v>
      </c>
      <c r="F14" s="8" t="s">
        <v>200</v>
      </c>
      <c r="G14" s="9">
        <v>-16000</v>
      </c>
      <c r="H14" s="9"/>
      <c r="I14" s="48">
        <v>0</v>
      </c>
      <c r="J14" s="21">
        <f t="shared" si="2"/>
        <v>42600</v>
      </c>
      <c r="K14" s="8"/>
      <c r="L14" s="9"/>
      <c r="M14" s="9"/>
      <c r="N14" s="48"/>
      <c r="O14" s="21">
        <f t="shared" si="3"/>
        <v>2000</v>
      </c>
      <c r="P14" s="8" t="s">
        <v>199</v>
      </c>
      <c r="Q14" s="9">
        <v>16000</v>
      </c>
      <c r="R14" s="9"/>
      <c r="S14" s="48">
        <v>0</v>
      </c>
      <c r="T14" s="21">
        <f t="shared" si="4"/>
        <v>60400</v>
      </c>
      <c r="U14" s="53">
        <f>IF($J14="","",ROUND(($J14-$J$3)/1000,1)+(_xlfn.RANK.AVG($J14,($J14,$O14,$T14),1)-2)*10)</f>
        <v>7.6</v>
      </c>
      <c r="V14" s="54">
        <f>IF($O14="","",ROUND(($O14-$O$3)/1000,1)+(_xlfn.RANK.AVG($O14,($J14,$O14,$T14),1)-2)*10)</f>
        <v>-43</v>
      </c>
      <c r="W14" s="55">
        <f>IF($T14="","",ROUND(($T14-$T$3)/1000,1)+(_xlfn.RANK.AVG($T14,($J14,$O14,$T14),1)-2)*10)</f>
        <v>35.4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9</v>
      </c>
      <c r="BT14" s="30" t="s">
        <v>205</v>
      </c>
      <c r="BU14" s="40" t="s">
        <v>104</v>
      </c>
      <c r="BV14" s="41" t="s">
        <v>86</v>
      </c>
      <c r="BW14" s="41" t="s">
        <v>86</v>
      </c>
      <c r="BX14" s="41" t="s">
        <v>86</v>
      </c>
      <c r="BY14" s="41" t="s">
        <v>98</v>
      </c>
      <c r="BZ14" s="41" t="s">
        <v>100</v>
      </c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1E75CA63-D079-413F-984B-5E42DF88401D}">
      <formula1>$U$2:$W$2</formula1>
    </dataValidation>
    <dataValidation type="list" showInputMessage="1" showErrorMessage="1" sqref="K4:K30 P4:P30 F4:F30" xr:uid="{26B5B660-4BD3-4339-907F-B03A2780B65A}">
      <formula1>"ロン,ツモ,放銃,ツモ支払,流局,チョンボ"</formula1>
    </dataValidation>
    <dataValidation type="list" allowBlank="1" showInputMessage="1" sqref="F1:T1" xr:uid="{3AA74C51-5743-4B65-9323-C7091B195A0F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E184-B924-4871-9346-8D3D504237BD}">
  <sheetPr codeName="Sheet17">
    <pageSetUpPr fitToPage="1"/>
  </sheetPr>
  <dimension ref="A1:CI30"/>
  <sheetViews>
    <sheetView zoomScale="112" zoomScaleNormal="112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 t="s">
        <v>199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200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-23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6</v>
      </c>
      <c r="AD4" s="30" t="s">
        <v>205</v>
      </c>
      <c r="AE4" s="40" t="s">
        <v>79</v>
      </c>
      <c r="AF4" s="41" t="s">
        <v>79</v>
      </c>
      <c r="AG4" s="41" t="s">
        <v>79</v>
      </c>
      <c r="AH4" s="41" t="s">
        <v>86</v>
      </c>
      <c r="AI4" s="41" t="s">
        <v>104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203</v>
      </c>
      <c r="G5" s="9">
        <v>18000</v>
      </c>
      <c r="H5" s="9"/>
      <c r="I5" s="48">
        <v>0</v>
      </c>
      <c r="J5" s="21">
        <f t="shared" ref="J5:J30" si="2">IF(COUNTA($F5,$K5,$P5)&gt;0,J4+SUM(G5:I5),"")</f>
        <v>66000</v>
      </c>
      <c r="K5" s="8" t="s">
        <v>204</v>
      </c>
      <c r="L5" s="9">
        <v>-9000</v>
      </c>
      <c r="M5" s="9"/>
      <c r="N5" s="48">
        <v>0</v>
      </c>
      <c r="O5" s="21">
        <f t="shared" ref="O5:O30" si="3">IF(COUNTA($F5,$K5,$P5)&gt;0,O4+SUM(L5:N5),"")</f>
        <v>13000</v>
      </c>
      <c r="P5" s="8" t="s">
        <v>204</v>
      </c>
      <c r="Q5" s="9">
        <v>-9000</v>
      </c>
      <c r="R5" s="9"/>
      <c r="S5" s="48">
        <v>0</v>
      </c>
      <c r="T5" s="21">
        <f t="shared" ref="T5:T30" si="4">IF(COUNTA($F5,$K5,$P5)&gt;0,T4+SUM(Q5:S5),"")</f>
        <v>26000</v>
      </c>
      <c r="U5" s="53">
        <f>IF($J5="","",ROUND(($J5-$J$3)/1000,1)+(_xlfn.RANK.AVG($J5,($J5,$O5,$T5),1)-2)*10)</f>
        <v>41</v>
      </c>
      <c r="V5" s="54">
        <f>IF($O5="","",ROUND(($O5-$O$3)/1000,1)+(_xlfn.RANK.AVG($O5,($J5,$O5,$T5),1)-2)*10)</f>
        <v>-32</v>
      </c>
      <c r="W5" s="55">
        <f>IF($T5="","",ROUND(($T5-$T$3)/1000,1)+(_xlfn.RANK.AVG($T5,($J5,$O5,$T5),1)-2)*10)</f>
        <v>-9</v>
      </c>
      <c r="Y5" s="8"/>
      <c r="Z5" s="34"/>
      <c r="AA5" s="26"/>
      <c r="AB5" s="26">
        <v>1</v>
      </c>
      <c r="AC5" s="26">
        <v>6</v>
      </c>
      <c r="AD5" s="30" t="s">
        <v>205</v>
      </c>
      <c r="AE5" s="40" t="s">
        <v>86</v>
      </c>
      <c r="AF5" s="41" t="s">
        <v>86</v>
      </c>
      <c r="AG5" s="41" t="s">
        <v>79</v>
      </c>
      <c r="AH5" s="41" t="s">
        <v>79</v>
      </c>
      <c r="AI5" s="41" t="s">
        <v>79</v>
      </c>
      <c r="AJ5" s="41" t="s">
        <v>206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194</v>
      </c>
      <c r="F6" s="8" t="s">
        <v>199</v>
      </c>
      <c r="G6" s="9">
        <v>5800</v>
      </c>
      <c r="H6" s="9"/>
      <c r="I6" s="48"/>
      <c r="J6" s="21">
        <f t="shared" si="2"/>
        <v>71800</v>
      </c>
      <c r="K6" s="8" t="s">
        <v>200</v>
      </c>
      <c r="L6" s="9">
        <v>-7100</v>
      </c>
      <c r="M6" s="9"/>
      <c r="N6" s="48">
        <v>-1000</v>
      </c>
      <c r="O6" s="21">
        <f t="shared" si="3"/>
        <v>4900</v>
      </c>
      <c r="P6" s="8" t="s">
        <v>199</v>
      </c>
      <c r="Q6" s="9">
        <v>1300</v>
      </c>
      <c r="R6" s="9"/>
      <c r="S6" s="48">
        <v>1000</v>
      </c>
      <c r="T6" s="21">
        <f t="shared" si="4"/>
        <v>28300</v>
      </c>
      <c r="U6" s="53">
        <f>IF($J6="","",ROUND(($J6-$J$3)/1000,1)+(_xlfn.RANK.AVG($J6,($J6,$O6,$T6),1)-2)*10)</f>
        <v>46.8</v>
      </c>
      <c r="V6" s="54">
        <f>IF($O6="","",ROUND(($O6-$O$3)/1000,1)+(_xlfn.RANK.AVG($O6,($J6,$O6,$T6),1)-2)*10)</f>
        <v>-40.1</v>
      </c>
      <c r="W6" s="55">
        <f>IF($T6="","",ROUND(($T6-$T$3)/1000,1)+(_xlfn.RANK.AVG($T6,($J6,$O6,$T6),1)-2)*10)</f>
        <v>-6.7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201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40</v>
      </c>
      <c r="BU6" s="40" t="s">
        <v>201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194</v>
      </c>
      <c r="F7" s="8" t="s">
        <v>199</v>
      </c>
      <c r="G7" s="9">
        <v>18000</v>
      </c>
      <c r="H7" s="9"/>
      <c r="I7" s="48">
        <v>2000</v>
      </c>
      <c r="J7" s="21">
        <f t="shared" si="2"/>
        <v>91800</v>
      </c>
      <c r="K7" s="8" t="s">
        <v>200</v>
      </c>
      <c r="L7" s="9">
        <v>-18000</v>
      </c>
      <c r="M7" s="9"/>
      <c r="N7" s="48">
        <v>-2000</v>
      </c>
      <c r="O7" s="21">
        <f t="shared" si="3"/>
        <v>-15100</v>
      </c>
      <c r="P7" s="8"/>
      <c r="Q7" s="9"/>
      <c r="R7" s="9"/>
      <c r="S7" s="48"/>
      <c r="T7" s="21">
        <f t="shared" si="4"/>
        <v>28300</v>
      </c>
      <c r="U7" s="53">
        <f>IF($J7="","",ROUND(($J7-$J$3)/1000,1)+(_xlfn.RANK.AVG($J7,($J7,$O7,$T7),1)-2)*10)</f>
        <v>66.8</v>
      </c>
      <c r="V7" s="54">
        <f>IF($O7="","",ROUND(($O7-$O$3)/1000,1)+(_xlfn.RANK.AVG($O7,($J7,$O7,$T7),1)-2)*10)</f>
        <v>-60.1</v>
      </c>
      <c r="W7" s="55">
        <f>IF($T7="","",ROUND(($T7-$T$3)/1000,1)+(_xlfn.RANK.AVG($T7,($J7,$O7,$T7),1)-2)*10)</f>
        <v>-6.7</v>
      </c>
      <c r="Y7" s="8"/>
      <c r="Z7" s="34"/>
      <c r="AA7" s="26"/>
      <c r="AB7" s="26">
        <v>1</v>
      </c>
      <c r="AC7" s="26">
        <v>6</v>
      </c>
      <c r="AD7" s="30" t="s">
        <v>205</v>
      </c>
      <c r="AE7" s="40" t="s">
        <v>106</v>
      </c>
      <c r="AF7" s="41" t="s">
        <v>206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6B84E446-EA88-4AC6-9FA1-1F3C0B39571B}">
      <formula1>"たかの,だいち,ただ,りくと,れんたろう,まっつん,のり,ぱぱ,"</formula1>
    </dataValidation>
    <dataValidation type="list" showInputMessage="1" showErrorMessage="1" sqref="K4:K30 P4:P30 F4:F30" xr:uid="{94DE54A2-1C25-4716-8926-B777032BFA0A}">
      <formula1>"ロン,ツモ,放銃,ツモ支払,流局,チョンボ"</formula1>
    </dataValidation>
    <dataValidation type="list" allowBlank="1" showInputMessage="1" showErrorMessage="1" sqref="E4:E30" xr:uid="{DF8BA6E0-5A5F-449C-9E4E-E2973B9B399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EC462-AE83-4161-8D2B-09AA29B3320C}">
  <sheetPr codeName="Sheet18">
    <pageSetUpPr fitToPage="1"/>
  </sheetPr>
  <dimension ref="A1:CI30"/>
  <sheetViews>
    <sheetView zoomScale="112" zoomScaleNormal="112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198</v>
      </c>
      <c r="F4" s="8" t="s">
        <v>204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204</v>
      </c>
      <c r="L4" s="9">
        <v>-2500</v>
      </c>
      <c r="M4" s="9"/>
      <c r="N4" s="48">
        <v>0</v>
      </c>
      <c r="O4" s="21">
        <f>IF(COUNTA($F4,$K4,$P4)&gt;0,O3+SUM(L4:N4),"")</f>
        <v>32500</v>
      </c>
      <c r="P4" s="8" t="s">
        <v>203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-1.5</v>
      </c>
      <c r="V4" s="54">
        <f>IF($O4="","",ROUND(($O4-$O$3)/1000,1)+(_xlfn.RANK.AVG($O4,($J4,$O4,$T4),1)-2)*10)</f>
        <v>-12.5</v>
      </c>
      <c r="W4" s="55">
        <f>IF($T4="","",ROUND(($T4-$T$3)/1000,1)+(_xlfn.RANK.AVG($T4,($J4,$O4,$T4),1)-2)*10)</f>
        <v>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91</v>
      </c>
      <c r="BV4" s="41" t="s">
        <v>82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200</v>
      </c>
      <c r="G5" s="9">
        <v>-4800</v>
      </c>
      <c r="H5" s="9"/>
      <c r="I5" s="48">
        <v>0</v>
      </c>
      <c r="J5" s="21">
        <f t="shared" ref="J5:J30" si="2">IF(COUNTA($F5,$K5,$P5)&gt;0,J4+SUM(G5:I5),"")</f>
        <v>28700</v>
      </c>
      <c r="K5" s="8"/>
      <c r="L5" s="9"/>
      <c r="M5" s="9"/>
      <c r="N5" s="48"/>
      <c r="O5" s="21">
        <f t="shared" ref="O5:O30" si="3">IF(COUNTA($F5,$K5,$P5)&gt;0,O4+SUM(L5:N5),"")</f>
        <v>32500</v>
      </c>
      <c r="P5" s="8" t="s">
        <v>199</v>
      </c>
      <c r="Q5" s="9">
        <v>4800</v>
      </c>
      <c r="R5" s="9"/>
      <c r="S5" s="48">
        <v>0</v>
      </c>
      <c r="T5" s="21">
        <f t="shared" ref="T5:T30" si="4">IF(COUNTA($F5,$K5,$P5)&gt;0,T4+SUM(Q5:S5),"")</f>
        <v>43800</v>
      </c>
      <c r="U5" s="53">
        <f>IF($J5="","",ROUND(($J5-$J$3)/1000,1)+(_xlfn.RANK.AVG($J5,($J5,$O5,$T5),1)-2)*10)</f>
        <v>-16.3</v>
      </c>
      <c r="V5" s="54">
        <f>IF($O5="","",ROUND(($O5-$O$3)/1000,1)+(_xlfn.RANK.AVG($O5,($J5,$O5,$T5),1)-2)*10)</f>
        <v>-2.5</v>
      </c>
      <c r="W5" s="55">
        <f>IF($T5="","",ROUND(($T5-$T$3)/1000,1)+(_xlfn.RANK.AVG($T5,($J5,$O5,$T5),1)-2)*10)</f>
        <v>18.8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25</v>
      </c>
      <c r="BU5" s="40" t="s">
        <v>201</v>
      </c>
      <c r="BV5" s="41" t="s">
        <v>101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202</v>
      </c>
      <c r="F6" s="8" t="s">
        <v>200</v>
      </c>
      <c r="G6" s="9">
        <v>-11600</v>
      </c>
      <c r="H6" s="9"/>
      <c r="I6" s="48">
        <v>-1000</v>
      </c>
      <c r="J6" s="21">
        <f t="shared" si="2"/>
        <v>16100</v>
      </c>
      <c r="K6" s="8"/>
      <c r="L6" s="9"/>
      <c r="M6" s="9"/>
      <c r="N6" s="48"/>
      <c r="O6" s="21">
        <f t="shared" si="3"/>
        <v>32500</v>
      </c>
      <c r="P6" s="8" t="s">
        <v>199</v>
      </c>
      <c r="Q6" s="9">
        <v>11600</v>
      </c>
      <c r="R6" s="9"/>
      <c r="S6" s="48">
        <v>1000</v>
      </c>
      <c r="T6" s="21">
        <f t="shared" si="4"/>
        <v>56400</v>
      </c>
      <c r="U6" s="53">
        <f>IF($J6="","",ROUND(($J6-$J$3)/1000,1)+(_xlfn.RANK.AVG($J6,($J6,$O6,$T6),1)-2)*10)</f>
        <v>-28.9</v>
      </c>
      <c r="V6" s="54">
        <f>IF($O6="","",ROUND(($O6-$O$3)/1000,1)+(_xlfn.RANK.AVG($O6,($J6,$O6,$T6),1)-2)*10)</f>
        <v>-2.5</v>
      </c>
      <c r="W6" s="55">
        <f>IF($T6="","",ROUND(($T6-$T$3)/1000,1)+(_xlfn.RANK.AVG($T6,($J6,$O6,$T6),1)-2)*10)</f>
        <v>31.4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86</v>
      </c>
      <c r="BV6" s="41" t="s">
        <v>79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202</v>
      </c>
      <c r="F7" s="8" t="s">
        <v>200</v>
      </c>
      <c r="G7" s="9">
        <v>-5200</v>
      </c>
      <c r="H7" s="9"/>
      <c r="I7" s="48">
        <v>-2000</v>
      </c>
      <c r="J7" s="21">
        <f t="shared" si="2"/>
        <v>8900</v>
      </c>
      <c r="K7" s="8" t="s">
        <v>199</v>
      </c>
      <c r="L7" s="9">
        <v>5200</v>
      </c>
      <c r="M7" s="9"/>
      <c r="N7" s="48">
        <v>2000</v>
      </c>
      <c r="O7" s="21">
        <f t="shared" si="3"/>
        <v>39700</v>
      </c>
      <c r="P7" s="8"/>
      <c r="Q7" s="9"/>
      <c r="R7" s="9"/>
      <c r="S7" s="48"/>
      <c r="T7" s="21">
        <f t="shared" si="4"/>
        <v>56400</v>
      </c>
      <c r="U7" s="53">
        <f>IF($J7="","",ROUND(($J7-$J$3)/1000,1)+(_xlfn.RANK.AVG($J7,($J7,$O7,$T7),1)-2)*10)</f>
        <v>-36.1</v>
      </c>
      <c r="V7" s="54">
        <f>IF($O7="","",ROUND(($O7-$O$3)/1000,1)+(_xlfn.RANK.AVG($O7,($J7,$O7,$T7),1)-2)*10)</f>
        <v>4.7</v>
      </c>
      <c r="W7" s="55">
        <f>IF($T7="","",ROUND(($T7-$T$3)/1000,1)+(_xlfn.RANK.AVG($T7,($J7,$O7,$T7),1)-2)*10)</f>
        <v>31.4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201</v>
      </c>
      <c r="BA7" s="41" t="s">
        <v>85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199</v>
      </c>
      <c r="G8" s="9">
        <v>12000</v>
      </c>
      <c r="H8" s="9">
        <v>1000</v>
      </c>
      <c r="I8" s="48">
        <v>0</v>
      </c>
      <c r="J8" s="21">
        <f t="shared" si="2"/>
        <v>21900</v>
      </c>
      <c r="K8" s="8"/>
      <c r="L8" s="9"/>
      <c r="M8" s="9"/>
      <c r="N8" s="48"/>
      <c r="O8" s="21">
        <f t="shared" si="3"/>
        <v>39700</v>
      </c>
      <c r="P8" s="8" t="s">
        <v>200</v>
      </c>
      <c r="Q8" s="9">
        <v>-12000</v>
      </c>
      <c r="R8" s="9">
        <v>-1000</v>
      </c>
      <c r="S8" s="48">
        <v>0</v>
      </c>
      <c r="T8" s="21">
        <f t="shared" si="4"/>
        <v>43400</v>
      </c>
      <c r="U8" s="53">
        <f>IF($J8="","",ROUND(($J8-$J$3)/1000,1)+(_xlfn.RANK.AVG($J8,($J8,$O8,$T8),1)-2)*10)</f>
        <v>-23.1</v>
      </c>
      <c r="V8" s="54">
        <f>IF($O8="","",ROUND(($O8-$O$3)/1000,1)+(_xlfn.RANK.AVG($O8,($J8,$O8,$T8),1)-2)*10)</f>
        <v>4.7</v>
      </c>
      <c r="W8" s="55">
        <f>IF($T8="","",ROUND(($T8-$T$3)/1000,1)+(_xlfn.RANK.AVG($T8,($J8,$O8,$T8),1)-2)*10)</f>
        <v>18.399999999999999</v>
      </c>
      <c r="Y8" s="8"/>
      <c r="Z8" s="34"/>
      <c r="AA8" s="26">
        <v>1</v>
      </c>
      <c r="AB8" s="26"/>
      <c r="AC8" s="26">
        <v>5</v>
      </c>
      <c r="AD8" s="30" t="s">
        <v>205</v>
      </c>
      <c r="AE8" s="40" t="s">
        <v>201</v>
      </c>
      <c r="AF8" s="41" t="s">
        <v>208</v>
      </c>
      <c r="AG8" s="41" t="s">
        <v>206</v>
      </c>
      <c r="AH8" s="41" t="s">
        <v>80</v>
      </c>
      <c r="AI8" s="41" t="s">
        <v>83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194</v>
      </c>
      <c r="F9" s="8" t="s">
        <v>200</v>
      </c>
      <c r="G9" s="9">
        <v>-3900</v>
      </c>
      <c r="H9" s="9"/>
      <c r="I9" s="48">
        <v>-1000</v>
      </c>
      <c r="J9" s="21">
        <f t="shared" si="2"/>
        <v>17000</v>
      </c>
      <c r="K9" s="8"/>
      <c r="L9" s="9"/>
      <c r="M9" s="9"/>
      <c r="N9" s="48"/>
      <c r="O9" s="21">
        <f t="shared" si="3"/>
        <v>39700</v>
      </c>
      <c r="P9" s="8" t="s">
        <v>199</v>
      </c>
      <c r="Q9" s="9">
        <v>3900</v>
      </c>
      <c r="R9" s="9"/>
      <c r="S9" s="48">
        <v>1000</v>
      </c>
      <c r="T9" s="21">
        <f t="shared" si="4"/>
        <v>48300</v>
      </c>
      <c r="U9" s="53">
        <f>IF($J9="","",ROUND(($J9-$J$3)/1000,1)+(_xlfn.RANK.AVG($J9,($J9,$O9,$T9),1)-2)*10)</f>
        <v>-28</v>
      </c>
      <c r="V9" s="54">
        <f>IF($O9="","",ROUND(($O9-$O$3)/1000,1)+(_xlfn.RANK.AVG($O9,($J9,$O9,$T9),1)-2)*10)</f>
        <v>4.7</v>
      </c>
      <c r="W9" s="55">
        <f>IF($T9="","",ROUND(($T9-$T$3)/1000,1)+(_xlfn.RANK.AVG($T9,($J9,$O9,$T9),1)-2)*10)</f>
        <v>23.3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201</v>
      </c>
      <c r="BV9" s="41" t="s">
        <v>83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198</v>
      </c>
      <c r="F10" s="8" t="s">
        <v>199</v>
      </c>
      <c r="G10" s="9">
        <v>2000</v>
      </c>
      <c r="H10" s="9"/>
      <c r="I10" s="48">
        <v>0</v>
      </c>
      <c r="J10" s="21">
        <f t="shared" si="2"/>
        <v>19000</v>
      </c>
      <c r="K10" s="8" t="s">
        <v>200</v>
      </c>
      <c r="L10" s="9">
        <v>-2000</v>
      </c>
      <c r="M10" s="9"/>
      <c r="N10" s="48">
        <v>0</v>
      </c>
      <c r="O10" s="21">
        <f t="shared" si="3"/>
        <v>37700</v>
      </c>
      <c r="P10" s="8"/>
      <c r="Q10" s="9"/>
      <c r="R10" s="9"/>
      <c r="S10" s="48"/>
      <c r="T10" s="21">
        <f t="shared" si="4"/>
        <v>48300</v>
      </c>
      <c r="U10" s="53">
        <f>IF($J10="","",ROUND(($J10-$J$3)/1000,1)+(_xlfn.RANK.AVG($J10,($J10,$O10,$T10),1)-2)*10)</f>
        <v>-26</v>
      </c>
      <c r="V10" s="54">
        <f>IF($O10="","",ROUND(($O10-$O$3)/1000,1)+(_xlfn.RANK.AVG($O10,($J10,$O10,$T10),1)-2)*10)</f>
        <v>2.7</v>
      </c>
      <c r="W10" s="55">
        <f>IF($T10="","",ROUND(($T10-$T$3)/1000,1)+(_xlfn.RANK.AVG($T10,($J10,$O10,$T10),1)-2)*10)</f>
        <v>23.3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79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202</v>
      </c>
      <c r="F11" s="8" t="s">
        <v>204</v>
      </c>
      <c r="G11" s="9">
        <v>-6000</v>
      </c>
      <c r="H11" s="9"/>
      <c r="I11" s="48">
        <v>0</v>
      </c>
      <c r="J11" s="21">
        <f t="shared" si="2"/>
        <v>13000</v>
      </c>
      <c r="K11" s="8" t="s">
        <v>204</v>
      </c>
      <c r="L11" s="9">
        <v>-6000</v>
      </c>
      <c r="M11" s="9"/>
      <c r="N11" s="48">
        <v>0</v>
      </c>
      <c r="O11" s="21">
        <f t="shared" si="3"/>
        <v>31700</v>
      </c>
      <c r="P11" s="8" t="s">
        <v>203</v>
      </c>
      <c r="Q11" s="9">
        <v>12000</v>
      </c>
      <c r="R11" s="9"/>
      <c r="S11" s="48">
        <v>0</v>
      </c>
      <c r="T11" s="21">
        <f t="shared" si="4"/>
        <v>60300</v>
      </c>
      <c r="U11" s="53">
        <f>IF($J11="","",ROUND(($J11-$J$3)/1000,1)+(_xlfn.RANK.AVG($J11,($J11,$O11,$T11),1)-2)*10)</f>
        <v>-32</v>
      </c>
      <c r="V11" s="54">
        <f>IF($O11="","",ROUND(($O11-$O$3)/1000,1)+(_xlfn.RANK.AVG($O11,($J11,$O11,$T11),1)-2)*10)</f>
        <v>-3.3</v>
      </c>
      <c r="W11" s="55">
        <f>IF($T11="","",ROUND(($T11-$T$3)/1000,1)+(_xlfn.RANK.AVG($T11,($J11,$O11,$T11),1)-2)*10)</f>
        <v>35.299999999999997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205</v>
      </c>
      <c r="BU11" s="40" t="s">
        <v>201</v>
      </c>
      <c r="BV11" s="41" t="s">
        <v>82</v>
      </c>
      <c r="BW11" s="41" t="s">
        <v>208</v>
      </c>
      <c r="BX11" s="41" t="s">
        <v>85</v>
      </c>
      <c r="BY11" s="41" t="s">
        <v>206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202</v>
      </c>
      <c r="F12" s="8" t="s">
        <v>200</v>
      </c>
      <c r="G12" s="9">
        <v>-8000</v>
      </c>
      <c r="H12" s="9">
        <v>-1000</v>
      </c>
      <c r="I12" s="48">
        <v>-1000</v>
      </c>
      <c r="J12" s="21">
        <f t="shared" si="2"/>
        <v>3000</v>
      </c>
      <c r="K12" s="8" t="s">
        <v>199</v>
      </c>
      <c r="L12" s="9">
        <v>8000</v>
      </c>
      <c r="M12" s="9">
        <v>1000</v>
      </c>
      <c r="N12" s="48">
        <v>1000</v>
      </c>
      <c r="O12" s="21">
        <f t="shared" si="3"/>
        <v>41700</v>
      </c>
      <c r="P12" s="8"/>
      <c r="Q12" s="9"/>
      <c r="R12" s="9"/>
      <c r="S12" s="48"/>
      <c r="T12" s="21">
        <f t="shared" si="4"/>
        <v>60300</v>
      </c>
      <c r="U12" s="53">
        <f>IF($J12="","",ROUND(($J12-$J$3)/1000,1)+(_xlfn.RANK.AVG($J12,($J12,$O12,$T12),1)-2)*10)</f>
        <v>-42</v>
      </c>
      <c r="V12" s="54">
        <f>IF($O12="","",ROUND(($O12-$O$3)/1000,1)+(_xlfn.RANK.AVG($O12,($J12,$O12,$T12),1)-2)*10)</f>
        <v>6.7</v>
      </c>
      <c r="W12" s="55">
        <f>IF($T12="","",ROUND(($T12-$T$3)/1000,1)+(_xlfn.RANK.AVG($T12,($J12,$O12,$T12),1)-2)*10)</f>
        <v>35.299999999999997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205</v>
      </c>
      <c r="AZ12" s="40" t="s">
        <v>201</v>
      </c>
      <c r="BA12" s="41" t="s">
        <v>86</v>
      </c>
      <c r="BB12" s="41" t="s">
        <v>79</v>
      </c>
      <c r="BC12" s="41" t="s">
        <v>79</v>
      </c>
      <c r="BD12" s="41" t="s">
        <v>80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194</v>
      </c>
      <c r="F13" s="8" t="s">
        <v>204</v>
      </c>
      <c r="G13" s="9">
        <v>-7500</v>
      </c>
      <c r="H13" s="9"/>
      <c r="I13" s="48">
        <v>0</v>
      </c>
      <c r="J13" s="21">
        <f t="shared" si="2"/>
        <v>-4500</v>
      </c>
      <c r="K13" s="8" t="s">
        <v>203</v>
      </c>
      <c r="L13" s="9">
        <v>12000</v>
      </c>
      <c r="M13" s="9"/>
      <c r="N13" s="48">
        <v>0</v>
      </c>
      <c r="O13" s="21">
        <f t="shared" si="3"/>
        <v>53700</v>
      </c>
      <c r="P13" s="8" t="s">
        <v>204</v>
      </c>
      <c r="Q13" s="9">
        <v>-4500</v>
      </c>
      <c r="R13" s="9"/>
      <c r="S13" s="48">
        <v>0</v>
      </c>
      <c r="T13" s="21">
        <f t="shared" si="4"/>
        <v>55800</v>
      </c>
      <c r="U13" s="53">
        <f>IF($J13="","",ROUND(($J13-$J$3)/1000,1)+(_xlfn.RANK.AVG($J13,($J13,$O13,$T13),1)-2)*10)</f>
        <v>-49.5</v>
      </c>
      <c r="V13" s="54">
        <f>IF($O13="","",ROUND(($O13-$O$3)/1000,1)+(_xlfn.RANK.AVG($O13,($J13,$O13,$T13),1)-2)*10)</f>
        <v>18.7</v>
      </c>
      <c r="W13" s="55">
        <f>IF($T13="","",ROUND(($T13-$T$3)/1000,1)+(_xlfn.RANK.AVG($T13,($J13,$O13,$T13),1)-2)*10)</f>
        <v>30.8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205</v>
      </c>
      <c r="AZ13" s="40" t="s">
        <v>201</v>
      </c>
      <c r="BA13" s="41" t="s">
        <v>82</v>
      </c>
      <c r="BB13" s="41" t="s">
        <v>83</v>
      </c>
      <c r="BC13" s="41" t="s">
        <v>206</v>
      </c>
      <c r="BD13" s="41" t="s">
        <v>79</v>
      </c>
      <c r="BE13" s="41" t="s">
        <v>80</v>
      </c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8FC17948-808A-47BF-91B4-AD5B7F05AD16}">
      <formula1>$U$2:$W$2</formula1>
    </dataValidation>
    <dataValidation type="list" showInputMessage="1" showErrorMessage="1" sqref="K4:K30 P4:P30 F4:F30" xr:uid="{A6DE1CE4-F29F-4163-9E99-912977F043AF}">
      <formula1>"ロン,ツモ,放銃,ツモ支払,流局,チョンボ"</formula1>
    </dataValidation>
    <dataValidation type="list" allowBlank="1" showInputMessage="1" sqref="F1:T1" xr:uid="{C892D3B3-4586-4081-A616-29BA3DD1B9BA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05BBB-ACBE-442D-8820-B437DBAD7AD2}">
  <sheetPr codeName="Sheet19">
    <pageSetUpPr fitToPage="1"/>
  </sheetPr>
  <dimension ref="A1:CI30"/>
  <sheetViews>
    <sheetView zoomScale="112" zoomScaleNormal="112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200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205</v>
      </c>
      <c r="AZ4" s="40" t="s">
        <v>201</v>
      </c>
      <c r="BA4" s="41" t="s">
        <v>92</v>
      </c>
      <c r="BB4" s="41" t="s">
        <v>79</v>
      </c>
      <c r="BC4" s="41" t="s">
        <v>206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198</v>
      </c>
      <c r="F5" s="8" t="s">
        <v>199</v>
      </c>
      <c r="G5" s="9">
        <v>1000</v>
      </c>
      <c r="H5" s="9">
        <v>1000</v>
      </c>
      <c r="I5" s="48">
        <v>0</v>
      </c>
      <c r="J5" s="21">
        <f t="shared" ref="J5:J30" si="2">IF(COUNTA($F5,$K5,$P5)&gt;0,J4+SUM(G5:I5),"")</f>
        <v>37000</v>
      </c>
      <c r="K5" s="8"/>
      <c r="L5" s="9"/>
      <c r="M5" s="9">
        <v>-1000</v>
      </c>
      <c r="N5" s="48"/>
      <c r="O5" s="21">
        <f t="shared" ref="O5:O30" si="3">IF(COUNTA($F5,$K5,$P5)&gt;0,O4+SUM(L5:N5),"")</f>
        <v>46000</v>
      </c>
      <c r="P5" s="8" t="s">
        <v>200</v>
      </c>
      <c r="Q5" s="9">
        <v>-1000</v>
      </c>
      <c r="R5" s="9"/>
      <c r="S5" s="48">
        <v>0</v>
      </c>
      <c r="T5" s="21">
        <f t="shared" ref="T5:T30" si="4">IF(COUNTA($F5,$K5,$P5)&gt;0,T4+SUM(Q5:S5),"")</f>
        <v>22000</v>
      </c>
      <c r="U5" s="53">
        <f>IF($J5="","",ROUND(($J5-$J$3)/1000,1)+(_xlfn.RANK.AVG($J5,($J5,$O5,$T5),1)-2)*10)</f>
        <v>2</v>
      </c>
      <c r="V5" s="54">
        <f>IF($O5="","",ROUND(($O5-$O$3)/1000,1)+(_xlfn.RANK.AVG($O5,($J5,$O5,$T5),1)-2)*10)</f>
        <v>21</v>
      </c>
      <c r="W5" s="55">
        <f>IF($T5="","",ROUND(($T5-$T$3)/1000,1)+(_xlfn.RANK.AVG($T5,($J5,$O5,$T5),1)-2)*10)</f>
        <v>-23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202</v>
      </c>
      <c r="F6" s="8" t="s">
        <v>204</v>
      </c>
      <c r="G6" s="9">
        <v>-5800</v>
      </c>
      <c r="H6" s="9"/>
      <c r="I6" s="48">
        <v>0</v>
      </c>
      <c r="J6" s="21">
        <f t="shared" si="2"/>
        <v>31200</v>
      </c>
      <c r="K6" s="8" t="s">
        <v>204</v>
      </c>
      <c r="L6" s="9">
        <v>-5800</v>
      </c>
      <c r="M6" s="9"/>
      <c r="N6" s="48">
        <v>0</v>
      </c>
      <c r="O6" s="21">
        <f t="shared" si="3"/>
        <v>40200</v>
      </c>
      <c r="P6" s="8" t="s">
        <v>203</v>
      </c>
      <c r="Q6" s="9">
        <v>11600</v>
      </c>
      <c r="R6" s="9"/>
      <c r="S6" s="48">
        <v>0</v>
      </c>
      <c r="T6" s="21">
        <f t="shared" si="4"/>
        <v>33600</v>
      </c>
      <c r="U6" s="53">
        <f>IF($J6="","",ROUND(($J6-$J$3)/1000,1)+(_xlfn.RANK.AVG($J6,($J6,$O6,$T6),1)-2)*10)</f>
        <v>-13.8</v>
      </c>
      <c r="V6" s="54">
        <f>IF($O6="","",ROUND(($O6-$O$3)/1000,1)+(_xlfn.RANK.AVG($O6,($J6,$O6,$T6),1)-2)*10)</f>
        <v>15.2</v>
      </c>
      <c r="W6" s="55">
        <f>IF($T6="","",ROUND(($T6-$T$3)/1000,1)+(_xlfn.RANK.AVG($T6,($J6,$O6,$T6),1)-2)*10)</f>
        <v>-1.4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60</v>
      </c>
      <c r="BU6" s="40" t="s">
        <v>104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202</v>
      </c>
      <c r="F7" s="8"/>
      <c r="G7" s="9"/>
      <c r="H7" s="9"/>
      <c r="I7" s="48"/>
      <c r="J7" s="21">
        <f t="shared" si="2"/>
        <v>31200</v>
      </c>
      <c r="K7" s="8" t="s">
        <v>199</v>
      </c>
      <c r="L7" s="9">
        <v>8000</v>
      </c>
      <c r="M7" s="9"/>
      <c r="N7" s="48">
        <v>1000</v>
      </c>
      <c r="O7" s="21">
        <f t="shared" si="3"/>
        <v>49200</v>
      </c>
      <c r="P7" s="8" t="s">
        <v>200</v>
      </c>
      <c r="Q7" s="9">
        <v>-8000</v>
      </c>
      <c r="R7" s="9"/>
      <c r="S7" s="48">
        <v>-1000</v>
      </c>
      <c r="T7" s="21">
        <f t="shared" si="4"/>
        <v>24600</v>
      </c>
      <c r="U7" s="53">
        <f>IF($J7="","",ROUND(($J7-$J$3)/1000,1)+(_xlfn.RANK.AVG($J7,($J7,$O7,$T7),1)-2)*10)</f>
        <v>-3.8</v>
      </c>
      <c r="V7" s="54">
        <f>IF($O7="","",ROUND(($O7-$O$3)/1000,1)+(_xlfn.RANK.AVG($O7,($J7,$O7,$T7),1)-2)*10)</f>
        <v>24.2</v>
      </c>
      <c r="W7" s="55">
        <f>IF($T7="","",ROUND(($T7-$T$3)/1000,1)+(_xlfn.RANK.AVG($T7,($J7,$O7,$T7),1)-2)*10)</f>
        <v>-20.399999999999999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201</v>
      </c>
      <c r="BA7" s="41" t="s">
        <v>208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199</v>
      </c>
      <c r="G8" s="9">
        <v>12000</v>
      </c>
      <c r="H8" s="9"/>
      <c r="I8" s="48">
        <v>0</v>
      </c>
      <c r="J8" s="21">
        <f t="shared" si="2"/>
        <v>43200</v>
      </c>
      <c r="K8" s="8" t="s">
        <v>200</v>
      </c>
      <c r="L8" s="9">
        <v>-12000</v>
      </c>
      <c r="M8" s="9"/>
      <c r="N8" s="48">
        <v>0</v>
      </c>
      <c r="O8" s="21">
        <f t="shared" si="3"/>
        <v>37200</v>
      </c>
      <c r="P8" s="8"/>
      <c r="Q8" s="9"/>
      <c r="R8" s="9"/>
      <c r="S8" s="48"/>
      <c r="T8" s="21">
        <f t="shared" si="4"/>
        <v>24600</v>
      </c>
      <c r="U8" s="53">
        <f>IF($J8="","",ROUND(($J8-$J$3)/1000,1)+(_xlfn.RANK.AVG($J8,($J8,$O8,$T8),1)-2)*10)</f>
        <v>18.2</v>
      </c>
      <c r="V8" s="54">
        <f>IF($O8="","",ROUND(($O8-$O$3)/1000,1)+(_xlfn.RANK.AVG($O8,($J8,$O8,$T8),1)-2)*10)</f>
        <v>2.2000000000000002</v>
      </c>
      <c r="W8" s="55">
        <f>IF($T8="","",ROUND(($T8-$T$3)/1000,1)+(_xlfn.RANK.AVG($T8,($J8,$O8,$T8),1)-2)*10)</f>
        <v>-20.399999999999999</v>
      </c>
      <c r="Y8" s="8"/>
      <c r="Z8" s="34"/>
      <c r="AA8" s="26">
        <v>1</v>
      </c>
      <c r="AB8" s="26"/>
      <c r="AC8" s="26">
        <v>5</v>
      </c>
      <c r="AD8" s="30" t="s">
        <v>205</v>
      </c>
      <c r="AE8" s="40" t="s">
        <v>201</v>
      </c>
      <c r="AF8" s="41" t="s">
        <v>208</v>
      </c>
      <c r="AG8" s="41" t="s">
        <v>79</v>
      </c>
      <c r="AH8" s="41" t="s">
        <v>206</v>
      </c>
      <c r="AI8" s="41" t="s">
        <v>83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194</v>
      </c>
      <c r="F9" s="8" t="s">
        <v>203</v>
      </c>
      <c r="G9" s="9">
        <v>11600</v>
      </c>
      <c r="H9" s="9">
        <v>1000</v>
      </c>
      <c r="I9" s="48">
        <v>1000</v>
      </c>
      <c r="J9" s="21">
        <f t="shared" si="2"/>
        <v>56800</v>
      </c>
      <c r="K9" s="8" t="s">
        <v>204</v>
      </c>
      <c r="L9" s="9">
        <v>-5800</v>
      </c>
      <c r="M9" s="9"/>
      <c r="N9" s="48">
        <v>-500</v>
      </c>
      <c r="O9" s="21">
        <f t="shared" si="3"/>
        <v>30900</v>
      </c>
      <c r="P9" s="8" t="s">
        <v>204</v>
      </c>
      <c r="Q9" s="9">
        <v>-5800</v>
      </c>
      <c r="R9" s="9">
        <v>-1000</v>
      </c>
      <c r="S9" s="48">
        <v>-500</v>
      </c>
      <c r="T9" s="21">
        <f t="shared" si="4"/>
        <v>17300</v>
      </c>
      <c r="U9" s="53">
        <f>IF($J9="","",ROUND(($J9-$J$3)/1000,1)+(_xlfn.RANK.AVG($J9,($J9,$O9,$T9),1)-2)*10)</f>
        <v>31.8</v>
      </c>
      <c r="V9" s="54">
        <f>IF($O9="","",ROUND(($O9-$O$3)/1000,1)+(_xlfn.RANK.AVG($O9,($J9,$O9,$T9),1)-2)*10)</f>
        <v>-4.0999999999999996</v>
      </c>
      <c r="W9" s="55">
        <f>IF($T9="","",ROUND(($T9-$T$3)/1000,1)+(_xlfn.RANK.AVG($T9,($J9,$O9,$T9),1)-2)*10)</f>
        <v>-27.7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201</v>
      </c>
      <c r="AF9" s="41" t="s">
        <v>82</v>
      </c>
      <c r="AG9" s="41" t="s">
        <v>206</v>
      </c>
      <c r="AH9" s="41" t="s">
        <v>80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194</v>
      </c>
      <c r="F10" s="8" t="s">
        <v>199</v>
      </c>
      <c r="G10" s="9">
        <v>18000</v>
      </c>
      <c r="H10" s="9"/>
      <c r="I10" s="48">
        <v>2000</v>
      </c>
      <c r="J10" s="21">
        <f t="shared" si="2"/>
        <v>76800</v>
      </c>
      <c r="K10" s="8" t="s">
        <v>200</v>
      </c>
      <c r="L10" s="9">
        <v>-18000</v>
      </c>
      <c r="M10" s="9"/>
      <c r="N10" s="48">
        <v>-2000</v>
      </c>
      <c r="O10" s="21">
        <f t="shared" si="3"/>
        <v>10900</v>
      </c>
      <c r="P10" s="8"/>
      <c r="Q10" s="9"/>
      <c r="R10" s="9"/>
      <c r="S10" s="48"/>
      <c r="T10" s="21">
        <f t="shared" si="4"/>
        <v>17300</v>
      </c>
      <c r="U10" s="53">
        <f>IF($J10="","",ROUND(($J10-$J$3)/1000,1)+(_xlfn.RANK.AVG($J10,($J10,$O10,$T10),1)-2)*10)</f>
        <v>51.8</v>
      </c>
      <c r="V10" s="54">
        <f>IF($O10="","",ROUND(($O10-$O$3)/1000,1)+(_xlfn.RANK.AVG($O10,($J10,$O10,$T10),1)-2)*10)</f>
        <v>-34.1</v>
      </c>
      <c r="W10" s="55">
        <f>IF($T10="","",ROUND(($T10-$T$3)/1000,1)+(_xlfn.RANK.AVG($T10,($J10,$O10,$T10),1)-2)*10)</f>
        <v>-17.7</v>
      </c>
      <c r="Y10" s="8"/>
      <c r="Z10" s="34"/>
      <c r="AA10" s="26"/>
      <c r="AB10" s="26">
        <v>1</v>
      </c>
      <c r="AC10" s="26">
        <v>6</v>
      </c>
      <c r="AD10" s="30" t="s">
        <v>205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 t="s">
        <v>79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194</v>
      </c>
      <c r="F11" s="8" t="s">
        <v>195</v>
      </c>
      <c r="G11" s="9">
        <v>0</v>
      </c>
      <c r="H11" s="9"/>
      <c r="I11" s="48"/>
      <c r="J11" s="21">
        <f t="shared" si="2"/>
        <v>76800</v>
      </c>
      <c r="K11" s="8" t="s">
        <v>195</v>
      </c>
      <c r="L11" s="9">
        <v>0</v>
      </c>
      <c r="M11" s="9">
        <v>-1000</v>
      </c>
      <c r="N11" s="48"/>
      <c r="O11" s="21">
        <f t="shared" si="3"/>
        <v>9900</v>
      </c>
      <c r="P11" s="8" t="s">
        <v>195</v>
      </c>
      <c r="Q11" s="9">
        <v>0</v>
      </c>
      <c r="R11" s="9"/>
      <c r="S11" s="48"/>
      <c r="T11" s="21">
        <f t="shared" si="4"/>
        <v>17300</v>
      </c>
      <c r="U11" s="53">
        <f>IF($J11="","",ROUND(($J11-$J$3)/1000,1)+(_xlfn.RANK.AVG($J11,($J11,$O11,$T11),1)-2)*10)</f>
        <v>51.8</v>
      </c>
      <c r="V11" s="54">
        <f>IF($O11="","",ROUND(($O11-$O$3)/1000,1)+(_xlfn.RANK.AVG($O11,($J11,$O11,$T11),1)-2)*10)</f>
        <v>-35.1</v>
      </c>
      <c r="W11" s="55">
        <f>IF($T11="","",ROUND(($T11-$T$3)/1000,1)+(_xlfn.RANK.AVG($T11,($J11,$O11,$T11),1)-2)*10)</f>
        <v>-17.7</v>
      </c>
      <c r="Y11" s="8" t="s">
        <v>197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197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197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南</v>
      </c>
      <c r="B12" s="18">
        <f t="shared" si="5"/>
        <v>1</v>
      </c>
      <c r="C12" s="18">
        <f t="shared" si="6"/>
        <v>4</v>
      </c>
      <c r="D12" s="18">
        <f t="shared" si="1"/>
        <v>1</v>
      </c>
      <c r="E12" s="4" t="s">
        <v>194</v>
      </c>
      <c r="F12" s="8" t="s">
        <v>199</v>
      </c>
      <c r="G12" s="9">
        <v>9600</v>
      </c>
      <c r="H12" s="9">
        <v>1000</v>
      </c>
      <c r="I12" s="48">
        <v>4000</v>
      </c>
      <c r="J12" s="21">
        <f t="shared" si="2"/>
        <v>91400</v>
      </c>
      <c r="K12" s="8" t="s">
        <v>200</v>
      </c>
      <c r="L12" s="9">
        <v>-9600</v>
      </c>
      <c r="M12" s="9"/>
      <c r="N12" s="48">
        <v>-4000</v>
      </c>
      <c r="O12" s="21">
        <f t="shared" si="3"/>
        <v>-3700</v>
      </c>
      <c r="P12" s="8"/>
      <c r="Q12" s="9"/>
      <c r="R12" s="9"/>
      <c r="S12" s="48"/>
      <c r="T12" s="21">
        <f t="shared" si="4"/>
        <v>17300</v>
      </c>
      <c r="U12" s="53">
        <f>IF($J12="","",ROUND(($J12-$J$3)/1000,1)+(_xlfn.RANK.AVG($J12,($J12,$O12,$T12),1)-2)*10)</f>
        <v>66.400000000000006</v>
      </c>
      <c r="V12" s="54">
        <f>IF($O12="","",ROUND(($O12-$O$3)/1000,1)+(_xlfn.RANK.AVG($O12,($J12,$O12,$T12),1)-2)*10)</f>
        <v>-48.7</v>
      </c>
      <c r="W12" s="55">
        <f>IF($T12="","",ROUND(($T12-$T$3)/1000,1)+(_xlfn.RANK.AVG($T12,($J12,$O12,$T12),1)-2)*10)</f>
        <v>-17.7</v>
      </c>
      <c r="Y12" s="8"/>
      <c r="Z12" s="34"/>
      <c r="AA12" s="26"/>
      <c r="AB12" s="26"/>
      <c r="AC12" s="26">
        <v>4</v>
      </c>
      <c r="AD12" s="30">
        <v>25</v>
      </c>
      <c r="AE12" s="40" t="s">
        <v>101</v>
      </c>
      <c r="AF12" s="41" t="s">
        <v>79</v>
      </c>
      <c r="AG12" s="41" t="s">
        <v>79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672B446-AEFF-4B8F-A57E-21672A10CA28}">
      <formula1>"たかの,だいち,ただ,りくと,れんたろう,まっつん,のり,ぱぱ,"</formula1>
    </dataValidation>
    <dataValidation type="list" showInputMessage="1" showErrorMessage="1" sqref="K4:K30 P4:P30 F4:F30" xr:uid="{2BADF6BF-DEEB-4141-B227-9EC582DE49E9}">
      <formula1>"ロン,ツモ,放銃,ツモ支払,流局,チョンボ"</formula1>
    </dataValidation>
    <dataValidation type="list" allowBlank="1" showInputMessage="1" showErrorMessage="1" sqref="E4:E30" xr:uid="{1F485378-4EDB-4F84-8DB0-6C2153D697A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6" customWidth="1"/>
    <col min="2" max="2" width="6.453125" style="36" customWidth="1"/>
    <col min="3" max="3" width="19.26953125" style="15" bestFit="1" customWidth="1"/>
    <col min="4" max="5" width="6.453125" style="15" customWidth="1"/>
  </cols>
  <sheetData>
    <row r="1" spans="1: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>
      <c r="A2" s="36" t="s">
        <v>77</v>
      </c>
      <c r="B2" s="36" t="s">
        <v>139</v>
      </c>
      <c r="C2" s="15" t="s">
        <v>132</v>
      </c>
      <c r="D2" s="15">
        <v>1</v>
      </c>
    </row>
    <row r="3" spans="1:5">
      <c r="A3" s="36" t="s">
        <v>78</v>
      </c>
      <c r="B3" s="36" t="s">
        <v>148</v>
      </c>
      <c r="C3" s="15" t="s">
        <v>31</v>
      </c>
      <c r="D3" s="15">
        <v>1</v>
      </c>
    </row>
    <row r="4" spans="1: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>
      <c r="A5" s="36" t="s">
        <v>80</v>
      </c>
      <c r="B5" s="36" t="s">
        <v>142</v>
      </c>
      <c r="C5" s="15" t="s">
        <v>33</v>
      </c>
      <c r="D5" s="15">
        <v>1</v>
      </c>
    </row>
    <row r="6" spans="1:5">
      <c r="A6" s="36" t="s">
        <v>81</v>
      </c>
      <c r="C6" s="15" t="s">
        <v>34</v>
      </c>
      <c r="D6" s="15">
        <v>1</v>
      </c>
      <c r="E6" s="15">
        <v>1</v>
      </c>
    </row>
    <row r="7" spans="1:5">
      <c r="A7" s="36" t="s">
        <v>82</v>
      </c>
      <c r="B7" s="36" t="s">
        <v>140</v>
      </c>
      <c r="C7" s="15" t="s">
        <v>35</v>
      </c>
      <c r="D7" s="15">
        <v>1</v>
      </c>
    </row>
    <row r="8" spans="1:5">
      <c r="A8" s="36" t="s">
        <v>83</v>
      </c>
      <c r="B8" s="36" t="s">
        <v>144</v>
      </c>
      <c r="C8" s="15" t="s">
        <v>36</v>
      </c>
      <c r="D8" s="15">
        <v>1</v>
      </c>
    </row>
    <row r="9" spans="1:5">
      <c r="A9" s="36" t="s">
        <v>84</v>
      </c>
      <c r="B9" s="36" t="s">
        <v>146</v>
      </c>
      <c r="C9" s="15" t="s">
        <v>37</v>
      </c>
      <c r="D9" s="15">
        <v>1</v>
      </c>
    </row>
    <row r="10" spans="1: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>
      <c r="A16" s="36" t="s">
        <v>91</v>
      </c>
      <c r="B16" s="36" t="s">
        <v>157</v>
      </c>
      <c r="C16" s="15" t="s">
        <v>43</v>
      </c>
      <c r="D16" s="15">
        <v>2</v>
      </c>
    </row>
    <row r="17" spans="1: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>
      <c r="A19" s="36" t="s">
        <v>94</v>
      </c>
      <c r="C19" s="15" t="s">
        <v>45</v>
      </c>
      <c r="D19" s="15">
        <v>2</v>
      </c>
      <c r="E19" s="15">
        <v>1</v>
      </c>
    </row>
    <row r="20" spans="1: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>
      <c r="A26" s="36" t="s">
        <v>101</v>
      </c>
      <c r="B26" s="36" t="s">
        <v>154</v>
      </c>
      <c r="C26" s="15" t="s">
        <v>52</v>
      </c>
      <c r="D26" s="15">
        <v>2</v>
      </c>
    </row>
    <row r="27" spans="1:5">
      <c r="A27" s="36" t="s">
        <v>102</v>
      </c>
      <c r="B27" s="36" t="s">
        <v>164</v>
      </c>
      <c r="C27" s="15" t="s">
        <v>53</v>
      </c>
      <c r="D27" s="15">
        <v>3</v>
      </c>
    </row>
    <row r="28" spans="1: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>
      <c r="A32" s="36" t="s">
        <v>107</v>
      </c>
      <c r="B32" s="36" t="s">
        <v>169</v>
      </c>
      <c r="C32" s="15" t="s">
        <v>57</v>
      </c>
      <c r="D32" s="15">
        <v>13</v>
      </c>
    </row>
    <row r="33" spans="1:5">
      <c r="A33" s="36" t="s">
        <v>108</v>
      </c>
      <c r="B33" s="36" t="s">
        <v>170</v>
      </c>
      <c r="C33" s="15" t="s">
        <v>58</v>
      </c>
      <c r="D33" s="15">
        <v>13</v>
      </c>
    </row>
    <row r="34" spans="1: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>
      <c r="A41" s="36" t="s">
        <v>116</v>
      </c>
      <c r="B41" s="36" t="s">
        <v>178</v>
      </c>
      <c r="C41" s="15" t="s">
        <v>66</v>
      </c>
      <c r="D41" s="15">
        <v>13</v>
      </c>
    </row>
    <row r="42" spans="1:5">
      <c r="A42" s="36" t="s">
        <v>117</v>
      </c>
      <c r="B42" s="36" t="s">
        <v>179</v>
      </c>
      <c r="C42" s="15" t="s">
        <v>67</v>
      </c>
      <c r="D42" s="15">
        <v>13</v>
      </c>
    </row>
    <row r="43" spans="1:5">
      <c r="A43" s="36" t="s">
        <v>118</v>
      </c>
      <c r="B43" s="36" t="s">
        <v>180</v>
      </c>
      <c r="C43" s="15" t="s">
        <v>68</v>
      </c>
      <c r="D43" s="15">
        <v>13</v>
      </c>
    </row>
    <row r="44" spans="1:5">
      <c r="A44" s="36" t="s">
        <v>119</v>
      </c>
      <c r="B44" s="36" t="s">
        <v>181</v>
      </c>
      <c r="C44" s="15" t="s">
        <v>69</v>
      </c>
      <c r="D44" s="15">
        <v>13</v>
      </c>
    </row>
    <row r="45" spans="1:5">
      <c r="A45" s="36" t="s">
        <v>120</v>
      </c>
      <c r="B45" s="36" t="s">
        <v>182</v>
      </c>
      <c r="C45" s="15" t="s">
        <v>70</v>
      </c>
      <c r="D45" s="15">
        <v>26</v>
      </c>
    </row>
    <row r="46" spans="1:5">
      <c r="A46" s="36" t="s">
        <v>121</v>
      </c>
      <c r="B46" s="36" t="s">
        <v>183</v>
      </c>
      <c r="C46" s="15" t="s">
        <v>71</v>
      </c>
      <c r="D46" s="15">
        <v>26</v>
      </c>
    </row>
    <row r="47" spans="1:5">
      <c r="A47" s="36" t="s">
        <v>122</v>
      </c>
      <c r="B47" s="36" t="s">
        <v>184</v>
      </c>
      <c r="C47" s="15" t="s">
        <v>72</v>
      </c>
      <c r="D47" s="15">
        <v>26</v>
      </c>
    </row>
    <row r="48" spans="1:5">
      <c r="A48" s="36" t="s">
        <v>123</v>
      </c>
      <c r="B48" s="36" t="s">
        <v>185</v>
      </c>
      <c r="C48" s="15" t="s">
        <v>73</v>
      </c>
      <c r="D48" s="15">
        <v>13</v>
      </c>
    </row>
    <row r="49" spans="1:5">
      <c r="A49" s="36" t="s">
        <v>124</v>
      </c>
      <c r="B49" s="36" t="s">
        <v>186</v>
      </c>
      <c r="C49" s="15" t="s">
        <v>74</v>
      </c>
      <c r="D49" s="15">
        <v>13</v>
      </c>
    </row>
    <row r="50" spans="1:5">
      <c r="A50" s="36" t="s">
        <v>125</v>
      </c>
      <c r="C50" s="15" t="s">
        <v>75</v>
      </c>
      <c r="D50" s="15">
        <v>13</v>
      </c>
    </row>
    <row r="51" spans="1:5">
      <c r="A51" s="36" t="s">
        <v>126</v>
      </c>
      <c r="B51" s="36" t="s">
        <v>187</v>
      </c>
      <c r="C51" s="15" t="s">
        <v>76</v>
      </c>
      <c r="D51" s="15">
        <v>13</v>
      </c>
    </row>
    <row r="52" spans="1:5">
      <c r="A52" s="36" t="s">
        <v>134</v>
      </c>
      <c r="B52" s="36" t="s">
        <v>158</v>
      </c>
      <c r="C52" s="15" t="s">
        <v>135</v>
      </c>
      <c r="D52" s="15">
        <v>2</v>
      </c>
    </row>
    <row r="53" spans="1: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4.5"/>
  <cols>
    <col min="1" max="12" width="9" style="32"/>
    <col min="13" max="13" width="9" style="32" customWidth="1"/>
    <col min="14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E3" s="32">
        <v>3900</v>
      </c>
      <c r="F3" s="32">
        <v>7700</v>
      </c>
    </row>
    <row r="4" spans="1:13">
      <c r="A4" s="15">
        <v>25</v>
      </c>
      <c r="D4" s="32">
        <v>2400</v>
      </c>
      <c r="E4" s="32">
        <v>4800</v>
      </c>
      <c r="F4" s="32">
        <v>9600</v>
      </c>
    </row>
    <row r="5" spans="1:13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2019-09-29T09:58:05Z</dcterms:modified>
</cp:coreProperties>
</file>