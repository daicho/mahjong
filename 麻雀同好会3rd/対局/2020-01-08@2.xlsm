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8522ED31-C84C-4556-8D0D-AA2DD6353B52}" xr6:coauthVersionLast="41" xr6:coauthVersionMax="41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2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O12" i="23"/>
  <c r="J12" i="23"/>
  <c r="D12" i="23"/>
  <c r="C12" i="23"/>
  <c r="B12" i="23"/>
  <c r="A12" i="23" s="1"/>
  <c r="D11" i="23"/>
  <c r="D10" i="23"/>
  <c r="D8" i="23"/>
  <c r="D9" i="23" s="1"/>
  <c r="D6" i="23"/>
  <c r="D7" i="23" s="1"/>
  <c r="C6" i="23"/>
  <c r="C7" i="23" s="1"/>
  <c r="C8" i="23" s="1"/>
  <c r="C9" i="23" s="1"/>
  <c r="C10" i="23" s="1"/>
  <c r="C11" i="23" s="1"/>
  <c r="O5" i="23"/>
  <c r="J5" i="23"/>
  <c r="J6" i="23" s="1"/>
  <c r="D5" i="23"/>
  <c r="C5" i="23"/>
  <c r="B5" i="23"/>
  <c r="B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U12" i="23" l="1"/>
  <c r="W12" i="23"/>
  <c r="V12" i="23"/>
  <c r="A5" i="23"/>
  <c r="U4" i="23"/>
  <c r="B7" i="23"/>
  <c r="J7" i="23"/>
  <c r="V4" i="23"/>
  <c r="T5" i="23"/>
  <c r="W4" i="23"/>
  <c r="U5" i="23"/>
  <c r="O6" i="23"/>
  <c r="A6" i="23"/>
  <c r="A7" i="23" l="1"/>
  <c r="O7" i="23"/>
  <c r="B8" i="23"/>
  <c r="W5" i="23"/>
  <c r="T6" i="23"/>
  <c r="V6" i="23" s="1"/>
  <c r="V5" i="23"/>
  <c r="J8" i="23"/>
  <c r="O8" i="23" l="1"/>
  <c r="J9" i="23"/>
  <c r="B9" i="23"/>
  <c r="W6" i="23"/>
  <c r="T7" i="23"/>
  <c r="V7" i="23" s="1"/>
  <c r="U6" i="23"/>
  <c r="A8" i="23"/>
  <c r="A9" i="23" l="1"/>
  <c r="W7" i="23"/>
  <c r="T8" i="23"/>
  <c r="V8" i="23"/>
  <c r="O9" i="23"/>
  <c r="B10" i="23"/>
  <c r="A10" i="23" s="1"/>
  <c r="U7" i="23"/>
  <c r="J10" i="23"/>
  <c r="J11" i="23" l="1"/>
  <c r="W8" i="23"/>
  <c r="T9" i="23"/>
  <c r="U8" i="23"/>
  <c r="B11" i="23"/>
  <c r="A11" i="23" s="1"/>
  <c r="V9" i="23"/>
  <c r="O10" i="23"/>
  <c r="O11" i="23" l="1"/>
  <c r="W9" i="23"/>
  <c r="T10" i="23"/>
  <c r="V10" i="23" s="1"/>
  <c r="U9" i="23"/>
  <c r="V11" i="23" l="1"/>
  <c r="U11" i="23"/>
  <c r="W10" i="23"/>
  <c r="T11" i="23"/>
  <c r="W11" i="23" s="1"/>
  <c r="U10" i="23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D11" i="22"/>
  <c r="C11" i="22"/>
  <c r="D10" i="22"/>
  <c r="C10" i="22"/>
  <c r="D9" i="22"/>
  <c r="C9" i="22"/>
  <c r="D7" i="22"/>
  <c r="D8" i="22" s="1"/>
  <c r="C7" i="22"/>
  <c r="C8" i="22" s="1"/>
  <c r="D6" i="22"/>
  <c r="C6" i="22"/>
  <c r="B6" i="22"/>
  <c r="B7" i="22" s="1"/>
  <c r="T5" i="22"/>
  <c r="D5" i="22"/>
  <c r="C5" i="22"/>
  <c r="B5" i="22"/>
  <c r="A5" i="22" s="1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A6" i="22" l="1"/>
  <c r="W4" i="22"/>
  <c r="U4" i="22"/>
  <c r="V4" i="22"/>
  <c r="W5" i="22"/>
  <c r="B8" i="22"/>
  <c r="V5" i="22"/>
  <c r="O6" i="22"/>
  <c r="A7" i="22"/>
  <c r="J5" i="22"/>
  <c r="T6" i="22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C14" i="20"/>
  <c r="D13" i="20"/>
  <c r="D14" i="20" s="1"/>
  <c r="C13" i="20"/>
  <c r="D12" i="20"/>
  <c r="C12" i="20"/>
  <c r="D11" i="20"/>
  <c r="D10" i="20"/>
  <c r="C10" i="20"/>
  <c r="C11" i="20" s="1"/>
  <c r="D9" i="20"/>
  <c r="C9" i="20"/>
  <c r="D8" i="20"/>
  <c r="C8" i="20"/>
  <c r="D7" i="20"/>
  <c r="C6" i="20"/>
  <c r="C7" i="20" s="1"/>
  <c r="B6" i="20"/>
  <c r="B7" i="20" s="1"/>
  <c r="J5" i="20"/>
  <c r="D5" i="20"/>
  <c r="D6" i="20" s="1"/>
  <c r="C5" i="20"/>
  <c r="B5" i="20"/>
  <c r="A5" i="20" s="1"/>
  <c r="T4" i="20"/>
  <c r="O4" i="20"/>
  <c r="O5" i="20" s="1"/>
  <c r="J4" i="20"/>
  <c r="V4" i="20" s="1"/>
  <c r="W3" i="20"/>
  <c r="V3" i="20"/>
  <c r="U3" i="20"/>
  <c r="W2" i="20"/>
  <c r="V2" i="20"/>
  <c r="U2" i="20"/>
  <c r="BO1" i="20"/>
  <c r="AT1" i="20"/>
  <c r="Y1" i="20"/>
  <c r="T7" i="22" l="1"/>
  <c r="O7" i="22"/>
  <c r="B9" i="22"/>
  <c r="A9" i="22" s="1"/>
  <c r="A8" i="22"/>
  <c r="U5" i="22"/>
  <c r="J6" i="22"/>
  <c r="W6" i="22" s="1"/>
  <c r="A6" i="20"/>
  <c r="W4" i="20"/>
  <c r="U5" i="20"/>
  <c r="V5" i="20"/>
  <c r="O6" i="20"/>
  <c r="A7" i="20"/>
  <c r="B8" i="20"/>
  <c r="A8" i="20" s="1"/>
  <c r="U4" i="20"/>
  <c r="T5" i="20"/>
  <c r="J6" i="20"/>
  <c r="V6" i="22" l="1"/>
  <c r="O8" i="22"/>
  <c r="U6" i="22"/>
  <c r="J7" i="22"/>
  <c r="V7" i="22" s="1"/>
  <c r="B10" i="22"/>
  <c r="W7" i="22"/>
  <c r="T8" i="22"/>
  <c r="J7" i="20"/>
  <c r="W5" i="20"/>
  <c r="T6" i="20"/>
  <c r="U6" i="20" s="1"/>
  <c r="B9" i="20"/>
  <c r="V6" i="20"/>
  <c r="O7" i="20"/>
  <c r="O9" i="22" l="1"/>
  <c r="T9" i="22"/>
  <c r="B11" i="22"/>
  <c r="A10" i="22"/>
  <c r="A11" i="22" s="1"/>
  <c r="J8" i="22"/>
  <c r="V8" i="22" s="1"/>
  <c r="U7" i="22"/>
  <c r="B10" i="20"/>
  <c r="J8" i="20"/>
  <c r="O8" i="20"/>
  <c r="A9" i="20"/>
  <c r="W6" i="20"/>
  <c r="T7" i="20"/>
  <c r="V7" i="20" s="1"/>
  <c r="T10" i="22" l="1"/>
  <c r="O10" i="22"/>
  <c r="U8" i="22"/>
  <c r="J9" i="22"/>
  <c r="W9" i="22" s="1"/>
  <c r="W8" i="22"/>
  <c r="T8" i="20"/>
  <c r="U8" i="20" s="1"/>
  <c r="W7" i="20"/>
  <c r="O9" i="20"/>
  <c r="J9" i="20"/>
  <c r="B11" i="20"/>
  <c r="A11" i="20" s="1"/>
  <c r="U7" i="20"/>
  <c r="A10" i="20"/>
  <c r="V9" i="22" l="1"/>
  <c r="T11" i="22"/>
  <c r="U9" i="22"/>
  <c r="J10" i="22"/>
  <c r="W10" i="22" s="1"/>
  <c r="V10" i="22"/>
  <c r="O11" i="22"/>
  <c r="W8" i="20"/>
  <c r="T9" i="20"/>
  <c r="J10" i="20"/>
  <c r="O10" i="20"/>
  <c r="B12" i="20"/>
  <c r="A12" i="20" s="1"/>
  <c r="V8" i="20"/>
  <c r="W11" i="22" l="1"/>
  <c r="V11" i="22"/>
  <c r="U10" i="22"/>
  <c r="J11" i="22"/>
  <c r="U11" i="22" s="1"/>
  <c r="W9" i="20"/>
  <c r="T10" i="20"/>
  <c r="B13" i="20"/>
  <c r="V9" i="20"/>
  <c r="J11" i="20"/>
  <c r="O11" i="20"/>
  <c r="U9" i="20"/>
  <c r="B14" i="20" l="1"/>
  <c r="W10" i="20"/>
  <c r="T11" i="20"/>
  <c r="O12" i="20"/>
  <c r="V11" i="20"/>
  <c r="V10" i="20"/>
  <c r="U11" i="20"/>
  <c r="J12" i="20"/>
  <c r="U10" i="20"/>
  <c r="A13" i="20"/>
  <c r="B15" i="20" l="1"/>
  <c r="A15" i="20" s="1"/>
  <c r="A14" i="20"/>
  <c r="J13" i="20"/>
  <c r="U12" i="20"/>
  <c r="V12" i="20"/>
  <c r="O13" i="20"/>
  <c r="T12" i="20"/>
  <c r="W11" i="20"/>
  <c r="T13" i="20" l="1"/>
  <c r="W12" i="20"/>
  <c r="O14" i="20"/>
  <c r="U13" i="20"/>
  <c r="J14" i="20"/>
  <c r="W13" i="20" l="1"/>
  <c r="T14" i="20"/>
  <c r="U14" i="20"/>
  <c r="J15" i="20"/>
  <c r="V14" i="20"/>
  <c r="O15" i="20"/>
  <c r="V13" i="20"/>
  <c r="W14" i="20" l="1"/>
  <c r="T15" i="20"/>
  <c r="W15" i="20" s="1"/>
  <c r="U15" i="20" l="1"/>
  <c r="V15" i="20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 s="1"/>
  <c r="T15" i="19"/>
  <c r="O15" i="19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W13" i="19" s="1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5" i="19" l="1"/>
  <c r="V15" i="19"/>
  <c r="U14" i="19"/>
  <c r="W14" i="19"/>
  <c r="V14" i="19"/>
  <c r="U13" i="19"/>
  <c r="V13" i="19"/>
  <c r="V12" i="19"/>
  <c r="W12" i="19"/>
  <c r="U12" i="19"/>
  <c r="W11" i="19"/>
  <c r="V11" i="19"/>
  <c r="V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<sst xmlns="http://schemas.openxmlformats.org/spreadsheetml/2006/main" count="940" uniqueCount="215">
  <si>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</si>
  <si>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</si>
  <si>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</si>
  <si>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</si>
  <si>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</si>
  <si>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</si>
  <si>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</si>
  <si>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</si>
  <si>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</si>
  <si>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</si>
  <si>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</si>
  <si>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</si>
  <si>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</si>
  <si>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</si>
  <si>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</si>
  <si>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</si>
  <si>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</si>
  <si>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</si>
  <si>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</si>
  <si>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</si>
  <si>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</si>
  <si>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</si>
  <si>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</si>
  <si>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</si>
  <si>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</si>
  <si>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</si>
  <si>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</si>
  <si>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</si>
  <si>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</si>
  <si>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</si>
  <si>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</si>
  <si>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</si>
  <si>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</si>
  <si>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</si>
  <si>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</si>
  <si>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</si>
  <si>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</si>
  <si>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</si>
  <si>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</si>
  <si>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</si>
  <si>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</si>
  <si>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</si>
  <si>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</si>
  <si>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</si>
  <si>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</si>
  <si>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</si>
  <si>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</si>
  <si>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</si>
  <si>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</si>
  <si>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</si>
  <si>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</si>
  <si>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</si>
  <si>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</si>
  <si>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</si>
  <si>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</si>
  <si>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</si>
  <si>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</si>
  <si>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</si>
  <si>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</si>
  <si>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</si>
  <si>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</si>
  <si>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</si>
  <si>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</si>
  <si>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</si>
  <si>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</si>
  <si>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</si>
  <si>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</si>
  <si>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</si>
  <si>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</si>
  <si>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</si>
  <si>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</si>
  <si>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</si>
  <si>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</si>
  <si>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</si>
  <si>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</si>
  <si>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</si>
  <si>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</si>
  <si>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</si>
  <si>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</si>
  <si>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</si>
  <si>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</si>
  <si>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</si>
  <si>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</si>
  <si>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</si>
  <si>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</si>
  <si>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</si>
  <si>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</si>
  <si>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</si>
  <si>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</si>
  <si>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</si>
  <si>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</si>
  <si>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</si>
  <si>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</si>
  <si>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</si>
  <si>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</si>
  <si>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</si>
  <si>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</si>
  <si>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</si>
  <si>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</si>
  <si>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</si>
  <si>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</si>
  <si>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</si>
  <si>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</si>
  <si>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</si>
  <si>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</si>
  <si>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</si>
  <si>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</si>
  <si>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</si>
  <si>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</si>
  <si>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</si>
  <si>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</si>
  <si>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</si>
  <si>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</si>
  <si>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</si>
  <si>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</si>
  <si>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</si>
  <si>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</si>
  <si>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</si>
  <si>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</si>
  <si>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</si>
  <si>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</si>
  <si>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</si>
  <si>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</si>
  <si>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</si>
  <si>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</si>
  <si>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</si>
  <si>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</si>
  <si>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</si>
  <si>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</si>
  <si>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</si>
  <si>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</si>
  <si>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</si>
  <si>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</si>
  <si>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</si>
  <si>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</si>
  <si>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</si>
  <si>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</si>
  <si>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</si>
  <si>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</si>
  <si>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</si>
  <si>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</si>
  <si>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</si>
  <si>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</si>
  <si>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</si>
  <si>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</si>
  <si>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</si>
  <si>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</si>
  <si>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</si>
  <si>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</si>
  <si>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</si>
  <si>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</si>
  <si>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</si>
  <si>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</si>
  <si>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</si>
  <si>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</si>
  <si>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</si>
  <si>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</si>
  <si>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</si>
  <si>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</si>
  <si>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</si>
  <si>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</si>
  <si>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</si>
  <si>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</si>
  <si>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</si>
  <si>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</si>
  <si>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</si>
  <si>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</si>
  <si>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</si>
  <si>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</si>
  <si>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</si>
  <si>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</si>
  <si>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</si>
  <si>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</si>
  <si>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</si>
  <si>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</si>
  <si>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</si>
  <si>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</si>
  <si>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</si>
  <si>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</si>
  <si>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</si>
  <si>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</si>
  <si>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</si>
  <si>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</si>
  <si>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</si>
  <si>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</si>
  <si>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</si>
  <si>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</si>
  <si>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</si>
  <si>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</si>
  <si>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</si>
  <si>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</si>
  <si>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</si>
  <si>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</si>
  <si>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まっつん</t>
  </si>
  <si>
    <t>まっつん</t>
    <phoneticPr fontId="1"/>
  </si>
  <si>
    <t>だいち</t>
  </si>
  <si>
    <t>だいち</t>
    <phoneticPr fontId="1"/>
  </si>
  <si>
    <t>ツモ</t>
  </si>
  <si>
    <t>ツモ支払</t>
  </si>
  <si>
    <t>*</t>
  </si>
  <si>
    <t>01</t>
  </si>
  <si>
    <t>52</t>
  </si>
  <si>
    <t>T</t>
  </si>
  <si>
    <t>N</t>
  </si>
  <si>
    <t>流局</t>
    <phoneticPr fontId="1"/>
  </si>
  <si>
    <t>ロン</t>
  </si>
  <si>
    <t>放銃</t>
  </si>
  <si>
    <t>流局</t>
    <phoneticPr fontId="1"/>
  </si>
  <si>
    <t>のり</t>
  </si>
  <si>
    <t>のり</t>
    <phoneticPr fontId="1"/>
  </si>
  <si>
    <t>たかの</t>
  </si>
  <si>
    <t>たかの</t>
    <phoneticPr fontId="1"/>
  </si>
  <si>
    <t>れんたろう</t>
  </si>
  <si>
    <t>れんたろう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</si>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</sst>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198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>
        <v>1</v>
      </c>
      <c r="AB4" s="26"/>
      <c r="AC4" s="26">
        <v>6</v>
      </c>
      <c r="AD4" s="30" t="s">
        <v>199</v>
      </c>
      <c r="AE4" s="40" t="s">
        <v>200</v>
      </c>
      <c r="AF4" s="41" t="s">
        <v>82</v>
      </c>
      <c r="AG4" s="41" t="s">
        <v>80</v>
      </c>
      <c r="AH4" s="41" t="s">
        <v>80</v>
      </c>
      <c r="AI4" s="41" t="s">
        <v>80</v>
      </c>
      <c r="AJ4" s="41" t="s">
        <v>201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204</v>
      </c>
      <c r="G5" s="9">
        <v>3000</v>
      </c>
      <c r="H5" s="9"/>
      <c r="I5" s="48"/>
      <c r="J5" s="21">
        <f t="shared" ref="J5:J30" si="2">IF(COUNTA($F5,$K5,$P5)&gt;0,J4+SUM(G5:I5),"")</f>
        <v>56000</v>
      </c>
      <c r="K5" s="8" t="s">
        <v>204</v>
      </c>
      <c r="L5" s="9">
        <v>-1500</v>
      </c>
      <c r="M5" s="9"/>
      <c r="N5" s="48"/>
      <c r="O5" s="21">
        <f t="shared" ref="O5:O30" si="3">IF(COUNTA($F5,$K5,$P5)&gt;0,O4+SUM(L5:N5),"")</f>
        <v>24500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24500</v>
      </c>
      <c r="U5" s="53">
        <f>IF($J5="","",ROUND(($J5-$J$3)/1000,1)+(_xlfn.RANK.AVG($J5,($J5,$O5,$T5),1)-2)*10)</f>
        <v>31</v>
      </c>
      <c r="V5" s="54">
        <f>IF($O5="","",ROUND(($O5-$O$3)/1000,1)+(_xlfn.RANK.AVG($O5,($J5,$O5,$T5),1)-2)*10)</f>
        <v>-15.5</v>
      </c>
      <c r="W5" s="55">
        <f>IF($T5="","",ROUND(($T5-$T$3)/1000,1)+(_xlfn.RANK.AVG($T5,($J5,$O5,$T5),1)-2)*10)</f>
        <v>-15.5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205</v>
      </c>
      <c r="G6" s="9">
        <v>2000</v>
      </c>
      <c r="H6" s="9"/>
      <c r="I6" s="48">
        <v>2000</v>
      </c>
      <c r="J6" s="21">
        <f t="shared" si="2"/>
        <v>60000</v>
      </c>
      <c r="K6" s="8" t="s">
        <v>206</v>
      </c>
      <c r="L6" s="9">
        <v>-2000</v>
      </c>
      <c r="M6" s="9"/>
      <c r="N6" s="48">
        <v>-2000</v>
      </c>
      <c r="O6" s="21">
        <f t="shared" si="3"/>
        <v>20500</v>
      </c>
      <c r="P6" s="8"/>
      <c r="Q6" s="9"/>
      <c r="R6" s="9"/>
      <c r="S6" s="48"/>
      <c r="T6" s="21">
        <f t="shared" si="4"/>
        <v>24500</v>
      </c>
      <c r="U6" s="53">
        <f>IF($J6="","",ROUND(($J6-$J$3)/1000,1)+(_xlfn.RANK.AVG($J6,($J6,$O6,$T6),1)-2)*10)</f>
        <v>35</v>
      </c>
      <c r="V6" s="54">
        <f>IF($O6="","",ROUND(($O6-$O$3)/1000,1)+(_xlfn.RANK.AVG($O6,($J6,$O6,$T6),1)-2)*10)</f>
        <v>-24.5</v>
      </c>
      <c r="W6" s="55">
        <f>IF($T6="","",ROUND(($T6-$T$3)/1000,1)+(_xlfn.RANK.AVG($T6,($J6,$O6,$T6),1)-2)*10)</f>
        <v>-10.5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200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198</v>
      </c>
      <c r="G7" s="9">
        <v>-7500</v>
      </c>
      <c r="H7" s="9"/>
      <c r="I7" s="48">
        <v>-1500</v>
      </c>
      <c r="J7" s="21">
        <f t="shared" si="2"/>
        <v>51000</v>
      </c>
      <c r="K7" s="8" t="s">
        <v>198</v>
      </c>
      <c r="L7" s="9">
        <v>-4500</v>
      </c>
      <c r="M7" s="9"/>
      <c r="N7" s="48">
        <v>-1500</v>
      </c>
      <c r="O7" s="21">
        <f t="shared" si="3"/>
        <v>14500</v>
      </c>
      <c r="P7" s="8" t="s">
        <v>197</v>
      </c>
      <c r="Q7" s="9">
        <v>12000</v>
      </c>
      <c r="R7" s="9"/>
      <c r="S7" s="48">
        <v>3000</v>
      </c>
      <c r="T7" s="21">
        <f t="shared" si="4"/>
        <v>39500</v>
      </c>
      <c r="U7" s="53">
        <f>IF($J7="","",ROUND(($J7-$J$3)/1000,1)+(_xlfn.RANK.AVG($J7,($J7,$O7,$T7),1)-2)*10)</f>
        <v>26</v>
      </c>
      <c r="V7" s="54">
        <f>IF($O7="","",ROUND(($O7-$O$3)/1000,1)+(_xlfn.RANK.AVG($O7,($J7,$O7,$T7),1)-2)*10)</f>
        <v>-30.5</v>
      </c>
      <c r="W7" s="55">
        <f>IF($T7="","",ROUND(($T7-$T$3)/1000,1)+(_xlfn.RANK.AVG($T7,($J7,$O7,$T7),1)-2)*10)</f>
        <v>4.5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200</v>
      </c>
      <c r="BV7" s="41" t="s">
        <v>82</v>
      </c>
      <c r="BW7" s="41" t="s">
        <v>79</v>
      </c>
      <c r="BX7" s="41" t="s">
        <v>79</v>
      </c>
      <c r="BY7" s="41" t="s">
        <v>201</v>
      </c>
      <c r="BZ7" s="41" t="s">
        <v>201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205</v>
      </c>
      <c r="G8" s="9">
        <v>3900</v>
      </c>
      <c r="H8" s="9"/>
      <c r="I8" s="48">
        <v>0</v>
      </c>
      <c r="J8" s="21">
        <f t="shared" si="2"/>
        <v>54900</v>
      </c>
      <c r="K8" s="8"/>
      <c r="L8" s="9"/>
      <c r="M8" s="9"/>
      <c r="N8" s="48"/>
      <c r="O8" s="21">
        <f t="shared" si="3"/>
        <v>14500</v>
      </c>
      <c r="P8" s="8" t="s">
        <v>206</v>
      </c>
      <c r="Q8" s="9">
        <v>-3900</v>
      </c>
      <c r="R8" s="9"/>
      <c r="S8" s="48">
        <v>0</v>
      </c>
      <c r="T8" s="21">
        <f t="shared" si="4"/>
        <v>35600</v>
      </c>
      <c r="U8" s="53">
        <f>IF($J8="","",ROUND(($J8-$J$3)/1000,1)+(_xlfn.RANK.AVG($J8,($J8,$O8,$T8),1)-2)*10)</f>
        <v>29.9</v>
      </c>
      <c r="V8" s="54">
        <f>IF($O8="","",ROUND(($O8-$O$3)/1000,1)+(_xlfn.RANK.AVG($O8,($J8,$O8,$T8),1)-2)*10)</f>
        <v>-30.5</v>
      </c>
      <c r="W8" s="55">
        <f>IF($T8="","",ROUND(($T8-$T$3)/1000,1)+(_xlfn.RANK.AVG($T8,($J8,$O8,$T8),1)-2)*10)</f>
        <v>0.6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201</v>
      </c>
      <c r="AF8" s="41" t="s">
        <v>104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1000</v>
      </c>
      <c r="H9" s="9"/>
      <c r="I9" s="48">
        <v>0</v>
      </c>
      <c r="J9" s="21">
        <f t="shared" si="2"/>
        <v>55900</v>
      </c>
      <c r="K9" s="8" t="s">
        <v>206</v>
      </c>
      <c r="L9" s="9">
        <v>-1000</v>
      </c>
      <c r="M9" s="9"/>
      <c r="N9" s="48">
        <v>0</v>
      </c>
      <c r="O9" s="21">
        <f t="shared" si="3"/>
        <v>13500</v>
      </c>
      <c r="P9" s="8"/>
      <c r="Q9" s="9"/>
      <c r="R9" s="9"/>
      <c r="S9" s="48"/>
      <c r="T9" s="21">
        <f t="shared" si="4"/>
        <v>35600</v>
      </c>
      <c r="U9" s="53">
        <f>IF($J9="","",ROUND(($J9-$J$3)/1000,1)+(_xlfn.RANK.AVG($J9,($J9,$O9,$T9),1)-2)*10)</f>
        <v>30.9</v>
      </c>
      <c r="V9" s="54">
        <f>IF($O9="","",ROUND(($O9-$O$3)/1000,1)+(_xlfn.RANK.AVG($O9,($J9,$O9,$T9),1)-2)*10)</f>
        <v>-31.5</v>
      </c>
      <c r="W9" s="55">
        <f>IF($T9="","",ROUND(($T9-$T$3)/1000,1)+(_xlfn.RANK.AVG($T9,($J9,$O9,$T9),1)-2)*10)</f>
        <v>0.6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1500</v>
      </c>
      <c r="H10" s="9"/>
      <c r="I10" s="48"/>
      <c r="J10" s="21">
        <f t="shared" si="2"/>
        <v>57400</v>
      </c>
      <c r="K10" s="8" t="s">
        <v>204</v>
      </c>
      <c r="L10" s="9">
        <v>1500</v>
      </c>
      <c r="M10" s="9">
        <v>-1000</v>
      </c>
      <c r="N10" s="48"/>
      <c r="O10" s="21">
        <f t="shared" si="3"/>
        <v>14000</v>
      </c>
      <c r="P10" s="8" t="s">
        <v>204</v>
      </c>
      <c r="Q10" s="9">
        <v>-3000</v>
      </c>
      <c r="R10" s="9"/>
      <c r="S10" s="48"/>
      <c r="T10" s="21">
        <f t="shared" si="4"/>
        <v>32600</v>
      </c>
      <c r="U10" s="53">
        <f>IF($J10="","",ROUND(($J10-$J$3)/1000,1)+(_xlfn.RANK.AVG($J10,($J10,$O10,$T10),1)-2)*10)</f>
        <v>32.4</v>
      </c>
      <c r="V10" s="54">
        <f>IF($O10="","",ROUND(($O10-$O$3)/1000,1)+(_xlfn.RANK.AVG($O10,($J10,$O10,$T10),1)-2)*10)</f>
        <v>-31</v>
      </c>
      <c r="W10" s="55">
        <f>IF($T10="","",ROUND(($T10-$T$3)/1000,1)+(_xlfn.RANK.AVG($T10,($J10,$O10,$T10),1)-2)*10)</f>
        <v>-2.4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">
        <v>191</v>
      </c>
      <c r="F11" s="8" t="s">
        <v>206</v>
      </c>
      <c r="G11" s="9">
        <v>-8000</v>
      </c>
      <c r="H11" s="9"/>
      <c r="I11" s="48">
        <v>-1000</v>
      </c>
      <c r="J11" s="21">
        <f t="shared" si="2"/>
        <v>48400</v>
      </c>
      <c r="K11" s="8" t="s">
        <v>205</v>
      </c>
      <c r="L11" s="9">
        <v>8000</v>
      </c>
      <c r="M11" s="9">
        <v>1000</v>
      </c>
      <c r="N11" s="48">
        <v>1000</v>
      </c>
      <c r="O11" s="21">
        <f t="shared" si="3"/>
        <v>24000</v>
      </c>
      <c r="P11" s="8"/>
      <c r="Q11" s="9"/>
      <c r="R11" s="9"/>
      <c r="S11" s="48"/>
      <c r="T11" s="21">
        <f t="shared" si="4"/>
        <v>32600</v>
      </c>
      <c r="U11" s="53">
        <f>IF($J11="","",ROUND(($J11-$J$3)/1000,1)+(_xlfn.RANK.AVG($J11,($J11,$O11,$T11),1)-2)*10)</f>
        <v>23.4</v>
      </c>
      <c r="V11" s="54">
        <f>IF($O11="","",ROUND(($O11-$O$3)/1000,1)+(_xlfn.RANK.AVG($O11,($J11,$O11,$T11),1)-2)*10)</f>
        <v>-21</v>
      </c>
      <c r="W11" s="55">
        <f>IF($T11="","",ROUND(($T11-$T$3)/1000,1)+(_xlfn.RANK.AVG($T11,($J11,$O11,$T11),1)-2)*10)</f>
        <v>-2.4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200</v>
      </c>
      <c r="BA11" s="41" t="s">
        <v>83</v>
      </c>
      <c r="BB11" s="41" t="s">
        <v>201</v>
      </c>
      <c r="BC11" s="41" t="s">
        <v>80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-1500</v>
      </c>
      <c r="H12" s="9">
        <v>-1000</v>
      </c>
      <c r="I12" s="48">
        <v>0</v>
      </c>
      <c r="J12" s="21">
        <f t="shared" si="2"/>
        <v>45900</v>
      </c>
      <c r="K12" s="8" t="s">
        <v>197</v>
      </c>
      <c r="L12" s="9">
        <v>3000</v>
      </c>
      <c r="M12" s="9">
        <v>1000</v>
      </c>
      <c r="N12" s="48">
        <v>0</v>
      </c>
      <c r="O12" s="21">
        <f t="shared" si="3"/>
        <v>28000</v>
      </c>
      <c r="P12" s="8" t="s">
        <v>198</v>
      </c>
      <c r="Q12" s="9">
        <v>-1500</v>
      </c>
      <c r="R12" s="9"/>
      <c r="S12" s="48">
        <v>0</v>
      </c>
      <c r="T12" s="21">
        <f t="shared" si="4"/>
        <v>31100</v>
      </c>
      <c r="U12" s="53">
        <f>IF($J12="","",ROUND(($J12-$J$3)/1000,1)+(_xlfn.RANK.AVG($J12,($J12,$O12,$T12),1)-2)*10)</f>
        <v>20.9</v>
      </c>
      <c r="V12" s="54">
        <f>IF($O12="","",ROUND(($O12-$O$3)/1000,1)+(_xlfn.RANK.AVG($O12,($J12,$O12,$T12),1)-2)*10)</f>
        <v>-17</v>
      </c>
      <c r="W12" s="55">
        <f>IF($T12="","",ROUND(($T12-$T$3)/1000,1)+(_xlfn.RANK.AVG($T12,($J12,$O12,$T12),1)-2)*10)</f>
        <v>-3.9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30</v>
      </c>
      <c r="AZ12" s="40" t="s">
        <v>200</v>
      </c>
      <c r="BA12" s="41" t="s">
        <v>82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204</v>
      </c>
      <c r="G13" s="9">
        <v>1500</v>
      </c>
      <c r="H13" s="9">
        <v>-1000</v>
      </c>
      <c r="I13" s="48"/>
      <c r="J13" s="21">
        <f t="shared" si="2"/>
        <v>46400</v>
      </c>
      <c r="K13" s="8" t="s">
        <v>204</v>
      </c>
      <c r="L13" s="9">
        <v>1500</v>
      </c>
      <c r="M13" s="9"/>
      <c r="N13" s="48"/>
      <c r="O13" s="21">
        <f t="shared" si="3"/>
        <v>29500</v>
      </c>
      <c r="P13" s="8" t="s">
        <v>204</v>
      </c>
      <c r="Q13" s="9">
        <v>-3000</v>
      </c>
      <c r="R13" s="9"/>
      <c r="S13" s="48"/>
      <c r="T13" s="21">
        <f t="shared" si="4"/>
        <v>28100</v>
      </c>
      <c r="U13" s="53">
        <f>IF($J13="","",ROUND(($J13-$J$3)/1000,1)+(_xlfn.RANK.AVG($J13,($J13,$O13,$T13),1)-2)*10)</f>
        <v>21.4</v>
      </c>
      <c r="V13" s="54">
        <f>IF($O13="","",ROUND(($O13-$O$3)/1000,1)+(_xlfn.RANK.AVG($O13,($J13,$O13,$T13),1)-2)*10)</f>
        <v>-5.5</v>
      </c>
      <c r="W13" s="55">
        <f>IF($T13="","",ROUND(($T13-$T$3)/1000,1)+(_xlfn.RANK.AVG($T13,($J13,$O13,$T13),1)-2)*10)</f>
        <v>-16.899999999999999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202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1</v>
      </c>
      <c r="E14" s="4" t="s">
        <v>193</v>
      </c>
      <c r="F14" s="8" t="s">
        <v>205</v>
      </c>
      <c r="G14" s="9">
        <v>1000</v>
      </c>
      <c r="H14" s="9">
        <v>1000</v>
      </c>
      <c r="I14" s="48">
        <v>2000</v>
      </c>
      <c r="J14" s="21">
        <f t="shared" si="2"/>
        <v>50400</v>
      </c>
      <c r="K14" s="8" t="s">
        <v>206</v>
      </c>
      <c r="L14" s="9">
        <v>-1000</v>
      </c>
      <c r="M14" s="9"/>
      <c r="N14" s="48">
        <v>-2000</v>
      </c>
      <c r="O14" s="21">
        <f t="shared" si="3"/>
        <v>26500</v>
      </c>
      <c r="P14" s="8"/>
      <c r="Q14" s="9"/>
      <c r="R14" s="9"/>
      <c r="S14" s="48"/>
      <c r="T14" s="21">
        <f t="shared" si="4"/>
        <v>28100</v>
      </c>
      <c r="U14" s="53">
        <f>IF($J14="","",ROUND(($J14-$J$3)/1000,1)+(_xlfn.RANK.AVG($J14,($J14,$O14,$T14),1)-2)*10)</f>
        <v>25.4</v>
      </c>
      <c r="V14" s="54">
        <f>IF($O14="","",ROUND(($O14-$O$3)/1000,1)+(_xlfn.RANK.AVG($O14,($J14,$O14,$T14),1)-2)*10)</f>
        <v>-18.5</v>
      </c>
      <c r="W14" s="55">
        <f>IF($T14="","",ROUND(($T14-$T$3)/1000,1)+(_xlfn.RANK.AVG($T14,($J14,$O14,$T14),1)-2)*10)</f>
        <v>-6.9</v>
      </c>
      <c r="Y14" s="8"/>
      <c r="Z14" s="34"/>
      <c r="AA14" s="26"/>
      <c r="AB14" s="26">
        <v>1</v>
      </c>
      <c r="AC14" s="26">
        <v>1</v>
      </c>
      <c r="AD14" s="30">
        <v>30</v>
      </c>
      <c r="AE14" s="40" t="s">
        <v>86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195</v>
      </c>
      <c r="F15" s="8" t="s">
        <v>197</v>
      </c>
      <c r="G15" s="9">
        <v>8000</v>
      </c>
      <c r="H15" s="9">
        <v>1000</v>
      </c>
      <c r="I15" s="48">
        <v>0</v>
      </c>
      <c r="J15" s="21">
        <f t="shared" si="2"/>
        <v>59400</v>
      </c>
      <c r="K15" s="8" t="s">
        <v>198</v>
      </c>
      <c r="L15" s="9">
        <v>-3000</v>
      </c>
      <c r="M15" s="9"/>
      <c r="N15" s="48">
        <v>0</v>
      </c>
      <c r="O15" s="21">
        <f t="shared" si="3"/>
        <v>23500</v>
      </c>
      <c r="P15" s="8" t="s">
        <v>198</v>
      </c>
      <c r="Q15" s="9">
        <v>-5000</v>
      </c>
      <c r="R15" s="9">
        <v>-1000</v>
      </c>
      <c r="S15" s="48">
        <v>0</v>
      </c>
      <c r="T15" s="21">
        <f t="shared" si="4"/>
        <v>22100</v>
      </c>
      <c r="U15" s="53">
        <f>IF($J15="","",ROUND(($J15-$J$3)/1000,1)+(_xlfn.RANK.AVG($J15,($J15,$O15,$T15),1)-2)*10)</f>
        <v>34.4</v>
      </c>
      <c r="V15" s="54">
        <f>IF($O15="","",ROUND(($O15-$O$3)/1000,1)+(_xlfn.RANK.AVG($O15,($J15,$O15,$T15),1)-2)*10)</f>
        <v>-11.5</v>
      </c>
      <c r="W15" s="55">
        <f>IF($T15="","",ROUND(($T15-$T$3)/1000,1)+(_xlfn.RANK.AVG($T15,($J15,$O15,$T15),1)-2)*10)</f>
        <v>-22.9</v>
      </c>
      <c r="Y15" s="8"/>
      <c r="Z15" s="34"/>
      <c r="AA15" s="26"/>
      <c r="AB15" s="26"/>
      <c r="AC15" s="26">
        <v>5</v>
      </c>
      <c r="AD15" s="30" t="s">
        <v>199</v>
      </c>
      <c r="AE15" s="40" t="s">
        <v>82</v>
      </c>
      <c r="AF15" s="41" t="s">
        <v>83</v>
      </c>
      <c r="AG15" s="41" t="s">
        <v>79</v>
      </c>
      <c r="AH15" s="41" t="s">
        <v>79</v>
      </c>
      <c r="AI15" s="41" t="s">
        <v>201</v>
      </c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9623433-2DC0-466D-9511-939ECDB2B83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209FD-B05D-4ED3-B941-6E867ED3F03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195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206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>
        <v>5</v>
      </c>
      <c r="AD4" s="30" t="s">
        <v>199</v>
      </c>
      <c r="AE4" s="40" t="s">
        <v>86</v>
      </c>
      <c r="AF4" s="41" t="s">
        <v>86</v>
      </c>
      <c r="AG4" s="41" t="s">
        <v>86</v>
      </c>
      <c r="AH4" s="41" t="s">
        <v>104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-10000</v>
      </c>
      <c r="H5" s="9"/>
      <c r="I5" s="48">
        <v>-500</v>
      </c>
      <c r="J5" s="21">
        <f t="shared" ref="J5:J30" si="2">IF(COUNTA($F5,$K5,$P5)&gt;0,J4+SUM(G5:I5),"")</f>
        <v>36500</v>
      </c>
      <c r="K5" s="8" t="s">
        <v>197</v>
      </c>
      <c r="L5" s="9">
        <v>16000</v>
      </c>
      <c r="M5" s="9"/>
      <c r="N5" s="48">
        <v>1000</v>
      </c>
      <c r="O5" s="21">
        <f t="shared" ref="O5:O30" si="3">IF(COUNTA($F5,$K5,$P5)&gt;0,O4+SUM(L5:N5),"")</f>
        <v>52000</v>
      </c>
      <c r="P5" s="8" t="s">
        <v>198</v>
      </c>
      <c r="Q5" s="9">
        <v>-6000</v>
      </c>
      <c r="R5" s="9"/>
      <c r="S5" s="48">
        <v>-500</v>
      </c>
      <c r="T5" s="21">
        <f t="shared" ref="T5:T30" si="4">IF(COUNTA($F5,$K5,$P5)&gt;0,T4+SUM(Q5:S5),"")</f>
        <v>16500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27</v>
      </c>
      <c r="W5" s="55">
        <f>IF($T5="","",ROUND(($T5-$T$3)/1000,1)+(_xlfn.RANK.AVG($T5,($J5,$O5,$T5),1)-2)*10)</f>
        <v>-28.5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199</v>
      </c>
      <c r="AZ5" s="40" t="s">
        <v>200</v>
      </c>
      <c r="BA5" s="41" t="s">
        <v>82</v>
      </c>
      <c r="BB5" s="41" t="s">
        <v>104</v>
      </c>
      <c r="BC5" s="41" t="s">
        <v>201</v>
      </c>
      <c r="BD5" s="41" t="s">
        <v>101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206</v>
      </c>
      <c r="G6" s="9">
        <v>-12000</v>
      </c>
      <c r="H6" s="9"/>
      <c r="I6" s="48">
        <v>0</v>
      </c>
      <c r="J6" s="21">
        <f t="shared" si="2"/>
        <v>24500</v>
      </c>
      <c r="K6" s="8" t="s">
        <v>205</v>
      </c>
      <c r="L6" s="9">
        <v>12000</v>
      </c>
      <c r="M6" s="9"/>
      <c r="N6" s="48">
        <v>0</v>
      </c>
      <c r="O6" s="21">
        <f t="shared" si="3"/>
        <v>64000</v>
      </c>
      <c r="P6" s="8"/>
      <c r="Q6" s="9"/>
      <c r="R6" s="9"/>
      <c r="S6" s="48"/>
      <c r="T6" s="21">
        <f t="shared" si="4"/>
        <v>16500</v>
      </c>
      <c r="U6" s="53">
        <f>IF($J6="","",ROUND(($J6-$J$3)/1000,1)+(_xlfn.RANK.AVG($J6,($J6,$O6,$T6),1)-2)*10)</f>
        <v>-10.5</v>
      </c>
      <c r="V6" s="54">
        <f>IF($O6="","",ROUND(($O6-$O$3)/1000,1)+(_xlfn.RANK.AVG($O6,($J6,$O6,$T6),1)-2)*10)</f>
        <v>39</v>
      </c>
      <c r="W6" s="55">
        <f>IF($T6="","",ROUND(($T6-$T$3)/1000,1)+(_xlfn.RANK.AVG($T6,($J6,$O6,$T6),1)-2)*10)</f>
        <v>-28.5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40</v>
      </c>
      <c r="AZ6" s="40" t="s">
        <v>84</v>
      </c>
      <c r="BA6" s="41" t="s">
        <v>79</v>
      </c>
      <c r="BB6" s="41" t="s">
        <v>79</v>
      </c>
      <c r="BC6" s="41" t="s">
        <v>201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207</v>
      </c>
      <c r="G7" s="9">
        <v>1500</v>
      </c>
      <c r="H7" s="9"/>
      <c r="I7" s="48"/>
      <c r="J7" s="21">
        <f t="shared" si="2"/>
        <v>26000</v>
      </c>
      <c r="K7" s="8" t="s">
        <v>207</v>
      </c>
      <c r="L7" s="9">
        <v>-3000</v>
      </c>
      <c r="M7" s="9"/>
      <c r="N7" s="48"/>
      <c r="O7" s="21">
        <f t="shared" si="3"/>
        <v>61000</v>
      </c>
      <c r="P7" s="8" t="s">
        <v>207</v>
      </c>
      <c r="Q7" s="9">
        <v>1500</v>
      </c>
      <c r="R7" s="9"/>
      <c r="S7" s="48"/>
      <c r="T7" s="21">
        <f t="shared" si="4"/>
        <v>18000</v>
      </c>
      <c r="U7" s="53">
        <f>IF($J7="","",ROUND(($J7-$J$3)/1000,1)+(_xlfn.RANK.AVG($J7,($J7,$O7,$T7),1)-2)*10)</f>
        <v>-9</v>
      </c>
      <c r="V7" s="54">
        <f>IF($O7="","",ROUND(($O7-$O$3)/1000,1)+(_xlfn.RANK.AVG($O7,($J7,$O7,$T7),1)-2)*10)</f>
        <v>36</v>
      </c>
      <c r="W7" s="55">
        <f>IF($T7="","",ROUND(($T7-$T$3)/1000,1)+(_xlfn.RANK.AVG($T7,($J7,$O7,$T7),1)-2)*10)</f>
        <v>-27</v>
      </c>
      <c r="Y7" s="8" t="s">
        <v>202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197</v>
      </c>
      <c r="G8" s="9">
        <v>4000</v>
      </c>
      <c r="H8" s="9"/>
      <c r="I8" s="48">
        <v>2000</v>
      </c>
      <c r="J8" s="21">
        <f t="shared" si="2"/>
        <v>32000</v>
      </c>
      <c r="K8" s="8" t="s">
        <v>198</v>
      </c>
      <c r="L8" s="9">
        <v>-1500</v>
      </c>
      <c r="M8" s="9"/>
      <c r="N8" s="48">
        <v>-1000</v>
      </c>
      <c r="O8" s="21">
        <f t="shared" si="3"/>
        <v>58500</v>
      </c>
      <c r="P8" s="8" t="s">
        <v>198</v>
      </c>
      <c r="Q8" s="9">
        <v>-2500</v>
      </c>
      <c r="R8" s="9"/>
      <c r="S8" s="48">
        <v>-1000</v>
      </c>
      <c r="T8" s="21">
        <f t="shared" si="4"/>
        <v>14500</v>
      </c>
      <c r="U8" s="53">
        <f>IF($J8="","",ROUND(($J8-$J$3)/1000,1)+(_xlfn.RANK.AVG($J8,($J8,$O8,$T8),1)-2)*10)</f>
        <v>-3</v>
      </c>
      <c r="V8" s="54">
        <f>IF($O8="","",ROUND(($O8-$O$3)/1000,1)+(_xlfn.RANK.AVG($O8,($J8,$O8,$T8),1)-2)*10)</f>
        <v>33.5</v>
      </c>
      <c r="W8" s="55">
        <f>IF($T8="","",ROUND(($T8-$T$3)/1000,1)+(_xlfn.RANK.AVG($T8,($J8,$O8,$T8),1)-2)*10)</f>
        <v>-30.5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104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32000</v>
      </c>
      <c r="K9" s="8" t="s">
        <v>205</v>
      </c>
      <c r="L9" s="9">
        <v>2600</v>
      </c>
      <c r="M9" s="9"/>
      <c r="N9" s="48">
        <v>0</v>
      </c>
      <c r="O9" s="21">
        <f t="shared" si="3"/>
        <v>61100</v>
      </c>
      <c r="P9" s="8" t="s">
        <v>206</v>
      </c>
      <c r="Q9" s="9">
        <v>-2600</v>
      </c>
      <c r="R9" s="9"/>
      <c r="S9" s="48">
        <v>0</v>
      </c>
      <c r="T9" s="21">
        <f t="shared" si="4"/>
        <v>11900</v>
      </c>
      <c r="U9" s="53">
        <f>IF($J9="","",ROUND(($J9-$J$3)/1000,1)+(_xlfn.RANK.AVG($J9,($J9,$O9,$T9),1)-2)*10)</f>
        <v>-3</v>
      </c>
      <c r="V9" s="54">
        <f>IF($O9="","",ROUND(($O9-$O$3)/1000,1)+(_xlfn.RANK.AVG($O9,($J9,$O9,$T9),1)-2)*10)</f>
        <v>36.1</v>
      </c>
      <c r="W9" s="55">
        <f>IF($T9="","",ROUND(($T9-$T$3)/1000,1)+(_xlfn.RANK.AVG($T9,($J9,$O9,$T9),1)-2)*10)</f>
        <v>-33.1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85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205</v>
      </c>
      <c r="G10" s="9">
        <v>8000</v>
      </c>
      <c r="H10" s="9"/>
      <c r="I10" s="48">
        <v>0</v>
      </c>
      <c r="J10" s="21">
        <f t="shared" si="2"/>
        <v>40000</v>
      </c>
      <c r="K10" s="8" t="s">
        <v>206</v>
      </c>
      <c r="L10" s="9">
        <v>-8000</v>
      </c>
      <c r="M10" s="9"/>
      <c r="N10" s="48">
        <v>0</v>
      </c>
      <c r="O10" s="21">
        <f t="shared" si="3"/>
        <v>53100</v>
      </c>
      <c r="P10" s="8"/>
      <c r="Q10" s="9"/>
      <c r="R10" s="9"/>
      <c r="S10" s="48"/>
      <c r="T10" s="21">
        <f t="shared" si="4"/>
        <v>11900</v>
      </c>
      <c r="U10" s="53">
        <f>IF($J10="","",ROUND(($J10-$J$3)/1000,1)+(_xlfn.RANK.AVG($J10,($J10,$O10,$T10),1)-2)*10)</f>
        <v>5</v>
      </c>
      <c r="V10" s="54">
        <f>IF($O10="","",ROUND(($O10-$O$3)/1000,1)+(_xlfn.RANK.AVG($O10,($J10,$O10,$T10),1)-2)*10)</f>
        <v>28.1</v>
      </c>
      <c r="W10" s="55">
        <f>IF($T10="","",ROUND(($T10-$T$3)/1000,1)+(_xlfn.RANK.AVG($T10,($J10,$O10,$T10),1)-2)*10)</f>
        <v>-33.1</v>
      </c>
      <c r="Y10" s="8"/>
      <c r="Z10" s="34"/>
      <c r="AA10" s="26"/>
      <c r="AB10" s="26"/>
      <c r="AC10" s="26">
        <v>4</v>
      </c>
      <c r="AD10" s="30">
        <v>40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-800</v>
      </c>
      <c r="H11" s="9"/>
      <c r="I11" s="48">
        <v>0</v>
      </c>
      <c r="J11" s="21">
        <f t="shared" si="2"/>
        <v>39200</v>
      </c>
      <c r="K11" s="8" t="s">
        <v>197</v>
      </c>
      <c r="L11" s="9">
        <v>2100</v>
      </c>
      <c r="M11" s="9"/>
      <c r="N11" s="48">
        <v>0</v>
      </c>
      <c r="O11" s="21">
        <f t="shared" si="3"/>
        <v>55200</v>
      </c>
      <c r="P11" s="8" t="s">
        <v>198</v>
      </c>
      <c r="Q11" s="9">
        <v>-1300</v>
      </c>
      <c r="R11" s="9"/>
      <c r="S11" s="48">
        <v>0</v>
      </c>
      <c r="T11" s="21">
        <f t="shared" si="4"/>
        <v>10600</v>
      </c>
      <c r="U11" s="53">
        <f>IF($J11="","",ROUND(($J11-$J$3)/1000,1)+(_xlfn.RANK.AVG($J11,($J11,$O11,$T11),1)-2)*10)</f>
        <v>4.2</v>
      </c>
      <c r="V11" s="54">
        <f>IF($O11="","",ROUND(($O11-$O$3)/1000,1)+(_xlfn.RANK.AVG($O11,($J11,$O11,$T11),1)-2)*10)</f>
        <v>30.2</v>
      </c>
      <c r="W11" s="55">
        <f>IF($T11="","",ROUND(($T11-$T$3)/1000,1)+(_xlfn.RANK.AVG($T11,($J11,$O11,$T11),1)-2)*10)</f>
        <v>-34.4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201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65F7CFAE-BCC6-479C-A341-FB536C6A24B0}">
      <formula1>"ロン,ツモ,放銃,ツモ支払,流局,チョンボ"</formula1>
    </dataValidation>
    <dataValidation type="list" allowBlank="1" showInputMessage="1" showErrorMessage="1" sqref="E4:E30" xr:uid="{88D82455-9338-4A66-AD9F-C75897B99014}">
      <formula1>$U$2:$W$2</formula1>
    </dataValidation>
    <dataValidation type="list" allowBlank="1" showInputMessage="1" sqref="F1:T1" xr:uid="{F34BBC90-5A00-4EAB-87A4-16A67029209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CA43E-B502-4C54-A94D-FDE5BAEA8F1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213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たかの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206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205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200</v>
      </c>
      <c r="BA4" s="41" t="s">
        <v>214</v>
      </c>
      <c r="BB4" s="41" t="s">
        <v>80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204</v>
      </c>
      <c r="G5" s="9">
        <v>-1500</v>
      </c>
      <c r="H5" s="9"/>
      <c r="I5" s="48"/>
      <c r="J5" s="21">
        <f t="shared" ref="J5:J30" si="2">IF(COUNTA($F5,$K5,$P5)&gt;0,J4+SUM(G5:I5),"")</f>
        <v>25500</v>
      </c>
      <c r="K5" s="8" t="s">
        <v>204</v>
      </c>
      <c r="L5" s="9">
        <v>3000</v>
      </c>
      <c r="M5" s="9"/>
      <c r="N5" s="48"/>
      <c r="O5" s="21">
        <f t="shared" ref="O5:O30" si="3">IF(COUNTA($F5,$K5,$P5)&gt;0,O4+SUM(L5:N5),"")</f>
        <v>46000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-19.5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-1.5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210</v>
      </c>
      <c r="F6" s="8" t="s">
        <v>204</v>
      </c>
      <c r="G6" s="9">
        <v>-1500</v>
      </c>
      <c r="H6" s="9"/>
      <c r="I6" s="48"/>
      <c r="J6" s="21">
        <f t="shared" si="2"/>
        <v>24000</v>
      </c>
      <c r="K6" s="8" t="s">
        <v>204</v>
      </c>
      <c r="L6" s="9">
        <v>-1500</v>
      </c>
      <c r="M6" s="9"/>
      <c r="N6" s="48"/>
      <c r="O6" s="21">
        <f t="shared" si="3"/>
        <v>44500</v>
      </c>
      <c r="P6" s="8" t="s">
        <v>204</v>
      </c>
      <c r="Q6" s="9">
        <v>3000</v>
      </c>
      <c r="R6" s="9">
        <v>-1000</v>
      </c>
      <c r="S6" s="48"/>
      <c r="T6" s="21">
        <f t="shared" si="4"/>
        <v>35500</v>
      </c>
      <c r="U6" s="53">
        <f>IF($J6="","",ROUND(($J6-$J$3)/1000,1)+(_xlfn.RANK.AVG($J6,($J6,$O6,$T6),1)-2)*10)</f>
        <v>-21</v>
      </c>
      <c r="V6" s="54">
        <f>IF($O6="","",ROUND(($O6-$O$3)/1000,1)+(_xlfn.RANK.AVG($O6,($J6,$O6,$T6),1)-2)*10)</f>
        <v>19.5</v>
      </c>
      <c r="W6" s="55">
        <f>IF($T6="","",ROUND(($T6-$T$3)/1000,1)+(_xlfn.RANK.AVG($T6,($J6,$O6,$T6),1)-2)*10)</f>
        <v>0.5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212</v>
      </c>
      <c r="F7" s="8" t="s">
        <v>198</v>
      </c>
      <c r="G7" s="9">
        <v>-12000</v>
      </c>
      <c r="H7" s="9"/>
      <c r="I7" s="48">
        <v>-1000</v>
      </c>
      <c r="J7" s="21">
        <f t="shared" si="2"/>
        <v>11000</v>
      </c>
      <c r="K7" s="8" t="s">
        <v>198</v>
      </c>
      <c r="L7" s="9">
        <v>-12000</v>
      </c>
      <c r="M7" s="9"/>
      <c r="N7" s="48">
        <v>-1000</v>
      </c>
      <c r="O7" s="21">
        <f t="shared" si="3"/>
        <v>31500</v>
      </c>
      <c r="P7" s="8" t="s">
        <v>197</v>
      </c>
      <c r="Q7" s="9">
        <v>24000</v>
      </c>
      <c r="R7" s="9">
        <v>1000</v>
      </c>
      <c r="S7" s="48">
        <v>2000</v>
      </c>
      <c r="T7" s="21">
        <f t="shared" si="4"/>
        <v>62500</v>
      </c>
      <c r="U7" s="53">
        <f>IF($J7="","",ROUND(($J7-$J$3)/1000,1)+(_xlfn.RANK.AVG($J7,($J7,$O7,$T7),1)-2)*10)</f>
        <v>-34</v>
      </c>
      <c r="V7" s="54">
        <f>IF($O7="","",ROUND(($O7-$O$3)/1000,1)+(_xlfn.RANK.AVG($O7,($J7,$O7,$T7),1)-2)*10)</f>
        <v>-3.5</v>
      </c>
      <c r="W7" s="55">
        <f>IF($T7="","",ROUND(($T7-$T$3)/1000,1)+(_xlfn.RANK.AVG($T7,($J7,$O7,$T7),1)-2)*10)</f>
        <v>37.5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8</v>
      </c>
      <c r="BT7" s="30" t="s">
        <v>199</v>
      </c>
      <c r="BU7" s="40" t="s">
        <v>200</v>
      </c>
      <c r="BV7" s="41" t="s">
        <v>82</v>
      </c>
      <c r="BW7" s="41" t="s">
        <v>104</v>
      </c>
      <c r="BX7" s="41" t="s">
        <v>79</v>
      </c>
      <c r="BY7" s="41" t="s">
        <v>80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212</v>
      </c>
      <c r="F8" s="8" t="s">
        <v>204</v>
      </c>
      <c r="G8" s="9">
        <v>-1500</v>
      </c>
      <c r="H8" s="9"/>
      <c r="I8" s="48"/>
      <c r="J8" s="21">
        <f t="shared" si="2"/>
        <v>9500</v>
      </c>
      <c r="K8" s="8" t="s">
        <v>204</v>
      </c>
      <c r="L8" s="9">
        <v>-1500</v>
      </c>
      <c r="M8" s="9"/>
      <c r="N8" s="48"/>
      <c r="O8" s="21">
        <f t="shared" si="3"/>
        <v>30000</v>
      </c>
      <c r="P8" s="8" t="s">
        <v>204</v>
      </c>
      <c r="Q8" s="9">
        <v>3000</v>
      </c>
      <c r="R8" s="9"/>
      <c r="S8" s="48"/>
      <c r="T8" s="21">
        <f t="shared" si="4"/>
        <v>65500</v>
      </c>
      <c r="U8" s="53">
        <f>IF($J8="","",ROUND(($J8-$J$3)/1000,1)+(_xlfn.RANK.AVG($J8,($J8,$O8,$T8),1)-2)*10)</f>
        <v>-35.5</v>
      </c>
      <c r="V8" s="54">
        <f>IF($O8="","",ROUND(($O8-$O$3)/1000,1)+(_xlfn.RANK.AVG($O8,($J8,$O8,$T8),1)-2)*10)</f>
        <v>-5</v>
      </c>
      <c r="W8" s="55">
        <f>IF($T8="","",ROUND(($T8-$T$3)/1000,1)+(_xlfn.RANK.AVG($T8,($J8,$O8,$T8),1)-2)*10)</f>
        <v>40.5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212</v>
      </c>
      <c r="F9" s="8"/>
      <c r="G9" s="9"/>
      <c r="H9" s="9"/>
      <c r="I9" s="48"/>
      <c r="J9" s="21">
        <f t="shared" si="2"/>
        <v>9500</v>
      </c>
      <c r="K9" s="8" t="s">
        <v>206</v>
      </c>
      <c r="L9" s="9">
        <v>-12000</v>
      </c>
      <c r="M9" s="9"/>
      <c r="N9" s="48">
        <v>-4000</v>
      </c>
      <c r="O9" s="21">
        <f t="shared" si="3"/>
        <v>14000</v>
      </c>
      <c r="P9" s="8" t="s">
        <v>205</v>
      </c>
      <c r="Q9" s="9">
        <v>12000</v>
      </c>
      <c r="R9" s="9"/>
      <c r="S9" s="48">
        <v>4000</v>
      </c>
      <c r="T9" s="21">
        <f t="shared" si="4"/>
        <v>81500</v>
      </c>
      <c r="U9" s="53">
        <f>IF($J9="","",ROUND(($J9-$J$3)/1000,1)+(_xlfn.RANK.AVG($J9,($J9,$O9,$T9),1)-2)*10)</f>
        <v>-35.5</v>
      </c>
      <c r="V9" s="54">
        <f>IF($O9="","",ROUND(($O9-$O$3)/1000,1)+(_xlfn.RANK.AVG($O9,($J9,$O9,$T9),1)-2)*10)</f>
        <v>-21</v>
      </c>
      <c r="W9" s="55">
        <f>IF($T9="","",ROUND(($T9-$T$3)/1000,1)+(_xlfn.RANK.AVG($T9,($J9,$O9,$T9),1)-2)*10)</f>
        <v>56.5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199</v>
      </c>
      <c r="BU9" s="40" t="s">
        <v>86</v>
      </c>
      <c r="BV9" s="41" t="s">
        <v>98</v>
      </c>
      <c r="BW9" s="41" t="s">
        <v>100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212</v>
      </c>
      <c r="F10" s="8" t="s">
        <v>198</v>
      </c>
      <c r="G10" s="9">
        <v>-800</v>
      </c>
      <c r="H10" s="9"/>
      <c r="I10" s="48">
        <v>-2500</v>
      </c>
      <c r="J10" s="21">
        <f t="shared" si="2"/>
        <v>6200</v>
      </c>
      <c r="K10" s="8" t="s">
        <v>198</v>
      </c>
      <c r="L10" s="9">
        <v>-800</v>
      </c>
      <c r="M10" s="9"/>
      <c r="N10" s="48">
        <v>-2500</v>
      </c>
      <c r="O10" s="21">
        <f t="shared" si="3"/>
        <v>10700</v>
      </c>
      <c r="P10" s="8" t="s">
        <v>197</v>
      </c>
      <c r="Q10" s="9">
        <v>1600</v>
      </c>
      <c r="R10" s="9"/>
      <c r="S10" s="48">
        <v>5000</v>
      </c>
      <c r="T10" s="21">
        <f t="shared" si="4"/>
        <v>88100</v>
      </c>
      <c r="U10" s="53">
        <f>IF($J10="","",ROUND(($J10-$J$3)/1000,1)+(_xlfn.RANK.AVG($J10,($J10,$O10,$T10),1)-2)*10)</f>
        <v>-38.799999999999997</v>
      </c>
      <c r="V10" s="54">
        <f>IF($O10="","",ROUND(($O10-$O$3)/1000,1)+(_xlfn.RANK.AVG($O10,($J10,$O10,$T10),1)-2)*10)</f>
        <v>-24.3</v>
      </c>
      <c r="W10" s="55">
        <f>IF($T10="","",ROUND(($T10-$T$3)/1000,1)+(_xlfn.RANK.AVG($T10,($J10,$O10,$T10),1)-2)*10)</f>
        <v>63.1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30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6</v>
      </c>
      <c r="D11" s="18">
        <f t="shared" si="1"/>
        <v>0</v>
      </c>
      <c r="E11" s="4" t="s">
        <v>212</v>
      </c>
      <c r="F11" s="8"/>
      <c r="G11" s="9"/>
      <c r="H11" s="9"/>
      <c r="I11" s="48"/>
      <c r="J11" s="21">
        <f t="shared" si="2"/>
        <v>6200</v>
      </c>
      <c r="K11" s="8" t="s">
        <v>206</v>
      </c>
      <c r="L11" s="9">
        <v>-18000</v>
      </c>
      <c r="M11" s="9"/>
      <c r="N11" s="48">
        <v>-6000</v>
      </c>
      <c r="O11" s="21">
        <f t="shared" si="3"/>
        <v>-13300</v>
      </c>
      <c r="P11" s="8" t="s">
        <v>205</v>
      </c>
      <c r="Q11" s="9">
        <v>18000</v>
      </c>
      <c r="R11" s="9"/>
      <c r="S11" s="48">
        <v>6000</v>
      </c>
      <c r="T11" s="21">
        <f t="shared" si="4"/>
        <v>112100</v>
      </c>
      <c r="U11" s="53">
        <f>IF($J11="","",ROUND(($J11-$J$3)/1000,1)+(_xlfn.RANK.AVG($J11,($J11,$O11,$T11),1)-2)*10)</f>
        <v>-28.8</v>
      </c>
      <c r="V11" s="54">
        <f>IF($O11="","",ROUND(($O11-$O$3)/1000,1)+(_xlfn.RANK.AVG($O11,($J11,$O11,$T11),1)-2)*10)</f>
        <v>-58.3</v>
      </c>
      <c r="W11" s="55">
        <f>IF($T11="","",ROUND(($T11-$T$3)/1000,1)+(_xlfn.RANK.AVG($T11,($J11,$O11,$T11),1)-2)*10)</f>
        <v>87.1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6</v>
      </c>
      <c r="BT11" s="30" t="s">
        <v>199</v>
      </c>
      <c r="BU11" s="40" t="s">
        <v>104</v>
      </c>
      <c r="BV11" s="41" t="s">
        <v>86</v>
      </c>
      <c r="BW11" s="41" t="s">
        <v>79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D3724AE-FC03-4732-B34D-A0DE996D2731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46DC9B90-2B9F-419D-905B-AED11AFD2CC6}">
      <formula1>$U$2:$W$2</formula1>
    </dataValidation>
    <dataValidation type="list" showInputMessage="1" showErrorMessage="1" sqref="K4:K30 P4:P30 F4:F30" xr:uid="{342A0D4E-4550-4654-B271-4400B4DA65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798C-0CA3-4D50-8C80-A3376DAA3829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213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たかの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197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 t="s">
        <v>198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198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-2.9</v>
      </c>
      <c r="W4" s="55">
        <f>IF($T4="","",ROUND(($T4-$T$3)/1000,1)+(_xlfn.RANK.AVG($T4,($J4,$O4,$T4),1)-2)*10)</f>
        <v>-14.8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79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197</v>
      </c>
      <c r="G5" s="9">
        <v>18000</v>
      </c>
      <c r="H5" s="9">
        <v>1000</v>
      </c>
      <c r="I5" s="48">
        <v>0</v>
      </c>
      <c r="J5" s="21">
        <f t="shared" ref="J5:J30" si="2">IF(COUNTA($F5,$K5,$P5)&gt;0,J4+SUM(G5:I5),"")</f>
        <v>61700</v>
      </c>
      <c r="K5" s="8" t="s">
        <v>198</v>
      </c>
      <c r="L5" s="9">
        <v>-9000</v>
      </c>
      <c r="M5" s="9"/>
      <c r="N5" s="48">
        <v>0</v>
      </c>
      <c r="O5" s="21">
        <f t="shared" ref="O5:O30" si="3">IF(COUNTA($F5,$K5,$P5)&gt;0,O4+SUM(L5:N5),"")</f>
        <v>23100</v>
      </c>
      <c r="P5" s="8" t="s">
        <v>198</v>
      </c>
      <c r="Q5" s="9">
        <v>-9000</v>
      </c>
      <c r="R5" s="9">
        <v>-1000</v>
      </c>
      <c r="S5" s="48">
        <v>0</v>
      </c>
      <c r="T5" s="21">
        <f t="shared" ref="T5:T30" si="4">IF(COUNTA($F5,$K5,$P5)&gt;0,T4+SUM(Q5:S5),"")</f>
        <v>20200</v>
      </c>
      <c r="U5" s="53">
        <f>IF($J5="","",ROUND(($J5-$J$3)/1000,1)+(_xlfn.RANK.AVG($J5,($J5,$O5,$T5),1)-2)*10)</f>
        <v>36.700000000000003</v>
      </c>
      <c r="V5" s="54">
        <f>IF($O5="","",ROUND(($O5-$O$3)/1000,1)+(_xlfn.RANK.AVG($O5,($J5,$O5,$T5),1)-2)*10)</f>
        <v>-11.9</v>
      </c>
      <c r="W5" s="55">
        <f>IF($T5="","",ROUND(($T5-$T$3)/1000,1)+(_xlfn.RANK.AVG($T5,($J5,$O5,$T5),1)-2)*10)</f>
        <v>-24.8</v>
      </c>
      <c r="Y5" s="8"/>
      <c r="Z5" s="34"/>
      <c r="AA5" s="26">
        <v>1</v>
      </c>
      <c r="AB5" s="26"/>
      <c r="AC5" s="26">
        <v>7</v>
      </c>
      <c r="AD5" s="30" t="s">
        <v>199</v>
      </c>
      <c r="AE5" s="40" t="s">
        <v>200</v>
      </c>
      <c r="AF5" s="41" t="s">
        <v>82</v>
      </c>
      <c r="AG5" s="41" t="s">
        <v>214</v>
      </c>
      <c r="AH5" s="41" t="s">
        <v>86</v>
      </c>
      <c r="AI5" s="41" t="s">
        <v>86</v>
      </c>
      <c r="AJ5" s="41" t="s">
        <v>96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208</v>
      </c>
      <c r="F6" s="8" t="s">
        <v>198</v>
      </c>
      <c r="G6" s="9">
        <v>-5000</v>
      </c>
      <c r="H6" s="9"/>
      <c r="I6" s="48">
        <v>-500</v>
      </c>
      <c r="J6" s="21">
        <f t="shared" si="2"/>
        <v>56200</v>
      </c>
      <c r="K6" s="8" t="s">
        <v>198</v>
      </c>
      <c r="L6" s="9">
        <v>-3000</v>
      </c>
      <c r="M6" s="9"/>
      <c r="N6" s="48">
        <v>-500</v>
      </c>
      <c r="O6" s="21">
        <f t="shared" si="3"/>
        <v>19600</v>
      </c>
      <c r="P6" s="8" t="s">
        <v>197</v>
      </c>
      <c r="Q6" s="9">
        <v>8000</v>
      </c>
      <c r="R6" s="9"/>
      <c r="S6" s="48">
        <v>1000</v>
      </c>
      <c r="T6" s="21">
        <f t="shared" si="4"/>
        <v>29200</v>
      </c>
      <c r="U6" s="53">
        <f>IF($J6="","",ROUND(($J6-$J$3)/1000,1)+(_xlfn.RANK.AVG($J6,($J6,$O6,$T6),1)-2)*10)</f>
        <v>31.2</v>
      </c>
      <c r="V6" s="54">
        <f>IF($O6="","",ROUND(($O6-$O$3)/1000,1)+(_xlfn.RANK.AVG($O6,($J6,$O6,$T6),1)-2)*10)</f>
        <v>-25.4</v>
      </c>
      <c r="W6" s="55">
        <f>IF($T6="","",ROUND(($T6-$T$3)/1000,1)+(_xlfn.RANK.AVG($T6,($J6,$O6,$T6),1)-2)*10)</f>
        <v>-5.8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200</v>
      </c>
      <c r="BV6" s="41" t="s">
        <v>82</v>
      </c>
      <c r="BW6" s="41" t="s">
        <v>86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210</v>
      </c>
      <c r="F7" s="8"/>
      <c r="G7" s="9"/>
      <c r="H7" s="9"/>
      <c r="I7" s="48"/>
      <c r="J7" s="21">
        <f t="shared" si="2"/>
        <v>56200</v>
      </c>
      <c r="K7" s="8" t="s">
        <v>205</v>
      </c>
      <c r="L7" s="9">
        <v>2900</v>
      </c>
      <c r="M7" s="9"/>
      <c r="N7" s="48">
        <v>0</v>
      </c>
      <c r="O7" s="21">
        <f t="shared" si="3"/>
        <v>22500</v>
      </c>
      <c r="P7" s="8" t="s">
        <v>206</v>
      </c>
      <c r="Q7" s="9">
        <v>-2900</v>
      </c>
      <c r="R7" s="9"/>
      <c r="S7" s="48">
        <v>0</v>
      </c>
      <c r="T7" s="21">
        <f t="shared" si="4"/>
        <v>26300</v>
      </c>
      <c r="U7" s="53">
        <f>IF($J7="","",ROUND(($J7-$J$3)/1000,1)+(_xlfn.RANK.AVG($J7,($J7,$O7,$T7),1)-2)*10)</f>
        <v>31.2</v>
      </c>
      <c r="V7" s="54">
        <f>IF($O7="","",ROUND(($O7-$O$3)/1000,1)+(_xlfn.RANK.AVG($O7,($J7,$O7,$T7),1)-2)*10)</f>
        <v>-22.5</v>
      </c>
      <c r="W7" s="55">
        <f>IF($T7="","",ROUND(($T7-$T$3)/1000,1)+(_xlfn.RANK.AVG($T7,($J7,$O7,$T7),1)-2)*10)</f>
        <v>-8.6999999999999993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210</v>
      </c>
      <c r="F8" s="8" t="s">
        <v>197</v>
      </c>
      <c r="G8" s="9">
        <v>7700</v>
      </c>
      <c r="H8" s="9"/>
      <c r="I8" s="48">
        <v>1000</v>
      </c>
      <c r="J8" s="21">
        <f t="shared" si="2"/>
        <v>64900</v>
      </c>
      <c r="K8" s="8" t="s">
        <v>198</v>
      </c>
      <c r="L8" s="9">
        <v>-4800</v>
      </c>
      <c r="M8" s="9"/>
      <c r="N8" s="48">
        <v>-500</v>
      </c>
      <c r="O8" s="21">
        <f t="shared" si="3"/>
        <v>17200</v>
      </c>
      <c r="P8" s="8" t="s">
        <v>198</v>
      </c>
      <c r="Q8" s="9">
        <v>-2900</v>
      </c>
      <c r="R8" s="9"/>
      <c r="S8" s="48">
        <v>-500</v>
      </c>
      <c r="T8" s="21">
        <f t="shared" si="4"/>
        <v>22900</v>
      </c>
      <c r="U8" s="53">
        <f>IF($J8="","",ROUND(($J8-$J$3)/1000,1)+(_xlfn.RANK.AVG($J8,($J8,$O8,$T8),1)-2)*10)</f>
        <v>39.9</v>
      </c>
      <c r="V8" s="54">
        <f>IF($O8="","",ROUND(($O8-$O$3)/1000,1)+(_xlfn.RANK.AVG($O8,($J8,$O8,$T8),1)-2)*10)</f>
        <v>-27.8</v>
      </c>
      <c r="W8" s="55">
        <f>IF($T8="","",ROUND(($T8-$T$3)/1000,1)+(_xlfn.RANK.AVG($T8,($J8,$O8,$T8),1)-2)*10)</f>
        <v>-12.1</v>
      </c>
      <c r="Y8" s="8"/>
      <c r="Z8" s="34"/>
      <c r="AA8" s="26"/>
      <c r="AB8" s="26"/>
      <c r="AC8" s="26">
        <v>4</v>
      </c>
      <c r="AD8" s="30">
        <v>30</v>
      </c>
      <c r="AE8" s="40" t="s">
        <v>82</v>
      </c>
      <c r="AF8" s="41" t="s">
        <v>201</v>
      </c>
      <c r="AG8" s="41" t="s">
        <v>96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212</v>
      </c>
      <c r="F9" s="8" t="s">
        <v>205</v>
      </c>
      <c r="G9" s="9">
        <v>2000</v>
      </c>
      <c r="H9" s="9"/>
      <c r="I9" s="48">
        <v>0</v>
      </c>
      <c r="J9" s="21">
        <f t="shared" si="2"/>
        <v>66900</v>
      </c>
      <c r="K9" s="8"/>
      <c r="L9" s="9"/>
      <c r="M9" s="9"/>
      <c r="N9" s="48"/>
      <c r="O9" s="21">
        <f t="shared" si="3"/>
        <v>17200</v>
      </c>
      <c r="P9" s="8" t="s">
        <v>206</v>
      </c>
      <c r="Q9" s="9">
        <v>-2000</v>
      </c>
      <c r="R9" s="9"/>
      <c r="S9" s="48">
        <v>0</v>
      </c>
      <c r="T9" s="21">
        <f t="shared" si="4"/>
        <v>20900</v>
      </c>
      <c r="U9" s="53">
        <f>IF($J9="","",ROUND(($J9-$J$3)/1000,1)+(_xlfn.RANK.AVG($J9,($J9,$O9,$T9),1)-2)*10)</f>
        <v>41.9</v>
      </c>
      <c r="V9" s="54">
        <f>IF($O9="","",ROUND(($O9-$O$3)/1000,1)+(_xlfn.RANK.AVG($O9,($J9,$O9,$T9),1)-2)*10)</f>
        <v>-27.8</v>
      </c>
      <c r="W9" s="55">
        <f>IF($T9="","",ROUND(($T9-$T$3)/1000,1)+(_xlfn.RANK.AVG($T9,($J9,$O9,$T9),1)-2)*10)</f>
        <v>-14.1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208</v>
      </c>
      <c r="F10" s="8" t="s">
        <v>198</v>
      </c>
      <c r="G10" s="9">
        <v>-4800</v>
      </c>
      <c r="H10" s="9"/>
      <c r="I10" s="48">
        <v>0</v>
      </c>
      <c r="J10" s="21">
        <f t="shared" si="2"/>
        <v>62100</v>
      </c>
      <c r="K10" s="8" t="s">
        <v>197</v>
      </c>
      <c r="L10" s="9">
        <v>7700</v>
      </c>
      <c r="M10" s="9"/>
      <c r="N10" s="48">
        <v>0</v>
      </c>
      <c r="O10" s="21">
        <f t="shared" si="3"/>
        <v>24900</v>
      </c>
      <c r="P10" s="8" t="s">
        <v>198</v>
      </c>
      <c r="Q10" s="9">
        <v>-2900</v>
      </c>
      <c r="R10" s="9"/>
      <c r="S10" s="48">
        <v>0</v>
      </c>
      <c r="T10" s="21">
        <f t="shared" si="4"/>
        <v>18000</v>
      </c>
      <c r="U10" s="53">
        <f>IF($J10="","",ROUND(($J10-$J$3)/1000,1)+(_xlfn.RANK.AVG($J10,($J10,$O10,$T10),1)-2)*10)</f>
        <v>37.1</v>
      </c>
      <c r="V10" s="54">
        <f>IF($O10="","",ROUND(($O10-$O$3)/1000,1)+(_xlfn.RANK.AVG($O10,($J10,$O10,$T10),1)-2)*10)</f>
        <v>-10.1</v>
      </c>
      <c r="W10" s="55">
        <f>IF($T10="","",ROUND(($T10-$T$3)/1000,1)+(_xlfn.RANK.AVG($T10,($J10,$O10,$T10),1)-2)*10)</f>
        <v>-27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30</v>
      </c>
      <c r="AZ10" s="40" t="s">
        <v>82</v>
      </c>
      <c r="BA10" s="41" t="s">
        <v>79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210</v>
      </c>
      <c r="F11" s="8" t="s">
        <v>206</v>
      </c>
      <c r="G11" s="9">
        <v>-18000</v>
      </c>
      <c r="H11" s="9"/>
      <c r="I11" s="48">
        <v>0</v>
      </c>
      <c r="J11" s="21">
        <f t="shared" si="2"/>
        <v>44100</v>
      </c>
      <c r="K11" s="8" t="s">
        <v>205</v>
      </c>
      <c r="L11" s="9">
        <v>18000</v>
      </c>
      <c r="M11" s="9"/>
      <c r="N11" s="48">
        <v>0</v>
      </c>
      <c r="O11" s="21">
        <f t="shared" si="3"/>
        <v>42900</v>
      </c>
      <c r="P11" s="8"/>
      <c r="Q11" s="9"/>
      <c r="R11" s="9"/>
      <c r="S11" s="48"/>
      <c r="T11" s="21">
        <f t="shared" si="4"/>
        <v>18000</v>
      </c>
      <c r="U11" s="53">
        <f>IF($J11="","",ROUND(($J11-$J$3)/1000,1)+(_xlfn.RANK.AVG($J11,($J11,$O11,$T11),1)-2)*10)</f>
        <v>19.100000000000001</v>
      </c>
      <c r="V11" s="54">
        <f>IF($O11="","",ROUND(($O11-$O$3)/1000,1)+(_xlfn.RANK.AVG($O11,($J11,$O11,$T11),1)-2)*10)</f>
        <v>7.9</v>
      </c>
      <c r="W11" s="55">
        <f>IF($T11="","",ROUND(($T11-$T$3)/1000,1)+(_xlfn.RANK.AVG($T11,($J11,$O11,$T11),1)-2)*10)</f>
        <v>-27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199</v>
      </c>
      <c r="AZ11" s="40" t="s">
        <v>104</v>
      </c>
      <c r="BA11" s="41" t="s">
        <v>79</v>
      </c>
      <c r="BB11" s="41" t="s">
        <v>79</v>
      </c>
      <c r="BC11" s="41" t="s">
        <v>79</v>
      </c>
      <c r="BD11" s="41" t="s">
        <v>201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210</v>
      </c>
      <c r="F12" s="8" t="s">
        <v>198</v>
      </c>
      <c r="G12" s="9">
        <v>-5800</v>
      </c>
      <c r="H12" s="9"/>
      <c r="I12" s="48">
        <v>-500</v>
      </c>
      <c r="J12" s="21">
        <f t="shared" si="2"/>
        <v>37800</v>
      </c>
      <c r="K12" s="8" t="s">
        <v>197</v>
      </c>
      <c r="L12" s="9">
        <v>11600</v>
      </c>
      <c r="M12" s="9"/>
      <c r="N12" s="48">
        <v>1000</v>
      </c>
      <c r="O12" s="21">
        <f t="shared" si="3"/>
        <v>55500</v>
      </c>
      <c r="P12" s="8" t="s">
        <v>198</v>
      </c>
      <c r="Q12" s="9">
        <v>-5800</v>
      </c>
      <c r="R12" s="9"/>
      <c r="S12" s="48">
        <v>-500</v>
      </c>
      <c r="T12" s="21">
        <f t="shared" si="4"/>
        <v>11700</v>
      </c>
      <c r="U12" s="53">
        <f>IF($J12="","",ROUND(($J12-$J$3)/1000,1)+(_xlfn.RANK.AVG($J12,($J12,$O12,$T12),1)-2)*10)</f>
        <v>2.8</v>
      </c>
      <c r="V12" s="54">
        <f>IF($O12="","",ROUND(($O12-$O$3)/1000,1)+(_xlfn.RANK.AVG($O12,($J12,$O12,$T12),1)-2)*10)</f>
        <v>30.5</v>
      </c>
      <c r="W12" s="55">
        <f>IF($T12="","",ROUND(($T12-$T$3)/1000,1)+(_xlfn.RANK.AVG($T12,($J12,$O12,$T12),1)-2)*10)</f>
        <v>-33.299999999999997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30</v>
      </c>
      <c r="AZ12" s="40" t="s">
        <v>82</v>
      </c>
      <c r="BA12" s="41" t="s">
        <v>96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210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E840A95-7A9D-4292-88DC-F724EEED8932}">
      <formula1>"ロン,ツモ,放銃,ツモ支払,流局,チョンボ"</formula1>
    </dataValidation>
    <dataValidation type="list" allowBlank="1" showInputMessage="1" showErrorMessage="1" sqref="E4:E30" xr:uid="{F5E56771-FA50-407F-8440-0633DF97ECB1}">
      <formula1>$U$2:$W$2</formula1>
    </dataValidation>
    <dataValidation type="list" allowBlank="1" showInputMessage="1" sqref="F1:T1" xr:uid="{32DCFFB6-45C2-482F-A77C-B7F2A4E4758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2020-01-08T15:30:36Z</dcterms:modified>
</cp:coreProperties>
</file>