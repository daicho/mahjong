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DB048345-A4CF-4737-BDE0-3752AED21CF5}" xr6:coauthVersionLast="41" xr6:coauthVersionMax="41" xr10:uidLastSave="{00000000-0000-0000-0000-000000000000}"/>
  <bookViews>
    <workbookView xWindow="-120" yWindow="-120" windowWidth="20730" windowHeight="1131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10" i="21"/>
  <c r="C10" i="21"/>
  <c r="D9" i="21"/>
  <c r="C9" i="21"/>
  <c r="C8" i="21"/>
  <c r="D7" i="21"/>
  <c r="D8" i="21" s="1"/>
  <c r="C7" i="21"/>
  <c r="T6" i="21"/>
  <c r="D6" i="21"/>
  <c r="C6" i="21"/>
  <c r="B6" i="21"/>
  <c r="B7" i="21" s="1"/>
  <c r="T5" i="21"/>
  <c r="D5" i="21"/>
  <c r="C5" i="21"/>
  <c r="B5" i="21"/>
  <c r="A5" i="21" s="1"/>
  <c r="A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W4" i="21" l="1"/>
  <c r="U4" i="21"/>
  <c r="V4" i="21"/>
  <c r="B8" i="21"/>
  <c r="A8" i="21" s="1"/>
  <c r="A7" i="21"/>
  <c r="J5" i="21"/>
  <c r="W5" i="21" s="1"/>
  <c r="O5" i="21"/>
  <c r="T7" i="21"/>
  <c r="T8" i="21" l="1"/>
  <c r="O6" i="21"/>
  <c r="V5" i="21"/>
  <c r="J6" i="21"/>
  <c r="U5" i="21"/>
  <c r="B9" i="21"/>
  <c r="A9" i="21" s="1"/>
  <c r="V6" i="21" l="1"/>
  <c r="O7" i="21"/>
  <c r="U6" i="21"/>
  <c r="J7" i="21"/>
  <c r="W6" i="21"/>
  <c r="B10" i="21"/>
  <c r="A10" i="21" s="1"/>
  <c r="T9" i="21"/>
  <c r="O8" i="21" l="1"/>
  <c r="V7" i="21"/>
  <c r="T10" i="21"/>
  <c r="B11" i="21"/>
  <c r="A11" i="21"/>
  <c r="U7" i="21"/>
  <c r="J8" i="21"/>
  <c r="W7" i="21"/>
  <c r="U8" i="21" l="1"/>
  <c r="J9" i="21"/>
  <c r="W8" i="21"/>
  <c r="T11" i="21"/>
  <c r="V8" i="21"/>
  <c r="O9" i="21"/>
  <c r="V9" i="21" l="1"/>
  <c r="O10" i="21"/>
  <c r="U9" i="21"/>
  <c r="J10" i="21"/>
  <c r="W9" i="21"/>
  <c r="O11" i="21" l="1"/>
  <c r="V10" i="21"/>
  <c r="U10" i="21"/>
  <c r="J11" i="21"/>
  <c r="W10" i="21"/>
  <c r="U11" i="21" l="1"/>
  <c r="W11" i="21"/>
  <c r="V11" i="21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C10" i="20"/>
  <c r="D9" i="20"/>
  <c r="C9" i="20"/>
  <c r="D7" i="20"/>
  <c r="D8" i="20" s="1"/>
  <c r="C7" i="20"/>
  <c r="C8" i="20" s="1"/>
  <c r="D6" i="20"/>
  <c r="C6" i="20"/>
  <c r="B6" i="20"/>
  <c r="B7" i="20" s="1"/>
  <c r="T5" i="20"/>
  <c r="D5" i="20"/>
  <c r="C5" i="20"/>
  <c r="B5" i="20"/>
  <c r="A5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A6" i="20" l="1"/>
  <c r="U4" i="20"/>
  <c r="W4" i="20"/>
  <c r="V4" i="20"/>
  <c r="O6" i="20"/>
  <c r="B8" i="20"/>
  <c r="J5" i="20"/>
  <c r="V5" i="20" s="1"/>
  <c r="A7" i="20"/>
  <c r="T6" i="20"/>
  <c r="W3" i="19"/>
  <c r="V3" i="19"/>
  <c r="U3" i="19"/>
  <c r="A8" i="20" l="1"/>
  <c r="W5" i="20"/>
  <c r="O7" i="20"/>
  <c r="T7" i="20"/>
  <c r="U5" i="20"/>
  <c r="J6" i="20"/>
  <c r="V6" i="20" s="1"/>
  <c r="B9" i="20"/>
  <c r="A9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W6" i="19" s="1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T8" i="20" l="1"/>
  <c r="O8" i="20"/>
  <c r="B10" i="20"/>
  <c r="U6" i="20"/>
  <c r="J7" i="20"/>
  <c r="W7" i="20" s="1"/>
  <c r="W6" i="20"/>
  <c r="V11" i="19"/>
  <c r="W11" i="19"/>
  <c r="V10" i="19"/>
  <c r="U10" i="19"/>
  <c r="W10" i="19"/>
  <c r="W9" i="19"/>
  <c r="U9" i="19"/>
  <c r="V9" i="19"/>
  <c r="V8" i="19"/>
  <c r="U8" i="19"/>
  <c r="W8" i="19"/>
  <c r="V7" i="19"/>
  <c r="U7" i="19"/>
  <c r="W7" i="19"/>
  <c r="V6" i="19"/>
  <c r="U6" i="19"/>
  <c r="U4" i="19"/>
  <c r="V4" i="19"/>
  <c r="T5" i="19"/>
  <c r="W4" i="19"/>
  <c r="J5" i="19"/>
  <c r="O5" i="19"/>
  <c r="T9" i="20" l="1"/>
  <c r="U7" i="20"/>
  <c r="J8" i="20"/>
  <c r="V8" i="20" s="1"/>
  <c r="B11" i="20"/>
  <c r="A10" i="20"/>
  <c r="V7" i="20"/>
  <c r="O9" i="20"/>
  <c r="W5" i="19"/>
  <c r="V5" i="19"/>
  <c r="U5" i="19"/>
  <c r="A11" i="20" l="1"/>
  <c r="W8" i="20"/>
  <c r="O10" i="20"/>
  <c r="T10" i="20"/>
  <c r="U8" i="20"/>
  <c r="J9" i="20"/>
  <c r="W9" i="20" s="1"/>
  <c r="V9" i="20" l="1"/>
  <c r="V10" i="20"/>
  <c r="O11" i="20"/>
  <c r="U9" i="20"/>
  <c r="J10" i="20"/>
  <c r="T11" i="20"/>
  <c r="W10" i="20"/>
  <c r="W11" i="20" l="1"/>
  <c r="U10" i="20"/>
  <c r="J11" i="20"/>
  <c r="U11" i="20" s="1"/>
  <c r="V11" i="20" l="1"/>
</calcChain>
</file>

<file path=xl/sharedStrings.xml><?xml version="1.0" encoding="utf-8"?>
<sst xmlns="http://schemas.openxmlformats.org/spreadsheetml/2006/main" count="777" uniqueCount="209">
  <si>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</si>
  <si>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</si>
  <si>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</si>
  <si>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</si>
  <si>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</si>
  <si>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</si>
  <si>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</si>
  <si>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</si>
  <si>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</si>
  <si>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</si>
  <si>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</si>
  <si>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</si>
  <si>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</si>
  <si>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</si>
  <si>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</si>
  <si>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</si>
  <si>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</si>
  <si>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</si>
  <si>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</si>
  <si>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</si>
  <si>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</si>
  <si>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</si>
  <si>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</si>
  <si>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</si>
  <si>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</si>
  <si>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</si>
  <si>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</si>
  <si>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</si>
  <si>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</si>
  <si>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</si>
  <si>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</si>
  <si>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</si>
  <si>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</si>
  <si>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</si>
  <si>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</si>
  <si>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</si>
  <si>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</si>
  <si>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</si>
  <si>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</si>
  <si>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</si>
  <si>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</si>
  <si>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</si>
  <si>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</si>
  <si>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</si>
  <si>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</si>
  <si>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</si>
  <si>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</si>
  <si>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</si>
  <si>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</si>
  <si>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</si>
  <si>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</si>
  <si>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</si>
  <si>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</si>
  <si>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</si>
  <si>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</si>
  <si>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</si>
  <si>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</si>
  <si>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</si>
  <si>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</si>
  <si>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</si>
  <si>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</si>
  <si>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</si>
  <si>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</si>
  <si>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</si>
  <si>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</si>
  <si>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</si>
  <si>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</si>
  <si>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</si>
  <si>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</si>
  <si>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</si>
  <si>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</si>
  <si>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</si>
  <si>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</si>
  <si>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</si>
  <si>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</si>
  <si>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</si>
  <si>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</si>
  <si>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</si>
  <si>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</si>
  <si>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</si>
  <si>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</si>
  <si>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</si>
  <si>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</si>
  <si>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</si>
  <si>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</si>
  <si>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</si>
  <si>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</si>
  <si>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</si>
  <si>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</si>
  <si>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</si>
  <si>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</si>
  <si>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</si>
  <si>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</si>
  <si>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</si>
  <si>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</si>
  <si>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</si>
  <si>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</si>
  <si>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</si>
  <si>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</si>
  <si>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</si>
  <si>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</si>
  <si>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</si>
  <si>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</si>
  <si>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</si>
  <si>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</si>
  <si>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</si>
  <si>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</si>
  <si>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</si>
  <si>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</si>
  <si>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</si>
  <si>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</si>
  <si>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</si>
  <si>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</si>
  <si>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</si>
  <si>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</si>
  <si>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</si>
  <si>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</si>
  <si>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</si>
  <si>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</si>
  <si>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</si>
  <si>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</si>
  <si>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</si>
  <si>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</si>
  <si>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</si>
  <si>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</si>
  <si>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</si>
  <si>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</si>
  <si>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</si>
  <si>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</si>
  <si>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</si>
  <si>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</si>
  <si>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</si>
  <si>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</si>
  <si>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</si>
  <si>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</si>
  <si>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</si>
  <si>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</si>
  <si>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</si>
  <si>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</si>
  <si>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</si>
  <si>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</si>
  <si>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</si>
  <si>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</si>
  <si>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</si>
  <si>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</si>
  <si>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</si>
  <si>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</si>
  <si>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</si>
  <si>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</si>
  <si>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</si>
  <si>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</si>
  <si>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</si>
  <si>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</si>
  <si>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</si>
  <si>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</si>
  <si>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</si>
  <si>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</si>
  <si>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</si>
  <si>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</si>
  <si>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</si>
  <si>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</si>
  <si>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</si>
  <si>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</si>
  <si>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</si>
  <si>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</si>
  <si>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</si>
  <si>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</si>
  <si>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</si>
  <si>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</si>
  <si>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</si>
  <si>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</si>
  <si>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</si>
  <si>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</si>
  <si>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</si>
  <si>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</si>
  <si>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</si>
  <si>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</si>
  <si>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</si>
  <si>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</si>
  <si>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</si>
  <si>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</si>
  <si>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</si>
  <si>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</si>
  <si>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</si>
  <si>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</si>
  <si>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</si>
  <si>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</si>
  <si>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</si>
  <si>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</si>
  <si>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</si>
  <si>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</si>
  <si>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</si>
  <si>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</si>
  <si>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だいち</t>
  </si>
  <si>
    <t>だいち</t>
    <phoneticPr fontId="1"/>
  </si>
  <si>
    <t>ただ</t>
  </si>
  <si>
    <t>ただ</t>
    <phoneticPr fontId="1"/>
  </si>
  <si>
    <t>ロン</t>
  </si>
  <si>
    <t>放銃</t>
  </si>
  <si>
    <t>01</t>
  </si>
  <si>
    <t>N</t>
  </si>
  <si>
    <t>T</t>
  </si>
  <si>
    <t>流局</t>
    <phoneticPr fontId="1"/>
  </si>
  <si>
    <t>51</t>
  </si>
  <si>
    <t>52</t>
  </si>
  <si>
    <t>*</t>
  </si>
  <si>
    <t>ツモ支払</t>
  </si>
  <si>
    <t>ツモ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</si>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</sst>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11600</v>
      </c>
      <c r="M4" s="9"/>
      <c r="N4" s="48">
        <v>0</v>
      </c>
      <c r="O4" s="21">
        <f>IF(COUNTA($F4,$K4,$P4)&gt;0,O3+SUM(L4:N4),"")</f>
        <v>46600</v>
      </c>
      <c r="P4" s="8" t="s">
        <v>198</v>
      </c>
      <c r="Q4" s="9">
        <v>-11600</v>
      </c>
      <c r="R4" s="9"/>
      <c r="S4" s="48">
        <v>0</v>
      </c>
      <c r="T4" s="21">
        <f>IF(COUNTA($F4,$K4,$P4)&gt;0,T3+SUM(Q4:S4),"")</f>
        <v>23400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21.6</v>
      </c>
      <c r="W4" s="55">
        <f>IF($T4="","",ROUND(($T4-$T$3)/1000,1)+(_xlfn.RANK.AVG($T4,($J4,$O4,$T4),1)-2)*10)</f>
        <v>-21.6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30</v>
      </c>
      <c r="AZ4" s="40" t="s">
        <v>104</v>
      </c>
      <c r="BA4" s="41" t="s">
        <v>86</v>
      </c>
      <c r="BB4" s="41" t="s">
        <v>86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198</v>
      </c>
      <c r="L5" s="9">
        <v>-8000</v>
      </c>
      <c r="M5" s="9">
        <v>-1000</v>
      </c>
      <c r="N5" s="48">
        <v>-1000</v>
      </c>
      <c r="O5" s="21">
        <f t="shared" ref="O5:O30" si="3">IF(COUNTA($F5,$K5,$P5)&gt;0,O4+SUM(L5:N5),"")</f>
        <v>36600</v>
      </c>
      <c r="P5" s="8" t="s">
        <v>197</v>
      </c>
      <c r="Q5" s="9">
        <v>8000</v>
      </c>
      <c r="R5" s="9">
        <v>1000</v>
      </c>
      <c r="S5" s="48">
        <v>1000</v>
      </c>
      <c r="T5" s="21">
        <f t="shared" ref="T5:T30" si="4">IF(COUNTA($F5,$K5,$P5)&gt;0,T4+SUM(Q5:S5),"")</f>
        <v>33400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11.6</v>
      </c>
      <c r="W5" s="55">
        <f>IF($T5="","",ROUND(($T5-$T$3)/1000,1)+(_xlfn.RANK.AVG($T5,($J5,$O5,$T5),1)-2)*10)</f>
        <v>-11.6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40</v>
      </c>
      <c r="BU5" s="40" t="s">
        <v>199</v>
      </c>
      <c r="BV5" s="41" t="s">
        <v>86</v>
      </c>
      <c r="BW5" s="41" t="s">
        <v>79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198</v>
      </c>
      <c r="G6" s="9">
        <v>-7700</v>
      </c>
      <c r="H6" s="9"/>
      <c r="I6" s="48">
        <v>0</v>
      </c>
      <c r="J6" s="21">
        <f t="shared" si="2"/>
        <v>27300</v>
      </c>
      <c r="K6" s="8"/>
      <c r="L6" s="9"/>
      <c r="M6" s="9"/>
      <c r="N6" s="48"/>
      <c r="O6" s="21">
        <f t="shared" si="3"/>
        <v>36600</v>
      </c>
      <c r="P6" s="8" t="s">
        <v>197</v>
      </c>
      <c r="Q6" s="9">
        <v>7700</v>
      </c>
      <c r="R6" s="9"/>
      <c r="S6" s="48">
        <v>0</v>
      </c>
      <c r="T6" s="21">
        <f t="shared" si="4"/>
        <v>41100</v>
      </c>
      <c r="U6" s="53">
        <f>IF($J6="","",ROUND(($J6-$J$3)/1000,1)+(_xlfn.RANK.AVG($J6,($J6,$O6,$T6),1)-2)*10)</f>
        <v>-17.7</v>
      </c>
      <c r="V6" s="54">
        <f>IF($O6="","",ROUND(($O6-$O$3)/1000,1)+(_xlfn.RANK.AVG($O6,($J6,$O6,$T6),1)-2)*10)</f>
        <v>1.6</v>
      </c>
      <c r="W6" s="55">
        <f>IF($T6="","",ROUND(($T6-$T$3)/1000,1)+(_xlfn.RANK.AVG($T6,($J6,$O6,$T6),1)-2)*10)</f>
        <v>16.100000000000001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40</v>
      </c>
      <c r="BU6" s="40" t="s">
        <v>84</v>
      </c>
      <c r="BV6" s="41" t="s">
        <v>79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202</v>
      </c>
      <c r="G7" s="9">
        <v>-1500</v>
      </c>
      <c r="H7" s="9"/>
      <c r="I7" s="48"/>
      <c r="J7" s="21">
        <f t="shared" si="2"/>
        <v>25800</v>
      </c>
      <c r="K7" s="8" t="s">
        <v>202</v>
      </c>
      <c r="L7" s="9">
        <v>3000</v>
      </c>
      <c r="M7" s="9">
        <v>-1000</v>
      </c>
      <c r="N7" s="48"/>
      <c r="O7" s="21">
        <f t="shared" si="3"/>
        <v>38600</v>
      </c>
      <c r="P7" s="8" t="s">
        <v>202</v>
      </c>
      <c r="Q7" s="9">
        <v>-1500</v>
      </c>
      <c r="R7" s="9"/>
      <c r="S7" s="48"/>
      <c r="T7" s="21">
        <f t="shared" si="4"/>
        <v>39600</v>
      </c>
      <c r="U7" s="53">
        <f>IF($J7="","",ROUND(($J7-$J$3)/1000,1)+(_xlfn.RANK.AVG($J7,($J7,$O7,$T7),1)-2)*10)</f>
        <v>-19.2</v>
      </c>
      <c r="V7" s="54">
        <f>IF($O7="","",ROUND(($O7-$O$3)/1000,1)+(_xlfn.RANK.AVG($O7,($J7,$O7,$T7),1)-2)*10)</f>
        <v>3.6</v>
      </c>
      <c r="W7" s="55">
        <f>IF($T7="","",ROUND(($T7-$T$3)/1000,1)+(_xlfn.RANK.AVG($T7,($J7,$O7,$T7),1)-2)*10)</f>
        <v>14.6</v>
      </c>
      <c r="Y7" s="8" t="s">
        <v>200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200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1</v>
      </c>
      <c r="E8" s="4" t="s">
        <v>191</v>
      </c>
      <c r="F8" s="8" t="s">
        <v>198</v>
      </c>
      <c r="G8" s="9">
        <v>-12900</v>
      </c>
      <c r="H8" s="9">
        <v>-1000</v>
      </c>
      <c r="I8" s="48">
        <v>-2000</v>
      </c>
      <c r="J8" s="21">
        <f t="shared" si="2"/>
        <v>9900</v>
      </c>
      <c r="K8" s="8" t="s">
        <v>197</v>
      </c>
      <c r="L8" s="9">
        <v>7700</v>
      </c>
      <c r="M8" s="9">
        <v>2000</v>
      </c>
      <c r="N8" s="48">
        <v>2000</v>
      </c>
      <c r="O8" s="21">
        <f t="shared" si="3"/>
        <v>50300</v>
      </c>
      <c r="P8" s="8" t="s">
        <v>197</v>
      </c>
      <c r="Q8" s="9">
        <v>5200</v>
      </c>
      <c r="R8" s="9"/>
      <c r="S8" s="48"/>
      <c r="T8" s="21">
        <f t="shared" si="4"/>
        <v>44800</v>
      </c>
      <c r="U8" s="53">
        <f>IF($J8="","",ROUND(($J8-$J$3)/1000,1)+(_xlfn.RANK.AVG($J8,($J8,$O8,$T8),1)-2)*10)</f>
        <v>-35.1</v>
      </c>
      <c r="V8" s="54">
        <f>IF($O8="","",ROUND(($O8-$O$3)/1000,1)+(_xlfn.RANK.AVG($O8,($J8,$O8,$T8),1)-2)*10)</f>
        <v>25.3</v>
      </c>
      <c r="W8" s="55">
        <f>IF($T8="","",ROUND(($T8-$T$3)/1000,1)+(_xlfn.RANK.AVG($T8,($J8,$O8,$T8),1)-2)*10)</f>
        <v>9.8000000000000007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30</v>
      </c>
      <c r="AZ8" s="40" t="s">
        <v>203</v>
      </c>
      <c r="BA8" s="41" t="s">
        <v>83</v>
      </c>
      <c r="BB8" s="41" t="s">
        <v>204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199</v>
      </c>
      <c r="BV8" s="41" t="s">
        <v>204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197</v>
      </c>
      <c r="G9" s="9">
        <v>12000</v>
      </c>
      <c r="H9" s="9"/>
      <c r="I9" s="48">
        <v>0</v>
      </c>
      <c r="J9" s="21">
        <f t="shared" si="2"/>
        <v>21900</v>
      </c>
      <c r="K9" s="8" t="s">
        <v>198</v>
      </c>
      <c r="L9" s="9">
        <v>-12000</v>
      </c>
      <c r="M9" s="9"/>
      <c r="N9" s="48">
        <v>0</v>
      </c>
      <c r="O9" s="21">
        <f t="shared" si="3"/>
        <v>38300</v>
      </c>
      <c r="P9" s="8"/>
      <c r="Q9" s="9"/>
      <c r="R9" s="9"/>
      <c r="S9" s="48"/>
      <c r="T9" s="21">
        <f t="shared" si="4"/>
        <v>44800</v>
      </c>
      <c r="U9" s="53">
        <f>IF($J9="","",ROUND(($J9-$J$3)/1000,1)+(_xlfn.RANK.AVG($J9,($J9,$O9,$T9),1)-2)*10)</f>
        <v>-23.1</v>
      </c>
      <c r="V9" s="54">
        <f>IF($O9="","",ROUND(($O9-$O$3)/1000,1)+(_xlfn.RANK.AVG($O9,($J9,$O9,$T9),1)-2)*10)</f>
        <v>3.3</v>
      </c>
      <c r="W9" s="55">
        <f>IF($T9="","",ROUND(($T9-$T$3)/1000,1)+(_xlfn.RANK.AVG($T9,($J9,$O9,$T9),1)-2)*10)</f>
        <v>19.8</v>
      </c>
      <c r="Y9" s="8"/>
      <c r="Z9" s="34"/>
      <c r="AA9" s="26"/>
      <c r="AB9" s="26">
        <v>1</v>
      </c>
      <c r="AC9" s="26">
        <v>7</v>
      </c>
      <c r="AD9" s="30" t="s">
        <v>205</v>
      </c>
      <c r="AE9" s="40" t="s">
        <v>98</v>
      </c>
      <c r="AF9" s="41" t="s">
        <v>86</v>
      </c>
      <c r="AG9" s="41" t="s">
        <v>86</v>
      </c>
      <c r="AH9" s="41" t="s">
        <v>79</v>
      </c>
      <c r="AI9" s="41" t="s">
        <v>79</v>
      </c>
      <c r="AJ9" s="41" t="s">
        <v>79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206</v>
      </c>
      <c r="G10" s="9">
        <v>-2000</v>
      </c>
      <c r="H10" s="9">
        <v>-1000</v>
      </c>
      <c r="I10" s="48">
        <v>0</v>
      </c>
      <c r="J10" s="21">
        <f t="shared" si="2"/>
        <v>18900</v>
      </c>
      <c r="K10" s="8" t="s">
        <v>207</v>
      </c>
      <c r="L10" s="9">
        <v>5300</v>
      </c>
      <c r="M10" s="9">
        <v>1000</v>
      </c>
      <c r="N10" s="48">
        <v>0</v>
      </c>
      <c r="O10" s="21">
        <f t="shared" si="3"/>
        <v>44600</v>
      </c>
      <c r="P10" s="8" t="s">
        <v>206</v>
      </c>
      <c r="Q10" s="9">
        <v>-3300</v>
      </c>
      <c r="R10" s="9"/>
      <c r="S10" s="48">
        <v>0</v>
      </c>
      <c r="T10" s="21">
        <f t="shared" si="4"/>
        <v>41500</v>
      </c>
      <c r="U10" s="53">
        <f>IF($J10="","",ROUND(($J10-$J$3)/1000,1)+(_xlfn.RANK.AVG($J10,($J10,$O10,$T10),1)-2)*10)</f>
        <v>-26.1</v>
      </c>
      <c r="V10" s="54">
        <f>IF($O10="","",ROUND(($O10-$O$3)/1000,1)+(_xlfn.RANK.AVG($O10,($J10,$O10,$T10),1)-2)*10)</f>
        <v>19.600000000000001</v>
      </c>
      <c r="W10" s="55">
        <f>IF($T10="","",ROUND(($T10-$T$3)/1000,1)+(_xlfn.RANK.AVG($T10,($J10,$O10,$T10),1)-2)*10)</f>
        <v>6.5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20</v>
      </c>
      <c r="AZ10" s="40" t="s">
        <v>199</v>
      </c>
      <c r="BA10" s="41" t="s">
        <v>82</v>
      </c>
      <c r="BB10" s="41" t="s">
        <v>83</v>
      </c>
      <c r="BC10" s="41" t="s">
        <v>204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198</v>
      </c>
      <c r="G11" s="9">
        <v>-5200</v>
      </c>
      <c r="H11" s="9"/>
      <c r="I11" s="48">
        <v>0</v>
      </c>
      <c r="J11" s="21">
        <f t="shared" si="2"/>
        <v>13700</v>
      </c>
      <c r="K11" s="8" t="s">
        <v>197</v>
      </c>
      <c r="L11" s="9">
        <v>5200</v>
      </c>
      <c r="M11" s="9"/>
      <c r="N11" s="48">
        <v>0</v>
      </c>
      <c r="O11" s="21">
        <f t="shared" si="3"/>
        <v>49800</v>
      </c>
      <c r="P11" s="8"/>
      <c r="Q11" s="9"/>
      <c r="R11" s="9"/>
      <c r="S11" s="48"/>
      <c r="T11" s="21">
        <f t="shared" si="4"/>
        <v>41500</v>
      </c>
      <c r="U11" s="53">
        <f>IF($J11="","",ROUND(($J11-$J$3)/1000,1)+(_xlfn.RANK.AVG($J11,($J11,$O11,$T11),1)-2)*10)</f>
        <v>-31.3</v>
      </c>
      <c r="V11" s="54">
        <f>IF($O11="","",ROUND(($O11-$O$3)/1000,1)+(_xlfn.RANK.AVG($O11,($J11,$O11,$T11),1)-2)*10)</f>
        <v>24.8</v>
      </c>
      <c r="W11" s="55">
        <f>IF($T11="","",ROUND(($T11-$T$3)/1000,1)+(_xlfn.RANK.AVG($T11,($J11,$O11,$T11),1)-2)*10)</f>
        <v>6.5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40</v>
      </c>
      <c r="AZ11" s="40" t="s">
        <v>199</v>
      </c>
      <c r="BA11" s="41" t="s">
        <v>204</v>
      </c>
      <c r="BB11" s="41" t="s">
        <v>80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0E91C4A-7C49-4AA6-9529-CD946B76715E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A74F3-28F9-42A1-8446-8CE49242055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2000</v>
      </c>
      <c r="H4" s="9"/>
      <c r="I4" s="48">
        <v>0</v>
      </c>
      <c r="J4" s="21">
        <f>IF(COUNTA($F4,$K4,$P4)&gt;0,J3+SUM(G4:I4),"")</f>
        <v>37000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IF($J4="","",ROUND(($J4-$J$3)/1000,1)+(_xlfn.RANK.AVG($J4,($J4,$O4,$T4),1)-2)*10)</f>
        <v>12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-12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204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8000</v>
      </c>
      <c r="H5" s="9"/>
      <c r="I5" s="48">
        <v>0</v>
      </c>
      <c r="J5" s="21">
        <f t="shared" ref="J5:J30" si="2">IF(COUNTA($F5,$K5,$P5)&gt;0,J4+SUM(G5:I5),"")</f>
        <v>45000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198</v>
      </c>
      <c r="Q5" s="9">
        <v>-8000</v>
      </c>
      <c r="R5" s="9"/>
      <c r="S5" s="48">
        <v>0</v>
      </c>
      <c r="T5" s="21">
        <f t="shared" ref="T5:T30" si="4">IF(COUNTA($F5,$K5,$P5)&gt;0,T4+SUM(Q5:S5),"")</f>
        <v>25000</v>
      </c>
      <c r="U5" s="53">
        <f>IF($J5="","",ROUND(($J5-$J$3)/1000,1)+(_xlfn.RANK.AVG($J5,($J5,$O5,$T5),1)-2)*10)</f>
        <v>20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-20</v>
      </c>
      <c r="Y5" s="8"/>
      <c r="Z5" s="34"/>
      <c r="AA5" s="26">
        <v>1</v>
      </c>
      <c r="AB5" s="26"/>
      <c r="AC5" s="26">
        <v>5</v>
      </c>
      <c r="AD5" s="30" t="s">
        <v>205</v>
      </c>
      <c r="AE5" s="40" t="s">
        <v>199</v>
      </c>
      <c r="AF5" s="41" t="s">
        <v>83</v>
      </c>
      <c r="AG5" s="41" t="s">
        <v>92</v>
      </c>
      <c r="AH5" s="41" t="s">
        <v>204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-12000</v>
      </c>
      <c r="H6" s="9"/>
      <c r="I6" s="48">
        <v>0</v>
      </c>
      <c r="J6" s="21">
        <f t="shared" si="2"/>
        <v>33000</v>
      </c>
      <c r="K6" s="8" t="s">
        <v>197</v>
      </c>
      <c r="L6" s="9">
        <v>12000</v>
      </c>
      <c r="M6" s="9"/>
      <c r="N6" s="48">
        <v>0</v>
      </c>
      <c r="O6" s="21">
        <f t="shared" si="3"/>
        <v>47000</v>
      </c>
      <c r="P6" s="8"/>
      <c r="Q6" s="9"/>
      <c r="R6" s="9"/>
      <c r="S6" s="48"/>
      <c r="T6" s="21">
        <f t="shared" si="4"/>
        <v>25000</v>
      </c>
      <c r="U6" s="53">
        <f>IF($J6="","",ROUND(($J6-$J$3)/1000,1)+(_xlfn.RANK.AVG($J6,($J6,$O6,$T6),1)-2)*10)</f>
        <v>-2</v>
      </c>
      <c r="V6" s="54">
        <f>IF($O6="","",ROUND(($O6-$O$3)/1000,1)+(_xlfn.RANK.AVG($O6,($J6,$O6,$T6),1)-2)*10)</f>
        <v>22</v>
      </c>
      <c r="W6" s="55">
        <f>IF($T6="","",ROUND(($T6-$T$3)/1000,1)+(_xlfn.RANK.AVG($T6,($J6,$O6,$T6),1)-2)*10)</f>
        <v>-20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205</v>
      </c>
      <c r="AZ6" s="40" t="s">
        <v>199</v>
      </c>
      <c r="BA6" s="41" t="s">
        <v>83</v>
      </c>
      <c r="BB6" s="41" t="s">
        <v>92</v>
      </c>
      <c r="BC6" s="41" t="s">
        <v>79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198</v>
      </c>
      <c r="G7" s="9">
        <v>-6400</v>
      </c>
      <c r="H7" s="9">
        <v>-1000</v>
      </c>
      <c r="I7" s="48">
        <v>0</v>
      </c>
      <c r="J7" s="21">
        <f t="shared" si="2"/>
        <v>25600</v>
      </c>
      <c r="K7" s="8"/>
      <c r="L7" s="9"/>
      <c r="M7" s="9"/>
      <c r="N7" s="48"/>
      <c r="O7" s="21">
        <f t="shared" si="3"/>
        <v>47000</v>
      </c>
      <c r="P7" s="8" t="s">
        <v>197</v>
      </c>
      <c r="Q7" s="9">
        <v>6400</v>
      </c>
      <c r="R7" s="9">
        <v>1000</v>
      </c>
      <c r="S7" s="48">
        <v>0</v>
      </c>
      <c r="T7" s="21">
        <f t="shared" si="4"/>
        <v>32400</v>
      </c>
      <c r="U7" s="53">
        <f>IF($J7="","",ROUND(($J7-$J$3)/1000,1)+(_xlfn.RANK.AVG($J7,($J7,$O7,$T7),1)-2)*10)</f>
        <v>-19.399999999999999</v>
      </c>
      <c r="V7" s="54">
        <f>IF($O7="","",ROUND(($O7-$O$3)/1000,1)+(_xlfn.RANK.AVG($O7,($J7,$O7,$T7),1)-2)*10)</f>
        <v>22</v>
      </c>
      <c r="W7" s="55">
        <f>IF($T7="","",ROUND(($T7-$T$3)/1000,1)+(_xlfn.RANK.AVG($T7,($J7,$O7,$T7),1)-2)*10)</f>
        <v>-2.6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25</v>
      </c>
      <c r="BU7" s="40" t="s">
        <v>79</v>
      </c>
      <c r="BV7" s="41" t="s">
        <v>101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206</v>
      </c>
      <c r="G8" s="9">
        <v>-1500</v>
      </c>
      <c r="H8" s="9"/>
      <c r="I8" s="48">
        <v>0</v>
      </c>
      <c r="J8" s="21">
        <f t="shared" si="2"/>
        <v>24100</v>
      </c>
      <c r="K8" s="8" t="s">
        <v>207</v>
      </c>
      <c r="L8" s="9">
        <v>4000</v>
      </c>
      <c r="M8" s="9"/>
      <c r="N8" s="48">
        <v>0</v>
      </c>
      <c r="O8" s="21">
        <f t="shared" si="3"/>
        <v>51000</v>
      </c>
      <c r="P8" s="8" t="s">
        <v>206</v>
      </c>
      <c r="Q8" s="9">
        <v>-2500</v>
      </c>
      <c r="R8" s="9"/>
      <c r="S8" s="48">
        <v>0</v>
      </c>
      <c r="T8" s="21">
        <f t="shared" si="4"/>
        <v>29900</v>
      </c>
      <c r="U8" s="53">
        <f>IF($J8="","",ROUND(($J8-$J$3)/1000,1)+(_xlfn.RANK.AVG($J8,($J8,$O8,$T8),1)-2)*10)</f>
        <v>-20.9</v>
      </c>
      <c r="V8" s="54">
        <f>IF($O8="","",ROUND(($O8-$O$3)/1000,1)+(_xlfn.RANK.AVG($O8,($J8,$O8,$T8),1)-2)*10)</f>
        <v>26</v>
      </c>
      <c r="W8" s="55">
        <f>IF($T8="","",ROUND(($T8-$T$3)/1000,1)+(_xlfn.RANK.AVG($T8,($J8,$O8,$T8),1)-2)*10)</f>
        <v>-5.0999999999999996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30</v>
      </c>
      <c r="AZ8" s="40" t="s">
        <v>199</v>
      </c>
      <c r="BA8" s="41" t="s">
        <v>86</v>
      </c>
      <c r="BB8" s="41" t="s">
        <v>204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208</v>
      </c>
      <c r="G9" s="9">
        <v>-1500</v>
      </c>
      <c r="H9" s="9"/>
      <c r="I9" s="48"/>
      <c r="J9" s="21">
        <f t="shared" si="2"/>
        <v>22600</v>
      </c>
      <c r="K9" s="8" t="s">
        <v>208</v>
      </c>
      <c r="L9" s="9">
        <v>-1500</v>
      </c>
      <c r="M9" s="9">
        <v>1000</v>
      </c>
      <c r="N9" s="48"/>
      <c r="O9" s="21">
        <f t="shared" si="3"/>
        <v>50500</v>
      </c>
      <c r="P9" s="8" t="s">
        <v>208</v>
      </c>
      <c r="Q9" s="9">
        <v>3000</v>
      </c>
      <c r="R9" s="9">
        <v>-1000</v>
      </c>
      <c r="S9" s="48"/>
      <c r="T9" s="21">
        <f t="shared" si="4"/>
        <v>31900</v>
      </c>
      <c r="U9" s="53">
        <f>IF($J9="","",ROUND(($J9-$J$3)/1000,1)+(_xlfn.RANK.AVG($J9,($J9,$O9,$T9),1)-2)*10)</f>
        <v>-22.4</v>
      </c>
      <c r="V9" s="54">
        <f>IF($O9="","",ROUND(($O9-$O$3)/1000,1)+(_xlfn.RANK.AVG($O9,($J9,$O9,$T9),1)-2)*10)</f>
        <v>25.5</v>
      </c>
      <c r="W9" s="55">
        <f>IF($T9="","",ROUND(($T9-$T$3)/1000,1)+(_xlfn.RANK.AVG($T9,($J9,$O9,$T9),1)-2)*10)</f>
        <v>-3.1</v>
      </c>
      <c r="Y9" s="8" t="s">
        <v>200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200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201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西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976E16C4-5038-4385-8B41-330C40359449}">
      <formula1>"たかの,だいち,ただ,りくと,れんたろう,まっつん,のり,ぱぱ,ほたに,いっしー,"</formula1>
    </dataValidation>
    <dataValidation type="list" showInputMessage="1" showErrorMessage="1" sqref="K4:K30 P4:P30 F4:F30" xr:uid="{199FF4F8-93AB-47F6-9080-56348C59A385}">
      <formula1>"ロン,ツモ,放銃,ツモ支払,流局,チョンボ"</formula1>
    </dataValidation>
    <dataValidation type="list" allowBlank="1" showInputMessage="1" showErrorMessage="1" sqref="E4:E30" xr:uid="{0882DABE-A1FC-4764-AA0C-FC1D8084DF0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E0B76-3824-4BE6-926F-03992D4730D0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206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207</v>
      </c>
      <c r="L4" s="9">
        <v>16000</v>
      </c>
      <c r="M4" s="9"/>
      <c r="N4" s="48">
        <v>0</v>
      </c>
      <c r="O4" s="21">
        <f>IF(COUNTA($F4,$K4,$P4)&gt;0,O3+SUM(L4:N4),"")</f>
        <v>51000</v>
      </c>
      <c r="P4" s="8" t="s">
        <v>206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26</v>
      </c>
      <c r="W4" s="55">
        <f>IF($T4="","",ROUND(($T4-$T$3)/1000,1)+(_xlfn.RANK.AVG($T4,($J4,$O4,$T4),1)-2)*10)</f>
        <v>-6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8</v>
      </c>
      <c r="AY4" s="30" t="s">
        <v>205</v>
      </c>
      <c r="AZ4" s="40" t="s">
        <v>199</v>
      </c>
      <c r="BA4" s="41" t="s">
        <v>82</v>
      </c>
      <c r="BB4" s="41" t="s">
        <v>104</v>
      </c>
      <c r="BC4" s="41" t="s">
        <v>92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207</v>
      </c>
      <c r="G5" s="9">
        <v>12000</v>
      </c>
      <c r="H5" s="9"/>
      <c r="I5" s="48">
        <v>0</v>
      </c>
      <c r="J5" s="21">
        <f t="shared" ref="J5:J30" si="2">IF(COUNTA($F5,$K5,$P5)&gt;0,J4+SUM(G5:I5),"")</f>
        <v>37000</v>
      </c>
      <c r="K5" s="8" t="s">
        <v>206</v>
      </c>
      <c r="L5" s="9">
        <v>-7500</v>
      </c>
      <c r="M5" s="9"/>
      <c r="N5" s="48">
        <v>0</v>
      </c>
      <c r="O5" s="21">
        <f t="shared" ref="O5:O30" si="3">IF(COUNTA($F5,$K5,$P5)&gt;0,O4+SUM(L5:N5),"")</f>
        <v>43500</v>
      </c>
      <c r="P5" s="8" t="s">
        <v>206</v>
      </c>
      <c r="Q5" s="9">
        <v>-4500</v>
      </c>
      <c r="R5" s="9"/>
      <c r="S5" s="48">
        <v>0</v>
      </c>
      <c r="T5" s="21">
        <f t="shared" ref="T5:T30" si="4">IF(COUNTA($F5,$K5,$P5)&gt;0,T4+SUM(Q5:S5),"")</f>
        <v>24500</v>
      </c>
      <c r="U5" s="53">
        <f>IF($J5="","",ROUND(($J5-$J$3)/1000,1)+(_xlfn.RANK.AVG($J5,($J5,$O5,$T5),1)-2)*10)</f>
        <v>2</v>
      </c>
      <c r="V5" s="54">
        <f>IF($O5="","",ROUND(($O5-$O$3)/1000,1)+(_xlfn.RANK.AVG($O5,($J5,$O5,$T5),1)-2)*10)</f>
        <v>18.5</v>
      </c>
      <c r="W5" s="55">
        <f>IF($T5="","",ROUND(($T5-$T$3)/1000,1)+(_xlfn.RANK.AVG($T5,($J5,$O5,$T5),1)-2)*10)</f>
        <v>-20.5</v>
      </c>
      <c r="Y5" s="8"/>
      <c r="Z5" s="34"/>
      <c r="AA5" s="26">
        <v>1</v>
      </c>
      <c r="AB5" s="26"/>
      <c r="AC5" s="26">
        <v>7</v>
      </c>
      <c r="AD5" s="30" t="s">
        <v>205</v>
      </c>
      <c r="AE5" s="40" t="s">
        <v>199</v>
      </c>
      <c r="AF5" s="41" t="s">
        <v>82</v>
      </c>
      <c r="AG5" s="41" t="s">
        <v>204</v>
      </c>
      <c r="AH5" s="41" t="s">
        <v>204</v>
      </c>
      <c r="AI5" s="41" t="s">
        <v>79</v>
      </c>
      <c r="AJ5" s="41" t="s">
        <v>80</v>
      </c>
      <c r="AK5" s="41" t="s">
        <v>80</v>
      </c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197</v>
      </c>
      <c r="G6" s="9">
        <v>12000</v>
      </c>
      <c r="H6" s="9"/>
      <c r="I6" s="48">
        <v>0</v>
      </c>
      <c r="J6" s="21">
        <f t="shared" si="2"/>
        <v>49000</v>
      </c>
      <c r="K6" s="8"/>
      <c r="L6" s="9"/>
      <c r="M6" s="9"/>
      <c r="N6" s="48"/>
      <c r="O6" s="21">
        <f t="shared" si="3"/>
        <v>43500</v>
      </c>
      <c r="P6" s="8" t="s">
        <v>198</v>
      </c>
      <c r="Q6" s="9">
        <v>-12000</v>
      </c>
      <c r="R6" s="9"/>
      <c r="S6" s="48">
        <v>0</v>
      </c>
      <c r="T6" s="21">
        <f t="shared" si="4"/>
        <v>12500</v>
      </c>
      <c r="U6" s="53">
        <f>IF($J6="","",ROUND(($J6-$J$3)/1000,1)+(_xlfn.RANK.AVG($J6,($J6,$O6,$T6),1)-2)*10)</f>
        <v>24</v>
      </c>
      <c r="V6" s="54">
        <f>IF($O6="","",ROUND(($O6-$O$3)/1000,1)+(_xlfn.RANK.AVG($O6,($J6,$O6,$T6),1)-2)*10)</f>
        <v>8.5</v>
      </c>
      <c r="W6" s="55">
        <f>IF($T6="","",ROUND(($T6-$T$3)/1000,1)+(_xlfn.RANK.AVG($T6,($J6,$O6,$T6),1)-2)*10)</f>
        <v>-32.5</v>
      </c>
      <c r="Y6" s="8"/>
      <c r="Z6" s="34"/>
      <c r="AA6" s="26"/>
      <c r="AB6" s="26">
        <v>1</v>
      </c>
      <c r="AC6" s="26">
        <v>7</v>
      </c>
      <c r="AD6" s="30" t="s">
        <v>205</v>
      </c>
      <c r="AE6" s="40" t="s">
        <v>86</v>
      </c>
      <c r="AF6" s="41" t="s">
        <v>104</v>
      </c>
      <c r="AG6" s="41" t="s">
        <v>204</v>
      </c>
      <c r="AH6" s="41" t="s">
        <v>79</v>
      </c>
      <c r="AI6" s="41" t="s">
        <v>79</v>
      </c>
      <c r="AJ6" s="41" t="s">
        <v>79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-6400</v>
      </c>
      <c r="H7" s="9"/>
      <c r="I7" s="48">
        <v>0</v>
      </c>
      <c r="J7" s="21">
        <f t="shared" si="2"/>
        <v>42600</v>
      </c>
      <c r="K7" s="8" t="s">
        <v>197</v>
      </c>
      <c r="L7" s="9">
        <v>6400</v>
      </c>
      <c r="M7" s="9"/>
      <c r="N7" s="48">
        <v>0</v>
      </c>
      <c r="O7" s="21">
        <f t="shared" si="3"/>
        <v>49900</v>
      </c>
      <c r="P7" s="8"/>
      <c r="Q7" s="9"/>
      <c r="R7" s="9"/>
      <c r="S7" s="48"/>
      <c r="T7" s="21">
        <f t="shared" si="4"/>
        <v>12500</v>
      </c>
      <c r="U7" s="53">
        <f>IF($J7="","",ROUND(($J7-$J$3)/1000,1)+(_xlfn.RANK.AVG($J7,($J7,$O7,$T7),1)-2)*10)</f>
        <v>7.6</v>
      </c>
      <c r="V7" s="54">
        <f>IF($O7="","",ROUND(($O7-$O$3)/1000,1)+(_xlfn.RANK.AVG($O7,($J7,$O7,$T7),1)-2)*10)</f>
        <v>24.9</v>
      </c>
      <c r="W7" s="55">
        <f>IF($T7="","",ROUND(($T7-$T$3)/1000,1)+(_xlfn.RANK.AVG($T7,($J7,$O7,$T7),1)-2)*10)</f>
        <v>-32.5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4</v>
      </c>
      <c r="AY7" s="30">
        <v>25</v>
      </c>
      <c r="AZ7" s="40" t="s">
        <v>79</v>
      </c>
      <c r="BA7" s="41" t="s">
        <v>79</v>
      </c>
      <c r="BB7" s="41" t="s">
        <v>101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206</v>
      </c>
      <c r="G8" s="9">
        <v>-2400</v>
      </c>
      <c r="H8" s="9"/>
      <c r="I8" s="48">
        <v>0</v>
      </c>
      <c r="J8" s="21">
        <f t="shared" si="2"/>
        <v>40200</v>
      </c>
      <c r="K8" s="8" t="s">
        <v>206</v>
      </c>
      <c r="L8" s="9">
        <v>-4000</v>
      </c>
      <c r="M8" s="9"/>
      <c r="N8" s="48">
        <v>0</v>
      </c>
      <c r="O8" s="21">
        <f t="shared" si="3"/>
        <v>45900</v>
      </c>
      <c r="P8" s="8" t="s">
        <v>207</v>
      </c>
      <c r="Q8" s="9">
        <v>6400</v>
      </c>
      <c r="R8" s="9"/>
      <c r="S8" s="48">
        <v>0</v>
      </c>
      <c r="T8" s="21">
        <f t="shared" si="4"/>
        <v>18900</v>
      </c>
      <c r="U8" s="53">
        <f>IF($J8="","",ROUND(($J8-$J$3)/1000,1)+(_xlfn.RANK.AVG($J8,($J8,$O8,$T8),1)-2)*10)</f>
        <v>5.2</v>
      </c>
      <c r="V8" s="54">
        <f>IF($O8="","",ROUND(($O8-$O$3)/1000,1)+(_xlfn.RANK.AVG($O8,($J8,$O8,$T8),1)-2)*10)</f>
        <v>20.9</v>
      </c>
      <c r="W8" s="55">
        <f>IF($T8="","",ROUND(($T8-$T$3)/1000,1)+(_xlfn.RANK.AVG($T8,($J8,$O8,$T8),1)-2)*10)</f>
        <v>-26.1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25</v>
      </c>
      <c r="BU8" s="40" t="s">
        <v>199</v>
      </c>
      <c r="BV8" s="41" t="s">
        <v>82</v>
      </c>
      <c r="BW8" s="41" t="s">
        <v>101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198</v>
      </c>
      <c r="G9" s="9">
        <v>-3900</v>
      </c>
      <c r="H9" s="9"/>
      <c r="I9" s="48">
        <v>0</v>
      </c>
      <c r="J9" s="21">
        <f t="shared" si="2"/>
        <v>36300</v>
      </c>
      <c r="K9" s="8" t="s">
        <v>197</v>
      </c>
      <c r="L9" s="9">
        <v>3900</v>
      </c>
      <c r="M9" s="9"/>
      <c r="N9" s="48">
        <v>0</v>
      </c>
      <c r="O9" s="21">
        <f t="shared" si="3"/>
        <v>49800</v>
      </c>
      <c r="P9" s="8"/>
      <c r="Q9" s="9"/>
      <c r="R9" s="9"/>
      <c r="S9" s="48"/>
      <c r="T9" s="21">
        <f t="shared" si="4"/>
        <v>18900</v>
      </c>
      <c r="U9" s="53">
        <f>IF($J9="","",ROUND(($J9-$J$3)/1000,1)+(_xlfn.RANK.AVG($J9,($J9,$O9,$T9),1)-2)*10)</f>
        <v>1.3</v>
      </c>
      <c r="V9" s="54">
        <f>IF($O9="","",ROUND(($O9-$O$3)/1000,1)+(_xlfn.RANK.AVG($O9,($J9,$O9,$T9),1)-2)*10)</f>
        <v>24.8</v>
      </c>
      <c r="W9" s="55">
        <f>IF($T9="","",ROUND(($T9-$T$3)/1000,1)+(_xlfn.RANK.AVG($T9,($J9,$O9,$T9),1)-2)*10)</f>
        <v>-26.1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3</v>
      </c>
      <c r="AY9" s="30">
        <v>30</v>
      </c>
      <c r="AZ9" s="40" t="s">
        <v>83</v>
      </c>
      <c r="BA9" s="41" t="s">
        <v>79</v>
      </c>
      <c r="BB9" s="41" t="s">
        <v>204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西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DE604F45-7912-4075-ACB2-228F83AE133F}">
      <formula1>"たかの,だいち,ただ,りくと,れんたろう,まっつん,のり,ぱぱ,ほたに,いっしー,"</formula1>
    </dataValidation>
    <dataValidation type="list" showInputMessage="1" showErrorMessage="1" sqref="K4:K30 P4:P30 F4:F30" xr:uid="{F1FBD54C-6541-4117-8EB1-DF4BECFE736B}">
      <formula1>"ロン,ツモ,放銃,ツモ支払,流局,チョンボ"</formula1>
    </dataValidation>
    <dataValidation type="list" allowBlank="1" showInputMessage="1" showErrorMessage="1" sqref="E4:E30" xr:uid="{BC4F9B8A-9465-4A15-91C9-15AEA366B86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2019-10-20T11:32:56Z</dcterms:modified>
</cp:coreProperties>
</file>