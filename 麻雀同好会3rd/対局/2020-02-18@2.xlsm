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対局\"/>
    </mc:Choice>
  </mc:AlternateContent>
  <xr:revisionPtr revIDLastSave="0" documentId="13_ncr:1_{7435F4A1-ED02-4DF7-9EC5-7F2572D322D6}" xr6:coauthVersionLast="44" xr6:coauthVersionMax="44" xr10:uidLastSave="{00000000-0000-0000-0000-000000000000}"/>
  <bookViews>
    <workbookView xWindow="-108" yWindow="-108" windowWidth="23256" windowHeight="12720" activeTab="1" xr2:uid="{4CDB34E1-560F-4998-ABAB-D6F7F2862621}"/>
  </bookViews>
  <sheets>
    <sheet name="Sheet1" sheetId="19" r:id="rId1"/>
    <sheet name="Sheet2" sheetId="20" r:id="rId2"/>
    <sheet name="役一覧" sheetId="15" state="hidden" r:id="rId3"/>
    <sheet name="点数表(親ロン)" sheetId="4" state="hidden" r:id="rId4"/>
    <sheet name="点数表(親ツモ)" sheetId="9" state="hidden" r:id="rId5"/>
    <sheet name="点数表(子→親)" sheetId="7" state="hidden" r:id="rId6"/>
    <sheet name="点数表(子ロン)" sheetId="3" state="hidden" r:id="rId7"/>
    <sheet name="点数表(子ツモ)" sheetId="10" state="hidden" r:id="rId8"/>
    <sheet name="点数表(子→子)" sheetId="5" state="hidden" r:id="rId9"/>
    <sheet name="点数表(親→子)" sheetId="6" state="hidden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T30" i="20" l="1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A16" i="20"/>
  <c r="D15" i="20"/>
  <c r="D14" i="20"/>
  <c r="D13" i="20"/>
  <c r="C13" i="20"/>
  <c r="C14" i="20" s="1"/>
  <c r="C15" i="20" s="1"/>
  <c r="D12" i="20"/>
  <c r="C12" i="20"/>
  <c r="D11" i="20"/>
  <c r="C11" i="20"/>
  <c r="D10" i="20"/>
  <c r="C10" i="20"/>
  <c r="D9" i="20"/>
  <c r="C9" i="20"/>
  <c r="D7" i="20"/>
  <c r="D8" i="20" s="1"/>
  <c r="D6" i="20"/>
  <c r="T5" i="20"/>
  <c r="O5" i="20"/>
  <c r="D5" i="20"/>
  <c r="T4" i="20"/>
  <c r="O4" i="20"/>
  <c r="J4" i="20"/>
  <c r="J5" i="20" s="1"/>
  <c r="E4" i="20"/>
  <c r="B5" i="20" s="1"/>
  <c r="W3" i="20"/>
  <c r="V3" i="20"/>
  <c r="U3" i="20"/>
  <c r="W2" i="20"/>
  <c r="V2" i="20"/>
  <c r="U2" i="20"/>
  <c r="BO1" i="20"/>
  <c r="AT1" i="20"/>
  <c r="Y1" i="20"/>
  <c r="V5" i="20" l="1"/>
  <c r="V4" i="20"/>
  <c r="W4" i="20"/>
  <c r="U4" i="20"/>
  <c r="U5" i="20"/>
  <c r="J6" i="20"/>
  <c r="W5" i="20"/>
  <c r="B6" i="20"/>
  <c r="A5" i="20"/>
  <c r="C5" i="20"/>
  <c r="C6" i="20" s="1"/>
  <c r="C7" i="20" s="1"/>
  <c r="C8" i="20" s="1"/>
  <c r="O6" i="20"/>
  <c r="T6" i="20"/>
  <c r="E4" i="19"/>
  <c r="A6" i="20" l="1"/>
  <c r="U6" i="20"/>
  <c r="J7" i="20"/>
  <c r="T7" i="20"/>
  <c r="W6" i="20"/>
  <c r="V6" i="20"/>
  <c r="O7" i="20"/>
  <c r="B7" i="20"/>
  <c r="A7" i="20" s="1"/>
  <c r="W3" i="19"/>
  <c r="V3" i="19"/>
  <c r="U3" i="19"/>
  <c r="W7" i="20" l="1"/>
  <c r="T8" i="20"/>
  <c r="J8" i="20"/>
  <c r="U7" i="20"/>
  <c r="B8" i="20"/>
  <c r="A8" i="20" s="1"/>
  <c r="V7" i="20"/>
  <c r="O8" i="20"/>
  <c r="T30" i="19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O15" i="19"/>
  <c r="J15" i="19"/>
  <c r="D15" i="19"/>
  <c r="C15" i="19"/>
  <c r="B15" i="19"/>
  <c r="A15" i="19" s="1"/>
  <c r="T14" i="19"/>
  <c r="O14" i="19"/>
  <c r="J14" i="19"/>
  <c r="U14" i="19" s="1"/>
  <c r="D14" i="19"/>
  <c r="C14" i="19"/>
  <c r="B14" i="19"/>
  <c r="A14" i="19" s="1"/>
  <c r="T13" i="19"/>
  <c r="O13" i="19"/>
  <c r="J13" i="19"/>
  <c r="U13" i="19" s="1"/>
  <c r="D13" i="19"/>
  <c r="C13" i="19"/>
  <c r="B13" i="19"/>
  <c r="A13" i="19"/>
  <c r="T12" i="19"/>
  <c r="O12" i="19"/>
  <c r="J12" i="19"/>
  <c r="D12" i="19"/>
  <c r="C12" i="19"/>
  <c r="B12" i="19"/>
  <c r="A12" i="19"/>
  <c r="T11" i="19"/>
  <c r="O11" i="19"/>
  <c r="J11" i="19"/>
  <c r="D11" i="19"/>
  <c r="C11" i="19"/>
  <c r="B11" i="19"/>
  <c r="A11" i="19" s="1"/>
  <c r="T10" i="19"/>
  <c r="O10" i="19"/>
  <c r="J10" i="19"/>
  <c r="D10" i="19"/>
  <c r="C10" i="19"/>
  <c r="B10" i="19"/>
  <c r="A10" i="19" s="1"/>
  <c r="T9" i="19"/>
  <c r="O9" i="19"/>
  <c r="J9" i="19"/>
  <c r="D9" i="19"/>
  <c r="C9" i="19"/>
  <c r="B9" i="19"/>
  <c r="A9" i="19" s="1"/>
  <c r="T8" i="19"/>
  <c r="O8" i="19"/>
  <c r="J8" i="19"/>
  <c r="D8" i="19"/>
  <c r="C8" i="19"/>
  <c r="B8" i="19"/>
  <c r="A8" i="19" s="1"/>
  <c r="T7" i="19"/>
  <c r="O7" i="19"/>
  <c r="J7" i="19"/>
  <c r="D7" i="19"/>
  <c r="C7" i="19"/>
  <c r="B7" i="19"/>
  <c r="A7" i="19" s="1"/>
  <c r="T6" i="19"/>
  <c r="O6" i="19"/>
  <c r="J6" i="19"/>
  <c r="D6" i="19"/>
  <c r="C6" i="19"/>
  <c r="B6" i="19"/>
  <c r="A6" i="19"/>
  <c r="D5" i="19"/>
  <c r="C5" i="19"/>
  <c r="B5" i="19"/>
  <c r="A5" i="19" s="1"/>
  <c r="T4" i="19"/>
  <c r="O4" i="19"/>
  <c r="J4" i="19"/>
  <c r="W2" i="19"/>
  <c r="V2" i="19"/>
  <c r="U2" i="19"/>
  <c r="BO1" i="19"/>
  <c r="AT1" i="19"/>
  <c r="Y1" i="19"/>
  <c r="U8" i="20" l="1"/>
  <c r="J9" i="20"/>
  <c r="W8" i="20"/>
  <c r="T9" i="20"/>
  <c r="V8" i="20"/>
  <c r="O9" i="20"/>
  <c r="B9" i="20"/>
  <c r="A9" i="20" s="1"/>
  <c r="U15" i="19"/>
  <c r="V15" i="19"/>
  <c r="W15" i="19"/>
  <c r="V14" i="19"/>
  <c r="W14" i="19"/>
  <c r="W13" i="19"/>
  <c r="V13" i="19"/>
  <c r="U12" i="19"/>
  <c r="W12" i="19"/>
  <c r="V12" i="19"/>
  <c r="U11" i="19"/>
  <c r="V11" i="19"/>
  <c r="W11" i="19"/>
  <c r="U10" i="19"/>
  <c r="U9" i="19"/>
  <c r="V9" i="19"/>
  <c r="W8" i="19"/>
  <c r="U6" i="19"/>
  <c r="V10" i="19"/>
  <c r="W10" i="19"/>
  <c r="W9" i="19"/>
  <c r="U8" i="19"/>
  <c r="V8" i="19"/>
  <c r="V7" i="19"/>
  <c r="U7" i="19"/>
  <c r="W7" i="19"/>
  <c r="V6" i="19"/>
  <c r="W6" i="19"/>
  <c r="U4" i="19"/>
  <c r="V4" i="19"/>
  <c r="T5" i="19"/>
  <c r="W4" i="19"/>
  <c r="J5" i="19"/>
  <c r="O5" i="19"/>
  <c r="U9" i="20" l="1"/>
  <c r="J10" i="20"/>
  <c r="B10" i="20"/>
  <c r="A10" i="20" s="1"/>
  <c r="V9" i="20"/>
  <c r="O10" i="20"/>
  <c r="W9" i="20"/>
  <c r="T10" i="20"/>
  <c r="W5" i="19"/>
  <c r="V5" i="19"/>
  <c r="U5" i="19"/>
  <c r="U10" i="20" l="1"/>
  <c r="J11" i="20"/>
  <c r="W10" i="20"/>
  <c r="T11" i="20"/>
  <c r="V10" i="20"/>
  <c r="O11" i="20"/>
  <c r="B11" i="20"/>
  <c r="A11" i="20" s="1"/>
  <c r="J12" i="20" l="1"/>
  <c r="U11" i="20"/>
  <c r="B12" i="20"/>
  <c r="V11" i="20"/>
  <c r="O12" i="20"/>
  <c r="W11" i="20"/>
  <c r="T12" i="20"/>
  <c r="U12" i="20" l="1"/>
  <c r="J13" i="20"/>
  <c r="W12" i="20"/>
  <c r="T13" i="20"/>
  <c r="B13" i="20"/>
  <c r="V12" i="20"/>
  <c r="O13" i="20"/>
  <c r="A12" i="20"/>
  <c r="A13" i="20" l="1"/>
  <c r="V13" i="20"/>
  <c r="O14" i="20"/>
  <c r="B14" i="20"/>
  <c r="W13" i="20"/>
  <c r="T14" i="20"/>
  <c r="U13" i="20"/>
  <c r="J14" i="20"/>
  <c r="V14" i="20" l="1"/>
  <c r="O15" i="20"/>
  <c r="V15" i="20" s="1"/>
  <c r="U14" i="20"/>
  <c r="J15" i="20"/>
  <c r="B15" i="20"/>
  <c r="W14" i="20"/>
  <c r="T15" i="20"/>
  <c r="A14" i="20"/>
  <c r="A15" i="20" s="1"/>
  <c r="W15" i="20" l="1"/>
  <c r="U15" i="20"/>
</calcChain>
</file>

<file path=xl/sharedStrings.xml><?xml version="1.0" encoding="utf-8"?>
<sst xmlns="http://schemas.openxmlformats.org/spreadsheetml/2006/main" count="711" uniqueCount="209">
  <si>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</si>
  <si>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</si>
  <si>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</si>
  <si>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</si>
  <si>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</si>
  <si>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</si>
  <si>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</si>
  <si>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</si>
  <si>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</si>
  <si>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</si>
  <si>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</si>
  <si>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</si>
  <si>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</si>
  <si>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</si>
  <si>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</si>
  <si>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</si>
  <si>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</si>
  <si>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</si>
  <si>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</si>
  <si>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</si>
  <si>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</si>
  <si>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</si>
  <si>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</si>
  <si>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</si>
  <si>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</si>
  <si>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</si>
  <si>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</si>
  <si>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</si>
  <si>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</si>
  <si>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</si>
  <si>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</si>
  <si>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</si>
  <si>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</si>
  <si>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</si>
  <si>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</si>
  <si>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</si>
  <si>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</si>
  <si>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</si>
  <si>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</si>
  <si>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</si>
  <si>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</si>
  <si>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</si>
  <si>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</si>
  <si>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</si>
  <si>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</si>
  <si>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</si>
  <si>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</si>
  <si>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</si>
  <si>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</si>
  <si>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</si>
  <si>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</si>
  <si>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</si>
  <si>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</si>
  <si>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</si>
  <si>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</si>
  <si>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</si>
  <si>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</si>
  <si>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</si>
  <si>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</si>
  <si>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</si>
  <si>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</si>
  <si>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</si>
  <si>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</si>
  <si>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</si>
  <si>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</si>
  <si>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</si>
  <si>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</si>
  <si>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</si>
  <si>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</si>
  <si>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</si>
  <si>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</si>
  <si>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</si>
  <si>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</si>
  <si>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</si>
  <si>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</si>
  <si>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</si>
  <si>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</si>
  <si>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</si>
  <si>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</si>
  <si>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</si>
  <si>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</si>
  <si>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</si>
  <si>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</si>
  <si>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</si>
  <si>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</si>
  <si>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</si>
  <si>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</si>
  <si>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</si>
  <si>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</si>
  <si>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</si>
  <si>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</si>
  <si>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</si>
  <si>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</si>
  <si>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</si>
  <si>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</si>
  <si>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</si>
  <si>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</si>
  <si>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</si>
  <si>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</si>
  <si>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</si>
  <si>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</si>
  <si>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</si>
  <si>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</si>
  <si>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</si>
  <si>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</si>
  <si>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</si>
  <si>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</si>
  <si>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</si>
  <si>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</si>
  <si>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</si>
  <si>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</si>
  <si>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</si>
  <si>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</si>
  <si>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</si>
  <si>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</si>
  <si>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</si>
  <si>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</si>
  <si>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</si>
  <si>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</si>
  <si>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</si>
  <si>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</si>
  <si>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</si>
  <si>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</si>
  <si>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</si>
  <si>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</si>
  <si>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</si>
  <si>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</si>
  <si>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</si>
  <si>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</si>
  <si>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</si>
  <si>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</si>
  <si>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</si>
  <si>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</si>
  <si>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</si>
  <si>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</si>
  <si>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</si>
  <si>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</si>
  <si>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</si>
  <si>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</si>
  <si>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</si>
  <si>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</si>
  <si>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</si>
  <si>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</si>
  <si>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</si>
  <si>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</si>
  <si>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</si>
  <si>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</si>
  <si>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</si>
  <si>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</si>
  <si>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</si>
  <si>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</si>
  <si>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</si>
  <si>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</si>
  <si>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</si>
  <si>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</si>
  <si>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</si>
  <si>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</si>
  <si>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</si>
  <si>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</si>
  <si>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</si>
  <si>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</si>
  <si>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</si>
  <si>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</si>
  <si>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</si>
  <si>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</si>
  <si>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</si>
  <si>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</si>
  <si>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</si>
  <si>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</si>
  <si>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</si>
  <si>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</si>
  <si>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</si>
  <si>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</si>
  <si>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</si>
  <si>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</si>
  <si>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</si>
  <si>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</si>
  <si>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</si>
  <si>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</si>
  <si>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</si>
  <si>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</si>
  <si>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</si>
  <si>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</si>
  <si>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</si>
  <si>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</si>
  <si>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</si>
  <si>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</si>
  <si>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</si>
  <si>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</si>
  <si>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</si>
  <si>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</si>
  <si>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まっつん</t>
  </si>
  <si>
    <t>まっつん</t>
    <phoneticPr fontId="1"/>
  </si>
  <si>
    <t>だいち</t>
  </si>
  <si>
    <t>だいち</t>
    <phoneticPr fontId="1"/>
  </si>
  <si>
    <t>れんたろう</t>
  </si>
  <si>
    <t>れんたろう</t>
    <phoneticPr fontId="1"/>
  </si>
  <si>
    <t>ロン</t>
  </si>
  <si>
    <t>放銃</t>
  </si>
  <si>
    <t>*</t>
  </si>
  <si>
    <t>51</t>
  </si>
  <si>
    <t>52</t>
  </si>
  <si>
    <t>N</t>
  </si>
  <si>
    <t>T</t>
  </si>
  <si>
    <t>流局</t>
    <phoneticPr fontId="1"/>
  </si>
  <si>
    <t>ツモ支払</t>
  </si>
  <si>
    <t>ツモ</t>
  </si>
  <si>
    <t>01</t>
  </si>
  <si>
    <t>ただ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</si>
</sst>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3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</cellXfs>
  <cellStyles count="1">
    <cellStyle name="標準" xfId="0" builtinId="0"/>
  </cellStyles>
  <dxfs count="10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192</v>
      </c>
      <c r="G1" s="73"/>
      <c r="H1" s="73"/>
      <c r="I1" s="74"/>
      <c r="J1" s="75"/>
      <c r="K1" s="72" t="s">
        <v>194</v>
      </c>
      <c r="L1" s="73"/>
      <c r="M1" s="73"/>
      <c r="N1" s="74"/>
      <c r="O1" s="75"/>
      <c r="P1" s="72" t="s">
        <v>196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まっつん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だいち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れんたろう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5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まっつん</v>
      </c>
      <c r="V2" s="64" t="str">
        <f>$K$1</f>
        <v>だいち</v>
      </c>
      <c r="W2" s="16" t="str">
        <f>$P$1</f>
        <v>れんたろう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F1</f>
        <v>まっつん</v>
      </c>
      <c r="F4" s="8"/>
      <c r="G4" s="9"/>
      <c r="H4" s="9"/>
      <c r="I4" s="48"/>
      <c r="J4" s="21">
        <f>IF(COUNTA($F4,$K4,$P4)&gt;0,J3+SUM(G4:I4),"")</f>
        <v>35000</v>
      </c>
      <c r="K4" s="8" t="s">
        <v>197</v>
      </c>
      <c r="L4" s="9">
        <v>8000</v>
      </c>
      <c r="M4" s="9">
        <v>1000</v>
      </c>
      <c r="N4" s="48">
        <v>0</v>
      </c>
      <c r="O4" s="21">
        <f>IF(COUNTA($F4,$K4,$P4)&gt;0,O3+SUM(L4:N4),"")</f>
        <v>44000</v>
      </c>
      <c r="P4" s="8" t="s">
        <v>198</v>
      </c>
      <c r="Q4" s="9">
        <v>-8000</v>
      </c>
      <c r="R4" s="9">
        <v>-1000</v>
      </c>
      <c r="S4" s="48">
        <v>0</v>
      </c>
      <c r="T4" s="21">
        <f>IF(COUNTA($F4,$K4,$P4)&gt;0,T3+SUM(Q4:S4),"")</f>
        <v>26000</v>
      </c>
      <c r="U4" s="53">
        <f>IF($J4="","",ROUND(($J4-$J$3)/1000,1)+(_xlfn.RANK.AVG($J4,($J4,$O4,$T4),1)-2)*10)</f>
        <v>0</v>
      </c>
      <c r="V4" s="54">
        <f>IF($O4="","",ROUND(($O4-$O$3)/1000,1)+(_xlfn.RANK.AVG($O4,($J4,$O4,$T4),1)-2)*10)</f>
        <v>19</v>
      </c>
      <c r="W4" s="55">
        <f>IF($T4="","",ROUND(($T4-$T$3)/1000,1)+(_xlfn.RANK.AVG($T4,($J4,$O4,$T4),1)-2)*10)</f>
        <v>-19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>
        <v>5</v>
      </c>
      <c r="AY4" s="30" t="s">
        <v>199</v>
      </c>
      <c r="AZ4" s="40" t="s">
        <v>200</v>
      </c>
      <c r="BA4" s="41" t="s">
        <v>79</v>
      </c>
      <c r="BB4" s="41" t="s">
        <v>80</v>
      </c>
      <c r="BC4" s="41" t="s">
        <v>201</v>
      </c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193</v>
      </c>
      <c r="F5" s="8" t="s">
        <v>204</v>
      </c>
      <c r="G5" s="9">
        <v>-1500</v>
      </c>
      <c r="H5" s="9"/>
      <c r="I5" s="48"/>
      <c r="J5" s="21">
        <f t="shared" ref="J5:J30" si="2">IF(COUNTA($F5,$K5,$P5)&gt;0,J4+SUM(G5:I5),"")</f>
        <v>33500</v>
      </c>
      <c r="K5" s="8" t="s">
        <v>204</v>
      </c>
      <c r="L5" s="9">
        <v>3000</v>
      </c>
      <c r="M5" s="9">
        <v>-1000</v>
      </c>
      <c r="N5" s="48"/>
      <c r="O5" s="21">
        <f t="shared" ref="O5:O30" si="3">IF(COUNTA($F5,$K5,$P5)&gt;0,O4+SUM(L5:N5),"")</f>
        <v>46000</v>
      </c>
      <c r="P5" s="8" t="s">
        <v>204</v>
      </c>
      <c r="Q5" s="9">
        <v>-1500</v>
      </c>
      <c r="R5" s="9"/>
      <c r="S5" s="48"/>
      <c r="T5" s="21">
        <f t="shared" ref="T5:T30" si="4">IF(COUNTA($F5,$K5,$P5)&gt;0,T4+SUM(Q5:S5),"")</f>
        <v>24500</v>
      </c>
      <c r="U5" s="53">
        <f>IF($J5="","",ROUND(($J5-$J$3)/1000,1)+(_xlfn.RANK.AVG($J5,($J5,$O5,$T5),1)-2)*10)</f>
        <v>-1.5</v>
      </c>
      <c r="V5" s="54">
        <f>IF($O5="","",ROUND(($O5-$O$3)/1000,1)+(_xlfn.RANK.AVG($O5,($J5,$O5,$T5),1)-2)*10)</f>
        <v>21</v>
      </c>
      <c r="W5" s="55">
        <f>IF($T5="","",ROUND(($T5-$T$3)/1000,1)+(_xlfn.RANK.AVG($T5,($J5,$O5,$T5),1)-2)*10)</f>
        <v>-20.5</v>
      </c>
      <c r="Y5" s="8" t="s">
        <v>202</v>
      </c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 t="s">
        <v>203</v>
      </c>
      <c r="AU5" s="34"/>
      <c r="AV5" s="26">
        <v>1</v>
      </c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 t="s">
        <v>202</v>
      </c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1</v>
      </c>
      <c r="E6" s="4" t="s">
        <v>193</v>
      </c>
      <c r="F6" s="8" t="s">
        <v>205</v>
      </c>
      <c r="G6" s="9">
        <v>-3900</v>
      </c>
      <c r="H6" s="9"/>
      <c r="I6" s="48">
        <v>-500</v>
      </c>
      <c r="J6" s="21">
        <f t="shared" si="2"/>
        <v>29100</v>
      </c>
      <c r="K6" s="8" t="s">
        <v>206</v>
      </c>
      <c r="L6" s="9">
        <v>7800</v>
      </c>
      <c r="M6" s="9">
        <v>1000</v>
      </c>
      <c r="N6" s="48">
        <v>1000</v>
      </c>
      <c r="O6" s="21">
        <f t="shared" si="3"/>
        <v>55800</v>
      </c>
      <c r="P6" s="8" t="s">
        <v>205</v>
      </c>
      <c r="Q6" s="9">
        <v>-3900</v>
      </c>
      <c r="R6" s="9"/>
      <c r="S6" s="48">
        <v>-500</v>
      </c>
      <c r="T6" s="21">
        <f t="shared" si="4"/>
        <v>20100</v>
      </c>
      <c r="U6" s="53">
        <f>IF($J6="","",ROUND(($J6-$J$3)/1000,1)+(_xlfn.RANK.AVG($J6,($J6,$O6,$T6),1)-2)*10)</f>
        <v>-5.9</v>
      </c>
      <c r="V6" s="54">
        <f>IF($O6="","",ROUND(($O6-$O$3)/1000,1)+(_xlfn.RANK.AVG($O6,($J6,$O6,$T6),1)-2)*10)</f>
        <v>30.8</v>
      </c>
      <c r="W6" s="55">
        <f>IF($T6="","",ROUND(($T6-$T$3)/1000,1)+(_xlfn.RANK.AVG($T6,($J6,$O6,$T6),1)-2)*10)</f>
        <v>-24.9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>
        <v>3</v>
      </c>
      <c r="AY6" s="30">
        <v>40</v>
      </c>
      <c r="AZ6" s="40" t="s">
        <v>207</v>
      </c>
      <c r="BA6" s="41" t="s">
        <v>82</v>
      </c>
      <c r="BB6" s="41" t="s">
        <v>79</v>
      </c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2</v>
      </c>
      <c r="C7" s="18">
        <f t="shared" si="6"/>
        <v>2</v>
      </c>
      <c r="D7" s="18">
        <f t="shared" si="1"/>
        <v>0</v>
      </c>
      <c r="E7" s="4" t="s">
        <v>193</v>
      </c>
      <c r="F7" s="8" t="s">
        <v>204</v>
      </c>
      <c r="G7" s="9">
        <v>-1500</v>
      </c>
      <c r="H7" s="9"/>
      <c r="I7" s="48"/>
      <c r="J7" s="21">
        <f t="shared" si="2"/>
        <v>27600</v>
      </c>
      <c r="K7" s="8" t="s">
        <v>204</v>
      </c>
      <c r="L7" s="9">
        <v>3000</v>
      </c>
      <c r="M7" s="9">
        <v>-1000</v>
      </c>
      <c r="N7" s="48"/>
      <c r="O7" s="21">
        <f t="shared" si="3"/>
        <v>57800</v>
      </c>
      <c r="P7" s="8" t="s">
        <v>204</v>
      </c>
      <c r="Q7" s="9">
        <v>-1500</v>
      </c>
      <c r="R7" s="9"/>
      <c r="S7" s="48"/>
      <c r="T7" s="21">
        <f t="shared" si="4"/>
        <v>18600</v>
      </c>
      <c r="U7" s="53">
        <f>IF($J7="","",ROUND(($J7-$J$3)/1000,1)+(_xlfn.RANK.AVG($J7,($J7,$O7,$T7),1)-2)*10)</f>
        <v>-7.4</v>
      </c>
      <c r="V7" s="54">
        <f>IF($O7="","",ROUND(($O7-$O$3)/1000,1)+(_xlfn.RANK.AVG($O7,($J7,$O7,$T7),1)-2)*10)</f>
        <v>32.799999999999997</v>
      </c>
      <c r="W7" s="55">
        <f>IF($T7="","",ROUND(($T7-$T$3)/1000,1)+(_xlfn.RANK.AVG($T7,($J7,$O7,$T7),1)-2)*10)</f>
        <v>-26.4</v>
      </c>
      <c r="Y7" s="8" t="s">
        <v>202</v>
      </c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 t="s">
        <v>203</v>
      </c>
      <c r="AU7" s="34"/>
      <c r="AV7" s="26">
        <v>1</v>
      </c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 t="s">
        <v>202</v>
      </c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東</v>
      </c>
      <c r="B8" s="18">
        <f t="shared" si="5"/>
        <v>2</v>
      </c>
      <c r="C8" s="18">
        <f t="shared" si="6"/>
        <v>3</v>
      </c>
      <c r="D8" s="18">
        <f t="shared" si="1"/>
        <v>1</v>
      </c>
      <c r="E8" s="4" t="s">
        <v>193</v>
      </c>
      <c r="F8" s="8" t="s">
        <v>197</v>
      </c>
      <c r="G8" s="9">
        <v>8000</v>
      </c>
      <c r="H8" s="9">
        <v>1000</v>
      </c>
      <c r="I8" s="48">
        <v>3000</v>
      </c>
      <c r="J8" s="21">
        <f t="shared" si="2"/>
        <v>39600</v>
      </c>
      <c r="K8" s="8" t="s">
        <v>198</v>
      </c>
      <c r="L8" s="9">
        <v>-8000</v>
      </c>
      <c r="M8" s="9"/>
      <c r="N8" s="48">
        <v>-3000</v>
      </c>
      <c r="O8" s="21">
        <f t="shared" si="3"/>
        <v>46800</v>
      </c>
      <c r="P8" s="8"/>
      <c r="Q8" s="9"/>
      <c r="R8" s="9"/>
      <c r="S8" s="48"/>
      <c r="T8" s="21">
        <f t="shared" si="4"/>
        <v>18600</v>
      </c>
      <c r="U8" s="53">
        <f>IF($J8="","",ROUND(($J8-$J$3)/1000,1)+(_xlfn.RANK.AVG($J8,($J8,$O8,$T8),1)-2)*10)</f>
        <v>4.5999999999999996</v>
      </c>
      <c r="V8" s="54">
        <f>IF($O8="","",ROUND(($O8-$O$3)/1000,1)+(_xlfn.RANK.AVG($O8,($J8,$O8,$T8),1)-2)*10)</f>
        <v>21.8</v>
      </c>
      <c r="W8" s="55">
        <f>IF($T8="","",ROUND(($T8-$T$3)/1000,1)+(_xlfn.RANK.AVG($T8,($J8,$O8,$T8),1)-2)*10)</f>
        <v>-26.4</v>
      </c>
      <c r="Y8" s="8"/>
      <c r="Z8" s="34"/>
      <c r="AA8" s="26">
        <v>1</v>
      </c>
      <c r="AB8" s="26"/>
      <c r="AC8" s="26">
        <v>4</v>
      </c>
      <c r="AD8" s="30">
        <v>40</v>
      </c>
      <c r="AE8" s="40" t="s">
        <v>86</v>
      </c>
      <c r="AF8" s="41" t="s">
        <v>207</v>
      </c>
      <c r="AG8" s="41" t="s">
        <v>201</v>
      </c>
      <c r="AH8" s="41" t="s">
        <v>80</v>
      </c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東</v>
      </c>
      <c r="B9" s="18">
        <f t="shared" si="5"/>
        <v>3</v>
      </c>
      <c r="C9" s="18">
        <f t="shared" si="6"/>
        <v>0</v>
      </c>
      <c r="D9" s="18">
        <f t="shared" si="1"/>
        <v>0</v>
      </c>
      <c r="E9" s="4" t="s">
        <v>195</v>
      </c>
      <c r="F9" s="8" t="s">
        <v>197</v>
      </c>
      <c r="G9" s="9">
        <v>7700</v>
      </c>
      <c r="H9" s="9"/>
      <c r="I9" s="48">
        <v>0</v>
      </c>
      <c r="J9" s="21">
        <f t="shared" si="2"/>
        <v>47300</v>
      </c>
      <c r="K9" s="8"/>
      <c r="L9" s="9"/>
      <c r="M9" s="9"/>
      <c r="N9" s="48"/>
      <c r="O9" s="21">
        <f t="shared" si="3"/>
        <v>46800</v>
      </c>
      <c r="P9" s="8" t="s">
        <v>198</v>
      </c>
      <c r="Q9" s="9">
        <v>-7700</v>
      </c>
      <c r="R9" s="9"/>
      <c r="S9" s="48">
        <v>0</v>
      </c>
      <c r="T9" s="21">
        <f t="shared" si="4"/>
        <v>10900</v>
      </c>
      <c r="U9" s="53">
        <f>IF($J9="","",ROUND(($J9-$J$3)/1000,1)+(_xlfn.RANK.AVG($J9,($J9,$O9,$T9),1)-2)*10)</f>
        <v>22.3</v>
      </c>
      <c r="V9" s="54">
        <f>IF($O9="","",ROUND(($O9-$O$3)/1000,1)+(_xlfn.RANK.AVG($O9,($J9,$O9,$T9),1)-2)*10)</f>
        <v>11.8</v>
      </c>
      <c r="W9" s="55">
        <f>IF($T9="","",ROUND(($T9-$T$3)/1000,1)+(_xlfn.RANK.AVG($T9,($J9,$O9,$T9),1)-2)*10)</f>
        <v>-34.1</v>
      </c>
      <c r="Y9" s="8"/>
      <c r="Z9" s="34"/>
      <c r="AA9" s="26">
        <v>1</v>
      </c>
      <c r="AB9" s="26"/>
      <c r="AC9" s="26">
        <v>4</v>
      </c>
      <c r="AD9" s="30">
        <v>30</v>
      </c>
      <c r="AE9" s="40" t="s">
        <v>207</v>
      </c>
      <c r="AF9" s="41" t="s">
        <v>83</v>
      </c>
      <c r="AG9" s="41" t="s">
        <v>201</v>
      </c>
      <c r="AH9" s="41" t="s">
        <v>79</v>
      </c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>
        <v>1</v>
      </c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南</v>
      </c>
      <c r="B10" s="18">
        <f t="shared" si="5"/>
        <v>1</v>
      </c>
      <c r="C10" s="18">
        <f t="shared" si="6"/>
        <v>0</v>
      </c>
      <c r="D10" s="18">
        <f t="shared" si="1"/>
        <v>0</v>
      </c>
      <c r="E10" s="4" t="s">
        <v>191</v>
      </c>
      <c r="F10" s="8" t="s">
        <v>197</v>
      </c>
      <c r="G10" s="9">
        <v>2000</v>
      </c>
      <c r="H10" s="9">
        <v>1000</v>
      </c>
      <c r="I10" s="48">
        <v>0</v>
      </c>
      <c r="J10" s="21">
        <f t="shared" si="2"/>
        <v>50300</v>
      </c>
      <c r="K10" s="8"/>
      <c r="L10" s="9"/>
      <c r="M10" s="9"/>
      <c r="N10" s="48"/>
      <c r="O10" s="21">
        <f t="shared" si="3"/>
        <v>46800</v>
      </c>
      <c r="P10" s="8" t="s">
        <v>198</v>
      </c>
      <c r="Q10" s="9">
        <v>-2000</v>
      </c>
      <c r="R10" s="9">
        <v>-1000</v>
      </c>
      <c r="S10" s="48">
        <v>0</v>
      </c>
      <c r="T10" s="21">
        <f t="shared" si="4"/>
        <v>7900</v>
      </c>
      <c r="U10" s="53">
        <f>IF($J10="","",ROUND(($J10-$J$3)/1000,1)+(_xlfn.RANK.AVG($J10,($J10,$O10,$T10),1)-2)*10)</f>
        <v>25.3</v>
      </c>
      <c r="V10" s="54">
        <f>IF($O10="","",ROUND(($O10-$O$3)/1000,1)+(_xlfn.RANK.AVG($O10,($J10,$O10,$T10),1)-2)*10)</f>
        <v>11.8</v>
      </c>
      <c r="W10" s="55">
        <f>IF($T10="","",ROUND(($T10-$T$3)/1000,1)+(_xlfn.RANK.AVG($T10,($J10,$O10,$T10),1)-2)*10)</f>
        <v>-37.1</v>
      </c>
      <c r="Y10" s="8"/>
      <c r="Z10" s="34"/>
      <c r="AA10" s="26">
        <v>1</v>
      </c>
      <c r="AB10" s="26"/>
      <c r="AC10" s="26">
        <v>1</v>
      </c>
      <c r="AD10" s="30">
        <v>40</v>
      </c>
      <c r="AE10" s="40" t="s">
        <v>207</v>
      </c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>
        <v>1</v>
      </c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>南</v>
      </c>
      <c r="B11" s="18">
        <f t="shared" si="5"/>
        <v>1</v>
      </c>
      <c r="C11" s="18">
        <f t="shared" si="6"/>
        <v>1</v>
      </c>
      <c r="D11" s="18">
        <f t="shared" si="1"/>
        <v>0</v>
      </c>
      <c r="E11" s="4" t="s">
        <v>191</v>
      </c>
      <c r="F11" s="8" t="s">
        <v>198</v>
      </c>
      <c r="G11" s="9">
        <v>-16000</v>
      </c>
      <c r="H11" s="9">
        <v>-1000</v>
      </c>
      <c r="I11" s="48">
        <v>-1000</v>
      </c>
      <c r="J11" s="21">
        <f t="shared" si="2"/>
        <v>32300</v>
      </c>
      <c r="K11" s="8" t="s">
        <v>197</v>
      </c>
      <c r="L11" s="9">
        <v>8000</v>
      </c>
      <c r="M11" s="9">
        <v>1000</v>
      </c>
      <c r="N11" s="48">
        <v>1000</v>
      </c>
      <c r="O11" s="21">
        <f t="shared" si="3"/>
        <v>56800</v>
      </c>
      <c r="P11" s="8" t="s">
        <v>197</v>
      </c>
      <c r="Q11" s="9">
        <v>8000</v>
      </c>
      <c r="R11" s="9"/>
      <c r="S11" s="48"/>
      <c r="T11" s="21">
        <f t="shared" si="4"/>
        <v>15900</v>
      </c>
      <c r="U11" s="53">
        <f>IF($J11="","",ROUND(($J11-$J$3)/1000,1)+(_xlfn.RANK.AVG($J11,($J11,$O11,$T11),1)-2)*10)</f>
        <v>-2.7</v>
      </c>
      <c r="V11" s="54">
        <f>IF($O11="","",ROUND(($O11-$O$3)/1000,1)+(_xlfn.RANK.AVG($O11,($J11,$O11,$T11),1)-2)*10)</f>
        <v>31.8</v>
      </c>
      <c r="W11" s="55">
        <f>IF($T11="","",ROUND(($T11-$T$3)/1000,1)+(_xlfn.RANK.AVG($T11,($J11,$O11,$T11),1)-2)*10)</f>
        <v>-29.1</v>
      </c>
      <c r="Y11" s="8"/>
      <c r="Z11" s="34"/>
      <c r="AA11" s="26">
        <v>1</v>
      </c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>
        <v>5</v>
      </c>
      <c r="AY11" s="30" t="s">
        <v>199</v>
      </c>
      <c r="AZ11" s="40" t="s">
        <v>101</v>
      </c>
      <c r="BA11" s="41" t="s">
        <v>79</v>
      </c>
      <c r="BB11" s="41" t="s">
        <v>80</v>
      </c>
      <c r="BC11" s="41" t="s">
        <v>80</v>
      </c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>
        <v>1</v>
      </c>
      <c r="BS11" s="26">
        <v>5</v>
      </c>
      <c r="BT11" s="30" t="s">
        <v>199</v>
      </c>
      <c r="BU11" s="40" t="s">
        <v>104</v>
      </c>
      <c r="BV11" s="41" t="s">
        <v>86</v>
      </c>
      <c r="BW11" s="41" t="s">
        <v>79</v>
      </c>
      <c r="BX11" s="41" t="s">
        <v>79</v>
      </c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>南</v>
      </c>
      <c r="B12" s="18">
        <f t="shared" si="5"/>
        <v>2</v>
      </c>
      <c r="C12" s="18">
        <f t="shared" si="6"/>
        <v>0</v>
      </c>
      <c r="D12" s="18">
        <f t="shared" si="1"/>
        <v>0</v>
      </c>
      <c r="E12" s="4" t="s">
        <v>193</v>
      </c>
      <c r="F12" s="8" t="s">
        <v>197</v>
      </c>
      <c r="G12" s="9">
        <v>3900</v>
      </c>
      <c r="H12" s="9"/>
      <c r="I12" s="48">
        <v>0</v>
      </c>
      <c r="J12" s="21">
        <f t="shared" si="2"/>
        <v>36200</v>
      </c>
      <c r="K12" s="8"/>
      <c r="L12" s="9"/>
      <c r="M12" s="9"/>
      <c r="N12" s="48"/>
      <c r="O12" s="21">
        <f t="shared" si="3"/>
        <v>56800</v>
      </c>
      <c r="P12" s="8" t="s">
        <v>198</v>
      </c>
      <c r="Q12" s="9">
        <v>-3900</v>
      </c>
      <c r="R12" s="9"/>
      <c r="S12" s="48">
        <v>0</v>
      </c>
      <c r="T12" s="21">
        <f t="shared" si="4"/>
        <v>12000</v>
      </c>
      <c r="U12" s="53">
        <f>IF($J12="","",ROUND(($J12-$J$3)/1000,1)+(_xlfn.RANK.AVG($J12,($J12,$O12,$T12),1)-2)*10)</f>
        <v>1.2</v>
      </c>
      <c r="V12" s="54">
        <f>IF($O12="","",ROUND(($O12-$O$3)/1000,1)+(_xlfn.RANK.AVG($O12,($J12,$O12,$T12),1)-2)*10)</f>
        <v>31.8</v>
      </c>
      <c r="W12" s="55">
        <f>IF($T12="","",ROUND(($T12-$T$3)/1000,1)+(_xlfn.RANK.AVG($T12,($J12,$O12,$T12),1)-2)*10)</f>
        <v>-33</v>
      </c>
      <c r="Y12" s="8"/>
      <c r="Z12" s="34"/>
      <c r="AA12" s="26"/>
      <c r="AB12" s="26">
        <v>1</v>
      </c>
      <c r="AC12" s="26">
        <v>3</v>
      </c>
      <c r="AD12" s="30">
        <v>30</v>
      </c>
      <c r="AE12" s="40" t="s">
        <v>86</v>
      </c>
      <c r="AF12" s="41" t="s">
        <v>86</v>
      </c>
      <c r="AG12" s="41" t="s">
        <v>201</v>
      </c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>南</v>
      </c>
      <c r="B13" s="18">
        <f t="shared" si="5"/>
        <v>3</v>
      </c>
      <c r="C13" s="18">
        <f t="shared" si="6"/>
        <v>0</v>
      </c>
      <c r="D13" s="18">
        <f t="shared" si="1"/>
        <v>0</v>
      </c>
      <c r="E13" s="4" t="s">
        <v>195</v>
      </c>
      <c r="F13" s="8" t="s">
        <v>205</v>
      </c>
      <c r="G13" s="9">
        <v>-3000</v>
      </c>
      <c r="H13" s="9"/>
      <c r="I13" s="48">
        <v>0</v>
      </c>
      <c r="J13" s="21">
        <f t="shared" si="2"/>
        <v>33200</v>
      </c>
      <c r="K13" s="8" t="s">
        <v>205</v>
      </c>
      <c r="L13" s="9">
        <v>-3000</v>
      </c>
      <c r="M13" s="9"/>
      <c r="N13" s="48">
        <v>0</v>
      </c>
      <c r="O13" s="21">
        <f t="shared" si="3"/>
        <v>53800</v>
      </c>
      <c r="P13" s="8" t="s">
        <v>206</v>
      </c>
      <c r="Q13" s="9">
        <v>6000</v>
      </c>
      <c r="R13" s="9"/>
      <c r="S13" s="48">
        <v>0</v>
      </c>
      <c r="T13" s="21">
        <f t="shared" si="4"/>
        <v>18000</v>
      </c>
      <c r="U13" s="53">
        <f>IF($J13="","",ROUND(($J13-$J$3)/1000,1)+(_xlfn.RANK.AVG($J13,($J13,$O13,$T13),1)-2)*10)</f>
        <v>-1.8</v>
      </c>
      <c r="V13" s="54">
        <f>IF($O13="","",ROUND(($O13-$O$3)/1000,1)+(_xlfn.RANK.AVG($O13,($J13,$O13,$T13),1)-2)*10)</f>
        <v>28.8</v>
      </c>
      <c r="W13" s="55">
        <f>IF($T13="","",ROUND(($T13-$T$3)/1000,1)+(_xlfn.RANK.AVG($T13,($J13,$O13,$T13),1)-2)*10)</f>
        <v>-27</v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>
        <v>1</v>
      </c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>
        <v>3</v>
      </c>
      <c r="BT13" s="30">
        <v>30</v>
      </c>
      <c r="BU13" s="40" t="s">
        <v>207</v>
      </c>
      <c r="BV13" s="41" t="s">
        <v>85</v>
      </c>
      <c r="BW13" s="41" t="s">
        <v>201</v>
      </c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>南</v>
      </c>
      <c r="B14" s="18">
        <f t="shared" si="5"/>
        <v>3</v>
      </c>
      <c r="C14" s="18">
        <f t="shared" si="6"/>
        <v>1</v>
      </c>
      <c r="D14" s="18">
        <f t="shared" si="1"/>
        <v>0</v>
      </c>
      <c r="E14" s="4" t="s">
        <v>195</v>
      </c>
      <c r="F14" s="8" t="s">
        <v>205</v>
      </c>
      <c r="G14" s="9">
        <v>-6000</v>
      </c>
      <c r="H14" s="9"/>
      <c r="I14" s="48">
        <v>-500</v>
      </c>
      <c r="J14" s="21">
        <f t="shared" si="2"/>
        <v>26700</v>
      </c>
      <c r="K14" s="8" t="s">
        <v>205</v>
      </c>
      <c r="L14" s="9">
        <v>-6000</v>
      </c>
      <c r="M14" s="9"/>
      <c r="N14" s="48">
        <v>-500</v>
      </c>
      <c r="O14" s="21">
        <f t="shared" si="3"/>
        <v>47300</v>
      </c>
      <c r="P14" s="8" t="s">
        <v>206</v>
      </c>
      <c r="Q14" s="9">
        <v>12000</v>
      </c>
      <c r="R14" s="9"/>
      <c r="S14" s="48">
        <v>1000</v>
      </c>
      <c r="T14" s="21">
        <f t="shared" si="4"/>
        <v>31000</v>
      </c>
      <c r="U14" s="53">
        <f>IF($J14="","",ROUND(($J14-$J$3)/1000,1)+(_xlfn.RANK.AVG($J14,($J14,$O14,$T14),1)-2)*10)</f>
        <v>-18.3</v>
      </c>
      <c r="V14" s="54">
        <f>IF($O14="","",ROUND(($O14-$O$3)/1000,1)+(_xlfn.RANK.AVG($O14,($J14,$O14,$T14),1)-2)*10)</f>
        <v>22.3</v>
      </c>
      <c r="W14" s="55">
        <f>IF($T14="","",ROUND(($T14-$T$3)/1000,1)+(_xlfn.RANK.AVG($T14,($J14,$O14,$T14),1)-2)*10)</f>
        <v>-4</v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>
        <v>1</v>
      </c>
      <c r="BR14" s="26"/>
      <c r="BS14" s="26">
        <v>4</v>
      </c>
      <c r="BT14" s="30">
        <v>60</v>
      </c>
      <c r="BU14" s="40" t="s">
        <v>207</v>
      </c>
      <c r="BV14" s="41" t="s">
        <v>82</v>
      </c>
      <c r="BW14" s="41" t="s">
        <v>86</v>
      </c>
      <c r="BX14" s="41" t="s">
        <v>84</v>
      </c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>南</v>
      </c>
      <c r="B15" s="18">
        <f t="shared" si="5"/>
        <v>3</v>
      </c>
      <c r="C15" s="18">
        <f t="shared" si="6"/>
        <v>2</v>
      </c>
      <c r="D15" s="18">
        <f t="shared" si="1"/>
        <v>0</v>
      </c>
      <c r="E15" s="4" t="s">
        <v>195</v>
      </c>
      <c r="F15" s="8"/>
      <c r="G15" s="9"/>
      <c r="H15" s="9"/>
      <c r="I15" s="48"/>
      <c r="J15" s="21">
        <f t="shared" si="2"/>
        <v>26700</v>
      </c>
      <c r="K15" s="8" t="s">
        <v>197</v>
      </c>
      <c r="L15" s="9">
        <v>2600</v>
      </c>
      <c r="M15" s="9"/>
      <c r="N15" s="48">
        <v>2000</v>
      </c>
      <c r="O15" s="21">
        <f t="shared" si="3"/>
        <v>51900</v>
      </c>
      <c r="P15" s="8" t="s">
        <v>198</v>
      </c>
      <c r="Q15" s="9">
        <v>-2600</v>
      </c>
      <c r="R15" s="9"/>
      <c r="S15" s="48">
        <v>-2000</v>
      </c>
      <c r="T15" s="21">
        <f t="shared" si="4"/>
        <v>26400</v>
      </c>
      <c r="U15" s="53">
        <f>IF($J15="","",ROUND(($J15-$J$3)/1000,1)+(_xlfn.RANK.AVG($J15,($J15,$O15,$T15),1)-2)*10)</f>
        <v>-8.3000000000000007</v>
      </c>
      <c r="V15" s="54">
        <f>IF($O15="","",ROUND(($O15-$O$3)/1000,1)+(_xlfn.RANK.AVG($O15,($J15,$O15,$T15),1)-2)*10)</f>
        <v>26.9</v>
      </c>
      <c r="W15" s="55">
        <f>IF($T15="","",ROUND(($T15-$T$3)/1000,1)+(_xlfn.RANK.AVG($T15,($J15,$O15,$T15),1)-2)*10)</f>
        <v>-18.600000000000001</v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>
        <v>2</v>
      </c>
      <c r="AY15" s="30">
        <v>40</v>
      </c>
      <c r="AZ15" s="40" t="s">
        <v>84</v>
      </c>
      <c r="BA15" s="41" t="s">
        <v>201</v>
      </c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80717C5E-30A9-4257-BBC3-8E9A1AC0FF68}">
      <formula1>"たかの,だいち,ただ,りくと,れんたろう,まっつん,のり,ぱぱ,ほたに,いっしー,ともき,たか,ゆう,"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242B11-8D9C-49E9-8337-5E94097F3ACB}">
  <sheetPr codeName="Sheet11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192</v>
      </c>
      <c r="G1" s="73"/>
      <c r="H1" s="73"/>
      <c r="I1" s="74"/>
      <c r="J1" s="75"/>
      <c r="K1" s="72" t="s">
        <v>194</v>
      </c>
      <c r="L1" s="73"/>
      <c r="M1" s="73"/>
      <c r="N1" s="74"/>
      <c r="O1" s="75"/>
      <c r="P1" s="72" t="s">
        <v>208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まっつん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だいち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ただ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5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まっつん</v>
      </c>
      <c r="V2" s="69" t="str">
        <f>$K$1</f>
        <v>だいち</v>
      </c>
      <c r="W2" s="16" t="str">
        <f>$P$1</f>
        <v>ただ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F1</f>
        <v>まっつん</v>
      </c>
      <c r="F4" s="8" t="s">
        <v>205</v>
      </c>
      <c r="G4" s="9">
        <v>-1300</v>
      </c>
      <c r="H4" s="9"/>
      <c r="I4" s="48">
        <v>0</v>
      </c>
      <c r="J4" s="21">
        <f>IF(COUNTA($F4,$K4,$P4)&gt;0,J3+SUM(G4:I4),"")</f>
        <v>33700</v>
      </c>
      <c r="K4" s="8" t="s">
        <v>205</v>
      </c>
      <c r="L4" s="9">
        <v>-800</v>
      </c>
      <c r="M4" s="9"/>
      <c r="N4" s="48">
        <v>0</v>
      </c>
      <c r="O4" s="21">
        <f>IF(COUNTA($F4,$K4,$P4)&gt;0,O3+SUM(L4:N4),"")</f>
        <v>34200</v>
      </c>
      <c r="P4" s="8" t="s">
        <v>206</v>
      </c>
      <c r="Q4" s="9">
        <v>2100</v>
      </c>
      <c r="R4" s="9"/>
      <c r="S4" s="48">
        <v>0</v>
      </c>
      <c r="T4" s="21">
        <f>IF(COUNTA($F4,$K4,$P4)&gt;0,T3+SUM(Q4:S4),"")</f>
        <v>37100</v>
      </c>
      <c r="U4" s="53">
        <f>IF($J4="","",ROUND(($J4-$J$3)/1000,1)+(_xlfn.RANK.AVG($J4,($J4,$O4,$T4),1)-2)*10)</f>
        <v>-11.3</v>
      </c>
      <c r="V4" s="54">
        <f>IF($O4="","",ROUND(($O4-$O$3)/1000,1)+(_xlfn.RANK.AVG($O4,($J4,$O4,$T4),1)-2)*10)</f>
        <v>-0.8</v>
      </c>
      <c r="W4" s="55">
        <f>IF($T4="","",ROUND(($T4-$T$3)/1000,1)+(_xlfn.RANK.AVG($T4,($J4,$O4,$T4),1)-2)*10)</f>
        <v>12.1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>
        <v>1</v>
      </c>
      <c r="BS4" s="26">
        <v>2</v>
      </c>
      <c r="BT4" s="30">
        <v>30</v>
      </c>
      <c r="BU4" s="40" t="s">
        <v>86</v>
      </c>
      <c r="BV4" s="41" t="s">
        <v>201</v>
      </c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193</v>
      </c>
      <c r="F5" s="8" t="s">
        <v>205</v>
      </c>
      <c r="G5" s="9">
        <v>-800</v>
      </c>
      <c r="H5" s="9"/>
      <c r="I5" s="48">
        <v>0</v>
      </c>
      <c r="J5" s="21">
        <f t="shared" ref="J5:J30" si="2">IF(COUNTA($F5,$K5,$P5)&gt;0,J4+SUM(G5:I5),"")</f>
        <v>32900</v>
      </c>
      <c r="K5" s="8" t="s">
        <v>205</v>
      </c>
      <c r="L5" s="9">
        <v>-1300</v>
      </c>
      <c r="M5" s="9"/>
      <c r="N5" s="48">
        <v>0</v>
      </c>
      <c r="O5" s="21">
        <f t="shared" ref="O5:O30" si="3">IF(COUNTA($F5,$K5,$P5)&gt;0,O4+SUM(L5:N5),"")</f>
        <v>32900</v>
      </c>
      <c r="P5" s="8" t="s">
        <v>206</v>
      </c>
      <c r="Q5" s="9">
        <v>2100</v>
      </c>
      <c r="R5" s="9"/>
      <c r="S5" s="48">
        <v>0</v>
      </c>
      <c r="T5" s="21">
        <f t="shared" ref="T5:T30" si="4">IF(COUNTA($F5,$K5,$P5)&gt;0,T4+SUM(Q5:S5),"")</f>
        <v>39200</v>
      </c>
      <c r="U5" s="53">
        <f>IF($J5="","",ROUND(($J5-$J$3)/1000,1)+(_xlfn.RANK.AVG($J5,($J5,$O5,$T5),1)-2)*10)</f>
        <v>-7.1</v>
      </c>
      <c r="V5" s="54">
        <f>IF($O5="","",ROUND(($O5-$O$3)/1000,1)+(_xlfn.RANK.AVG($O5,($J5,$O5,$T5),1)-2)*10)</f>
        <v>-7.1</v>
      </c>
      <c r="W5" s="55">
        <f>IF($T5="","",ROUND(($T5-$T$3)/1000,1)+(_xlfn.RANK.AVG($T5,($J5,$O5,$T5),1)-2)*10)</f>
        <v>14.2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>
        <v>1</v>
      </c>
      <c r="BS5" s="26">
        <v>2</v>
      </c>
      <c r="BT5" s="30">
        <v>30</v>
      </c>
      <c r="BU5" s="40" t="s">
        <v>86</v>
      </c>
      <c r="BV5" s="41" t="s">
        <v>86</v>
      </c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208</v>
      </c>
      <c r="F6" s="8" t="s">
        <v>206</v>
      </c>
      <c r="G6" s="9">
        <v>2100</v>
      </c>
      <c r="H6" s="9"/>
      <c r="I6" s="48">
        <v>0</v>
      </c>
      <c r="J6" s="21">
        <f t="shared" si="2"/>
        <v>35000</v>
      </c>
      <c r="K6" s="8" t="s">
        <v>205</v>
      </c>
      <c r="L6" s="9">
        <v>-800</v>
      </c>
      <c r="M6" s="9"/>
      <c r="N6" s="48">
        <v>0</v>
      </c>
      <c r="O6" s="21">
        <f t="shared" si="3"/>
        <v>32100</v>
      </c>
      <c r="P6" s="8" t="s">
        <v>205</v>
      </c>
      <c r="Q6" s="9">
        <v>-1300</v>
      </c>
      <c r="R6" s="9"/>
      <c r="S6" s="48">
        <v>0</v>
      </c>
      <c r="T6" s="21">
        <f t="shared" si="4"/>
        <v>37900</v>
      </c>
      <c r="U6" s="53">
        <f>IF($J6="","",ROUND(($J6-$J$3)/1000,1)+(_xlfn.RANK.AVG($J6,($J6,$O6,$T6),1)-2)*10)</f>
        <v>0</v>
      </c>
      <c r="V6" s="54">
        <f>IF($O6="","",ROUND(($O6-$O$3)/1000,1)+(_xlfn.RANK.AVG($O6,($J6,$O6,$T6),1)-2)*10)</f>
        <v>-12.9</v>
      </c>
      <c r="W6" s="55">
        <f>IF($T6="","",ROUND(($T6-$T$3)/1000,1)+(_xlfn.RANK.AVG($T6,($J6,$O6,$T6),1)-2)*10)</f>
        <v>12.9</v>
      </c>
      <c r="Y6" s="8"/>
      <c r="Z6" s="34"/>
      <c r="AA6" s="26"/>
      <c r="AB6" s="26">
        <v>1</v>
      </c>
      <c r="AC6" s="26">
        <v>2</v>
      </c>
      <c r="AD6" s="30">
        <v>30</v>
      </c>
      <c r="AE6" s="40" t="s">
        <v>86</v>
      </c>
      <c r="AF6" s="41" t="s">
        <v>79</v>
      </c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>
        <v>1</v>
      </c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">
        <v>191</v>
      </c>
      <c r="F7" s="8" t="s">
        <v>197</v>
      </c>
      <c r="G7" s="9">
        <v>18000</v>
      </c>
      <c r="H7" s="9"/>
      <c r="I7" s="48">
        <v>0</v>
      </c>
      <c r="J7" s="21">
        <f t="shared" si="2"/>
        <v>53000</v>
      </c>
      <c r="K7" s="8"/>
      <c r="L7" s="9"/>
      <c r="M7" s="9"/>
      <c r="N7" s="48"/>
      <c r="O7" s="21">
        <f t="shared" si="3"/>
        <v>32100</v>
      </c>
      <c r="P7" s="8" t="s">
        <v>198</v>
      </c>
      <c r="Q7" s="9">
        <v>-18000</v>
      </c>
      <c r="R7" s="9"/>
      <c r="S7" s="48">
        <v>0</v>
      </c>
      <c r="T7" s="21">
        <f t="shared" si="4"/>
        <v>19900</v>
      </c>
      <c r="U7" s="53">
        <f>IF($J7="","",ROUND(($J7-$J$3)/1000,1)+(_xlfn.RANK.AVG($J7,($J7,$O7,$T7),1)-2)*10)</f>
        <v>28</v>
      </c>
      <c r="V7" s="54">
        <f>IF($O7="","",ROUND(($O7-$O$3)/1000,1)+(_xlfn.RANK.AVG($O7,($J7,$O7,$T7),1)-2)*10)</f>
        <v>-2.9</v>
      </c>
      <c r="W7" s="55">
        <f>IF($T7="","",ROUND(($T7-$T$3)/1000,1)+(_xlfn.RANK.AVG($T7,($J7,$O7,$T7),1)-2)*10)</f>
        <v>-25.1</v>
      </c>
      <c r="Y7" s="8"/>
      <c r="Z7" s="34"/>
      <c r="AA7" s="26"/>
      <c r="AB7" s="26">
        <v>1</v>
      </c>
      <c r="AC7" s="26">
        <v>6</v>
      </c>
      <c r="AD7" s="30" t="s">
        <v>199</v>
      </c>
      <c r="AE7" s="40" t="s">
        <v>86</v>
      </c>
      <c r="AF7" s="41" t="s">
        <v>86</v>
      </c>
      <c r="AG7" s="41" t="s">
        <v>98</v>
      </c>
      <c r="AH7" s="41" t="s">
        <v>100</v>
      </c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>
        <v>1</v>
      </c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南</v>
      </c>
      <c r="B8" s="18">
        <f t="shared" si="5"/>
        <v>1</v>
      </c>
      <c r="C8" s="18">
        <f t="shared" si="6"/>
        <v>1</v>
      </c>
      <c r="D8" s="18">
        <f t="shared" si="1"/>
        <v>0</v>
      </c>
      <c r="E8" s="4" t="s">
        <v>191</v>
      </c>
      <c r="F8" s="8" t="s">
        <v>205</v>
      </c>
      <c r="G8" s="9">
        <v>-4800</v>
      </c>
      <c r="H8" s="9"/>
      <c r="I8" s="48">
        <v>-500</v>
      </c>
      <c r="J8" s="21">
        <f t="shared" si="2"/>
        <v>47700</v>
      </c>
      <c r="K8" s="8" t="s">
        <v>206</v>
      </c>
      <c r="L8" s="9">
        <v>7700</v>
      </c>
      <c r="M8" s="9"/>
      <c r="N8" s="48">
        <v>1000</v>
      </c>
      <c r="O8" s="21">
        <f t="shared" si="3"/>
        <v>40800</v>
      </c>
      <c r="P8" s="8" t="s">
        <v>205</v>
      </c>
      <c r="Q8" s="9">
        <v>-2900</v>
      </c>
      <c r="R8" s="9"/>
      <c r="S8" s="48">
        <v>-500</v>
      </c>
      <c r="T8" s="21">
        <f t="shared" si="4"/>
        <v>16500</v>
      </c>
      <c r="U8" s="53">
        <f>IF($J8="","",ROUND(($J8-$J$3)/1000,1)+(_xlfn.RANK.AVG($J8,($J8,$O8,$T8),1)-2)*10)</f>
        <v>22.7</v>
      </c>
      <c r="V8" s="54">
        <f>IF($O8="","",ROUND(($O8-$O$3)/1000,1)+(_xlfn.RANK.AVG($O8,($J8,$O8,$T8),1)-2)*10)</f>
        <v>5.8</v>
      </c>
      <c r="W8" s="55">
        <f>IF($T8="","",ROUND(($T8-$T$3)/1000,1)+(_xlfn.RANK.AVG($T8,($J8,$O8,$T8),1)-2)*10)</f>
        <v>-28.5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>
        <v>1</v>
      </c>
      <c r="AX8" s="26">
        <v>4</v>
      </c>
      <c r="AY8" s="30">
        <v>30</v>
      </c>
      <c r="AZ8" s="40" t="s">
        <v>86</v>
      </c>
      <c r="BA8" s="41" t="s">
        <v>86</v>
      </c>
      <c r="BB8" s="41" t="s">
        <v>201</v>
      </c>
      <c r="BC8" s="41" t="s">
        <v>79</v>
      </c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>
        <v>1</v>
      </c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南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">
        <v>193</v>
      </c>
      <c r="F9" s="8" t="s">
        <v>206</v>
      </c>
      <c r="G9" s="9">
        <v>7700</v>
      </c>
      <c r="H9" s="9">
        <v>1000</v>
      </c>
      <c r="I9" s="48">
        <v>0</v>
      </c>
      <c r="J9" s="21">
        <f t="shared" si="2"/>
        <v>56400</v>
      </c>
      <c r="K9" s="8" t="s">
        <v>205</v>
      </c>
      <c r="L9" s="9">
        <v>-4800</v>
      </c>
      <c r="M9" s="9">
        <v>-1000</v>
      </c>
      <c r="N9" s="48">
        <v>0</v>
      </c>
      <c r="O9" s="21">
        <f t="shared" si="3"/>
        <v>35000</v>
      </c>
      <c r="P9" s="8" t="s">
        <v>205</v>
      </c>
      <c r="Q9" s="9">
        <v>-2900</v>
      </c>
      <c r="R9" s="9"/>
      <c r="S9" s="48">
        <v>0</v>
      </c>
      <c r="T9" s="21">
        <f t="shared" si="4"/>
        <v>13600</v>
      </c>
      <c r="U9" s="53">
        <f>IF($J9="","",ROUND(($J9-$J$3)/1000,1)+(_xlfn.RANK.AVG($J9,($J9,$O9,$T9),1)-2)*10)</f>
        <v>31.4</v>
      </c>
      <c r="V9" s="54">
        <f>IF($O9="","",ROUND(($O9-$O$3)/1000,1)+(_xlfn.RANK.AVG($O9,($J9,$O9,$T9),1)-2)*10)</f>
        <v>0</v>
      </c>
      <c r="W9" s="55">
        <f>IF($T9="","",ROUND(($T9-$T$3)/1000,1)+(_xlfn.RANK.AVG($T9,($J9,$O9,$T9),1)-2)*10)</f>
        <v>-31.4</v>
      </c>
      <c r="Y9" s="8"/>
      <c r="Z9" s="34"/>
      <c r="AA9" s="26"/>
      <c r="AB9" s="26">
        <v>1</v>
      </c>
      <c r="AC9" s="26">
        <v>4</v>
      </c>
      <c r="AD9" s="30">
        <v>30</v>
      </c>
      <c r="AE9" s="40" t="s">
        <v>86</v>
      </c>
      <c r="AF9" s="41" t="s">
        <v>104</v>
      </c>
      <c r="AG9" s="41" t="s">
        <v>201</v>
      </c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>
        <v>1</v>
      </c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>
        <v>1</v>
      </c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南</v>
      </c>
      <c r="B10" s="18">
        <f t="shared" si="5"/>
        <v>3</v>
      </c>
      <c r="C10" s="18">
        <f t="shared" si="6"/>
        <v>0</v>
      </c>
      <c r="D10" s="18">
        <f t="shared" si="1"/>
        <v>0</v>
      </c>
      <c r="E10" s="4" t="s">
        <v>208</v>
      </c>
      <c r="F10" s="8"/>
      <c r="G10" s="9"/>
      <c r="H10" s="9"/>
      <c r="I10" s="48"/>
      <c r="J10" s="21">
        <f t="shared" si="2"/>
        <v>56400</v>
      </c>
      <c r="K10" s="8" t="s">
        <v>197</v>
      </c>
      <c r="L10" s="9">
        <v>12000</v>
      </c>
      <c r="M10" s="9"/>
      <c r="N10" s="48">
        <v>0</v>
      </c>
      <c r="O10" s="21">
        <f t="shared" si="3"/>
        <v>47000</v>
      </c>
      <c r="P10" s="8" t="s">
        <v>198</v>
      </c>
      <c r="Q10" s="9">
        <v>-12000</v>
      </c>
      <c r="R10" s="9"/>
      <c r="S10" s="48">
        <v>0</v>
      </c>
      <c r="T10" s="21">
        <f t="shared" si="4"/>
        <v>1600</v>
      </c>
      <c r="U10" s="53">
        <f>IF($J10="","",ROUND(($J10-$J$3)/1000,1)+(_xlfn.RANK.AVG($J10,($J10,$O10,$T10),1)-2)*10)</f>
        <v>31.4</v>
      </c>
      <c r="V10" s="54">
        <f>IF($O10="","",ROUND(($O10-$O$3)/1000,1)+(_xlfn.RANK.AVG($O10,($J10,$O10,$T10),1)-2)*10)</f>
        <v>12</v>
      </c>
      <c r="W10" s="55">
        <f>IF($T10="","",ROUND(($T10-$T$3)/1000,1)+(_xlfn.RANK.AVG($T10,($J10,$O10,$T10),1)-2)*10)</f>
        <v>-43.4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>
        <v>6</v>
      </c>
      <c r="AY10" s="30" t="s">
        <v>199</v>
      </c>
      <c r="AZ10" s="40" t="s">
        <v>86</v>
      </c>
      <c r="BA10" s="41" t="s">
        <v>104</v>
      </c>
      <c r="BB10" s="41" t="s">
        <v>79</v>
      </c>
      <c r="BC10" s="41" t="s">
        <v>79</v>
      </c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>西</v>
      </c>
      <c r="B11" s="18">
        <f t="shared" si="5"/>
        <v>1</v>
      </c>
      <c r="C11" s="18">
        <f t="shared" si="6"/>
        <v>0</v>
      </c>
      <c r="D11" s="18">
        <f t="shared" si="1"/>
        <v>0</v>
      </c>
      <c r="E11" s="4" t="s">
        <v>191</v>
      </c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qref="F1:T1" xr:uid="{D0A1E897-C0DB-46D2-B133-E8F37002DEFA}">
      <formula1>"たかの,だいち,ただ,りくと,れんたろう,まっつん,のり,ぱぱ,ほたに,いっしー,ともき,たか,ゆう,"</formula1>
    </dataValidation>
    <dataValidation type="list" showInputMessage="1" showErrorMessage="1" sqref="K4:K30 P4:P30 F4:F30" xr:uid="{9F08CD60-182E-44FF-9E78-B2FDA268F19B}">
      <formula1>"ロン,ツモ,放銃,ツモ支払,流局,チョンボ"</formula1>
    </dataValidation>
    <dataValidation type="list" allowBlank="1" showInputMessage="1" showErrorMessage="1" sqref="E4:E30" xr:uid="{4C4797ED-896B-4ABA-8684-294B580E7B41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" x14ac:dyDescent="0.45"/>
  <cols>
    <col min="1" max="1" width="9" style="36" customWidth="1"/>
    <col min="2" max="2" width="6.5" style="36" customWidth="1"/>
    <col min="3" max="3" width="19.19921875" style="15" bestFit="1" customWidth="1"/>
    <col min="4" max="5" width="6.5" style="15" customWidth="1"/>
  </cols>
  <sheetData>
    <row r="1" spans="1:5" x14ac:dyDescent="0.45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5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5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5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5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5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5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5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5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5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5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5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5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5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5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5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5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5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5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5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5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5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5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5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5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5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5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5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5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5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5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5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5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5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5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5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5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5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5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5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5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5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5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5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5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5">
      <c r="A46" s="36" t="s">
        <v>121</v>
      </c>
      <c r="B46" s="36" t="s">
        <v>183</v>
      </c>
      <c r="C46" s="15" t="s">
        <v>71</v>
      </c>
      <c r="D46" s="15">
        <v>26</v>
      </c>
    </row>
    <row r="47" spans="1:5" x14ac:dyDescent="0.45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5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5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5">
      <c r="A50" s="36" t="s">
        <v>125</v>
      </c>
      <c r="C50" s="15" t="s">
        <v>75</v>
      </c>
      <c r="D50" s="15">
        <v>13</v>
      </c>
    </row>
    <row r="51" spans="1:5" x14ac:dyDescent="0.45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5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5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5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" x14ac:dyDescent="0.45"/>
  <cols>
    <col min="1" max="12" width="9" style="32"/>
    <col min="13" max="13" width="9" style="32" customWidth="1"/>
    <col min="14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5">
      <c r="A3" s="15">
        <v>20</v>
      </c>
      <c r="E3" s="32">
        <v>3900</v>
      </c>
      <c r="F3" s="32">
        <v>7700</v>
      </c>
    </row>
    <row r="4" spans="1:13" x14ac:dyDescent="0.45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5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5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5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5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5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5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5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5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5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5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5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5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5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5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5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5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5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5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5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5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5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5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5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5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5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5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5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5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5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5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5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5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5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5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5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5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5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5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5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5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5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5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5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Sheet1</vt:lpstr>
      <vt:lpstr>Sheet2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2020-02-18T16:00:59Z</dcterms:modified>
</cp:coreProperties>
</file>