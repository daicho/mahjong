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85F09695-E3B0-4C77-8B70-3CE55F822128}" xr6:coauthVersionLast="41" xr6:coauthVersionMax="41" xr10:uidLastSave="{00000000-0000-0000-0000-000000000000}"/>
  <bookViews>
    <workbookView xWindow="-120" yWindow="-120" windowWidth="20730" windowHeight="11310" activeTab="6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5" l="1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D19" i="25"/>
  <c r="C19" i="25"/>
  <c r="D18" i="25"/>
  <c r="D17" i="25"/>
  <c r="C17" i="25"/>
  <c r="C18" i="25" s="1"/>
  <c r="D16" i="25"/>
  <c r="C16" i="25"/>
  <c r="D13" i="25"/>
  <c r="D14" i="25" s="1"/>
  <c r="D15" i="25" s="1"/>
  <c r="C13" i="25"/>
  <c r="C14" i="25" s="1"/>
  <c r="C15" i="25" s="1"/>
  <c r="D12" i="25"/>
  <c r="C12" i="25"/>
  <c r="D11" i="25"/>
  <c r="D9" i="25"/>
  <c r="D10" i="25" s="1"/>
  <c r="C9" i="25"/>
  <c r="C10" i="25" s="1"/>
  <c r="C11" i="25" s="1"/>
  <c r="D8" i="25"/>
  <c r="C8" i="25"/>
  <c r="D7" i="25"/>
  <c r="B6" i="25"/>
  <c r="B7" i="25" s="1"/>
  <c r="A6" i="25"/>
  <c r="T5" i="25"/>
  <c r="D5" i="25"/>
  <c r="D6" i="25" s="1"/>
  <c r="C5" i="25"/>
  <c r="C6" i="25" s="1"/>
  <c r="C7" i="25" s="1"/>
  <c r="B5" i="25"/>
  <c r="A5" i="25" s="1"/>
  <c r="T4" i="25"/>
  <c r="O4" i="25"/>
  <c r="J4" i="25"/>
  <c r="U4" i="25" s="1"/>
  <c r="W3" i="25"/>
  <c r="V3" i="25"/>
  <c r="U3" i="25"/>
  <c r="W2" i="25"/>
  <c r="V2" i="25"/>
  <c r="U2" i="25"/>
  <c r="BO1" i="25"/>
  <c r="AT1" i="25"/>
  <c r="Y1" i="25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O19" i="24"/>
  <c r="J19" i="24"/>
  <c r="U19" i="24" s="1"/>
  <c r="D19" i="24"/>
  <c r="C19" i="24"/>
  <c r="B19" i="24"/>
  <c r="A19" i="24" s="1"/>
  <c r="T18" i="24"/>
  <c r="O18" i="24"/>
  <c r="J18" i="24"/>
  <c r="D18" i="24"/>
  <c r="C18" i="24"/>
  <c r="B18" i="24"/>
  <c r="A18" i="24" s="1"/>
  <c r="T17" i="24"/>
  <c r="O17" i="24"/>
  <c r="J17" i="24"/>
  <c r="U17" i="24" s="1"/>
  <c r="D17" i="24"/>
  <c r="C17" i="24"/>
  <c r="B17" i="24"/>
  <c r="A17" i="24"/>
  <c r="T16" i="24"/>
  <c r="O16" i="24"/>
  <c r="J16" i="24"/>
  <c r="D16" i="24"/>
  <c r="C16" i="24"/>
  <c r="B16" i="24"/>
  <c r="A16" i="24"/>
  <c r="T15" i="24"/>
  <c r="O15" i="24"/>
  <c r="V15" i="24" s="1"/>
  <c r="J15" i="24"/>
  <c r="D15" i="24"/>
  <c r="C15" i="24"/>
  <c r="B15" i="24"/>
  <c r="A15" i="24"/>
  <c r="T14" i="24"/>
  <c r="O14" i="24"/>
  <c r="V14" i="24" s="1"/>
  <c r="J14" i="24"/>
  <c r="U14" i="24" s="1"/>
  <c r="D14" i="24"/>
  <c r="C14" i="24"/>
  <c r="B14" i="24"/>
  <c r="A14" i="24"/>
  <c r="D13" i="24"/>
  <c r="C13" i="24"/>
  <c r="D12" i="24"/>
  <c r="C12" i="24"/>
  <c r="D11" i="24"/>
  <c r="D10" i="24"/>
  <c r="D8" i="24"/>
  <c r="D9" i="24" s="1"/>
  <c r="D7" i="24"/>
  <c r="C7" i="24"/>
  <c r="C8" i="24" s="1"/>
  <c r="C9" i="24" s="1"/>
  <c r="C10" i="24" s="1"/>
  <c r="C11" i="24" s="1"/>
  <c r="D6" i="24"/>
  <c r="T5" i="24"/>
  <c r="T6" i="24" s="1"/>
  <c r="O5" i="24"/>
  <c r="D5" i="24"/>
  <c r="C5" i="24"/>
  <c r="C6" i="24" s="1"/>
  <c r="B5" i="24"/>
  <c r="T4" i="24"/>
  <c r="O4" i="24"/>
  <c r="J4" i="24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 s="1"/>
  <c r="T13" i="23"/>
  <c r="W13" i="23" s="1"/>
  <c r="O13" i="23"/>
  <c r="J13" i="23"/>
  <c r="D13" i="23"/>
  <c r="C13" i="23"/>
  <c r="B13" i="23"/>
  <c r="A13" i="23" s="1"/>
  <c r="T12" i="23"/>
  <c r="O12" i="23"/>
  <c r="J12" i="23"/>
  <c r="D12" i="23"/>
  <c r="C12" i="23"/>
  <c r="B12" i="23"/>
  <c r="A12" i="23" s="1"/>
  <c r="T11" i="23"/>
  <c r="W11" i="23" s="1"/>
  <c r="O11" i="23"/>
  <c r="V11" i="23" s="1"/>
  <c r="J11" i="23"/>
  <c r="U11" i="23" s="1"/>
  <c r="D11" i="23"/>
  <c r="C11" i="23"/>
  <c r="B11" i="23"/>
  <c r="A11" i="23"/>
  <c r="D10" i="23"/>
  <c r="C10" i="23"/>
  <c r="D9" i="23"/>
  <c r="D8" i="23"/>
  <c r="C8" i="23"/>
  <c r="C9" i="23" s="1"/>
  <c r="D7" i="23"/>
  <c r="C7" i="23"/>
  <c r="D6" i="23"/>
  <c r="C6" i="23"/>
  <c r="T5" i="23"/>
  <c r="T6" i="23" s="1"/>
  <c r="O5" i="23"/>
  <c r="D5" i="23"/>
  <c r="C5" i="23"/>
  <c r="B5" i="23"/>
  <c r="B6" i="23" s="1"/>
  <c r="T4" i="23"/>
  <c r="O4" i="23"/>
  <c r="J4" i="23"/>
  <c r="J5" i="23" s="1"/>
  <c r="W3" i="23"/>
  <c r="V3" i="23"/>
  <c r="U3" i="23"/>
  <c r="W2" i="23"/>
  <c r="V2" i="23"/>
  <c r="U2" i="23"/>
  <c r="BO1" i="23"/>
  <c r="AT1" i="23"/>
  <c r="Y1" i="23"/>
  <c r="V4" i="25" l="1"/>
  <c r="W4" i="25"/>
  <c r="B8" i="25"/>
  <c r="J5" i="25"/>
  <c r="A7" i="25"/>
  <c r="O5" i="25"/>
  <c r="W5" i="25" s="1"/>
  <c r="T6" i="25"/>
  <c r="V19" i="24"/>
  <c r="W19" i="24"/>
  <c r="V18" i="24"/>
  <c r="U18" i="24"/>
  <c r="W18" i="24"/>
  <c r="V17" i="24"/>
  <c r="W17" i="24"/>
  <c r="V16" i="24"/>
  <c r="U16" i="24"/>
  <c r="W16" i="24"/>
  <c r="U15" i="24"/>
  <c r="W15" i="24"/>
  <c r="W14" i="24"/>
  <c r="W4" i="24"/>
  <c r="V4" i="24"/>
  <c r="U4" i="24"/>
  <c r="T7" i="24"/>
  <c r="B6" i="24"/>
  <c r="J5" i="24"/>
  <c r="V5" i="24" s="1"/>
  <c r="O6" i="24"/>
  <c r="A5" i="24"/>
  <c r="U13" i="23"/>
  <c r="V13" i="23"/>
  <c r="U12" i="23"/>
  <c r="W12" i="23"/>
  <c r="V12" i="23"/>
  <c r="W4" i="23"/>
  <c r="V4" i="23"/>
  <c r="U4" i="23"/>
  <c r="V5" i="23"/>
  <c r="W6" i="23"/>
  <c r="T7" i="23"/>
  <c r="B7" i="23"/>
  <c r="U5" i="23"/>
  <c r="J6" i="23"/>
  <c r="W5" i="23"/>
  <c r="O6" i="23"/>
  <c r="A5" i="23"/>
  <c r="A6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D18" i="22"/>
  <c r="C18" i="22"/>
  <c r="C17" i="22"/>
  <c r="D16" i="22"/>
  <c r="D17" i="22" s="1"/>
  <c r="C16" i="22"/>
  <c r="D15" i="22"/>
  <c r="C15" i="22"/>
  <c r="D14" i="22"/>
  <c r="D13" i="22"/>
  <c r="C13" i="22"/>
  <c r="C14" i="22" s="1"/>
  <c r="D12" i="22"/>
  <c r="C12" i="22"/>
  <c r="D11" i="22"/>
  <c r="D10" i="22"/>
  <c r="D9" i="22"/>
  <c r="D8" i="22"/>
  <c r="D7" i="22"/>
  <c r="C7" i="22"/>
  <c r="C8" i="22" s="1"/>
  <c r="C9" i="22" s="1"/>
  <c r="C10" i="22" s="1"/>
  <c r="C11" i="22" s="1"/>
  <c r="D6" i="22"/>
  <c r="C6" i="22"/>
  <c r="T5" i="22"/>
  <c r="T6" i="22" s="1"/>
  <c r="O5" i="22"/>
  <c r="D5" i="22"/>
  <c r="C5" i="22"/>
  <c r="B5" i="22"/>
  <c r="T4" i="22"/>
  <c r="O4" i="22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 s="1"/>
  <c r="T18" i="21"/>
  <c r="O18" i="21"/>
  <c r="J18" i="21"/>
  <c r="U18" i="21" s="1"/>
  <c r="D18" i="21"/>
  <c r="C18" i="21"/>
  <c r="B18" i="21"/>
  <c r="A18" i="21" s="1"/>
  <c r="T17" i="21"/>
  <c r="O17" i="21"/>
  <c r="V17" i="21" s="1"/>
  <c r="J17" i="21"/>
  <c r="D17" i="21"/>
  <c r="C17" i="21"/>
  <c r="B17" i="21"/>
  <c r="A17" i="21"/>
  <c r="D16" i="21"/>
  <c r="D15" i="21"/>
  <c r="C15" i="21"/>
  <c r="C16" i="21" s="1"/>
  <c r="D14" i="21"/>
  <c r="D13" i="21"/>
  <c r="C13" i="21"/>
  <c r="C14" i="21" s="1"/>
  <c r="D12" i="21"/>
  <c r="D9" i="21"/>
  <c r="D10" i="21" s="1"/>
  <c r="D11" i="21" s="1"/>
  <c r="D8" i="21"/>
  <c r="D7" i="21"/>
  <c r="C7" i="21"/>
  <c r="C8" i="21" s="1"/>
  <c r="C9" i="21" s="1"/>
  <c r="C10" i="21" s="1"/>
  <c r="C11" i="21" s="1"/>
  <c r="C12" i="21" s="1"/>
  <c r="D6" i="21"/>
  <c r="C6" i="21"/>
  <c r="B6" i="21"/>
  <c r="B7" i="21" s="1"/>
  <c r="T5" i="21"/>
  <c r="D5" i="21"/>
  <c r="C5" i="21"/>
  <c r="B5" i="21"/>
  <c r="A5" i="21" s="1"/>
  <c r="T4" i="21"/>
  <c r="O4" i="21"/>
  <c r="O5" i="21" s="1"/>
  <c r="J4" i="21"/>
  <c r="W3" i="21"/>
  <c r="V3" i="21"/>
  <c r="U3" i="21"/>
  <c r="W2" i="21"/>
  <c r="V2" i="21"/>
  <c r="U2" i="21"/>
  <c r="BO1" i="21"/>
  <c r="AT1" i="21"/>
  <c r="Y1" i="21"/>
  <c r="T7" i="25" l="1"/>
  <c r="U5" i="25"/>
  <c r="J6" i="25"/>
  <c r="O6" i="25"/>
  <c r="V5" i="25"/>
  <c r="B9" i="25"/>
  <c r="A8" i="25"/>
  <c r="T8" i="24"/>
  <c r="O7" i="24"/>
  <c r="W5" i="24"/>
  <c r="U5" i="24"/>
  <c r="J6" i="24"/>
  <c r="V6" i="24" s="1"/>
  <c r="B7" i="24"/>
  <c r="A6" i="24"/>
  <c r="A7" i="24" s="1"/>
  <c r="A7" i="23"/>
  <c r="V6" i="23"/>
  <c r="O7" i="23"/>
  <c r="T8" i="23"/>
  <c r="U6" i="23"/>
  <c r="J7" i="23"/>
  <c r="W7" i="23" s="1"/>
  <c r="B8" i="23"/>
  <c r="A8" i="23" s="1"/>
  <c r="W4" i="22"/>
  <c r="V4" i="22"/>
  <c r="U4" i="22"/>
  <c r="T7" i="22"/>
  <c r="B6" i="22"/>
  <c r="A6" i="22" s="1"/>
  <c r="J5" i="22"/>
  <c r="O6" i="22"/>
  <c r="A5" i="22"/>
  <c r="V18" i="21"/>
  <c r="W18" i="21"/>
  <c r="U17" i="21"/>
  <c r="W17" i="21"/>
  <c r="A6" i="21"/>
  <c r="W4" i="21"/>
  <c r="V4" i="21"/>
  <c r="B8" i="21"/>
  <c r="A8" i="21"/>
  <c r="O6" i="21"/>
  <c r="J5" i="21"/>
  <c r="W5" i="21" s="1"/>
  <c r="A7" i="21"/>
  <c r="U4" i="21"/>
  <c r="T6" i="21"/>
  <c r="A9" i="25" l="1"/>
  <c r="W6" i="25"/>
  <c r="B10" i="25"/>
  <c r="U6" i="25"/>
  <c r="J7" i="25"/>
  <c r="O7" i="25"/>
  <c r="V6" i="25"/>
  <c r="W7" i="25"/>
  <c r="T8" i="25"/>
  <c r="T9" i="24"/>
  <c r="B8" i="24"/>
  <c r="J7" i="24"/>
  <c r="U6" i="24"/>
  <c r="W6" i="24"/>
  <c r="O8" i="24"/>
  <c r="V7" i="24"/>
  <c r="O8" i="23"/>
  <c r="V7" i="23"/>
  <c r="B9" i="23"/>
  <c r="U7" i="23"/>
  <c r="J8" i="23"/>
  <c r="W8" i="23"/>
  <c r="T9" i="23"/>
  <c r="T8" i="22"/>
  <c r="O7" i="22"/>
  <c r="U5" i="22"/>
  <c r="J6" i="22"/>
  <c r="V6" i="22" s="1"/>
  <c r="W5" i="22"/>
  <c r="B7" i="22"/>
  <c r="A7" i="22" s="1"/>
  <c r="V5" i="22"/>
  <c r="T7" i="21"/>
  <c r="B9" i="21"/>
  <c r="A9" i="21"/>
  <c r="U5" i="21"/>
  <c r="J6" i="21"/>
  <c r="W6" i="21" s="1"/>
  <c r="O7" i="21"/>
  <c r="V6" i="21"/>
  <c r="V5" i="21"/>
  <c r="U7" i="25" l="1"/>
  <c r="J8" i="25"/>
  <c r="T9" i="25"/>
  <c r="B11" i="25"/>
  <c r="O8" i="25"/>
  <c r="V7" i="25"/>
  <c r="A10" i="25"/>
  <c r="T10" i="24"/>
  <c r="O9" i="24"/>
  <c r="B9" i="24"/>
  <c r="A9" i="24" s="1"/>
  <c r="J8" i="24"/>
  <c r="U7" i="24"/>
  <c r="W7" i="24"/>
  <c r="A8" i="24"/>
  <c r="B10" i="23"/>
  <c r="A10" i="23"/>
  <c r="O9" i="23"/>
  <c r="V8" i="23"/>
  <c r="T10" i="23"/>
  <c r="U8" i="23"/>
  <c r="J9" i="23"/>
  <c r="A9" i="23"/>
  <c r="B8" i="22"/>
  <c r="A8" i="22"/>
  <c r="J7" i="22"/>
  <c r="U6" i="22"/>
  <c r="W6" i="22"/>
  <c r="O8" i="22"/>
  <c r="T9" i="22"/>
  <c r="O8" i="21"/>
  <c r="T8" i="21"/>
  <c r="U6" i="21"/>
  <c r="J7" i="21"/>
  <c r="V7" i="21" s="1"/>
  <c r="B10" i="21"/>
  <c r="A11" i="25" l="1"/>
  <c r="V8" i="25"/>
  <c r="O9" i="25"/>
  <c r="T10" i="25"/>
  <c r="W8" i="25"/>
  <c r="B12" i="25"/>
  <c r="U8" i="25"/>
  <c r="J9" i="25"/>
  <c r="W9" i="25" s="1"/>
  <c r="U8" i="24"/>
  <c r="J9" i="24"/>
  <c r="W8" i="24"/>
  <c r="T11" i="24"/>
  <c r="O10" i="24"/>
  <c r="B10" i="24"/>
  <c r="V8" i="24"/>
  <c r="V9" i="23"/>
  <c r="O10" i="23"/>
  <c r="U9" i="23"/>
  <c r="J10" i="23"/>
  <c r="W9" i="23"/>
  <c r="T10" i="22"/>
  <c r="B9" i="22"/>
  <c r="A9" i="22" s="1"/>
  <c r="U7" i="22"/>
  <c r="J8" i="22"/>
  <c r="W7" i="22"/>
  <c r="O9" i="22"/>
  <c r="V8" i="22"/>
  <c r="V7" i="22"/>
  <c r="B11" i="21"/>
  <c r="A11" i="21"/>
  <c r="A10" i="21"/>
  <c r="O9" i="21"/>
  <c r="T9" i="21"/>
  <c r="U7" i="21"/>
  <c r="J8" i="21"/>
  <c r="W7" i="21"/>
  <c r="B13" i="25" l="1"/>
  <c r="T11" i="25"/>
  <c r="A12" i="25"/>
  <c r="A13" i="25" s="1"/>
  <c r="V9" i="25"/>
  <c r="O10" i="25"/>
  <c r="U9" i="25"/>
  <c r="J10" i="25"/>
  <c r="W10" i="25" s="1"/>
  <c r="U9" i="24"/>
  <c r="J10" i="24"/>
  <c r="V10" i="24" s="1"/>
  <c r="W9" i="24"/>
  <c r="B11" i="24"/>
  <c r="A10" i="24"/>
  <c r="O11" i="24"/>
  <c r="V9" i="24"/>
  <c r="T12" i="24"/>
  <c r="V10" i="23"/>
  <c r="W10" i="23"/>
  <c r="U10" i="23"/>
  <c r="V9" i="22"/>
  <c r="O10" i="22"/>
  <c r="U8" i="22"/>
  <c r="J9" i="22"/>
  <c r="W8" i="22"/>
  <c r="B10" i="22"/>
  <c r="T11" i="22"/>
  <c r="B12" i="21"/>
  <c r="T10" i="21"/>
  <c r="U8" i="21"/>
  <c r="J9" i="21"/>
  <c r="V8" i="21"/>
  <c r="W8" i="21"/>
  <c r="V9" i="21"/>
  <c r="O10" i="21"/>
  <c r="O11" i="25" l="1"/>
  <c r="V10" i="25"/>
  <c r="T12" i="25"/>
  <c r="U10" i="25"/>
  <c r="J11" i="25"/>
  <c r="W11" i="25" s="1"/>
  <c r="B14" i="25"/>
  <c r="A11" i="24"/>
  <c r="U10" i="24"/>
  <c r="J11" i="24"/>
  <c r="W10" i="24"/>
  <c r="O12" i="24"/>
  <c r="T13" i="24"/>
  <c r="B12" i="24"/>
  <c r="A12" i="24" s="1"/>
  <c r="O11" i="22"/>
  <c r="T12" i="22"/>
  <c r="B11" i="22"/>
  <c r="A10" i="22"/>
  <c r="U9" i="22"/>
  <c r="J10" i="22"/>
  <c r="W9" i="22"/>
  <c r="O11" i="21"/>
  <c r="B13" i="21"/>
  <c r="A13" i="21"/>
  <c r="A12" i="21"/>
  <c r="T11" i="21"/>
  <c r="U9" i="21"/>
  <c r="J10" i="21"/>
  <c r="W10" i="21" s="1"/>
  <c r="W9" i="21"/>
  <c r="B15" i="25" l="1"/>
  <c r="A14" i="25"/>
  <c r="U11" i="25"/>
  <c r="J12" i="25"/>
  <c r="T13" i="25"/>
  <c r="O12" i="25"/>
  <c r="W12" i="25" s="1"/>
  <c r="V11" i="25"/>
  <c r="B13" i="24"/>
  <c r="A13" i="24" s="1"/>
  <c r="U11" i="24"/>
  <c r="J12" i="24"/>
  <c r="W11" i="24"/>
  <c r="V12" i="24"/>
  <c r="O13" i="24"/>
  <c r="V11" i="24"/>
  <c r="V10" i="22"/>
  <c r="A11" i="22"/>
  <c r="O12" i="22"/>
  <c r="U10" i="22"/>
  <c r="J11" i="22"/>
  <c r="W10" i="22"/>
  <c r="B12" i="22"/>
  <c r="T13" i="22"/>
  <c r="U10" i="21"/>
  <c r="J11" i="21"/>
  <c r="V10" i="21"/>
  <c r="O12" i="21"/>
  <c r="T12" i="21"/>
  <c r="B14" i="21"/>
  <c r="A14" i="21" s="1"/>
  <c r="A15" i="25" l="1"/>
  <c r="T14" i="25"/>
  <c r="U12" i="25"/>
  <c r="J13" i="25"/>
  <c r="V12" i="25"/>
  <c r="O13" i="25"/>
  <c r="B16" i="25"/>
  <c r="U12" i="24"/>
  <c r="J13" i="24"/>
  <c r="W12" i="24"/>
  <c r="T14" i="22"/>
  <c r="B13" i="22"/>
  <c r="J12" i="22"/>
  <c r="U11" i="22"/>
  <c r="W11" i="22"/>
  <c r="V12" i="22"/>
  <c r="O13" i="22"/>
  <c r="A12" i="22"/>
  <c r="V11" i="22"/>
  <c r="U11" i="21"/>
  <c r="J12" i="21"/>
  <c r="T13" i="21"/>
  <c r="V11" i="21"/>
  <c r="B15" i="21"/>
  <c r="A15" i="21" s="1"/>
  <c r="W11" i="21"/>
  <c r="O13" i="21"/>
  <c r="B17" i="25" l="1"/>
  <c r="A17" i="25"/>
  <c r="A16" i="25"/>
  <c r="V13" i="25"/>
  <c r="O14" i="25"/>
  <c r="J14" i="25"/>
  <c r="U13" i="25"/>
  <c r="W14" i="25"/>
  <c r="T15" i="25"/>
  <c r="W13" i="25"/>
  <c r="U13" i="24"/>
  <c r="W13" i="24"/>
  <c r="V13" i="24"/>
  <c r="A13" i="22"/>
  <c r="U12" i="22"/>
  <c r="J13" i="22"/>
  <c r="W12" i="22"/>
  <c r="B14" i="22"/>
  <c r="T15" i="22"/>
  <c r="V13" i="22"/>
  <c r="O14" i="22"/>
  <c r="U12" i="21"/>
  <c r="J13" i="21"/>
  <c r="V13" i="21" s="1"/>
  <c r="O14" i="21"/>
  <c r="V12" i="21"/>
  <c r="B16" i="21"/>
  <c r="A16" i="21" s="1"/>
  <c r="W12" i="21"/>
  <c r="T14" i="21"/>
  <c r="V14" i="25" l="1"/>
  <c r="O15" i="25"/>
  <c r="U14" i="25"/>
  <c r="J15" i="25"/>
  <c r="T16" i="25"/>
  <c r="B18" i="25"/>
  <c r="A18" i="25"/>
  <c r="B15" i="22"/>
  <c r="A15" i="22" s="1"/>
  <c r="T16" i="22"/>
  <c r="A14" i="22"/>
  <c r="U13" i="22"/>
  <c r="J14" i="22"/>
  <c r="W13" i="22"/>
  <c r="O15" i="22"/>
  <c r="W13" i="21"/>
  <c r="O15" i="21"/>
  <c r="T15" i="21"/>
  <c r="U13" i="21"/>
  <c r="J14" i="21"/>
  <c r="W15" i="25" l="1"/>
  <c r="B19" i="25"/>
  <c r="A19" i="25"/>
  <c r="U15" i="25"/>
  <c r="J16" i="25"/>
  <c r="O16" i="25"/>
  <c r="V15" i="25"/>
  <c r="W16" i="25"/>
  <c r="T17" i="25"/>
  <c r="T17" i="22"/>
  <c r="O16" i="22"/>
  <c r="U14" i="22"/>
  <c r="J15" i="22"/>
  <c r="W14" i="22"/>
  <c r="V14" i="22"/>
  <c r="B16" i="22"/>
  <c r="A16" i="22" s="1"/>
  <c r="U14" i="21"/>
  <c r="J15" i="21"/>
  <c r="V14" i="21"/>
  <c r="W14" i="21"/>
  <c r="W15" i="21"/>
  <c r="T16" i="21"/>
  <c r="O16" i="21"/>
  <c r="V15" i="21"/>
  <c r="W17" i="25" l="1"/>
  <c r="T18" i="25"/>
  <c r="V16" i="25"/>
  <c r="O17" i="25"/>
  <c r="U16" i="25"/>
  <c r="J17" i="25"/>
  <c r="J16" i="22"/>
  <c r="U15" i="22"/>
  <c r="W15" i="22"/>
  <c r="V16" i="22"/>
  <c r="O17" i="22"/>
  <c r="V15" i="22"/>
  <c r="T18" i="22"/>
  <c r="B17" i="22"/>
  <c r="A17" i="22"/>
  <c r="J16" i="21"/>
  <c r="U16" i="21" s="1"/>
  <c r="U15" i="21"/>
  <c r="W16" i="21"/>
  <c r="J18" i="25" l="1"/>
  <c r="U17" i="25"/>
  <c r="V17" i="25"/>
  <c r="O18" i="25"/>
  <c r="W18" i="25"/>
  <c r="T19" i="25"/>
  <c r="O18" i="22"/>
  <c r="B18" i="22"/>
  <c r="A18" i="22" s="1"/>
  <c r="U16" i="22"/>
  <c r="J17" i="22"/>
  <c r="V17" i="22" s="1"/>
  <c r="W16" i="22"/>
  <c r="V16" i="21"/>
  <c r="W19" i="25" l="1"/>
  <c r="O19" i="25"/>
  <c r="V18" i="25"/>
  <c r="U18" i="25"/>
  <c r="J19" i="25"/>
  <c r="U19" i="25" s="1"/>
  <c r="U17" i="22"/>
  <c r="J18" i="22"/>
  <c r="W17" i="22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O16" i="20"/>
  <c r="J16" i="20"/>
  <c r="D16" i="20"/>
  <c r="C16" i="20"/>
  <c r="B16" i="20"/>
  <c r="A16" i="20" s="1"/>
  <c r="T15" i="20"/>
  <c r="O15" i="20"/>
  <c r="J15" i="20"/>
  <c r="D15" i="20"/>
  <c r="C15" i="20"/>
  <c r="B15" i="20"/>
  <c r="A15" i="20" s="1"/>
  <c r="T14" i="20"/>
  <c r="O14" i="20"/>
  <c r="J14" i="20"/>
  <c r="D14" i="20"/>
  <c r="C14" i="20"/>
  <c r="B14" i="20"/>
  <c r="A14" i="20"/>
  <c r="T13" i="20"/>
  <c r="O13" i="20"/>
  <c r="J13" i="20"/>
  <c r="D13" i="20"/>
  <c r="C13" i="20"/>
  <c r="B13" i="20"/>
  <c r="A13" i="20"/>
  <c r="T12" i="20"/>
  <c r="O12" i="20"/>
  <c r="J12" i="20"/>
  <c r="U12" i="20" s="1"/>
  <c r="D12" i="20"/>
  <c r="C12" i="20"/>
  <c r="B12" i="20"/>
  <c r="A12" i="20" s="1"/>
  <c r="T11" i="20"/>
  <c r="O11" i="20"/>
  <c r="V11" i="20" s="1"/>
  <c r="J11" i="20"/>
  <c r="D11" i="20"/>
  <c r="C11" i="20"/>
  <c r="B11" i="20"/>
  <c r="A11" i="20"/>
  <c r="T10" i="20"/>
  <c r="O10" i="20"/>
  <c r="J10" i="20"/>
  <c r="U10" i="20" s="1"/>
  <c r="D10" i="20"/>
  <c r="C10" i="20"/>
  <c r="B10" i="20"/>
  <c r="A10" i="20"/>
  <c r="D9" i="20"/>
  <c r="C9" i="20"/>
  <c r="D8" i="20"/>
  <c r="C8" i="20"/>
  <c r="D7" i="20"/>
  <c r="C7" i="20"/>
  <c r="B6" i="20"/>
  <c r="B7" i="20" s="1"/>
  <c r="T5" i="20"/>
  <c r="D5" i="20"/>
  <c r="D6" i="20" s="1"/>
  <c r="C5" i="20"/>
  <c r="C6" i="20" s="1"/>
  <c r="B5" i="20"/>
  <c r="A5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V19" i="25" l="1"/>
  <c r="U18" i="22"/>
  <c r="W18" i="22"/>
  <c r="V18" i="22"/>
  <c r="U16" i="20"/>
  <c r="V16" i="20"/>
  <c r="W16" i="20"/>
  <c r="V15" i="20"/>
  <c r="W15" i="20"/>
  <c r="U15" i="20"/>
  <c r="W14" i="20"/>
  <c r="U14" i="20"/>
  <c r="V14" i="20"/>
  <c r="W13" i="20"/>
  <c r="U13" i="20"/>
  <c r="V13" i="20"/>
  <c r="V12" i="20"/>
  <c r="W12" i="20"/>
  <c r="U11" i="20"/>
  <c r="W11" i="20"/>
  <c r="V10" i="20"/>
  <c r="W10" i="20"/>
  <c r="A6" i="20"/>
  <c r="U4" i="20"/>
  <c r="W4" i="20"/>
  <c r="V4" i="20"/>
  <c r="O6" i="20"/>
  <c r="B8" i="20"/>
  <c r="A8" i="20" s="1"/>
  <c r="A7" i="20"/>
  <c r="J5" i="20"/>
  <c r="W5" i="20" s="1"/>
  <c r="T6" i="20"/>
  <c r="W3" i="19"/>
  <c r="V3" i="19"/>
  <c r="U3" i="19"/>
  <c r="V5" i="20" l="1"/>
  <c r="T7" i="20"/>
  <c r="B9" i="20"/>
  <c r="A9" i="20" s="1"/>
  <c r="O7" i="20"/>
  <c r="U5" i="20"/>
  <c r="J6" i="20"/>
  <c r="W6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6" i="20" l="1"/>
  <c r="T8" i="20"/>
  <c r="U6" i="20"/>
  <c r="J7" i="20"/>
  <c r="W7" i="20" s="1"/>
  <c r="V7" i="20"/>
  <c r="O8" i="20"/>
  <c r="U9" i="19"/>
  <c r="V9" i="19"/>
  <c r="W9" i="19"/>
  <c r="W8" i="19"/>
  <c r="U8" i="19"/>
  <c r="V8" i="19"/>
  <c r="U7" i="19"/>
  <c r="V7" i="19"/>
  <c r="W7" i="19"/>
  <c r="V6" i="19"/>
  <c r="U6" i="19"/>
  <c r="W6" i="19"/>
  <c r="U4" i="19"/>
  <c r="V4" i="19"/>
  <c r="T5" i="19"/>
  <c r="W4" i="19"/>
  <c r="J5" i="19"/>
  <c r="O5" i="19"/>
  <c r="T9" i="20" l="1"/>
  <c r="W8" i="20"/>
  <c r="V8" i="20"/>
  <c r="O9" i="20"/>
  <c r="U7" i="20"/>
  <c r="J8" i="20"/>
  <c r="W5" i="19"/>
  <c r="V5" i="19"/>
  <c r="U5" i="19"/>
  <c r="U8" i="20" l="1"/>
  <c r="J9" i="20"/>
  <c r="U9" i="20" l="1"/>
  <c r="W9" i="20"/>
  <c r="V9" i="20"/>
</calcChain>
</file>

<file path=xl/sharedStrings.xml><?xml version="1.0" encoding="utf-8"?>
<sst xmlns="http://schemas.openxmlformats.org/spreadsheetml/2006/main" count="1369" uniqueCount="216">
  <si>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</si>
  <si>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</si>
  <si>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</si>
  <si>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</si>
  <si>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</si>
  <si>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</si>
  <si>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</si>
  <si>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</si>
  <si>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</si>
  <si>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</si>
  <si>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</si>
  <si>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</si>
  <si>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</si>
  <si>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</si>
  <si>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</si>
  <si>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</si>
  <si>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</si>
  <si>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</si>
  <si>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</si>
  <si>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</si>
  <si>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</si>
  <si>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</si>
  <si>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</si>
  <si>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</si>
  <si>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</si>
  <si>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</si>
  <si>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</si>
  <si>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</si>
  <si>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</si>
  <si>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</si>
  <si>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</si>
  <si>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</si>
  <si>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</si>
  <si>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</si>
  <si>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</si>
  <si>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</si>
  <si>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</si>
  <si>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</si>
  <si>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</si>
  <si>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</si>
  <si>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</si>
  <si>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</si>
  <si>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</si>
  <si>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</si>
  <si>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</si>
  <si>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</si>
  <si>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</si>
  <si>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</si>
  <si>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</si>
  <si>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</si>
  <si>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</si>
  <si>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</si>
  <si>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</si>
  <si>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</si>
  <si>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</si>
  <si>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</si>
  <si>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</si>
  <si>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</si>
  <si>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</si>
  <si>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</si>
  <si>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</si>
  <si>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</si>
  <si>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</si>
  <si>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</si>
  <si>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</si>
  <si>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</si>
  <si>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</si>
  <si>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</si>
  <si>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</si>
  <si>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</si>
  <si>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</si>
  <si>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</si>
  <si>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</si>
  <si>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</si>
  <si>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</si>
  <si>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</si>
  <si>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</si>
  <si>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</si>
  <si>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</si>
  <si>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</si>
  <si>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</si>
  <si>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</si>
  <si>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</si>
  <si>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</si>
  <si>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</si>
  <si>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</si>
  <si>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</si>
  <si>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</si>
  <si>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</si>
  <si>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</si>
  <si>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</si>
  <si>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</si>
  <si>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</si>
  <si>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</si>
  <si>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</si>
  <si>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</si>
  <si>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</si>
  <si>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</si>
  <si>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</si>
  <si>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</si>
  <si>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</si>
  <si>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</si>
  <si>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</si>
  <si>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</si>
  <si>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</si>
  <si>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</si>
  <si>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</si>
  <si>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</si>
  <si>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</si>
  <si>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</si>
  <si>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</si>
  <si>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</si>
  <si>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</si>
  <si>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</si>
  <si>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</si>
  <si>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</si>
  <si>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</si>
  <si>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</si>
  <si>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</si>
  <si>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</si>
  <si>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</si>
  <si>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</si>
  <si>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</si>
  <si>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</si>
  <si>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</si>
  <si>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</si>
  <si>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</si>
  <si>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</si>
  <si>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</si>
  <si>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</si>
  <si>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</si>
  <si>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</si>
  <si>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</si>
  <si>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</si>
  <si>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</si>
  <si>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</si>
  <si>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</si>
  <si>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</si>
  <si>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</si>
  <si>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</si>
  <si>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</si>
  <si>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</si>
  <si>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</si>
  <si>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</si>
  <si>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</si>
  <si>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</si>
  <si>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</si>
  <si>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</si>
  <si>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</si>
  <si>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</si>
  <si>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</si>
  <si>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</si>
  <si>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</si>
  <si>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</si>
  <si>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</si>
  <si>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</si>
  <si>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</si>
  <si>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</si>
  <si>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</si>
  <si>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</si>
  <si>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</si>
  <si>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</si>
  <si>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</si>
  <si>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</si>
  <si>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</si>
  <si>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</si>
  <si>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</si>
  <si>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</si>
  <si>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</si>
  <si>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</si>
  <si>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</si>
  <si>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</si>
  <si>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</si>
  <si>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</si>
  <si>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</si>
  <si>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</si>
  <si>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</si>
  <si>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</si>
  <si>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</si>
  <si>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</si>
  <si>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</si>
  <si>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</si>
  <si>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</si>
  <si>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</si>
  <si>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</si>
  <si>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</si>
  <si>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</si>
  <si>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</si>
  <si>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</si>
  <si>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</si>
  <si>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</si>
  <si>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</si>
  <si>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</si>
  <si>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ただ</t>
  </si>
  <si>
    <t>だいち</t>
  </si>
  <si>
    <t>だいち</t>
    <phoneticPr fontId="1"/>
  </si>
  <si>
    <t>ツモ</t>
  </si>
  <si>
    <t>ツモ支払</t>
  </si>
  <si>
    <t>*</t>
  </si>
  <si>
    <t>チョンボ</t>
  </si>
  <si>
    <t>放銃</t>
  </si>
  <si>
    <t>ロン</t>
  </si>
  <si>
    <t>01</t>
  </si>
  <si>
    <t>52</t>
  </si>
  <si>
    <t>りくと</t>
  </si>
  <si>
    <t>ぱぱ</t>
  </si>
  <si>
    <t>02</t>
  </si>
  <si>
    <t>N</t>
  </si>
  <si>
    <t>T</t>
  </si>
  <si>
    <t>流局</t>
    <phoneticPr fontId="1"/>
  </si>
  <si>
    <t>51</t>
  </si>
  <si>
    <t>れんたろう</t>
  </si>
  <si>
    <t>たかの</t>
  </si>
  <si>
    <t>たかの</t>
    <phoneticPr fontId="1"/>
  </si>
  <si>
    <t>ただ</t>
    <phoneticPr fontId="1"/>
  </si>
  <si>
    <t>ぱぱ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</si>
</sst>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193</v>
      </c>
      <c r="L1" s="79"/>
      <c r="M1" s="79"/>
      <c r="N1" s="80"/>
      <c r="O1" s="81"/>
      <c r="P1" s="78" t="s">
        <v>195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ただ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196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197</v>
      </c>
      <c r="L4" s="9">
        <v>-6000</v>
      </c>
      <c r="M4" s="9">
        <v>-1000</v>
      </c>
      <c r="N4" s="48">
        <v>0</v>
      </c>
      <c r="O4" s="21">
        <f>IF(COUNTA($F4,$K4,$P4)&gt;0,O3+SUM(L4:N4),"")</f>
        <v>28000</v>
      </c>
      <c r="P4" s="8" t="s">
        <v>197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23</v>
      </c>
      <c r="V4" s="54">
        <f>IF($O4="","",ROUND(($O4-$O$3)/1000,1)+(_xlfn.RANK.AVG($O4,($J4,$O4,$T4),1)-2)*10)</f>
        <v>-17</v>
      </c>
      <c r="W4" s="55">
        <f>IF($T4="","",ROUND(($T4-$T$3)/1000,1)+(_xlfn.RANK.AVG($T4,($J4,$O4,$T4),1)-2)*10)</f>
        <v>-6</v>
      </c>
      <c r="Y4" s="8"/>
      <c r="Z4" s="34"/>
      <c r="AA4" s="26"/>
      <c r="AB4" s="26"/>
      <c r="AC4" s="26">
        <v>5</v>
      </c>
      <c r="AD4" s="30" t="s">
        <v>198</v>
      </c>
      <c r="AE4" s="40" t="s">
        <v>87</v>
      </c>
      <c r="AF4" s="41" t="s">
        <v>82</v>
      </c>
      <c r="AG4" s="41" t="s">
        <v>85</v>
      </c>
      <c r="AH4" s="41" t="s">
        <v>96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199</v>
      </c>
      <c r="G5" s="9">
        <v>5000</v>
      </c>
      <c r="H5" s="9"/>
      <c r="I5" s="48"/>
      <c r="J5" s="21">
        <f t="shared" ref="J5:J30" si="2">IF(COUNTA($F5,$K5,$P5)&gt;0,J4+SUM(G5:I5),"")</f>
        <v>53000</v>
      </c>
      <c r="K5" s="8" t="s">
        <v>199</v>
      </c>
      <c r="L5" s="9">
        <v>-8000</v>
      </c>
      <c r="M5" s="9">
        <v>-1000</v>
      </c>
      <c r="N5" s="48"/>
      <c r="O5" s="21">
        <f t="shared" ref="O5:O30" si="3">IF(COUNTA($F5,$K5,$P5)&gt;0,O4+SUM(L5:N5),"")</f>
        <v>19000</v>
      </c>
      <c r="P5" s="8" t="s">
        <v>199</v>
      </c>
      <c r="Q5" s="9">
        <v>3000</v>
      </c>
      <c r="R5" s="9"/>
      <c r="S5" s="48"/>
      <c r="T5" s="21">
        <f t="shared" ref="T5:T30" si="4">IF(COUNTA($F5,$K5,$P5)&gt;0,T4+SUM(Q5:S5),"")</f>
        <v>32000</v>
      </c>
      <c r="U5" s="53">
        <f>IF($J5="","",ROUND(($J5-$J$3)/1000,1)+(_xlfn.RANK.AVG($J5,($J5,$O5,$T5),1)-2)*10)</f>
        <v>28</v>
      </c>
      <c r="V5" s="54">
        <f>IF($O5="","",ROUND(($O5-$O$3)/1000,1)+(_xlfn.RANK.AVG($O5,($J5,$O5,$T5),1)-2)*10)</f>
        <v>-26</v>
      </c>
      <c r="W5" s="55">
        <f>IF($T5="","",ROUND(($T5-$T$3)/1000,1)+(_xlfn.RANK.AVG($T5,($J5,$O5,$T5),1)-2)*10)</f>
        <v>-3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>
        <v>1</v>
      </c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191</v>
      </c>
      <c r="F6" s="8"/>
      <c r="G6" s="9"/>
      <c r="H6" s="9"/>
      <c r="I6" s="48"/>
      <c r="J6" s="21">
        <f t="shared" si="2"/>
        <v>53000</v>
      </c>
      <c r="K6" s="8" t="s">
        <v>200</v>
      </c>
      <c r="L6" s="9">
        <v>-8000</v>
      </c>
      <c r="M6" s="9">
        <v>-1000</v>
      </c>
      <c r="N6" s="48">
        <v>-1000</v>
      </c>
      <c r="O6" s="21">
        <f t="shared" si="3"/>
        <v>9000</v>
      </c>
      <c r="P6" s="8" t="s">
        <v>201</v>
      </c>
      <c r="Q6" s="9">
        <v>8000</v>
      </c>
      <c r="R6" s="9">
        <v>2000</v>
      </c>
      <c r="S6" s="48">
        <v>1000</v>
      </c>
      <c r="T6" s="21">
        <f t="shared" si="4"/>
        <v>43000</v>
      </c>
      <c r="U6" s="53">
        <f>IF($J6="","",ROUND(($J6-$J$3)/1000,1)+(_xlfn.RANK.AVG($J6,($J6,$O6,$T6),1)-2)*10)</f>
        <v>28</v>
      </c>
      <c r="V6" s="54">
        <f>IF($O6="","",ROUND(($O6-$O$3)/1000,1)+(_xlfn.RANK.AVG($O6,($J6,$O6,$T6),1)-2)*10)</f>
        <v>-36</v>
      </c>
      <c r="W6" s="55">
        <f>IF($T6="","",ROUND(($T6-$T$3)/1000,1)+(_xlfn.RANK.AVG($T6,($J6,$O6,$T6),1)-2)*10)</f>
        <v>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40</v>
      </c>
      <c r="BU6" s="40" t="s">
        <v>104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53000</v>
      </c>
      <c r="K7" s="8" t="s">
        <v>200</v>
      </c>
      <c r="L7" s="9">
        <v>-1300</v>
      </c>
      <c r="M7" s="9"/>
      <c r="N7" s="48">
        <v>0</v>
      </c>
      <c r="O7" s="21">
        <f t="shared" si="3"/>
        <v>7700</v>
      </c>
      <c r="P7" s="8" t="s">
        <v>201</v>
      </c>
      <c r="Q7" s="9">
        <v>1300</v>
      </c>
      <c r="R7" s="9"/>
      <c r="S7" s="48">
        <v>0</v>
      </c>
      <c r="T7" s="21">
        <f t="shared" si="4"/>
        <v>44300</v>
      </c>
      <c r="U7" s="53">
        <f>IF($J7="","",ROUND(($J7-$J$3)/1000,1)+(_xlfn.RANK.AVG($J7,($J7,$O7,$T7),1)-2)*10)</f>
        <v>28</v>
      </c>
      <c r="V7" s="54">
        <f>IF($O7="","",ROUND(($O7-$O$3)/1000,1)+(_xlfn.RANK.AVG($O7,($J7,$O7,$T7),1)-2)*10)</f>
        <v>-37.299999999999997</v>
      </c>
      <c r="W7" s="55">
        <f>IF($T7="","",ROUND(($T7-$T$3)/1000,1)+(_xlfn.RANK.AVG($T7,($J7,$O7,$T7),1)-2)*10)</f>
        <v>9.3000000000000007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1</v>
      </c>
      <c r="BT7" s="30">
        <v>40</v>
      </c>
      <c r="BU7" s="40" t="s">
        <v>85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194</v>
      </c>
      <c r="F8" s="8" t="s">
        <v>197</v>
      </c>
      <c r="G8" s="9">
        <v>-5800</v>
      </c>
      <c r="H8" s="9"/>
      <c r="I8" s="48">
        <v>0</v>
      </c>
      <c r="J8" s="21">
        <f t="shared" si="2"/>
        <v>47200</v>
      </c>
      <c r="K8" s="8" t="s">
        <v>197</v>
      </c>
      <c r="L8" s="9">
        <v>-5800</v>
      </c>
      <c r="M8" s="9">
        <v>-1000</v>
      </c>
      <c r="N8" s="48">
        <v>0</v>
      </c>
      <c r="O8" s="21">
        <f t="shared" si="3"/>
        <v>900</v>
      </c>
      <c r="P8" s="8" t="s">
        <v>196</v>
      </c>
      <c r="Q8" s="9">
        <v>11600</v>
      </c>
      <c r="R8" s="9">
        <v>1000</v>
      </c>
      <c r="S8" s="48">
        <v>0</v>
      </c>
      <c r="T8" s="21">
        <f t="shared" si="4"/>
        <v>56900</v>
      </c>
      <c r="U8" s="53">
        <f>IF($J8="","",ROUND(($J8-$J$3)/1000,1)+(_xlfn.RANK.AVG($J8,($J8,$O8,$T8),1)-2)*10)</f>
        <v>12.2</v>
      </c>
      <c r="V8" s="54">
        <f>IF($O8="","",ROUND(($O8-$O$3)/1000,1)+(_xlfn.RANK.AVG($O8,($J8,$O8,$T8),1)-2)*10)</f>
        <v>-44.1</v>
      </c>
      <c r="W8" s="55">
        <f>IF($T8="","",ROUND(($T8-$T$3)/1000,1)+(_xlfn.RANK.AVG($T8,($J8,$O8,$T8),1)-2)*10)</f>
        <v>31.9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30</v>
      </c>
      <c r="BU8" s="40" t="s">
        <v>202</v>
      </c>
      <c r="BV8" s="41" t="s">
        <v>82</v>
      </c>
      <c r="BW8" s="41" t="s">
        <v>79</v>
      </c>
      <c r="BX8" s="41" t="s">
        <v>203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194</v>
      </c>
      <c r="F9" s="8"/>
      <c r="G9" s="9"/>
      <c r="H9" s="9"/>
      <c r="I9" s="48"/>
      <c r="J9" s="21">
        <f t="shared" si="2"/>
        <v>47200</v>
      </c>
      <c r="K9" s="8" t="s">
        <v>200</v>
      </c>
      <c r="L9" s="9">
        <v>-7700</v>
      </c>
      <c r="M9" s="9"/>
      <c r="N9" s="48">
        <v>-1000</v>
      </c>
      <c r="O9" s="21">
        <f t="shared" si="3"/>
        <v>-7800</v>
      </c>
      <c r="P9" s="8" t="s">
        <v>201</v>
      </c>
      <c r="Q9" s="9">
        <v>7700</v>
      </c>
      <c r="R9" s="9"/>
      <c r="S9" s="48">
        <v>1000</v>
      </c>
      <c r="T9" s="21">
        <f t="shared" si="4"/>
        <v>65600</v>
      </c>
      <c r="U9" s="53">
        <f>IF($J9="","",ROUND(($J9-$J$3)/1000,1)+(_xlfn.RANK.AVG($J9,($J9,$O9,$T9),1)-2)*10)</f>
        <v>12.2</v>
      </c>
      <c r="V9" s="54">
        <f>IF($O9="","",ROUND(($O9-$O$3)/1000,1)+(_xlfn.RANK.AVG($O9,($J9,$O9,$T9),1)-2)*10)</f>
        <v>-52.8</v>
      </c>
      <c r="W9" s="55">
        <f>IF($T9="","",ROUND(($T9-$T$3)/1000,1)+(_xlfn.RANK.AVG($T9,($J9,$O9,$T9),1)-2)*10)</f>
        <v>40.6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3</v>
      </c>
      <c r="BT9" s="30">
        <v>40</v>
      </c>
      <c r="BU9" s="40" t="s">
        <v>104</v>
      </c>
      <c r="BV9" s="41" t="s">
        <v>86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F927E234-B8E4-4F3B-B19C-F112252E7D5E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C03C3-96BE-4BB1-BDCD-31B4ABE2C7D5}">
  <sheetPr codeName="Sheet11">
    <pageSetUpPr fitToPage="1"/>
  </sheetPr>
  <dimension ref="A1:CI30"/>
  <sheetViews>
    <sheetView topLeftCell="C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194</v>
      </c>
      <c r="G1" s="79"/>
      <c r="H1" s="79"/>
      <c r="I1" s="80"/>
      <c r="J1" s="81"/>
      <c r="K1" s="78" t="s">
        <v>204</v>
      </c>
      <c r="L1" s="79"/>
      <c r="M1" s="79"/>
      <c r="N1" s="80"/>
      <c r="O1" s="81"/>
      <c r="P1" s="78" t="s">
        <v>205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ぱぱ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りくと</v>
      </c>
      <c r="W2" s="16" t="str">
        <f>$P$1</f>
        <v>ぱぱ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201</v>
      </c>
      <c r="G4" s="9">
        <v>7700</v>
      </c>
      <c r="H4" s="9"/>
      <c r="I4" s="48">
        <v>0</v>
      </c>
      <c r="J4" s="21">
        <f>IF(COUNTA($F4,$K4,$P4)&gt;0,J3+SUM(G4:I4),"")</f>
        <v>42700</v>
      </c>
      <c r="K4" s="8" t="s">
        <v>200</v>
      </c>
      <c r="L4" s="9">
        <v>-7700</v>
      </c>
      <c r="M4" s="9"/>
      <c r="N4" s="48">
        <v>0</v>
      </c>
      <c r="O4" s="21">
        <f>IF(COUNTA($F4,$K4,$P4)&gt;0,O3+SUM(L4:N4),"")</f>
        <v>27300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17.7</v>
      </c>
      <c r="V4" s="54">
        <f>IF($O4="","",ROUND(($O4-$O$3)/1000,1)+(_xlfn.RANK.AVG($O4,($J4,$O4,$T4),1)-2)*10)</f>
        <v>-17.7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>
        <v>3</v>
      </c>
      <c r="AD4" s="30">
        <v>40</v>
      </c>
      <c r="AE4" s="40" t="s">
        <v>86</v>
      </c>
      <c r="AF4" s="41" t="s">
        <v>203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197</v>
      </c>
      <c r="G5" s="9">
        <v>-7500</v>
      </c>
      <c r="H5" s="9"/>
      <c r="I5" s="48">
        <v>-500</v>
      </c>
      <c r="J5" s="21">
        <f t="shared" ref="J5:J30" si="2">IF(COUNTA($F5,$K5,$P5)&gt;0,J4+SUM(G5:I5),"")</f>
        <v>34700</v>
      </c>
      <c r="K5" s="8" t="s">
        <v>196</v>
      </c>
      <c r="L5" s="9">
        <v>12000</v>
      </c>
      <c r="M5" s="9"/>
      <c r="N5" s="48">
        <v>1000</v>
      </c>
      <c r="O5" s="21">
        <f t="shared" ref="O5:O30" si="3">IF(COUNTA($F5,$K5,$P5)&gt;0,O4+SUM(L5:N5),"")</f>
        <v>40300</v>
      </c>
      <c r="P5" s="8" t="s">
        <v>197</v>
      </c>
      <c r="Q5" s="9">
        <v>-4500</v>
      </c>
      <c r="R5" s="9"/>
      <c r="S5" s="48">
        <v>-500</v>
      </c>
      <c r="T5" s="21">
        <f t="shared" ref="T5:T30" si="4">IF(COUNTA($F5,$K5,$P5)&gt;0,T4+SUM(Q5:S5),"")</f>
        <v>30000</v>
      </c>
      <c r="U5" s="53">
        <f>IF($J5="","",ROUND(($J5-$J$3)/1000,1)+(_xlfn.RANK.AVG($J5,($J5,$O5,$T5),1)-2)*10)</f>
        <v>-0.3</v>
      </c>
      <c r="V5" s="54">
        <f>IF($O5="","",ROUND(($O5-$O$3)/1000,1)+(_xlfn.RANK.AVG($O5,($J5,$O5,$T5),1)-2)*10)</f>
        <v>15.3</v>
      </c>
      <c r="W5" s="55">
        <f>IF($T5="","",ROUND(($T5-$T$3)/1000,1)+(_xlfn.RANK.AVG($T5,($J5,$O5,$T5),1)-2)*10)</f>
        <v>-15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198</v>
      </c>
      <c r="AZ5" s="40" t="s">
        <v>82</v>
      </c>
      <c r="BA5" s="41" t="s">
        <v>202</v>
      </c>
      <c r="BB5" s="41" t="s">
        <v>83</v>
      </c>
      <c r="BC5" s="41" t="s">
        <v>206</v>
      </c>
      <c r="BD5" s="41" t="s">
        <v>79</v>
      </c>
      <c r="BE5" s="41" t="s">
        <v>79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204</v>
      </c>
      <c r="F6" s="8" t="s">
        <v>209</v>
      </c>
      <c r="G6" s="9">
        <v>-3000</v>
      </c>
      <c r="H6" s="9"/>
      <c r="I6" s="48"/>
      <c r="J6" s="21">
        <f t="shared" si="2"/>
        <v>31700</v>
      </c>
      <c r="K6" s="8" t="s">
        <v>209</v>
      </c>
      <c r="L6" s="9">
        <v>1500</v>
      </c>
      <c r="M6" s="9">
        <v>-1000</v>
      </c>
      <c r="N6" s="48"/>
      <c r="O6" s="21">
        <f t="shared" si="3"/>
        <v>40800</v>
      </c>
      <c r="P6" s="8" t="s">
        <v>209</v>
      </c>
      <c r="Q6" s="9">
        <v>1500</v>
      </c>
      <c r="R6" s="9"/>
      <c r="S6" s="48"/>
      <c r="T6" s="21">
        <f t="shared" si="4"/>
        <v>31500</v>
      </c>
      <c r="U6" s="53">
        <f>IF($J6="","",ROUND(($J6-$J$3)/1000,1)+(_xlfn.RANK.AVG($J6,($J6,$O6,$T6),1)-2)*10)</f>
        <v>-3.3</v>
      </c>
      <c r="V6" s="54">
        <f>IF($O6="","",ROUND(($O6-$O$3)/1000,1)+(_xlfn.RANK.AVG($O6,($J6,$O6,$T6),1)-2)*10)</f>
        <v>15.8</v>
      </c>
      <c r="W6" s="55">
        <f>IF($T6="","",ROUND(($T6-$T$3)/1000,1)+(_xlfn.RANK.AVG($T6,($J6,$O6,$T6),1)-2)*10)</f>
        <v>-13.5</v>
      </c>
      <c r="Y6" s="8" t="s">
        <v>207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208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208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1</v>
      </c>
      <c r="E7" s="4" t="s">
        <v>204</v>
      </c>
      <c r="F7" s="8" t="s">
        <v>197</v>
      </c>
      <c r="G7" s="9">
        <v>-5800</v>
      </c>
      <c r="H7" s="9"/>
      <c r="I7" s="48">
        <v>-500</v>
      </c>
      <c r="J7" s="21">
        <f t="shared" si="2"/>
        <v>25400</v>
      </c>
      <c r="K7" s="8" t="s">
        <v>196</v>
      </c>
      <c r="L7" s="9">
        <v>11600</v>
      </c>
      <c r="M7" s="9">
        <v>1000</v>
      </c>
      <c r="N7" s="48">
        <v>1000</v>
      </c>
      <c r="O7" s="21">
        <f t="shared" si="3"/>
        <v>54400</v>
      </c>
      <c r="P7" s="8" t="s">
        <v>197</v>
      </c>
      <c r="Q7" s="9">
        <v>-5800</v>
      </c>
      <c r="R7" s="9"/>
      <c r="S7" s="48">
        <v>-500</v>
      </c>
      <c r="T7" s="21">
        <f t="shared" si="4"/>
        <v>25200</v>
      </c>
      <c r="U7" s="53">
        <f>IF($J7="","",ROUND(($J7-$J$3)/1000,1)+(_xlfn.RANK.AVG($J7,($J7,$O7,$T7),1)-2)*10)</f>
        <v>-9.6</v>
      </c>
      <c r="V7" s="54">
        <f>IF($O7="","",ROUND(($O7-$O$3)/1000,1)+(_xlfn.RANK.AVG($O7,($J7,$O7,$T7),1)-2)*10)</f>
        <v>29.4</v>
      </c>
      <c r="W7" s="55">
        <f>IF($T7="","",ROUND(($T7-$T$3)/1000,1)+(_xlfn.RANK.AVG($T7,($J7,$O7,$T7),1)-2)*10)</f>
        <v>-19.8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30</v>
      </c>
      <c r="AZ7" s="40" t="s">
        <v>202</v>
      </c>
      <c r="BA7" s="41" t="s">
        <v>82</v>
      </c>
      <c r="BB7" s="41" t="s">
        <v>206</v>
      </c>
      <c r="BC7" s="41" t="s">
        <v>86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204</v>
      </c>
      <c r="F8" s="8"/>
      <c r="G8" s="9"/>
      <c r="H8" s="9"/>
      <c r="I8" s="48"/>
      <c r="J8" s="21">
        <f t="shared" si="2"/>
        <v>25400</v>
      </c>
      <c r="K8" s="8" t="s">
        <v>201</v>
      </c>
      <c r="L8" s="9">
        <v>7700</v>
      </c>
      <c r="M8" s="9"/>
      <c r="N8" s="48">
        <v>2000</v>
      </c>
      <c r="O8" s="21">
        <f t="shared" si="3"/>
        <v>64100</v>
      </c>
      <c r="P8" s="8" t="s">
        <v>200</v>
      </c>
      <c r="Q8" s="9">
        <v>-7700</v>
      </c>
      <c r="R8" s="9"/>
      <c r="S8" s="48">
        <v>-2000</v>
      </c>
      <c r="T8" s="21">
        <f t="shared" si="4"/>
        <v>15500</v>
      </c>
      <c r="U8" s="53">
        <f>IF($J8="","",ROUND(($J8-$J$3)/1000,1)+(_xlfn.RANK.AVG($J8,($J8,$O8,$T8),1)-2)*10)</f>
        <v>-9.6</v>
      </c>
      <c r="V8" s="54">
        <f>IF($O8="","",ROUND(($O8-$O$3)/1000,1)+(_xlfn.RANK.AVG($O8,($J8,$O8,$T8),1)-2)*10)</f>
        <v>39.1</v>
      </c>
      <c r="W8" s="55">
        <f>IF($T8="","",ROUND(($T8-$T$3)/1000,1)+(_xlfn.RANK.AVG($T8,($J8,$O8,$T8),1)-2)*10)</f>
        <v>-29.5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3</v>
      </c>
      <c r="AY8" s="30">
        <v>40</v>
      </c>
      <c r="AZ8" s="40" t="s">
        <v>84</v>
      </c>
      <c r="BA8" s="41" t="s">
        <v>79</v>
      </c>
      <c r="BB8" s="41" t="s">
        <v>79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">
        <v>204</v>
      </c>
      <c r="F9" s="8" t="s">
        <v>209</v>
      </c>
      <c r="G9" s="9">
        <v>0</v>
      </c>
      <c r="H9" s="9"/>
      <c r="I9" s="48"/>
      <c r="J9" s="21">
        <f t="shared" si="2"/>
        <v>25400</v>
      </c>
      <c r="K9" s="8" t="s">
        <v>209</v>
      </c>
      <c r="L9" s="9">
        <v>0</v>
      </c>
      <c r="M9" s="9"/>
      <c r="N9" s="48"/>
      <c r="O9" s="21">
        <f t="shared" si="3"/>
        <v>64100</v>
      </c>
      <c r="P9" s="8" t="s">
        <v>209</v>
      </c>
      <c r="Q9" s="9">
        <v>0</v>
      </c>
      <c r="R9" s="9"/>
      <c r="S9" s="48"/>
      <c r="T9" s="21">
        <f t="shared" si="4"/>
        <v>15500</v>
      </c>
      <c r="U9" s="53">
        <f>IF($J9="","",ROUND(($J9-$J$3)/1000,1)+(_xlfn.RANK.AVG($J9,($J9,$O9,$T9),1)-2)*10)</f>
        <v>-9.6</v>
      </c>
      <c r="V9" s="54">
        <f>IF($O9="","",ROUND(($O9-$O$3)/1000,1)+(_xlfn.RANK.AVG($O9,($J9,$O9,$T9),1)-2)*10)</f>
        <v>39.1</v>
      </c>
      <c r="W9" s="55">
        <f>IF($T9="","",ROUND(($T9-$T$3)/1000,1)+(_xlfn.RANK.AVG($T9,($J9,$O9,$T9),1)-2)*10)</f>
        <v>-29.5</v>
      </c>
      <c r="Y9" s="8" t="s">
        <v>208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208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208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4</v>
      </c>
      <c r="D10" s="18">
        <f t="shared" si="1"/>
        <v>0</v>
      </c>
      <c r="E10" s="4" t="s">
        <v>204</v>
      </c>
      <c r="F10" s="8" t="s">
        <v>209</v>
      </c>
      <c r="G10" s="9">
        <v>-1500</v>
      </c>
      <c r="H10" s="9"/>
      <c r="I10" s="48"/>
      <c r="J10" s="21">
        <f t="shared" si="2"/>
        <v>23900</v>
      </c>
      <c r="K10" s="8" t="s">
        <v>209</v>
      </c>
      <c r="L10" s="9">
        <v>3000</v>
      </c>
      <c r="M10" s="9">
        <v>-1000</v>
      </c>
      <c r="N10" s="48"/>
      <c r="O10" s="21">
        <f t="shared" si="3"/>
        <v>66100</v>
      </c>
      <c r="P10" s="8" t="s">
        <v>209</v>
      </c>
      <c r="Q10" s="9">
        <v>-1500</v>
      </c>
      <c r="R10" s="9"/>
      <c r="S10" s="48"/>
      <c r="T10" s="21">
        <f t="shared" si="4"/>
        <v>14000</v>
      </c>
      <c r="U10" s="53">
        <f>IF($J10="","",ROUND(($J10-$J$3)/1000,1)+(_xlfn.RANK.AVG($J10,($J10,$O10,$T10),1)-2)*10)</f>
        <v>-11.1</v>
      </c>
      <c r="V10" s="54">
        <f>IF($O10="","",ROUND(($O10-$O$3)/1000,1)+(_xlfn.RANK.AVG($O10,($J10,$O10,$T10),1)-2)*10)</f>
        <v>41.1</v>
      </c>
      <c r="W10" s="55">
        <f>IF($T10="","",ROUND(($T10-$T$3)/1000,1)+(_xlfn.RANK.AVG($T10,($J10,$O10,$T10),1)-2)*10)</f>
        <v>-31</v>
      </c>
      <c r="Y10" s="8" t="s">
        <v>207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208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207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2</v>
      </c>
      <c r="C11" s="18">
        <f t="shared" si="6"/>
        <v>5</v>
      </c>
      <c r="D11" s="18">
        <f t="shared" si="1"/>
        <v>1</v>
      </c>
      <c r="E11" s="4" t="s">
        <v>204</v>
      </c>
      <c r="F11" s="8"/>
      <c r="G11" s="9"/>
      <c r="H11" s="9"/>
      <c r="I11" s="48"/>
      <c r="J11" s="21">
        <f t="shared" si="2"/>
        <v>23900</v>
      </c>
      <c r="K11" s="8" t="s">
        <v>201</v>
      </c>
      <c r="L11" s="9">
        <v>3900</v>
      </c>
      <c r="M11" s="9">
        <v>1000</v>
      </c>
      <c r="N11" s="48">
        <v>5000</v>
      </c>
      <c r="O11" s="21">
        <f t="shared" si="3"/>
        <v>76000</v>
      </c>
      <c r="P11" s="8" t="s">
        <v>200</v>
      </c>
      <c r="Q11" s="9">
        <v>-3900</v>
      </c>
      <c r="R11" s="9"/>
      <c r="S11" s="48">
        <v>-5000</v>
      </c>
      <c r="T11" s="21">
        <f t="shared" si="4"/>
        <v>5100</v>
      </c>
      <c r="U11" s="53">
        <f>IF($J11="","",ROUND(($J11-$J$3)/1000,1)+(_xlfn.RANK.AVG($J11,($J11,$O11,$T11),1)-2)*10)</f>
        <v>-11.1</v>
      </c>
      <c r="V11" s="54">
        <f>IF($O11="","",ROUND(($O11-$O$3)/1000,1)+(_xlfn.RANK.AVG($O11,($J11,$O11,$T11),1)-2)*10)</f>
        <v>51</v>
      </c>
      <c r="W11" s="55">
        <f>IF($T11="","",ROUND(($T11-$T$3)/1000,1)+(_xlfn.RANK.AVG($T11,($J11,$O11,$T11),1)-2)*10)</f>
        <v>-39.9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2</v>
      </c>
      <c r="AY11" s="30">
        <v>40</v>
      </c>
      <c r="AZ11" s="40" t="s">
        <v>202</v>
      </c>
      <c r="BA11" s="41" t="s">
        <v>80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2</v>
      </c>
      <c r="C12" s="18">
        <f t="shared" si="6"/>
        <v>6</v>
      </c>
      <c r="D12" s="18">
        <f t="shared" si="1"/>
        <v>0</v>
      </c>
      <c r="E12" s="4" t="s">
        <v>204</v>
      </c>
      <c r="F12" s="8" t="s">
        <v>201</v>
      </c>
      <c r="G12" s="9">
        <v>2600</v>
      </c>
      <c r="H12" s="9"/>
      <c r="I12" s="48">
        <v>6000</v>
      </c>
      <c r="J12" s="21">
        <f t="shared" si="2"/>
        <v>32500</v>
      </c>
      <c r="K12" s="8" t="s">
        <v>200</v>
      </c>
      <c r="L12" s="9">
        <v>-2600</v>
      </c>
      <c r="M12" s="9"/>
      <c r="N12" s="48">
        <v>-6000</v>
      </c>
      <c r="O12" s="21">
        <f t="shared" si="3"/>
        <v>67400</v>
      </c>
      <c r="P12" s="8"/>
      <c r="Q12" s="9"/>
      <c r="R12" s="9"/>
      <c r="S12" s="48"/>
      <c r="T12" s="21">
        <f t="shared" si="4"/>
        <v>5100</v>
      </c>
      <c r="U12" s="53">
        <f>IF($J12="","",ROUND(($J12-$J$3)/1000,1)+(_xlfn.RANK.AVG($J12,($J12,$O12,$T12),1)-2)*10)</f>
        <v>-2.5</v>
      </c>
      <c r="V12" s="54">
        <f>IF($O12="","",ROUND(($O12-$O$3)/1000,1)+(_xlfn.RANK.AVG($O12,($J12,$O12,$T12),1)-2)*10)</f>
        <v>42.4</v>
      </c>
      <c r="W12" s="55">
        <f>IF($T12="","",ROUND(($T12-$T$3)/1000,1)+(_xlfn.RANK.AVG($T12,($J12,$O12,$T12),1)-2)*10)</f>
        <v>-39.9</v>
      </c>
      <c r="Y12" s="8"/>
      <c r="Z12" s="34"/>
      <c r="AA12" s="26">
        <v>1</v>
      </c>
      <c r="AB12" s="26"/>
      <c r="AC12" s="26">
        <v>2</v>
      </c>
      <c r="AD12" s="30">
        <v>40</v>
      </c>
      <c r="AE12" s="40" t="s">
        <v>202</v>
      </c>
      <c r="AF12" s="41" t="s">
        <v>203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東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205</v>
      </c>
      <c r="F13" s="8" t="s">
        <v>200</v>
      </c>
      <c r="G13" s="9">
        <v>-7700</v>
      </c>
      <c r="H13" s="9">
        <v>-1000</v>
      </c>
      <c r="I13" s="48">
        <v>0</v>
      </c>
      <c r="J13" s="21">
        <f t="shared" si="2"/>
        <v>23800</v>
      </c>
      <c r="K13" s="8"/>
      <c r="L13" s="9"/>
      <c r="M13" s="9">
        <v>-1000</v>
      </c>
      <c r="N13" s="48"/>
      <c r="O13" s="21">
        <f t="shared" si="3"/>
        <v>66400</v>
      </c>
      <c r="P13" s="8" t="s">
        <v>201</v>
      </c>
      <c r="Q13" s="9">
        <v>7700</v>
      </c>
      <c r="R13" s="9">
        <v>2000</v>
      </c>
      <c r="S13" s="48">
        <v>0</v>
      </c>
      <c r="T13" s="21">
        <f t="shared" si="4"/>
        <v>14800</v>
      </c>
      <c r="U13" s="53">
        <f>IF($J13="","",ROUND(($J13-$J$3)/1000,1)+(_xlfn.RANK.AVG($J13,($J13,$O13,$T13),1)-2)*10)</f>
        <v>-11.2</v>
      </c>
      <c r="V13" s="54">
        <f>IF($O13="","",ROUND(($O13-$O$3)/1000,1)+(_xlfn.RANK.AVG($O13,($J13,$O13,$T13),1)-2)*10)</f>
        <v>41.4</v>
      </c>
      <c r="W13" s="55">
        <f>IF($T13="","",ROUND(($T13-$T$3)/1000,1)+(_xlfn.RANK.AVG($T13,($J13,$O13,$T13),1)-2)*10)</f>
        <v>-30.2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3</v>
      </c>
      <c r="BT13" s="30">
        <v>40</v>
      </c>
      <c r="BU13" s="40" t="s">
        <v>210</v>
      </c>
      <c r="BV13" s="41" t="s">
        <v>79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東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205</v>
      </c>
      <c r="F14" s="8" t="s">
        <v>196</v>
      </c>
      <c r="G14" s="9">
        <v>8000</v>
      </c>
      <c r="H14" s="9"/>
      <c r="I14" s="48">
        <v>1000</v>
      </c>
      <c r="J14" s="21">
        <f t="shared" si="2"/>
        <v>32800</v>
      </c>
      <c r="K14" s="8" t="s">
        <v>197</v>
      </c>
      <c r="L14" s="9">
        <v>-3000</v>
      </c>
      <c r="M14" s="9"/>
      <c r="N14" s="48">
        <v>-500</v>
      </c>
      <c r="O14" s="21">
        <f t="shared" si="3"/>
        <v>62900</v>
      </c>
      <c r="P14" s="8" t="s">
        <v>197</v>
      </c>
      <c r="Q14" s="9">
        <v>-5000</v>
      </c>
      <c r="R14" s="9"/>
      <c r="S14" s="48">
        <v>-500</v>
      </c>
      <c r="T14" s="21">
        <f t="shared" si="4"/>
        <v>9300</v>
      </c>
      <c r="U14" s="53">
        <f>IF($J14="","",ROUND(($J14-$J$3)/1000,1)+(_xlfn.RANK.AVG($J14,($J14,$O14,$T14),1)-2)*10)</f>
        <v>-2.2000000000000002</v>
      </c>
      <c r="V14" s="54">
        <f>IF($O14="","",ROUND(($O14-$O$3)/1000,1)+(_xlfn.RANK.AVG($O14,($J14,$O14,$T14),1)-2)*10)</f>
        <v>37.9</v>
      </c>
      <c r="W14" s="55">
        <f>IF($T14="","",ROUND(($T14-$T$3)/1000,1)+(_xlfn.RANK.AVG($T14,($J14,$O14,$T14),1)-2)*10)</f>
        <v>-35.700000000000003</v>
      </c>
      <c r="Y14" s="8"/>
      <c r="Z14" s="34"/>
      <c r="AA14" s="26">
        <v>1</v>
      </c>
      <c r="AB14" s="26"/>
      <c r="AC14" s="26">
        <v>5</v>
      </c>
      <c r="AD14" s="30" t="s">
        <v>198</v>
      </c>
      <c r="AE14" s="40" t="s">
        <v>202</v>
      </c>
      <c r="AF14" s="41" t="s">
        <v>82</v>
      </c>
      <c r="AG14" s="41" t="s">
        <v>80</v>
      </c>
      <c r="AH14" s="41" t="s">
        <v>203</v>
      </c>
      <c r="AI14" s="41" t="s">
        <v>206</v>
      </c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194</v>
      </c>
      <c r="F15" s="8" t="s">
        <v>196</v>
      </c>
      <c r="G15" s="9">
        <v>11600</v>
      </c>
      <c r="H15" s="9"/>
      <c r="I15" s="48">
        <v>0</v>
      </c>
      <c r="J15" s="21">
        <f t="shared" si="2"/>
        <v>44400</v>
      </c>
      <c r="K15" s="8" t="s">
        <v>197</v>
      </c>
      <c r="L15" s="9">
        <v>-5800</v>
      </c>
      <c r="M15" s="9"/>
      <c r="N15" s="48">
        <v>0</v>
      </c>
      <c r="O15" s="21">
        <f t="shared" si="3"/>
        <v>57100</v>
      </c>
      <c r="P15" s="8" t="s">
        <v>197</v>
      </c>
      <c r="Q15" s="9">
        <v>-5800</v>
      </c>
      <c r="R15" s="9"/>
      <c r="S15" s="48">
        <v>0</v>
      </c>
      <c r="T15" s="21">
        <f t="shared" si="4"/>
        <v>3500</v>
      </c>
      <c r="U15" s="53">
        <f>IF($J15="","",ROUND(($J15-$J$3)/1000,1)+(_xlfn.RANK.AVG($J15,($J15,$O15,$T15),1)-2)*10)</f>
        <v>9.4</v>
      </c>
      <c r="V15" s="54">
        <f>IF($O15="","",ROUND(($O15-$O$3)/1000,1)+(_xlfn.RANK.AVG($O15,($J15,$O15,$T15),1)-2)*10)</f>
        <v>32.1</v>
      </c>
      <c r="W15" s="55">
        <f>IF($T15="","",ROUND(($T15-$T$3)/1000,1)+(_xlfn.RANK.AVG($T15,($J15,$O15,$T15),1)-2)*10)</f>
        <v>-41.5</v>
      </c>
      <c r="Y15" s="8"/>
      <c r="Z15" s="34"/>
      <c r="AA15" s="26">
        <v>1</v>
      </c>
      <c r="AB15" s="26"/>
      <c r="AC15" s="26">
        <v>4</v>
      </c>
      <c r="AD15" s="30">
        <v>30</v>
      </c>
      <c r="AE15" s="40" t="s">
        <v>82</v>
      </c>
      <c r="AF15" s="41" t="s">
        <v>202</v>
      </c>
      <c r="AG15" s="41" t="s">
        <v>206</v>
      </c>
      <c r="AH15" s="41" t="s">
        <v>80</v>
      </c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1</v>
      </c>
      <c r="C16" s="18">
        <f t="shared" si="6"/>
        <v>1</v>
      </c>
      <c r="D16" s="18">
        <f t="shared" si="1"/>
        <v>0</v>
      </c>
      <c r="E16" s="4" t="s">
        <v>194</v>
      </c>
      <c r="F16" s="8" t="s">
        <v>196</v>
      </c>
      <c r="G16" s="9">
        <v>12000</v>
      </c>
      <c r="H16" s="9"/>
      <c r="I16" s="48">
        <v>1000</v>
      </c>
      <c r="J16" s="21">
        <f t="shared" si="2"/>
        <v>57400</v>
      </c>
      <c r="K16" s="8" t="s">
        <v>197</v>
      </c>
      <c r="L16" s="9">
        <v>-6000</v>
      </c>
      <c r="M16" s="9"/>
      <c r="N16" s="48">
        <v>-500</v>
      </c>
      <c r="O16" s="21">
        <f t="shared" si="3"/>
        <v>50600</v>
      </c>
      <c r="P16" s="8" t="s">
        <v>197</v>
      </c>
      <c r="Q16" s="9">
        <v>-6000</v>
      </c>
      <c r="R16" s="9"/>
      <c r="S16" s="48">
        <v>-500</v>
      </c>
      <c r="T16" s="21">
        <f t="shared" si="4"/>
        <v>-3000</v>
      </c>
      <c r="U16" s="53">
        <f>IF($J16="","",ROUND(($J16-$J$3)/1000,1)+(_xlfn.RANK.AVG($J16,($J16,$O16,$T16),1)-2)*10)</f>
        <v>32.4</v>
      </c>
      <c r="V16" s="54">
        <f>IF($O16="","",ROUND(($O16-$O$3)/1000,1)+(_xlfn.RANK.AVG($O16,($J16,$O16,$T16),1)-2)*10)</f>
        <v>15.6</v>
      </c>
      <c r="W16" s="55">
        <f>IF($T16="","",ROUND(($T16-$T$3)/1000,1)+(_xlfn.RANK.AVG($T16,($J16,$O16,$T16),1)-2)*10)</f>
        <v>-48</v>
      </c>
      <c r="Y16" s="8"/>
      <c r="Z16" s="34"/>
      <c r="AA16" s="26">
        <v>1</v>
      </c>
      <c r="AB16" s="26"/>
      <c r="AC16" s="26">
        <v>5</v>
      </c>
      <c r="AD16" s="30" t="s">
        <v>198</v>
      </c>
      <c r="AE16" s="40" t="s">
        <v>202</v>
      </c>
      <c r="AF16" s="41" t="s">
        <v>82</v>
      </c>
      <c r="AG16" s="41" t="s">
        <v>83</v>
      </c>
      <c r="AH16" s="41" t="s">
        <v>203</v>
      </c>
      <c r="AI16" s="41" t="s">
        <v>80</v>
      </c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9B9A4BF8-269B-4213-9CD9-3BA5713A19AC}">
      <formula1>"たかの,だいち,ただ,りくと,れんたろう,まっつん,のり,ぱぱ,ほたに,"</formula1>
    </dataValidation>
    <dataValidation type="list" showInputMessage="1" showErrorMessage="1" sqref="K4:K30 P4:P30 F4:F30" xr:uid="{21EE8A97-CD50-4CC6-8CA3-3F0AF4287E6F}">
      <formula1>"ロン,ツモ,放銃,ツモ支払,流局,チョンボ"</formula1>
    </dataValidation>
    <dataValidation type="list" allowBlank="1" showInputMessage="1" showErrorMessage="1" sqref="E4:E30" xr:uid="{6C7FF3DB-2202-405B-B22A-582A96BD1B9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B7B1E-8570-4DD9-B0B2-C09B2A9286A9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193</v>
      </c>
      <c r="G1" s="79"/>
      <c r="H1" s="79"/>
      <c r="I1" s="80"/>
      <c r="J1" s="81"/>
      <c r="K1" s="78" t="s">
        <v>191</v>
      </c>
      <c r="L1" s="79"/>
      <c r="M1" s="79"/>
      <c r="N1" s="80"/>
      <c r="O1" s="81"/>
      <c r="P1" s="78" t="s">
        <v>211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まっつん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211</v>
      </c>
      <c r="F4" s="8" t="s">
        <v>197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197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196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-11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198</v>
      </c>
      <c r="BU4" s="40" t="s">
        <v>202</v>
      </c>
      <c r="BV4" s="41" t="s">
        <v>83</v>
      </c>
      <c r="BW4" s="41" t="s">
        <v>82</v>
      </c>
      <c r="BX4" s="41" t="s">
        <v>80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211</v>
      </c>
      <c r="F5" s="8" t="s">
        <v>196</v>
      </c>
      <c r="G5" s="9">
        <v>8000</v>
      </c>
      <c r="H5" s="9">
        <v>1000</v>
      </c>
      <c r="I5" s="48">
        <v>1000</v>
      </c>
      <c r="J5" s="21">
        <f t="shared" ref="J5:J30" si="2">IF(COUNTA($F5,$K5,$P5)&gt;0,J4+SUM(G5:I5),"")</f>
        <v>39000</v>
      </c>
      <c r="K5" s="8" t="s">
        <v>197</v>
      </c>
      <c r="L5" s="9">
        <v>-3000</v>
      </c>
      <c r="M5" s="9">
        <v>-1000</v>
      </c>
      <c r="N5" s="48">
        <v>-500</v>
      </c>
      <c r="O5" s="21">
        <f t="shared" ref="O5:O30" si="3">IF(COUNTA($F5,$K5,$P5)&gt;0,O4+SUM(L5:N5),"")</f>
        <v>24500</v>
      </c>
      <c r="P5" s="8" t="s">
        <v>197</v>
      </c>
      <c r="Q5" s="9">
        <v>-5000</v>
      </c>
      <c r="R5" s="9"/>
      <c r="S5" s="48">
        <v>-500</v>
      </c>
      <c r="T5" s="21">
        <f t="shared" ref="T5:T30" si="4">IF(COUNTA($F5,$K5,$P5)&gt;0,T4+SUM(Q5:S5),"")</f>
        <v>41500</v>
      </c>
      <c r="U5" s="53">
        <f>IF($J5="","",ROUND(($J5-$J$3)/1000,1)+(_xlfn.RANK.AVG($J5,($J5,$O5,$T5),1)-2)*10)</f>
        <v>4</v>
      </c>
      <c r="V5" s="54">
        <f>IF($O5="","",ROUND(($O5-$O$3)/1000,1)+(_xlfn.RANK.AVG($O5,($J5,$O5,$T5),1)-2)*10)</f>
        <v>-20.5</v>
      </c>
      <c r="W5" s="55">
        <f>IF($T5="","",ROUND(($T5-$T$3)/1000,1)+(_xlfn.RANK.AVG($T5,($J5,$O5,$T5),1)-2)*10)</f>
        <v>16.5</v>
      </c>
      <c r="Y5" s="8"/>
      <c r="Z5" s="34"/>
      <c r="AA5" s="26"/>
      <c r="AB5" s="26"/>
      <c r="AC5" s="26">
        <v>5</v>
      </c>
      <c r="AD5" s="30" t="s">
        <v>198</v>
      </c>
      <c r="AE5" s="40" t="s">
        <v>82</v>
      </c>
      <c r="AF5" s="41" t="s">
        <v>101</v>
      </c>
      <c r="AG5" s="41" t="s">
        <v>79</v>
      </c>
      <c r="AH5" s="41" t="s">
        <v>79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196</v>
      </c>
      <c r="G6" s="9">
        <v>7800</v>
      </c>
      <c r="H6" s="9">
        <v>1000</v>
      </c>
      <c r="I6" s="48">
        <v>0</v>
      </c>
      <c r="J6" s="21">
        <f t="shared" si="2"/>
        <v>47800</v>
      </c>
      <c r="K6" s="8" t="s">
        <v>197</v>
      </c>
      <c r="L6" s="9">
        <v>-3900</v>
      </c>
      <c r="M6" s="9"/>
      <c r="N6" s="48">
        <v>0</v>
      </c>
      <c r="O6" s="21">
        <f t="shared" si="3"/>
        <v>20600</v>
      </c>
      <c r="P6" s="8" t="s">
        <v>197</v>
      </c>
      <c r="Q6" s="9">
        <v>-3900</v>
      </c>
      <c r="R6" s="9">
        <v>-1000</v>
      </c>
      <c r="S6" s="48">
        <v>0</v>
      </c>
      <c r="T6" s="21">
        <f t="shared" si="4"/>
        <v>36600</v>
      </c>
      <c r="U6" s="53">
        <f>IF($J6="","",ROUND(($J6-$J$3)/1000,1)+(_xlfn.RANK.AVG($J6,($J6,$O6,$T6),1)-2)*10)</f>
        <v>22.8</v>
      </c>
      <c r="V6" s="54">
        <f>IF($O6="","",ROUND(($O6-$O$3)/1000,1)+(_xlfn.RANK.AVG($O6,($J6,$O6,$T6),1)-2)*10)</f>
        <v>-24.4</v>
      </c>
      <c r="W6" s="55">
        <f>IF($T6="","",ROUND(($T6-$T$3)/1000,1)+(_xlfn.RANK.AVG($T6,($J6,$O6,$T6),1)-2)*10)</f>
        <v>1.6</v>
      </c>
      <c r="Y6" s="8"/>
      <c r="Z6" s="34"/>
      <c r="AA6" s="26"/>
      <c r="AB6" s="26"/>
      <c r="AC6" s="26">
        <v>4</v>
      </c>
      <c r="AD6" s="30">
        <v>20</v>
      </c>
      <c r="AE6" s="40" t="s">
        <v>82</v>
      </c>
      <c r="AF6" s="41" t="s">
        <v>83</v>
      </c>
      <c r="AG6" s="41" t="s">
        <v>84</v>
      </c>
      <c r="AH6" s="41" t="s">
        <v>203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209</v>
      </c>
      <c r="G7" s="9">
        <v>3000</v>
      </c>
      <c r="H7" s="9"/>
      <c r="I7" s="48"/>
      <c r="J7" s="21">
        <f t="shared" si="2"/>
        <v>50800</v>
      </c>
      <c r="K7" s="8" t="s">
        <v>209</v>
      </c>
      <c r="L7" s="9">
        <v>-1500</v>
      </c>
      <c r="M7" s="9"/>
      <c r="N7" s="48"/>
      <c r="O7" s="21">
        <f t="shared" si="3"/>
        <v>19100</v>
      </c>
      <c r="P7" s="8" t="s">
        <v>209</v>
      </c>
      <c r="Q7" s="9">
        <v>-1500</v>
      </c>
      <c r="R7" s="9"/>
      <c r="S7" s="48"/>
      <c r="T7" s="21">
        <f t="shared" si="4"/>
        <v>35100</v>
      </c>
      <c r="U7" s="53">
        <f>IF($J7="","",ROUND(($J7-$J$3)/1000,1)+(_xlfn.RANK.AVG($J7,($J7,$O7,$T7),1)-2)*10)</f>
        <v>25.8</v>
      </c>
      <c r="V7" s="54">
        <f>IF($O7="","",ROUND(($O7-$O$3)/1000,1)+(_xlfn.RANK.AVG($O7,($J7,$O7,$T7),1)-2)*10)</f>
        <v>-25.9</v>
      </c>
      <c r="W7" s="55">
        <f>IF($T7="","",ROUND(($T7-$T$3)/1000,1)+(_xlfn.RANK.AVG($T7,($J7,$O7,$T7),1)-2)*10)</f>
        <v>0.1</v>
      </c>
      <c r="Y7" s="8" t="s">
        <v>208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207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207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193</v>
      </c>
      <c r="F8" s="8" t="s">
        <v>196</v>
      </c>
      <c r="G8" s="9">
        <v>4000</v>
      </c>
      <c r="H8" s="9"/>
      <c r="I8" s="48">
        <v>2000</v>
      </c>
      <c r="J8" s="21">
        <f t="shared" si="2"/>
        <v>56800</v>
      </c>
      <c r="K8" s="8" t="s">
        <v>197</v>
      </c>
      <c r="L8" s="9">
        <v>-2000</v>
      </c>
      <c r="M8" s="9"/>
      <c r="N8" s="48">
        <v>-1000</v>
      </c>
      <c r="O8" s="21">
        <f t="shared" si="3"/>
        <v>16100</v>
      </c>
      <c r="P8" s="8" t="s">
        <v>197</v>
      </c>
      <c r="Q8" s="9">
        <v>-2000</v>
      </c>
      <c r="R8" s="9"/>
      <c r="S8" s="48">
        <v>-1000</v>
      </c>
      <c r="T8" s="21">
        <f t="shared" si="4"/>
        <v>32100</v>
      </c>
      <c r="U8" s="53">
        <f>IF($J8="","",ROUND(($J8-$J$3)/1000,1)+(_xlfn.RANK.AVG($J8,($J8,$O8,$T8),1)-2)*10)</f>
        <v>31.8</v>
      </c>
      <c r="V8" s="54">
        <f>IF($O8="","",ROUND(($O8-$O$3)/1000,1)+(_xlfn.RANK.AVG($O8,($J8,$O8,$T8),1)-2)*10)</f>
        <v>-28.9</v>
      </c>
      <c r="W8" s="55">
        <f>IF($T8="","",ROUND(($T8-$T$3)/1000,1)+(_xlfn.RANK.AVG($T8,($J8,$O8,$T8),1)-2)*10)</f>
        <v>-2.9</v>
      </c>
      <c r="Y8" s="8"/>
      <c r="Z8" s="34"/>
      <c r="AA8" s="26"/>
      <c r="AB8" s="26"/>
      <c r="AC8" s="26">
        <v>3</v>
      </c>
      <c r="AD8" s="30">
        <v>20</v>
      </c>
      <c r="AE8" s="40" t="s">
        <v>82</v>
      </c>
      <c r="AF8" s="41" t="s">
        <v>83</v>
      </c>
      <c r="AG8" s="41" t="s">
        <v>84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">
        <v>193</v>
      </c>
      <c r="F9" s="8" t="s">
        <v>201</v>
      </c>
      <c r="G9" s="9">
        <v>5800</v>
      </c>
      <c r="H9" s="9"/>
      <c r="I9" s="48">
        <v>3000</v>
      </c>
      <c r="J9" s="21">
        <f t="shared" si="2"/>
        <v>65600</v>
      </c>
      <c r="K9" s="8" t="s">
        <v>200</v>
      </c>
      <c r="L9" s="9">
        <v>-5800</v>
      </c>
      <c r="M9" s="9"/>
      <c r="N9" s="48">
        <v>-3000</v>
      </c>
      <c r="O9" s="21">
        <f t="shared" si="3"/>
        <v>7300</v>
      </c>
      <c r="P9" s="8"/>
      <c r="Q9" s="9"/>
      <c r="R9" s="9"/>
      <c r="S9" s="48"/>
      <c r="T9" s="21">
        <f t="shared" si="4"/>
        <v>32100</v>
      </c>
      <c r="U9" s="53">
        <f>IF($J9="","",ROUND(($J9-$J$3)/1000,1)+(_xlfn.RANK.AVG($J9,($J9,$O9,$T9),1)-2)*10)</f>
        <v>40.6</v>
      </c>
      <c r="V9" s="54">
        <f>IF($O9="","",ROUND(($O9-$O$3)/1000,1)+(_xlfn.RANK.AVG($O9,($J9,$O9,$T9),1)-2)*10)</f>
        <v>-37.700000000000003</v>
      </c>
      <c r="W9" s="55">
        <f>IF($T9="","",ROUND(($T9-$T$3)/1000,1)+(_xlfn.RANK.AVG($T9,($J9,$O9,$T9),1)-2)*10)</f>
        <v>-2.9</v>
      </c>
      <c r="Y9" s="8"/>
      <c r="Z9" s="34"/>
      <c r="AA9" s="26"/>
      <c r="AB9" s="26">
        <v>1</v>
      </c>
      <c r="AC9" s="26">
        <v>3</v>
      </c>
      <c r="AD9" s="30">
        <v>30</v>
      </c>
      <c r="AE9" s="40" t="s">
        <v>86</v>
      </c>
      <c r="AF9" s="41" t="s">
        <v>86</v>
      </c>
      <c r="AG9" s="41" t="s">
        <v>86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4</v>
      </c>
      <c r="D10" s="18">
        <f t="shared" si="1"/>
        <v>0</v>
      </c>
      <c r="E10" s="4" t="s">
        <v>193</v>
      </c>
      <c r="F10" s="8" t="s">
        <v>196</v>
      </c>
      <c r="G10" s="9">
        <v>6000</v>
      </c>
      <c r="H10" s="9"/>
      <c r="I10" s="48">
        <v>4000</v>
      </c>
      <c r="J10" s="21">
        <f t="shared" si="2"/>
        <v>75600</v>
      </c>
      <c r="K10" s="8" t="s">
        <v>197</v>
      </c>
      <c r="L10" s="9">
        <v>-3000</v>
      </c>
      <c r="M10" s="9"/>
      <c r="N10" s="48">
        <v>-2000</v>
      </c>
      <c r="O10" s="21">
        <f t="shared" si="3"/>
        <v>2300</v>
      </c>
      <c r="P10" s="8" t="s">
        <v>197</v>
      </c>
      <c r="Q10" s="9">
        <v>-3000</v>
      </c>
      <c r="R10" s="9"/>
      <c r="S10" s="48">
        <v>-2000</v>
      </c>
      <c r="T10" s="21">
        <f t="shared" si="4"/>
        <v>27100</v>
      </c>
      <c r="U10" s="53">
        <f>IF($J10="","",ROUND(($J10-$J$3)/1000,1)+(_xlfn.RANK.AVG($J10,($J10,$O10,$T10),1)-2)*10)</f>
        <v>50.6</v>
      </c>
      <c r="V10" s="54">
        <f>IF($O10="","",ROUND(($O10-$O$3)/1000,1)+(_xlfn.RANK.AVG($O10,($J10,$O10,$T10),1)-2)*10)</f>
        <v>-42.7</v>
      </c>
      <c r="W10" s="55">
        <f>IF($T10="","",ROUND(($T10-$T$3)/1000,1)+(_xlfn.RANK.AVG($T10,($J10,$O10,$T10),1)-2)*10)</f>
        <v>-7.9</v>
      </c>
      <c r="Y10" s="8"/>
      <c r="Z10" s="34"/>
      <c r="AA10" s="26">
        <v>1</v>
      </c>
      <c r="AB10" s="26"/>
      <c r="AC10" s="26">
        <v>3</v>
      </c>
      <c r="AD10" s="30">
        <v>30</v>
      </c>
      <c r="AE10" s="40" t="s">
        <v>82</v>
      </c>
      <c r="AF10" s="41" t="s">
        <v>202</v>
      </c>
      <c r="AG10" s="41" t="s">
        <v>206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2</v>
      </c>
      <c r="C11" s="18">
        <f t="shared" si="6"/>
        <v>5</v>
      </c>
      <c r="D11" s="18">
        <f t="shared" si="1"/>
        <v>0</v>
      </c>
      <c r="E11" s="4" t="s">
        <v>193</v>
      </c>
      <c r="F11" s="8"/>
      <c r="G11" s="9"/>
      <c r="H11" s="9"/>
      <c r="I11" s="48"/>
      <c r="J11" s="21">
        <f t="shared" si="2"/>
        <v>75600</v>
      </c>
      <c r="K11" s="8" t="s">
        <v>201</v>
      </c>
      <c r="L11" s="9">
        <v>2000</v>
      </c>
      <c r="M11" s="9"/>
      <c r="N11" s="48">
        <v>5000</v>
      </c>
      <c r="O11" s="21">
        <f t="shared" si="3"/>
        <v>9300</v>
      </c>
      <c r="P11" s="8" t="s">
        <v>200</v>
      </c>
      <c r="Q11" s="9">
        <v>-2000</v>
      </c>
      <c r="R11" s="9"/>
      <c r="S11" s="48">
        <v>-5000</v>
      </c>
      <c r="T11" s="21">
        <f t="shared" si="4"/>
        <v>20100</v>
      </c>
      <c r="U11" s="53">
        <f>IF($J11="","",ROUND(($J11-$J$3)/1000,1)+(_xlfn.RANK.AVG($J11,($J11,$O11,$T11),1)-2)*10)</f>
        <v>50.6</v>
      </c>
      <c r="V11" s="54">
        <f>IF($O11="","",ROUND(($O11-$O$3)/1000,1)+(_xlfn.RANK.AVG($O11,($J11,$O11,$T11),1)-2)*10)</f>
        <v>-35.700000000000003</v>
      </c>
      <c r="W11" s="55">
        <f>IF($T11="","",ROUND(($T11-$T$3)/1000,1)+(_xlfn.RANK.AVG($T11,($J11,$O11,$T11),1)-2)*10)</f>
        <v>-14.9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30</v>
      </c>
      <c r="AZ11" s="40" t="s">
        <v>203</v>
      </c>
      <c r="BA11" s="41" t="s">
        <v>86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197</v>
      </c>
      <c r="G12" s="9">
        <v>-6000</v>
      </c>
      <c r="H12" s="9"/>
      <c r="I12" s="48">
        <v>0</v>
      </c>
      <c r="J12" s="21">
        <f t="shared" si="2"/>
        <v>69600</v>
      </c>
      <c r="K12" s="8" t="s">
        <v>196</v>
      </c>
      <c r="L12" s="9">
        <v>12000</v>
      </c>
      <c r="M12" s="9"/>
      <c r="N12" s="48">
        <v>0</v>
      </c>
      <c r="O12" s="21">
        <f t="shared" si="3"/>
        <v>21300</v>
      </c>
      <c r="P12" s="8" t="s">
        <v>197</v>
      </c>
      <c r="Q12" s="9">
        <v>-6000</v>
      </c>
      <c r="R12" s="9"/>
      <c r="S12" s="48">
        <v>0</v>
      </c>
      <c r="T12" s="21">
        <f t="shared" si="4"/>
        <v>14100</v>
      </c>
      <c r="U12" s="53">
        <f>IF($J12="","",ROUND(($J12-$J$3)/1000,1)+(_xlfn.RANK.AVG($J12,($J12,$O12,$T12),1)-2)*10)</f>
        <v>44.6</v>
      </c>
      <c r="V12" s="54">
        <f>IF($O12="","",ROUND(($O12-$O$3)/1000,1)+(_xlfn.RANK.AVG($O12,($J12,$O12,$T12),1)-2)*10)</f>
        <v>-13.7</v>
      </c>
      <c r="W12" s="55">
        <f>IF($T12="","",ROUND(($T12-$T$3)/1000,1)+(_xlfn.RANK.AVG($T12,($J12,$O12,$T12),1)-2)*10)</f>
        <v>-30.9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5</v>
      </c>
      <c r="AY12" s="30" t="s">
        <v>198</v>
      </c>
      <c r="AZ12" s="40" t="s">
        <v>202</v>
      </c>
      <c r="BA12" s="41" t="s">
        <v>82</v>
      </c>
      <c r="BB12" s="41" t="s">
        <v>79</v>
      </c>
      <c r="BC12" s="41" t="s">
        <v>79</v>
      </c>
      <c r="BD12" s="41" t="s">
        <v>80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東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191</v>
      </c>
      <c r="F13" s="8" t="s">
        <v>197</v>
      </c>
      <c r="G13" s="9">
        <v>-5800</v>
      </c>
      <c r="H13" s="9"/>
      <c r="I13" s="48">
        <v>-500</v>
      </c>
      <c r="J13" s="21">
        <f t="shared" si="2"/>
        <v>63300</v>
      </c>
      <c r="K13" s="8" t="s">
        <v>196</v>
      </c>
      <c r="L13" s="9">
        <v>11600</v>
      </c>
      <c r="M13" s="9"/>
      <c r="N13" s="48">
        <v>1000</v>
      </c>
      <c r="O13" s="21">
        <f t="shared" si="3"/>
        <v>33900</v>
      </c>
      <c r="P13" s="8" t="s">
        <v>197</v>
      </c>
      <c r="Q13" s="9">
        <v>-5800</v>
      </c>
      <c r="R13" s="9"/>
      <c r="S13" s="48">
        <v>-500</v>
      </c>
      <c r="T13" s="21">
        <f t="shared" si="4"/>
        <v>7800</v>
      </c>
      <c r="U13" s="53">
        <f>IF($J13="","",ROUND(($J13-$J$3)/1000,1)+(_xlfn.RANK.AVG($J13,($J13,$O13,$T13),1)-2)*10)</f>
        <v>38.299999999999997</v>
      </c>
      <c r="V13" s="54">
        <f>IF($O13="","",ROUND(($O13-$O$3)/1000,1)+(_xlfn.RANK.AVG($O13,($J13,$O13,$T13),1)-2)*10)</f>
        <v>-1.1000000000000001</v>
      </c>
      <c r="W13" s="55">
        <f>IF($T13="","",ROUND(($T13-$T$3)/1000,1)+(_xlfn.RANK.AVG($T13,($J13,$O13,$T13),1)-2)*10)</f>
        <v>-37.200000000000003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4</v>
      </c>
      <c r="AY13" s="30">
        <v>30</v>
      </c>
      <c r="AZ13" s="40" t="s">
        <v>203</v>
      </c>
      <c r="BA13" s="41" t="s">
        <v>203</v>
      </c>
      <c r="BB13" s="41" t="s">
        <v>86</v>
      </c>
      <c r="BC13" s="41" t="s">
        <v>86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東</v>
      </c>
      <c r="B14" s="18">
        <f t="shared" si="5"/>
        <v>3</v>
      </c>
      <c r="C14" s="18">
        <f t="shared" si="6"/>
        <v>2</v>
      </c>
      <c r="D14" s="18">
        <f t="shared" si="1"/>
        <v>0</v>
      </c>
      <c r="E14" s="4" t="s">
        <v>191</v>
      </c>
      <c r="F14" s="8" t="s">
        <v>201</v>
      </c>
      <c r="G14" s="9">
        <v>5200</v>
      </c>
      <c r="H14" s="9"/>
      <c r="I14" s="48"/>
      <c r="J14" s="21">
        <f t="shared" si="2"/>
        <v>68500</v>
      </c>
      <c r="K14" s="8" t="s">
        <v>200</v>
      </c>
      <c r="L14" s="9">
        <v>-17200</v>
      </c>
      <c r="M14" s="9"/>
      <c r="N14" s="48">
        <v>-2000</v>
      </c>
      <c r="O14" s="21">
        <f t="shared" si="3"/>
        <v>14700</v>
      </c>
      <c r="P14" s="8" t="s">
        <v>201</v>
      </c>
      <c r="Q14" s="9">
        <v>12000</v>
      </c>
      <c r="R14" s="9"/>
      <c r="S14" s="48">
        <v>2000</v>
      </c>
      <c r="T14" s="21">
        <f t="shared" si="4"/>
        <v>21800</v>
      </c>
      <c r="U14" s="53">
        <f>IF($J14="","",ROUND(($J14-$J$3)/1000,1)+(_xlfn.RANK.AVG($J14,($J14,$O14,$T14),1)-2)*10)</f>
        <v>43.5</v>
      </c>
      <c r="V14" s="54">
        <f>IF($O14="","",ROUND(($O14-$O$3)/1000,1)+(_xlfn.RANK.AVG($O14,($J14,$O14,$T14),1)-2)*10)</f>
        <v>-30.3</v>
      </c>
      <c r="W14" s="55">
        <f>IF($T14="","",ROUND(($T14-$T$3)/1000,1)+(_xlfn.RANK.AVG($T14,($J14,$O14,$T14),1)-2)*10)</f>
        <v>-13.2</v>
      </c>
      <c r="Y14" s="8"/>
      <c r="Z14" s="34"/>
      <c r="AA14" s="26">
        <v>1</v>
      </c>
      <c r="AB14" s="26"/>
      <c r="AC14" s="26">
        <v>3</v>
      </c>
      <c r="AD14" s="30">
        <v>40</v>
      </c>
      <c r="AE14" s="40" t="s">
        <v>202</v>
      </c>
      <c r="AF14" s="41" t="s">
        <v>206</v>
      </c>
      <c r="AG14" s="41" t="s">
        <v>80</v>
      </c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6</v>
      </c>
      <c r="BT14" s="30" t="s">
        <v>198</v>
      </c>
      <c r="BU14" s="40" t="s">
        <v>104</v>
      </c>
      <c r="BV14" s="41" t="s">
        <v>98</v>
      </c>
      <c r="BW14" s="41" t="s">
        <v>86</v>
      </c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211</v>
      </c>
      <c r="F15" s="8" t="s">
        <v>201</v>
      </c>
      <c r="G15" s="9">
        <v>12000</v>
      </c>
      <c r="H15" s="9">
        <v>1000</v>
      </c>
      <c r="I15" s="48">
        <v>0</v>
      </c>
      <c r="J15" s="21">
        <f t="shared" si="2"/>
        <v>81500</v>
      </c>
      <c r="K15" s="8"/>
      <c r="L15" s="9"/>
      <c r="M15" s="9"/>
      <c r="N15" s="48"/>
      <c r="O15" s="21">
        <f t="shared" si="3"/>
        <v>14700</v>
      </c>
      <c r="P15" s="8" t="s">
        <v>200</v>
      </c>
      <c r="Q15" s="9">
        <v>-12000</v>
      </c>
      <c r="R15" s="9">
        <v>-1000</v>
      </c>
      <c r="S15" s="48">
        <v>0</v>
      </c>
      <c r="T15" s="21">
        <f t="shared" si="4"/>
        <v>8800</v>
      </c>
      <c r="U15" s="53">
        <f>IF($J15="","",ROUND(($J15-$J$3)/1000,1)+(_xlfn.RANK.AVG($J15,($J15,$O15,$T15),1)-2)*10)</f>
        <v>56.5</v>
      </c>
      <c r="V15" s="54">
        <f>IF($O15="","",ROUND(($O15-$O$3)/1000,1)+(_xlfn.RANK.AVG($O15,($J15,$O15,$T15),1)-2)*10)</f>
        <v>-20.3</v>
      </c>
      <c r="W15" s="55">
        <f>IF($T15="","",ROUND(($T15-$T$3)/1000,1)+(_xlfn.RANK.AVG($T15,($J15,$O15,$T15),1)-2)*10)</f>
        <v>-36.200000000000003</v>
      </c>
      <c r="Y15" s="8"/>
      <c r="Z15" s="34"/>
      <c r="AA15" s="26"/>
      <c r="AB15" s="26"/>
      <c r="AC15" s="26">
        <v>7</v>
      </c>
      <c r="AD15" s="30" t="s">
        <v>198</v>
      </c>
      <c r="AE15" s="40" t="s">
        <v>106</v>
      </c>
      <c r="AF15" s="41" t="s">
        <v>84</v>
      </c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0</v>
      </c>
      <c r="D16" s="18">
        <f t="shared" si="1"/>
        <v>0</v>
      </c>
      <c r="E16" s="4" t="s">
        <v>193</v>
      </c>
      <c r="F16" s="8" t="s">
        <v>209</v>
      </c>
      <c r="G16" s="9">
        <v>1500</v>
      </c>
      <c r="H16" s="9"/>
      <c r="I16" s="48"/>
      <c r="J16" s="21">
        <f t="shared" si="2"/>
        <v>83000</v>
      </c>
      <c r="K16" s="8" t="s">
        <v>209</v>
      </c>
      <c r="L16" s="9">
        <v>1500</v>
      </c>
      <c r="M16" s="9"/>
      <c r="N16" s="48"/>
      <c r="O16" s="21">
        <f t="shared" si="3"/>
        <v>16200</v>
      </c>
      <c r="P16" s="8" t="s">
        <v>209</v>
      </c>
      <c r="Q16" s="9">
        <v>-3000</v>
      </c>
      <c r="R16" s="9"/>
      <c r="S16" s="48"/>
      <c r="T16" s="21">
        <f t="shared" si="4"/>
        <v>5800</v>
      </c>
      <c r="U16" s="53">
        <f>IF($J16="","",ROUND(($J16-$J$3)/1000,1)+(_xlfn.RANK.AVG($J16,($J16,$O16,$T16),1)-2)*10)</f>
        <v>58</v>
      </c>
      <c r="V16" s="54">
        <f>IF($O16="","",ROUND(($O16-$O$3)/1000,1)+(_xlfn.RANK.AVG($O16,($J16,$O16,$T16),1)-2)*10)</f>
        <v>-18.8</v>
      </c>
      <c r="W16" s="55">
        <f>IF($T16="","",ROUND(($T16-$T$3)/1000,1)+(_xlfn.RANK.AVG($T16,($J16,$O16,$T16),1)-2)*10)</f>
        <v>-39.200000000000003</v>
      </c>
      <c r="Y16" s="8" t="s">
        <v>208</v>
      </c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 t="s">
        <v>208</v>
      </c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 t="s">
        <v>207</v>
      </c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2</v>
      </c>
      <c r="C17" s="18">
        <f t="shared" si="6"/>
        <v>1</v>
      </c>
      <c r="D17" s="18">
        <f t="shared" si="1"/>
        <v>0</v>
      </c>
      <c r="E17" s="4" t="s">
        <v>193</v>
      </c>
      <c r="F17" s="8"/>
      <c r="G17" s="9"/>
      <c r="H17" s="9"/>
      <c r="I17" s="48"/>
      <c r="J17" s="21">
        <f t="shared" si="2"/>
        <v>83000</v>
      </c>
      <c r="K17" s="8" t="s">
        <v>201</v>
      </c>
      <c r="L17" s="9">
        <v>2600</v>
      </c>
      <c r="M17" s="9"/>
      <c r="N17" s="48">
        <v>1000</v>
      </c>
      <c r="O17" s="21">
        <f t="shared" si="3"/>
        <v>19800</v>
      </c>
      <c r="P17" s="8" t="s">
        <v>200</v>
      </c>
      <c r="Q17" s="9">
        <v>-2600</v>
      </c>
      <c r="R17" s="9"/>
      <c r="S17" s="48">
        <v>-1000</v>
      </c>
      <c r="T17" s="21">
        <f t="shared" si="4"/>
        <v>2200</v>
      </c>
      <c r="U17" s="53">
        <f>IF($J17="","",ROUND(($J17-$J$3)/1000,1)+(_xlfn.RANK.AVG($J17,($J17,$O17,$T17),1)-2)*10)</f>
        <v>58</v>
      </c>
      <c r="V17" s="54">
        <f>IF($O17="","",ROUND(($O17-$O$3)/1000,1)+(_xlfn.RANK.AVG($O17,($J17,$O17,$T17),1)-2)*10)</f>
        <v>-15.2</v>
      </c>
      <c r="W17" s="55">
        <f>IF($T17="","",ROUND(($T17-$T$3)/1000,1)+(_xlfn.RANK.AVG($T17,($J17,$O17,$T17),1)-2)*10)</f>
        <v>-42.8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>
        <v>1</v>
      </c>
      <c r="AW17" s="26"/>
      <c r="AX17" s="26">
        <v>2</v>
      </c>
      <c r="AY17" s="30">
        <v>40</v>
      </c>
      <c r="AZ17" s="40" t="s">
        <v>202</v>
      </c>
      <c r="BA17" s="41" t="s">
        <v>206</v>
      </c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南</v>
      </c>
      <c r="B18" s="18">
        <f t="shared" si="5"/>
        <v>3</v>
      </c>
      <c r="C18" s="18">
        <f t="shared" si="6"/>
        <v>0</v>
      </c>
      <c r="D18" s="18">
        <f t="shared" si="1"/>
        <v>0</v>
      </c>
      <c r="E18" s="4" t="s">
        <v>191</v>
      </c>
      <c r="F18" s="8" t="s">
        <v>197</v>
      </c>
      <c r="G18" s="9">
        <v>-2900</v>
      </c>
      <c r="H18" s="9"/>
      <c r="I18" s="48">
        <v>0</v>
      </c>
      <c r="J18" s="21">
        <f t="shared" si="2"/>
        <v>80100</v>
      </c>
      <c r="K18" s="8" t="s">
        <v>197</v>
      </c>
      <c r="L18" s="9">
        <v>-4800</v>
      </c>
      <c r="M18" s="9"/>
      <c r="N18" s="48">
        <v>0</v>
      </c>
      <c r="O18" s="21">
        <f t="shared" si="3"/>
        <v>15000</v>
      </c>
      <c r="P18" s="8" t="s">
        <v>196</v>
      </c>
      <c r="Q18" s="9">
        <v>7700</v>
      </c>
      <c r="R18" s="9"/>
      <c r="S18" s="48">
        <v>0</v>
      </c>
      <c r="T18" s="21">
        <f t="shared" si="4"/>
        <v>9900</v>
      </c>
      <c r="U18" s="53">
        <f>IF($J18="","",ROUND(($J18-$J$3)/1000,1)+(_xlfn.RANK.AVG($J18,($J18,$O18,$T18),1)-2)*10)</f>
        <v>55.1</v>
      </c>
      <c r="V18" s="54">
        <f>IF($O18="","",ROUND(($O18-$O$3)/1000,1)+(_xlfn.RANK.AVG($O18,($J18,$O18,$T18),1)-2)*10)</f>
        <v>-20</v>
      </c>
      <c r="W18" s="55">
        <f>IF($T18="","",ROUND(($T18-$T$3)/1000,1)+(_xlfn.RANK.AVG($T18,($J18,$O18,$T18),1)-2)*10)</f>
        <v>-35.1</v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>
        <v>1</v>
      </c>
      <c r="BR18" s="26"/>
      <c r="BS18" s="26">
        <v>4</v>
      </c>
      <c r="BT18" s="30">
        <v>30</v>
      </c>
      <c r="BU18" s="40" t="s">
        <v>210</v>
      </c>
      <c r="BV18" s="41" t="s">
        <v>82</v>
      </c>
      <c r="BW18" s="41" t="s">
        <v>203</v>
      </c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A9A09343-7A6F-4543-B485-1140235AC63F}">
      <formula1>$U$2:$W$2</formula1>
    </dataValidation>
    <dataValidation type="list" showInputMessage="1" showErrorMessage="1" sqref="K4:K30 P4:P30 F4:F30" xr:uid="{8F783DF1-69D6-4774-9A33-38F8CA89A824}">
      <formula1>"ロン,ツモ,放銃,ツモ支払,流局,チョンボ"</formula1>
    </dataValidation>
    <dataValidation type="list" allowBlank="1" showInputMessage="1" sqref="F1:T1" xr:uid="{13B57EB1-F52A-43A3-B3A1-0D940C015CA1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B7BE-9BF9-4C49-83B2-B0690D549B64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211</v>
      </c>
      <c r="G1" s="79"/>
      <c r="H1" s="79"/>
      <c r="I1" s="80"/>
      <c r="J1" s="81"/>
      <c r="K1" s="78" t="s">
        <v>193</v>
      </c>
      <c r="L1" s="79"/>
      <c r="M1" s="79"/>
      <c r="N1" s="80"/>
      <c r="O1" s="81"/>
      <c r="P1" s="78" t="s">
        <v>194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れんたろう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ただ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197</v>
      </c>
      <c r="G4" s="9">
        <v>-1500</v>
      </c>
      <c r="H4" s="9">
        <v>-1000</v>
      </c>
      <c r="I4" s="48">
        <v>0</v>
      </c>
      <c r="J4" s="21">
        <f>IF(COUNTA($F4,$K4,$P4)&gt;0,J3+SUM(G4:I4),"")</f>
        <v>32500</v>
      </c>
      <c r="K4" s="8" t="s">
        <v>196</v>
      </c>
      <c r="L4" s="9">
        <v>4000</v>
      </c>
      <c r="M4" s="9">
        <v>1000</v>
      </c>
      <c r="N4" s="48">
        <v>0</v>
      </c>
      <c r="O4" s="21">
        <f>IF(COUNTA($F4,$K4,$P4)&gt;0,O3+SUM(L4:N4),"")</f>
        <v>40000</v>
      </c>
      <c r="P4" s="8" t="s">
        <v>197</v>
      </c>
      <c r="Q4" s="9">
        <v>-2500</v>
      </c>
      <c r="R4" s="9"/>
      <c r="S4" s="48">
        <v>0</v>
      </c>
      <c r="T4" s="21">
        <f>IF(COUNTA($F4,$K4,$P4)&gt;0,T3+SUM(Q4:S4),"")</f>
        <v>32500</v>
      </c>
      <c r="U4" s="53">
        <f>IF($J4="","",ROUND(($J4-$J$3)/1000,1)+(_xlfn.RANK.AVG($J4,($J4,$O4,$T4),1)-2)*10)</f>
        <v>-7.5</v>
      </c>
      <c r="V4" s="54">
        <f>IF($O4="","",ROUND(($O4-$O$3)/1000,1)+(_xlfn.RANK.AVG($O4,($J4,$O4,$T4),1)-2)*10)</f>
        <v>15</v>
      </c>
      <c r="W4" s="55">
        <f>IF($T4="","",ROUND(($T4-$T$3)/1000,1)+(_xlfn.RANK.AVG($T4,($J4,$O4,$T4),1)-2)*10)</f>
        <v>-7.5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3</v>
      </c>
      <c r="AY4" s="30">
        <v>30</v>
      </c>
      <c r="AZ4" s="40" t="s">
        <v>202</v>
      </c>
      <c r="BA4" s="41" t="s">
        <v>84</v>
      </c>
      <c r="BB4" s="41" t="s">
        <v>203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211</v>
      </c>
      <c r="F5" s="8" t="s">
        <v>197</v>
      </c>
      <c r="G5" s="9">
        <v>-1300</v>
      </c>
      <c r="H5" s="9"/>
      <c r="I5" s="48">
        <v>0</v>
      </c>
      <c r="J5" s="21">
        <f t="shared" ref="J5:J30" si="2">IF(COUNTA($F5,$K5,$P5)&gt;0,J4+SUM(G5:I5),"")</f>
        <v>31200</v>
      </c>
      <c r="K5" s="8" t="s">
        <v>197</v>
      </c>
      <c r="L5" s="9">
        <v>-800</v>
      </c>
      <c r="M5" s="9"/>
      <c r="N5" s="48">
        <v>0</v>
      </c>
      <c r="O5" s="21">
        <f t="shared" ref="O5:O30" si="3">IF(COUNTA($F5,$K5,$P5)&gt;0,O4+SUM(L5:N5),"")</f>
        <v>39200</v>
      </c>
      <c r="P5" s="8" t="s">
        <v>196</v>
      </c>
      <c r="Q5" s="9">
        <v>2100</v>
      </c>
      <c r="R5" s="9"/>
      <c r="S5" s="48">
        <v>0</v>
      </c>
      <c r="T5" s="21">
        <f t="shared" ref="T5:T30" si="4">IF(COUNTA($F5,$K5,$P5)&gt;0,T4+SUM(Q5:S5),"")</f>
        <v>34600</v>
      </c>
      <c r="U5" s="53">
        <f>IF($J5="","",ROUND(($J5-$J$3)/1000,1)+(_xlfn.RANK.AVG($J5,($J5,$O5,$T5),1)-2)*10)</f>
        <v>-13.8</v>
      </c>
      <c r="V5" s="54">
        <f>IF($O5="","",ROUND(($O5-$O$3)/1000,1)+(_xlfn.RANK.AVG($O5,($J5,$O5,$T5),1)-2)*10)</f>
        <v>14.2</v>
      </c>
      <c r="W5" s="55">
        <f>IF($T5="","",ROUND(($T5-$T$3)/1000,1)+(_xlfn.RANK.AVG($T5,($J5,$O5,$T5),1)-2)*10)</f>
        <v>-0.4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30</v>
      </c>
      <c r="BU5" s="40" t="s">
        <v>202</v>
      </c>
      <c r="BV5" s="41" t="s">
        <v>85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196</v>
      </c>
      <c r="G6" s="9">
        <v>16000</v>
      </c>
      <c r="H6" s="9"/>
      <c r="I6" s="48">
        <v>0</v>
      </c>
      <c r="J6" s="21">
        <f t="shared" si="2"/>
        <v>47200</v>
      </c>
      <c r="K6" s="8" t="s">
        <v>197</v>
      </c>
      <c r="L6" s="9">
        <v>-10000</v>
      </c>
      <c r="M6" s="9"/>
      <c r="N6" s="48">
        <v>0</v>
      </c>
      <c r="O6" s="21">
        <f t="shared" si="3"/>
        <v>29200</v>
      </c>
      <c r="P6" s="8" t="s">
        <v>197</v>
      </c>
      <c r="Q6" s="9">
        <v>-6000</v>
      </c>
      <c r="R6" s="9"/>
      <c r="S6" s="48">
        <v>0</v>
      </c>
      <c r="T6" s="21">
        <f t="shared" si="4"/>
        <v>28600</v>
      </c>
      <c r="U6" s="53">
        <f>IF($J6="","",ROUND(($J6-$J$3)/1000,1)+(_xlfn.RANK.AVG($J6,($J6,$O6,$T6),1)-2)*10)</f>
        <v>22.2</v>
      </c>
      <c r="V6" s="54">
        <f>IF($O6="","",ROUND(($O6-$O$3)/1000,1)+(_xlfn.RANK.AVG($O6,($J6,$O6,$T6),1)-2)*10)</f>
        <v>-5.8</v>
      </c>
      <c r="W6" s="55">
        <f>IF($T6="","",ROUND(($T6-$T$3)/1000,1)+(_xlfn.RANK.AVG($T6,($J6,$O6,$T6),1)-2)*10)</f>
        <v>-16.399999999999999</v>
      </c>
      <c r="Y6" s="8"/>
      <c r="Z6" s="34"/>
      <c r="AA6" s="26"/>
      <c r="AB6" s="26"/>
      <c r="AC6" s="26">
        <v>8</v>
      </c>
      <c r="AD6" s="30" t="s">
        <v>198</v>
      </c>
      <c r="AE6" s="40" t="s">
        <v>202</v>
      </c>
      <c r="AF6" s="41" t="s">
        <v>84</v>
      </c>
      <c r="AG6" s="41" t="s">
        <v>106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194</v>
      </c>
      <c r="F7" s="8" t="s">
        <v>196</v>
      </c>
      <c r="G7" s="9">
        <v>7700</v>
      </c>
      <c r="H7" s="9"/>
      <c r="I7" s="48">
        <v>0</v>
      </c>
      <c r="J7" s="21">
        <f t="shared" si="2"/>
        <v>54900</v>
      </c>
      <c r="K7" s="8" t="s">
        <v>197</v>
      </c>
      <c r="L7" s="9">
        <v>-2900</v>
      </c>
      <c r="M7" s="9"/>
      <c r="N7" s="48">
        <v>0</v>
      </c>
      <c r="O7" s="21">
        <f t="shared" si="3"/>
        <v>26300</v>
      </c>
      <c r="P7" s="8" t="s">
        <v>197</v>
      </c>
      <c r="Q7" s="9">
        <v>-4800</v>
      </c>
      <c r="R7" s="9"/>
      <c r="S7" s="48">
        <v>0</v>
      </c>
      <c r="T7" s="21">
        <f t="shared" si="4"/>
        <v>23800</v>
      </c>
      <c r="U7" s="53">
        <f>IF($J7="","",ROUND(($J7-$J$3)/1000,1)+(_xlfn.RANK.AVG($J7,($J7,$O7,$T7),1)-2)*10)</f>
        <v>29.9</v>
      </c>
      <c r="V7" s="54">
        <f>IF($O7="","",ROUND(($O7-$O$3)/1000,1)+(_xlfn.RANK.AVG($O7,($J7,$O7,$T7),1)-2)*10)</f>
        <v>-8.6999999999999993</v>
      </c>
      <c r="W7" s="55">
        <f>IF($T7="","",ROUND(($T7-$T$3)/1000,1)+(_xlfn.RANK.AVG($T7,($J7,$O7,$T7),1)-2)*10)</f>
        <v>-21.2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202</v>
      </c>
      <c r="AF7" s="41" t="s">
        <v>82</v>
      </c>
      <c r="AG7" s="41" t="s">
        <v>79</v>
      </c>
      <c r="AH7" s="41" t="s">
        <v>203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211</v>
      </c>
      <c r="F8" s="8" t="s">
        <v>196</v>
      </c>
      <c r="G8" s="9">
        <v>3000</v>
      </c>
      <c r="H8" s="9"/>
      <c r="I8" s="48">
        <v>0</v>
      </c>
      <c r="J8" s="21">
        <f t="shared" si="2"/>
        <v>57900</v>
      </c>
      <c r="K8" s="8" t="s">
        <v>197</v>
      </c>
      <c r="L8" s="9">
        <v>-1500</v>
      </c>
      <c r="M8" s="9"/>
      <c r="N8" s="48">
        <v>0</v>
      </c>
      <c r="O8" s="21">
        <f t="shared" si="3"/>
        <v>24800</v>
      </c>
      <c r="P8" s="8" t="s">
        <v>197</v>
      </c>
      <c r="Q8" s="9">
        <v>-1500</v>
      </c>
      <c r="R8" s="9"/>
      <c r="S8" s="48">
        <v>0</v>
      </c>
      <c r="T8" s="21">
        <f t="shared" si="4"/>
        <v>22300</v>
      </c>
      <c r="U8" s="53">
        <f>IF($J8="","",ROUND(($J8-$J$3)/1000,1)+(_xlfn.RANK.AVG($J8,($J8,$O8,$T8),1)-2)*10)</f>
        <v>32.9</v>
      </c>
      <c r="V8" s="54">
        <f>IF($O8="","",ROUND(($O8-$O$3)/1000,1)+(_xlfn.RANK.AVG($O8,($J8,$O8,$T8),1)-2)*10)</f>
        <v>-10.199999999999999</v>
      </c>
      <c r="W8" s="55">
        <f>IF($T8="","",ROUND(($T8-$T$3)/1000,1)+(_xlfn.RANK.AVG($T8,($J8,$O8,$T8),1)-2)*10)</f>
        <v>-22.7</v>
      </c>
      <c r="Y8" s="8"/>
      <c r="Z8" s="34"/>
      <c r="AA8" s="26">
        <v>1</v>
      </c>
      <c r="AB8" s="26"/>
      <c r="AC8" s="26">
        <v>2</v>
      </c>
      <c r="AD8" s="30">
        <v>30</v>
      </c>
      <c r="AE8" s="40" t="s">
        <v>82</v>
      </c>
      <c r="AF8" s="41" t="s">
        <v>85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211</v>
      </c>
      <c r="F9" s="8"/>
      <c r="G9" s="9"/>
      <c r="H9" s="9"/>
      <c r="I9" s="48"/>
      <c r="J9" s="21">
        <f t="shared" si="2"/>
        <v>57900</v>
      </c>
      <c r="K9" s="8" t="s">
        <v>201</v>
      </c>
      <c r="L9" s="9">
        <v>8000</v>
      </c>
      <c r="M9" s="9"/>
      <c r="N9" s="48">
        <v>1000</v>
      </c>
      <c r="O9" s="21">
        <f t="shared" si="3"/>
        <v>33800</v>
      </c>
      <c r="P9" s="8" t="s">
        <v>200</v>
      </c>
      <c r="Q9" s="9">
        <v>-8000</v>
      </c>
      <c r="R9" s="9"/>
      <c r="S9" s="48">
        <v>-1000</v>
      </c>
      <c r="T9" s="21">
        <f t="shared" si="4"/>
        <v>13300</v>
      </c>
      <c r="U9" s="53">
        <f>IF($J9="","",ROUND(($J9-$J$3)/1000,1)+(_xlfn.RANK.AVG($J9,($J9,$O9,$T9),1)-2)*10)</f>
        <v>32.9</v>
      </c>
      <c r="V9" s="54">
        <f>IF($O9="","",ROUND(($O9-$O$3)/1000,1)+(_xlfn.RANK.AVG($O9,($J9,$O9,$T9),1)-2)*10)</f>
        <v>-1.2</v>
      </c>
      <c r="W9" s="55">
        <f>IF($T9="","",ROUND(($T9-$T$3)/1000,1)+(_xlfn.RANK.AVG($T9,($J9,$O9,$T9),1)-2)*10)</f>
        <v>-31.7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40</v>
      </c>
      <c r="AZ9" s="40" t="s">
        <v>202</v>
      </c>
      <c r="BA9" s="41" t="s">
        <v>84</v>
      </c>
      <c r="BB9" s="41" t="s">
        <v>79</v>
      </c>
      <c r="BC9" s="41" t="s">
        <v>203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201</v>
      </c>
      <c r="G10" s="9">
        <v>8000</v>
      </c>
      <c r="H10" s="9"/>
      <c r="I10" s="48">
        <v>0</v>
      </c>
      <c r="J10" s="21">
        <f t="shared" si="2"/>
        <v>65900</v>
      </c>
      <c r="K10" s="8" t="s">
        <v>200</v>
      </c>
      <c r="L10" s="9">
        <v>-8000</v>
      </c>
      <c r="M10" s="9"/>
      <c r="N10" s="48">
        <v>0</v>
      </c>
      <c r="O10" s="21">
        <f t="shared" si="3"/>
        <v>25800</v>
      </c>
      <c r="P10" s="8"/>
      <c r="Q10" s="9"/>
      <c r="R10" s="9"/>
      <c r="S10" s="48"/>
      <c r="T10" s="21">
        <f t="shared" si="4"/>
        <v>13300</v>
      </c>
      <c r="U10" s="53">
        <f>IF($J10="","",ROUND(($J10-$J$3)/1000,1)+(_xlfn.RANK.AVG($J10,($J10,$O10,$T10),1)-2)*10)</f>
        <v>40.9</v>
      </c>
      <c r="V10" s="54">
        <f>IF($O10="","",ROUND(($O10-$O$3)/1000,1)+(_xlfn.RANK.AVG($O10,($J10,$O10,$T10),1)-2)*10)</f>
        <v>-9.1999999999999993</v>
      </c>
      <c r="W10" s="55">
        <f>IF($T10="","",ROUND(($T10-$T$3)/1000,1)+(_xlfn.RANK.AVG($T10,($J10,$O10,$T10),1)-2)*10)</f>
        <v>-31.7</v>
      </c>
      <c r="Y10" s="8"/>
      <c r="Z10" s="34"/>
      <c r="AA10" s="26"/>
      <c r="AB10" s="26">
        <v>1</v>
      </c>
      <c r="AC10" s="26">
        <v>4</v>
      </c>
      <c r="AD10" s="30">
        <v>40</v>
      </c>
      <c r="AE10" s="40" t="s">
        <v>86</v>
      </c>
      <c r="AF10" s="41" t="s">
        <v>86</v>
      </c>
      <c r="AG10" s="41" t="s">
        <v>98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showInputMessage="1" showErrorMessage="1" sqref="K4:K30 P4:P30 F4:F30" xr:uid="{4715B2A4-7E69-4114-B890-0722B174EF7D}">
      <formula1>"ロン,ツモ,放銃,ツモ支払,流局,チョンボ"</formula1>
    </dataValidation>
    <dataValidation type="list" allowBlank="1" showInputMessage="1" showErrorMessage="1" sqref="E4:E30" xr:uid="{A3997655-1ECB-475E-A45C-B09600865586}">
      <formula1>$U$2:$W$2</formula1>
    </dataValidation>
    <dataValidation type="list" allowBlank="1" showInputMessage="1" sqref="F1:T1" xr:uid="{F5763677-FA28-4B9F-8DAA-CC855EAC3D41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DD93B-E40B-4471-96E1-7D52EA161A64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205</v>
      </c>
      <c r="G1" s="79"/>
      <c r="H1" s="79"/>
      <c r="I1" s="80"/>
      <c r="J1" s="81"/>
      <c r="K1" s="78" t="s">
        <v>211</v>
      </c>
      <c r="L1" s="79"/>
      <c r="M1" s="79"/>
      <c r="N1" s="80"/>
      <c r="O1" s="81"/>
      <c r="P1" s="78" t="s">
        <v>204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ぱぱ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りくと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ぱぱ</v>
      </c>
      <c r="V2" s="75" t="str">
        <f>$K$1</f>
        <v>れんたろう</v>
      </c>
      <c r="W2" s="16" t="str">
        <f>$P$1</f>
        <v>りくと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205</v>
      </c>
      <c r="F4" s="8" t="s">
        <v>200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 t="s">
        <v>201</v>
      </c>
      <c r="L4" s="9">
        <v>8000</v>
      </c>
      <c r="M4" s="9">
        <v>1000</v>
      </c>
      <c r="N4" s="48">
        <v>0</v>
      </c>
      <c r="O4" s="21">
        <f>IF(COUNTA($F4,$K4,$P4)&gt;0,O3+SUM(L4:N4),"")</f>
        <v>44000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-18</v>
      </c>
      <c r="V4" s="54">
        <f>IF($O4="","",ROUND(($O4-$O$3)/1000,1)+(_xlfn.RANK.AVG($O4,($J4,$O4,$T4),1)-2)*10)</f>
        <v>19</v>
      </c>
      <c r="W4" s="55">
        <f>IF($T4="","",ROUND(($T4-$T$3)/1000,1)+(_xlfn.RANK.AVG($T4,($J4,$O4,$T4),1)-2)*10)</f>
        <v>-1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5</v>
      </c>
      <c r="AY4" s="30" t="s">
        <v>198</v>
      </c>
      <c r="AZ4" s="40" t="s">
        <v>104</v>
      </c>
      <c r="BA4" s="41" t="s">
        <v>79</v>
      </c>
      <c r="BB4" s="41" t="s">
        <v>79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211</v>
      </c>
      <c r="F5" s="8" t="s">
        <v>200</v>
      </c>
      <c r="G5" s="9">
        <v>-5800</v>
      </c>
      <c r="H5" s="9"/>
      <c r="I5" s="48">
        <v>0</v>
      </c>
      <c r="J5" s="21">
        <f t="shared" ref="J5:J30" si="2">IF(COUNTA($F5,$K5,$P5)&gt;0,J4+SUM(G5:I5),"")</f>
        <v>21200</v>
      </c>
      <c r="K5" s="8" t="s">
        <v>201</v>
      </c>
      <c r="L5" s="9">
        <v>5800</v>
      </c>
      <c r="M5" s="9"/>
      <c r="N5" s="48">
        <v>0</v>
      </c>
      <c r="O5" s="21">
        <f t="shared" ref="O5:O30" si="3">IF(COUNTA($F5,$K5,$P5)&gt;0,O4+SUM(L5:N5),"")</f>
        <v>49800</v>
      </c>
      <c r="P5" s="8"/>
      <c r="Q5" s="9"/>
      <c r="R5" s="9"/>
      <c r="S5" s="48"/>
      <c r="T5" s="21">
        <f t="shared" ref="T5:T30" si="4">IF(COUNTA($F5,$K5,$P5)&gt;0,T4+SUM(Q5:S5),"")</f>
        <v>34000</v>
      </c>
      <c r="U5" s="53">
        <f>IF($J5="","",ROUND(($J5-$J$3)/1000,1)+(_xlfn.RANK.AVG($J5,($J5,$O5,$T5),1)-2)*10)</f>
        <v>-23.8</v>
      </c>
      <c r="V5" s="54">
        <f>IF($O5="","",ROUND(($O5-$O$3)/1000,1)+(_xlfn.RANK.AVG($O5,($J5,$O5,$T5),1)-2)*10)</f>
        <v>24.8</v>
      </c>
      <c r="W5" s="55">
        <f>IF($T5="","",ROUND(($T5-$T$3)/1000,1)+(_xlfn.RANK.AVG($T5,($J5,$O5,$T5),1)-2)*10)</f>
        <v>-1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30</v>
      </c>
      <c r="AZ5" s="40" t="s">
        <v>202</v>
      </c>
      <c r="BA5" s="41" t="s">
        <v>83</v>
      </c>
      <c r="BB5" s="41" t="s">
        <v>80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211</v>
      </c>
      <c r="F6" s="8"/>
      <c r="G6" s="9"/>
      <c r="H6" s="9"/>
      <c r="I6" s="48"/>
      <c r="J6" s="21">
        <f t="shared" si="2"/>
        <v>21200</v>
      </c>
      <c r="K6" s="8" t="s">
        <v>200</v>
      </c>
      <c r="L6" s="9">
        <v>-3900</v>
      </c>
      <c r="M6" s="9"/>
      <c r="N6" s="48">
        <v>-1000</v>
      </c>
      <c r="O6" s="21">
        <f t="shared" si="3"/>
        <v>44900</v>
      </c>
      <c r="P6" s="8" t="s">
        <v>201</v>
      </c>
      <c r="Q6" s="9">
        <v>3900</v>
      </c>
      <c r="R6" s="9"/>
      <c r="S6" s="48">
        <v>1000</v>
      </c>
      <c r="T6" s="21">
        <f t="shared" si="4"/>
        <v>38900</v>
      </c>
      <c r="U6" s="53">
        <f>IF($J6="","",ROUND(($J6-$J$3)/1000,1)+(_xlfn.RANK.AVG($J6,($J6,$O6,$T6),1)-2)*10)</f>
        <v>-23.8</v>
      </c>
      <c r="V6" s="54">
        <f>IF($O6="","",ROUND(($O6-$O$3)/1000,1)+(_xlfn.RANK.AVG($O6,($J6,$O6,$T6),1)-2)*10)</f>
        <v>19.899999999999999</v>
      </c>
      <c r="W6" s="55">
        <f>IF($T6="","",ROUND(($T6-$T$3)/1000,1)+(_xlfn.RANK.AVG($T6,($J6,$O6,$T6),1)-2)*10)</f>
        <v>3.9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79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204</v>
      </c>
      <c r="F7" s="8" t="s">
        <v>197</v>
      </c>
      <c r="G7" s="9">
        <v>-3000</v>
      </c>
      <c r="H7" s="9"/>
      <c r="I7" s="48">
        <v>0</v>
      </c>
      <c r="J7" s="21">
        <f t="shared" si="2"/>
        <v>18200</v>
      </c>
      <c r="K7" s="8" t="s">
        <v>197</v>
      </c>
      <c r="L7" s="9">
        <v>-3000</v>
      </c>
      <c r="M7" s="9"/>
      <c r="N7" s="48">
        <v>0</v>
      </c>
      <c r="O7" s="21">
        <f t="shared" si="3"/>
        <v>41900</v>
      </c>
      <c r="P7" s="8" t="s">
        <v>196</v>
      </c>
      <c r="Q7" s="9">
        <v>6000</v>
      </c>
      <c r="R7" s="9"/>
      <c r="S7" s="48">
        <v>0</v>
      </c>
      <c r="T7" s="21">
        <f t="shared" si="4"/>
        <v>44900</v>
      </c>
      <c r="U7" s="53">
        <f>IF($J7="","",ROUND(($J7-$J$3)/1000,1)+(_xlfn.RANK.AVG($J7,($J7,$O7,$T7),1)-2)*10)</f>
        <v>-26.8</v>
      </c>
      <c r="V7" s="54">
        <f>IF($O7="","",ROUND(($O7-$O$3)/1000,1)+(_xlfn.RANK.AVG($O7,($J7,$O7,$T7),1)-2)*10)</f>
        <v>6.9</v>
      </c>
      <c r="W7" s="55">
        <f>IF($T7="","",ROUND(($T7-$T$3)/1000,1)+(_xlfn.RANK.AVG($T7,($J7,$O7,$T7),1)-2)*10)</f>
        <v>19.899999999999999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30</v>
      </c>
      <c r="BU7" s="40" t="s">
        <v>202</v>
      </c>
      <c r="BV7" s="41" t="s">
        <v>82</v>
      </c>
      <c r="BW7" s="41" t="s">
        <v>203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204</v>
      </c>
      <c r="F8" s="8" t="s">
        <v>209</v>
      </c>
      <c r="G8" s="9">
        <v>1500</v>
      </c>
      <c r="H8" s="9"/>
      <c r="I8" s="48"/>
      <c r="J8" s="21">
        <f t="shared" si="2"/>
        <v>19700</v>
      </c>
      <c r="K8" s="8" t="s">
        <v>209</v>
      </c>
      <c r="L8" s="9">
        <v>1500</v>
      </c>
      <c r="M8" s="9">
        <v>-1000</v>
      </c>
      <c r="N8" s="48"/>
      <c r="O8" s="21">
        <f t="shared" si="3"/>
        <v>42400</v>
      </c>
      <c r="P8" s="8" t="s">
        <v>209</v>
      </c>
      <c r="Q8" s="9">
        <v>-3000</v>
      </c>
      <c r="R8" s="9"/>
      <c r="S8" s="48"/>
      <c r="T8" s="21">
        <f t="shared" si="4"/>
        <v>41900</v>
      </c>
      <c r="U8" s="53">
        <f>IF($J8="","",ROUND(($J8-$J$3)/1000,1)+(_xlfn.RANK.AVG($J8,($J8,$O8,$T8),1)-2)*10)</f>
        <v>-25.3</v>
      </c>
      <c r="V8" s="54">
        <f>IF($O8="","",ROUND(($O8-$O$3)/1000,1)+(_xlfn.RANK.AVG($O8,($J8,$O8,$T8),1)-2)*10)</f>
        <v>17.399999999999999</v>
      </c>
      <c r="W8" s="55">
        <f>IF($T8="","",ROUND(($T8-$T$3)/1000,1)+(_xlfn.RANK.AVG($T8,($J8,$O8,$T8),1)-2)*10)</f>
        <v>6.9</v>
      </c>
      <c r="Y8" s="8" t="s">
        <v>208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208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207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1</v>
      </c>
      <c r="E9" s="4" t="s">
        <v>205</v>
      </c>
      <c r="F9" s="8" t="s">
        <v>201</v>
      </c>
      <c r="G9" s="9">
        <v>2900</v>
      </c>
      <c r="H9" s="9">
        <v>1000</v>
      </c>
      <c r="I9" s="48">
        <v>2000</v>
      </c>
      <c r="J9" s="21">
        <f t="shared" si="2"/>
        <v>25600</v>
      </c>
      <c r="K9" s="8" t="s">
        <v>200</v>
      </c>
      <c r="L9" s="9">
        <v>-2900</v>
      </c>
      <c r="M9" s="9"/>
      <c r="N9" s="48">
        <v>-2000</v>
      </c>
      <c r="O9" s="21">
        <f t="shared" si="3"/>
        <v>37500</v>
      </c>
      <c r="P9" s="8"/>
      <c r="Q9" s="9"/>
      <c r="R9" s="9"/>
      <c r="S9" s="48"/>
      <c r="T9" s="21">
        <f t="shared" si="4"/>
        <v>41900</v>
      </c>
      <c r="U9" s="53">
        <f>IF($J9="","",ROUND(($J9-$J$3)/1000,1)+(_xlfn.RANK.AVG($J9,($J9,$O9,$T9),1)-2)*10)</f>
        <v>-19.399999999999999</v>
      </c>
      <c r="V9" s="54">
        <f>IF($O9="","",ROUND(($O9-$O$3)/1000,1)+(_xlfn.RANK.AVG($O9,($J9,$O9,$T9),1)-2)*10)</f>
        <v>2.5</v>
      </c>
      <c r="W9" s="55">
        <f>IF($T9="","",ROUND(($T9-$T$3)/1000,1)+(_xlfn.RANK.AVG($T9,($J9,$O9,$T9),1)-2)*10)</f>
        <v>16.899999999999999</v>
      </c>
      <c r="Y9" s="8"/>
      <c r="Z9" s="34"/>
      <c r="AA9" s="26"/>
      <c r="AB9" s="26">
        <v>1</v>
      </c>
      <c r="AC9" s="26">
        <v>2</v>
      </c>
      <c r="AD9" s="30">
        <v>30</v>
      </c>
      <c r="AE9" s="40" t="s">
        <v>86</v>
      </c>
      <c r="AF9" s="41" t="s">
        <v>86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">
        <v>205</v>
      </c>
      <c r="F10" s="8" t="s">
        <v>201</v>
      </c>
      <c r="G10" s="9">
        <v>2000</v>
      </c>
      <c r="H10" s="9">
        <v>1000</v>
      </c>
      <c r="I10" s="48">
        <v>3000</v>
      </c>
      <c r="J10" s="21">
        <f t="shared" si="2"/>
        <v>31600</v>
      </c>
      <c r="K10" s="8" t="s">
        <v>200</v>
      </c>
      <c r="L10" s="9">
        <v>-2000</v>
      </c>
      <c r="M10" s="9">
        <v>-1000</v>
      </c>
      <c r="N10" s="48">
        <v>-3000</v>
      </c>
      <c r="O10" s="21">
        <f t="shared" si="3"/>
        <v>31500</v>
      </c>
      <c r="P10" s="8"/>
      <c r="Q10" s="9"/>
      <c r="R10" s="9"/>
      <c r="S10" s="48"/>
      <c r="T10" s="21">
        <f t="shared" si="4"/>
        <v>41900</v>
      </c>
      <c r="U10" s="53">
        <f>IF($J10="","",ROUND(($J10-$J$3)/1000,1)+(_xlfn.RANK.AVG($J10,($J10,$O10,$T10),1)-2)*10)</f>
        <v>-3.4</v>
      </c>
      <c r="V10" s="54">
        <f>IF($O10="","",ROUND(($O10-$O$3)/1000,1)+(_xlfn.RANK.AVG($O10,($J10,$O10,$T10),1)-2)*10)</f>
        <v>-13.5</v>
      </c>
      <c r="W10" s="55">
        <f>IF($T10="","",ROUND(($T10-$T$3)/1000,1)+(_xlfn.RANK.AVG($T10,($J10,$O10,$T10),1)-2)*10)</f>
        <v>16.899999999999999</v>
      </c>
      <c r="Y10" s="8"/>
      <c r="Z10" s="34"/>
      <c r="AA10" s="26">
        <v>1</v>
      </c>
      <c r="AB10" s="26"/>
      <c r="AC10" s="26">
        <v>1</v>
      </c>
      <c r="AD10" s="30">
        <v>40</v>
      </c>
      <c r="AE10" s="40" t="s">
        <v>202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4</v>
      </c>
      <c r="D11" s="18">
        <f t="shared" si="1"/>
        <v>0</v>
      </c>
      <c r="E11" s="4" t="s">
        <v>205</v>
      </c>
      <c r="F11" s="8"/>
      <c r="G11" s="9"/>
      <c r="H11" s="9"/>
      <c r="I11" s="48"/>
      <c r="J11" s="21">
        <f t="shared" si="2"/>
        <v>31600</v>
      </c>
      <c r="K11" s="8" t="s">
        <v>201</v>
      </c>
      <c r="L11" s="9">
        <v>8000</v>
      </c>
      <c r="M11" s="9">
        <v>1000</v>
      </c>
      <c r="N11" s="48">
        <v>4000</v>
      </c>
      <c r="O11" s="21">
        <f t="shared" si="3"/>
        <v>44500</v>
      </c>
      <c r="P11" s="8" t="s">
        <v>200</v>
      </c>
      <c r="Q11" s="9">
        <v>-8000</v>
      </c>
      <c r="R11" s="9">
        <v>-1000</v>
      </c>
      <c r="S11" s="48">
        <v>-4000</v>
      </c>
      <c r="T11" s="21">
        <f t="shared" si="4"/>
        <v>28900</v>
      </c>
      <c r="U11" s="53">
        <f>IF($J11="","",ROUND(($J11-$J$3)/1000,1)+(_xlfn.RANK.AVG($J11,($J11,$O11,$T11),1)-2)*10)</f>
        <v>-3.4</v>
      </c>
      <c r="V11" s="54">
        <f>IF($O11="","",ROUND(($O11-$O$3)/1000,1)+(_xlfn.RANK.AVG($O11,($J11,$O11,$T11),1)-2)*10)</f>
        <v>19.5</v>
      </c>
      <c r="W11" s="55">
        <f>IF($T11="","",ROUND(($T11-$T$3)/1000,1)+(_xlfn.RANK.AVG($T11,($J11,$O11,$T11),1)-2)*10)</f>
        <v>-16.100000000000001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5</v>
      </c>
      <c r="AY11" s="30" t="s">
        <v>198</v>
      </c>
      <c r="AZ11" s="40" t="s">
        <v>202</v>
      </c>
      <c r="BA11" s="41" t="s">
        <v>92</v>
      </c>
      <c r="BB11" s="41" t="s">
        <v>83</v>
      </c>
      <c r="BC11" s="41" t="s">
        <v>206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211</v>
      </c>
      <c r="F12" s="8" t="s">
        <v>196</v>
      </c>
      <c r="G12" s="9">
        <v>12000</v>
      </c>
      <c r="H12" s="9"/>
      <c r="I12" s="48">
        <v>0</v>
      </c>
      <c r="J12" s="21">
        <f t="shared" si="2"/>
        <v>43600</v>
      </c>
      <c r="K12" s="8" t="s">
        <v>197</v>
      </c>
      <c r="L12" s="9">
        <v>-7500</v>
      </c>
      <c r="M12" s="9"/>
      <c r="N12" s="48">
        <v>0</v>
      </c>
      <c r="O12" s="21">
        <f t="shared" si="3"/>
        <v>37000</v>
      </c>
      <c r="P12" s="8" t="s">
        <v>197</v>
      </c>
      <c r="Q12" s="9">
        <v>-4500</v>
      </c>
      <c r="R12" s="9"/>
      <c r="S12" s="48">
        <v>0</v>
      </c>
      <c r="T12" s="21">
        <f t="shared" si="4"/>
        <v>24400</v>
      </c>
      <c r="U12" s="53">
        <f>IF($J12="","",ROUND(($J12-$J$3)/1000,1)+(_xlfn.RANK.AVG($J12,($J12,$O12,$T12),1)-2)*10)</f>
        <v>18.600000000000001</v>
      </c>
      <c r="V12" s="54">
        <f>IF($O12="","",ROUND(($O12-$O$3)/1000,1)+(_xlfn.RANK.AVG($O12,($J12,$O12,$T12),1)-2)*10)</f>
        <v>2</v>
      </c>
      <c r="W12" s="55">
        <f>IF($T12="","",ROUND(($T12-$T$3)/1000,1)+(_xlfn.RANK.AVG($T12,($J12,$O12,$T12),1)-2)*10)</f>
        <v>-20.6</v>
      </c>
      <c r="Y12" s="8"/>
      <c r="Z12" s="34"/>
      <c r="AA12" s="26">
        <v>1</v>
      </c>
      <c r="AB12" s="26"/>
      <c r="AC12" s="26">
        <v>6</v>
      </c>
      <c r="AD12" s="30" t="s">
        <v>198</v>
      </c>
      <c r="AE12" s="40" t="s">
        <v>202</v>
      </c>
      <c r="AF12" s="41" t="s">
        <v>82</v>
      </c>
      <c r="AG12" s="41" t="s">
        <v>85</v>
      </c>
      <c r="AH12" s="41" t="s">
        <v>206</v>
      </c>
      <c r="AI12" s="41" t="s">
        <v>79</v>
      </c>
      <c r="AJ12" s="41" t="s">
        <v>80</v>
      </c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204</v>
      </c>
      <c r="F13" s="8" t="s">
        <v>197</v>
      </c>
      <c r="G13" s="9">
        <v>-9000</v>
      </c>
      <c r="H13" s="9">
        <v>-1000</v>
      </c>
      <c r="I13" s="48">
        <v>0</v>
      </c>
      <c r="J13" s="21">
        <f t="shared" si="2"/>
        <v>33600</v>
      </c>
      <c r="K13" s="8" t="s">
        <v>197</v>
      </c>
      <c r="L13" s="9">
        <v>-9000</v>
      </c>
      <c r="M13" s="9"/>
      <c r="N13" s="48">
        <v>0</v>
      </c>
      <c r="O13" s="21">
        <f t="shared" si="3"/>
        <v>28000</v>
      </c>
      <c r="P13" s="8" t="s">
        <v>196</v>
      </c>
      <c r="Q13" s="9">
        <v>18000</v>
      </c>
      <c r="R13" s="9">
        <v>1000</v>
      </c>
      <c r="S13" s="48">
        <v>0</v>
      </c>
      <c r="T13" s="21">
        <f t="shared" si="4"/>
        <v>43400</v>
      </c>
      <c r="U13" s="53">
        <f>IF($J13="","",ROUND(($J13-$J$3)/1000,1)+(_xlfn.RANK.AVG($J13,($J13,$O13,$T13),1)-2)*10)</f>
        <v>-1.4</v>
      </c>
      <c r="V13" s="54">
        <f>IF($O13="","",ROUND(($O13-$O$3)/1000,1)+(_xlfn.RANK.AVG($O13,($J13,$O13,$T13),1)-2)*10)</f>
        <v>-17</v>
      </c>
      <c r="W13" s="55">
        <f>IF($T13="","",ROUND(($T13-$T$3)/1000,1)+(_xlfn.RANK.AVG($T13,($J13,$O13,$T13),1)-2)*10)</f>
        <v>18.399999999999999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7</v>
      </c>
      <c r="BT13" s="30" t="s">
        <v>198</v>
      </c>
      <c r="BU13" s="40" t="s">
        <v>202</v>
      </c>
      <c r="BV13" s="41" t="s">
        <v>82</v>
      </c>
      <c r="BW13" s="41" t="s">
        <v>83</v>
      </c>
      <c r="BX13" s="41" t="s">
        <v>84</v>
      </c>
      <c r="BY13" s="41" t="s">
        <v>203</v>
      </c>
      <c r="BZ13" s="41" t="s">
        <v>80</v>
      </c>
      <c r="CA13" s="41" t="s">
        <v>80</v>
      </c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F0B06D6F-B132-4A85-BDCE-F1ABFAB9A81B}">
      <formula1>"たかの,だいち,ただ,りくと,れんたろう,まっつん,のり,ぱぱ,ほたに,"</formula1>
    </dataValidation>
    <dataValidation type="list" allowBlank="1" showInputMessage="1" showErrorMessage="1" sqref="E4:E30" xr:uid="{065507EB-17C9-4222-99B2-E909E86BA43A}">
      <formula1>$U$2:$W$2</formula1>
    </dataValidation>
    <dataValidation type="list" showInputMessage="1" showErrorMessage="1" sqref="K4:K30 P4:P30 F4:F30" xr:uid="{38E7EF5B-7AAD-4035-B15B-CAFC5FD978D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D52C0-F7E6-46BA-8D06-F2FB275467AC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213</v>
      </c>
      <c r="G1" s="79"/>
      <c r="H1" s="79"/>
      <c r="I1" s="80"/>
      <c r="J1" s="81"/>
      <c r="K1" s="78" t="s">
        <v>215</v>
      </c>
      <c r="L1" s="79"/>
      <c r="M1" s="79"/>
      <c r="N1" s="80"/>
      <c r="O1" s="81"/>
      <c r="P1" s="78" t="s">
        <v>214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ぱぱ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たかの</v>
      </c>
      <c r="V2" s="75" t="str">
        <f>$K$1</f>
        <v>ぱぱ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205</v>
      </c>
      <c r="F4" s="8" t="s">
        <v>196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 t="s">
        <v>197</v>
      </c>
      <c r="L4" s="9">
        <v>-5000</v>
      </c>
      <c r="M4" s="9"/>
      <c r="N4" s="48">
        <v>0</v>
      </c>
      <c r="O4" s="21">
        <f>IF(COUNTA($F4,$K4,$P4)&gt;0,O3+SUM(L4:N4),"")</f>
        <v>30000</v>
      </c>
      <c r="P4" s="8" t="s">
        <v>197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18</v>
      </c>
      <c r="V4" s="54">
        <f>IF($O4="","",ROUND(($O4-$O$3)/1000,1)+(_xlfn.RANK.AVG($O4,($J4,$O4,$T4),1)-2)*10)</f>
        <v>-15</v>
      </c>
      <c r="W4" s="55">
        <f>IF($T4="","",ROUND(($T4-$T$3)/1000,1)+(_xlfn.RANK.AVG($T4,($J4,$O4,$T4),1)-2)*10)</f>
        <v>-3</v>
      </c>
      <c r="Y4" s="8"/>
      <c r="Z4" s="34"/>
      <c r="AA4" s="26">
        <v>1</v>
      </c>
      <c r="AB4" s="26"/>
      <c r="AC4" s="26">
        <v>5</v>
      </c>
      <c r="AD4" s="30" t="s">
        <v>198</v>
      </c>
      <c r="AE4" s="40" t="s">
        <v>202</v>
      </c>
      <c r="AF4" s="41" t="s">
        <v>82</v>
      </c>
      <c r="AG4" s="41" t="s">
        <v>79</v>
      </c>
      <c r="AH4" s="41" t="s">
        <v>96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209</v>
      </c>
      <c r="G5" s="9">
        <v>-3000</v>
      </c>
      <c r="H5" s="9"/>
      <c r="I5" s="48"/>
      <c r="J5" s="21">
        <f t="shared" ref="J5:J30" si="2">IF(COUNTA($F5,$K5,$P5)&gt;0,J4+SUM(G5:I5),"")</f>
        <v>40000</v>
      </c>
      <c r="K5" s="8" t="s">
        <v>209</v>
      </c>
      <c r="L5" s="9">
        <v>1500</v>
      </c>
      <c r="M5" s="9"/>
      <c r="N5" s="48"/>
      <c r="O5" s="21">
        <f t="shared" ref="O5:O30" si="3">IF(COUNTA($F5,$K5,$P5)&gt;0,O4+SUM(L5:N5),"")</f>
        <v>31500</v>
      </c>
      <c r="P5" s="8" t="s">
        <v>209</v>
      </c>
      <c r="Q5" s="9">
        <v>1500</v>
      </c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15</v>
      </c>
      <c r="V5" s="54">
        <f>IF($O5="","",ROUND(($O5-$O$3)/1000,1)+(_xlfn.RANK.AVG($O5,($J5,$O5,$T5),1)-2)*10)</f>
        <v>-13.5</v>
      </c>
      <c r="W5" s="55">
        <f>IF($T5="","",ROUND(($T5-$T$3)/1000,1)+(_xlfn.RANK.AVG($T5,($J5,$O5,$T5),1)-2)*10)</f>
        <v>-1.5</v>
      </c>
      <c r="Y5" s="8" t="s">
        <v>207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208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208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197</v>
      </c>
      <c r="G6" s="9">
        <v>-1100</v>
      </c>
      <c r="H6" s="9"/>
      <c r="I6" s="48">
        <v>-500</v>
      </c>
      <c r="J6" s="21">
        <f t="shared" si="2"/>
        <v>38400</v>
      </c>
      <c r="K6" s="8" t="s">
        <v>197</v>
      </c>
      <c r="L6" s="9">
        <v>-1100</v>
      </c>
      <c r="M6" s="9">
        <v>-1000</v>
      </c>
      <c r="N6" s="48">
        <v>-500</v>
      </c>
      <c r="O6" s="21">
        <f t="shared" si="3"/>
        <v>28900</v>
      </c>
      <c r="P6" s="8" t="s">
        <v>196</v>
      </c>
      <c r="Q6" s="9">
        <v>2200</v>
      </c>
      <c r="R6" s="9">
        <v>1000</v>
      </c>
      <c r="S6" s="48">
        <v>1000</v>
      </c>
      <c r="T6" s="21">
        <f t="shared" si="4"/>
        <v>37700</v>
      </c>
      <c r="U6" s="53">
        <f>IF($J6="","",ROUND(($J6-$J$3)/1000,1)+(_xlfn.RANK.AVG($J6,($J6,$O6,$T6),1)-2)*10)</f>
        <v>13.4</v>
      </c>
      <c r="V6" s="54">
        <f>IF($O6="","",ROUND(($O6-$O$3)/1000,1)+(_xlfn.RANK.AVG($O6,($J6,$O6,$T6),1)-2)*10)</f>
        <v>-16.100000000000001</v>
      </c>
      <c r="W6" s="55">
        <f>IF($T6="","",ROUND(($T6-$T$3)/1000,1)+(_xlfn.RANK.AVG($T6,($J6,$O6,$T6),1)-2)*10)</f>
        <v>2.7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1</v>
      </c>
      <c r="BT6" s="30">
        <v>40</v>
      </c>
      <c r="BU6" s="40" t="s">
        <v>86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193</v>
      </c>
      <c r="F7" s="8" t="s">
        <v>201</v>
      </c>
      <c r="G7" s="9">
        <v>7700</v>
      </c>
      <c r="H7" s="9"/>
      <c r="I7" s="48">
        <v>2000</v>
      </c>
      <c r="J7" s="21">
        <f t="shared" si="2"/>
        <v>48100</v>
      </c>
      <c r="K7" s="8" t="s">
        <v>200</v>
      </c>
      <c r="L7" s="9">
        <v>-7700</v>
      </c>
      <c r="M7" s="9"/>
      <c r="N7" s="48">
        <v>-2000</v>
      </c>
      <c r="O7" s="21">
        <f t="shared" si="3"/>
        <v>19200</v>
      </c>
      <c r="P7" s="8"/>
      <c r="Q7" s="9"/>
      <c r="R7" s="9"/>
      <c r="S7" s="48"/>
      <c r="T7" s="21">
        <f t="shared" si="4"/>
        <v>37700</v>
      </c>
      <c r="U7" s="53">
        <f>IF($J7="","",ROUND(($J7-$J$3)/1000,1)+(_xlfn.RANK.AVG($J7,($J7,$O7,$T7),1)-2)*10)</f>
        <v>23.1</v>
      </c>
      <c r="V7" s="54">
        <f>IF($O7="","",ROUND(($O7-$O$3)/1000,1)+(_xlfn.RANK.AVG($O7,($J7,$O7,$T7),1)-2)*10)</f>
        <v>-25.8</v>
      </c>
      <c r="W7" s="55">
        <f>IF($T7="","",ROUND(($T7-$T$3)/1000,1)+(_xlfn.RANK.AVG($T7,($J7,$O7,$T7),1)-2)*10)</f>
        <v>2.7</v>
      </c>
      <c r="Y7" s="8"/>
      <c r="Z7" s="34"/>
      <c r="AA7" s="26"/>
      <c r="AB7" s="26">
        <v>1</v>
      </c>
      <c r="AC7" s="26">
        <v>4</v>
      </c>
      <c r="AD7" s="30">
        <v>30</v>
      </c>
      <c r="AE7" s="40" t="s">
        <v>98</v>
      </c>
      <c r="AF7" s="41" t="s">
        <v>203</v>
      </c>
      <c r="AG7" s="41" t="s">
        <v>203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212</v>
      </c>
      <c r="F8" s="8" t="s">
        <v>201</v>
      </c>
      <c r="G8" s="9">
        <v>1500</v>
      </c>
      <c r="H8" s="9"/>
      <c r="I8" s="48">
        <v>0</v>
      </c>
      <c r="J8" s="21">
        <f t="shared" si="2"/>
        <v>49600</v>
      </c>
      <c r="K8" s="8"/>
      <c r="L8" s="9"/>
      <c r="M8" s="9"/>
      <c r="N8" s="48"/>
      <c r="O8" s="21">
        <f t="shared" si="3"/>
        <v>19200</v>
      </c>
      <c r="P8" s="8" t="s">
        <v>200</v>
      </c>
      <c r="Q8" s="9">
        <v>-1500</v>
      </c>
      <c r="R8" s="9"/>
      <c r="S8" s="48">
        <v>0</v>
      </c>
      <c r="T8" s="21">
        <f t="shared" si="4"/>
        <v>36200</v>
      </c>
      <c r="U8" s="53">
        <f>IF($J8="","",ROUND(($J8-$J$3)/1000,1)+(_xlfn.RANK.AVG($J8,($J8,$O8,$T8),1)-2)*10)</f>
        <v>24.6</v>
      </c>
      <c r="V8" s="54">
        <f>IF($O8="","",ROUND(($O8-$O$3)/1000,1)+(_xlfn.RANK.AVG($O8,($J8,$O8,$T8),1)-2)*10)</f>
        <v>-25.8</v>
      </c>
      <c r="W8" s="55">
        <f>IF($T8="","",ROUND(($T8-$T$3)/1000,1)+(_xlfn.RANK.AVG($T8,($J8,$O8,$T8),1)-2)*10)</f>
        <v>1.2</v>
      </c>
      <c r="Y8" s="8"/>
      <c r="Z8" s="34"/>
      <c r="AA8" s="26"/>
      <c r="AB8" s="26">
        <v>1</v>
      </c>
      <c r="AC8" s="26">
        <v>1</v>
      </c>
      <c r="AD8" s="30">
        <v>30</v>
      </c>
      <c r="AE8" s="40" t="s">
        <v>86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212</v>
      </c>
      <c r="F9" s="8" t="s">
        <v>209</v>
      </c>
      <c r="G9" s="9">
        <v>1500</v>
      </c>
      <c r="H9" s="9"/>
      <c r="I9" s="48"/>
      <c r="J9" s="21">
        <f t="shared" si="2"/>
        <v>51100</v>
      </c>
      <c r="K9" s="8" t="s">
        <v>209</v>
      </c>
      <c r="L9" s="9">
        <v>-3000</v>
      </c>
      <c r="M9" s="9"/>
      <c r="N9" s="48"/>
      <c r="O9" s="21">
        <f t="shared" si="3"/>
        <v>16200</v>
      </c>
      <c r="P9" s="8" t="s">
        <v>209</v>
      </c>
      <c r="Q9" s="9">
        <v>1500</v>
      </c>
      <c r="R9" s="9"/>
      <c r="S9" s="48"/>
      <c r="T9" s="21">
        <f t="shared" si="4"/>
        <v>37700</v>
      </c>
      <c r="U9" s="53">
        <f>IF($J9="","",ROUND(($J9-$J$3)/1000,1)+(_xlfn.RANK.AVG($J9,($J9,$O9,$T9),1)-2)*10)</f>
        <v>26.1</v>
      </c>
      <c r="V9" s="54">
        <f>IF($O9="","",ROUND(($O9-$O$3)/1000,1)+(_xlfn.RANK.AVG($O9,($J9,$O9,$T9),1)-2)*10)</f>
        <v>-28.8</v>
      </c>
      <c r="W9" s="55">
        <f>IF($T9="","",ROUND(($T9-$T$3)/1000,1)+(_xlfn.RANK.AVG($T9,($J9,$O9,$T9),1)-2)*10)</f>
        <v>2.7</v>
      </c>
      <c r="Y9" s="8" t="s">
        <v>208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207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208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">
        <v>212</v>
      </c>
      <c r="F10" s="8" t="s">
        <v>196</v>
      </c>
      <c r="G10" s="9">
        <v>7800</v>
      </c>
      <c r="H10" s="9">
        <v>1000</v>
      </c>
      <c r="I10" s="48">
        <v>2000</v>
      </c>
      <c r="J10" s="21">
        <f t="shared" si="2"/>
        <v>61900</v>
      </c>
      <c r="K10" s="8" t="s">
        <v>197</v>
      </c>
      <c r="L10" s="9">
        <v>-3900</v>
      </c>
      <c r="M10" s="9">
        <v>-1000</v>
      </c>
      <c r="N10" s="48">
        <v>-1000</v>
      </c>
      <c r="O10" s="21">
        <f t="shared" si="3"/>
        <v>10300</v>
      </c>
      <c r="P10" s="8" t="s">
        <v>197</v>
      </c>
      <c r="Q10" s="9">
        <v>-3900</v>
      </c>
      <c r="R10" s="9"/>
      <c r="S10" s="48">
        <v>-1000</v>
      </c>
      <c r="T10" s="21">
        <f t="shared" si="4"/>
        <v>32800</v>
      </c>
      <c r="U10" s="53">
        <f>IF($J10="","",ROUND(($J10-$J$3)/1000,1)+(_xlfn.RANK.AVG($J10,($J10,$O10,$T10),1)-2)*10)</f>
        <v>36.9</v>
      </c>
      <c r="V10" s="54">
        <f>IF($O10="","",ROUND(($O10-$O$3)/1000,1)+(_xlfn.RANK.AVG($O10,($J10,$O10,$T10),1)-2)*10)</f>
        <v>-34.700000000000003</v>
      </c>
      <c r="W10" s="55">
        <f>IF($T10="","",ROUND(($T10-$T$3)/1000,1)+(_xlfn.RANK.AVG($T10,($J10,$O10,$T10),1)-2)*10)</f>
        <v>-2.2000000000000002</v>
      </c>
      <c r="Y10" s="8"/>
      <c r="Z10" s="34"/>
      <c r="AA10" s="26"/>
      <c r="AB10" s="26"/>
      <c r="AC10" s="26">
        <v>4</v>
      </c>
      <c r="AD10" s="30">
        <v>20</v>
      </c>
      <c r="AE10" s="40" t="s">
        <v>82</v>
      </c>
      <c r="AF10" s="41" t="s">
        <v>83</v>
      </c>
      <c r="AG10" s="41" t="s">
        <v>79</v>
      </c>
      <c r="AH10" s="41" t="s">
        <v>203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3</v>
      </c>
      <c r="D11" s="18">
        <f t="shared" si="1"/>
        <v>0</v>
      </c>
      <c r="E11" s="4" t="s">
        <v>212</v>
      </c>
      <c r="F11" s="8" t="s">
        <v>197</v>
      </c>
      <c r="G11" s="9">
        <v>-2500</v>
      </c>
      <c r="H11" s="9"/>
      <c r="I11" s="48">
        <v>-1500</v>
      </c>
      <c r="J11" s="21">
        <f t="shared" si="2"/>
        <v>57900</v>
      </c>
      <c r="K11" s="8" t="s">
        <v>196</v>
      </c>
      <c r="L11" s="9">
        <v>4000</v>
      </c>
      <c r="M11" s="9"/>
      <c r="N11" s="48">
        <v>3000</v>
      </c>
      <c r="O11" s="21">
        <f t="shared" si="3"/>
        <v>17300</v>
      </c>
      <c r="P11" s="8" t="s">
        <v>197</v>
      </c>
      <c r="Q11" s="9">
        <v>-1500</v>
      </c>
      <c r="R11" s="9"/>
      <c r="S11" s="48">
        <v>-1500</v>
      </c>
      <c r="T11" s="21">
        <f t="shared" si="4"/>
        <v>29800</v>
      </c>
      <c r="U11" s="53">
        <f>IF($J11="","",ROUND(($J11-$J$3)/1000,1)+(_xlfn.RANK.AVG($J11,($J11,$O11,$T11),1)-2)*10)</f>
        <v>32.9</v>
      </c>
      <c r="V11" s="54">
        <f>IF($O11="","",ROUND(($O11-$O$3)/1000,1)+(_xlfn.RANK.AVG($O11,($J11,$O11,$T11),1)-2)*10)</f>
        <v>-27.7</v>
      </c>
      <c r="W11" s="55">
        <f>IF($T11="","",ROUND(($T11-$T$3)/1000,1)+(_xlfn.RANK.AVG($T11,($J11,$O11,$T11),1)-2)*10)</f>
        <v>-5.2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30</v>
      </c>
      <c r="AZ11" s="40" t="s">
        <v>202</v>
      </c>
      <c r="BA11" s="41" t="s">
        <v>82</v>
      </c>
      <c r="BB11" s="41" t="s">
        <v>80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205</v>
      </c>
      <c r="F12" s="8" t="s">
        <v>197</v>
      </c>
      <c r="G12" s="9">
        <v>-9000</v>
      </c>
      <c r="H12" s="9"/>
      <c r="I12" s="48">
        <v>0</v>
      </c>
      <c r="J12" s="21">
        <f t="shared" si="2"/>
        <v>48900</v>
      </c>
      <c r="K12" s="8" t="s">
        <v>196</v>
      </c>
      <c r="L12" s="9">
        <v>18000</v>
      </c>
      <c r="M12" s="9"/>
      <c r="N12" s="48">
        <v>0</v>
      </c>
      <c r="O12" s="21">
        <f t="shared" si="3"/>
        <v>35300</v>
      </c>
      <c r="P12" s="8" t="s">
        <v>197</v>
      </c>
      <c r="Q12" s="9">
        <v>-9000</v>
      </c>
      <c r="R12" s="9"/>
      <c r="S12" s="48">
        <v>0</v>
      </c>
      <c r="T12" s="21">
        <f t="shared" si="4"/>
        <v>20800</v>
      </c>
      <c r="U12" s="53">
        <f>IF($J12="","",ROUND(($J12-$J$3)/1000,1)+(_xlfn.RANK.AVG($J12,($J12,$O12,$T12),1)-2)*10)</f>
        <v>23.9</v>
      </c>
      <c r="V12" s="54">
        <f>IF($O12="","",ROUND(($O12-$O$3)/1000,1)+(_xlfn.RANK.AVG($O12,($J12,$O12,$T12),1)-2)*10)</f>
        <v>0.3</v>
      </c>
      <c r="W12" s="55">
        <f>IF($T12="","",ROUND(($T12-$T$3)/1000,1)+(_xlfn.RANK.AVG($T12,($J12,$O12,$T12),1)-2)*10)</f>
        <v>-24.2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7</v>
      </c>
      <c r="AY12" s="30" t="s">
        <v>198</v>
      </c>
      <c r="AZ12" s="40" t="s">
        <v>202</v>
      </c>
      <c r="BA12" s="41" t="s">
        <v>82</v>
      </c>
      <c r="BB12" s="41" t="s">
        <v>92</v>
      </c>
      <c r="BC12" s="41" t="s">
        <v>79</v>
      </c>
      <c r="BD12" s="41" t="s">
        <v>80</v>
      </c>
      <c r="BE12" s="41" t="s">
        <v>83</v>
      </c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1</v>
      </c>
      <c r="D13" s="18">
        <f t="shared" si="1"/>
        <v>0</v>
      </c>
      <c r="E13" s="4" t="s">
        <v>205</v>
      </c>
      <c r="F13" s="8" t="s">
        <v>209</v>
      </c>
      <c r="G13" s="9">
        <v>1500</v>
      </c>
      <c r="H13" s="9">
        <v>-1000</v>
      </c>
      <c r="I13" s="48"/>
      <c r="J13" s="21">
        <f t="shared" si="2"/>
        <v>49400</v>
      </c>
      <c r="K13" s="8" t="s">
        <v>209</v>
      </c>
      <c r="L13" s="9">
        <v>1500</v>
      </c>
      <c r="M13" s="9">
        <v>-1000</v>
      </c>
      <c r="N13" s="48"/>
      <c r="O13" s="21">
        <f t="shared" si="3"/>
        <v>35800</v>
      </c>
      <c r="P13" s="8" t="s">
        <v>209</v>
      </c>
      <c r="Q13" s="9">
        <v>-3000</v>
      </c>
      <c r="R13" s="9"/>
      <c r="S13" s="48"/>
      <c r="T13" s="21">
        <f t="shared" si="4"/>
        <v>17800</v>
      </c>
      <c r="U13" s="53">
        <f>IF($J13="","",ROUND(($J13-$J$3)/1000,1)+(_xlfn.RANK.AVG($J13,($J13,$O13,$T13),1)-2)*10)</f>
        <v>24.4</v>
      </c>
      <c r="V13" s="54">
        <f>IF($O13="","",ROUND(($O13-$O$3)/1000,1)+(_xlfn.RANK.AVG($O13,($J13,$O13,$T13),1)-2)*10)</f>
        <v>0.8</v>
      </c>
      <c r="W13" s="55">
        <f>IF($T13="","",ROUND(($T13-$T$3)/1000,1)+(_xlfn.RANK.AVG($T13,($J13,$O13,$T13),1)-2)*10)</f>
        <v>-27.2</v>
      </c>
      <c r="Y13" s="8" t="s">
        <v>208</v>
      </c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208</v>
      </c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207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2</v>
      </c>
      <c r="D14" s="18">
        <f t="shared" si="1"/>
        <v>2</v>
      </c>
      <c r="E14" s="4" t="s">
        <v>205</v>
      </c>
      <c r="F14" s="8" t="s">
        <v>209</v>
      </c>
      <c r="G14" s="9">
        <v>-1500</v>
      </c>
      <c r="H14" s="9"/>
      <c r="I14" s="48"/>
      <c r="J14" s="21">
        <f t="shared" si="2"/>
        <v>47900</v>
      </c>
      <c r="K14" s="8" t="s">
        <v>209</v>
      </c>
      <c r="L14" s="9">
        <v>3000</v>
      </c>
      <c r="M14" s="9">
        <v>-1000</v>
      </c>
      <c r="N14" s="48"/>
      <c r="O14" s="21">
        <f t="shared" si="3"/>
        <v>37800</v>
      </c>
      <c r="P14" s="8" t="s">
        <v>209</v>
      </c>
      <c r="Q14" s="9">
        <v>-1500</v>
      </c>
      <c r="R14" s="9"/>
      <c r="S14" s="48"/>
      <c r="T14" s="21">
        <f t="shared" si="4"/>
        <v>16300</v>
      </c>
      <c r="U14" s="53">
        <f>IF($J14="","",ROUND(($J14-$J$3)/1000,1)+(_xlfn.RANK.AVG($J14,($J14,$O14,$T14),1)-2)*10)</f>
        <v>22.9</v>
      </c>
      <c r="V14" s="54">
        <f>IF($O14="","",ROUND(($O14-$O$3)/1000,1)+(_xlfn.RANK.AVG($O14,($J14,$O14,$T14),1)-2)*10)</f>
        <v>2.8</v>
      </c>
      <c r="W14" s="55">
        <f>IF($T14="","",ROUND(($T14-$T$3)/1000,1)+(_xlfn.RANK.AVG($T14,($J14,$O14,$T14),1)-2)*10)</f>
        <v>-28.7</v>
      </c>
      <c r="Y14" s="8" t="s">
        <v>207</v>
      </c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208</v>
      </c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207</v>
      </c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1</v>
      </c>
      <c r="C15" s="18">
        <f t="shared" si="6"/>
        <v>3</v>
      </c>
      <c r="D15" s="18">
        <f t="shared" si="1"/>
        <v>3</v>
      </c>
      <c r="E15" s="4" t="s">
        <v>205</v>
      </c>
      <c r="F15" s="8"/>
      <c r="G15" s="9"/>
      <c r="H15" s="9"/>
      <c r="I15" s="48"/>
      <c r="J15" s="21">
        <f t="shared" si="2"/>
        <v>47900</v>
      </c>
      <c r="K15" s="8" t="s">
        <v>200</v>
      </c>
      <c r="L15" s="9">
        <v>-12000</v>
      </c>
      <c r="M15" s="9"/>
      <c r="N15" s="48">
        <v>-3000</v>
      </c>
      <c r="O15" s="21">
        <f t="shared" si="3"/>
        <v>22800</v>
      </c>
      <c r="P15" s="8" t="s">
        <v>201</v>
      </c>
      <c r="Q15" s="9">
        <v>12000</v>
      </c>
      <c r="R15" s="9">
        <v>3000</v>
      </c>
      <c r="S15" s="48">
        <v>3000</v>
      </c>
      <c r="T15" s="21">
        <f t="shared" si="4"/>
        <v>34300</v>
      </c>
      <c r="U15" s="53">
        <f>IF($J15="","",ROUND(($J15-$J$3)/1000,1)+(_xlfn.RANK.AVG($J15,($J15,$O15,$T15),1)-2)*10)</f>
        <v>22.9</v>
      </c>
      <c r="V15" s="54">
        <f>IF($O15="","",ROUND(($O15-$O$3)/1000,1)+(_xlfn.RANK.AVG($O15,($J15,$O15,$T15),1)-2)*10)</f>
        <v>-22.2</v>
      </c>
      <c r="W15" s="55">
        <f>IF($T15="","",ROUND(($T15-$T$3)/1000,1)+(_xlfn.RANK.AVG($T15,($J15,$O15,$T15),1)-2)*10)</f>
        <v>-0.7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>
        <v>6</v>
      </c>
      <c r="BT15" s="30" t="s">
        <v>198</v>
      </c>
      <c r="BU15" s="40" t="s">
        <v>93</v>
      </c>
      <c r="BV15" s="41" t="s">
        <v>79</v>
      </c>
      <c r="BW15" s="41" t="s">
        <v>79</v>
      </c>
      <c r="BX15" s="41" t="s">
        <v>79</v>
      </c>
      <c r="BY15" s="41" t="s">
        <v>79</v>
      </c>
      <c r="BZ15" s="41" t="s">
        <v>86</v>
      </c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0</v>
      </c>
      <c r="D16" s="18">
        <f t="shared" si="1"/>
        <v>0</v>
      </c>
      <c r="E16" s="4" t="s">
        <v>193</v>
      </c>
      <c r="F16" s="8" t="s">
        <v>200</v>
      </c>
      <c r="G16" s="9">
        <v>-11600</v>
      </c>
      <c r="H16" s="9"/>
      <c r="I16" s="48">
        <v>0</v>
      </c>
      <c r="J16" s="21">
        <f t="shared" si="2"/>
        <v>36300</v>
      </c>
      <c r="K16" s="8"/>
      <c r="L16" s="9"/>
      <c r="M16" s="9"/>
      <c r="N16" s="48"/>
      <c r="O16" s="21">
        <f t="shared" si="3"/>
        <v>22800</v>
      </c>
      <c r="P16" s="8" t="s">
        <v>201</v>
      </c>
      <c r="Q16" s="9">
        <v>11600</v>
      </c>
      <c r="R16" s="9"/>
      <c r="S16" s="48">
        <v>0</v>
      </c>
      <c r="T16" s="21">
        <f t="shared" si="4"/>
        <v>45900</v>
      </c>
      <c r="U16" s="53">
        <f>IF($J16="","",ROUND(($J16-$J$3)/1000,1)+(_xlfn.RANK.AVG($J16,($J16,$O16,$T16),1)-2)*10)</f>
        <v>1.3</v>
      </c>
      <c r="V16" s="54">
        <f>IF($O16="","",ROUND(($O16-$O$3)/1000,1)+(_xlfn.RANK.AVG($O16,($J16,$O16,$T16),1)-2)*10)</f>
        <v>-22.2</v>
      </c>
      <c r="W16" s="55">
        <f>IF($T16="","",ROUND(($T16-$T$3)/1000,1)+(_xlfn.RANK.AVG($T16,($J16,$O16,$T16),1)-2)*10)</f>
        <v>20.9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>
        <v>4</v>
      </c>
      <c r="BT16" s="30">
        <v>30</v>
      </c>
      <c r="BU16" s="40" t="s">
        <v>83</v>
      </c>
      <c r="BV16" s="41" t="s">
        <v>79</v>
      </c>
      <c r="BW16" s="41" t="s">
        <v>203</v>
      </c>
      <c r="BX16" s="41" t="s">
        <v>203</v>
      </c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2</v>
      </c>
      <c r="C17" s="18">
        <f t="shared" si="6"/>
        <v>1</v>
      </c>
      <c r="D17" s="18">
        <f t="shared" si="1"/>
        <v>0</v>
      </c>
      <c r="E17" s="4" t="s">
        <v>193</v>
      </c>
      <c r="F17" s="8"/>
      <c r="G17" s="9"/>
      <c r="H17" s="9"/>
      <c r="I17" s="48"/>
      <c r="J17" s="21">
        <f t="shared" si="2"/>
        <v>36300</v>
      </c>
      <c r="K17" s="8" t="s">
        <v>200</v>
      </c>
      <c r="L17" s="9">
        <v>-11600</v>
      </c>
      <c r="M17" s="9"/>
      <c r="N17" s="48">
        <v>-1000</v>
      </c>
      <c r="O17" s="21">
        <f t="shared" si="3"/>
        <v>10200</v>
      </c>
      <c r="P17" s="8" t="s">
        <v>201</v>
      </c>
      <c r="Q17" s="9">
        <v>11600</v>
      </c>
      <c r="R17" s="9"/>
      <c r="S17" s="48">
        <v>1000</v>
      </c>
      <c r="T17" s="21">
        <f t="shared" si="4"/>
        <v>58500</v>
      </c>
      <c r="U17" s="53">
        <f>IF($J17="","",ROUND(($J17-$J$3)/1000,1)+(_xlfn.RANK.AVG($J17,($J17,$O17,$T17),1)-2)*10)</f>
        <v>1.3</v>
      </c>
      <c r="V17" s="54">
        <f>IF($O17="","",ROUND(($O17-$O$3)/1000,1)+(_xlfn.RANK.AVG($O17,($J17,$O17,$T17),1)-2)*10)</f>
        <v>-34.799999999999997</v>
      </c>
      <c r="W17" s="55">
        <f>IF($T17="","",ROUND(($T17-$T$3)/1000,1)+(_xlfn.RANK.AVG($T17,($J17,$O17,$T17),1)-2)*10)</f>
        <v>33.5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>
        <v>4</v>
      </c>
      <c r="BT17" s="30">
        <v>30</v>
      </c>
      <c r="BU17" s="40" t="s">
        <v>83</v>
      </c>
      <c r="BV17" s="41" t="s">
        <v>79</v>
      </c>
      <c r="BW17" s="41" t="s">
        <v>79</v>
      </c>
      <c r="BX17" s="41" t="s">
        <v>203</v>
      </c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南</v>
      </c>
      <c r="B18" s="18">
        <f t="shared" si="5"/>
        <v>2</v>
      </c>
      <c r="C18" s="18">
        <f t="shared" si="6"/>
        <v>2</v>
      </c>
      <c r="D18" s="18">
        <f t="shared" si="1"/>
        <v>0</v>
      </c>
      <c r="E18" s="4" t="s">
        <v>193</v>
      </c>
      <c r="F18" s="8" t="s">
        <v>197</v>
      </c>
      <c r="G18" s="9">
        <v>-3000</v>
      </c>
      <c r="H18" s="9">
        <v>-1000</v>
      </c>
      <c r="I18" s="48">
        <v>-1000</v>
      </c>
      <c r="J18" s="21">
        <f t="shared" si="2"/>
        <v>31300</v>
      </c>
      <c r="K18" s="8" t="s">
        <v>196</v>
      </c>
      <c r="L18" s="9">
        <v>8000</v>
      </c>
      <c r="M18" s="9">
        <v>1000</v>
      </c>
      <c r="N18" s="48">
        <v>2000</v>
      </c>
      <c r="O18" s="21">
        <f t="shared" si="3"/>
        <v>21200</v>
      </c>
      <c r="P18" s="8" t="s">
        <v>197</v>
      </c>
      <c r="Q18" s="9">
        <v>-5000</v>
      </c>
      <c r="R18" s="9"/>
      <c r="S18" s="48">
        <v>-1000</v>
      </c>
      <c r="T18" s="21">
        <f t="shared" si="4"/>
        <v>52500</v>
      </c>
      <c r="U18" s="53">
        <f>IF($J18="","",ROUND(($J18-$J$3)/1000,1)+(_xlfn.RANK.AVG($J18,($J18,$O18,$T18),1)-2)*10)</f>
        <v>-3.7</v>
      </c>
      <c r="V18" s="54">
        <f>IF($O18="","",ROUND(($O18-$O$3)/1000,1)+(_xlfn.RANK.AVG($O18,($J18,$O18,$T18),1)-2)*10)</f>
        <v>-23.8</v>
      </c>
      <c r="W18" s="55">
        <f>IF($T18="","",ROUND(($T18-$T$3)/1000,1)+(_xlfn.RANK.AVG($T18,($J18,$O18,$T18),1)-2)*10)</f>
        <v>27.5</v>
      </c>
      <c r="Y18" s="8"/>
      <c r="Z18" s="34"/>
      <c r="AA18" s="26">
        <v>1</v>
      </c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>
        <v>1</v>
      </c>
      <c r="AX18" s="26">
        <v>4</v>
      </c>
      <c r="AY18" s="30">
        <v>40</v>
      </c>
      <c r="AZ18" s="40" t="s">
        <v>203</v>
      </c>
      <c r="BA18" s="41" t="s">
        <v>86</v>
      </c>
      <c r="BB18" s="41" t="s">
        <v>104</v>
      </c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>南</v>
      </c>
      <c r="B19" s="18">
        <f t="shared" si="5"/>
        <v>3</v>
      </c>
      <c r="C19" s="18">
        <f t="shared" si="6"/>
        <v>0</v>
      </c>
      <c r="D19" s="18">
        <f t="shared" si="1"/>
        <v>0</v>
      </c>
      <c r="E19" s="4" t="s">
        <v>212</v>
      </c>
      <c r="F19" s="8" t="s">
        <v>197</v>
      </c>
      <c r="G19" s="9">
        <v>-5000</v>
      </c>
      <c r="H19" s="9"/>
      <c r="I19" s="48">
        <v>0</v>
      </c>
      <c r="J19" s="21">
        <f t="shared" si="2"/>
        <v>26300</v>
      </c>
      <c r="K19" s="8" t="s">
        <v>197</v>
      </c>
      <c r="L19" s="9">
        <v>-3000</v>
      </c>
      <c r="M19" s="9"/>
      <c r="N19" s="48">
        <v>0</v>
      </c>
      <c r="O19" s="21">
        <f t="shared" si="3"/>
        <v>18200</v>
      </c>
      <c r="P19" s="8" t="s">
        <v>196</v>
      </c>
      <c r="Q19" s="9">
        <v>8000</v>
      </c>
      <c r="R19" s="9"/>
      <c r="S19" s="48">
        <v>0</v>
      </c>
      <c r="T19" s="21">
        <f t="shared" si="4"/>
        <v>60500</v>
      </c>
      <c r="U19" s="53">
        <f>IF($J19="","",ROUND(($J19-$J$3)/1000,1)+(_xlfn.RANK.AVG($J19,($J19,$O19,$T19),1)-2)*10)</f>
        <v>-8.6999999999999993</v>
      </c>
      <c r="V19" s="54">
        <f>IF($O19="","",ROUND(($O19-$O$3)/1000,1)+(_xlfn.RANK.AVG($O19,($J19,$O19,$T19),1)-2)*10)</f>
        <v>-26.8</v>
      </c>
      <c r="W19" s="55">
        <f>IF($T19="","",ROUND(($T19-$T$3)/1000,1)+(_xlfn.RANK.AVG($T19,($J19,$O19,$T19),1)-2)*10)</f>
        <v>35.5</v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>
        <v>1</v>
      </c>
      <c r="BR19" s="26"/>
      <c r="BS19" s="26">
        <v>5</v>
      </c>
      <c r="BT19" s="30" t="s">
        <v>198</v>
      </c>
      <c r="BU19" s="40" t="s">
        <v>202</v>
      </c>
      <c r="BV19" s="41" t="s">
        <v>82</v>
      </c>
      <c r="BW19" s="41" t="s">
        <v>83</v>
      </c>
      <c r="BX19" s="41" t="s">
        <v>79</v>
      </c>
      <c r="BY19" s="41" t="s">
        <v>80</v>
      </c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67746DEA-FB77-4EA0-8A07-A29DD20D2DD1}">
      <formula1>"ロン,ツモ,放銃,ツモ支払,流局,チョンボ"</formula1>
    </dataValidation>
    <dataValidation type="list" allowBlank="1" showInputMessage="1" showErrorMessage="1" sqref="E4:E30" xr:uid="{6E503DDA-B7C4-4869-B781-32B3E2E7ABEB}">
      <formula1>$U$2:$W$2</formula1>
    </dataValidation>
    <dataValidation type="list" allowBlank="1" showInputMessage="1" sqref="F1:T1" xr:uid="{DC266351-F41B-450B-BCEF-76C83861470E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775C-0E92-4DAD-B6FB-9F511ECC6FFB}">
  <sheetPr codeName="Sheet16">
    <pageSetUpPr fitToPage="1"/>
  </sheetPr>
  <dimension ref="A1:CI30"/>
  <sheetViews>
    <sheetView tabSelected="1" zoomScaleNormal="100" workbookViewId="0">
      <selection activeCell="E5" sqref="E5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213</v>
      </c>
      <c r="G1" s="79"/>
      <c r="H1" s="79"/>
      <c r="I1" s="80"/>
      <c r="J1" s="81"/>
      <c r="K1" s="78" t="s">
        <v>193</v>
      </c>
      <c r="L1" s="79"/>
      <c r="M1" s="79"/>
      <c r="N1" s="80"/>
      <c r="O1" s="81"/>
      <c r="P1" s="78" t="s">
        <v>204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りくと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たかの</v>
      </c>
      <c r="V2" s="75" t="str">
        <f>$K$1</f>
        <v>ただ</v>
      </c>
      <c r="W2" s="16" t="str">
        <f>$P$1</f>
        <v>りくと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213</v>
      </c>
      <c r="F4" s="8" t="s">
        <v>196</v>
      </c>
      <c r="G4" s="9">
        <v>11600</v>
      </c>
      <c r="H4" s="9">
        <v>1000</v>
      </c>
      <c r="I4" s="48">
        <v>0</v>
      </c>
      <c r="J4" s="21">
        <f>IF(COUNTA($F4,$K4,$P4)&gt;0,J3+SUM(G4:I4),"")</f>
        <v>47600</v>
      </c>
      <c r="K4" s="8" t="s">
        <v>197</v>
      </c>
      <c r="L4" s="9">
        <v>-5800</v>
      </c>
      <c r="M4" s="9">
        <v>-1000</v>
      </c>
      <c r="N4" s="48">
        <v>0</v>
      </c>
      <c r="O4" s="21">
        <f>IF(COUNTA($F4,$K4,$P4)&gt;0,O3+SUM(L4:N4),"")</f>
        <v>28200</v>
      </c>
      <c r="P4" s="8" t="s">
        <v>197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IF($J4="","",ROUND(($J4-$J$3)/1000,1)+(_xlfn.RANK.AVG($J4,($J4,$O4,$T4),1)-2)*10)</f>
        <v>22.6</v>
      </c>
      <c r="V4" s="54">
        <f>IF($O4="","",ROUND(($O4-$O$3)/1000,1)+(_xlfn.RANK.AVG($O4,($J4,$O4,$T4),1)-2)*10)</f>
        <v>-16.8</v>
      </c>
      <c r="W4" s="55">
        <f>IF($T4="","",ROUND(($T4-$T$3)/1000,1)+(_xlfn.RANK.AVG($T4,($J4,$O4,$T4),1)-2)*10)</f>
        <v>-5.8</v>
      </c>
      <c r="Y4" s="8"/>
      <c r="Z4" s="34"/>
      <c r="AA4" s="26"/>
      <c r="AB4" s="26"/>
      <c r="AC4" s="26">
        <v>4</v>
      </c>
      <c r="AD4" s="30">
        <v>30</v>
      </c>
      <c r="AE4" s="40" t="s">
        <v>82</v>
      </c>
      <c r="AF4" s="41" t="s">
        <v>86</v>
      </c>
      <c r="AG4" s="41" t="s">
        <v>86</v>
      </c>
      <c r="AH4" s="41" t="s">
        <v>203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212</v>
      </c>
      <c r="F5" s="8"/>
      <c r="G5" s="9"/>
      <c r="H5" s="9"/>
      <c r="I5" s="48"/>
      <c r="J5" s="21">
        <f t="shared" ref="J5:J30" si="2">IF(COUNTA($F5,$K5,$P5)&gt;0,J4+SUM(G5:I5),"")</f>
        <v>47600</v>
      </c>
      <c r="K5" s="8" t="s">
        <v>201</v>
      </c>
      <c r="L5" s="9">
        <v>1300</v>
      </c>
      <c r="M5" s="9"/>
      <c r="N5" s="48">
        <v>1000</v>
      </c>
      <c r="O5" s="21">
        <f t="shared" ref="O5:O30" si="3">IF(COUNTA($F5,$K5,$P5)&gt;0,O4+SUM(L5:N5),"")</f>
        <v>30500</v>
      </c>
      <c r="P5" s="8" t="s">
        <v>200</v>
      </c>
      <c r="Q5" s="9">
        <v>-1300</v>
      </c>
      <c r="R5" s="9"/>
      <c r="S5" s="48">
        <v>-1000</v>
      </c>
      <c r="T5" s="21">
        <f t="shared" ref="T5:T30" si="4">IF(COUNTA($F5,$K5,$P5)&gt;0,T4+SUM(Q5:S5),"")</f>
        <v>26900</v>
      </c>
      <c r="U5" s="53">
        <f>IF($J5="","",ROUND(($J5-$J$3)/1000,1)+(_xlfn.RANK.AVG($J5,($J5,$O5,$T5),1)-2)*10)</f>
        <v>22.6</v>
      </c>
      <c r="V5" s="54">
        <f>IF($O5="","",ROUND(($O5-$O$3)/1000,1)+(_xlfn.RANK.AVG($O5,($J5,$O5,$T5),1)-2)*10)</f>
        <v>-4.5</v>
      </c>
      <c r="W5" s="55">
        <f>IF($T5="","",ROUND(($T5-$T$3)/1000,1)+(_xlfn.RANK.AVG($T5,($J5,$O5,$T5),1)-2)*10)</f>
        <v>-18.100000000000001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1</v>
      </c>
      <c r="AY5" s="30">
        <v>40</v>
      </c>
      <c r="AZ5" s="40" t="s">
        <v>202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47600</v>
      </c>
      <c r="K6" s="8" t="s">
        <v>201</v>
      </c>
      <c r="L6" s="9">
        <v>24000</v>
      </c>
      <c r="M6" s="9"/>
      <c r="N6" s="48">
        <v>0</v>
      </c>
      <c r="O6" s="21">
        <f t="shared" si="3"/>
        <v>54500</v>
      </c>
      <c r="P6" s="8" t="s">
        <v>200</v>
      </c>
      <c r="Q6" s="9">
        <v>-24000</v>
      </c>
      <c r="R6" s="9"/>
      <c r="S6" s="48">
        <v>0</v>
      </c>
      <c r="T6" s="21">
        <f t="shared" si="4"/>
        <v>2900</v>
      </c>
      <c r="U6" s="53">
        <f>IF($J6="","",ROUND(($J6-$J$3)/1000,1)+(_xlfn.RANK.AVG($J6,($J6,$O6,$T6),1)-2)*10)</f>
        <v>12.6</v>
      </c>
      <c r="V6" s="54">
        <f>IF($O6="","",ROUND(($O6-$O$3)/1000,1)+(_xlfn.RANK.AVG($O6,($J6,$O6,$T6),1)-2)*10)</f>
        <v>29.5</v>
      </c>
      <c r="W6" s="55">
        <f>IF($T6="","",ROUND(($T6-$T$3)/1000,1)+(_xlfn.RANK.AVG($T6,($J6,$O6,$T6),1)-2)*10)</f>
        <v>-42.1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8</v>
      </c>
      <c r="AY6" s="30" t="s">
        <v>198</v>
      </c>
      <c r="AZ6" s="40" t="s">
        <v>98</v>
      </c>
      <c r="BA6" s="41" t="s">
        <v>106</v>
      </c>
      <c r="BB6" s="41" t="s">
        <v>203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209</v>
      </c>
      <c r="G7" s="9">
        <v>-1500</v>
      </c>
      <c r="H7" s="9"/>
      <c r="I7" s="48"/>
      <c r="J7" s="21">
        <f t="shared" si="2"/>
        <v>46100</v>
      </c>
      <c r="K7" s="8" t="s">
        <v>209</v>
      </c>
      <c r="L7" s="9">
        <v>3000</v>
      </c>
      <c r="M7" s="9"/>
      <c r="N7" s="48"/>
      <c r="O7" s="21">
        <f t="shared" si="3"/>
        <v>57500</v>
      </c>
      <c r="P7" s="8" t="s">
        <v>209</v>
      </c>
      <c r="Q7" s="9">
        <v>-1500</v>
      </c>
      <c r="R7" s="9"/>
      <c r="S7" s="48"/>
      <c r="T7" s="21">
        <f t="shared" si="4"/>
        <v>1400</v>
      </c>
      <c r="U7" s="53">
        <f>IF($J7="","",ROUND(($J7-$J$3)/1000,1)+(_xlfn.RANK.AVG($J7,($J7,$O7,$T7),1)-2)*10)</f>
        <v>11.1</v>
      </c>
      <c r="V7" s="54">
        <f>IF($O7="","",ROUND(($O7-$O$3)/1000,1)+(_xlfn.RANK.AVG($O7,($J7,$O7,$T7),1)-2)*10)</f>
        <v>32.5</v>
      </c>
      <c r="W7" s="55">
        <f>IF($T7="","",ROUND(($T7-$T$3)/1000,1)+(_xlfn.RANK.AVG($T7,($J7,$O7,$T7),1)-2)*10)</f>
        <v>-43.6</v>
      </c>
      <c r="Y7" s="8" t="s">
        <v>207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208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207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46100</v>
      </c>
      <c r="K8" s="8" t="s">
        <v>200</v>
      </c>
      <c r="L8" s="9">
        <v>-1000</v>
      </c>
      <c r="M8" s="9"/>
      <c r="N8" s="48">
        <v>-2000</v>
      </c>
      <c r="O8" s="21">
        <f t="shared" si="3"/>
        <v>54500</v>
      </c>
      <c r="P8" s="8" t="s">
        <v>201</v>
      </c>
      <c r="Q8" s="9">
        <v>1000</v>
      </c>
      <c r="R8" s="9"/>
      <c r="S8" s="48">
        <v>2000</v>
      </c>
      <c r="T8" s="21">
        <f t="shared" si="4"/>
        <v>4400</v>
      </c>
      <c r="U8" s="53">
        <f>IF($J8="","",ROUND(($J8-$J$3)/1000,1)+(_xlfn.RANK.AVG($J8,($J8,$O8,$T8),1)-2)*10)</f>
        <v>11.1</v>
      </c>
      <c r="V8" s="54">
        <f>IF($O8="","",ROUND(($O8-$O$3)/1000,1)+(_xlfn.RANK.AVG($O8,($J8,$O8,$T8),1)-2)*10)</f>
        <v>29.5</v>
      </c>
      <c r="W8" s="55">
        <f>IF($T8="","",ROUND(($T8-$T$3)/1000,1)+(_xlfn.RANK.AVG($T8,($J8,$O8,$T8),1)-2)*10)</f>
        <v>-40.6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1</v>
      </c>
      <c r="BT8" s="30">
        <v>30</v>
      </c>
      <c r="BU8" s="40" t="s">
        <v>86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204</v>
      </c>
      <c r="F9" s="8" t="s">
        <v>197</v>
      </c>
      <c r="G9" s="9">
        <v>-3000</v>
      </c>
      <c r="H9" s="9"/>
      <c r="I9" s="48">
        <v>0</v>
      </c>
      <c r="J9" s="21">
        <f t="shared" si="2"/>
        <v>43100</v>
      </c>
      <c r="K9" s="8" t="s">
        <v>197</v>
      </c>
      <c r="L9" s="9">
        <v>-3000</v>
      </c>
      <c r="M9" s="9"/>
      <c r="N9" s="48">
        <v>0</v>
      </c>
      <c r="O9" s="21">
        <f t="shared" si="3"/>
        <v>51500</v>
      </c>
      <c r="P9" s="8" t="s">
        <v>196</v>
      </c>
      <c r="Q9" s="9">
        <v>6000</v>
      </c>
      <c r="R9" s="9"/>
      <c r="S9" s="48">
        <v>0</v>
      </c>
      <c r="T9" s="21">
        <f t="shared" si="4"/>
        <v>10400</v>
      </c>
      <c r="U9" s="53">
        <f>IF($J9="","",ROUND(($J9-$J$3)/1000,1)+(_xlfn.RANK.AVG($J9,($J9,$O9,$T9),1)-2)*10)</f>
        <v>8.1</v>
      </c>
      <c r="V9" s="54">
        <f>IF($O9="","",ROUND(($O9-$O$3)/1000,1)+(_xlfn.RANK.AVG($O9,($J9,$O9,$T9),1)-2)*10)</f>
        <v>26.5</v>
      </c>
      <c r="W9" s="55">
        <f>IF($T9="","",ROUND(($T9-$T$3)/1000,1)+(_xlfn.RANK.AVG($T9,($J9,$O9,$T9),1)-2)*10)</f>
        <v>-34.6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202</v>
      </c>
      <c r="BV9" s="41" t="s">
        <v>82</v>
      </c>
      <c r="BW9" s="41" t="s">
        <v>86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204</v>
      </c>
      <c r="F10" s="8"/>
      <c r="G10" s="9"/>
      <c r="H10" s="9"/>
      <c r="I10" s="48"/>
      <c r="J10" s="21">
        <f t="shared" si="2"/>
        <v>43100</v>
      </c>
      <c r="K10" s="8" t="s">
        <v>200</v>
      </c>
      <c r="L10" s="9">
        <v>-7700</v>
      </c>
      <c r="M10" s="9"/>
      <c r="N10" s="48">
        <v>-1000</v>
      </c>
      <c r="O10" s="21">
        <f t="shared" si="3"/>
        <v>42800</v>
      </c>
      <c r="P10" s="8" t="s">
        <v>201</v>
      </c>
      <c r="Q10" s="9">
        <v>7700</v>
      </c>
      <c r="R10" s="9"/>
      <c r="S10" s="48">
        <v>1000</v>
      </c>
      <c r="T10" s="21">
        <f t="shared" si="4"/>
        <v>19100</v>
      </c>
      <c r="U10" s="53">
        <f>IF($J10="","",ROUND(($J10-$J$3)/1000,1)+(_xlfn.RANK.AVG($J10,($J10,$O10,$T10),1)-2)*10)</f>
        <v>18.100000000000001</v>
      </c>
      <c r="V10" s="54">
        <f>IF($O10="","",ROUND(($O10-$O$3)/1000,1)+(_xlfn.RANK.AVG($O10,($J10,$O10,$T10),1)-2)*10)</f>
        <v>7.8</v>
      </c>
      <c r="W10" s="55">
        <f>IF($T10="","",ROUND(($T10-$T$3)/1000,1)+(_xlfn.RANK.AVG($T10,($J10,$O10,$T10),1)-2)*10)</f>
        <v>-25.9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202</v>
      </c>
      <c r="BV10" s="41" t="s">
        <v>84</v>
      </c>
      <c r="BW10" s="41" t="s">
        <v>203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">
        <v>204</v>
      </c>
      <c r="F11" s="8" t="s">
        <v>197</v>
      </c>
      <c r="G11" s="9">
        <v>-1500</v>
      </c>
      <c r="H11" s="9"/>
      <c r="I11" s="48">
        <v>-1000</v>
      </c>
      <c r="J11" s="21">
        <f t="shared" si="2"/>
        <v>40600</v>
      </c>
      <c r="K11" s="8" t="s">
        <v>196</v>
      </c>
      <c r="L11" s="9">
        <v>4000</v>
      </c>
      <c r="M11" s="9"/>
      <c r="N11" s="48">
        <v>2000</v>
      </c>
      <c r="O11" s="21">
        <f t="shared" si="3"/>
        <v>48800</v>
      </c>
      <c r="P11" s="8" t="s">
        <v>197</v>
      </c>
      <c r="Q11" s="9">
        <v>-2500</v>
      </c>
      <c r="R11" s="9"/>
      <c r="S11" s="48">
        <v>-1000</v>
      </c>
      <c r="T11" s="21">
        <f t="shared" si="4"/>
        <v>15600</v>
      </c>
      <c r="U11" s="53">
        <f>IF($J11="","",ROUND(($J11-$J$3)/1000,1)+(_xlfn.RANK.AVG($J11,($J11,$O11,$T11),1)-2)*10)</f>
        <v>5.6</v>
      </c>
      <c r="V11" s="54">
        <f>IF($O11="","",ROUND(($O11-$O$3)/1000,1)+(_xlfn.RANK.AVG($O11,($J11,$O11,$T11),1)-2)*10)</f>
        <v>23.8</v>
      </c>
      <c r="W11" s="55">
        <f>IF($T11="","",ROUND(($T11-$T$3)/1000,1)+(_xlfn.RANK.AVG($T11,($J11,$O11,$T11),1)-2)*10)</f>
        <v>-29.4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104</v>
      </c>
      <c r="BA11" s="41" t="s">
        <v>203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212</v>
      </c>
      <c r="F12" s="8" t="s">
        <v>200</v>
      </c>
      <c r="G12" s="9">
        <v>-2000</v>
      </c>
      <c r="H12" s="9"/>
      <c r="I12" s="48">
        <v>0</v>
      </c>
      <c r="J12" s="21">
        <f t="shared" si="2"/>
        <v>38600</v>
      </c>
      <c r="K12" s="8"/>
      <c r="L12" s="9"/>
      <c r="M12" s="9"/>
      <c r="N12" s="48"/>
      <c r="O12" s="21">
        <f t="shared" si="3"/>
        <v>48800</v>
      </c>
      <c r="P12" s="8" t="s">
        <v>201</v>
      </c>
      <c r="Q12" s="9">
        <v>2000</v>
      </c>
      <c r="R12" s="9"/>
      <c r="S12" s="48">
        <v>0</v>
      </c>
      <c r="T12" s="21">
        <f t="shared" si="4"/>
        <v>17600</v>
      </c>
      <c r="U12" s="53">
        <f>IF($J12="","",ROUND(($J12-$J$3)/1000,1)+(_xlfn.RANK.AVG($J12,($J12,$O12,$T12),1)-2)*10)</f>
        <v>3.6</v>
      </c>
      <c r="V12" s="54">
        <f>IF($O12="","",ROUND(($O12-$O$3)/1000,1)+(_xlfn.RANK.AVG($O12,($J12,$O12,$T12),1)-2)*10)</f>
        <v>23.8</v>
      </c>
      <c r="W12" s="55">
        <f>IF($T12="","",ROUND(($T12-$T$3)/1000,1)+(_xlfn.RANK.AVG($T12,($J12,$O12,$T12),1)-2)*10)</f>
        <v>-27.4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2</v>
      </c>
      <c r="BT12" s="30">
        <v>30</v>
      </c>
      <c r="BU12" s="40" t="s">
        <v>93</v>
      </c>
      <c r="BV12" s="41" t="s">
        <v>86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193</v>
      </c>
      <c r="F13" s="8" t="s">
        <v>201</v>
      </c>
      <c r="G13" s="9">
        <v>7700</v>
      </c>
      <c r="H13" s="9"/>
      <c r="I13" s="48">
        <v>0</v>
      </c>
      <c r="J13" s="21">
        <f t="shared" si="2"/>
        <v>46300</v>
      </c>
      <c r="K13" s="8" t="s">
        <v>200</v>
      </c>
      <c r="L13" s="9">
        <v>-7700</v>
      </c>
      <c r="M13" s="9"/>
      <c r="N13" s="48">
        <v>0</v>
      </c>
      <c r="O13" s="21">
        <f t="shared" si="3"/>
        <v>41100</v>
      </c>
      <c r="P13" s="8"/>
      <c r="Q13" s="9"/>
      <c r="R13" s="9"/>
      <c r="S13" s="48"/>
      <c r="T13" s="21">
        <f t="shared" si="4"/>
        <v>17600</v>
      </c>
      <c r="U13" s="53">
        <f>IF($J13="","",ROUND(($J13-$J$3)/1000,1)+(_xlfn.RANK.AVG($J13,($J13,$O13,$T13),1)-2)*10)</f>
        <v>21.3</v>
      </c>
      <c r="V13" s="54">
        <f>IF($O13="","",ROUND(($O13-$O$3)/1000,1)+(_xlfn.RANK.AVG($O13,($J13,$O13,$T13),1)-2)*10)</f>
        <v>6.1</v>
      </c>
      <c r="W13" s="55">
        <f>IF($T13="","",ROUND(($T13-$T$3)/1000,1)+(_xlfn.RANK.AVG($T13,($J13,$O13,$T13),1)-2)*10)</f>
        <v>-27.4</v>
      </c>
      <c r="Y13" s="8"/>
      <c r="Z13" s="34"/>
      <c r="AA13" s="26"/>
      <c r="AB13" s="26"/>
      <c r="AC13" s="26">
        <v>4</v>
      </c>
      <c r="AD13" s="30">
        <v>30</v>
      </c>
      <c r="AE13" s="40" t="s">
        <v>83</v>
      </c>
      <c r="AF13" s="41" t="s">
        <v>203</v>
      </c>
      <c r="AG13" s="41" t="s">
        <v>79</v>
      </c>
      <c r="AH13" s="41" t="s">
        <v>79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204</v>
      </c>
      <c r="F14" s="8" t="s">
        <v>197</v>
      </c>
      <c r="G14" s="9">
        <v>-1500</v>
      </c>
      <c r="H14" s="9"/>
      <c r="I14" s="48">
        <v>0</v>
      </c>
      <c r="J14" s="21">
        <f t="shared" si="2"/>
        <v>44800</v>
      </c>
      <c r="K14" s="8" t="s">
        <v>197</v>
      </c>
      <c r="L14" s="9">
        <v>-1500</v>
      </c>
      <c r="M14" s="9"/>
      <c r="N14" s="48">
        <v>0</v>
      </c>
      <c r="O14" s="21">
        <f t="shared" si="3"/>
        <v>39600</v>
      </c>
      <c r="P14" s="8" t="s">
        <v>196</v>
      </c>
      <c r="Q14" s="9">
        <v>3000</v>
      </c>
      <c r="R14" s="9"/>
      <c r="S14" s="48">
        <v>0</v>
      </c>
      <c r="T14" s="21">
        <f t="shared" si="4"/>
        <v>20600</v>
      </c>
      <c r="U14" s="53">
        <f>IF($J14="","",ROUND(($J14-$J$3)/1000,1)+(_xlfn.RANK.AVG($J14,($J14,$O14,$T14),1)-2)*10)</f>
        <v>19.8</v>
      </c>
      <c r="V14" s="54">
        <f>IF($O14="","",ROUND(($O14-$O$3)/1000,1)+(_xlfn.RANK.AVG($O14,($J14,$O14,$T14),1)-2)*10)</f>
        <v>4.5999999999999996</v>
      </c>
      <c r="W14" s="55">
        <f>IF($T14="","",ROUND(($T14-$T$3)/1000,1)+(_xlfn.RANK.AVG($T14,($J14,$O14,$T14),1)-2)*10)</f>
        <v>-24.4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2</v>
      </c>
      <c r="BT14" s="30">
        <v>30</v>
      </c>
      <c r="BU14" s="40" t="s">
        <v>202</v>
      </c>
      <c r="BV14" s="41" t="s">
        <v>82</v>
      </c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0</v>
      </c>
      <c r="E15" s="4" t="s">
        <v>204</v>
      </c>
      <c r="F15" s="8" t="s">
        <v>201</v>
      </c>
      <c r="G15" s="9">
        <v>8000</v>
      </c>
      <c r="H15" s="9"/>
      <c r="I15" s="48">
        <v>1000</v>
      </c>
      <c r="J15" s="21">
        <f t="shared" si="2"/>
        <v>53800</v>
      </c>
      <c r="K15" s="8" t="s">
        <v>201</v>
      </c>
      <c r="L15" s="9">
        <v>8000</v>
      </c>
      <c r="M15" s="9"/>
      <c r="N15" s="48"/>
      <c r="O15" s="21">
        <f t="shared" si="3"/>
        <v>47600</v>
      </c>
      <c r="P15" s="8" t="s">
        <v>200</v>
      </c>
      <c r="Q15" s="9">
        <v>-16000</v>
      </c>
      <c r="R15" s="9"/>
      <c r="S15" s="48">
        <v>-1000</v>
      </c>
      <c r="T15" s="21">
        <f t="shared" si="4"/>
        <v>3600</v>
      </c>
      <c r="U15" s="53">
        <f>IF($J15="","",ROUND(($J15-$J$3)/1000,1)+(_xlfn.RANK.AVG($J15,($J15,$O15,$T15),1)-2)*10)</f>
        <v>28.8</v>
      </c>
      <c r="V15" s="54">
        <f>IF($O15="","",ROUND(($O15-$O$3)/1000,1)+(_xlfn.RANK.AVG($O15,($J15,$O15,$T15),1)-2)*10)</f>
        <v>12.6</v>
      </c>
      <c r="W15" s="55">
        <f>IF($T15="","",ROUND(($T15-$T$3)/1000,1)+(_xlfn.RANK.AVG($T15,($J15,$O15,$T15),1)-2)*10)</f>
        <v>-41.4</v>
      </c>
      <c r="Y15" s="8"/>
      <c r="Z15" s="34"/>
      <c r="AA15" s="26">
        <v>1</v>
      </c>
      <c r="AB15" s="26"/>
      <c r="AC15" s="26">
        <v>4</v>
      </c>
      <c r="AD15" s="30">
        <v>40</v>
      </c>
      <c r="AE15" s="40" t="s">
        <v>202</v>
      </c>
      <c r="AF15" s="41" t="s">
        <v>203</v>
      </c>
      <c r="AG15" s="41" t="s">
        <v>203</v>
      </c>
      <c r="AH15" s="41" t="s">
        <v>80</v>
      </c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>
        <v>1</v>
      </c>
      <c r="AX15" s="26">
        <v>4</v>
      </c>
      <c r="AY15" s="30">
        <v>40</v>
      </c>
      <c r="AZ15" s="40" t="s">
        <v>104</v>
      </c>
      <c r="BA15" s="41" t="s">
        <v>86</v>
      </c>
      <c r="BB15" s="41" t="s">
        <v>203</v>
      </c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西</v>
      </c>
      <c r="B16" s="18">
        <f t="shared" si="5"/>
        <v>1</v>
      </c>
      <c r="C16" s="18">
        <f t="shared" si="6"/>
        <v>0</v>
      </c>
      <c r="D16" s="18">
        <f t="shared" si="1"/>
        <v>0</v>
      </c>
      <c r="E16" s="4" t="s">
        <v>212</v>
      </c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21D0720B-473A-4D10-8F83-DE74D462CFC2}">
      <formula1>"たかの,だいち,ただ,りくと,れんたろう,まっつん,のり,ぱぱ,ほたに,"</formula1>
    </dataValidation>
    <dataValidation type="list" allowBlank="1" showInputMessage="1" showErrorMessage="1" sqref="E4:E30" xr:uid="{1BE2C77A-E1B4-4D78-A99D-F0D951968984}">
      <formula1>$U$2:$W$2</formula1>
    </dataValidation>
    <dataValidation type="list" showInputMessage="1" showErrorMessage="1" sqref="K4:K30 P4:P30 F4:F30" xr:uid="{C2B543DC-5D0A-4311-8AD6-D00875E2D9D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2019-10-17T17:23:47Z</dcterms:modified>
</cp:coreProperties>
</file>