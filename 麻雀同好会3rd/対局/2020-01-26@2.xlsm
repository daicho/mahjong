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B85F22E-F0D8-4557-ACCD-6883087F582B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W12" i="21" s="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T9" i="21"/>
  <c r="O9" i="21"/>
  <c r="V9" i="21" s="1"/>
  <c r="J9" i="21"/>
  <c r="D9" i="21"/>
  <c r="C9" i="21"/>
  <c r="B9" i="21"/>
  <c r="A9" i="21" s="1"/>
  <c r="T8" i="21"/>
  <c r="W8" i="21" s="1"/>
  <c r="O8" i="21"/>
  <c r="V8" i="21" s="1"/>
  <c r="J8" i="21"/>
  <c r="U8" i="21" s="1"/>
  <c r="D8" i="21"/>
  <c r="C8" i="21"/>
  <c r="B8" i="21"/>
  <c r="A8" i="21" s="1"/>
  <c r="D7" i="21"/>
  <c r="D6" i="21"/>
  <c r="T5" i="21"/>
  <c r="T6" i="21" s="1"/>
  <c r="O5" i="21"/>
  <c r="D5" i="21"/>
  <c r="T4" i="21"/>
  <c r="O4" i="21"/>
  <c r="J4" i="21"/>
  <c r="E4" i="21"/>
  <c r="C5" i="21" s="1"/>
  <c r="C6" i="21" s="1"/>
  <c r="C7" i="21" s="1"/>
  <c r="W3" i="21"/>
  <c r="V3" i="21"/>
  <c r="U3" i="21"/>
  <c r="W2" i="21"/>
  <c r="V2" i="21"/>
  <c r="U2" i="21"/>
  <c r="BO1" i="21"/>
  <c r="AT1" i="21"/>
  <c r="Y1" i="21"/>
  <c r="U12" i="21" l="1"/>
  <c r="W11" i="21"/>
  <c r="V11" i="21"/>
  <c r="V10" i="21"/>
  <c r="W10" i="21"/>
  <c r="U9" i="21"/>
  <c r="W9" i="21"/>
  <c r="U4" i="21"/>
  <c r="V4" i="21"/>
  <c r="W4" i="21"/>
  <c r="T7" i="21"/>
  <c r="J5" i="21"/>
  <c r="V5" i="21" s="1"/>
  <c r="O6" i="21"/>
  <c r="B5" i="21"/>
  <c r="A5" i="21" l="1"/>
  <c r="B6" i="21"/>
  <c r="O7" i="21"/>
  <c r="U5" i="21"/>
  <c r="J6" i="21"/>
  <c r="W5" i="21"/>
  <c r="U6" i="21" l="1"/>
  <c r="J7" i="21"/>
  <c r="W6" i="21"/>
  <c r="B7" i="21"/>
  <c r="V6" i="21"/>
  <c r="A6" i="21"/>
  <c r="A7" i="21" l="1"/>
  <c r="U7" i="21"/>
  <c r="W7" i="21"/>
  <c r="V7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C9" i="20"/>
  <c r="C10" i="20" s="1"/>
  <c r="D8" i="20"/>
  <c r="D9" i="20" s="1"/>
  <c r="D10" i="20" s="1"/>
  <c r="C8" i="20"/>
  <c r="D7" i="20"/>
  <c r="C7" i="20"/>
  <c r="D6" i="20"/>
  <c r="T5" i="20"/>
  <c r="O5" i="20"/>
  <c r="D5" i="20"/>
  <c r="C5" i="20"/>
  <c r="C6" i="20" s="1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V4" i="20" l="1"/>
  <c r="W4" i="20"/>
  <c r="U4" i="20"/>
  <c r="V5" i="20"/>
  <c r="W5" i="20"/>
  <c r="A5" i="20"/>
  <c r="B6" i="20"/>
  <c r="A6" i="20" s="1"/>
  <c r="J5" i="20"/>
  <c r="O6" i="20"/>
  <c r="T6" i="20"/>
  <c r="E4" i="19"/>
  <c r="T7" i="20" l="1"/>
  <c r="O7" i="20"/>
  <c r="U5" i="20"/>
  <c r="J6" i="20"/>
  <c r="W6" i="20" s="1"/>
  <c r="B7" i="20"/>
  <c r="A7" i="20" s="1"/>
  <c r="W3" i="19"/>
  <c r="V3" i="19"/>
  <c r="U3" i="19"/>
  <c r="V7" i="20" l="1"/>
  <c r="O8" i="20"/>
  <c r="T8" i="20"/>
  <c r="B8" i="20"/>
  <c r="A8" i="20" s="1"/>
  <c r="U6" i="20"/>
  <c r="J7" i="20"/>
  <c r="W7" i="20" s="1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0" l="1"/>
  <c r="U7" i="20"/>
  <c r="B9" i="20"/>
  <c r="T9" i="20"/>
  <c r="V8" i="20"/>
  <c r="O9" i="20"/>
  <c r="W11" i="19"/>
  <c r="U11" i="19"/>
  <c r="V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U8" i="20"/>
  <c r="J9" i="20"/>
  <c r="V9" i="20"/>
  <c r="O10" i="20"/>
  <c r="W9" i="20"/>
  <c r="T10" i="20"/>
  <c r="W8" i="20"/>
  <c r="A9" i="20"/>
  <c r="W5" i="19"/>
  <c r="V5" i="19"/>
  <c r="U5" i="19"/>
  <c r="B11" i="20" l="1"/>
  <c r="A11" i="20"/>
  <c r="W10" i="20"/>
  <c r="T11" i="20"/>
  <c r="V10" i="20"/>
  <c r="O11" i="20"/>
  <c r="U9" i="20"/>
  <c r="J10" i="20"/>
  <c r="A10" i="20"/>
  <c r="U10" i="20" l="1"/>
  <c r="J11" i="20"/>
  <c r="U11" i="20" s="1"/>
  <c r="W11" i="20"/>
  <c r="V11" i="20" l="1"/>
</calcChain>
</file>

<file path=xl/sharedStrings.xml><?xml version="1.0" encoding="utf-8"?>
<sst xmlns="http://schemas.openxmlformats.org/spreadsheetml/2006/main" count="798" uniqueCount="209">
  <si>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</si>
  <si>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</si>
  <si>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</si>
  <si>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</si>
  <si>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</si>
  <si>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</si>
  <si>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</si>
  <si>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</si>
  <si>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</si>
  <si>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</si>
  <si>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</si>
  <si>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</si>
  <si>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</si>
  <si>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</si>
  <si>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</si>
  <si>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</si>
  <si>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</si>
  <si>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</si>
  <si>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</si>
  <si>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</si>
  <si>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</si>
  <si>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</si>
  <si>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</si>
  <si>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</si>
  <si>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</si>
  <si>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</si>
  <si>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</si>
  <si>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</si>
  <si>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</si>
  <si>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</si>
  <si>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</si>
  <si>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</si>
  <si>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</si>
  <si>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</si>
  <si>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</si>
  <si>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</si>
  <si>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</si>
  <si>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</si>
  <si>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</si>
  <si>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</si>
  <si>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</si>
  <si>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</si>
  <si>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</si>
  <si>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</si>
  <si>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</si>
  <si>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</si>
  <si>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</si>
  <si>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</si>
  <si>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</si>
  <si>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</si>
  <si>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</si>
  <si>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</si>
  <si>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</si>
  <si>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</si>
  <si>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</si>
  <si>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</si>
  <si>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</si>
  <si>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</si>
  <si>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</si>
  <si>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</si>
  <si>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</si>
  <si>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</si>
  <si>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</si>
  <si>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</si>
  <si>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</si>
  <si>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</si>
  <si>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</si>
  <si>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</si>
  <si>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</si>
  <si>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</si>
  <si>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</si>
  <si>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</si>
  <si>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</si>
  <si>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</si>
  <si>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</si>
  <si>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</si>
  <si>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</si>
  <si>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</si>
  <si>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</si>
  <si>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</si>
  <si>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</si>
  <si>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</si>
  <si>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</si>
  <si>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</si>
  <si>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</si>
  <si>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</si>
  <si>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</si>
  <si>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</si>
  <si>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</si>
  <si>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</si>
  <si>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</si>
  <si>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</si>
  <si>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</si>
  <si>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</si>
  <si>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</si>
  <si>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</si>
  <si>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</si>
  <si>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</si>
  <si>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</si>
  <si>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</si>
  <si>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</si>
  <si>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</si>
  <si>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</si>
  <si>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</si>
  <si>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</si>
  <si>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</si>
  <si>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</si>
  <si>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</si>
  <si>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</si>
  <si>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</si>
  <si>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</si>
  <si>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</si>
  <si>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</si>
  <si>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</si>
  <si>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</si>
  <si>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</si>
  <si>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</si>
  <si>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</si>
  <si>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</si>
  <si>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</si>
  <si>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</si>
  <si>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</si>
  <si>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</si>
  <si>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</si>
  <si>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</si>
  <si>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</si>
  <si>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</si>
  <si>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</si>
  <si>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</si>
  <si>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</si>
  <si>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</si>
  <si>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</si>
  <si>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</si>
  <si>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</si>
  <si>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</si>
  <si>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</si>
  <si>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</si>
  <si>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</si>
  <si>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</si>
  <si>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</si>
  <si>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</si>
  <si>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</si>
  <si>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</si>
  <si>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</si>
  <si>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</si>
  <si>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</si>
  <si>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</si>
  <si>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</si>
  <si>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</si>
  <si>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</si>
  <si>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</si>
  <si>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</si>
  <si>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</si>
  <si>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</si>
  <si>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</si>
  <si>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</si>
  <si>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</si>
  <si>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</si>
  <si>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</si>
  <si>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</si>
  <si>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</si>
  <si>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</si>
  <si>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</si>
  <si>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</si>
  <si>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</si>
  <si>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</si>
  <si>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</si>
  <si>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</si>
  <si>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</si>
  <si>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</si>
  <si>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</si>
  <si>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</si>
  <si>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</si>
  <si>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</si>
  <si>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</si>
  <si>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</si>
  <si>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</si>
  <si>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</si>
  <si>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</si>
  <si>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</si>
  <si>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</si>
  <si>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</si>
  <si>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</si>
  <si>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</si>
  <si>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</si>
  <si>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</si>
  <si>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</si>
  <si>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</si>
  <si>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</si>
  <si>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</si>
  <si>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</si>
  <si>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</si>
  <si>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</si>
  <si>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</si>
  <si>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</si>
  <si>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</si>
  <si>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</si>
  <si>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</t>
  </si>
  <si>
    <t>ツモ支払</t>
  </si>
  <si>
    <t>*</t>
  </si>
  <si>
    <t>01</t>
  </si>
  <si>
    <t>N</t>
  </si>
  <si>
    <t>流局</t>
    <phoneticPr fontId="1"/>
  </si>
  <si>
    <t>放銃</t>
  </si>
  <si>
    <t>ロン</t>
  </si>
  <si>
    <t>52</t>
  </si>
  <si>
    <t>T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</si>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</sst>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198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198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35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-12</v>
      </c>
      <c r="Y4" s="8"/>
      <c r="Z4" s="34"/>
      <c r="AA4" s="26">
        <v>1</v>
      </c>
      <c r="AB4" s="26"/>
      <c r="AC4" s="26">
        <v>8</v>
      </c>
      <c r="AD4" s="30" t="s">
        <v>199</v>
      </c>
      <c r="AE4" s="40" t="s">
        <v>200</v>
      </c>
      <c r="AF4" s="41" t="s">
        <v>82</v>
      </c>
      <c r="AG4" s="41" t="s">
        <v>86</v>
      </c>
      <c r="AH4" s="41" t="s">
        <v>86</v>
      </c>
      <c r="AI4" s="41" t="s">
        <v>79</v>
      </c>
      <c r="AJ4" s="41" t="s">
        <v>79</v>
      </c>
      <c r="AK4" s="41" t="s">
        <v>96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0</v>
      </c>
      <c r="H5" s="9"/>
      <c r="I5" s="48"/>
      <c r="J5" s="21">
        <f t="shared" ref="J5:J30" si="2">IF(COUNTA($F5,$K5,$P5)&gt;0,J4+SUM(G5:I5),"")</f>
        <v>60000</v>
      </c>
      <c r="K5" s="8" t="s">
        <v>202</v>
      </c>
      <c r="L5" s="9">
        <v>0</v>
      </c>
      <c r="M5" s="9"/>
      <c r="N5" s="48"/>
      <c r="O5" s="21">
        <f t="shared" ref="O5:O30" si="3">IF(COUNTA($F5,$K5,$P5)&gt;0,O4+SUM(L5:N5),"")</f>
        <v>22000</v>
      </c>
      <c r="P5" s="8" t="s">
        <v>202</v>
      </c>
      <c r="Q5" s="9">
        <v>0</v>
      </c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35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-12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60000</v>
      </c>
      <c r="K6" s="8" t="s">
        <v>203</v>
      </c>
      <c r="L6" s="9">
        <v>-12000</v>
      </c>
      <c r="M6" s="9"/>
      <c r="N6" s="48">
        <v>-2000</v>
      </c>
      <c r="O6" s="21">
        <f t="shared" si="3"/>
        <v>8000</v>
      </c>
      <c r="P6" s="8" t="s">
        <v>204</v>
      </c>
      <c r="Q6" s="9">
        <v>12000</v>
      </c>
      <c r="R6" s="9"/>
      <c r="S6" s="48">
        <v>2000</v>
      </c>
      <c r="T6" s="21">
        <f t="shared" si="4"/>
        <v>37000</v>
      </c>
      <c r="U6" s="53">
        <f>IF($J6="","",ROUND(($J6-$J$3)/1000,1)+(_xlfn.RANK.AVG($J6,($J6,$O6,$T6),1)-2)*10)</f>
        <v>35</v>
      </c>
      <c r="V6" s="54">
        <f>IF($O6="","",ROUND(($O6-$O$3)/1000,1)+(_xlfn.RANK.AVG($O6,($J6,$O6,$T6),1)-2)*10)</f>
        <v>-37</v>
      </c>
      <c r="W6" s="55">
        <f>IF($T6="","",ROUND(($T6-$T$3)/1000,1)+(_xlfn.RANK.AVG($T6,($J6,$O6,$T6),1)-2)*10)</f>
        <v>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6</v>
      </c>
      <c r="BT6" s="30" t="s">
        <v>199</v>
      </c>
      <c r="BU6" s="40" t="s">
        <v>101</v>
      </c>
      <c r="BV6" s="41" t="s">
        <v>79</v>
      </c>
      <c r="BW6" s="41" t="s">
        <v>79</v>
      </c>
      <c r="BX6" s="41" t="s">
        <v>205</v>
      </c>
      <c r="BY6" s="41" t="s">
        <v>205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-3000</v>
      </c>
      <c r="H7" s="9"/>
      <c r="I7" s="48">
        <v>0</v>
      </c>
      <c r="J7" s="21">
        <f t="shared" si="2"/>
        <v>57000</v>
      </c>
      <c r="K7" s="8" t="s">
        <v>197</v>
      </c>
      <c r="L7" s="9">
        <v>8000</v>
      </c>
      <c r="M7" s="9"/>
      <c r="N7" s="48">
        <v>0</v>
      </c>
      <c r="O7" s="21">
        <f t="shared" si="3"/>
        <v>16000</v>
      </c>
      <c r="P7" s="8" t="s">
        <v>198</v>
      </c>
      <c r="Q7" s="9">
        <v>-5000</v>
      </c>
      <c r="R7" s="9"/>
      <c r="S7" s="48">
        <v>0</v>
      </c>
      <c r="T7" s="21">
        <f t="shared" si="4"/>
        <v>32000</v>
      </c>
      <c r="U7" s="53">
        <f>IF($J7="","",ROUND(($J7-$J$3)/1000,1)+(_xlfn.RANK.AVG($J7,($J7,$O7,$T7),1)-2)*10)</f>
        <v>32</v>
      </c>
      <c r="V7" s="54">
        <f>IF($O7="","",ROUND(($O7-$O$3)/1000,1)+(_xlfn.RANK.AVG($O7,($J7,$O7,$T7),1)-2)*10)</f>
        <v>-29</v>
      </c>
      <c r="W7" s="55">
        <f>IF($T7="","",ROUND(($T7-$T$3)/1000,1)+(_xlfn.RANK.AVG($T7,($J7,$O7,$T7),1)-2)*10)</f>
        <v>-3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82</v>
      </c>
      <c r="BB7" s="41" t="s">
        <v>85</v>
      </c>
      <c r="BC7" s="41" t="s">
        <v>84</v>
      </c>
      <c r="BD7" s="41" t="s">
        <v>205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1500</v>
      </c>
      <c r="H8" s="9">
        <v>-1000</v>
      </c>
      <c r="I8" s="48"/>
      <c r="J8" s="21">
        <f t="shared" si="2"/>
        <v>57500</v>
      </c>
      <c r="K8" s="8" t="s">
        <v>202</v>
      </c>
      <c r="L8" s="9">
        <v>1500</v>
      </c>
      <c r="M8" s="9"/>
      <c r="N8" s="48"/>
      <c r="O8" s="21">
        <f t="shared" si="3"/>
        <v>17500</v>
      </c>
      <c r="P8" s="8" t="s">
        <v>202</v>
      </c>
      <c r="Q8" s="9">
        <v>-3000</v>
      </c>
      <c r="R8" s="9"/>
      <c r="S8" s="48"/>
      <c r="T8" s="21">
        <f t="shared" si="4"/>
        <v>29000</v>
      </c>
      <c r="U8" s="53">
        <f>IF($J8="","",ROUND(($J8-$J$3)/1000,1)+(_xlfn.RANK.AVG($J8,($J8,$O8,$T8),1)-2)*10)</f>
        <v>32.5</v>
      </c>
      <c r="V8" s="54">
        <f>IF($O8="","",ROUND(($O8-$O$3)/1000,1)+(_xlfn.RANK.AVG($O8,($J8,$O8,$T8),1)-2)*10)</f>
        <v>-27.5</v>
      </c>
      <c r="W8" s="55">
        <f>IF($T8="","",ROUND(($T8-$T$3)/1000,1)+(_xlfn.RANK.AVG($T8,($J8,$O8,$T8),1)-2)*10)</f>
        <v>-6</v>
      </c>
      <c r="Y8" s="8" t="s">
        <v>206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206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191</v>
      </c>
      <c r="F9" s="8" t="s">
        <v>202</v>
      </c>
      <c r="G9" s="9">
        <v>-1500</v>
      </c>
      <c r="H9" s="9"/>
      <c r="I9" s="48"/>
      <c r="J9" s="21">
        <f t="shared" si="2"/>
        <v>56000</v>
      </c>
      <c r="K9" s="8" t="s">
        <v>202</v>
      </c>
      <c r="L9" s="9">
        <v>-1500</v>
      </c>
      <c r="M9" s="9"/>
      <c r="N9" s="48"/>
      <c r="O9" s="21">
        <f t="shared" si="3"/>
        <v>16000</v>
      </c>
      <c r="P9" s="8" t="s">
        <v>202</v>
      </c>
      <c r="Q9" s="9">
        <v>3000</v>
      </c>
      <c r="R9" s="9">
        <v>-1000</v>
      </c>
      <c r="S9" s="48"/>
      <c r="T9" s="21">
        <f t="shared" si="4"/>
        <v>31000</v>
      </c>
      <c r="U9" s="53">
        <f>IF($J9="","",ROUND(($J9-$J$3)/1000,1)+(_xlfn.RANK.AVG($J9,($J9,$O9,$T9),1)-2)*10)</f>
        <v>31</v>
      </c>
      <c r="V9" s="54">
        <f>IF($O9="","",ROUND(($O9-$O$3)/1000,1)+(_xlfn.RANK.AVG($O9,($J9,$O9,$T9),1)-2)*10)</f>
        <v>-29</v>
      </c>
      <c r="W9" s="55">
        <f>IF($T9="","",ROUND(($T9-$T$3)/1000,1)+(_xlfn.RANK.AVG($T9,($J9,$O9,$T9),1)-2)*10)</f>
        <v>-4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2</v>
      </c>
      <c r="E10" s="4" t="s">
        <v>193</v>
      </c>
      <c r="F10" s="8" t="s">
        <v>197</v>
      </c>
      <c r="G10" s="9">
        <v>8000</v>
      </c>
      <c r="H10" s="9">
        <v>3000</v>
      </c>
      <c r="I10" s="48">
        <v>2000</v>
      </c>
      <c r="J10" s="21">
        <f t="shared" si="2"/>
        <v>69000</v>
      </c>
      <c r="K10" s="8" t="s">
        <v>198</v>
      </c>
      <c r="L10" s="9">
        <v>-5000</v>
      </c>
      <c r="M10" s="9">
        <v>-1000</v>
      </c>
      <c r="N10" s="48">
        <v>-1000</v>
      </c>
      <c r="O10" s="21">
        <f t="shared" si="3"/>
        <v>9000</v>
      </c>
      <c r="P10" s="8" t="s">
        <v>198</v>
      </c>
      <c r="Q10" s="9">
        <v>-3000</v>
      </c>
      <c r="R10" s="9"/>
      <c r="S10" s="48">
        <v>-1000</v>
      </c>
      <c r="T10" s="21">
        <f t="shared" si="4"/>
        <v>27000</v>
      </c>
      <c r="U10" s="53">
        <f>IF($J10="","",ROUND(($J10-$J$3)/1000,1)+(_xlfn.RANK.AVG($J10,($J10,$O10,$T10),1)-2)*10)</f>
        <v>44</v>
      </c>
      <c r="V10" s="54">
        <f>IF($O10="","",ROUND(($O10-$O$3)/1000,1)+(_xlfn.RANK.AVG($O10,($J10,$O10,$T10),1)-2)*10)</f>
        <v>-36</v>
      </c>
      <c r="W10" s="55">
        <f>IF($T10="","",ROUND(($T10-$T$3)/1000,1)+(_xlfn.RANK.AVG($T10,($J10,$O10,$T10),1)-2)*10)</f>
        <v>-8</v>
      </c>
      <c r="Y10" s="8"/>
      <c r="Z10" s="34"/>
      <c r="AA10" s="26"/>
      <c r="AB10" s="26">
        <v>1</v>
      </c>
      <c r="AC10" s="26">
        <v>5</v>
      </c>
      <c r="AD10" s="30" t="s">
        <v>199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 t="s">
        <v>205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-12000</v>
      </c>
      <c r="H11" s="9"/>
      <c r="I11" s="48">
        <v>0</v>
      </c>
      <c r="J11" s="21">
        <f t="shared" si="2"/>
        <v>57000</v>
      </c>
      <c r="K11" s="8" t="s">
        <v>197</v>
      </c>
      <c r="L11" s="9">
        <v>32000</v>
      </c>
      <c r="M11" s="9"/>
      <c r="N11" s="48">
        <v>0</v>
      </c>
      <c r="O11" s="21">
        <f t="shared" si="3"/>
        <v>41000</v>
      </c>
      <c r="P11" s="8" t="s">
        <v>198</v>
      </c>
      <c r="Q11" s="9">
        <v>-20000</v>
      </c>
      <c r="R11" s="9"/>
      <c r="S11" s="48">
        <v>0</v>
      </c>
      <c r="T11" s="21">
        <f t="shared" si="4"/>
        <v>7000</v>
      </c>
      <c r="U11" s="53">
        <f>IF($J11="","",ROUND(($J11-$J$3)/1000,1)+(_xlfn.RANK.AVG($J11,($J11,$O11,$T11),1)-2)*10)</f>
        <v>32</v>
      </c>
      <c r="V11" s="54">
        <f>IF($O11="","",ROUND(($O11-$O$3)/1000,1)+(_xlfn.RANK.AVG($O11,($J11,$O11,$T11),1)-2)*10)</f>
        <v>6</v>
      </c>
      <c r="W11" s="55">
        <f>IF($T11="","",ROUND(($T11-$T$3)/1000,1)+(_xlfn.RANK.AVG($T11,($J11,$O11,$T11),1)-2)*10)</f>
        <v>-38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14</v>
      </c>
      <c r="AY11" s="30" t="s">
        <v>199</v>
      </c>
      <c r="AZ11" s="40" t="s">
        <v>200</v>
      </c>
      <c r="BA11" s="41" t="s">
        <v>82</v>
      </c>
      <c r="BB11" s="41" t="s">
        <v>104</v>
      </c>
      <c r="BC11" s="41" t="s">
        <v>86</v>
      </c>
      <c r="BD11" s="41" t="s">
        <v>86</v>
      </c>
      <c r="BE11" s="41" t="s">
        <v>79</v>
      </c>
      <c r="BF11" s="41" t="s">
        <v>79</v>
      </c>
      <c r="BG11" s="41" t="s">
        <v>80</v>
      </c>
      <c r="BH11" s="41" t="s">
        <v>96</v>
      </c>
      <c r="BI11" s="41" t="s">
        <v>93</v>
      </c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C021924-7A9A-4683-A1FB-E3EA266E1A8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67303-95BE-47C5-B06F-2D5582A2DCB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198</v>
      </c>
      <c r="G4" s="9">
        <v>-7500</v>
      </c>
      <c r="H4" s="9">
        <v>-1000</v>
      </c>
      <c r="I4" s="48">
        <v>0</v>
      </c>
      <c r="J4" s="21">
        <f>IF(COUNTA($F4,$K4,$P4)&gt;0,J3+SUM(G4:I4),"")</f>
        <v>26500</v>
      </c>
      <c r="K4" s="8" t="s">
        <v>198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197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-18.5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199</v>
      </c>
      <c r="BU4" s="40" t="s">
        <v>200</v>
      </c>
      <c r="BV4" s="41" t="s">
        <v>82</v>
      </c>
      <c r="BW4" s="41" t="s">
        <v>205</v>
      </c>
      <c r="BX4" s="41" t="s">
        <v>205</v>
      </c>
      <c r="BY4" s="41" t="s">
        <v>207</v>
      </c>
      <c r="BZ4" s="41" t="s">
        <v>85</v>
      </c>
      <c r="CA4" s="41" t="s">
        <v>84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25000</v>
      </c>
      <c r="K5" s="8" t="s">
        <v>197</v>
      </c>
      <c r="L5" s="9">
        <v>3000</v>
      </c>
      <c r="M5" s="9"/>
      <c r="N5" s="48">
        <v>0</v>
      </c>
      <c r="O5" s="21">
        <f t="shared" ref="O5:O30" si="3">IF(COUNTA($F5,$K5,$P5)&gt;0,O4+SUM(L5:N5),"")</f>
        <v>33500</v>
      </c>
      <c r="P5" s="8" t="s">
        <v>198</v>
      </c>
      <c r="Q5" s="9">
        <v>-1500</v>
      </c>
      <c r="R5" s="9"/>
      <c r="S5" s="48">
        <v>0</v>
      </c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21.5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82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203</v>
      </c>
      <c r="G6" s="9">
        <v>-12000</v>
      </c>
      <c r="H6" s="9"/>
      <c r="I6" s="48">
        <v>-1000</v>
      </c>
      <c r="J6" s="21">
        <f t="shared" si="2"/>
        <v>12000</v>
      </c>
      <c r="K6" s="8" t="s">
        <v>204</v>
      </c>
      <c r="L6" s="9">
        <v>12000</v>
      </c>
      <c r="M6" s="9"/>
      <c r="N6" s="48">
        <v>1000</v>
      </c>
      <c r="O6" s="21">
        <f t="shared" si="3"/>
        <v>46500</v>
      </c>
      <c r="P6" s="8"/>
      <c r="Q6" s="9"/>
      <c r="R6" s="9"/>
      <c r="S6" s="48"/>
      <c r="T6" s="21">
        <f t="shared" si="4"/>
        <v>46500</v>
      </c>
      <c r="U6" s="53">
        <f>IF($J6="","",ROUND(($J6-$J$3)/1000,1)+(_xlfn.RANK.AVG($J6,($J6,$O6,$T6),1)-2)*10)</f>
        <v>-33</v>
      </c>
      <c r="V6" s="54">
        <f>IF($O6="","",ROUND(($O6-$O$3)/1000,1)+(_xlfn.RANK.AVG($O6,($J6,$O6,$T6),1)-2)*10)</f>
        <v>16.5</v>
      </c>
      <c r="W6" s="55">
        <f>IF($T6="","",ROUND(($T6-$T$3)/1000,1)+(_xlfn.RANK.AVG($T6,($J6,$O6,$T6),1)-2)*10)</f>
        <v>16.5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104</v>
      </c>
      <c r="BA6" s="41" t="s">
        <v>86</v>
      </c>
      <c r="BB6" s="41" t="s">
        <v>205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191</v>
      </c>
      <c r="F7" s="8" t="s">
        <v>203</v>
      </c>
      <c r="G7" s="9">
        <v>-18000</v>
      </c>
      <c r="H7" s="9"/>
      <c r="I7" s="48">
        <v>-2000</v>
      </c>
      <c r="J7" s="21">
        <f t="shared" si="2"/>
        <v>-8000</v>
      </c>
      <c r="K7" s="8" t="s">
        <v>204</v>
      </c>
      <c r="L7" s="9">
        <v>18000</v>
      </c>
      <c r="M7" s="9"/>
      <c r="N7" s="48">
        <v>2000</v>
      </c>
      <c r="O7" s="21">
        <f t="shared" si="3"/>
        <v>66500</v>
      </c>
      <c r="P7" s="8"/>
      <c r="Q7" s="9"/>
      <c r="R7" s="9"/>
      <c r="S7" s="48"/>
      <c r="T7" s="21">
        <f t="shared" si="4"/>
        <v>46500</v>
      </c>
      <c r="U7" s="53">
        <f>IF($J7="","",ROUND(($J7-$J$3)/1000,1)+(_xlfn.RANK.AVG($J7,($J7,$O7,$T7),1)-2)*10)</f>
        <v>-53</v>
      </c>
      <c r="V7" s="54">
        <f>IF($O7="","",ROUND(($O7-$O$3)/1000,1)+(_xlfn.RANK.AVG($O7,($J7,$O7,$T7),1)-2)*10)</f>
        <v>41.5</v>
      </c>
      <c r="W7" s="55">
        <f>IF($T7="","",ROUND(($T7-$T$3)/1000,1)+(_xlfn.RANK.AVG($T7,($J7,$O7,$T7),1)-2)*10)</f>
        <v>11.5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207</v>
      </c>
      <c r="BB7" s="41" t="s">
        <v>85</v>
      </c>
      <c r="BC7" s="41" t="s">
        <v>83</v>
      </c>
      <c r="BD7" s="41" t="s">
        <v>84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89B230F7-C1EE-4726-A0C9-13CEFC8BBEA5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201E7C81-7534-4F24-851C-18A5B1E45EF5}">
      <formula1>"ロン,ツモ,放銃,ツモ支払,流局,チョンボ"</formula1>
    </dataValidation>
    <dataValidation type="list" allowBlank="1" showInputMessage="1" showErrorMessage="1" sqref="E4:E30" xr:uid="{000F1142-5E5B-46AC-A4CC-FBF14F12B6E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73C57-87AA-427A-8ECC-F749C0F2C5C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 t="s">
        <v>204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-24000</v>
      </c>
      <c r="R4" s="9"/>
      <c r="S4" s="48">
        <v>0</v>
      </c>
      <c r="T4" s="21">
        <f>IF(COUNTA($F4,$K4,$P4)&gt;0,T3+SUM(Q4:S4),"")</f>
        <v>11000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-34</v>
      </c>
      <c r="Y4" s="8"/>
      <c r="Z4" s="34"/>
      <c r="AA4" s="26">
        <v>1</v>
      </c>
      <c r="AB4" s="26"/>
      <c r="AC4" s="26">
        <v>8</v>
      </c>
      <c r="AD4" s="30" t="s">
        <v>199</v>
      </c>
      <c r="AE4" s="40" t="s">
        <v>200</v>
      </c>
      <c r="AF4" s="41" t="s">
        <v>103</v>
      </c>
      <c r="AG4" s="41" t="s">
        <v>79</v>
      </c>
      <c r="AH4" s="41" t="s">
        <v>80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-8000</v>
      </c>
      <c r="H5" s="9"/>
      <c r="I5" s="48">
        <v>-1000</v>
      </c>
      <c r="J5" s="21">
        <f t="shared" ref="J5:J30" si="2">IF(COUNTA($F5,$K5,$P5)&gt;0,J4+SUM(G5:I5),"")</f>
        <v>50000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204</v>
      </c>
      <c r="Q5" s="9">
        <v>8000</v>
      </c>
      <c r="R5" s="9"/>
      <c r="S5" s="48">
        <v>1000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25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199</v>
      </c>
      <c r="BU5" s="40" t="s">
        <v>104</v>
      </c>
      <c r="BV5" s="41" t="s">
        <v>205</v>
      </c>
      <c r="BW5" s="41" t="s">
        <v>99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203</v>
      </c>
      <c r="G6" s="9">
        <v>-4800</v>
      </c>
      <c r="H6" s="9"/>
      <c r="I6" s="48">
        <v>0</v>
      </c>
      <c r="J6" s="21">
        <f t="shared" si="2"/>
        <v>45200</v>
      </c>
      <c r="K6" s="8" t="s">
        <v>204</v>
      </c>
      <c r="L6" s="9">
        <v>4800</v>
      </c>
      <c r="M6" s="9"/>
      <c r="N6" s="48">
        <v>0</v>
      </c>
      <c r="O6" s="21">
        <f t="shared" si="3"/>
        <v>39800</v>
      </c>
      <c r="P6" s="8"/>
      <c r="Q6" s="9"/>
      <c r="R6" s="9"/>
      <c r="S6" s="48"/>
      <c r="T6" s="21">
        <f t="shared" si="4"/>
        <v>20000</v>
      </c>
      <c r="U6" s="53">
        <f>IF($J6="","",ROUND(($J6-$J$3)/1000,1)+(_xlfn.RANK.AVG($J6,($J6,$O6,$T6),1)-2)*10)</f>
        <v>20.2</v>
      </c>
      <c r="V6" s="54">
        <f>IF($O6="","",ROUND(($O6-$O$3)/1000,1)+(_xlfn.RANK.AVG($O6,($J6,$O6,$T6),1)-2)*10)</f>
        <v>4.8</v>
      </c>
      <c r="W6" s="55">
        <f>IF($T6="","",ROUND(($T6-$T$3)/1000,1)+(_xlfn.RANK.AVG($T6,($J6,$O6,$T6),1)-2)*10)</f>
        <v>-25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101</v>
      </c>
      <c r="BA6" s="41" t="s">
        <v>205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208</v>
      </c>
      <c r="G7" s="9">
        <v>1500</v>
      </c>
      <c r="H7" s="9"/>
      <c r="I7" s="48"/>
      <c r="J7" s="21">
        <f t="shared" si="2"/>
        <v>46700</v>
      </c>
      <c r="K7" s="8" t="s">
        <v>208</v>
      </c>
      <c r="L7" s="9">
        <v>-3000</v>
      </c>
      <c r="M7" s="9"/>
      <c r="N7" s="48"/>
      <c r="O7" s="21">
        <f t="shared" si="3"/>
        <v>36800</v>
      </c>
      <c r="P7" s="8" t="s">
        <v>208</v>
      </c>
      <c r="Q7" s="9">
        <v>1500</v>
      </c>
      <c r="R7" s="9">
        <v>-1000</v>
      </c>
      <c r="S7" s="48"/>
      <c r="T7" s="21">
        <f t="shared" si="4"/>
        <v>20500</v>
      </c>
      <c r="U7" s="53">
        <f>IF($J7="","",ROUND(($J7-$J$3)/1000,1)+(_xlfn.RANK.AVG($J7,($J7,$O7,$T7),1)-2)*10)</f>
        <v>21.7</v>
      </c>
      <c r="V7" s="54">
        <f>IF($O7="","",ROUND(($O7-$O$3)/1000,1)+(_xlfn.RANK.AVG($O7,($J7,$O7,$T7),1)-2)*10)</f>
        <v>1.8</v>
      </c>
      <c r="W7" s="55">
        <f>IF($T7="","",ROUND(($T7-$T$3)/1000,1)+(_xlfn.RANK.AVG($T7,($J7,$O7,$T7),1)-2)*10)</f>
        <v>-24.5</v>
      </c>
      <c r="Y7" s="8" t="s">
        <v>206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193</v>
      </c>
      <c r="F8" s="8" t="s">
        <v>203</v>
      </c>
      <c r="G8" s="9">
        <v>-32000</v>
      </c>
      <c r="H8" s="9"/>
      <c r="I8" s="48">
        <v>-2000</v>
      </c>
      <c r="J8" s="21">
        <f t="shared" si="2"/>
        <v>12700</v>
      </c>
      <c r="K8" s="8" t="s">
        <v>204</v>
      </c>
      <c r="L8" s="9">
        <v>32000</v>
      </c>
      <c r="M8" s="9">
        <v>2000</v>
      </c>
      <c r="N8" s="48">
        <v>2000</v>
      </c>
      <c r="O8" s="21">
        <f t="shared" si="3"/>
        <v>72800</v>
      </c>
      <c r="P8" s="8"/>
      <c r="Q8" s="9"/>
      <c r="R8" s="9">
        <v>-1000</v>
      </c>
      <c r="S8" s="48"/>
      <c r="T8" s="21">
        <f t="shared" si="4"/>
        <v>19500</v>
      </c>
      <c r="U8" s="53">
        <f>IF($J8="","",ROUND(($J8-$J$3)/1000,1)+(_xlfn.RANK.AVG($J8,($J8,$O8,$T8),1)-2)*10)</f>
        <v>-32.299999999999997</v>
      </c>
      <c r="V8" s="54">
        <f>IF($O8="","",ROUND(($O8-$O$3)/1000,1)+(_xlfn.RANK.AVG($O8,($J8,$O8,$T8),1)-2)*10)</f>
        <v>47.8</v>
      </c>
      <c r="W8" s="55">
        <f>IF($T8="","",ROUND(($T8-$T$3)/1000,1)+(_xlfn.RANK.AVG($T8,($J8,$O8,$T8),1)-2)*10)</f>
        <v>-15.5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13</v>
      </c>
      <c r="AY8" s="30" t="s">
        <v>199</v>
      </c>
      <c r="AZ8" s="40" t="s">
        <v>107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12700</v>
      </c>
      <c r="K9" s="8" t="s">
        <v>204</v>
      </c>
      <c r="L9" s="9">
        <v>3900</v>
      </c>
      <c r="M9" s="9">
        <v>1000</v>
      </c>
      <c r="N9" s="48">
        <v>0</v>
      </c>
      <c r="O9" s="21">
        <f t="shared" si="3"/>
        <v>77700</v>
      </c>
      <c r="P9" s="8" t="s">
        <v>203</v>
      </c>
      <c r="Q9" s="9">
        <v>-3900</v>
      </c>
      <c r="R9" s="9">
        <v>-1000</v>
      </c>
      <c r="S9" s="48">
        <v>0</v>
      </c>
      <c r="T9" s="21">
        <f t="shared" si="4"/>
        <v>14600</v>
      </c>
      <c r="U9" s="53">
        <f>IF($J9="","",ROUND(($J9-$J$3)/1000,1)+(_xlfn.RANK.AVG($J9,($J9,$O9,$T9),1)-2)*10)</f>
        <v>-32.299999999999997</v>
      </c>
      <c r="V9" s="54">
        <f>IF($O9="","",ROUND(($O9-$O$3)/1000,1)+(_xlfn.RANK.AVG($O9,($J9,$O9,$T9),1)-2)*10)</f>
        <v>52.7</v>
      </c>
      <c r="W9" s="55">
        <f>IF($T9="","",ROUND(($T9-$T$3)/1000,1)+(_xlfn.RANK.AVG($T9,($J9,$O9,$T9),1)-2)*10)</f>
        <v>-20.399999999999999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86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203</v>
      </c>
      <c r="G10" s="9">
        <v>-3900</v>
      </c>
      <c r="H10" s="9"/>
      <c r="I10" s="48">
        <v>0</v>
      </c>
      <c r="J10" s="21">
        <f t="shared" si="2"/>
        <v>8800</v>
      </c>
      <c r="K10" s="8" t="s">
        <v>204</v>
      </c>
      <c r="L10" s="9">
        <v>3900</v>
      </c>
      <c r="M10" s="9"/>
      <c r="N10" s="48">
        <v>0</v>
      </c>
      <c r="O10" s="21">
        <f t="shared" si="3"/>
        <v>81600</v>
      </c>
      <c r="P10" s="8"/>
      <c r="Q10" s="9"/>
      <c r="R10" s="9"/>
      <c r="S10" s="48"/>
      <c r="T10" s="21">
        <f t="shared" si="4"/>
        <v>14600</v>
      </c>
      <c r="U10" s="53">
        <f>IF($J10="","",ROUND(($J10-$J$3)/1000,1)+(_xlfn.RANK.AVG($J10,($J10,$O10,$T10),1)-2)*10)</f>
        <v>-36.200000000000003</v>
      </c>
      <c r="V10" s="54">
        <f>IF($O10="","",ROUND(($O10-$O$3)/1000,1)+(_xlfn.RANK.AVG($O10,($J10,$O10,$T10),1)-2)*10)</f>
        <v>56.6</v>
      </c>
      <c r="W10" s="55">
        <f>IF($T10="","",ROUND(($T10-$T$3)/1000,1)+(_xlfn.RANK.AVG($T10,($J10,$O10,$T10),1)-2)*10)</f>
        <v>-20.399999999999999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86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198</v>
      </c>
      <c r="G11" s="9">
        <v>-4500</v>
      </c>
      <c r="H11" s="9"/>
      <c r="I11" s="48">
        <v>-500</v>
      </c>
      <c r="J11" s="21">
        <f t="shared" si="2"/>
        <v>3800</v>
      </c>
      <c r="K11" s="8" t="s">
        <v>198</v>
      </c>
      <c r="L11" s="9">
        <v>-7500</v>
      </c>
      <c r="M11" s="9"/>
      <c r="N11" s="48">
        <v>-500</v>
      </c>
      <c r="O11" s="21">
        <f t="shared" si="3"/>
        <v>73600</v>
      </c>
      <c r="P11" s="8" t="s">
        <v>197</v>
      </c>
      <c r="Q11" s="9">
        <v>12000</v>
      </c>
      <c r="R11" s="9"/>
      <c r="S11" s="48">
        <v>1000</v>
      </c>
      <c r="T11" s="21">
        <f t="shared" si="4"/>
        <v>27600</v>
      </c>
      <c r="U11" s="53">
        <f>IF($J11="","",ROUND(($J11-$J$3)/1000,1)+(_xlfn.RANK.AVG($J11,($J11,$O11,$T11),1)-2)*10)</f>
        <v>-41.2</v>
      </c>
      <c r="V11" s="54">
        <f>IF($O11="","",ROUND(($O11-$O$3)/1000,1)+(_xlfn.RANK.AVG($O11,($J11,$O11,$T11),1)-2)*10)</f>
        <v>48.6</v>
      </c>
      <c r="W11" s="55">
        <f>IF($T11="","",ROUND(($T11-$T$3)/1000,1)+(_xlfn.RANK.AVG($T11,($J11,$O11,$T11),1)-2)*10)</f>
        <v>-7.4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200</v>
      </c>
      <c r="BV11" s="41" t="s">
        <v>82</v>
      </c>
      <c r="BW11" s="41" t="s">
        <v>79</v>
      </c>
      <c r="BX11" s="41" t="s">
        <v>79</v>
      </c>
      <c r="BY11" s="41" t="s">
        <v>79</v>
      </c>
      <c r="BZ11" s="41" t="s">
        <v>205</v>
      </c>
      <c r="CA11" s="41" t="s">
        <v>80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-12000</v>
      </c>
      <c r="H12" s="9"/>
      <c r="I12" s="48">
        <v>0</v>
      </c>
      <c r="J12" s="21">
        <f t="shared" si="2"/>
        <v>-8200</v>
      </c>
      <c r="K12" s="8" t="s">
        <v>198</v>
      </c>
      <c r="L12" s="9">
        <v>-12000</v>
      </c>
      <c r="M12" s="9"/>
      <c r="N12" s="48">
        <v>0</v>
      </c>
      <c r="O12" s="21">
        <f t="shared" si="3"/>
        <v>61600</v>
      </c>
      <c r="P12" s="8" t="s">
        <v>197</v>
      </c>
      <c r="Q12" s="9">
        <v>24000</v>
      </c>
      <c r="R12" s="9"/>
      <c r="S12" s="48">
        <v>0</v>
      </c>
      <c r="T12" s="21">
        <f t="shared" si="4"/>
        <v>51600</v>
      </c>
      <c r="U12" s="53">
        <f>IF($J12="","",ROUND(($J12-$J$3)/1000,1)+(_xlfn.RANK.AVG($J12,($J12,$O12,$T12),1)-2)*10)</f>
        <v>-53.2</v>
      </c>
      <c r="V12" s="54">
        <f>IF($O12="","",ROUND(($O12-$O$3)/1000,1)+(_xlfn.RANK.AVG($O12,($J12,$O12,$T12),1)-2)*10)</f>
        <v>36.6</v>
      </c>
      <c r="W12" s="55">
        <f>IF($T12="","",ROUND(($T12-$T$3)/1000,1)+(_xlfn.RANK.AVG($T12,($J12,$O12,$T12),1)-2)*10)</f>
        <v>16.600000000000001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9</v>
      </c>
      <c r="BT12" s="30" t="s">
        <v>199</v>
      </c>
      <c r="BU12" s="40" t="s">
        <v>106</v>
      </c>
      <c r="BV12" s="41" t="s">
        <v>79</v>
      </c>
      <c r="BW12" s="41" t="s">
        <v>79</v>
      </c>
      <c r="BX12" s="41" t="s">
        <v>79</v>
      </c>
      <c r="BY12" s="41" t="s">
        <v>205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38A5B4B-0224-4A29-A8CF-B06E0B71791B}">
      <formula1>$U$2:$W$2</formula1>
    </dataValidation>
    <dataValidation type="list" showInputMessage="1" showErrorMessage="1" sqref="K4:K30 P4:P30 F4:F30" xr:uid="{A2045EF1-BB62-4093-AB5E-7B2B4C9855DC}">
      <formula1>"ロン,ツモ,放銃,ツモ支払,流局,チョンボ"</formula1>
    </dataValidation>
    <dataValidation type="list" allowBlank="1" showInputMessage="1" sqref="F1:T1" xr:uid="{7416295C-175C-4482-8924-E7EF89D7A58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2020-01-26T16:31:33Z</dcterms:modified>
</cp:coreProperties>
</file>