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7B0068C-6196-4EAB-815F-7389556E5D75}" xr6:coauthVersionLast="41" xr6:coauthVersionMax="41" xr10:uidLastSave="{00000000-0000-0000-0000-000000000000}"/>
  <bookViews>
    <workbookView xWindow="-120" yWindow="-120" windowWidth="20730" windowHeight="1131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J11" i="21"/>
  <c r="D11" i="21"/>
  <c r="C11" i="21"/>
  <c r="B11" i="21"/>
  <c r="A11" i="21"/>
  <c r="T10" i="21"/>
  <c r="O10" i="21"/>
  <c r="J10" i="21"/>
  <c r="D10" i="21"/>
  <c r="C10" i="21"/>
  <c r="B10" i="21"/>
  <c r="A10" i="21" s="1"/>
  <c r="T9" i="21"/>
  <c r="O9" i="21"/>
  <c r="J9" i="21"/>
  <c r="U9" i="21" s="1"/>
  <c r="D9" i="21"/>
  <c r="C9" i="21"/>
  <c r="B9" i="21"/>
  <c r="A9" i="21"/>
  <c r="D8" i="21"/>
  <c r="D7" i="21"/>
  <c r="C7" i="21"/>
  <c r="C8" i="21" s="1"/>
  <c r="D6" i="21"/>
  <c r="B6" i="21"/>
  <c r="B7" i="21" s="1"/>
  <c r="T5" i="21"/>
  <c r="D5" i="21"/>
  <c r="C5" i="21"/>
  <c r="C6" i="21" s="1"/>
  <c r="B5" i="21"/>
  <c r="A5" i="21" s="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U11" i="21" l="1"/>
  <c r="V11" i="21"/>
  <c r="W10" i="21"/>
  <c r="U10" i="21"/>
  <c r="V10" i="21"/>
  <c r="V9" i="21"/>
  <c r="W9" i="21"/>
  <c r="A6" i="21"/>
  <c r="U4" i="21"/>
  <c r="W4" i="21"/>
  <c r="V4" i="21"/>
  <c r="O6" i="21"/>
  <c r="B8" i="21"/>
  <c r="A8" i="21" s="1"/>
  <c r="A7" i="21"/>
  <c r="J5" i="21"/>
  <c r="W5" i="21" s="1"/>
  <c r="T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T10" i="20"/>
  <c r="O10" i="20"/>
  <c r="V10" i="20" s="1"/>
  <c r="J10" i="20"/>
  <c r="U10" i="20" s="1"/>
  <c r="D10" i="20"/>
  <c r="C10" i="20"/>
  <c r="B10" i="20"/>
  <c r="A10" i="20" s="1"/>
  <c r="T9" i="20"/>
  <c r="O9" i="20"/>
  <c r="J9" i="20"/>
  <c r="U9" i="20" s="1"/>
  <c r="D9" i="20"/>
  <c r="C9" i="20"/>
  <c r="B9" i="20"/>
  <c r="A9" i="20" s="1"/>
  <c r="D8" i="20"/>
  <c r="C8" i="20"/>
  <c r="D7" i="20"/>
  <c r="C7" i="20"/>
  <c r="T6" i="20"/>
  <c r="T7" i="20" s="1"/>
  <c r="D6" i="20"/>
  <c r="B6" i="20"/>
  <c r="B7" i="20" s="1"/>
  <c r="T5" i="20"/>
  <c r="D5" i="20"/>
  <c r="C5" i="20"/>
  <c r="C6" i="20" s="1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V5" i="21" l="1"/>
  <c r="T7" i="21"/>
  <c r="U5" i="21"/>
  <c r="J6" i="21"/>
  <c r="W6" i="21" s="1"/>
  <c r="V6" i="21"/>
  <c r="O7" i="21"/>
  <c r="W10" i="20"/>
  <c r="V9" i="20"/>
  <c r="W9" i="20"/>
  <c r="A6" i="20"/>
  <c r="U4" i="20"/>
  <c r="V4" i="20"/>
  <c r="W4" i="20"/>
  <c r="B8" i="20"/>
  <c r="A8" i="20" s="1"/>
  <c r="T8" i="20"/>
  <c r="J5" i="20"/>
  <c r="A7" i="20"/>
  <c r="O5" i="20"/>
  <c r="W3" i="19"/>
  <c r="V3" i="19"/>
  <c r="U3" i="19"/>
  <c r="O8" i="21" l="1"/>
  <c r="U6" i="21"/>
  <c r="J7" i="21"/>
  <c r="W7" i="21" s="1"/>
  <c r="T8" i="21"/>
  <c r="W5" i="20"/>
  <c r="V5" i="20"/>
  <c r="O6" i="20"/>
  <c r="U5" i="20"/>
  <c r="J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7" i="21" l="1"/>
  <c r="J8" i="21"/>
  <c r="W8" i="21"/>
  <c r="V7" i="21"/>
  <c r="V8" i="21"/>
  <c r="O7" i="20"/>
  <c r="V6" i="20"/>
  <c r="U6" i="20"/>
  <c r="J7" i="20"/>
  <c r="W6" i="20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8" i="21" l="1"/>
  <c r="O8" i="20"/>
  <c r="V7" i="20"/>
  <c r="J8" i="20"/>
  <c r="U7" i="20"/>
  <c r="W7" i="20"/>
  <c r="W5" i="19"/>
  <c r="V5" i="19"/>
  <c r="U5" i="19"/>
  <c r="U8" i="20" l="1"/>
  <c r="W8" i="20"/>
  <c r="V8" i="20"/>
</calcChain>
</file>

<file path=xl/sharedStrings.xml><?xml version="1.0" encoding="utf-8"?>
<sst xmlns="http://schemas.openxmlformats.org/spreadsheetml/2006/main" count="774" uniqueCount="209">
  <si>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</si>
  <si>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</si>
  <si>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</si>
  <si>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</si>
  <si>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</si>
  <si>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</si>
  <si>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</si>
  <si>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</si>
  <si>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</si>
  <si>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</si>
  <si>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</si>
  <si>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</si>
  <si>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</si>
  <si>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</si>
  <si>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</si>
  <si>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</si>
  <si>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</si>
  <si>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</si>
  <si>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</si>
  <si>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</si>
  <si>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</si>
  <si>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</si>
  <si>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</si>
  <si>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</si>
  <si>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</si>
  <si>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</si>
  <si>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</si>
  <si>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</si>
  <si>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</si>
  <si>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</si>
  <si>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</si>
  <si>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</si>
  <si>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</si>
  <si>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</si>
  <si>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</si>
  <si>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</si>
  <si>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</si>
  <si>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</si>
  <si>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</si>
  <si>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</si>
  <si>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</si>
  <si>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</si>
  <si>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</si>
  <si>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</si>
  <si>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</si>
  <si>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</si>
  <si>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</si>
  <si>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</si>
  <si>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</si>
  <si>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</si>
  <si>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</si>
  <si>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</si>
  <si>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</si>
  <si>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</si>
  <si>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</si>
  <si>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</si>
  <si>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</si>
  <si>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</si>
  <si>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</si>
  <si>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</si>
  <si>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</si>
  <si>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</si>
  <si>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</si>
  <si>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</si>
  <si>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</si>
  <si>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</si>
  <si>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</si>
  <si>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</si>
  <si>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</si>
  <si>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</si>
  <si>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</si>
  <si>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</si>
  <si>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</si>
  <si>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</si>
  <si>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</si>
  <si>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</si>
  <si>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</si>
  <si>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</si>
  <si>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</si>
  <si>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</si>
  <si>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</si>
  <si>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</si>
  <si>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</si>
  <si>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</si>
  <si>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</si>
  <si>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</si>
  <si>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</si>
  <si>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</si>
  <si>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</si>
  <si>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</si>
  <si>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</si>
  <si>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</si>
  <si>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</si>
  <si>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</si>
  <si>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</si>
  <si>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</si>
  <si>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</si>
  <si>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</si>
  <si>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</si>
  <si>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</si>
  <si>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</si>
  <si>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</si>
  <si>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</si>
  <si>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</si>
  <si>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</si>
  <si>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</si>
  <si>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</si>
  <si>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</si>
  <si>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</si>
  <si>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</si>
  <si>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</si>
  <si>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</si>
  <si>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</si>
  <si>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</si>
  <si>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</si>
  <si>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</si>
  <si>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</si>
  <si>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</si>
  <si>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</si>
  <si>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</si>
  <si>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</si>
  <si>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</si>
  <si>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</si>
  <si>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</si>
  <si>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</si>
  <si>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</si>
  <si>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</si>
  <si>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</si>
  <si>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</si>
  <si>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</si>
  <si>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</si>
  <si>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</si>
  <si>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</si>
  <si>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</si>
  <si>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</si>
  <si>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</si>
  <si>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</si>
  <si>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</si>
  <si>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</si>
  <si>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</si>
  <si>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</si>
  <si>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</si>
  <si>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</si>
  <si>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</si>
  <si>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</si>
  <si>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</si>
  <si>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</si>
  <si>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</si>
  <si>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</si>
  <si>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</si>
  <si>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</si>
  <si>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</si>
  <si>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</si>
  <si>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</si>
  <si>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</si>
  <si>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</si>
  <si>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</si>
  <si>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</si>
  <si>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</si>
  <si>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</si>
  <si>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</si>
  <si>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</si>
  <si>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</si>
  <si>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</si>
  <si>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</si>
  <si>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</si>
  <si>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</si>
  <si>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</si>
  <si>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</si>
  <si>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</si>
  <si>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</si>
  <si>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</si>
  <si>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</si>
  <si>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</si>
  <si>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</si>
  <si>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</si>
  <si>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</si>
  <si>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</si>
  <si>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</si>
  <si>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</si>
  <si>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</si>
  <si>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</si>
  <si>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</si>
  <si>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</si>
  <si>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</si>
  <si>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</si>
  <si>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</si>
  <si>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</si>
  <si>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</si>
  <si>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</si>
  <si>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</si>
  <si>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</si>
  <si>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</si>
  <si>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まっつん</t>
  </si>
  <si>
    <t>まっつん</t>
    <phoneticPr fontId="1"/>
  </si>
  <si>
    <t>だいち</t>
  </si>
  <si>
    <t>だいち</t>
    <phoneticPr fontId="1"/>
  </si>
  <si>
    <t>ツモ支払</t>
  </si>
  <si>
    <t>ツモ</t>
  </si>
  <si>
    <t>01</t>
  </si>
  <si>
    <t>放銃</t>
  </si>
  <si>
    <t>ロン</t>
  </si>
  <si>
    <t>52</t>
  </si>
  <si>
    <t>*</t>
  </si>
  <si>
    <t>ただ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</si>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</sst>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198</v>
      </c>
      <c r="L4" s="9">
        <v>2100</v>
      </c>
      <c r="M4" s="9"/>
      <c r="N4" s="48">
        <v>0</v>
      </c>
      <c r="O4" s="21">
        <f>IF(COUNTA($F4,$K4,$P4)&gt;0,O3+SUM(L4:N4),"")</f>
        <v>37100</v>
      </c>
      <c r="P4" s="8" t="s">
        <v>197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12.1</v>
      </c>
      <c r="W4" s="55">
        <f>IF($T4="","",ROUND(($T4-$T$3)/1000,1)+(_xlfn.RANK.AVG($T4,($J4,$O4,$T4),1)-2)*10)</f>
        <v>-0.8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30</v>
      </c>
      <c r="AZ4" s="40" t="s">
        <v>199</v>
      </c>
      <c r="BA4" s="41" t="s">
        <v>82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200</v>
      </c>
      <c r="G5" s="9">
        <v>-11600</v>
      </c>
      <c r="H5" s="9"/>
      <c r="I5" s="48">
        <v>0</v>
      </c>
      <c r="J5" s="21">
        <f t="shared" ref="J5:J30" si="2">IF(COUNTA($F5,$K5,$P5)&gt;0,J4+SUM(G5:I5),"")</f>
        <v>22100</v>
      </c>
      <c r="K5" s="8" t="s">
        <v>201</v>
      </c>
      <c r="L5" s="9">
        <v>11600</v>
      </c>
      <c r="M5" s="9"/>
      <c r="N5" s="48">
        <v>0</v>
      </c>
      <c r="O5" s="21">
        <f t="shared" ref="O5:O30" si="3">IF(COUNTA($F5,$K5,$P5)&gt;0,O4+SUM(L5:N5),"")</f>
        <v>48700</v>
      </c>
      <c r="P5" s="8"/>
      <c r="Q5" s="9"/>
      <c r="R5" s="9"/>
      <c r="S5" s="48"/>
      <c r="T5" s="21">
        <f t="shared" ref="T5:T30" si="4">IF(COUNTA($F5,$K5,$P5)&gt;0,T4+SUM(Q5:S5),"")</f>
        <v>34200</v>
      </c>
      <c r="U5" s="53">
        <f>IF($J5="","",ROUND(($J5-$J$3)/1000,1)+(_xlfn.RANK.AVG($J5,($J5,$O5,$T5),1)-2)*10)</f>
        <v>-22.9</v>
      </c>
      <c r="V5" s="54">
        <f>IF($O5="","",ROUND(($O5-$O$3)/1000,1)+(_xlfn.RANK.AVG($O5,($J5,$O5,$T5),1)-2)*10)</f>
        <v>23.7</v>
      </c>
      <c r="W5" s="55">
        <f>IF($T5="","",ROUND(($T5-$T$3)/1000,1)+(_xlfn.RANK.AVG($T5,($J5,$O5,$T5),1)-2)*10)</f>
        <v>-0.8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86</v>
      </c>
      <c r="BA5" s="41" t="s">
        <v>104</v>
      </c>
      <c r="BB5" s="41" t="s">
        <v>202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200</v>
      </c>
      <c r="G6" s="9">
        <v>-3200</v>
      </c>
      <c r="H6" s="9"/>
      <c r="I6" s="48">
        <v>-1000</v>
      </c>
      <c r="J6" s="21">
        <f t="shared" si="2"/>
        <v>17900</v>
      </c>
      <c r="K6" s="8"/>
      <c r="L6" s="9"/>
      <c r="M6" s="9"/>
      <c r="N6" s="48"/>
      <c r="O6" s="21">
        <f t="shared" si="3"/>
        <v>48700</v>
      </c>
      <c r="P6" s="8" t="s">
        <v>201</v>
      </c>
      <c r="Q6" s="9">
        <v>3200</v>
      </c>
      <c r="R6" s="9"/>
      <c r="S6" s="48">
        <v>1000</v>
      </c>
      <c r="T6" s="21">
        <f t="shared" si="4"/>
        <v>38400</v>
      </c>
      <c r="U6" s="53">
        <f>IF($J6="","",ROUND(($J6-$J$3)/1000,1)+(_xlfn.RANK.AVG($J6,($J6,$O6,$T6),1)-2)*10)</f>
        <v>-27.1</v>
      </c>
      <c r="V6" s="54">
        <f>IF($O6="","",ROUND(($O6-$O$3)/1000,1)+(_xlfn.RANK.AVG($O6,($J6,$O6,$T6),1)-2)*10)</f>
        <v>23.7</v>
      </c>
      <c r="W6" s="55">
        <f>IF($T6="","",ROUND(($T6-$T$3)/1000,1)+(_xlfn.RANK.AVG($T6,($J6,$O6,$T6),1)-2)*10)</f>
        <v>3.4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25</v>
      </c>
      <c r="BU6" s="40" t="s">
        <v>101</v>
      </c>
      <c r="BV6" s="41" t="s">
        <v>202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200</v>
      </c>
      <c r="G7" s="9">
        <v>-12000</v>
      </c>
      <c r="H7" s="9"/>
      <c r="I7" s="48">
        <v>0</v>
      </c>
      <c r="J7" s="21">
        <f t="shared" si="2"/>
        <v>5900</v>
      </c>
      <c r="K7" s="8"/>
      <c r="L7" s="9"/>
      <c r="M7" s="9"/>
      <c r="N7" s="48"/>
      <c r="O7" s="21">
        <f t="shared" si="3"/>
        <v>48700</v>
      </c>
      <c r="P7" s="8" t="s">
        <v>201</v>
      </c>
      <c r="Q7" s="9">
        <v>12000</v>
      </c>
      <c r="R7" s="9"/>
      <c r="S7" s="48">
        <v>0</v>
      </c>
      <c r="T7" s="21">
        <f t="shared" si="4"/>
        <v>50400</v>
      </c>
      <c r="U7" s="53">
        <f>IF($J7="","",ROUND(($J7-$J$3)/1000,1)+(_xlfn.RANK.AVG($J7,($J7,$O7,$T7),1)-2)*10)</f>
        <v>-39.1</v>
      </c>
      <c r="V7" s="54">
        <f>IF($O7="","",ROUND(($O7-$O$3)/1000,1)+(_xlfn.RANK.AVG($O7,($J7,$O7,$T7),1)-2)*10)</f>
        <v>13.7</v>
      </c>
      <c r="W7" s="55">
        <f>IF($T7="","",ROUND(($T7-$T$3)/1000,1)+(_xlfn.RANK.AVG($T7,($J7,$O7,$T7),1)-2)*10)</f>
        <v>25.4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199</v>
      </c>
      <c r="BV7" s="41" t="s">
        <v>86</v>
      </c>
      <c r="BW7" s="41" t="s">
        <v>86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197</v>
      </c>
      <c r="G8" s="9">
        <v>-9000</v>
      </c>
      <c r="H8" s="9"/>
      <c r="I8" s="48">
        <v>-500</v>
      </c>
      <c r="J8" s="21">
        <f t="shared" si="2"/>
        <v>-3600</v>
      </c>
      <c r="K8" s="8" t="s">
        <v>197</v>
      </c>
      <c r="L8" s="9">
        <v>-9000</v>
      </c>
      <c r="M8" s="9"/>
      <c r="N8" s="48">
        <v>-500</v>
      </c>
      <c r="O8" s="21">
        <f t="shared" si="3"/>
        <v>39200</v>
      </c>
      <c r="P8" s="8" t="s">
        <v>198</v>
      </c>
      <c r="Q8" s="9">
        <v>18000</v>
      </c>
      <c r="R8" s="9"/>
      <c r="S8" s="48">
        <v>1000</v>
      </c>
      <c r="T8" s="21">
        <f t="shared" si="4"/>
        <v>69400</v>
      </c>
      <c r="U8" s="53">
        <f>IF($J8="","",ROUND(($J8-$J$3)/1000,1)+(_xlfn.RANK.AVG($J8,($J8,$O8,$T8),1)-2)*10)</f>
        <v>-48.6</v>
      </c>
      <c r="V8" s="54">
        <f>IF($O8="","",ROUND(($O8-$O$3)/1000,1)+(_xlfn.RANK.AVG($O8,($J8,$O8,$T8),1)-2)*10)</f>
        <v>4.2</v>
      </c>
      <c r="W8" s="55">
        <f>IF($T8="","",ROUND(($T8-$T$3)/1000,1)+(_xlfn.RANK.AVG($T8,($J8,$O8,$T8),1)-2)*10)</f>
        <v>44.4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203</v>
      </c>
      <c r="BU8" s="40" t="s">
        <v>199</v>
      </c>
      <c r="BV8" s="41" t="s">
        <v>82</v>
      </c>
      <c r="BW8" s="41" t="s">
        <v>79</v>
      </c>
      <c r="BX8" s="41" t="s">
        <v>79</v>
      </c>
      <c r="BY8" s="41" t="s">
        <v>79</v>
      </c>
      <c r="BZ8" s="41" t="s">
        <v>202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663FD52-0EB8-4E03-9840-1B14B6D7EC3E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BC5EB-9235-4312-82CD-65EE0AA4F96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204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198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197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IF($J4="","",ROUND(($J4-$J$3)/1000,1)+(_xlfn.RANK.AVG($J4,($J4,$O4,$T4),1)-2)*10)</f>
        <v>-4.5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-17.5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203</v>
      </c>
      <c r="AZ4" s="40" t="s">
        <v>199</v>
      </c>
      <c r="BA4" s="41" t="s">
        <v>82</v>
      </c>
      <c r="BB4" s="41" t="s">
        <v>79</v>
      </c>
      <c r="BC4" s="41" t="s">
        <v>79</v>
      </c>
      <c r="BD4" s="41" t="s">
        <v>80</v>
      </c>
      <c r="BE4" s="41" t="s">
        <v>86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204</v>
      </c>
      <c r="F5" s="8" t="s">
        <v>200</v>
      </c>
      <c r="G5" s="9">
        <v>-5200</v>
      </c>
      <c r="H5" s="9">
        <v>-1000</v>
      </c>
      <c r="I5" s="48">
        <v>0</v>
      </c>
      <c r="J5" s="21">
        <f t="shared" ref="J5:J30" si="2">IF(COUNTA($F5,$K5,$P5)&gt;0,J4+SUM(G5:I5),"")</f>
        <v>24300</v>
      </c>
      <c r="K5" s="8" t="s">
        <v>201</v>
      </c>
      <c r="L5" s="9">
        <v>5200</v>
      </c>
      <c r="M5" s="9">
        <v>1000</v>
      </c>
      <c r="N5" s="48">
        <v>0</v>
      </c>
      <c r="O5" s="21">
        <f t="shared" ref="O5:O30" si="3">IF(COUNTA($F5,$K5,$P5)&gt;0,O4+SUM(L5:N5),"")</f>
        <v>53200</v>
      </c>
      <c r="P5" s="8"/>
      <c r="Q5" s="9"/>
      <c r="R5" s="9"/>
      <c r="S5" s="48"/>
      <c r="T5" s="21">
        <f t="shared" ref="T5:T30" si="4">IF(COUNTA($F5,$K5,$P5)&gt;0,T4+SUM(Q5:S5),"")</f>
        <v>27500</v>
      </c>
      <c r="U5" s="53">
        <f>IF($J5="","",ROUND(($J5-$J$3)/1000,1)+(_xlfn.RANK.AVG($J5,($J5,$O5,$T5),1)-2)*10)</f>
        <v>-20.7</v>
      </c>
      <c r="V5" s="54">
        <f>IF($O5="","",ROUND(($O5-$O$3)/1000,1)+(_xlfn.RANK.AVG($O5,($J5,$O5,$T5),1)-2)*10)</f>
        <v>28.2</v>
      </c>
      <c r="W5" s="55">
        <f>IF($T5="","",ROUND(($T5-$T$3)/1000,1)+(_xlfn.RANK.AVG($T5,($J5,$O5,$T5),1)-2)*10)</f>
        <v>-7.5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40</v>
      </c>
      <c r="AZ5" s="40" t="s">
        <v>85</v>
      </c>
      <c r="BA5" s="41" t="s">
        <v>98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197</v>
      </c>
      <c r="G6" s="9">
        <v>-6000</v>
      </c>
      <c r="H6" s="9"/>
      <c r="I6" s="48">
        <v>0</v>
      </c>
      <c r="J6" s="21">
        <f t="shared" si="2"/>
        <v>18300</v>
      </c>
      <c r="K6" s="8" t="s">
        <v>198</v>
      </c>
      <c r="L6" s="9">
        <v>12000</v>
      </c>
      <c r="M6" s="9"/>
      <c r="N6" s="48">
        <v>0</v>
      </c>
      <c r="O6" s="21">
        <f t="shared" si="3"/>
        <v>65200</v>
      </c>
      <c r="P6" s="8" t="s">
        <v>197</v>
      </c>
      <c r="Q6" s="9">
        <v>-6000</v>
      </c>
      <c r="R6" s="9"/>
      <c r="S6" s="48">
        <v>0</v>
      </c>
      <c r="T6" s="21">
        <f t="shared" si="4"/>
        <v>21500</v>
      </c>
      <c r="U6" s="53">
        <f>IF($J6="","",ROUND(($J6-$J$3)/1000,1)+(_xlfn.RANK.AVG($J6,($J6,$O6,$T6),1)-2)*10)</f>
        <v>-26.7</v>
      </c>
      <c r="V6" s="54">
        <f>IF($O6="","",ROUND(($O6-$O$3)/1000,1)+(_xlfn.RANK.AVG($O6,($J6,$O6,$T6),1)-2)*10)</f>
        <v>40.200000000000003</v>
      </c>
      <c r="W6" s="55">
        <f>IF($T6="","",ROUND(($T6-$T$3)/1000,1)+(_xlfn.RANK.AVG($T6,($J6,$O6,$T6),1)-2)*10)</f>
        <v>-13.5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203</v>
      </c>
      <c r="AZ6" s="40" t="s">
        <v>199</v>
      </c>
      <c r="BA6" s="41" t="s">
        <v>82</v>
      </c>
      <c r="BB6" s="41" t="s">
        <v>205</v>
      </c>
      <c r="BC6" s="41" t="s">
        <v>202</v>
      </c>
      <c r="BD6" s="41" t="s">
        <v>83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201</v>
      </c>
      <c r="G7" s="9">
        <v>8000</v>
      </c>
      <c r="H7" s="9">
        <v>1000</v>
      </c>
      <c r="I7" s="48">
        <v>1000</v>
      </c>
      <c r="J7" s="21">
        <f t="shared" si="2"/>
        <v>28300</v>
      </c>
      <c r="K7" s="8" t="s">
        <v>200</v>
      </c>
      <c r="L7" s="9">
        <v>-8000</v>
      </c>
      <c r="M7" s="9">
        <v>-1000</v>
      </c>
      <c r="N7" s="48">
        <v>-1000</v>
      </c>
      <c r="O7" s="21">
        <f t="shared" si="3"/>
        <v>55200</v>
      </c>
      <c r="P7" s="8"/>
      <c r="Q7" s="9"/>
      <c r="R7" s="9"/>
      <c r="S7" s="48"/>
      <c r="T7" s="21">
        <f t="shared" si="4"/>
        <v>21500</v>
      </c>
      <c r="U7" s="53">
        <f>IF($J7="","",ROUND(($J7-$J$3)/1000,1)+(_xlfn.RANK.AVG($J7,($J7,$O7,$T7),1)-2)*10)</f>
        <v>-6.7</v>
      </c>
      <c r="V7" s="54">
        <f>IF($O7="","",ROUND(($O7-$O$3)/1000,1)+(_xlfn.RANK.AVG($O7,($J7,$O7,$T7),1)-2)*10)</f>
        <v>30.2</v>
      </c>
      <c r="W7" s="55">
        <f>IF($T7="","",ROUND(($T7-$T$3)/1000,1)+(_xlfn.RANK.AVG($T7,($J7,$O7,$T7),1)-2)*10)</f>
        <v>-23.5</v>
      </c>
      <c r="Y7" s="8"/>
      <c r="Z7" s="34"/>
      <c r="AA7" s="26">
        <v>1</v>
      </c>
      <c r="AB7" s="26"/>
      <c r="AC7" s="26">
        <v>5</v>
      </c>
      <c r="AD7" s="30" t="s">
        <v>203</v>
      </c>
      <c r="AE7" s="40" t="s">
        <v>199</v>
      </c>
      <c r="AF7" s="41" t="s">
        <v>205</v>
      </c>
      <c r="AG7" s="41" t="s">
        <v>84</v>
      </c>
      <c r="AH7" s="41" t="s">
        <v>79</v>
      </c>
      <c r="AI7" s="41" t="s">
        <v>202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200</v>
      </c>
      <c r="G8" s="9">
        <v>-1600</v>
      </c>
      <c r="H8" s="9"/>
      <c r="I8" s="48">
        <v>0</v>
      </c>
      <c r="J8" s="21">
        <f t="shared" si="2"/>
        <v>26700</v>
      </c>
      <c r="K8" s="8" t="s">
        <v>201</v>
      </c>
      <c r="L8" s="9">
        <v>1600</v>
      </c>
      <c r="M8" s="9"/>
      <c r="N8" s="48">
        <v>0</v>
      </c>
      <c r="O8" s="21">
        <f t="shared" si="3"/>
        <v>56800</v>
      </c>
      <c r="P8" s="8"/>
      <c r="Q8" s="9"/>
      <c r="R8" s="9"/>
      <c r="S8" s="48"/>
      <c r="T8" s="21">
        <f t="shared" si="4"/>
        <v>21500</v>
      </c>
      <c r="U8" s="53">
        <f>IF($J8="","",ROUND(($J8-$J$3)/1000,1)+(_xlfn.RANK.AVG($J8,($J8,$O8,$T8),1)-2)*10)</f>
        <v>-8.3000000000000007</v>
      </c>
      <c r="V8" s="54">
        <f>IF($O8="","",ROUND(($O8-$O$3)/1000,1)+(_xlfn.RANK.AVG($O8,($J8,$O8,$T8),1)-2)*10)</f>
        <v>31.8</v>
      </c>
      <c r="W8" s="55">
        <f>IF($T8="","",ROUND(($T8-$T$3)/1000,1)+(_xlfn.RANK.AVG($T8,($J8,$O8,$T8),1)-2)*10)</f>
        <v>-23.5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25</v>
      </c>
      <c r="AZ8" s="40" t="s">
        <v>101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200</v>
      </c>
      <c r="G9" s="9">
        <v>-1300</v>
      </c>
      <c r="H9" s="9"/>
      <c r="I9" s="48">
        <v>0</v>
      </c>
      <c r="J9" s="21">
        <f t="shared" si="2"/>
        <v>25400</v>
      </c>
      <c r="K9" s="8"/>
      <c r="L9" s="9"/>
      <c r="M9" s="9"/>
      <c r="N9" s="48"/>
      <c r="O9" s="21">
        <f t="shared" si="3"/>
        <v>56800</v>
      </c>
      <c r="P9" s="8" t="s">
        <v>201</v>
      </c>
      <c r="Q9" s="9">
        <v>1300</v>
      </c>
      <c r="R9" s="9"/>
      <c r="S9" s="48">
        <v>0</v>
      </c>
      <c r="T9" s="21">
        <f t="shared" si="4"/>
        <v>22800</v>
      </c>
      <c r="U9" s="53">
        <f>IF($J9="","",ROUND(($J9-$J$3)/1000,1)+(_xlfn.RANK.AVG($J9,($J9,$O9,$T9),1)-2)*10)</f>
        <v>-9.6</v>
      </c>
      <c r="V9" s="54">
        <f>IF($O9="","",ROUND(($O9-$O$3)/1000,1)+(_xlfn.RANK.AVG($O9,($J9,$O9,$T9),1)-2)*10)</f>
        <v>31.8</v>
      </c>
      <c r="W9" s="55">
        <f>IF($T9="","",ROUND(($T9-$T$3)/1000,1)+(_xlfn.RANK.AVG($T9,($J9,$O9,$T9),1)-2)*10)</f>
        <v>-22.2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1</v>
      </c>
      <c r="BT9" s="30">
        <v>40</v>
      </c>
      <c r="BU9" s="40" t="s">
        <v>199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25400</v>
      </c>
      <c r="K10" s="8" t="s">
        <v>201</v>
      </c>
      <c r="L10" s="9">
        <v>18000</v>
      </c>
      <c r="M10" s="9"/>
      <c r="N10" s="48">
        <v>0</v>
      </c>
      <c r="O10" s="21">
        <f t="shared" si="3"/>
        <v>74800</v>
      </c>
      <c r="P10" s="8" t="s">
        <v>200</v>
      </c>
      <c r="Q10" s="9">
        <v>-18000</v>
      </c>
      <c r="R10" s="9"/>
      <c r="S10" s="48">
        <v>0</v>
      </c>
      <c r="T10" s="21">
        <f t="shared" si="4"/>
        <v>4800</v>
      </c>
      <c r="U10" s="53">
        <f>IF($J10="","",ROUND(($J10-$J$3)/1000,1)+(_xlfn.RANK.AVG($J10,($J10,$O10,$T10),1)-2)*10)</f>
        <v>-9.6</v>
      </c>
      <c r="V10" s="54">
        <f>IF($O10="","",ROUND(($O10-$O$3)/1000,1)+(_xlfn.RANK.AVG($O10,($J10,$O10,$T10),1)-2)*10)</f>
        <v>49.8</v>
      </c>
      <c r="W10" s="55">
        <f>IF($T10="","",ROUND(($T10-$T$3)/1000,1)+(_xlfn.RANK.AVG($T10,($J10,$O10,$T10),1)-2)*10)</f>
        <v>-40.200000000000003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203</v>
      </c>
      <c r="AZ10" s="40" t="s">
        <v>202</v>
      </c>
      <c r="BA10" s="41" t="s">
        <v>79</v>
      </c>
      <c r="BB10" s="41" t="s">
        <v>79</v>
      </c>
      <c r="BC10" s="41" t="s">
        <v>80</v>
      </c>
      <c r="BD10" s="41" t="s">
        <v>80</v>
      </c>
      <c r="BE10" s="41" t="s">
        <v>80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B34EDF7-8CE6-45BA-AFFE-354D85991EC4}">
      <formula1>"たかの,だいち,ただ,りくと,れんたろう,まっつん,のり,ぱぱ,ほたに,いっしー,"</formula1>
    </dataValidation>
    <dataValidation type="list" showInputMessage="1" showErrorMessage="1" sqref="K4:K30 P4:P30 F4:F30" xr:uid="{5E61B8AB-D00B-494A-BDA4-6D94676A80CB}">
      <formula1>"ロン,ツモ,放銃,ツモ支払,流局,チョンボ"</formula1>
    </dataValidation>
    <dataValidation type="list" allowBlank="1" showInputMessage="1" showErrorMessage="1" sqref="E4:E30" xr:uid="{C9546944-4B4F-48D6-AD94-B7E3787A534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944CB-C0FA-4A05-AFFD-B81BDA94AC6B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204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まっつん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7700</v>
      </c>
      <c r="H4" s="9"/>
      <c r="I4" s="48">
        <v>0</v>
      </c>
      <c r="J4" s="21">
        <f>IF(COUNTA($F4,$K4,$P4)&gt;0,J3+SUM(G4:I4),"")</f>
        <v>42700</v>
      </c>
      <c r="K4" s="8" t="s">
        <v>197</v>
      </c>
      <c r="L4" s="9">
        <v>-4800</v>
      </c>
      <c r="M4" s="9"/>
      <c r="N4" s="48">
        <v>0</v>
      </c>
      <c r="O4" s="21">
        <f>IF(COUNTA($F4,$K4,$P4)&gt;0,O3+SUM(L4:N4),"")</f>
        <v>30200</v>
      </c>
      <c r="P4" s="8" t="s">
        <v>197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17.7</v>
      </c>
      <c r="V4" s="54">
        <f>IF($O4="","",ROUND(($O4-$O$3)/1000,1)+(_xlfn.RANK.AVG($O4,($J4,$O4,$T4),1)-2)*10)</f>
        <v>-14.8</v>
      </c>
      <c r="W4" s="55">
        <f>IF($T4="","",ROUND(($T4-$T$3)/1000,1)+(_xlfn.RANK.AVG($T4,($J4,$O4,$T4),1)-2)*10)</f>
        <v>-2.9</v>
      </c>
      <c r="Y4" s="8"/>
      <c r="Z4" s="34"/>
      <c r="AA4" s="26">
        <v>1</v>
      </c>
      <c r="AB4" s="26"/>
      <c r="AC4" s="26">
        <v>4</v>
      </c>
      <c r="AD4" s="30">
        <v>30</v>
      </c>
      <c r="AE4" s="40" t="s">
        <v>82</v>
      </c>
      <c r="AF4" s="41" t="s">
        <v>79</v>
      </c>
      <c r="AG4" s="41" t="s">
        <v>91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208</v>
      </c>
      <c r="G5" s="9">
        <v>1500</v>
      </c>
      <c r="H5" s="9">
        <v>-1000</v>
      </c>
      <c r="I5" s="48"/>
      <c r="J5" s="21">
        <f t="shared" ref="J5:J30" si="2">IF(COUNTA($F5,$K5,$P5)&gt;0,J4+SUM(G5:I5),"")</f>
        <v>43200</v>
      </c>
      <c r="K5" s="8" t="s">
        <v>208</v>
      </c>
      <c r="L5" s="9">
        <v>-3000</v>
      </c>
      <c r="M5" s="9"/>
      <c r="N5" s="48"/>
      <c r="O5" s="21">
        <f t="shared" ref="O5:O30" si="3">IF(COUNTA($F5,$K5,$P5)&gt;0,O4+SUM(L5:N5),"")</f>
        <v>27200</v>
      </c>
      <c r="P5" s="8" t="s">
        <v>208</v>
      </c>
      <c r="Q5" s="9">
        <v>1500</v>
      </c>
      <c r="R5" s="9">
        <v>-1000</v>
      </c>
      <c r="S5" s="48"/>
      <c r="T5" s="21">
        <f t="shared" ref="T5:T30" si="4">IF(COUNTA($F5,$K5,$P5)&gt;0,T4+SUM(Q5:S5),"")</f>
        <v>32600</v>
      </c>
      <c r="U5" s="53">
        <f>IF($J5="","",ROUND(($J5-$J$3)/1000,1)+(_xlfn.RANK.AVG($J5,($J5,$O5,$T5),1)-2)*10)</f>
        <v>18.2</v>
      </c>
      <c r="V5" s="54">
        <f>IF($O5="","",ROUND(($O5-$O$3)/1000,1)+(_xlfn.RANK.AVG($O5,($J5,$O5,$T5),1)-2)*10)</f>
        <v>-17.8</v>
      </c>
      <c r="W5" s="55">
        <f>IF($T5="","",ROUND(($T5-$T$3)/1000,1)+(_xlfn.RANK.AVG($T5,($J5,$O5,$T5),1)-2)*10)</f>
        <v>-2.4</v>
      </c>
      <c r="Y5" s="8" t="s">
        <v>206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206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">
        <v>195</v>
      </c>
      <c r="F6" s="8" t="s">
        <v>200</v>
      </c>
      <c r="G6" s="9">
        <v>-7700</v>
      </c>
      <c r="H6" s="9"/>
      <c r="I6" s="48">
        <v>-1000</v>
      </c>
      <c r="J6" s="21">
        <f t="shared" si="2"/>
        <v>34500</v>
      </c>
      <c r="K6" s="8"/>
      <c r="L6" s="9"/>
      <c r="M6" s="9"/>
      <c r="N6" s="48"/>
      <c r="O6" s="21">
        <f t="shared" si="3"/>
        <v>27200</v>
      </c>
      <c r="P6" s="8" t="s">
        <v>201</v>
      </c>
      <c r="Q6" s="9">
        <v>7700</v>
      </c>
      <c r="R6" s="9">
        <v>2000</v>
      </c>
      <c r="S6" s="48">
        <v>1000</v>
      </c>
      <c r="T6" s="21">
        <f t="shared" si="4"/>
        <v>43300</v>
      </c>
      <c r="U6" s="53">
        <f>IF($J6="","",ROUND(($J6-$J$3)/1000,1)+(_xlfn.RANK.AVG($J6,($J6,$O6,$T6),1)-2)*10)</f>
        <v>-0.5</v>
      </c>
      <c r="V6" s="54">
        <f>IF($O6="","",ROUND(($O6-$O$3)/1000,1)+(_xlfn.RANK.AVG($O6,($J6,$O6,$T6),1)-2)*10)</f>
        <v>-17.8</v>
      </c>
      <c r="W6" s="55">
        <f>IF($T6="","",ROUND(($T6-$T$3)/1000,1)+(_xlfn.RANK.AVG($T6,($J6,$O6,$T6),1)-2)*10)</f>
        <v>18.3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40</v>
      </c>
      <c r="BU6" s="40" t="s">
        <v>86</v>
      </c>
      <c r="BV6" s="41" t="s">
        <v>202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 t="s">
        <v>197</v>
      </c>
      <c r="G7" s="9">
        <v>-800</v>
      </c>
      <c r="H7" s="9"/>
      <c r="I7" s="48">
        <v>-1000</v>
      </c>
      <c r="J7" s="21">
        <f t="shared" si="2"/>
        <v>32700</v>
      </c>
      <c r="K7" s="8" t="s">
        <v>198</v>
      </c>
      <c r="L7" s="9">
        <v>2100</v>
      </c>
      <c r="M7" s="9">
        <v>1000</v>
      </c>
      <c r="N7" s="48">
        <v>2000</v>
      </c>
      <c r="O7" s="21">
        <f t="shared" si="3"/>
        <v>32300</v>
      </c>
      <c r="P7" s="8" t="s">
        <v>197</v>
      </c>
      <c r="Q7" s="9">
        <v>-1300</v>
      </c>
      <c r="R7" s="9">
        <v>-1000</v>
      </c>
      <c r="S7" s="48">
        <v>-1000</v>
      </c>
      <c r="T7" s="21">
        <f t="shared" si="4"/>
        <v>40000</v>
      </c>
      <c r="U7" s="53">
        <f>IF($J7="","",ROUND(($J7-$J$3)/1000,1)+(_xlfn.RANK.AVG($J7,($J7,$O7,$T7),1)-2)*10)</f>
        <v>-2.2999999999999998</v>
      </c>
      <c r="V7" s="54">
        <f>IF($O7="","",ROUND(($O7-$O$3)/1000,1)+(_xlfn.RANK.AVG($O7,($J7,$O7,$T7),1)-2)*10)</f>
        <v>-12.7</v>
      </c>
      <c r="W7" s="55">
        <f>IF($T7="","",ROUND(($T7-$T$3)/1000,1)+(_xlfn.RANK.AVG($T7,($J7,$O7,$T7),1)-2)*10)</f>
        <v>15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202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200</v>
      </c>
      <c r="G8" s="9">
        <v>-12000</v>
      </c>
      <c r="H8" s="9">
        <v>-1000</v>
      </c>
      <c r="I8" s="48">
        <v>0</v>
      </c>
      <c r="J8" s="21">
        <f t="shared" si="2"/>
        <v>19700</v>
      </c>
      <c r="K8" s="8" t="s">
        <v>201</v>
      </c>
      <c r="L8" s="9">
        <v>12000</v>
      </c>
      <c r="M8" s="9">
        <v>1000</v>
      </c>
      <c r="N8" s="48">
        <v>0</v>
      </c>
      <c r="O8" s="21">
        <f t="shared" si="3"/>
        <v>45300</v>
      </c>
      <c r="P8" s="8"/>
      <c r="Q8" s="9"/>
      <c r="R8" s="9"/>
      <c r="S8" s="48"/>
      <c r="T8" s="21">
        <f t="shared" si="4"/>
        <v>40000</v>
      </c>
      <c r="U8" s="53">
        <f>IF($J8="","",ROUND(($J8-$J$3)/1000,1)+(_xlfn.RANK.AVG($J8,($J8,$O8,$T8),1)-2)*10)</f>
        <v>-25.3</v>
      </c>
      <c r="V8" s="54">
        <f>IF($O8="","",ROUND(($O8-$O$3)/1000,1)+(_xlfn.RANK.AVG($O8,($J8,$O8,$T8),1)-2)*10)</f>
        <v>20.3</v>
      </c>
      <c r="W8" s="55">
        <f>IF($T8="","",ROUND(($T8-$T$3)/1000,1)+(_xlfn.RANK.AVG($T8,($J8,$O8,$T8),1)-2)*10)</f>
        <v>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203</v>
      </c>
      <c r="AZ8" s="40" t="s">
        <v>199</v>
      </c>
      <c r="BA8" s="41" t="s">
        <v>84</v>
      </c>
      <c r="BB8" s="41" t="s">
        <v>79</v>
      </c>
      <c r="BC8" s="41" t="s">
        <v>79</v>
      </c>
      <c r="BD8" s="41" t="s">
        <v>202</v>
      </c>
      <c r="BE8" s="41" t="s">
        <v>205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-1500</v>
      </c>
      <c r="H9" s="9"/>
      <c r="I9" s="48">
        <v>0</v>
      </c>
      <c r="J9" s="21">
        <f t="shared" si="2"/>
        <v>18200</v>
      </c>
      <c r="K9" s="8" t="s">
        <v>197</v>
      </c>
      <c r="L9" s="9">
        <v>-2500</v>
      </c>
      <c r="M9" s="9"/>
      <c r="N9" s="48">
        <v>0</v>
      </c>
      <c r="O9" s="21">
        <f t="shared" si="3"/>
        <v>42800</v>
      </c>
      <c r="P9" s="8" t="s">
        <v>198</v>
      </c>
      <c r="Q9" s="9">
        <v>4000</v>
      </c>
      <c r="R9" s="9"/>
      <c r="S9" s="48">
        <v>0</v>
      </c>
      <c r="T9" s="21">
        <f t="shared" si="4"/>
        <v>44000</v>
      </c>
      <c r="U9" s="53">
        <f>IF($J9="","",ROUND(($J9-$J$3)/1000,1)+(_xlfn.RANK.AVG($J9,($J9,$O9,$T9),1)-2)*10)</f>
        <v>-26.8</v>
      </c>
      <c r="V9" s="54">
        <f>IF($O9="","",ROUND(($O9-$O$3)/1000,1)+(_xlfn.RANK.AVG($O9,($J9,$O9,$T9),1)-2)*10)</f>
        <v>7.8</v>
      </c>
      <c r="W9" s="55">
        <f>IF($T9="","",ROUND(($T9-$T$3)/1000,1)+(_xlfn.RANK.AVG($T9,($J9,$O9,$T9),1)-2)*10)</f>
        <v>19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199</v>
      </c>
      <c r="BV9" s="41" t="s">
        <v>82</v>
      </c>
      <c r="BW9" s="41" t="s">
        <v>202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197</v>
      </c>
      <c r="G10" s="9">
        <v>-9000</v>
      </c>
      <c r="H10" s="9"/>
      <c r="I10" s="48">
        <v>0</v>
      </c>
      <c r="J10" s="21">
        <f t="shared" si="2"/>
        <v>9200</v>
      </c>
      <c r="K10" s="8" t="s">
        <v>197</v>
      </c>
      <c r="L10" s="9">
        <v>-9000</v>
      </c>
      <c r="M10" s="9"/>
      <c r="N10" s="48">
        <v>0</v>
      </c>
      <c r="O10" s="21">
        <f t="shared" si="3"/>
        <v>33800</v>
      </c>
      <c r="P10" s="8" t="s">
        <v>198</v>
      </c>
      <c r="Q10" s="9">
        <v>18000</v>
      </c>
      <c r="R10" s="9"/>
      <c r="S10" s="48">
        <v>0</v>
      </c>
      <c r="T10" s="21">
        <f t="shared" si="4"/>
        <v>62000</v>
      </c>
      <c r="U10" s="53">
        <f>IF($J10="","",ROUND(($J10-$J$3)/1000,1)+(_xlfn.RANK.AVG($J10,($J10,$O10,$T10),1)-2)*10)</f>
        <v>-35.799999999999997</v>
      </c>
      <c r="V10" s="54">
        <f>IF($O10="","",ROUND(($O10-$O$3)/1000,1)+(_xlfn.RANK.AVG($O10,($J10,$O10,$T10),1)-2)*10)</f>
        <v>-1.2</v>
      </c>
      <c r="W10" s="55">
        <f>IF($T10="","",ROUND(($T10-$T$3)/1000,1)+(_xlfn.RANK.AVG($T10,($J10,$O10,$T10),1)-2)*10)</f>
        <v>37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203</v>
      </c>
      <c r="BU10" s="40" t="s">
        <v>199</v>
      </c>
      <c r="BV10" s="41" t="s">
        <v>82</v>
      </c>
      <c r="BW10" s="41" t="s">
        <v>205</v>
      </c>
      <c r="BX10" s="41" t="s">
        <v>79</v>
      </c>
      <c r="BY10" s="41" t="s">
        <v>202</v>
      </c>
      <c r="BZ10" s="41" t="s">
        <v>92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200</v>
      </c>
      <c r="G11" s="9">
        <v>-12000</v>
      </c>
      <c r="H11" s="9"/>
      <c r="I11" s="48">
        <v>-1000</v>
      </c>
      <c r="J11" s="21">
        <f t="shared" si="2"/>
        <v>-3800</v>
      </c>
      <c r="K11" s="8"/>
      <c r="L11" s="9"/>
      <c r="M11" s="9"/>
      <c r="N11" s="48"/>
      <c r="O11" s="21">
        <f t="shared" si="3"/>
        <v>33800</v>
      </c>
      <c r="P11" s="8" t="s">
        <v>201</v>
      </c>
      <c r="Q11" s="9">
        <v>12000</v>
      </c>
      <c r="R11" s="9"/>
      <c r="S11" s="48">
        <v>1000</v>
      </c>
      <c r="T11" s="21">
        <f t="shared" si="4"/>
        <v>75000</v>
      </c>
      <c r="U11" s="53">
        <f>IF($J11="","",ROUND(($J11-$J$3)/1000,1)+(_xlfn.RANK.AVG($J11,($J11,$O11,$T11),1)-2)*10)</f>
        <v>-48.8</v>
      </c>
      <c r="V11" s="54">
        <f>IF($O11="","",ROUND(($O11-$O$3)/1000,1)+(_xlfn.RANK.AVG($O11,($J11,$O11,$T11),1)-2)*10)</f>
        <v>-1.2</v>
      </c>
      <c r="W11" s="55">
        <f>IF($T11="","",ROUND(($T11-$T$3)/1000,1)+(_xlfn.RANK.AVG($T11,($J11,$O11,$T11),1)-2)*10)</f>
        <v>50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5</v>
      </c>
      <c r="BT11" s="30" t="s">
        <v>203</v>
      </c>
      <c r="BU11" s="40" t="s">
        <v>104</v>
      </c>
      <c r="BV11" s="41" t="s">
        <v>86</v>
      </c>
      <c r="BW11" s="41" t="s">
        <v>86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4EFDD1FE-0431-4029-8180-D6C2B5019C73}">
      <formula1>"たかの,だいち,ただ,りくと,れんたろう,まっつん,のり,ぱぱ,ほたに,いっしー,"</formula1>
    </dataValidation>
    <dataValidation type="list" showInputMessage="1" showErrorMessage="1" sqref="K4:K30 P4:P30 F4:F30" xr:uid="{928051D6-2C3E-4D3D-8C93-922294F82B37}">
      <formula1>"ロン,ツモ,放銃,ツモ支払,流局,チョンボ"</formula1>
    </dataValidation>
    <dataValidation type="list" allowBlank="1" showInputMessage="1" showErrorMessage="1" sqref="E4:E30" xr:uid="{66815126-CECE-4A6E-BB36-075DF17B989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2019-11-01T17:08:19Z</dcterms:modified>
</cp:coreProperties>
</file>