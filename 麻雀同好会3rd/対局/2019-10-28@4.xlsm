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4AFD03A-D5F3-462D-8C30-B0AD8F08526C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8" i="22"/>
  <c r="D9" i="22" s="1"/>
  <c r="C8" i="22"/>
  <c r="C9" i="22" s="1"/>
  <c r="D7" i="22"/>
  <c r="C7" i="22"/>
  <c r="D6" i="22"/>
  <c r="C6" i="22"/>
  <c r="O5" i="22"/>
  <c r="D5" i="22"/>
  <c r="C5" i="22"/>
  <c r="B5" i="22"/>
  <c r="T4" i="22"/>
  <c r="T5" i="22" s="1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D9" i="21"/>
  <c r="C9" i="21"/>
  <c r="C10" i="21" s="1"/>
  <c r="D8" i="21"/>
  <c r="D7" i="21"/>
  <c r="C7" i="21"/>
  <c r="C8" i="21" s="1"/>
  <c r="D6" i="21"/>
  <c r="C6" i="21"/>
  <c r="T5" i="21"/>
  <c r="T6" i="21" s="1"/>
  <c r="O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V5" i="22" l="1"/>
  <c r="W4" i="22"/>
  <c r="U4" i="22"/>
  <c r="U5" i="22"/>
  <c r="J6" i="22"/>
  <c r="T6" i="22"/>
  <c r="W5" i="22"/>
  <c r="B6" i="22"/>
  <c r="V4" i="22"/>
  <c r="O6" i="22"/>
  <c r="A5" i="22"/>
  <c r="V4" i="21"/>
  <c r="W4" i="21"/>
  <c r="U4" i="21"/>
  <c r="T7" i="21"/>
  <c r="B6" i="21"/>
  <c r="J5" i="21"/>
  <c r="V5" i="21" s="1"/>
  <c r="O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9" i="20"/>
  <c r="C9" i="20"/>
  <c r="C10" i="20" s="1"/>
  <c r="D8" i="20"/>
  <c r="C8" i="20"/>
  <c r="D7" i="20"/>
  <c r="C7" i="20"/>
  <c r="D6" i="20"/>
  <c r="C6" i="20"/>
  <c r="T5" i="20"/>
  <c r="T6" i="20" s="1"/>
  <c r="O5" i="20"/>
  <c r="D5" i="20"/>
  <c r="C5" i="20"/>
  <c r="B5" i="20"/>
  <c r="B6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T7" i="22" l="1"/>
  <c r="W6" i="22"/>
  <c r="U6" i="22"/>
  <c r="J7" i="22"/>
  <c r="O7" i="22"/>
  <c r="V6" i="22"/>
  <c r="B7" i="22"/>
  <c r="A7" i="22" s="1"/>
  <c r="A6" i="22"/>
  <c r="T8" i="21"/>
  <c r="O7" i="21"/>
  <c r="U5" i="21"/>
  <c r="J6" i="21"/>
  <c r="V6" i="21" s="1"/>
  <c r="W5" i="21"/>
  <c r="B7" i="21"/>
  <c r="A6" i="21"/>
  <c r="W4" i="20"/>
  <c r="U4" i="20"/>
  <c r="B7" i="20"/>
  <c r="W5" i="20"/>
  <c r="J6" i="20"/>
  <c r="U5" i="20"/>
  <c r="V5" i="20"/>
  <c r="T7" i="20"/>
  <c r="O6" i="20"/>
  <c r="W6" i="20" s="1"/>
  <c r="A5" i="20"/>
  <c r="A6" i="20" s="1"/>
  <c r="W3" i="19"/>
  <c r="V3" i="19"/>
  <c r="U3" i="19"/>
  <c r="W7" i="22" l="1"/>
  <c r="T8" i="22"/>
  <c r="B8" i="22"/>
  <c r="A8" i="22" s="1"/>
  <c r="V7" i="22"/>
  <c r="O8" i="22"/>
  <c r="J8" i="22"/>
  <c r="U7" i="22"/>
  <c r="A7" i="21"/>
  <c r="B8" i="21"/>
  <c r="A8" i="21" s="1"/>
  <c r="T9" i="21"/>
  <c r="U6" i="21"/>
  <c r="J7" i="21"/>
  <c r="V7" i="21" s="1"/>
  <c r="W6" i="21"/>
  <c r="O8" i="21"/>
  <c r="A7" i="20"/>
  <c r="V6" i="20"/>
  <c r="O7" i="20"/>
  <c r="B8" i="20"/>
  <c r="A8" i="20" s="1"/>
  <c r="T8" i="20"/>
  <c r="U6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2" l="1"/>
  <c r="T9" i="22"/>
  <c r="U8" i="22"/>
  <c r="J9" i="22"/>
  <c r="V8" i="22"/>
  <c r="O9" i="22"/>
  <c r="B9" i="22"/>
  <c r="A9" i="22" s="1"/>
  <c r="O9" i="21"/>
  <c r="J8" i="21"/>
  <c r="U7" i="21"/>
  <c r="W7" i="21"/>
  <c r="T10" i="21"/>
  <c r="B9" i="21"/>
  <c r="A9" i="21" s="1"/>
  <c r="T9" i="20"/>
  <c r="O8" i="20"/>
  <c r="V7" i="20"/>
  <c r="W7" i="20"/>
  <c r="U7" i="20"/>
  <c r="J8" i="20"/>
  <c r="B9" i="20"/>
  <c r="A9" i="20" s="1"/>
  <c r="V11" i="19"/>
  <c r="W11" i="19"/>
  <c r="V10" i="19"/>
  <c r="W10" i="19"/>
  <c r="U10" i="19"/>
  <c r="V9" i="19"/>
  <c r="U9" i="19"/>
  <c r="W9" i="19"/>
  <c r="W8" i="19"/>
  <c r="U8" i="19"/>
  <c r="V8" i="19"/>
  <c r="W7" i="19"/>
  <c r="U7" i="19"/>
  <c r="V7" i="19"/>
  <c r="U6" i="19"/>
  <c r="W6" i="19"/>
  <c r="V6" i="19"/>
  <c r="U4" i="19"/>
  <c r="V4" i="19"/>
  <c r="T5" i="19"/>
  <c r="W4" i="19"/>
  <c r="J5" i="19"/>
  <c r="O5" i="19"/>
  <c r="A10" i="22" l="1"/>
  <c r="B10" i="22"/>
  <c r="U9" i="22"/>
  <c r="J10" i="22"/>
  <c r="U10" i="22" s="1"/>
  <c r="V9" i="22"/>
  <c r="O10" i="22"/>
  <c r="V10" i="22" s="1"/>
  <c r="W9" i="22"/>
  <c r="T10" i="22"/>
  <c r="W10" i="22" s="1"/>
  <c r="U8" i="21"/>
  <c r="J9" i="21"/>
  <c r="V9" i="21" s="1"/>
  <c r="W8" i="21"/>
  <c r="O10" i="21"/>
  <c r="V8" i="21"/>
  <c r="B10" i="21"/>
  <c r="A10" i="21" s="1"/>
  <c r="W8" i="20"/>
  <c r="T10" i="20"/>
  <c r="B10" i="20"/>
  <c r="O9" i="20"/>
  <c r="V8" i="20"/>
  <c r="U8" i="20"/>
  <c r="J9" i="20"/>
  <c r="W9" i="20" s="1"/>
  <c r="W5" i="19"/>
  <c r="V5" i="19"/>
  <c r="U5" i="19"/>
  <c r="U9" i="21" l="1"/>
  <c r="J10" i="21"/>
  <c r="W9" i="21"/>
  <c r="B11" i="20"/>
  <c r="A11" i="20"/>
  <c r="T11" i="20"/>
  <c r="U9" i="20"/>
  <c r="J10" i="20"/>
  <c r="V9" i="20"/>
  <c r="O10" i="20"/>
  <c r="A10" i="20"/>
  <c r="U10" i="21" l="1"/>
  <c r="W10" i="21"/>
  <c r="V10" i="21"/>
  <c r="W10" i="20"/>
  <c r="V10" i="20"/>
  <c r="O11" i="20"/>
  <c r="U10" i="20"/>
  <c r="J11" i="20"/>
  <c r="V11" i="20" l="1"/>
  <c r="W11" i="20"/>
  <c r="U11" i="20"/>
</calcChain>
</file>

<file path=xl/sharedStrings.xml><?xml version="1.0" encoding="utf-8"?>
<sst xmlns="http://schemas.openxmlformats.org/spreadsheetml/2006/main" count="898" uniqueCount="211">
  <si>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</si>
  <si>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</si>
  <si>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</si>
  <si>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</si>
  <si>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</si>
  <si>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</si>
  <si>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</si>
  <si>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</si>
  <si>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</si>
  <si>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</si>
  <si>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</si>
  <si>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</si>
  <si>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</si>
  <si>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</si>
  <si>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</si>
  <si>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</si>
  <si>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</si>
  <si>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</si>
  <si>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</si>
  <si>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</si>
  <si>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</si>
  <si>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</si>
  <si>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</si>
  <si>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</si>
  <si>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</si>
  <si>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</si>
  <si>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</si>
  <si>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</si>
  <si>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</si>
  <si>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</si>
  <si>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</si>
  <si>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</si>
  <si>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</si>
  <si>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</si>
  <si>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</si>
  <si>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</si>
  <si>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</si>
  <si>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</si>
  <si>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</si>
  <si>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</si>
  <si>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</si>
  <si>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</si>
  <si>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</si>
  <si>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</si>
  <si>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</si>
  <si>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</si>
  <si>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</si>
  <si>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</si>
  <si>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</si>
  <si>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</si>
  <si>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</si>
  <si>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</si>
  <si>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</si>
  <si>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</si>
  <si>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</si>
  <si>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</si>
  <si>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</si>
  <si>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</si>
  <si>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</si>
  <si>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</si>
  <si>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</si>
  <si>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</si>
  <si>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</si>
  <si>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</si>
  <si>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</si>
  <si>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</si>
  <si>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</si>
  <si>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</si>
  <si>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</si>
  <si>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</si>
  <si>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</si>
  <si>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</si>
  <si>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</si>
  <si>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</si>
  <si>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</si>
  <si>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</si>
  <si>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</si>
  <si>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</si>
  <si>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</si>
  <si>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</si>
  <si>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</si>
  <si>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</si>
  <si>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</si>
  <si>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</si>
  <si>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</si>
  <si>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</si>
  <si>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</si>
  <si>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</si>
  <si>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</si>
  <si>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</si>
  <si>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</si>
  <si>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</si>
  <si>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</si>
  <si>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</si>
  <si>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</si>
  <si>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</si>
  <si>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</si>
  <si>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</si>
  <si>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</si>
  <si>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</si>
  <si>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</si>
  <si>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</si>
  <si>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</si>
  <si>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</si>
  <si>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</si>
  <si>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</si>
  <si>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</si>
  <si>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</si>
  <si>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</si>
  <si>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</si>
  <si>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</si>
  <si>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</si>
  <si>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</si>
  <si>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</si>
  <si>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</si>
  <si>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</si>
  <si>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</si>
  <si>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</si>
  <si>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</si>
  <si>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</si>
  <si>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</si>
  <si>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</si>
  <si>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</si>
  <si>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</si>
  <si>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</si>
  <si>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</si>
  <si>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</si>
  <si>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</si>
  <si>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</si>
  <si>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</si>
  <si>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</si>
  <si>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</si>
  <si>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</si>
  <si>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</si>
  <si>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</si>
  <si>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</si>
  <si>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</si>
  <si>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</si>
  <si>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</si>
  <si>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</si>
  <si>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</si>
  <si>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</si>
  <si>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</si>
  <si>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</si>
  <si>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</si>
  <si>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</si>
  <si>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</si>
  <si>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</si>
  <si>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</si>
  <si>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</si>
  <si>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</si>
  <si>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</si>
  <si>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</si>
  <si>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</si>
  <si>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</si>
  <si>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</si>
  <si>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</si>
  <si>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</si>
  <si>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</si>
  <si>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</si>
  <si>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</si>
  <si>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</si>
  <si>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</si>
  <si>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</si>
  <si>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</si>
  <si>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</si>
  <si>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</si>
  <si>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</si>
  <si>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</si>
  <si>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</si>
  <si>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</si>
  <si>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</si>
  <si>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</si>
  <si>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</si>
  <si>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</si>
  <si>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</si>
  <si>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</si>
  <si>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</si>
  <si>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</si>
  <si>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</si>
  <si>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</si>
  <si>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</si>
  <si>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</si>
  <si>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</si>
  <si>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</si>
  <si>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</si>
  <si>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</si>
  <si>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</si>
  <si>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</si>
  <si>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</si>
  <si>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</si>
  <si>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</si>
  <si>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</si>
  <si>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</si>
  <si>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</si>
  <si>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</si>
  <si>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</si>
  <si>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</si>
  <si>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</si>
  <si>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01</t>
  </si>
  <si>
    <t>52</t>
  </si>
  <si>
    <t>ロン</t>
  </si>
  <si>
    <t>放銃</t>
  </si>
  <si>
    <t>*</t>
  </si>
  <si>
    <t>51</t>
  </si>
  <si>
    <t>02</t>
  </si>
  <si>
    <t>ぱぱ</t>
  </si>
  <si>
    <t>ぱぱ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</si>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</sst>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198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197</v>
      </c>
      <c r="Q4" s="9">
        <v>-4800</v>
      </c>
      <c r="R4" s="9">
        <v>-1000</v>
      </c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-2.9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-15.8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199</v>
      </c>
      <c r="BA4" s="41" t="s">
        <v>82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-2500</v>
      </c>
      <c r="H5" s="9"/>
      <c r="I5" s="48">
        <v>0</v>
      </c>
      <c r="J5" s="21">
        <f t="shared" ref="J5:J30" si="2">IF(COUNTA($F5,$K5,$P5)&gt;0,J4+SUM(G5:I5),"")</f>
        <v>29600</v>
      </c>
      <c r="K5" s="8" t="s">
        <v>197</v>
      </c>
      <c r="L5" s="9">
        <v>-1500</v>
      </c>
      <c r="M5" s="9"/>
      <c r="N5" s="48">
        <v>0</v>
      </c>
      <c r="O5" s="21">
        <f t="shared" ref="O5:O30" si="3">IF(COUNTA($F5,$K5,$P5)&gt;0,O4+SUM(L5:N5),"")</f>
        <v>42200</v>
      </c>
      <c r="P5" s="8" t="s">
        <v>198</v>
      </c>
      <c r="Q5" s="9">
        <v>4000</v>
      </c>
      <c r="R5" s="9"/>
      <c r="S5" s="48">
        <v>0</v>
      </c>
      <c r="T5" s="21">
        <f t="shared" ref="T5:T30" si="4">IF(COUNTA($F5,$K5,$P5)&gt;0,T4+SUM(Q5:S5),"")</f>
        <v>33200</v>
      </c>
      <c r="U5" s="53">
        <f>IF($J5="","",ROUND(($J5-$J$3)/1000,1)+(_xlfn.RANK.AVG($J5,($J5,$O5,$T5),1)-2)*10)</f>
        <v>-15.4</v>
      </c>
      <c r="V5" s="54">
        <f>IF($O5="","",ROUND(($O5-$O$3)/1000,1)+(_xlfn.RANK.AVG($O5,($J5,$O5,$T5),1)-2)*10)</f>
        <v>17.2</v>
      </c>
      <c r="W5" s="55">
        <f>IF($T5="","",ROUND(($T5-$T$3)/1000,1)+(_xlfn.RANK.AVG($T5,($J5,$O5,$T5),1)-2)*10)</f>
        <v>-1.8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199</v>
      </c>
      <c r="BW5" s="41" t="s">
        <v>200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>
        <v>-1000</v>
      </c>
      <c r="I6" s="48"/>
      <c r="J6" s="21">
        <f t="shared" si="2"/>
        <v>28600</v>
      </c>
      <c r="K6" s="8" t="s">
        <v>201</v>
      </c>
      <c r="L6" s="9">
        <v>12000</v>
      </c>
      <c r="M6" s="9">
        <v>1000</v>
      </c>
      <c r="N6" s="48">
        <v>0</v>
      </c>
      <c r="O6" s="21">
        <f t="shared" si="3"/>
        <v>55200</v>
      </c>
      <c r="P6" s="8" t="s">
        <v>202</v>
      </c>
      <c r="Q6" s="9">
        <v>-12000</v>
      </c>
      <c r="R6" s="9"/>
      <c r="S6" s="48">
        <v>0</v>
      </c>
      <c r="T6" s="21">
        <f t="shared" si="4"/>
        <v>21200</v>
      </c>
      <c r="U6" s="53">
        <f>IF($J6="","",ROUND(($J6-$J$3)/1000,1)+(_xlfn.RANK.AVG($J6,($J6,$O6,$T6),1)-2)*10)</f>
        <v>-6.4</v>
      </c>
      <c r="V6" s="54">
        <f>IF($O6="","",ROUND(($O6-$O$3)/1000,1)+(_xlfn.RANK.AVG($O6,($J6,$O6,$T6),1)-2)*10)</f>
        <v>30.2</v>
      </c>
      <c r="W6" s="55">
        <f>IF($T6="","",ROUND(($T6-$T$3)/1000,1)+(_xlfn.RANK.AVG($T6,($J6,$O6,$T6),1)-2)*10)</f>
        <v>-23.8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199</v>
      </c>
      <c r="BA6" s="41" t="s">
        <v>79</v>
      </c>
      <c r="BB6" s="41" t="s">
        <v>80</v>
      </c>
      <c r="BC6" s="41" t="s">
        <v>200</v>
      </c>
      <c r="BD6" s="41" t="s">
        <v>200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-800</v>
      </c>
      <c r="H7" s="9"/>
      <c r="I7" s="48">
        <v>-500</v>
      </c>
      <c r="J7" s="21">
        <f t="shared" si="2"/>
        <v>27300</v>
      </c>
      <c r="K7" s="8" t="s">
        <v>197</v>
      </c>
      <c r="L7" s="9">
        <v>-1300</v>
      </c>
      <c r="M7" s="9">
        <v>-1000</v>
      </c>
      <c r="N7" s="48">
        <v>-500</v>
      </c>
      <c r="O7" s="21">
        <f t="shared" si="3"/>
        <v>52400</v>
      </c>
      <c r="P7" s="8" t="s">
        <v>198</v>
      </c>
      <c r="Q7" s="9">
        <v>2100</v>
      </c>
      <c r="R7" s="9">
        <v>1000</v>
      </c>
      <c r="S7" s="48">
        <v>1000</v>
      </c>
      <c r="T7" s="21">
        <f t="shared" si="4"/>
        <v>25300</v>
      </c>
      <c r="U7" s="53">
        <f>IF($J7="","",ROUND(($J7-$J$3)/1000,1)+(_xlfn.RANK.AVG($J7,($J7,$O7,$T7),1)-2)*10)</f>
        <v>-7.7</v>
      </c>
      <c r="V7" s="54">
        <f>IF($O7="","",ROUND(($O7-$O$3)/1000,1)+(_xlfn.RANK.AVG($O7,($J7,$O7,$T7),1)-2)*10)</f>
        <v>27.4</v>
      </c>
      <c r="W7" s="55">
        <f>IF($T7="","",ROUND(($T7-$T$3)/1000,1)+(_xlfn.RANK.AVG($T7,($J7,$O7,$T7),1)-2)*10)</f>
        <v>-19.7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199</v>
      </c>
      <c r="BV7" s="41" t="s">
        <v>82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7700</v>
      </c>
      <c r="H8" s="9">
        <v>1000</v>
      </c>
      <c r="I8" s="48">
        <v>0</v>
      </c>
      <c r="J8" s="21">
        <f t="shared" si="2"/>
        <v>36000</v>
      </c>
      <c r="K8" s="8" t="s">
        <v>197</v>
      </c>
      <c r="L8" s="9">
        <v>-2900</v>
      </c>
      <c r="M8" s="9">
        <v>-1000</v>
      </c>
      <c r="N8" s="48">
        <v>0</v>
      </c>
      <c r="O8" s="21">
        <f t="shared" si="3"/>
        <v>48500</v>
      </c>
      <c r="P8" s="8" t="s">
        <v>197</v>
      </c>
      <c r="Q8" s="9">
        <v>-4800</v>
      </c>
      <c r="R8" s="9"/>
      <c r="S8" s="48">
        <v>0</v>
      </c>
      <c r="T8" s="21">
        <f t="shared" si="4"/>
        <v>20500</v>
      </c>
      <c r="U8" s="53">
        <f>IF($J8="","",ROUND(($J8-$J$3)/1000,1)+(_xlfn.RANK.AVG($J8,($J8,$O8,$T8),1)-2)*10)</f>
        <v>1</v>
      </c>
      <c r="V8" s="54">
        <f>IF($O8="","",ROUND(($O8-$O$3)/1000,1)+(_xlfn.RANK.AVG($O8,($J8,$O8,$T8),1)-2)*10)</f>
        <v>23.5</v>
      </c>
      <c r="W8" s="55">
        <f>IF($T8="","",ROUND(($T8-$T$3)/1000,1)+(_xlfn.RANK.AVG($T8,($J8,$O8,$T8),1)-2)*10)</f>
        <v>-24.5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82</v>
      </c>
      <c r="AG8" s="41" t="s">
        <v>200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6000</v>
      </c>
      <c r="H9" s="9"/>
      <c r="I9" s="48">
        <v>0</v>
      </c>
      <c r="J9" s="21">
        <f t="shared" si="2"/>
        <v>42000</v>
      </c>
      <c r="K9" s="8" t="s">
        <v>197</v>
      </c>
      <c r="L9" s="9">
        <v>-3000</v>
      </c>
      <c r="M9" s="9"/>
      <c r="N9" s="48">
        <v>0</v>
      </c>
      <c r="O9" s="21">
        <f t="shared" si="3"/>
        <v>45500</v>
      </c>
      <c r="P9" s="8" t="s">
        <v>197</v>
      </c>
      <c r="Q9" s="9">
        <v>-3000</v>
      </c>
      <c r="R9" s="9"/>
      <c r="S9" s="48">
        <v>0</v>
      </c>
      <c r="T9" s="21">
        <f t="shared" si="4"/>
        <v>17500</v>
      </c>
      <c r="U9" s="53">
        <f>IF($J9="","",ROUND(($J9-$J$3)/1000,1)+(_xlfn.RANK.AVG($J9,($J9,$O9,$T9),1)-2)*10)</f>
        <v>7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-27.5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200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197</v>
      </c>
      <c r="G10" s="9">
        <v>-15000</v>
      </c>
      <c r="H10" s="9">
        <v>-1000</v>
      </c>
      <c r="I10" s="48">
        <v>-500</v>
      </c>
      <c r="J10" s="21">
        <f t="shared" si="2"/>
        <v>25500</v>
      </c>
      <c r="K10" s="8" t="s">
        <v>198</v>
      </c>
      <c r="L10" s="9">
        <v>24000</v>
      </c>
      <c r="M10" s="9">
        <v>2000</v>
      </c>
      <c r="N10" s="48">
        <v>1000</v>
      </c>
      <c r="O10" s="21">
        <f t="shared" si="3"/>
        <v>72500</v>
      </c>
      <c r="P10" s="8" t="s">
        <v>197</v>
      </c>
      <c r="Q10" s="9">
        <v>-9000</v>
      </c>
      <c r="R10" s="9">
        <v>-1000</v>
      </c>
      <c r="S10" s="48">
        <v>-500</v>
      </c>
      <c r="T10" s="21">
        <f t="shared" si="4"/>
        <v>7000</v>
      </c>
      <c r="U10" s="53">
        <f>IF($J10="","",ROUND(($J10-$J$3)/1000,1)+(_xlfn.RANK.AVG($J10,($J10,$O10,$T10),1)-2)*10)</f>
        <v>-9.5</v>
      </c>
      <c r="V10" s="54">
        <f>IF($O10="","",ROUND(($O10-$O$3)/1000,1)+(_xlfn.RANK.AVG($O10,($J10,$O10,$T10),1)-2)*10)</f>
        <v>47.5</v>
      </c>
      <c r="W10" s="55">
        <f>IF($T10="","",ROUND(($T10-$T$3)/1000,1)+(_xlfn.RANK.AVG($T10,($J10,$O10,$T10),1)-2)*10)</f>
        <v>-38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12</v>
      </c>
      <c r="AY10" s="30" t="s">
        <v>203</v>
      </c>
      <c r="AZ10" s="40" t="s">
        <v>204</v>
      </c>
      <c r="BA10" s="41" t="s">
        <v>82</v>
      </c>
      <c r="BB10" s="41" t="s">
        <v>205</v>
      </c>
      <c r="BC10" s="41" t="s">
        <v>86</v>
      </c>
      <c r="BD10" s="41" t="s">
        <v>86</v>
      </c>
      <c r="BE10" s="41" t="s">
        <v>79</v>
      </c>
      <c r="BF10" s="41" t="s">
        <v>79</v>
      </c>
      <c r="BG10" s="41" t="s">
        <v>79</v>
      </c>
      <c r="BH10" s="41" t="s">
        <v>80</v>
      </c>
      <c r="BI10" s="41" t="s">
        <v>80</v>
      </c>
      <c r="BJ10" s="41" t="s">
        <v>80</v>
      </c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201</v>
      </c>
      <c r="G11" s="9">
        <v>12000</v>
      </c>
      <c r="H11" s="9">
        <v>1000</v>
      </c>
      <c r="I11" s="48">
        <v>0</v>
      </c>
      <c r="J11" s="21">
        <f t="shared" si="2"/>
        <v>38500</v>
      </c>
      <c r="K11" s="8" t="s">
        <v>202</v>
      </c>
      <c r="L11" s="9">
        <v>-12000</v>
      </c>
      <c r="M11" s="9"/>
      <c r="N11" s="48">
        <v>0</v>
      </c>
      <c r="O11" s="21">
        <f t="shared" si="3"/>
        <v>60500</v>
      </c>
      <c r="P11" s="8"/>
      <c r="Q11" s="9"/>
      <c r="R11" s="9">
        <v>-1000</v>
      </c>
      <c r="S11" s="48"/>
      <c r="T11" s="21">
        <f t="shared" si="4"/>
        <v>6000</v>
      </c>
      <c r="U11" s="53">
        <f>IF($J11="","",ROUND(($J11-$J$3)/1000,1)+(_xlfn.RANK.AVG($J11,($J11,$O11,$T11),1)-2)*10)</f>
        <v>3.5</v>
      </c>
      <c r="V11" s="54">
        <f>IF($O11="","",ROUND(($O11-$O$3)/1000,1)+(_xlfn.RANK.AVG($O11,($J11,$O11,$T11),1)-2)*10)</f>
        <v>35.5</v>
      </c>
      <c r="W11" s="55">
        <f>IF($T11="","",ROUND(($T11-$T$3)/1000,1)+(_xlfn.RANK.AVG($T11,($J11,$O11,$T11),1)-2)*10)</f>
        <v>-39</v>
      </c>
      <c r="Y11" s="8"/>
      <c r="Z11" s="34"/>
      <c r="AA11" s="26">
        <v>1</v>
      </c>
      <c r="AB11" s="26"/>
      <c r="AC11" s="26">
        <v>6</v>
      </c>
      <c r="AD11" s="30" t="s">
        <v>203</v>
      </c>
      <c r="AE11" s="40" t="s">
        <v>199</v>
      </c>
      <c r="AF11" s="41" t="s">
        <v>200</v>
      </c>
      <c r="AG11" s="41" t="s">
        <v>79</v>
      </c>
      <c r="AH11" s="41" t="s">
        <v>79</v>
      </c>
      <c r="AI11" s="41" t="s">
        <v>80</v>
      </c>
      <c r="AJ11" s="41" t="s">
        <v>84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538B9BD-6C2D-4F81-8F17-514FAE3D65E5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683E3-1090-475E-9B66-FA9675AE34F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198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197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28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203</v>
      </c>
      <c r="AZ4" s="40" t="s">
        <v>204</v>
      </c>
      <c r="BA4" s="41" t="s">
        <v>83</v>
      </c>
      <c r="BB4" s="41" t="s">
        <v>82</v>
      </c>
      <c r="BC4" s="41" t="s">
        <v>205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197</v>
      </c>
      <c r="L5" s="9">
        <v>-5000</v>
      </c>
      <c r="M5" s="9"/>
      <c r="N5" s="48">
        <v>-500</v>
      </c>
      <c r="O5" s="21">
        <f t="shared" ref="O5:O30" si="3">IF(COUNTA($F5,$K5,$P5)&gt;0,O4+SUM(L5:N5),"")</f>
        <v>47500</v>
      </c>
      <c r="P5" s="8" t="s">
        <v>198</v>
      </c>
      <c r="Q5" s="9">
        <v>8000</v>
      </c>
      <c r="R5" s="9"/>
      <c r="S5" s="48">
        <v>1000</v>
      </c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203</v>
      </c>
      <c r="BU5" s="40" t="s">
        <v>82</v>
      </c>
      <c r="BV5" s="41" t="s">
        <v>85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22500</v>
      </c>
      <c r="K6" s="8" t="s">
        <v>201</v>
      </c>
      <c r="L6" s="9">
        <v>16000</v>
      </c>
      <c r="M6" s="9">
        <v>1000</v>
      </c>
      <c r="N6" s="48">
        <v>0</v>
      </c>
      <c r="O6" s="21">
        <f t="shared" si="3"/>
        <v>64500</v>
      </c>
      <c r="P6" s="8" t="s">
        <v>202</v>
      </c>
      <c r="Q6" s="9">
        <v>-16000</v>
      </c>
      <c r="R6" s="9">
        <v>-1000</v>
      </c>
      <c r="S6" s="48">
        <v>0</v>
      </c>
      <c r="T6" s="21">
        <f t="shared" si="4"/>
        <v>18000</v>
      </c>
      <c r="U6" s="53">
        <f>IF($J6="","",ROUND(($J6-$J$3)/1000,1)+(_xlfn.RANK.AVG($J6,($J6,$O6,$T6),1)-2)*10)</f>
        <v>-12.5</v>
      </c>
      <c r="V6" s="54">
        <f>IF($O6="","",ROUND(($O6-$O$3)/1000,1)+(_xlfn.RANK.AVG($O6,($J6,$O6,$T6),1)-2)*10)</f>
        <v>39.5</v>
      </c>
      <c r="W6" s="55">
        <f>IF($T6="","",ROUND(($T6-$T$3)/1000,1)+(_xlfn.RANK.AVG($T6,($J6,$O6,$T6),1)-2)*10)</f>
        <v>-27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203</v>
      </c>
      <c r="AZ6" s="40" t="s">
        <v>199</v>
      </c>
      <c r="BA6" s="41" t="s">
        <v>205</v>
      </c>
      <c r="BB6" s="41" t="s">
        <v>79</v>
      </c>
      <c r="BC6" s="41" t="s">
        <v>79</v>
      </c>
      <c r="BD6" s="41" t="s">
        <v>79</v>
      </c>
      <c r="BE6" s="41" t="s">
        <v>86</v>
      </c>
      <c r="BF6" s="41" t="s">
        <v>96</v>
      </c>
      <c r="BG6" s="41" t="s">
        <v>200</v>
      </c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3000</v>
      </c>
      <c r="H7" s="9">
        <v>1000</v>
      </c>
      <c r="I7" s="48">
        <v>0</v>
      </c>
      <c r="J7" s="21">
        <f t="shared" si="2"/>
        <v>26500</v>
      </c>
      <c r="K7" s="8" t="s">
        <v>197</v>
      </c>
      <c r="L7" s="9">
        <v>-1500</v>
      </c>
      <c r="M7" s="9"/>
      <c r="N7" s="48">
        <v>0</v>
      </c>
      <c r="O7" s="21">
        <f t="shared" si="3"/>
        <v>63000</v>
      </c>
      <c r="P7" s="8" t="s">
        <v>197</v>
      </c>
      <c r="Q7" s="9">
        <v>-1500</v>
      </c>
      <c r="R7" s="9">
        <v>-1000</v>
      </c>
      <c r="S7" s="48">
        <v>0</v>
      </c>
      <c r="T7" s="21">
        <f t="shared" si="4"/>
        <v>15500</v>
      </c>
      <c r="U7" s="53">
        <f>IF($J7="","",ROUND(($J7-$J$3)/1000,1)+(_xlfn.RANK.AVG($J7,($J7,$O7,$T7),1)-2)*10)</f>
        <v>-8.5</v>
      </c>
      <c r="V7" s="54">
        <f>IF($O7="","",ROUND(($O7-$O$3)/1000,1)+(_xlfn.RANK.AVG($O7,($J7,$O7,$T7),1)-2)*10)</f>
        <v>38</v>
      </c>
      <c r="W7" s="55">
        <f>IF($T7="","",ROUND(($T7-$T$3)/1000,1)+(_xlfn.RANK.AVG($T7,($J7,$O7,$T7),1)-2)*10)</f>
        <v>-29.5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197</v>
      </c>
      <c r="G8" s="9">
        <v>-5000</v>
      </c>
      <c r="H8" s="9">
        <v>-1000</v>
      </c>
      <c r="I8" s="48">
        <v>-500</v>
      </c>
      <c r="J8" s="21">
        <f t="shared" si="2"/>
        <v>20000</v>
      </c>
      <c r="K8" s="8" t="s">
        <v>198</v>
      </c>
      <c r="L8" s="9">
        <v>8000</v>
      </c>
      <c r="M8" s="9">
        <v>1000</v>
      </c>
      <c r="N8" s="48">
        <v>1000</v>
      </c>
      <c r="O8" s="21">
        <f t="shared" si="3"/>
        <v>73000</v>
      </c>
      <c r="P8" s="8" t="s">
        <v>197</v>
      </c>
      <c r="Q8" s="9">
        <v>-3000</v>
      </c>
      <c r="R8" s="9"/>
      <c r="S8" s="48">
        <v>-500</v>
      </c>
      <c r="T8" s="21">
        <f t="shared" si="4"/>
        <v>12000</v>
      </c>
      <c r="U8" s="53">
        <f>IF($J8="","",ROUND(($J8-$J$3)/1000,1)+(_xlfn.RANK.AVG($J8,($J8,$O8,$T8),1)-2)*10)</f>
        <v>-15</v>
      </c>
      <c r="V8" s="54">
        <f>IF($O8="","",ROUND(($O8-$O$3)/1000,1)+(_xlfn.RANK.AVG($O8,($J8,$O8,$T8),1)-2)*10)</f>
        <v>48</v>
      </c>
      <c r="W8" s="55">
        <f>IF($T8="","",ROUND(($T8-$T$3)/1000,1)+(_xlfn.RANK.AVG($T8,($J8,$O8,$T8),1)-2)*10)</f>
        <v>-33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203</v>
      </c>
      <c r="AZ8" s="40" t="s">
        <v>104</v>
      </c>
      <c r="BA8" s="41" t="s">
        <v>79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-18000</v>
      </c>
      <c r="H9" s="9"/>
      <c r="I9" s="48">
        <v>0</v>
      </c>
      <c r="J9" s="21">
        <f t="shared" si="2"/>
        <v>2000</v>
      </c>
      <c r="K9" s="8" t="s">
        <v>201</v>
      </c>
      <c r="L9" s="9">
        <v>18000</v>
      </c>
      <c r="M9" s="9"/>
      <c r="N9" s="48">
        <v>0</v>
      </c>
      <c r="O9" s="21">
        <f t="shared" si="3"/>
        <v>91000</v>
      </c>
      <c r="P9" s="8"/>
      <c r="Q9" s="9"/>
      <c r="R9" s="9"/>
      <c r="S9" s="48"/>
      <c r="T9" s="21">
        <f t="shared" si="4"/>
        <v>12000</v>
      </c>
      <c r="U9" s="53">
        <f>IF($J9="","",ROUND(($J9-$J$3)/1000,1)+(_xlfn.RANK.AVG($J9,($J9,$O9,$T9),1)-2)*10)</f>
        <v>-43</v>
      </c>
      <c r="V9" s="54">
        <f>IF($O9="","",ROUND(($O9-$O$3)/1000,1)+(_xlfn.RANK.AVG($O9,($J9,$O9,$T9),1)-2)*10)</f>
        <v>66</v>
      </c>
      <c r="W9" s="55">
        <f>IF($T9="","",ROUND(($T9-$T$3)/1000,1)+(_xlfn.RANK.AVG($T9,($J9,$O9,$T9),1)-2)*10)</f>
        <v>-23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203</v>
      </c>
      <c r="AZ9" s="40" t="s">
        <v>199</v>
      </c>
      <c r="BA9" s="41" t="s">
        <v>205</v>
      </c>
      <c r="BB9" s="41" t="s">
        <v>84</v>
      </c>
      <c r="BC9" s="41" t="s">
        <v>79</v>
      </c>
      <c r="BD9" s="41" t="s">
        <v>80</v>
      </c>
      <c r="BE9" s="41" t="s">
        <v>85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2000</v>
      </c>
      <c r="K10" s="8" t="s">
        <v>201</v>
      </c>
      <c r="L10" s="9">
        <v>11600</v>
      </c>
      <c r="M10" s="9"/>
      <c r="N10" s="48">
        <v>1000</v>
      </c>
      <c r="O10" s="21">
        <f t="shared" si="3"/>
        <v>103600</v>
      </c>
      <c r="P10" s="8" t="s">
        <v>202</v>
      </c>
      <c r="Q10" s="9">
        <v>-11600</v>
      </c>
      <c r="R10" s="9"/>
      <c r="S10" s="48">
        <v>-1000</v>
      </c>
      <c r="T10" s="21">
        <f t="shared" si="4"/>
        <v>-600</v>
      </c>
      <c r="U10" s="53">
        <f>IF($J10="","",ROUND(($J10-$J$3)/1000,1)+(_xlfn.RANK.AVG($J10,($J10,$O10,$T10),1)-2)*10)</f>
        <v>-33</v>
      </c>
      <c r="V10" s="54">
        <f>IF($O10="","",ROUND(($O10-$O$3)/1000,1)+(_xlfn.RANK.AVG($O10,($J10,$O10,$T10),1)-2)*10)</f>
        <v>78.599999999999994</v>
      </c>
      <c r="W10" s="55">
        <f>IF($T10="","",ROUND(($T10-$T$3)/1000,1)+(_xlfn.RANK.AVG($T10,($J10,$O10,$T10),1)-2)*10)</f>
        <v>-45.6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199</v>
      </c>
      <c r="BA10" s="41" t="s">
        <v>83</v>
      </c>
      <c r="BB10" s="41" t="s">
        <v>80</v>
      </c>
      <c r="BC10" s="41" t="s">
        <v>84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8FA2AE66-981E-40A7-83D5-7B9AAC76BC36}">
      <formula1>"ロン,ツモ,放銃,ツモ支払,流局,チョンボ"</formula1>
    </dataValidation>
    <dataValidation type="list" allowBlank="1" showInputMessage="1" showErrorMessage="1" sqref="E4:E30" xr:uid="{4682C476-A985-4F6F-9F1A-831AC9D6EB2C}">
      <formula1>$U$2:$W$2</formula1>
    </dataValidation>
    <dataValidation type="list" allowBlank="1" showInputMessage="1" sqref="F1:T1" xr:uid="{CE534F56-8F3C-42AA-B708-8473952261D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071E-C22E-409A-AEF5-E50FE2C37C4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207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ぱぱ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ぱぱ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21000</v>
      </c>
      <c r="K5" s="8" t="s">
        <v>201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48000</v>
      </c>
      <c r="P5" s="8"/>
      <c r="Q5" s="9"/>
      <c r="R5" s="9"/>
      <c r="S5" s="48"/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23</v>
      </c>
      <c r="W5" s="55">
        <f>IF($T5="","",ROUND(($T5-$T$3)/1000,1)+(_xlfn.RANK.AVG($T5,($J5,$O5,$T5),1)-2)*10)</f>
        <v>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50</v>
      </c>
      <c r="AZ5" s="40" t="s">
        <v>199</v>
      </c>
      <c r="BA5" s="41" t="s">
        <v>86</v>
      </c>
      <c r="BB5" s="41" t="s">
        <v>80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21000</v>
      </c>
      <c r="K6" s="8" t="s">
        <v>202</v>
      </c>
      <c r="L6" s="9">
        <v>-12000</v>
      </c>
      <c r="M6" s="9"/>
      <c r="N6" s="48">
        <v>-1000</v>
      </c>
      <c r="O6" s="21">
        <f t="shared" si="3"/>
        <v>35000</v>
      </c>
      <c r="P6" s="8" t="s">
        <v>201</v>
      </c>
      <c r="Q6" s="9">
        <v>12000</v>
      </c>
      <c r="R6" s="9"/>
      <c r="S6" s="48">
        <v>1000</v>
      </c>
      <c r="T6" s="21">
        <f t="shared" si="4"/>
        <v>49000</v>
      </c>
      <c r="U6" s="53">
        <f>IF($J6="","",ROUND(($J6-$J$3)/1000,1)+(_xlfn.RANK.AVG($J6,($J6,$O6,$T6),1)-2)*10)</f>
        <v>-24</v>
      </c>
      <c r="V6" s="54">
        <f>IF($O6="","",ROUND(($O6-$O$3)/1000,1)+(_xlfn.RANK.AVG($O6,($J6,$O6,$T6),1)-2)*10)</f>
        <v>0</v>
      </c>
      <c r="W6" s="55">
        <f>IF($T6="","",ROUND(($T6-$T$3)/1000,1)+(_xlfn.RANK.AVG($T6,($J6,$O6,$T6),1)-2)*10)</f>
        <v>24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203</v>
      </c>
      <c r="BU6" s="40" t="s">
        <v>199</v>
      </c>
      <c r="BV6" s="41" t="s">
        <v>205</v>
      </c>
      <c r="BW6" s="41" t="s">
        <v>79</v>
      </c>
      <c r="BX6" s="41" t="s">
        <v>79</v>
      </c>
      <c r="BY6" s="41" t="s">
        <v>86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201</v>
      </c>
      <c r="G7" s="9">
        <v>3900</v>
      </c>
      <c r="H7" s="9">
        <v>1000</v>
      </c>
      <c r="I7" s="48">
        <v>0</v>
      </c>
      <c r="J7" s="21">
        <f t="shared" si="2"/>
        <v>25900</v>
      </c>
      <c r="K7" s="8" t="s">
        <v>202</v>
      </c>
      <c r="L7" s="9">
        <v>-3900</v>
      </c>
      <c r="M7" s="9">
        <v>-1000</v>
      </c>
      <c r="N7" s="48">
        <v>0</v>
      </c>
      <c r="O7" s="21">
        <f t="shared" si="3"/>
        <v>30100</v>
      </c>
      <c r="P7" s="8"/>
      <c r="Q7" s="9"/>
      <c r="R7" s="9"/>
      <c r="S7" s="48"/>
      <c r="T7" s="21">
        <f t="shared" si="4"/>
        <v>49000</v>
      </c>
      <c r="U7" s="53">
        <f>IF($J7="","",ROUND(($J7-$J$3)/1000,1)+(_xlfn.RANK.AVG($J7,($J7,$O7,$T7),1)-2)*10)</f>
        <v>-19.100000000000001</v>
      </c>
      <c r="V7" s="54">
        <f>IF($O7="","",ROUND(($O7-$O$3)/1000,1)+(_xlfn.RANK.AVG($O7,($J7,$O7,$T7),1)-2)*10)</f>
        <v>-4.9000000000000004</v>
      </c>
      <c r="W7" s="55">
        <f>IF($T7="","",ROUND(($T7-$T$3)/1000,1)+(_xlfn.RANK.AVG($T7,($J7,$O7,$T7),1)-2)*10)</f>
        <v>24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210</v>
      </c>
      <c r="G8" s="9">
        <v>-1500</v>
      </c>
      <c r="H8" s="9"/>
      <c r="I8" s="48"/>
      <c r="J8" s="21">
        <f t="shared" si="2"/>
        <v>24400</v>
      </c>
      <c r="K8" s="8" t="s">
        <v>210</v>
      </c>
      <c r="L8" s="9">
        <v>3000</v>
      </c>
      <c r="M8" s="9"/>
      <c r="N8" s="48"/>
      <c r="O8" s="21">
        <f t="shared" si="3"/>
        <v>33100</v>
      </c>
      <c r="P8" s="8" t="s">
        <v>210</v>
      </c>
      <c r="Q8" s="9">
        <v>-1500</v>
      </c>
      <c r="R8" s="9"/>
      <c r="S8" s="48"/>
      <c r="T8" s="21">
        <f t="shared" si="4"/>
        <v>47500</v>
      </c>
      <c r="U8" s="53">
        <f>IF($J8="","",ROUND(($J8-$J$3)/1000,1)+(_xlfn.RANK.AVG($J8,($J8,$O8,$T8),1)-2)*10)</f>
        <v>-20.6</v>
      </c>
      <c r="V8" s="54">
        <f>IF($O8="","",ROUND(($O8-$O$3)/1000,1)+(_xlfn.RANK.AVG($O8,($J8,$O8,$T8),1)-2)*10)</f>
        <v>-1.9</v>
      </c>
      <c r="W8" s="55">
        <f>IF($T8="","",ROUND(($T8-$T$3)/1000,1)+(_xlfn.RANK.AVG($T8,($J8,$O8,$T8),1)-2)*10)</f>
        <v>22.5</v>
      </c>
      <c r="Y8" s="8" t="s">
        <v>208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209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197</v>
      </c>
      <c r="G9" s="9">
        <v>-3000</v>
      </c>
      <c r="H9" s="9"/>
      <c r="I9" s="48">
        <v>-500</v>
      </c>
      <c r="J9" s="21">
        <f t="shared" si="2"/>
        <v>20900</v>
      </c>
      <c r="K9" s="8" t="s">
        <v>197</v>
      </c>
      <c r="L9" s="9">
        <v>-5000</v>
      </c>
      <c r="M9" s="9"/>
      <c r="N9" s="48">
        <v>-500</v>
      </c>
      <c r="O9" s="21">
        <f t="shared" si="3"/>
        <v>27600</v>
      </c>
      <c r="P9" s="8" t="s">
        <v>198</v>
      </c>
      <c r="Q9" s="9">
        <v>8000</v>
      </c>
      <c r="R9" s="9"/>
      <c r="S9" s="48">
        <v>1000</v>
      </c>
      <c r="T9" s="21">
        <f t="shared" si="4"/>
        <v>56500</v>
      </c>
      <c r="U9" s="53">
        <f>IF($J9="","",ROUND(($J9-$J$3)/1000,1)+(_xlfn.RANK.AVG($J9,($J9,$O9,$T9),1)-2)*10)</f>
        <v>-24.1</v>
      </c>
      <c r="V9" s="54">
        <f>IF($O9="","",ROUND(($O9-$O$3)/1000,1)+(_xlfn.RANK.AVG($O9,($J9,$O9,$T9),1)-2)*10)</f>
        <v>-7.4</v>
      </c>
      <c r="W9" s="55">
        <f>IF($T9="","",ROUND(($T9-$T$3)/1000,1)+(_xlfn.RANK.AVG($T9,($J9,$O9,$T9),1)-2)*10)</f>
        <v>31.5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203</v>
      </c>
      <c r="BU9" s="40" t="s">
        <v>199</v>
      </c>
      <c r="BV9" s="41" t="s">
        <v>82</v>
      </c>
      <c r="BW9" s="41" t="s">
        <v>205</v>
      </c>
      <c r="BX9" s="41" t="s">
        <v>83</v>
      </c>
      <c r="BY9" s="41" t="s">
        <v>79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>
        <f t="shared" si="2"/>
        <v>20900</v>
      </c>
      <c r="K10" s="8" t="s">
        <v>201</v>
      </c>
      <c r="L10" s="9">
        <v>7700</v>
      </c>
      <c r="M10" s="9"/>
      <c r="N10" s="48">
        <v>0</v>
      </c>
      <c r="O10" s="21">
        <f t="shared" si="3"/>
        <v>35300</v>
      </c>
      <c r="P10" s="8" t="s">
        <v>202</v>
      </c>
      <c r="Q10" s="9">
        <v>-7700</v>
      </c>
      <c r="R10" s="9"/>
      <c r="S10" s="48">
        <v>0</v>
      </c>
      <c r="T10" s="21">
        <f t="shared" si="4"/>
        <v>48800</v>
      </c>
      <c r="U10" s="53">
        <f>IF($J10="","",ROUND(($J10-$J$3)/1000,1)+(_xlfn.RANK.AVG($J10,($J10,$O10,$T10),1)-2)*10)</f>
        <v>-24.1</v>
      </c>
      <c r="V10" s="54">
        <f>IF($O10="","",ROUND(($O10-$O$3)/1000,1)+(_xlfn.RANK.AVG($O10,($J10,$O10,$T10),1)-2)*10)</f>
        <v>0.3</v>
      </c>
      <c r="W10" s="55">
        <f>IF($T10="","",ROUND(($T10-$T$3)/1000,1)+(_xlfn.RANK.AVG($T10,($J10,$O10,$T10),1)-2)*10)</f>
        <v>23.8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200</v>
      </c>
      <c r="BB10" s="41" t="s">
        <v>104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E97FE38-B84B-4EFC-B185-5B939AC6647D}">
      <formula1>"たかの,だいち,ただ,りくと,れんたろう,まっつん,のり,ぱぱ,ほたに,いっしー,"</formula1>
    </dataValidation>
    <dataValidation type="list" allowBlank="1" showInputMessage="1" showErrorMessage="1" sqref="E4:E30" xr:uid="{22C40DA4-FCC7-42ED-A465-56D40CC28373}">
      <formula1>$U$2:$W$2</formula1>
    </dataValidation>
    <dataValidation type="list" showInputMessage="1" showErrorMessage="1" sqref="K4:K30 P4:P30 F4:F30" xr:uid="{06FAA72B-5522-44EC-80DC-002D3FC4967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DEE9C-F42A-407C-9B56-4721E71DCBC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207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ぱぱ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ぱぱ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210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210</v>
      </c>
      <c r="L4" s="9">
        <v>-1500</v>
      </c>
      <c r="M4" s="9"/>
      <c r="N4" s="48"/>
      <c r="O4" s="21">
        <f>IF(COUNTA($F4,$K4,$P4)&gt;0,O3+SUM(L4:N4),"")</f>
        <v>33500</v>
      </c>
      <c r="P4" s="8" t="s">
        <v>210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209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198</v>
      </c>
      <c r="G5" s="9">
        <v>7800</v>
      </c>
      <c r="H5" s="9">
        <v>1000</v>
      </c>
      <c r="I5" s="48">
        <v>1000</v>
      </c>
      <c r="J5" s="21">
        <f t="shared" ref="J5:J30" si="2">IF(COUNTA($F5,$K5,$P5)&gt;0,J4+SUM(G5:I5),"")</f>
        <v>46800</v>
      </c>
      <c r="K5" s="8" t="s">
        <v>197</v>
      </c>
      <c r="L5" s="9">
        <v>-3900</v>
      </c>
      <c r="M5" s="9"/>
      <c r="N5" s="48">
        <v>-500</v>
      </c>
      <c r="O5" s="21">
        <f t="shared" ref="O5:O30" si="3">IF(COUNTA($F5,$K5,$P5)&gt;0,O4+SUM(L5:N5),"")</f>
        <v>29100</v>
      </c>
      <c r="P5" s="8" t="s">
        <v>197</v>
      </c>
      <c r="Q5" s="9">
        <v>-3900</v>
      </c>
      <c r="R5" s="9"/>
      <c r="S5" s="48">
        <v>-500</v>
      </c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21.8</v>
      </c>
      <c r="V5" s="54">
        <f>IF($O5="","",ROUND(($O5-$O$3)/1000,1)+(_xlfn.RANK.AVG($O5,($J5,$O5,$T5),1)-2)*10)</f>
        <v>-10.9</v>
      </c>
      <c r="W5" s="55">
        <f>IF($T5="","",ROUND(($T5-$T$3)/1000,1)+(_xlfn.RANK.AVG($T5,($J5,$O5,$T5),1)-2)*10)</f>
        <v>-10.9</v>
      </c>
      <c r="Y5" s="8"/>
      <c r="Z5" s="34"/>
      <c r="AA5" s="26"/>
      <c r="AB5" s="26">
        <v>1</v>
      </c>
      <c r="AC5" s="26">
        <v>3</v>
      </c>
      <c r="AD5" s="30">
        <v>40</v>
      </c>
      <c r="AE5" s="40" t="s">
        <v>86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-2500</v>
      </c>
      <c r="H6" s="9"/>
      <c r="I6" s="48">
        <v>-1000</v>
      </c>
      <c r="J6" s="21">
        <f t="shared" si="2"/>
        <v>43300</v>
      </c>
      <c r="K6" s="8" t="s">
        <v>197</v>
      </c>
      <c r="L6" s="9">
        <v>-1500</v>
      </c>
      <c r="M6" s="9"/>
      <c r="N6" s="48">
        <v>-1000</v>
      </c>
      <c r="O6" s="21">
        <f t="shared" si="3"/>
        <v>26600</v>
      </c>
      <c r="P6" s="8" t="s">
        <v>198</v>
      </c>
      <c r="Q6" s="9">
        <v>4000</v>
      </c>
      <c r="R6" s="9"/>
      <c r="S6" s="48">
        <v>2000</v>
      </c>
      <c r="T6" s="21">
        <f t="shared" si="4"/>
        <v>35100</v>
      </c>
      <c r="U6" s="53">
        <f>IF($J6="","",ROUND(($J6-$J$3)/1000,1)+(_xlfn.RANK.AVG($J6,($J6,$O6,$T6),1)-2)*10)</f>
        <v>18.3</v>
      </c>
      <c r="V6" s="54">
        <f>IF($O6="","",ROUND(($O6-$O$3)/1000,1)+(_xlfn.RANK.AVG($O6,($J6,$O6,$T6),1)-2)*10)</f>
        <v>-18.399999999999999</v>
      </c>
      <c r="W6" s="55">
        <f>IF($T6="","",ROUND(($T6-$T$3)/1000,1)+(_xlfn.RANK.AVG($T6,($J6,$O6,$T6),1)-2)*10)</f>
        <v>0.1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82</v>
      </c>
      <c r="BV6" s="41" t="s">
        <v>199</v>
      </c>
      <c r="BW6" s="41" t="s">
        <v>85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197</v>
      </c>
      <c r="G7" s="9">
        <v>-24000</v>
      </c>
      <c r="H7" s="9"/>
      <c r="I7" s="48">
        <v>0</v>
      </c>
      <c r="J7" s="21">
        <f t="shared" si="2"/>
        <v>19300</v>
      </c>
      <c r="K7" s="8" t="s">
        <v>198</v>
      </c>
      <c r="L7" s="9">
        <v>48000</v>
      </c>
      <c r="M7" s="9">
        <v>1000</v>
      </c>
      <c r="N7" s="48">
        <v>0</v>
      </c>
      <c r="O7" s="21">
        <f t="shared" si="3"/>
        <v>75600</v>
      </c>
      <c r="P7" s="8" t="s">
        <v>197</v>
      </c>
      <c r="Q7" s="9">
        <v>-24000</v>
      </c>
      <c r="R7" s="9">
        <v>-1000</v>
      </c>
      <c r="S7" s="48">
        <v>0</v>
      </c>
      <c r="T7" s="21">
        <f t="shared" si="4"/>
        <v>10100</v>
      </c>
      <c r="U7" s="53">
        <f>IF($J7="","",ROUND(($J7-$J$3)/1000,1)+(_xlfn.RANK.AVG($J7,($J7,$O7,$T7),1)-2)*10)</f>
        <v>-15.7</v>
      </c>
      <c r="V7" s="54">
        <f>IF($O7="","",ROUND(($O7-$O$3)/1000,1)+(_xlfn.RANK.AVG($O7,($J7,$O7,$T7),1)-2)*10)</f>
        <v>50.6</v>
      </c>
      <c r="W7" s="55">
        <f>IF($T7="","",ROUND(($T7-$T$3)/1000,1)+(_xlfn.RANK.AVG($T7,($J7,$O7,$T7),1)-2)*10)</f>
        <v>-34.9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13</v>
      </c>
      <c r="AY7" s="30" t="s">
        <v>203</v>
      </c>
      <c r="AZ7" s="40" t="s">
        <v>108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198</v>
      </c>
      <c r="G8" s="9">
        <v>24000</v>
      </c>
      <c r="H8" s="9">
        <v>1000</v>
      </c>
      <c r="I8" s="48">
        <v>1000</v>
      </c>
      <c r="J8" s="21">
        <f t="shared" si="2"/>
        <v>45300</v>
      </c>
      <c r="K8" s="8" t="s">
        <v>197</v>
      </c>
      <c r="L8" s="9">
        <v>-15000</v>
      </c>
      <c r="M8" s="9"/>
      <c r="N8" s="48">
        <v>-500</v>
      </c>
      <c r="O8" s="21">
        <f t="shared" si="3"/>
        <v>60100</v>
      </c>
      <c r="P8" s="8" t="s">
        <v>197</v>
      </c>
      <c r="Q8" s="9">
        <v>-9000</v>
      </c>
      <c r="R8" s="9">
        <v>-1000</v>
      </c>
      <c r="S8" s="48">
        <v>-500</v>
      </c>
      <c r="T8" s="21">
        <f t="shared" si="4"/>
        <v>-400</v>
      </c>
      <c r="U8" s="53">
        <f>IF($J8="","",ROUND(($J8-$J$3)/1000,1)+(_xlfn.RANK.AVG($J8,($J8,$O8,$T8),1)-2)*10)</f>
        <v>10.3</v>
      </c>
      <c r="V8" s="54">
        <f>IF($O8="","",ROUND(($O8-$O$3)/1000,1)+(_xlfn.RANK.AVG($O8,($J8,$O8,$T8),1)-2)*10)</f>
        <v>35.1</v>
      </c>
      <c r="W8" s="55">
        <f>IF($T8="","",ROUND(($T8-$T$3)/1000,1)+(_xlfn.RANK.AVG($T8,($J8,$O8,$T8),1)-2)*10)</f>
        <v>-45.4</v>
      </c>
      <c r="Y8" s="8"/>
      <c r="Z8" s="34"/>
      <c r="AA8" s="26">
        <v>1</v>
      </c>
      <c r="AB8" s="26"/>
      <c r="AC8" s="26">
        <v>11</v>
      </c>
      <c r="AD8" s="30" t="s">
        <v>203</v>
      </c>
      <c r="AE8" s="40" t="s">
        <v>199</v>
      </c>
      <c r="AF8" s="41" t="s">
        <v>205</v>
      </c>
      <c r="AG8" s="41" t="s">
        <v>79</v>
      </c>
      <c r="AH8" s="41" t="s">
        <v>79</v>
      </c>
      <c r="AI8" s="41" t="s">
        <v>79</v>
      </c>
      <c r="AJ8" s="41" t="s">
        <v>80</v>
      </c>
      <c r="AK8" s="41" t="s">
        <v>80</v>
      </c>
      <c r="AL8" s="41" t="s">
        <v>80</v>
      </c>
      <c r="AM8" s="41" t="s">
        <v>80</v>
      </c>
      <c r="AN8" s="41" t="s">
        <v>82</v>
      </c>
      <c r="AO8" s="41" t="s">
        <v>200</v>
      </c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112D499D-D75E-47C9-9F2B-3D19BBC76D51}">
      <formula1>"ロン,ツモ,放銃,ツモ支払,流局,チョンボ"</formula1>
    </dataValidation>
    <dataValidation type="list" allowBlank="1" showInputMessage="1" showErrorMessage="1" sqref="E4:E30" xr:uid="{9D7C7DC2-63B3-4DB6-8333-4D9D6B8A5847}">
      <formula1>$U$2:$W$2</formula1>
    </dataValidation>
    <dataValidation type="list" allowBlank="1" showInputMessage="1" sqref="F1:T1" xr:uid="{B7519833-B228-4FF3-99E7-3B167A0D82B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2019-10-28T12:31:20Z</dcterms:modified>
</cp:coreProperties>
</file>