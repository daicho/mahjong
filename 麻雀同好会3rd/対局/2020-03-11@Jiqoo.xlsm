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96C4E16D-17E3-4EE3-8D6D-75D414C00B0A}" xr6:coauthVersionLast="44" xr6:coauthVersionMax="44" xr10:uidLastSave="{00000000-0000-0000-0000-000000000000}"/>
  <bookViews>
    <workbookView xWindow="-108" yWindow="-108" windowWidth="23256" windowHeight="12720" activeTab="9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 s="1"/>
  <c r="T11" i="28"/>
  <c r="O11" i="28"/>
  <c r="J11" i="28"/>
  <c r="U11" i="28" s="1"/>
  <c r="D11" i="28"/>
  <c r="C11" i="28"/>
  <c r="B11" i="28"/>
  <c r="A11" i="28" s="1"/>
  <c r="T10" i="28"/>
  <c r="O10" i="28"/>
  <c r="J10" i="28"/>
  <c r="U10" i="28" s="1"/>
  <c r="D10" i="28"/>
  <c r="C10" i="28"/>
  <c r="B10" i="28"/>
  <c r="A10" i="28"/>
  <c r="D9" i="28"/>
  <c r="C9" i="28"/>
  <c r="D8" i="28"/>
  <c r="C8" i="28"/>
  <c r="D7" i="28"/>
  <c r="C7" i="28"/>
  <c r="D6" i="28"/>
  <c r="C6" i="28"/>
  <c r="B6" i="28"/>
  <c r="B7" i="28" s="1"/>
  <c r="T5" i="28"/>
  <c r="D5" i="28"/>
  <c r="C5" i="28"/>
  <c r="B5" i="28"/>
  <c r="A5" i="28" s="1"/>
  <c r="T4" i="28"/>
  <c r="O4" i="28"/>
  <c r="O5" i="28" s="1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D12" i="27"/>
  <c r="C12" i="27"/>
  <c r="D10" i="27"/>
  <c r="D11" i="27" s="1"/>
  <c r="D9" i="27"/>
  <c r="C9" i="27"/>
  <c r="C10" i="27" s="1"/>
  <c r="C11" i="27" s="1"/>
  <c r="D8" i="27"/>
  <c r="C8" i="27"/>
  <c r="D7" i="27"/>
  <c r="C7" i="27"/>
  <c r="D6" i="27"/>
  <c r="B6" i="27"/>
  <c r="B7" i="27" s="1"/>
  <c r="T5" i="27"/>
  <c r="D5" i="27"/>
  <c r="C5" i="27"/>
  <c r="C6" i="27" s="1"/>
  <c r="B5" i="27"/>
  <c r="T4" i="27"/>
  <c r="O4" i="27"/>
  <c r="V4" i="27" s="1"/>
  <c r="J4" i="27"/>
  <c r="J5" i="27" s="1"/>
  <c r="W3" i="27"/>
  <c r="V3" i="27"/>
  <c r="U3" i="27"/>
  <c r="W2" i="27"/>
  <c r="V2" i="27"/>
  <c r="U2" i="27"/>
  <c r="BO1" i="27"/>
  <c r="AT1" i="27"/>
  <c r="Y1" i="27"/>
  <c r="V11" i="28" l="1"/>
  <c r="W11" i="28"/>
  <c r="V10" i="28"/>
  <c r="W10" i="28"/>
  <c r="A6" i="28"/>
  <c r="W4" i="28"/>
  <c r="B8" i="28"/>
  <c r="A8" i="28" s="1"/>
  <c r="O6" i="28"/>
  <c r="J5" i="28"/>
  <c r="V5" i="28" s="1"/>
  <c r="A7" i="28"/>
  <c r="U4" i="28"/>
  <c r="V4" i="28"/>
  <c r="T6" i="28"/>
  <c r="W4" i="27"/>
  <c r="B8" i="27"/>
  <c r="J6" i="27"/>
  <c r="U4" i="27"/>
  <c r="A5" i="27"/>
  <c r="A6" i="27" s="1"/>
  <c r="A7" i="27" s="1"/>
  <c r="T6" i="27"/>
  <c r="O5" i="27"/>
  <c r="U5" i="27" s="1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/>
  <c r="D11" i="26"/>
  <c r="C11" i="26"/>
  <c r="D10" i="26"/>
  <c r="D9" i="26"/>
  <c r="C9" i="26"/>
  <c r="C10" i="26" s="1"/>
  <c r="D8" i="26"/>
  <c r="C8" i="26"/>
  <c r="D7" i="26"/>
  <c r="C7" i="26"/>
  <c r="T6" i="26"/>
  <c r="D6" i="26"/>
  <c r="B6" i="26"/>
  <c r="B7" i="26" s="1"/>
  <c r="T5" i="26"/>
  <c r="D5" i="26"/>
  <c r="C5" i="26"/>
  <c r="C6" i="26" s="1"/>
  <c r="B5" i="26"/>
  <c r="A5" i="26" s="1"/>
  <c r="T4" i="26"/>
  <c r="O4" i="26"/>
  <c r="O5" i="26" s="1"/>
  <c r="J4" i="26"/>
  <c r="W3" i="26"/>
  <c r="V3" i="26"/>
  <c r="U3" i="26"/>
  <c r="W2" i="26"/>
  <c r="V2" i="26"/>
  <c r="U2" i="26"/>
  <c r="BO1" i="26"/>
  <c r="AT1" i="26"/>
  <c r="Y1" i="26"/>
  <c r="T7" i="28" l="1"/>
  <c r="B9" i="28"/>
  <c r="A9" i="28" s="1"/>
  <c r="J6" i="28"/>
  <c r="V6" i="28" s="1"/>
  <c r="U5" i="28"/>
  <c r="W5" i="28"/>
  <c r="O7" i="28"/>
  <c r="J7" i="27"/>
  <c r="V5" i="27"/>
  <c r="O6" i="27"/>
  <c r="U6" i="27" s="1"/>
  <c r="B9" i="27"/>
  <c r="T7" i="27"/>
  <c r="W6" i="27"/>
  <c r="A8" i="27"/>
  <c r="W5" i="27"/>
  <c r="A6" i="26"/>
  <c r="W4" i="26"/>
  <c r="V4" i="26"/>
  <c r="W5" i="26"/>
  <c r="O6" i="26"/>
  <c r="B8" i="26"/>
  <c r="A8" i="26" s="1"/>
  <c r="T7" i="26"/>
  <c r="J5" i="26"/>
  <c r="V5" i="26" s="1"/>
  <c r="A7" i="26"/>
  <c r="U4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D12" i="25"/>
  <c r="C12" i="25"/>
  <c r="D11" i="25"/>
  <c r="D10" i="25"/>
  <c r="D9" i="25"/>
  <c r="C9" i="25"/>
  <c r="C10" i="25" s="1"/>
  <c r="C11" i="25" s="1"/>
  <c r="D8" i="25"/>
  <c r="C8" i="25"/>
  <c r="D7" i="25"/>
  <c r="C7" i="25"/>
  <c r="D6" i="25"/>
  <c r="B6" i="25"/>
  <c r="B7" i="25" s="1"/>
  <c r="D5" i="25"/>
  <c r="C5" i="25"/>
  <c r="C6" i="25" s="1"/>
  <c r="B5" i="25"/>
  <c r="A5" i="25" s="1"/>
  <c r="A6" i="25" s="1"/>
  <c r="T4" i="25"/>
  <c r="T5" i="25" s="1"/>
  <c r="O4" i="25"/>
  <c r="V4" i="25" s="1"/>
  <c r="J4" i="25"/>
  <c r="W3" i="25"/>
  <c r="V3" i="25"/>
  <c r="U3" i="25"/>
  <c r="W2" i="25"/>
  <c r="V2" i="25"/>
  <c r="U2" i="25"/>
  <c r="BO1" i="25"/>
  <c r="AT1" i="25"/>
  <c r="Y1" i="25"/>
  <c r="W6" i="28" l="1"/>
  <c r="T8" i="28"/>
  <c r="O8" i="28"/>
  <c r="U6" i="28"/>
  <c r="J7" i="28"/>
  <c r="W7" i="28" s="1"/>
  <c r="A9" i="27"/>
  <c r="J8" i="27"/>
  <c r="T8" i="27"/>
  <c r="B10" i="27"/>
  <c r="A10" i="27" s="1"/>
  <c r="V6" i="27"/>
  <c r="O7" i="27"/>
  <c r="W7" i="27" s="1"/>
  <c r="B9" i="26"/>
  <c r="A9" i="26" s="1"/>
  <c r="O7" i="26"/>
  <c r="U5" i="26"/>
  <c r="J6" i="26"/>
  <c r="T8" i="26"/>
  <c r="U4" i="25"/>
  <c r="W4" i="25"/>
  <c r="B8" i="25"/>
  <c r="A8" i="25" s="1"/>
  <c r="T6" i="25"/>
  <c r="J5" i="25"/>
  <c r="A7" i="25"/>
  <c r="O5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T12" i="24"/>
  <c r="W12" i="24" s="1"/>
  <c r="O12" i="24"/>
  <c r="J12" i="24"/>
  <c r="D12" i="24"/>
  <c r="C12" i="24"/>
  <c r="B12" i="24"/>
  <c r="A12" i="24" s="1"/>
  <c r="T11" i="24"/>
  <c r="O11" i="24"/>
  <c r="V11" i="24" s="1"/>
  <c r="J11" i="24"/>
  <c r="D11" i="24"/>
  <c r="C11" i="24"/>
  <c r="B11" i="24"/>
  <c r="A11" i="24"/>
  <c r="T10" i="24"/>
  <c r="O10" i="24"/>
  <c r="J10" i="24"/>
  <c r="U10" i="24" s="1"/>
  <c r="D10" i="24"/>
  <c r="C10" i="24"/>
  <c r="B10" i="24"/>
  <c r="A10" i="24" s="1"/>
  <c r="D9" i="24"/>
  <c r="C9" i="24"/>
  <c r="D8" i="24"/>
  <c r="C8" i="24"/>
  <c r="T7" i="24"/>
  <c r="D7" i="24"/>
  <c r="C7" i="24"/>
  <c r="B7" i="24"/>
  <c r="B8" i="24" s="1"/>
  <c r="T6" i="24"/>
  <c r="D6" i="24"/>
  <c r="C6" i="24"/>
  <c r="B6" i="24"/>
  <c r="A7" i="24" s="1"/>
  <c r="T5" i="24"/>
  <c r="O5" i="24"/>
  <c r="O6" i="24" s="1"/>
  <c r="D5" i="24"/>
  <c r="C5" i="24"/>
  <c r="B5" i="24"/>
  <c r="A5" i="24" s="1"/>
  <c r="T4" i="24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/>
  <c r="T9" i="23"/>
  <c r="O9" i="23"/>
  <c r="J9" i="23"/>
  <c r="D9" i="23"/>
  <c r="C9" i="23"/>
  <c r="B9" i="23"/>
  <c r="A9" i="23" s="1"/>
  <c r="T8" i="23"/>
  <c r="O8" i="23"/>
  <c r="J8" i="23"/>
  <c r="D8" i="23"/>
  <c r="C8" i="23"/>
  <c r="B8" i="23"/>
  <c r="A8" i="23" s="1"/>
  <c r="T7" i="23"/>
  <c r="O7" i="23"/>
  <c r="J7" i="23"/>
  <c r="D7" i="23"/>
  <c r="C7" i="23"/>
  <c r="B7" i="23"/>
  <c r="A7" i="23" s="1"/>
  <c r="D6" i="23"/>
  <c r="B6" i="23"/>
  <c r="A6" i="23" s="1"/>
  <c r="T5" i="23"/>
  <c r="D5" i="23"/>
  <c r="C5" i="23"/>
  <c r="C6" i="23" s="1"/>
  <c r="B5" i="23"/>
  <c r="A5" i="23" s="1"/>
  <c r="T4" i="23"/>
  <c r="O4" i="23"/>
  <c r="O5" i="23" s="1"/>
  <c r="J4" i="23"/>
  <c r="W4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D10" i="22"/>
  <c r="C10" i="22"/>
  <c r="D9" i="22"/>
  <c r="C9" i="22"/>
  <c r="D8" i="22"/>
  <c r="C8" i="22"/>
  <c r="D7" i="22"/>
  <c r="C7" i="22"/>
  <c r="D6" i="22"/>
  <c r="O5" i="22"/>
  <c r="D5" i="22"/>
  <c r="T4" i="22"/>
  <c r="T5" i="22" s="1"/>
  <c r="O4" i="22"/>
  <c r="J4" i="22"/>
  <c r="J5" i="22" s="1"/>
  <c r="C5" i="22"/>
  <c r="C6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C13" i="21"/>
  <c r="D12" i="21"/>
  <c r="D13" i="21" s="1"/>
  <c r="C12" i="21"/>
  <c r="D11" i="21"/>
  <c r="C11" i="21"/>
  <c r="D10" i="21"/>
  <c r="C10" i="21"/>
  <c r="D9" i="21"/>
  <c r="C9" i="21"/>
  <c r="D8" i="21"/>
  <c r="C8" i="21"/>
  <c r="D7" i="21"/>
  <c r="C7" i="21"/>
  <c r="D6" i="21"/>
  <c r="T5" i="21"/>
  <c r="D5" i="21"/>
  <c r="C5" i="21"/>
  <c r="C6" i="21" s="1"/>
  <c r="T4" i="21"/>
  <c r="O4" i="21"/>
  <c r="O5" i="21" s="1"/>
  <c r="J4" i="21"/>
  <c r="U4" i="21" s="1"/>
  <c r="E4" i="21"/>
  <c r="B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O12" i="20"/>
  <c r="J12" i="20"/>
  <c r="U12" i="20" s="1"/>
  <c r="D12" i="20"/>
  <c r="C12" i="20"/>
  <c r="B12" i="20"/>
  <c r="A12" i="20"/>
  <c r="T11" i="20"/>
  <c r="O11" i="20"/>
  <c r="J11" i="20"/>
  <c r="U11" i="20" s="1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D9" i="20"/>
  <c r="C9" i="20"/>
  <c r="D8" i="20"/>
  <c r="C8" i="20"/>
  <c r="D7" i="20"/>
  <c r="C7" i="20"/>
  <c r="D6" i="20"/>
  <c r="C6" i="20"/>
  <c r="T5" i="20"/>
  <c r="T6" i="20" s="1"/>
  <c r="O5" i="20"/>
  <c r="D5" i="20"/>
  <c r="T4" i="20"/>
  <c r="O4" i="20"/>
  <c r="J4" i="20"/>
  <c r="E4" i="20"/>
  <c r="C5" i="20" s="1"/>
  <c r="W3" i="20"/>
  <c r="V3" i="20"/>
  <c r="U3" i="20"/>
  <c r="W2" i="20"/>
  <c r="V2" i="20"/>
  <c r="U2" i="20"/>
  <c r="BO1" i="20"/>
  <c r="AT1" i="20"/>
  <c r="Y1" i="20"/>
  <c r="O9" i="28" l="1"/>
  <c r="T9" i="28"/>
  <c r="J8" i="28"/>
  <c r="V8" i="28" s="1"/>
  <c r="U7" i="28"/>
  <c r="V7" i="28"/>
  <c r="U7" i="27"/>
  <c r="J9" i="27"/>
  <c r="V7" i="27"/>
  <c r="O8" i="27"/>
  <c r="W8" i="27" s="1"/>
  <c r="B11" i="27"/>
  <c r="A11" i="27" s="1"/>
  <c r="T9" i="27"/>
  <c r="B10" i="26"/>
  <c r="A10" i="26" s="1"/>
  <c r="T9" i="26"/>
  <c r="J7" i="26"/>
  <c r="U6" i="26"/>
  <c r="W6" i="26"/>
  <c r="V6" i="26"/>
  <c r="O8" i="26"/>
  <c r="V7" i="26"/>
  <c r="V5" i="25"/>
  <c r="O6" i="25"/>
  <c r="J6" i="25"/>
  <c r="U5" i="25"/>
  <c r="T7" i="25"/>
  <c r="W5" i="25"/>
  <c r="B9" i="25"/>
  <c r="A9" i="25" s="1"/>
  <c r="U12" i="24"/>
  <c r="V12" i="24"/>
  <c r="U11" i="24"/>
  <c r="W11" i="24"/>
  <c r="V10" i="24"/>
  <c r="W10" i="24"/>
  <c r="A6" i="24"/>
  <c r="W4" i="24"/>
  <c r="B9" i="24"/>
  <c r="A9" i="24" s="1"/>
  <c r="A8" i="24"/>
  <c r="O7" i="24"/>
  <c r="J5" i="24"/>
  <c r="T8" i="24"/>
  <c r="U4" i="24"/>
  <c r="V4" i="24"/>
  <c r="W9" i="23"/>
  <c r="U9" i="23"/>
  <c r="V9" i="23"/>
  <c r="W8" i="23"/>
  <c r="U8" i="23"/>
  <c r="V8" i="23"/>
  <c r="U7" i="23"/>
  <c r="V7" i="23"/>
  <c r="W7" i="23"/>
  <c r="O6" i="23"/>
  <c r="J5" i="23"/>
  <c r="U4" i="23"/>
  <c r="V4" i="23"/>
  <c r="T6" i="23"/>
  <c r="U4" i="22"/>
  <c r="W4" i="22"/>
  <c r="U5" i="22"/>
  <c r="J6" i="22"/>
  <c r="W5" i="22"/>
  <c r="T6" i="22"/>
  <c r="V5" i="22"/>
  <c r="V4" i="22"/>
  <c r="O6" i="22"/>
  <c r="B5" i="22"/>
  <c r="W4" i="21"/>
  <c r="V4" i="21"/>
  <c r="B6" i="21"/>
  <c r="A5" i="21"/>
  <c r="A6" i="21"/>
  <c r="O6" i="21"/>
  <c r="J5" i="21"/>
  <c r="W5" i="21" s="1"/>
  <c r="T6" i="21"/>
  <c r="W13" i="20"/>
  <c r="V13" i="20"/>
  <c r="W12" i="20"/>
  <c r="V12" i="20"/>
  <c r="V11" i="20"/>
  <c r="W11" i="20"/>
  <c r="V10" i="20"/>
  <c r="W10" i="20"/>
  <c r="V4" i="20"/>
  <c r="U4" i="20"/>
  <c r="W4" i="20"/>
  <c r="T7" i="20"/>
  <c r="B5" i="20"/>
  <c r="J5" i="20"/>
  <c r="V5" i="20" s="1"/>
  <c r="O6" i="20"/>
  <c r="E4" i="19"/>
  <c r="W8" i="28" l="1"/>
  <c r="U8" i="28"/>
  <c r="J9" i="28"/>
  <c r="U9" i="28" s="1"/>
  <c r="U8" i="27"/>
  <c r="J10" i="27"/>
  <c r="T10" i="27"/>
  <c r="B12" i="27"/>
  <c r="A12" i="27"/>
  <c r="O9" i="27"/>
  <c r="W9" i="27" s="1"/>
  <c r="V8" i="27"/>
  <c r="O9" i="26"/>
  <c r="B11" i="26"/>
  <c r="A11" i="26" s="1"/>
  <c r="U7" i="26"/>
  <c r="J8" i="26"/>
  <c r="V8" i="26" s="1"/>
  <c r="W7" i="26"/>
  <c r="T10" i="26"/>
  <c r="O7" i="25"/>
  <c r="V6" i="25"/>
  <c r="B10" i="25"/>
  <c r="A10" i="25" s="1"/>
  <c r="W6" i="25"/>
  <c r="T8" i="25"/>
  <c r="U6" i="25"/>
  <c r="J7" i="25"/>
  <c r="V5" i="24"/>
  <c r="U5" i="24"/>
  <c r="J6" i="24"/>
  <c r="W5" i="24"/>
  <c r="O8" i="24"/>
  <c r="T9" i="24"/>
  <c r="U5" i="23"/>
  <c r="J6" i="23"/>
  <c r="U6" i="23" s="1"/>
  <c r="V5" i="23"/>
  <c r="W5" i="23"/>
  <c r="U6" i="22"/>
  <c r="J7" i="22"/>
  <c r="B6" i="22"/>
  <c r="A5" i="22"/>
  <c r="V6" i="22"/>
  <c r="O7" i="22"/>
  <c r="T7" i="22"/>
  <c r="W6" i="22"/>
  <c r="V5" i="21"/>
  <c r="O7" i="21"/>
  <c r="T7" i="21"/>
  <c r="B7" i="21"/>
  <c r="J6" i="21"/>
  <c r="W6" i="21" s="1"/>
  <c r="U5" i="21"/>
  <c r="T8" i="20"/>
  <c r="O7" i="20"/>
  <c r="W5" i="20"/>
  <c r="U5" i="20"/>
  <c r="J6" i="20"/>
  <c r="A5" i="20"/>
  <c r="B6" i="20"/>
  <c r="A6" i="20" s="1"/>
  <c r="W3" i="19"/>
  <c r="V3" i="19"/>
  <c r="U3" i="19"/>
  <c r="V9" i="28" l="1"/>
  <c r="W9" i="28"/>
  <c r="U9" i="27"/>
  <c r="J11" i="27"/>
  <c r="V9" i="27"/>
  <c r="O10" i="27"/>
  <c r="U10" i="27" s="1"/>
  <c r="T11" i="27"/>
  <c r="W10" i="27"/>
  <c r="T11" i="26"/>
  <c r="O10" i="26"/>
  <c r="U8" i="26"/>
  <c r="J9" i="26"/>
  <c r="V9" i="26" s="1"/>
  <c r="W8" i="26"/>
  <c r="V7" i="25"/>
  <c r="O8" i="25"/>
  <c r="T9" i="25"/>
  <c r="U7" i="25"/>
  <c r="J8" i="25"/>
  <c r="W7" i="25"/>
  <c r="B11" i="25"/>
  <c r="A11" i="25" s="1"/>
  <c r="U6" i="24"/>
  <c r="J7" i="24"/>
  <c r="V6" i="24"/>
  <c r="W6" i="24"/>
  <c r="O9" i="24"/>
  <c r="W6" i="23"/>
  <c r="V6" i="23"/>
  <c r="B7" i="22"/>
  <c r="A7" i="22" s="1"/>
  <c r="W7" i="22"/>
  <c r="T8" i="22"/>
  <c r="J8" i="22"/>
  <c r="U7" i="22"/>
  <c r="V7" i="22"/>
  <c r="O8" i="22"/>
  <c r="A6" i="22"/>
  <c r="V6" i="21"/>
  <c r="B8" i="21"/>
  <c r="A7" i="21"/>
  <c r="T8" i="21"/>
  <c r="O8" i="21"/>
  <c r="U6" i="21"/>
  <c r="J7" i="21"/>
  <c r="W7" i="21" s="1"/>
  <c r="O8" i="20"/>
  <c r="B7" i="20"/>
  <c r="A7" i="20" s="1"/>
  <c r="T9" i="20"/>
  <c r="J7" i="20"/>
  <c r="V7" i="20" s="1"/>
  <c r="U6" i="20"/>
  <c r="W6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12" i="27" l="1"/>
  <c r="U11" i="27"/>
  <c r="W11" i="27"/>
  <c r="T12" i="27"/>
  <c r="V10" i="27"/>
  <c r="O11" i="27"/>
  <c r="U9" i="26"/>
  <c r="J10" i="26"/>
  <c r="W9" i="26"/>
  <c r="O11" i="26"/>
  <c r="B12" i="25"/>
  <c r="A12" i="25" s="1"/>
  <c r="J9" i="25"/>
  <c r="W9" i="25" s="1"/>
  <c r="U8" i="25"/>
  <c r="V8" i="25"/>
  <c r="O9" i="25"/>
  <c r="W8" i="25"/>
  <c r="T10" i="25"/>
  <c r="J8" i="24"/>
  <c r="U7" i="24"/>
  <c r="W7" i="24"/>
  <c r="V7" i="24"/>
  <c r="B8" i="22"/>
  <c r="A8" i="22"/>
  <c r="V8" i="22"/>
  <c r="O9" i="22"/>
  <c r="U8" i="22"/>
  <c r="J9" i="22"/>
  <c r="W8" i="22"/>
  <c r="T9" i="22"/>
  <c r="U7" i="21"/>
  <c r="J8" i="21"/>
  <c r="W8" i="21" s="1"/>
  <c r="B9" i="21"/>
  <c r="V7" i="21"/>
  <c r="O9" i="21"/>
  <c r="T9" i="21"/>
  <c r="A8" i="21"/>
  <c r="O9" i="20"/>
  <c r="U7" i="20"/>
  <c r="J8" i="20"/>
  <c r="V8" i="20" s="1"/>
  <c r="W7" i="20"/>
  <c r="B8" i="20"/>
  <c r="A8" i="20" s="1"/>
  <c r="V9" i="19"/>
  <c r="U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2" i="27" l="1"/>
  <c r="V12" i="27" s="1"/>
  <c r="V11" i="27"/>
  <c r="U10" i="26"/>
  <c r="J11" i="26"/>
  <c r="W10" i="26"/>
  <c r="V10" i="26"/>
  <c r="T11" i="25"/>
  <c r="V9" i="25"/>
  <c r="O10" i="25"/>
  <c r="J10" i="25"/>
  <c r="W10" i="25" s="1"/>
  <c r="U9" i="25"/>
  <c r="U8" i="24"/>
  <c r="J9" i="24"/>
  <c r="W8" i="24"/>
  <c r="V8" i="24"/>
  <c r="B9" i="22"/>
  <c r="A9" i="22"/>
  <c r="W9" i="22"/>
  <c r="T10" i="22"/>
  <c r="U9" i="22"/>
  <c r="J10" i="22"/>
  <c r="U10" i="22" s="1"/>
  <c r="V9" i="22"/>
  <c r="O10" i="22"/>
  <c r="T10" i="21"/>
  <c r="B10" i="21"/>
  <c r="U8" i="21"/>
  <c r="J9" i="21"/>
  <c r="W9" i="21" s="1"/>
  <c r="V9" i="21"/>
  <c r="O10" i="21"/>
  <c r="V8" i="21"/>
  <c r="A9" i="21"/>
  <c r="V9" i="20"/>
  <c r="B9" i="20"/>
  <c r="A9" i="20" s="1"/>
  <c r="J9" i="20"/>
  <c r="U8" i="20"/>
  <c r="W8" i="20"/>
  <c r="W5" i="19"/>
  <c r="V5" i="19"/>
  <c r="U5" i="19"/>
  <c r="U12" i="27" l="1"/>
  <c r="W12" i="27"/>
  <c r="U11" i="26"/>
  <c r="W11" i="26"/>
  <c r="V11" i="26"/>
  <c r="T12" i="25"/>
  <c r="U10" i="25"/>
  <c r="J11" i="25"/>
  <c r="O11" i="25"/>
  <c r="V10" i="25"/>
  <c r="U9" i="24"/>
  <c r="W9" i="24"/>
  <c r="V9" i="24"/>
  <c r="B10" i="22"/>
  <c r="A10" i="22" s="1"/>
  <c r="V10" i="22"/>
  <c r="W10" i="22"/>
  <c r="O11" i="21"/>
  <c r="B11" i="21"/>
  <c r="T11" i="21"/>
  <c r="J10" i="21"/>
  <c r="V10" i="21" s="1"/>
  <c r="U9" i="21"/>
  <c r="A10" i="21"/>
  <c r="U9" i="20"/>
  <c r="W9" i="20"/>
  <c r="W11" i="25" l="1"/>
  <c r="W12" i="25"/>
  <c r="O12" i="25"/>
  <c r="V11" i="25"/>
  <c r="U11" i="25"/>
  <c r="J12" i="25"/>
  <c r="O12" i="21"/>
  <c r="V11" i="21"/>
  <c r="B12" i="21"/>
  <c r="U10" i="21"/>
  <c r="J11" i="21"/>
  <c r="W11" i="21"/>
  <c r="T12" i="21"/>
  <c r="W10" i="21"/>
  <c r="A11" i="21"/>
  <c r="U12" i="25" l="1"/>
  <c r="V12" i="25"/>
  <c r="A12" i="21"/>
  <c r="O13" i="21"/>
  <c r="T13" i="21"/>
  <c r="U11" i="21"/>
  <c r="J12" i="21"/>
  <c r="B13" i="21"/>
  <c r="A13" i="21" s="1"/>
  <c r="U12" i="21" l="1"/>
  <c r="J13" i="21"/>
  <c r="U13" i="21" s="1"/>
  <c r="W12" i="21"/>
  <c r="V12" i="21"/>
  <c r="V13" i="21" l="1"/>
  <c r="W13" i="21"/>
</calcChain>
</file>

<file path=xl/sharedStrings.xml><?xml version="1.0" encoding="utf-8"?>
<sst xmlns="http://schemas.openxmlformats.org/spreadsheetml/2006/main" count="1424" uniqueCount="208">
  <si>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</si>
  <si>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</si>
  <si>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</si>
  <si>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</si>
  <si>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</si>
  <si>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</si>
  <si>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</si>
  <si>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</si>
  <si>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</si>
  <si>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</si>
  <si>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</si>
  <si>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</si>
  <si>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</si>
  <si>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</si>
  <si>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</si>
  <si>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</si>
  <si>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</si>
  <si>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</si>
  <si>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</si>
  <si>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</si>
  <si>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</si>
  <si>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</si>
  <si>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</si>
  <si>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</si>
  <si>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</si>
  <si>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</si>
  <si>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</si>
  <si>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</si>
  <si>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</si>
  <si>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</si>
  <si>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</si>
  <si>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</si>
  <si>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</si>
  <si>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</si>
  <si>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</si>
  <si>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</si>
  <si>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</si>
  <si>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</si>
  <si>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</si>
  <si>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</si>
  <si>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</si>
  <si>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</si>
  <si>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</si>
  <si>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</si>
  <si>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</si>
  <si>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</si>
  <si>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</si>
  <si>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</si>
  <si>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</si>
  <si>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</si>
  <si>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</si>
  <si>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</si>
  <si>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</si>
  <si>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</si>
  <si>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</si>
  <si>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</si>
  <si>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</si>
  <si>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</si>
  <si>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</si>
  <si>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</si>
  <si>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</si>
  <si>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</si>
  <si>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</si>
  <si>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</si>
  <si>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</si>
  <si>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</si>
  <si>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</si>
  <si>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</si>
  <si>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</si>
  <si>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</si>
  <si>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</si>
  <si>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</si>
  <si>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</si>
  <si>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</si>
  <si>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</si>
  <si>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</si>
  <si>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</si>
  <si>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</si>
  <si>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</si>
  <si>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</si>
  <si>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</si>
  <si>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</si>
  <si>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</si>
  <si>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</si>
  <si>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</si>
  <si>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</si>
  <si>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</si>
  <si>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</si>
  <si>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</si>
  <si>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</si>
  <si>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</si>
  <si>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</si>
  <si>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</si>
  <si>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</si>
  <si>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</si>
  <si>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</si>
  <si>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</si>
  <si>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</si>
  <si>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</si>
  <si>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</si>
  <si>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</si>
  <si>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</si>
  <si>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</si>
  <si>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</si>
  <si>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</si>
  <si>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</si>
  <si>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</si>
  <si>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</si>
  <si>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</si>
  <si>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</si>
  <si>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</si>
  <si>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</si>
  <si>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</si>
  <si>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</si>
  <si>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</si>
  <si>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</si>
  <si>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</si>
  <si>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</si>
  <si>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</si>
  <si>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</si>
  <si>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</si>
  <si>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</si>
  <si>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</si>
  <si>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</si>
  <si>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</si>
  <si>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</si>
  <si>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</si>
  <si>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</si>
  <si>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</si>
  <si>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</si>
  <si>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</si>
  <si>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</si>
  <si>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</si>
  <si>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</si>
  <si>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</si>
  <si>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</si>
  <si>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</si>
  <si>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</si>
  <si>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</si>
  <si>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</si>
  <si>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</si>
  <si>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</si>
  <si>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</si>
  <si>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</si>
  <si>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</si>
  <si>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</si>
  <si>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</si>
  <si>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</si>
  <si>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</si>
  <si>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</si>
  <si>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</si>
  <si>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</si>
  <si>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</si>
  <si>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</si>
  <si>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</si>
  <si>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</si>
  <si>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</si>
  <si>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</si>
  <si>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</si>
  <si>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</si>
  <si>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</si>
  <si>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</si>
  <si>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</si>
  <si>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</si>
  <si>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</si>
  <si>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</si>
  <si>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</si>
  <si>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</si>
  <si>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</si>
  <si>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</si>
  <si>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</si>
  <si>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</si>
  <si>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</si>
  <si>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</si>
  <si>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</si>
  <si>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</si>
  <si>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</si>
  <si>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</si>
  <si>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</si>
  <si>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</si>
  <si>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</si>
  <si>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</si>
  <si>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</si>
  <si>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</si>
  <si>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</si>
  <si>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</si>
  <si>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</si>
  <si>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</si>
  <si>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</si>
  <si>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</si>
  <si>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</si>
  <si>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</si>
  <si>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</si>
  <si>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ただ</t>
  </si>
  <si>
    <t>ただ</t>
    <phoneticPr fontId="1"/>
  </si>
  <si>
    <t>だいち</t>
  </si>
  <si>
    <t>だいち</t>
    <phoneticPr fontId="1"/>
  </si>
  <si>
    <t>ツモ支払</t>
  </si>
  <si>
    <t>ツモ</t>
  </si>
  <si>
    <t>01</t>
  </si>
  <si>
    <t>ロン</t>
  </si>
  <si>
    <t>放銃</t>
  </si>
  <si>
    <t>*</t>
  </si>
  <si>
    <t>52</t>
  </si>
  <si>
    <t>T</t>
  </si>
  <si>
    <t>流局</t>
    <phoneticPr fontId="1"/>
  </si>
  <si>
    <t>02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</si>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</sst>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 t="s">
        <v>197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198</v>
      </c>
      <c r="L4" s="9">
        <v>5300</v>
      </c>
      <c r="M4" s="9"/>
      <c r="N4" s="48">
        <v>0</v>
      </c>
      <c r="O4" s="21">
        <f>IF(COUNTA($F4,$K4,$P4)&gt;0,O3+SUM(L4:N4),"")</f>
        <v>40300</v>
      </c>
      <c r="P4" s="8" t="s">
        <v>197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-13.3</v>
      </c>
      <c r="V4" s="54">
        <f>IF($O4="","",ROUND(($O4-$O$3)/1000,1)+(_xlfn.RANK.AVG($O4,($J4,$O4,$T4),1)-2)*10)</f>
        <v>15.3</v>
      </c>
      <c r="W4" s="55">
        <f>IF($T4="","",ROUND(($T4-$T$3)/1000,1)+(_xlfn.RANK.AVG($T4,($J4,$O4,$T4),1)-2)*10)</f>
        <v>-2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199</v>
      </c>
      <c r="BA4" s="41" t="s">
        <v>82</v>
      </c>
      <c r="BB4" s="41" t="s">
        <v>83</v>
      </c>
      <c r="BC4" s="41" t="s">
        <v>84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3900</v>
      </c>
      <c r="H5" s="9"/>
      <c r="I5" s="48">
        <v>0</v>
      </c>
      <c r="J5" s="21">
        <f t="shared" ref="J5:J30" si="2">IF(COUNTA($F5,$K5,$P5)&gt;0,J4+SUM(G5:I5),"")</f>
        <v>35600</v>
      </c>
      <c r="K5" s="8" t="s">
        <v>201</v>
      </c>
      <c r="L5" s="9">
        <v>-3900</v>
      </c>
      <c r="M5" s="9"/>
      <c r="N5" s="48">
        <v>0</v>
      </c>
      <c r="O5" s="21">
        <f t="shared" ref="O5:O30" si="3">IF(COUNTA($F5,$K5,$P5)&gt;0,O4+SUM(L5:N5),"")</f>
        <v>36400</v>
      </c>
      <c r="P5" s="8"/>
      <c r="Q5" s="9"/>
      <c r="R5" s="9"/>
      <c r="S5" s="48"/>
      <c r="T5" s="21">
        <f t="shared" ref="T5:T30" si="4">IF(COUNTA($F5,$K5,$P5)&gt;0,T4+SUM(Q5:S5),"")</f>
        <v>33000</v>
      </c>
      <c r="U5" s="53">
        <f>IF($J5="","",ROUND(($J5-$J$3)/1000,1)+(_xlfn.RANK.AVG($J5,($J5,$O5,$T5),1)-2)*10)</f>
        <v>0.6</v>
      </c>
      <c r="V5" s="54">
        <f>IF($O5="","",ROUND(($O5-$O$3)/1000,1)+(_xlfn.RANK.AVG($O5,($J5,$O5,$T5),1)-2)*10)</f>
        <v>11.4</v>
      </c>
      <c r="W5" s="55">
        <f>IF($T5="","",ROUND(($T5-$T$3)/1000,1)+(_xlfn.RANK.AVG($T5,($J5,$O5,$T5),1)-2)*10)</f>
        <v>-12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104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-8000</v>
      </c>
      <c r="H6" s="9"/>
      <c r="I6" s="48">
        <v>0</v>
      </c>
      <c r="J6" s="21">
        <f t="shared" si="2"/>
        <v>27600</v>
      </c>
      <c r="K6" s="8" t="s">
        <v>200</v>
      </c>
      <c r="L6" s="9">
        <v>8000</v>
      </c>
      <c r="M6" s="9"/>
      <c r="N6" s="48">
        <v>0</v>
      </c>
      <c r="O6" s="21">
        <f t="shared" si="3"/>
        <v>44400</v>
      </c>
      <c r="P6" s="8"/>
      <c r="Q6" s="9"/>
      <c r="R6" s="9"/>
      <c r="S6" s="48"/>
      <c r="T6" s="21">
        <f t="shared" si="4"/>
        <v>33000</v>
      </c>
      <c r="U6" s="53">
        <f>IF($J6="","",ROUND(($J6-$J$3)/1000,1)+(_xlfn.RANK.AVG($J6,($J6,$O6,$T6),1)-2)*10)</f>
        <v>-17.399999999999999</v>
      </c>
      <c r="V6" s="54">
        <f>IF($O6="","",ROUND(($O6-$O$3)/1000,1)+(_xlfn.RANK.AVG($O6,($J6,$O6,$T6),1)-2)*10)</f>
        <v>19.399999999999999</v>
      </c>
      <c r="W6" s="55">
        <f>IF($T6="","",ROUND(($T6-$T$3)/1000,1)+(_xlfn.RANK.AVG($T6,($J6,$O6,$T6),1)-2)*10)</f>
        <v>-2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202</v>
      </c>
      <c r="AZ6" s="40" t="s">
        <v>104</v>
      </c>
      <c r="BA6" s="41" t="s">
        <v>86</v>
      </c>
      <c r="BB6" s="41" t="s">
        <v>203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-4900</v>
      </c>
      <c r="H7" s="9"/>
      <c r="I7" s="48">
        <v>0</v>
      </c>
      <c r="J7" s="21">
        <f t="shared" si="2"/>
        <v>22700</v>
      </c>
      <c r="K7" s="8" t="s">
        <v>200</v>
      </c>
      <c r="L7" s="9">
        <v>1000</v>
      </c>
      <c r="M7" s="9"/>
      <c r="N7" s="48">
        <v>0</v>
      </c>
      <c r="O7" s="21">
        <f t="shared" si="3"/>
        <v>45400</v>
      </c>
      <c r="P7" s="8" t="s">
        <v>200</v>
      </c>
      <c r="Q7" s="9">
        <v>3900</v>
      </c>
      <c r="R7" s="9"/>
      <c r="S7" s="48"/>
      <c r="T7" s="21">
        <f t="shared" si="4"/>
        <v>36900</v>
      </c>
      <c r="U7" s="53">
        <f>IF($J7="","",ROUND(($J7-$J$3)/1000,1)+(_xlfn.RANK.AVG($J7,($J7,$O7,$T7),1)-2)*10)</f>
        <v>-22.3</v>
      </c>
      <c r="V7" s="54">
        <f>IF($O7="","",ROUND(($O7-$O$3)/1000,1)+(_xlfn.RANK.AVG($O7,($J7,$O7,$T7),1)-2)*10)</f>
        <v>20.399999999999999</v>
      </c>
      <c r="W7" s="55">
        <f>IF($T7="","",ROUND(($T7-$T$3)/1000,1)+(_xlfn.RANK.AVG($T7,($J7,$O7,$T7),1)-2)*10)</f>
        <v>1.9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83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199</v>
      </c>
      <c r="BV7" s="41" t="s">
        <v>83</v>
      </c>
      <c r="BW7" s="41" t="s">
        <v>203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-4500</v>
      </c>
      <c r="H8" s="9"/>
      <c r="I8" s="48">
        <v>0</v>
      </c>
      <c r="J8" s="21">
        <f t="shared" si="2"/>
        <v>18200</v>
      </c>
      <c r="K8" s="8" t="s">
        <v>197</v>
      </c>
      <c r="L8" s="9">
        <v>-7500</v>
      </c>
      <c r="M8" s="9"/>
      <c r="N8" s="48">
        <v>0</v>
      </c>
      <c r="O8" s="21">
        <f t="shared" si="3"/>
        <v>37900</v>
      </c>
      <c r="P8" s="8" t="s">
        <v>198</v>
      </c>
      <c r="Q8" s="9">
        <v>12000</v>
      </c>
      <c r="R8" s="9"/>
      <c r="S8" s="48">
        <v>0</v>
      </c>
      <c r="T8" s="21">
        <f t="shared" si="4"/>
        <v>48900</v>
      </c>
      <c r="U8" s="53">
        <f>IF($J8="","",ROUND(($J8-$J$3)/1000,1)+(_xlfn.RANK.AVG($J8,($J8,$O8,$T8),1)-2)*10)</f>
        <v>-26.8</v>
      </c>
      <c r="V8" s="54">
        <f>IF($O8="","",ROUND(($O8-$O$3)/1000,1)+(_xlfn.RANK.AVG($O8,($J8,$O8,$T8),1)-2)*10)</f>
        <v>2.9</v>
      </c>
      <c r="W8" s="55">
        <f>IF($T8="","",ROUND(($T8-$T$3)/1000,1)+(_xlfn.RANK.AVG($T8,($J8,$O8,$T8),1)-2)*10)</f>
        <v>23.9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202</v>
      </c>
      <c r="BU8" s="40" t="s">
        <v>199</v>
      </c>
      <c r="BV8" s="41" t="s">
        <v>83</v>
      </c>
      <c r="BW8" s="41" t="s">
        <v>82</v>
      </c>
      <c r="BX8" s="41" t="s">
        <v>84</v>
      </c>
      <c r="BY8" s="41" t="s">
        <v>79</v>
      </c>
      <c r="BZ8" s="41" t="s">
        <v>203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-4500</v>
      </c>
      <c r="H9" s="9"/>
      <c r="I9" s="48">
        <v>0</v>
      </c>
      <c r="J9" s="21">
        <f t="shared" si="2"/>
        <v>13700</v>
      </c>
      <c r="K9" s="8" t="s">
        <v>198</v>
      </c>
      <c r="L9" s="9">
        <v>12000</v>
      </c>
      <c r="M9" s="9"/>
      <c r="N9" s="48">
        <v>0</v>
      </c>
      <c r="O9" s="21">
        <f t="shared" si="3"/>
        <v>49900</v>
      </c>
      <c r="P9" s="8" t="s">
        <v>197</v>
      </c>
      <c r="Q9" s="9">
        <v>-7500</v>
      </c>
      <c r="R9" s="9"/>
      <c r="S9" s="48">
        <v>0</v>
      </c>
      <c r="T9" s="21">
        <f t="shared" si="4"/>
        <v>41400</v>
      </c>
      <c r="U9" s="53">
        <f>IF($J9="","",ROUND(($J9-$J$3)/1000,1)+(_xlfn.RANK.AVG($J9,($J9,$O9,$T9),1)-2)*10)</f>
        <v>-31.3</v>
      </c>
      <c r="V9" s="54">
        <f>IF($O9="","",ROUND(($O9-$O$3)/1000,1)+(_xlfn.RANK.AVG($O9,($J9,$O9,$T9),1)-2)*10)</f>
        <v>24.9</v>
      </c>
      <c r="W9" s="55">
        <f>IF($T9="","",ROUND(($T9-$T$3)/1000,1)+(_xlfn.RANK.AVG($T9,($J9,$O9,$T9),1)-2)*10)</f>
        <v>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202</v>
      </c>
      <c r="AZ9" s="40" t="s">
        <v>86</v>
      </c>
      <c r="BA9" s="41" t="s">
        <v>104</v>
      </c>
      <c r="BB9" s="41" t="s">
        <v>203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4D55E0E-E25C-4EAD-A0F5-776FE2A55C86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D2D0-D3B4-4A68-95A8-9068AF8C1B3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 t="s">
        <v>198</v>
      </c>
      <c r="G4" s="9">
        <v>7800</v>
      </c>
      <c r="H4" s="9">
        <v>1000</v>
      </c>
      <c r="I4" s="48">
        <v>0</v>
      </c>
      <c r="J4" s="21">
        <f>IF(COUNTA($F4,$K4,$P4)&gt;0,J3+SUM(G4:I4),"")</f>
        <v>43800</v>
      </c>
      <c r="K4" s="8" t="s">
        <v>197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197</v>
      </c>
      <c r="Q4" s="9">
        <v>-3900</v>
      </c>
      <c r="R4" s="9">
        <v>-1000</v>
      </c>
      <c r="S4" s="48">
        <v>0</v>
      </c>
      <c r="T4" s="21">
        <f>IF(COUNTA($F4,$K4,$P4)&gt;0,T3+SUM(Q4:S4),"")</f>
        <v>30100</v>
      </c>
      <c r="U4" s="53">
        <f>IF($J4="","",ROUND(($J4-$J$3)/1000,1)+(_xlfn.RANK.AVG($J4,($J4,$O4,$T4),1)-2)*10)</f>
        <v>18.8</v>
      </c>
      <c r="V4" s="54">
        <f>IF($O4="","",ROUND(($O4-$O$3)/1000,1)+(_xlfn.RANK.AVG($O4,($J4,$O4,$T4),1)-2)*10)</f>
        <v>-3.9</v>
      </c>
      <c r="W4" s="55">
        <f>IF($T4="","",ROUND(($T4-$T$3)/1000,1)+(_xlfn.RANK.AVG($T4,($J4,$O4,$T4),1)-2)*10)</f>
        <v>-14.9</v>
      </c>
      <c r="Y4" s="8"/>
      <c r="Z4" s="34"/>
      <c r="AA4" s="26">
        <v>1</v>
      </c>
      <c r="AB4" s="26"/>
      <c r="AC4" s="26">
        <v>4</v>
      </c>
      <c r="AD4" s="30">
        <v>20</v>
      </c>
      <c r="AE4" s="40" t="s">
        <v>199</v>
      </c>
      <c r="AF4" s="41" t="s">
        <v>82</v>
      </c>
      <c r="AG4" s="41" t="s">
        <v>83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205</v>
      </c>
      <c r="G5" s="9">
        <v>0</v>
      </c>
      <c r="H5" s="9">
        <v>-1000</v>
      </c>
      <c r="I5" s="48"/>
      <c r="J5" s="21">
        <f t="shared" ref="J5:J30" si="2">IF(COUNTA($F5,$K5,$P5)&gt;0,J4+SUM(G5:I5),"")</f>
        <v>42800</v>
      </c>
      <c r="K5" s="8" t="s">
        <v>205</v>
      </c>
      <c r="L5" s="9">
        <v>0</v>
      </c>
      <c r="M5" s="9">
        <v>-1000</v>
      </c>
      <c r="N5" s="48"/>
      <c r="O5" s="21">
        <f t="shared" ref="O5:O30" si="3">IF(COUNTA($F5,$K5,$P5)&gt;0,O4+SUM(L5:N5),"")</f>
        <v>30100</v>
      </c>
      <c r="P5" s="8" t="s">
        <v>205</v>
      </c>
      <c r="Q5" s="9">
        <v>0</v>
      </c>
      <c r="R5" s="9"/>
      <c r="S5" s="48"/>
      <c r="T5" s="21">
        <f t="shared" ref="T5:T30" si="4">IF(COUNTA($F5,$K5,$P5)&gt;0,T4+SUM(Q5:S5),"")</f>
        <v>30100</v>
      </c>
      <c r="U5" s="53">
        <f>IF($J5="","",ROUND(($J5-$J$3)/1000,1)+(_xlfn.RANK.AVG($J5,($J5,$O5,$T5),1)-2)*10)</f>
        <v>17.8</v>
      </c>
      <c r="V5" s="54">
        <f>IF($O5="","",ROUND(($O5-$O$3)/1000,1)+(_xlfn.RANK.AVG($O5,($J5,$O5,$T5),1)-2)*10)</f>
        <v>-9.9</v>
      </c>
      <c r="W5" s="55">
        <f>IF($T5="","",ROUND(($T5-$T$3)/1000,1)+(_xlfn.RANK.AVG($T5,($J5,$O5,$T5),1)-2)*10)</f>
        <v>-9.9</v>
      </c>
      <c r="Y5" s="8" t="s">
        <v>204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191</v>
      </c>
      <c r="F6" s="8" t="s">
        <v>197</v>
      </c>
      <c r="G6" s="9">
        <v>-2500</v>
      </c>
      <c r="H6" s="9"/>
      <c r="I6" s="48">
        <v>-1000</v>
      </c>
      <c r="J6" s="21">
        <f t="shared" si="2"/>
        <v>39300</v>
      </c>
      <c r="K6" s="8" t="s">
        <v>198</v>
      </c>
      <c r="L6" s="9">
        <v>4000</v>
      </c>
      <c r="M6" s="9">
        <v>3000</v>
      </c>
      <c r="N6" s="48">
        <v>2000</v>
      </c>
      <c r="O6" s="21">
        <f t="shared" si="3"/>
        <v>39100</v>
      </c>
      <c r="P6" s="8" t="s">
        <v>197</v>
      </c>
      <c r="Q6" s="9">
        <v>-1500</v>
      </c>
      <c r="R6" s="9">
        <v>-1000</v>
      </c>
      <c r="S6" s="48">
        <v>-1000</v>
      </c>
      <c r="T6" s="21">
        <f t="shared" si="4"/>
        <v>26600</v>
      </c>
      <c r="U6" s="53">
        <f>IF($J6="","",ROUND(($J6-$J$3)/1000,1)+(_xlfn.RANK.AVG($J6,($J6,$O6,$T6),1)-2)*10)</f>
        <v>14.3</v>
      </c>
      <c r="V6" s="54">
        <f>IF($O6="","",ROUND(($O6-$O$3)/1000,1)+(_xlfn.RANK.AVG($O6,($J6,$O6,$T6),1)-2)*10)</f>
        <v>4.0999999999999996</v>
      </c>
      <c r="W6" s="55">
        <f>IF($T6="","",ROUND(($T6-$T$3)/1000,1)+(_xlfn.RANK.AVG($T6,($J6,$O6,$T6),1)-2)*10)</f>
        <v>-18.399999999999999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203</v>
      </c>
      <c r="BB6" s="41" t="s">
        <v>203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-2600</v>
      </c>
      <c r="H7" s="9"/>
      <c r="I7" s="48">
        <v>0</v>
      </c>
      <c r="J7" s="21">
        <f t="shared" si="2"/>
        <v>36700</v>
      </c>
      <c r="K7" s="8"/>
      <c r="L7" s="9"/>
      <c r="M7" s="9"/>
      <c r="N7" s="48"/>
      <c r="O7" s="21">
        <f t="shared" si="3"/>
        <v>39100</v>
      </c>
      <c r="P7" s="8" t="s">
        <v>200</v>
      </c>
      <c r="Q7" s="9">
        <v>2600</v>
      </c>
      <c r="R7" s="9"/>
      <c r="S7" s="48">
        <v>0</v>
      </c>
      <c r="T7" s="21">
        <f t="shared" si="4"/>
        <v>29200</v>
      </c>
      <c r="U7" s="53">
        <f>IF($J7="","",ROUND(($J7-$J$3)/1000,1)+(_xlfn.RANK.AVG($J7,($J7,$O7,$T7),1)-2)*10)</f>
        <v>1.7</v>
      </c>
      <c r="V7" s="54">
        <f>IF($O7="","",ROUND(($O7-$O$3)/1000,1)+(_xlfn.RANK.AVG($O7,($J7,$O7,$T7),1)-2)*10)</f>
        <v>14.1</v>
      </c>
      <c r="W7" s="55">
        <f>IF($T7="","",ROUND(($T7-$T$3)/1000,1)+(_xlfn.RANK.AVG($T7,($J7,$O7,$T7),1)-2)*10)</f>
        <v>-15.8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199</v>
      </c>
      <c r="BV7" s="41" t="s">
        <v>84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-2900</v>
      </c>
      <c r="H8" s="9"/>
      <c r="I8" s="48">
        <v>0</v>
      </c>
      <c r="J8" s="21">
        <f t="shared" si="2"/>
        <v>33800</v>
      </c>
      <c r="K8" s="8" t="s">
        <v>198</v>
      </c>
      <c r="L8" s="9">
        <v>7700</v>
      </c>
      <c r="M8" s="9"/>
      <c r="N8" s="48">
        <v>0</v>
      </c>
      <c r="O8" s="21">
        <f t="shared" si="3"/>
        <v>46800</v>
      </c>
      <c r="P8" s="8" t="s">
        <v>197</v>
      </c>
      <c r="Q8" s="9">
        <v>-4800</v>
      </c>
      <c r="R8" s="9"/>
      <c r="S8" s="48">
        <v>0</v>
      </c>
      <c r="T8" s="21">
        <f t="shared" si="4"/>
        <v>24400</v>
      </c>
      <c r="U8" s="53">
        <f>IF($J8="","",ROUND(($J8-$J$3)/1000,1)+(_xlfn.RANK.AVG($J8,($J8,$O8,$T8),1)-2)*10)</f>
        <v>-1.2</v>
      </c>
      <c r="V8" s="54">
        <f>IF($O8="","",ROUND(($O8-$O$3)/1000,1)+(_xlfn.RANK.AVG($O8,($J8,$O8,$T8),1)-2)*10)</f>
        <v>21.8</v>
      </c>
      <c r="W8" s="55">
        <f>IF($T8="","",ROUND(($T8-$T$3)/1000,1)+(_xlfn.RANK.AVG($T8,($J8,$O8,$T8),1)-2)*10)</f>
        <v>-20.6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199</v>
      </c>
      <c r="BA8" s="41" t="s">
        <v>82</v>
      </c>
      <c r="BB8" s="41" t="s">
        <v>84</v>
      </c>
      <c r="BC8" s="41" t="s">
        <v>203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-1300</v>
      </c>
      <c r="H9" s="9"/>
      <c r="I9" s="48">
        <v>0</v>
      </c>
      <c r="J9" s="21">
        <f t="shared" si="2"/>
        <v>32500</v>
      </c>
      <c r="K9" s="8" t="s">
        <v>197</v>
      </c>
      <c r="L9" s="9">
        <v>-800</v>
      </c>
      <c r="M9" s="9"/>
      <c r="N9" s="48">
        <v>0</v>
      </c>
      <c r="O9" s="21">
        <f t="shared" si="3"/>
        <v>46000</v>
      </c>
      <c r="P9" s="8" t="s">
        <v>198</v>
      </c>
      <c r="Q9" s="9">
        <v>2100</v>
      </c>
      <c r="R9" s="9"/>
      <c r="S9" s="48">
        <v>0</v>
      </c>
      <c r="T9" s="21">
        <f t="shared" si="4"/>
        <v>26500</v>
      </c>
      <c r="U9" s="53">
        <f>IF($J9="","",ROUND(($J9-$J$3)/1000,1)+(_xlfn.RANK.AVG($J9,($J9,$O9,$T9),1)-2)*10)</f>
        <v>-2.5</v>
      </c>
      <c r="V9" s="54">
        <f>IF($O9="","",ROUND(($O9-$O$3)/1000,1)+(_xlfn.RANK.AVG($O9,($J9,$O9,$T9),1)-2)*10)</f>
        <v>21</v>
      </c>
      <c r="W9" s="55">
        <f>IF($T9="","",ROUND(($T9-$T$3)/1000,1)+(_xlfn.RANK.AVG($T9,($J9,$O9,$T9),1)-2)*10)</f>
        <v>-18.5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30</v>
      </c>
      <c r="BU9" s="40" t="s">
        <v>199</v>
      </c>
      <c r="BV9" s="41" t="s">
        <v>82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-9000</v>
      </c>
      <c r="H10" s="9"/>
      <c r="I10" s="48">
        <v>0</v>
      </c>
      <c r="J10" s="21">
        <f t="shared" si="2"/>
        <v>23500</v>
      </c>
      <c r="K10" s="8" t="s">
        <v>198</v>
      </c>
      <c r="L10" s="9">
        <v>18000</v>
      </c>
      <c r="M10" s="9"/>
      <c r="N10" s="48">
        <v>0</v>
      </c>
      <c r="O10" s="21">
        <f t="shared" si="3"/>
        <v>64000</v>
      </c>
      <c r="P10" s="8" t="s">
        <v>197</v>
      </c>
      <c r="Q10" s="9">
        <v>-9000</v>
      </c>
      <c r="R10" s="9"/>
      <c r="S10" s="48">
        <v>0</v>
      </c>
      <c r="T10" s="21">
        <f t="shared" si="4"/>
        <v>17500</v>
      </c>
      <c r="U10" s="53">
        <f>IF($J10="","",ROUND(($J10-$J$3)/1000,1)+(_xlfn.RANK.AVG($J10,($J10,$O10,$T10),1)-2)*10)</f>
        <v>-11.5</v>
      </c>
      <c r="V10" s="54">
        <f>IF($O10="","",ROUND(($O10-$O$3)/1000,1)+(_xlfn.RANK.AVG($O10,($J10,$O10,$T10),1)-2)*10)</f>
        <v>39</v>
      </c>
      <c r="W10" s="55">
        <f>IF($T10="","",ROUND(($T10-$T$3)/1000,1)+(_xlfn.RANK.AVG($T10,($J10,$O10,$T10),1)-2)*10)</f>
        <v>-27.5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202</v>
      </c>
      <c r="AZ10" s="40" t="s">
        <v>82</v>
      </c>
      <c r="BA10" s="41" t="s">
        <v>199</v>
      </c>
      <c r="BB10" s="41" t="s">
        <v>80</v>
      </c>
      <c r="BC10" s="41" t="s">
        <v>80</v>
      </c>
      <c r="BD10" s="41" t="s">
        <v>80</v>
      </c>
      <c r="BE10" s="41" t="s">
        <v>206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201</v>
      </c>
      <c r="G11" s="9">
        <v>-8000</v>
      </c>
      <c r="H11" s="9"/>
      <c r="I11" s="48">
        <v>-1000</v>
      </c>
      <c r="J11" s="21">
        <f t="shared" si="2"/>
        <v>14500</v>
      </c>
      <c r="K11" s="8"/>
      <c r="L11" s="9"/>
      <c r="M11" s="9"/>
      <c r="N11" s="48"/>
      <c r="O11" s="21">
        <f t="shared" si="3"/>
        <v>64000</v>
      </c>
      <c r="P11" s="8" t="s">
        <v>200</v>
      </c>
      <c r="Q11" s="9">
        <v>8000</v>
      </c>
      <c r="R11" s="9"/>
      <c r="S11" s="48">
        <v>1000</v>
      </c>
      <c r="T11" s="21">
        <f t="shared" si="4"/>
        <v>26500</v>
      </c>
      <c r="U11" s="53">
        <f>IF($J11="","",ROUND(($J11-$J$3)/1000,1)+(_xlfn.RANK.AVG($J11,($J11,$O11,$T11),1)-2)*10)</f>
        <v>-30.5</v>
      </c>
      <c r="V11" s="54">
        <f>IF($O11="","",ROUND(($O11-$O$3)/1000,1)+(_xlfn.RANK.AVG($O11,($J11,$O11,$T11),1)-2)*10)</f>
        <v>39</v>
      </c>
      <c r="W11" s="55">
        <f>IF($T11="","",ROUND(($T11-$T$3)/1000,1)+(_xlfn.RANK.AVG($T11,($J11,$O11,$T11),1)-2)*10)</f>
        <v>-8.5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202</v>
      </c>
      <c r="BU11" s="40" t="s">
        <v>104</v>
      </c>
      <c r="BV11" s="41" t="s">
        <v>86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205</v>
      </c>
      <c r="G12" s="9">
        <v>1500</v>
      </c>
      <c r="H12" s="9">
        <v>-1000</v>
      </c>
      <c r="I12" s="48"/>
      <c r="J12" s="21">
        <f t="shared" si="2"/>
        <v>15000</v>
      </c>
      <c r="K12" s="8" t="s">
        <v>205</v>
      </c>
      <c r="L12" s="9">
        <v>-3000</v>
      </c>
      <c r="M12" s="9"/>
      <c r="N12" s="48"/>
      <c r="O12" s="21">
        <f t="shared" si="3"/>
        <v>61000</v>
      </c>
      <c r="P12" s="8" t="s">
        <v>205</v>
      </c>
      <c r="Q12" s="9">
        <v>1500</v>
      </c>
      <c r="R12" s="9"/>
      <c r="S12" s="48"/>
      <c r="T12" s="21">
        <f t="shared" si="4"/>
        <v>28000</v>
      </c>
      <c r="U12" s="53">
        <f>IF($J12="","",ROUND(($J12-$J$3)/1000,1)+(_xlfn.RANK.AVG($J12,($J12,$O12,$T12),1)-2)*10)</f>
        <v>-30</v>
      </c>
      <c r="V12" s="54">
        <f>IF($O12="","",ROUND(($O12-$O$3)/1000,1)+(_xlfn.RANK.AVG($O12,($J12,$O12,$T12),1)-2)*10)</f>
        <v>36</v>
      </c>
      <c r="W12" s="55">
        <f>IF($T12="","",ROUND(($T12-$T$3)/1000,1)+(_xlfn.RANK.AVG($T12,($J12,$O12,$T12),1)-2)*10)</f>
        <v>-7</v>
      </c>
      <c r="Y12" s="8" t="s">
        <v>204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">
        <v>195</v>
      </c>
      <c r="F13" s="8"/>
      <c r="G13" s="9"/>
      <c r="H13" s="9"/>
      <c r="I13" s="48"/>
      <c r="J13" s="21">
        <f t="shared" si="2"/>
        <v>15000</v>
      </c>
      <c r="K13" s="8" t="s">
        <v>200</v>
      </c>
      <c r="L13" s="9">
        <v>2600</v>
      </c>
      <c r="M13" s="9">
        <v>1000</v>
      </c>
      <c r="N13" s="48">
        <v>1000</v>
      </c>
      <c r="O13" s="21">
        <f t="shared" si="3"/>
        <v>65600</v>
      </c>
      <c r="P13" s="8" t="s">
        <v>201</v>
      </c>
      <c r="Q13" s="9">
        <v>-2600</v>
      </c>
      <c r="R13" s="9"/>
      <c r="S13" s="48">
        <v>-1000</v>
      </c>
      <c r="T13" s="21">
        <f t="shared" si="4"/>
        <v>24400</v>
      </c>
      <c r="U13" s="53">
        <f>IF($J13="","",ROUND(($J13-$J$3)/1000,1)+(_xlfn.RANK.AVG($J13,($J13,$O13,$T13),1)-2)*10)</f>
        <v>-30</v>
      </c>
      <c r="V13" s="54">
        <f>IF($O13="","",ROUND(($O13-$O$3)/1000,1)+(_xlfn.RANK.AVG($O13,($J13,$O13,$T13),1)-2)*10)</f>
        <v>40.6</v>
      </c>
      <c r="W13" s="55">
        <f>IF($T13="","",ROUND(($T13-$T$3)/1000,1)+(_xlfn.RANK.AVG($T13,($J13,$O13,$T13),1)-2)*10)</f>
        <v>-10.6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2</v>
      </c>
      <c r="AY13" s="30">
        <v>40</v>
      </c>
      <c r="AZ13" s="40" t="s">
        <v>85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BE4170CA-9A3D-4B25-9634-2D69D5355574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1468041A-3A07-40D8-8958-EA34BD7CF799}">
      <formula1>"ロン,ツモ,放銃,ツモ支払,流局,チョンボ"</formula1>
    </dataValidation>
    <dataValidation type="list" allowBlank="1" showInputMessage="1" showErrorMessage="1" sqref="E4:E30" xr:uid="{F85C8BFA-B6F5-4D20-AE96-6D683FDE968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52209-1F30-41A8-8867-20825E7D517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1000</v>
      </c>
      <c r="M4" s="9"/>
      <c r="N4" s="48">
        <v>0</v>
      </c>
      <c r="O4" s="21">
        <f>IF(COUNTA($F4,$K4,$P4)&gt;0,O3+SUM(L4:N4),"")</f>
        <v>36000</v>
      </c>
      <c r="P4" s="8" t="s">
        <v>201</v>
      </c>
      <c r="Q4" s="9">
        <v>-1000</v>
      </c>
      <c r="R4" s="9"/>
      <c r="S4" s="48">
        <v>0</v>
      </c>
      <c r="T4" s="21">
        <f>IF(COUNTA($F4,$K4,$P4)&gt;0,T3+SUM(Q4:S4),"")</f>
        <v>34000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11</v>
      </c>
      <c r="W4" s="55">
        <f>IF($T4="","",ROUND(($T4-$T$3)/1000,1)+(_xlfn.RANK.AVG($T4,($J4,$O4,$T4),1)-2)*10)</f>
        <v>-11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30</v>
      </c>
      <c r="AZ4" s="40" t="s">
        <v>83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200</v>
      </c>
      <c r="L5" s="9">
        <v>12000</v>
      </c>
      <c r="M5" s="9"/>
      <c r="N5" s="48">
        <v>0</v>
      </c>
      <c r="O5" s="21">
        <f t="shared" ref="O5:O30" si="3">IF(COUNTA($F5,$K5,$P5)&gt;0,O4+SUM(L5:N5),"")</f>
        <v>48000</v>
      </c>
      <c r="P5" s="8" t="s">
        <v>201</v>
      </c>
      <c r="Q5" s="9">
        <v>-12000</v>
      </c>
      <c r="R5" s="9"/>
      <c r="S5" s="48">
        <v>0</v>
      </c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23</v>
      </c>
      <c r="W5" s="55">
        <f>IF($T5="","",ROUND(($T5-$T$3)/1000,1)+(_xlfn.RANK.AVG($T5,($J5,$O5,$T5),1)-2)*10)</f>
        <v>-23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202</v>
      </c>
      <c r="AZ5" s="40" t="s">
        <v>83</v>
      </c>
      <c r="BA5" s="41" t="s">
        <v>85</v>
      </c>
      <c r="BB5" s="41" t="s">
        <v>203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201</v>
      </c>
      <c r="G6" s="9">
        <v>-3900</v>
      </c>
      <c r="H6" s="9"/>
      <c r="I6" s="48">
        <v>-1000</v>
      </c>
      <c r="J6" s="21">
        <f t="shared" si="2"/>
        <v>30100</v>
      </c>
      <c r="K6" s="8"/>
      <c r="L6" s="9"/>
      <c r="M6" s="9"/>
      <c r="N6" s="48"/>
      <c r="O6" s="21">
        <f t="shared" si="3"/>
        <v>48000</v>
      </c>
      <c r="P6" s="8" t="s">
        <v>200</v>
      </c>
      <c r="Q6" s="9">
        <v>3900</v>
      </c>
      <c r="R6" s="9"/>
      <c r="S6" s="48">
        <v>1000</v>
      </c>
      <c r="T6" s="21">
        <f t="shared" si="4"/>
        <v>26900</v>
      </c>
      <c r="U6" s="53">
        <f>IF($J6="","",ROUND(($J6-$J$3)/1000,1)+(_xlfn.RANK.AVG($J6,($J6,$O6,$T6),1)-2)*10)</f>
        <v>-4.9000000000000004</v>
      </c>
      <c r="V6" s="54">
        <f>IF($O6="","",ROUND(($O6-$O$3)/1000,1)+(_xlfn.RANK.AVG($O6,($J6,$O6,$T6),1)-2)*10)</f>
        <v>23</v>
      </c>
      <c r="W6" s="55">
        <f>IF($T6="","",ROUND(($T6-$T$3)/1000,1)+(_xlfn.RANK.AVG($T6,($J6,$O6,$T6),1)-2)*10)</f>
        <v>-18.100000000000001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203</v>
      </c>
      <c r="BW6" s="41" t="s">
        <v>203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30100</v>
      </c>
      <c r="K7" s="8" t="s">
        <v>200</v>
      </c>
      <c r="L7" s="9">
        <v>3200</v>
      </c>
      <c r="M7" s="9"/>
      <c r="N7" s="48">
        <v>0</v>
      </c>
      <c r="O7" s="21">
        <f t="shared" si="3"/>
        <v>51200</v>
      </c>
      <c r="P7" s="8" t="s">
        <v>201</v>
      </c>
      <c r="Q7" s="9">
        <v>-3200</v>
      </c>
      <c r="R7" s="9"/>
      <c r="S7" s="48">
        <v>0</v>
      </c>
      <c r="T7" s="21">
        <f t="shared" si="4"/>
        <v>23700</v>
      </c>
      <c r="U7" s="53">
        <f>IF($J7="","",ROUND(($J7-$J$3)/1000,1)+(_xlfn.RANK.AVG($J7,($J7,$O7,$T7),1)-2)*10)</f>
        <v>-4.9000000000000004</v>
      </c>
      <c r="V7" s="54">
        <f>IF($O7="","",ROUND(($O7-$O$3)/1000,1)+(_xlfn.RANK.AVG($O7,($J7,$O7,$T7),1)-2)*10)</f>
        <v>26.2</v>
      </c>
      <c r="W7" s="55">
        <f>IF($T7="","",ROUND(($T7-$T$3)/1000,1)+(_xlfn.RANK.AVG($T7,($J7,$O7,$T7),1)-2)*10)</f>
        <v>-21.3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25</v>
      </c>
      <c r="AZ7" s="40" t="s">
        <v>101</v>
      </c>
      <c r="BA7" s="41" t="s">
        <v>203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30100</v>
      </c>
      <c r="K8" s="8" t="s">
        <v>200</v>
      </c>
      <c r="L8" s="9">
        <v>3900</v>
      </c>
      <c r="M8" s="9">
        <v>1000</v>
      </c>
      <c r="N8" s="48">
        <v>0</v>
      </c>
      <c r="O8" s="21">
        <f t="shared" si="3"/>
        <v>56100</v>
      </c>
      <c r="P8" s="8" t="s">
        <v>201</v>
      </c>
      <c r="Q8" s="9">
        <v>-3900</v>
      </c>
      <c r="R8" s="9">
        <v>-1000</v>
      </c>
      <c r="S8" s="48">
        <v>0</v>
      </c>
      <c r="T8" s="21">
        <f t="shared" si="4"/>
        <v>18800</v>
      </c>
      <c r="U8" s="53">
        <f>IF($J8="","",ROUND(($J8-$J$3)/1000,1)+(_xlfn.RANK.AVG($J8,($J8,$O8,$T8),1)-2)*10)</f>
        <v>-4.9000000000000004</v>
      </c>
      <c r="V8" s="54">
        <f>IF($O8="","",ROUND(($O8-$O$3)/1000,1)+(_xlfn.RANK.AVG($O8,($J8,$O8,$T8),1)-2)*10)</f>
        <v>31.1</v>
      </c>
      <c r="W8" s="55">
        <f>IF($T8="","",ROUND(($T8-$T$3)/1000,1)+(_xlfn.RANK.AVG($T8,($J8,$O8,$T8),1)-2)*10)</f>
        <v>-26.2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104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3900</v>
      </c>
      <c r="H9" s="9"/>
      <c r="I9" s="48">
        <v>0</v>
      </c>
      <c r="J9" s="21">
        <f t="shared" si="2"/>
        <v>34000</v>
      </c>
      <c r="K9" s="8"/>
      <c r="L9" s="9"/>
      <c r="M9" s="9"/>
      <c r="N9" s="48"/>
      <c r="O9" s="21">
        <f t="shared" si="3"/>
        <v>56100</v>
      </c>
      <c r="P9" s="8" t="s">
        <v>201</v>
      </c>
      <c r="Q9" s="9">
        <v>-3900</v>
      </c>
      <c r="R9" s="9"/>
      <c r="S9" s="48">
        <v>0</v>
      </c>
      <c r="T9" s="21">
        <f t="shared" si="4"/>
        <v>14900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31.1</v>
      </c>
      <c r="W9" s="55">
        <f>IF($T9="","",ROUND(($T9-$T$3)/1000,1)+(_xlfn.RANK.AVG($T9,($J9,$O9,$T9),1)-2)*10)</f>
        <v>-30.1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86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201</v>
      </c>
      <c r="G10" s="9">
        <v>-8000</v>
      </c>
      <c r="H10" s="9"/>
      <c r="I10" s="48">
        <v>0</v>
      </c>
      <c r="J10" s="21">
        <f t="shared" si="2"/>
        <v>26000</v>
      </c>
      <c r="K10" s="8" t="s">
        <v>200</v>
      </c>
      <c r="L10" s="9">
        <v>8000</v>
      </c>
      <c r="M10" s="9"/>
      <c r="N10" s="48">
        <v>0</v>
      </c>
      <c r="O10" s="21">
        <f t="shared" si="3"/>
        <v>64100</v>
      </c>
      <c r="P10" s="8"/>
      <c r="Q10" s="9"/>
      <c r="R10" s="9"/>
      <c r="S10" s="48"/>
      <c r="T10" s="21">
        <f t="shared" si="4"/>
        <v>14900</v>
      </c>
      <c r="U10" s="53">
        <f>IF($J10="","",ROUND(($J10-$J$3)/1000,1)+(_xlfn.RANK.AVG($J10,($J10,$O10,$T10),1)-2)*10)</f>
        <v>-9</v>
      </c>
      <c r="V10" s="54">
        <f>IF($O10="","",ROUND(($O10-$O$3)/1000,1)+(_xlfn.RANK.AVG($O10,($J10,$O10,$T10),1)-2)*10)</f>
        <v>39.1</v>
      </c>
      <c r="W10" s="55">
        <f>IF($T10="","",ROUND(($T10-$T$3)/1000,1)+(_xlfn.RANK.AVG($T10,($J10,$O10,$T10),1)-2)*10)</f>
        <v>-30.1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5</v>
      </c>
      <c r="AY10" s="30" t="s">
        <v>202</v>
      </c>
      <c r="AZ10" s="40" t="s">
        <v>104</v>
      </c>
      <c r="BA10" s="41" t="s">
        <v>86</v>
      </c>
      <c r="BB10" s="41" t="s">
        <v>84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58C696FD-4FA3-4FE6-892C-92FC4385C767}">
      <formula1>$U$2:$W$2</formula1>
    </dataValidation>
    <dataValidation type="list" showInputMessage="1" showErrorMessage="1" sqref="K4:K30 P4:P30 F4:F30" xr:uid="{98F4716D-B9DE-47AF-B1A5-5B42E97C8E95}">
      <formula1>"ロン,ツモ,放銃,ツモ支払,流局,チョンボ"</formula1>
    </dataValidation>
    <dataValidation type="list" allowBlank="1" showInputMessage="1" sqref="F1:T1" xr:uid="{6B2681A3-B0F1-421D-9EB7-F68FC05C6B3D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5822-9BB9-4F97-A45A-57E74FB53B0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196</v>
      </c>
      <c r="L1" s="85"/>
      <c r="M1" s="85"/>
      <c r="N1" s="86"/>
      <c r="O1" s="87"/>
      <c r="P1" s="84" t="s">
        <v>194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ただ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198</v>
      </c>
      <c r="L4" s="9">
        <v>3000</v>
      </c>
      <c r="M4" s="9"/>
      <c r="N4" s="48">
        <v>0</v>
      </c>
      <c r="O4" s="21">
        <f>IF(COUNTA($F4,$K4,$P4)&gt;0,O3+SUM(L4:N4),"")</f>
        <v>38000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13</v>
      </c>
      <c r="W4" s="55">
        <f>IF($T4="","",ROUND(($T4-$T$3)/1000,1)+(_xlfn.RANK.AVG($T4,($J4,$O4,$T4),1)-2)*10)</f>
        <v>-6.5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199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-2000</v>
      </c>
      <c r="H5" s="9"/>
      <c r="I5" s="48">
        <v>-1000</v>
      </c>
      <c r="J5" s="21">
        <f t="shared" ref="J5:J30" si="2">IF(COUNTA($F5,$K5,$P5)&gt;0,J4+SUM(G5:I5),"")</f>
        <v>30500</v>
      </c>
      <c r="K5" s="8" t="s">
        <v>200</v>
      </c>
      <c r="L5" s="9">
        <v>2000</v>
      </c>
      <c r="M5" s="9"/>
      <c r="N5" s="48">
        <v>1000</v>
      </c>
      <c r="O5" s="21">
        <f t="shared" ref="O5:O30" si="3">IF(COUNTA($F5,$K5,$P5)&gt;0,O4+SUM(L5:N5),"")</f>
        <v>41000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-14.5</v>
      </c>
      <c r="V5" s="54">
        <f>IF($O5="","",ROUND(($O5-$O$3)/1000,1)+(_xlfn.RANK.AVG($O5,($J5,$O5,$T5),1)-2)*10)</f>
        <v>16</v>
      </c>
      <c r="W5" s="55">
        <f>IF($T5="","",ROUND(($T5-$T$3)/1000,1)+(_xlfn.RANK.AVG($T5,($J5,$O5,$T5),1)-2)*10)</f>
        <v>-1.5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40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201</v>
      </c>
      <c r="G6" s="9">
        <v>-32000</v>
      </c>
      <c r="H6" s="9"/>
      <c r="I6" s="48">
        <v>-2000</v>
      </c>
      <c r="J6" s="21">
        <f t="shared" si="2"/>
        <v>-3500</v>
      </c>
      <c r="K6" s="8"/>
      <c r="L6" s="9"/>
      <c r="M6" s="9"/>
      <c r="N6" s="48"/>
      <c r="O6" s="21">
        <f t="shared" si="3"/>
        <v>41000</v>
      </c>
      <c r="P6" s="8" t="s">
        <v>200</v>
      </c>
      <c r="Q6" s="9">
        <v>32000</v>
      </c>
      <c r="R6" s="9"/>
      <c r="S6" s="48">
        <v>2000</v>
      </c>
      <c r="T6" s="21">
        <f t="shared" si="4"/>
        <v>67500</v>
      </c>
      <c r="U6" s="53">
        <f>IF($J6="","",ROUND(($J6-$J$3)/1000,1)+(_xlfn.RANK.AVG($J6,($J6,$O6,$T6),1)-2)*10)</f>
        <v>-48.5</v>
      </c>
      <c r="V6" s="54">
        <f>IF($O6="","",ROUND(($O6-$O$3)/1000,1)+(_xlfn.RANK.AVG($O6,($J6,$O6,$T6),1)-2)*10)</f>
        <v>6</v>
      </c>
      <c r="W6" s="55">
        <f>IF($T6="","",ROUND(($T6-$T$3)/1000,1)+(_xlfn.RANK.AVG($T6,($J6,$O6,$T6),1)-2)*10)</f>
        <v>42.5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13</v>
      </c>
      <c r="BT6" s="30" t="s">
        <v>202</v>
      </c>
      <c r="BU6" s="40" t="s">
        <v>107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3EAD369A-A2B0-43E2-8044-11CE7C32B399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EC7929BA-117D-444C-8B61-909E3D5B1D2D}">
      <formula1>"ロン,ツモ,放銃,ツモ支払,流局,チョンボ"</formula1>
    </dataValidation>
    <dataValidation type="list" allowBlank="1" showInputMessage="1" showErrorMessage="1" sqref="E4:E30" xr:uid="{82FF2AF8-C95C-4161-8BBE-580076FE2A6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F22B-B044-44DA-B99E-B548D88BEACC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196</v>
      </c>
      <c r="L1" s="85"/>
      <c r="M1" s="85"/>
      <c r="N1" s="86"/>
      <c r="O1" s="87"/>
      <c r="P1" s="84" t="s">
        <v>194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ただ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197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14</v>
      </c>
      <c r="V4" s="54">
        <f>IF($O4="","",ROUND(($O4-$O$3)/1000,1)+(_xlfn.RANK.AVG($O4,($J4,$O4,$T4),1)-2)*10)</f>
        <v>-12.5</v>
      </c>
      <c r="W4" s="55">
        <f>IF($T4="","",ROUND(($T4-$T$3)/1000,1)+(_xlfn.RANK.AVG($T4,($J4,$O4,$T4),1)-2)*10)</f>
        <v>-1.5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203</v>
      </c>
      <c r="AG4" s="41" t="s">
        <v>203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3200</v>
      </c>
      <c r="H5" s="9"/>
      <c r="I5" s="48">
        <v>0</v>
      </c>
      <c r="J5" s="21">
        <f t="shared" ref="J5:J30" si="2">IF(COUNTA($F5,$K5,$P5)&gt;0,J4+SUM(G5:I5),"")</f>
        <v>42200</v>
      </c>
      <c r="K5" s="8" t="s">
        <v>201</v>
      </c>
      <c r="L5" s="9">
        <v>-3200</v>
      </c>
      <c r="M5" s="9"/>
      <c r="N5" s="48">
        <v>0</v>
      </c>
      <c r="O5" s="21">
        <f t="shared" ref="O5:O30" si="3">IF(COUNTA($F5,$K5,$P5)&gt;0,O4+SUM(L5:N5),"")</f>
        <v>29300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17.2</v>
      </c>
      <c r="V5" s="54">
        <f>IF($O5="","",ROUND(($O5-$O$3)/1000,1)+(_xlfn.RANK.AVG($O5,($J5,$O5,$T5),1)-2)*10)</f>
        <v>-15.7</v>
      </c>
      <c r="W5" s="55">
        <f>IF($T5="","",ROUND(($T5-$T$3)/1000,1)+(_xlfn.RANK.AVG($T5,($J5,$O5,$T5),1)-2)*10)</f>
        <v>-1.5</v>
      </c>
      <c r="Y5" s="8"/>
      <c r="Z5" s="34"/>
      <c r="AA5" s="26">
        <v>1</v>
      </c>
      <c r="AB5" s="26"/>
      <c r="AC5" s="26">
        <v>3</v>
      </c>
      <c r="AD5" s="30">
        <v>25</v>
      </c>
      <c r="AE5" s="40" t="s">
        <v>199</v>
      </c>
      <c r="AF5" s="41" t="s">
        <v>101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-5000</v>
      </c>
      <c r="H6" s="9"/>
      <c r="I6" s="48">
        <v>0</v>
      </c>
      <c r="J6" s="21">
        <f t="shared" si="2"/>
        <v>37200</v>
      </c>
      <c r="K6" s="8" t="s">
        <v>197</v>
      </c>
      <c r="L6" s="9">
        <v>-3000</v>
      </c>
      <c r="M6" s="9"/>
      <c r="N6" s="48">
        <v>0</v>
      </c>
      <c r="O6" s="21">
        <f t="shared" si="3"/>
        <v>26300</v>
      </c>
      <c r="P6" s="8" t="s">
        <v>198</v>
      </c>
      <c r="Q6" s="9">
        <v>8000</v>
      </c>
      <c r="R6" s="9"/>
      <c r="S6" s="48">
        <v>0</v>
      </c>
      <c r="T6" s="21">
        <f t="shared" si="4"/>
        <v>41500</v>
      </c>
      <c r="U6" s="53">
        <f>IF($J6="","",ROUND(($J6-$J$3)/1000,1)+(_xlfn.RANK.AVG($J6,($J6,$O6,$T6),1)-2)*10)</f>
        <v>2.2000000000000002</v>
      </c>
      <c r="V6" s="54">
        <f>IF($O6="","",ROUND(($O6-$O$3)/1000,1)+(_xlfn.RANK.AVG($O6,($J6,$O6,$T6),1)-2)*10)</f>
        <v>-18.7</v>
      </c>
      <c r="W6" s="55">
        <f>IF($T6="","",ROUND(($T6-$T$3)/1000,1)+(_xlfn.RANK.AVG($T6,($J6,$O6,$T6),1)-2)*10)</f>
        <v>16.5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202</v>
      </c>
      <c r="BU6" s="40" t="s">
        <v>199</v>
      </c>
      <c r="BV6" s="41" t="s">
        <v>82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37200</v>
      </c>
      <c r="K7" s="8" t="s">
        <v>201</v>
      </c>
      <c r="L7" s="9">
        <v>-1300</v>
      </c>
      <c r="M7" s="9"/>
      <c r="N7" s="48">
        <v>0</v>
      </c>
      <c r="O7" s="21">
        <f t="shared" si="3"/>
        <v>25000</v>
      </c>
      <c r="P7" s="8" t="s">
        <v>200</v>
      </c>
      <c r="Q7" s="9">
        <v>1300</v>
      </c>
      <c r="R7" s="9"/>
      <c r="S7" s="48">
        <v>0</v>
      </c>
      <c r="T7" s="21">
        <f t="shared" si="4"/>
        <v>42800</v>
      </c>
      <c r="U7" s="53">
        <f>IF($J7="","",ROUND(($J7-$J$3)/1000,1)+(_xlfn.RANK.AVG($J7,($J7,$O7,$T7),1)-2)*10)</f>
        <v>2.2000000000000002</v>
      </c>
      <c r="V7" s="54">
        <f>IF($O7="","",ROUND(($O7-$O$3)/1000,1)+(_xlfn.RANK.AVG($O7,($J7,$O7,$T7),1)-2)*10)</f>
        <v>-20</v>
      </c>
      <c r="W7" s="55">
        <f>IF($T7="","",ROUND(($T7-$T$3)/1000,1)+(_xlfn.RANK.AVG($T7,($J7,$O7,$T7),1)-2)*10)</f>
        <v>17.8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</v>
      </c>
      <c r="BT7" s="30">
        <v>40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12000</v>
      </c>
      <c r="H8" s="9"/>
      <c r="I8" s="48">
        <v>0</v>
      </c>
      <c r="J8" s="21">
        <f t="shared" si="2"/>
        <v>49200</v>
      </c>
      <c r="K8" s="8" t="s">
        <v>197</v>
      </c>
      <c r="L8" s="9">
        <v>-4500</v>
      </c>
      <c r="M8" s="9"/>
      <c r="N8" s="48">
        <v>0</v>
      </c>
      <c r="O8" s="21">
        <f t="shared" si="3"/>
        <v>20500</v>
      </c>
      <c r="P8" s="8" t="s">
        <v>197</v>
      </c>
      <c r="Q8" s="9">
        <v>-7500</v>
      </c>
      <c r="R8" s="9"/>
      <c r="S8" s="48">
        <v>0</v>
      </c>
      <c r="T8" s="21">
        <f t="shared" si="4"/>
        <v>35300</v>
      </c>
      <c r="U8" s="53">
        <f>IF($J8="","",ROUND(($J8-$J$3)/1000,1)+(_xlfn.RANK.AVG($J8,($J8,$O8,$T8),1)-2)*10)</f>
        <v>24.2</v>
      </c>
      <c r="V8" s="54">
        <f>IF($O8="","",ROUND(($O8-$O$3)/1000,1)+(_xlfn.RANK.AVG($O8,($J8,$O8,$T8),1)-2)*10)</f>
        <v>-24.5</v>
      </c>
      <c r="W8" s="55">
        <f>IF($T8="","",ROUND(($T8-$T$3)/1000,1)+(_xlfn.RANK.AVG($T8,($J8,$O8,$T8),1)-2)*10)</f>
        <v>0.3</v>
      </c>
      <c r="Y8" s="8"/>
      <c r="Z8" s="34"/>
      <c r="AA8" s="26">
        <v>1</v>
      </c>
      <c r="AB8" s="26"/>
      <c r="AC8" s="26">
        <v>7</v>
      </c>
      <c r="AD8" s="30" t="s">
        <v>202</v>
      </c>
      <c r="AE8" s="40" t="s">
        <v>199</v>
      </c>
      <c r="AF8" s="41" t="s">
        <v>82</v>
      </c>
      <c r="AG8" s="41" t="s">
        <v>79</v>
      </c>
      <c r="AH8" s="41" t="s">
        <v>79</v>
      </c>
      <c r="AI8" s="41" t="s">
        <v>79</v>
      </c>
      <c r="AJ8" s="41" t="s">
        <v>101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200</v>
      </c>
      <c r="G9" s="9">
        <v>24000</v>
      </c>
      <c r="H9" s="9"/>
      <c r="I9" s="48">
        <v>0</v>
      </c>
      <c r="J9" s="21">
        <f t="shared" si="2"/>
        <v>73200</v>
      </c>
      <c r="K9" s="8" t="s">
        <v>201</v>
      </c>
      <c r="L9" s="9">
        <v>-24000</v>
      </c>
      <c r="M9" s="9"/>
      <c r="N9" s="48">
        <v>0</v>
      </c>
      <c r="O9" s="21">
        <f t="shared" si="3"/>
        <v>-3500</v>
      </c>
      <c r="P9" s="8"/>
      <c r="Q9" s="9"/>
      <c r="R9" s="9"/>
      <c r="S9" s="48"/>
      <c r="T9" s="21">
        <f t="shared" si="4"/>
        <v>35300</v>
      </c>
      <c r="U9" s="53">
        <f>IF($J9="","",ROUND(($J9-$J$3)/1000,1)+(_xlfn.RANK.AVG($J9,($J9,$O9,$T9),1)-2)*10)</f>
        <v>48.2</v>
      </c>
      <c r="V9" s="54">
        <f>IF($O9="","",ROUND(($O9-$O$3)/1000,1)+(_xlfn.RANK.AVG($O9,($J9,$O9,$T9),1)-2)*10)</f>
        <v>-48.5</v>
      </c>
      <c r="W9" s="55">
        <f>IF($T9="","",ROUND(($T9-$T$3)/1000,1)+(_xlfn.RANK.AVG($T9,($J9,$O9,$T9),1)-2)*10)</f>
        <v>0.3</v>
      </c>
      <c r="Y9" s="8"/>
      <c r="Z9" s="34"/>
      <c r="AA9" s="26"/>
      <c r="AB9" s="26">
        <v>1</v>
      </c>
      <c r="AC9" s="26">
        <v>8</v>
      </c>
      <c r="AD9" s="30" t="s">
        <v>202</v>
      </c>
      <c r="AE9" s="40" t="s">
        <v>104</v>
      </c>
      <c r="AF9" s="41" t="s">
        <v>86</v>
      </c>
      <c r="AG9" s="41" t="s">
        <v>79</v>
      </c>
      <c r="AH9" s="41" t="s">
        <v>79</v>
      </c>
      <c r="AI9" s="41" t="s">
        <v>79</v>
      </c>
      <c r="AJ9" s="41" t="s">
        <v>203</v>
      </c>
      <c r="AK9" s="41" t="s">
        <v>79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3F33A117-B2AD-4F38-AD7C-83E6DAF23D62}">
      <formula1>$U$2:$W$2</formula1>
    </dataValidation>
    <dataValidation type="list" showInputMessage="1" showErrorMessage="1" sqref="K4:K30 P4:P30 F4:F30" xr:uid="{B95296F3-8C30-4BA5-882F-BC2D2ECE63B1}">
      <formula1>"ロン,ツモ,放銃,ツモ支払,流局,チョンボ"</formula1>
    </dataValidation>
    <dataValidation type="list" allowBlank="1" showInputMessage="1" sqref="F1:T1" xr:uid="{6B907B8E-847D-4372-9267-0FE68294ADC3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3A2A-A859-4B7C-AE3A-F6DC5F965292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196</v>
      </c>
      <c r="L1" s="85"/>
      <c r="M1" s="85"/>
      <c r="N1" s="86"/>
      <c r="O1" s="87"/>
      <c r="P1" s="84" t="s">
        <v>194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ただ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-16000</v>
      </c>
      <c r="H4" s="9"/>
      <c r="I4" s="48">
        <v>0</v>
      </c>
      <c r="J4" s="21">
        <f>IF(COUNTA($F4,$K4,$P4)&gt;0,J3+SUM(G4:I4),"")</f>
        <v>19000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200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IF($J4="","",ROUND(($J4-$J$3)/1000,1)+(_xlfn.RANK.AVG($J4,($J4,$O4,$T4),1)-2)*10)</f>
        <v>-26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27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202</v>
      </c>
      <c r="BU4" s="40" t="s">
        <v>199</v>
      </c>
      <c r="BV4" s="41" t="s">
        <v>79</v>
      </c>
      <c r="BW4" s="41" t="s">
        <v>79</v>
      </c>
      <c r="BX4" s="41" t="s">
        <v>79</v>
      </c>
      <c r="BY4" s="41" t="s">
        <v>79</v>
      </c>
      <c r="BZ4" s="41" t="s">
        <v>79</v>
      </c>
      <c r="CA4" s="41" t="s">
        <v>80</v>
      </c>
      <c r="CB4" s="41" t="s">
        <v>203</v>
      </c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19000</v>
      </c>
      <c r="K5" s="8" t="s">
        <v>201</v>
      </c>
      <c r="L5" s="9">
        <v>-1500</v>
      </c>
      <c r="M5" s="9"/>
      <c r="N5" s="48">
        <v>0</v>
      </c>
      <c r="O5" s="21">
        <f t="shared" ref="O5:O30" si="3">IF(COUNTA($F5,$K5,$P5)&gt;0,O4+SUM(L5:N5),"")</f>
        <v>32500</v>
      </c>
      <c r="P5" s="8" t="s">
        <v>200</v>
      </c>
      <c r="Q5" s="9">
        <v>1500</v>
      </c>
      <c r="R5" s="9"/>
      <c r="S5" s="48">
        <v>0</v>
      </c>
      <c r="T5" s="21">
        <f t="shared" ref="T5:T30" si="4">IF(COUNTA($F5,$K5,$P5)&gt;0,T4+SUM(Q5:S5),"")</f>
        <v>53500</v>
      </c>
      <c r="U5" s="53">
        <f>IF($J5="","",ROUND(($J5-$J$3)/1000,1)+(_xlfn.RANK.AVG($J5,($J5,$O5,$T5),1)-2)*10)</f>
        <v>-26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28.5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19000</v>
      </c>
      <c r="K6" s="8" t="s">
        <v>200</v>
      </c>
      <c r="L6" s="9">
        <v>5200</v>
      </c>
      <c r="M6" s="9"/>
      <c r="N6" s="48">
        <v>1000</v>
      </c>
      <c r="O6" s="21">
        <f t="shared" si="3"/>
        <v>38700</v>
      </c>
      <c r="P6" s="8" t="s">
        <v>201</v>
      </c>
      <c r="Q6" s="9">
        <v>-5200</v>
      </c>
      <c r="R6" s="9"/>
      <c r="S6" s="48">
        <v>-1000</v>
      </c>
      <c r="T6" s="21">
        <f t="shared" si="4"/>
        <v>47300</v>
      </c>
      <c r="U6" s="53">
        <f>IF($J6="","",ROUND(($J6-$J$3)/1000,1)+(_xlfn.RANK.AVG($J6,($J6,$O6,$T6),1)-2)*10)</f>
        <v>-26</v>
      </c>
      <c r="V6" s="54">
        <f>IF($O6="","",ROUND(($O6-$O$3)/1000,1)+(_xlfn.RANK.AVG($O6,($J6,$O6,$T6),1)-2)*10)</f>
        <v>3.7</v>
      </c>
      <c r="W6" s="55">
        <f>IF($T6="","",ROUND(($T6-$T$3)/1000,1)+(_xlfn.RANK.AVG($T6,($J6,$O6,$T6),1)-2)*10)</f>
        <v>22.3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199</v>
      </c>
      <c r="BA6" s="41" t="s">
        <v>86</v>
      </c>
      <c r="BB6" s="41" t="s">
        <v>203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-2600</v>
      </c>
      <c r="H7" s="9">
        <v>-1000</v>
      </c>
      <c r="I7" s="48">
        <v>0</v>
      </c>
      <c r="J7" s="21">
        <f t="shared" si="2"/>
        <v>15400</v>
      </c>
      <c r="K7" s="8" t="s">
        <v>200</v>
      </c>
      <c r="L7" s="9">
        <v>2600</v>
      </c>
      <c r="M7" s="9">
        <v>1000</v>
      </c>
      <c r="N7" s="48">
        <v>0</v>
      </c>
      <c r="O7" s="21">
        <f t="shared" si="3"/>
        <v>42300</v>
      </c>
      <c r="P7" s="8"/>
      <c r="Q7" s="9"/>
      <c r="R7" s="9"/>
      <c r="S7" s="48"/>
      <c r="T7" s="21">
        <f t="shared" si="4"/>
        <v>47300</v>
      </c>
      <c r="U7" s="53">
        <f>IF($J7="","",ROUND(($J7-$J$3)/1000,1)+(_xlfn.RANK.AVG($J7,($J7,$O7,$T7),1)-2)*10)</f>
        <v>-29.6</v>
      </c>
      <c r="V7" s="54">
        <f>IF($O7="","",ROUND(($O7-$O$3)/1000,1)+(_xlfn.RANK.AVG($O7,($J7,$O7,$T7),1)-2)*10)</f>
        <v>7.3</v>
      </c>
      <c r="W7" s="55">
        <f>IF($T7="","",ROUND(($T7-$T$3)/1000,1)+(_xlfn.RANK.AVG($T7,($J7,$O7,$T7),1)-2)*10)</f>
        <v>22.3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40</v>
      </c>
      <c r="AZ7" s="40" t="s">
        <v>88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12000</v>
      </c>
      <c r="H8" s="9"/>
      <c r="I8" s="48">
        <v>0</v>
      </c>
      <c r="J8" s="21">
        <f t="shared" si="2"/>
        <v>27400</v>
      </c>
      <c r="K8" s="8" t="s">
        <v>197</v>
      </c>
      <c r="L8" s="9">
        <v>-7500</v>
      </c>
      <c r="M8" s="9"/>
      <c r="N8" s="48">
        <v>0</v>
      </c>
      <c r="O8" s="21">
        <f t="shared" si="3"/>
        <v>34800</v>
      </c>
      <c r="P8" s="8" t="s">
        <v>197</v>
      </c>
      <c r="Q8" s="9">
        <v>-4500</v>
      </c>
      <c r="R8" s="9"/>
      <c r="S8" s="48">
        <v>0</v>
      </c>
      <c r="T8" s="21">
        <f t="shared" si="4"/>
        <v>42800</v>
      </c>
      <c r="U8" s="53">
        <f>IF($J8="","",ROUND(($J8-$J$3)/1000,1)+(_xlfn.RANK.AVG($J8,($J8,$O8,$T8),1)-2)*10)</f>
        <v>-17.600000000000001</v>
      </c>
      <c r="V8" s="54">
        <f>IF($O8="","",ROUND(($O8-$O$3)/1000,1)+(_xlfn.RANK.AVG($O8,($J8,$O8,$T8),1)-2)*10)</f>
        <v>-0.2</v>
      </c>
      <c r="W8" s="55">
        <f>IF($T8="","",ROUND(($T8-$T$3)/1000,1)+(_xlfn.RANK.AVG($T8,($J8,$O8,$T8),1)-2)*10)</f>
        <v>17.8</v>
      </c>
      <c r="Y8" s="8"/>
      <c r="Z8" s="34"/>
      <c r="AA8" s="26">
        <v>1</v>
      </c>
      <c r="AB8" s="26"/>
      <c r="AC8" s="26">
        <v>6</v>
      </c>
      <c r="AD8" s="30" t="s">
        <v>202</v>
      </c>
      <c r="AE8" s="40" t="s">
        <v>199</v>
      </c>
      <c r="AF8" s="41" t="s">
        <v>82</v>
      </c>
      <c r="AG8" s="41" t="s">
        <v>203</v>
      </c>
      <c r="AH8" s="41" t="s">
        <v>203</v>
      </c>
      <c r="AI8" s="41" t="s">
        <v>83</v>
      </c>
      <c r="AJ8" s="41" t="s">
        <v>206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-3400</v>
      </c>
      <c r="H9" s="9"/>
      <c r="I9" s="48">
        <v>0</v>
      </c>
      <c r="J9" s="21">
        <f t="shared" si="2"/>
        <v>24000</v>
      </c>
      <c r="K9" s="8"/>
      <c r="L9" s="9"/>
      <c r="M9" s="9"/>
      <c r="N9" s="48"/>
      <c r="O9" s="21">
        <f t="shared" si="3"/>
        <v>34800</v>
      </c>
      <c r="P9" s="8" t="s">
        <v>200</v>
      </c>
      <c r="Q9" s="9">
        <v>3400</v>
      </c>
      <c r="R9" s="9"/>
      <c r="S9" s="48">
        <v>0</v>
      </c>
      <c r="T9" s="21">
        <f t="shared" si="4"/>
        <v>46200</v>
      </c>
      <c r="U9" s="53">
        <f>IF($J9="","",ROUND(($J9-$J$3)/1000,1)+(_xlfn.RANK.AVG($J9,($J9,$O9,$T9),1)-2)*10)</f>
        <v>-21</v>
      </c>
      <c r="V9" s="54">
        <f>IF($O9="","",ROUND(($O9-$O$3)/1000,1)+(_xlfn.RANK.AVG($O9,($J9,$O9,$T9),1)-2)*10)</f>
        <v>-0.2</v>
      </c>
      <c r="W9" s="55">
        <f>IF($T9="","",ROUND(($T9-$T$3)/1000,1)+(_xlfn.RANK.AVG($T9,($J9,$O9,$T9),1)-2)*10)</f>
        <v>21.2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</v>
      </c>
      <c r="BT9" s="30">
        <v>70</v>
      </c>
      <c r="BU9" s="40" t="s">
        <v>84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205</v>
      </c>
      <c r="G10" s="9">
        <v>1500</v>
      </c>
      <c r="H10" s="9"/>
      <c r="I10" s="48"/>
      <c r="J10" s="21">
        <f t="shared" si="2"/>
        <v>25500</v>
      </c>
      <c r="K10" s="8" t="s">
        <v>205</v>
      </c>
      <c r="L10" s="9">
        <v>-3000</v>
      </c>
      <c r="M10" s="9"/>
      <c r="N10" s="48"/>
      <c r="O10" s="21">
        <f t="shared" si="3"/>
        <v>31800</v>
      </c>
      <c r="P10" s="8" t="s">
        <v>205</v>
      </c>
      <c r="Q10" s="9">
        <v>1500</v>
      </c>
      <c r="R10" s="9"/>
      <c r="S10" s="48"/>
      <c r="T10" s="21">
        <f t="shared" si="4"/>
        <v>47700</v>
      </c>
      <c r="U10" s="53">
        <f>IF($J10="","",ROUND(($J10-$J$3)/1000,1)+(_xlfn.RANK.AVG($J10,($J10,$O10,$T10),1)-2)*10)</f>
        <v>-19.5</v>
      </c>
      <c r="V10" s="54">
        <f>IF($O10="","",ROUND(($O10-$O$3)/1000,1)+(_xlfn.RANK.AVG($O10,($J10,$O10,$T10),1)-2)*10)</f>
        <v>-3.2</v>
      </c>
      <c r="W10" s="55">
        <f>IF($T10="","",ROUND(($T10-$T$3)/1000,1)+(_xlfn.RANK.AVG($T10,($J10,$O10,$T10),1)-2)*10)</f>
        <v>22.7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200</v>
      </c>
      <c r="G11" s="9">
        <v>8000</v>
      </c>
      <c r="H11" s="9"/>
      <c r="I11" s="48">
        <v>2000</v>
      </c>
      <c r="J11" s="21">
        <f t="shared" si="2"/>
        <v>35500</v>
      </c>
      <c r="K11" s="8"/>
      <c r="L11" s="9"/>
      <c r="M11" s="9"/>
      <c r="N11" s="48"/>
      <c r="O11" s="21">
        <f t="shared" si="3"/>
        <v>31800</v>
      </c>
      <c r="P11" s="8" t="s">
        <v>201</v>
      </c>
      <c r="Q11" s="9">
        <v>-8000</v>
      </c>
      <c r="R11" s="9"/>
      <c r="S11" s="48">
        <v>-2000</v>
      </c>
      <c r="T11" s="21">
        <f t="shared" si="4"/>
        <v>37700</v>
      </c>
      <c r="U11" s="53">
        <f>IF($J11="","",ROUND(($J11-$J$3)/1000,1)+(_xlfn.RANK.AVG($J11,($J11,$O11,$T11),1)-2)*10)</f>
        <v>0.5</v>
      </c>
      <c r="V11" s="54">
        <f>IF($O11="","",ROUND(($O11-$O$3)/1000,1)+(_xlfn.RANK.AVG($O11,($J11,$O11,$T11),1)-2)*10)</f>
        <v>-13.2</v>
      </c>
      <c r="W11" s="55">
        <f>IF($T11="","",ROUND(($T11-$T$3)/1000,1)+(_xlfn.RANK.AVG($T11,($J11,$O11,$T11),1)-2)*10)</f>
        <v>12.7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199</v>
      </c>
      <c r="AF11" s="41" t="s">
        <v>86</v>
      </c>
      <c r="AG11" s="41" t="s">
        <v>203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197</v>
      </c>
      <c r="G12" s="9">
        <v>-2000</v>
      </c>
      <c r="H12" s="9">
        <v>-1000</v>
      </c>
      <c r="I12" s="48">
        <v>0</v>
      </c>
      <c r="J12" s="21">
        <f t="shared" si="2"/>
        <v>32500</v>
      </c>
      <c r="K12" s="8" t="s">
        <v>197</v>
      </c>
      <c r="L12" s="9">
        <v>-1200</v>
      </c>
      <c r="M12" s="9"/>
      <c r="N12" s="48">
        <v>0</v>
      </c>
      <c r="O12" s="21">
        <f t="shared" si="3"/>
        <v>30600</v>
      </c>
      <c r="P12" s="8" t="s">
        <v>198</v>
      </c>
      <c r="Q12" s="9">
        <v>3200</v>
      </c>
      <c r="R12" s="9">
        <v>1000</v>
      </c>
      <c r="S12" s="48">
        <v>0</v>
      </c>
      <c r="T12" s="21">
        <f t="shared" si="4"/>
        <v>41900</v>
      </c>
      <c r="U12" s="53">
        <f>IF($J12="","",ROUND(($J12-$J$3)/1000,1)+(_xlfn.RANK.AVG($J12,($J12,$O12,$T12),1)-2)*10)</f>
        <v>-2.5</v>
      </c>
      <c r="V12" s="54">
        <f>IF($O12="","",ROUND(($O12-$O$3)/1000,1)+(_xlfn.RANK.AVG($O12,($J12,$O12,$T12),1)-2)*10)</f>
        <v>-14.4</v>
      </c>
      <c r="W12" s="55">
        <f>IF($T12="","",ROUND(($T12-$T$3)/1000,1)+(_xlfn.RANK.AVG($T12,($J12,$O12,$T12),1)-2)*10)</f>
        <v>16.899999999999999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50</v>
      </c>
      <c r="BU12" s="40" t="s">
        <v>86</v>
      </c>
      <c r="BV12" s="41" t="s">
        <v>203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showInputMessage="1" showErrorMessage="1" sqref="K4:K30 P4:P30 F4:F30" xr:uid="{F610EFD5-6FAC-4A02-AD2E-78E1217BFEF2}">
      <formula1>"ロン,ツモ,放銃,ツモ支払,流局,チョンボ"</formula1>
    </dataValidation>
    <dataValidation type="list" allowBlank="1" showInputMessage="1" showErrorMessage="1" sqref="E4:E30" xr:uid="{4D98F917-CF69-4CB4-9AEA-6D2A631E74A1}">
      <formula1>$U$2:$W$2</formula1>
    </dataValidation>
    <dataValidation type="list" allowBlank="1" showInputMessage="1" sqref="F1:T1" xr:uid="{F3473CFD-B684-4993-8C94-70417E434EC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8011-CE7C-42FC-BA11-0C5C8CC4750B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194</v>
      </c>
      <c r="G1" s="85"/>
      <c r="H1" s="85"/>
      <c r="I1" s="86"/>
      <c r="J1" s="87"/>
      <c r="K1" s="84" t="s">
        <v>196</v>
      </c>
      <c r="L1" s="85"/>
      <c r="M1" s="85"/>
      <c r="N1" s="86"/>
      <c r="O1" s="87"/>
      <c r="P1" s="84" t="s">
        <v>192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ただ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ただ</v>
      </c>
      <c r="V2" s="76" t="str">
        <f>$K$1</f>
        <v>だいち</v>
      </c>
      <c r="W2" s="16" t="str">
        <f>$P$1</f>
        <v>りくと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200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70</v>
      </c>
      <c r="BU4" s="40" t="s">
        <v>199</v>
      </c>
      <c r="BV4" s="41" t="s">
        <v>86</v>
      </c>
      <c r="BW4" s="41" t="s">
        <v>80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-12000</v>
      </c>
      <c r="H5" s="9"/>
      <c r="I5" s="48">
        <v>0</v>
      </c>
      <c r="J5" s="21">
        <f t="shared" ref="J5:J30" si="2">IF(COUNTA($F5,$K5,$P5)&gt;0,J4+SUM(G5:I5),"")</f>
        <v>23000</v>
      </c>
      <c r="K5" s="8" t="s">
        <v>200</v>
      </c>
      <c r="L5" s="9">
        <v>12000</v>
      </c>
      <c r="M5" s="9"/>
      <c r="N5" s="48">
        <v>0</v>
      </c>
      <c r="O5" s="21">
        <f t="shared" ref="O5:O30" si="3">IF(COUNTA($F5,$K5,$P5)&gt;0,O4+SUM(L5:N5),"")</f>
        <v>39000</v>
      </c>
      <c r="P5" s="8"/>
      <c r="Q5" s="9"/>
      <c r="R5" s="9"/>
      <c r="S5" s="48"/>
      <c r="T5" s="21">
        <f t="shared" ref="T5:T30" si="4">IF(COUNTA($F5,$K5,$P5)&gt;0,T4+SUM(Q5:S5),"")</f>
        <v>43000</v>
      </c>
      <c r="U5" s="53">
        <f>IF($J5="","",ROUND(($J5-$J$3)/1000,1)+(_xlfn.RANK.AVG($J5,($J5,$O5,$T5),1)-2)*10)</f>
        <v>-22</v>
      </c>
      <c r="V5" s="54">
        <f>IF($O5="","",ROUND(($O5-$O$3)/1000,1)+(_xlfn.RANK.AVG($O5,($J5,$O5,$T5),1)-2)*10)</f>
        <v>4</v>
      </c>
      <c r="W5" s="55">
        <f>IF($T5="","",ROUND(($T5-$T$3)/1000,1)+(_xlfn.RANK.AVG($T5,($J5,$O5,$T5),1)-2)*10)</f>
        <v>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202</v>
      </c>
      <c r="AZ5" s="40" t="s">
        <v>86</v>
      </c>
      <c r="BA5" s="41" t="s">
        <v>79</v>
      </c>
      <c r="BB5" s="41" t="s">
        <v>79</v>
      </c>
      <c r="BC5" s="41" t="s">
        <v>79</v>
      </c>
      <c r="BD5" s="41" t="s">
        <v>203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23000</v>
      </c>
      <c r="K6" s="8" t="s">
        <v>201</v>
      </c>
      <c r="L6" s="9">
        <v>-1000</v>
      </c>
      <c r="M6" s="9"/>
      <c r="N6" s="48">
        <v>-1000</v>
      </c>
      <c r="O6" s="21">
        <f t="shared" si="3"/>
        <v>37000</v>
      </c>
      <c r="P6" s="8" t="s">
        <v>200</v>
      </c>
      <c r="Q6" s="9">
        <v>1000</v>
      </c>
      <c r="R6" s="9"/>
      <c r="S6" s="48">
        <v>1000</v>
      </c>
      <c r="T6" s="21">
        <f t="shared" si="4"/>
        <v>45000</v>
      </c>
      <c r="U6" s="53">
        <f>IF($J6="","",ROUND(($J6-$J$3)/1000,1)+(_xlfn.RANK.AVG($J6,($J6,$O6,$T6),1)-2)*10)</f>
        <v>-22</v>
      </c>
      <c r="V6" s="54">
        <f>IF($O6="","",ROUND(($O6-$O$3)/1000,1)+(_xlfn.RANK.AVG($O6,($J6,$O6,$T6),1)-2)*10)</f>
        <v>2</v>
      </c>
      <c r="W6" s="55">
        <f>IF($T6="","",ROUND(($T6-$T$3)/1000,1)+(_xlfn.RANK.AVG($T6,($J6,$O6,$T6),1)-2)*10)</f>
        <v>20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5300</v>
      </c>
      <c r="H7" s="9"/>
      <c r="I7" s="48">
        <v>0</v>
      </c>
      <c r="J7" s="21">
        <f t="shared" si="2"/>
        <v>28300</v>
      </c>
      <c r="K7" s="8" t="s">
        <v>197</v>
      </c>
      <c r="L7" s="9">
        <v>-2000</v>
      </c>
      <c r="M7" s="9"/>
      <c r="N7" s="48">
        <v>0</v>
      </c>
      <c r="O7" s="21">
        <f t="shared" si="3"/>
        <v>35000</v>
      </c>
      <c r="P7" s="8" t="s">
        <v>197</v>
      </c>
      <c r="Q7" s="9">
        <v>-3300</v>
      </c>
      <c r="R7" s="9"/>
      <c r="S7" s="48">
        <v>0</v>
      </c>
      <c r="T7" s="21">
        <f t="shared" si="4"/>
        <v>41700</v>
      </c>
      <c r="U7" s="53">
        <f>IF($J7="","",ROUND(($J7-$J$3)/1000,1)+(_xlfn.RANK.AVG($J7,($J7,$O7,$T7),1)-2)*10)</f>
        <v>-16.7</v>
      </c>
      <c r="V7" s="54">
        <f>IF($O7="","",ROUND(($O7-$O$3)/1000,1)+(_xlfn.RANK.AVG($O7,($J7,$O7,$T7),1)-2)*10)</f>
        <v>0</v>
      </c>
      <c r="W7" s="55">
        <f>IF($T7="","",ROUND(($T7-$T$3)/1000,1)+(_xlfn.RANK.AVG($T7,($J7,$O7,$T7),1)-2)*10)</f>
        <v>16.7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199</v>
      </c>
      <c r="AF7" s="41" t="s">
        <v>82</v>
      </c>
      <c r="AG7" s="41" t="s">
        <v>83</v>
      </c>
      <c r="AH7" s="41" t="s">
        <v>84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-1700</v>
      </c>
      <c r="H8" s="9"/>
      <c r="I8" s="48">
        <v>0</v>
      </c>
      <c r="J8" s="21">
        <f t="shared" si="2"/>
        <v>26600</v>
      </c>
      <c r="K8" s="8" t="s">
        <v>198</v>
      </c>
      <c r="L8" s="9">
        <v>2800</v>
      </c>
      <c r="M8" s="9"/>
      <c r="N8" s="48">
        <v>0</v>
      </c>
      <c r="O8" s="21">
        <f t="shared" si="3"/>
        <v>37800</v>
      </c>
      <c r="P8" s="8" t="s">
        <v>197</v>
      </c>
      <c r="Q8" s="9">
        <v>-1100</v>
      </c>
      <c r="R8" s="9"/>
      <c r="S8" s="48">
        <v>0</v>
      </c>
      <c r="T8" s="21">
        <f t="shared" si="4"/>
        <v>40600</v>
      </c>
      <c r="U8" s="53">
        <f>IF($J8="","",ROUND(($J8-$J$3)/1000,1)+(_xlfn.RANK.AVG($J8,($J8,$O8,$T8),1)-2)*10)</f>
        <v>-18.399999999999999</v>
      </c>
      <c r="V8" s="54">
        <f>IF($O8="","",ROUND(($O8-$O$3)/1000,1)+(_xlfn.RANK.AVG($O8,($J8,$O8,$T8),1)-2)*10)</f>
        <v>2.8</v>
      </c>
      <c r="W8" s="55">
        <f>IF($T8="","",ROUND(($T8-$T$3)/1000,1)+(_xlfn.RANK.AVG($T8,($J8,$O8,$T8),1)-2)*10)</f>
        <v>15.6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40</v>
      </c>
      <c r="AZ8" s="40" t="s">
        <v>86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201</v>
      </c>
      <c r="G9" s="9">
        <v>-12000</v>
      </c>
      <c r="H9" s="9"/>
      <c r="I9" s="48">
        <v>0</v>
      </c>
      <c r="J9" s="21">
        <f t="shared" si="2"/>
        <v>14600</v>
      </c>
      <c r="K9" s="8" t="s">
        <v>200</v>
      </c>
      <c r="L9" s="9">
        <v>12000</v>
      </c>
      <c r="M9" s="9"/>
      <c r="N9" s="48">
        <v>0</v>
      </c>
      <c r="O9" s="21">
        <f t="shared" si="3"/>
        <v>49800</v>
      </c>
      <c r="P9" s="8"/>
      <c r="Q9" s="9"/>
      <c r="R9" s="9"/>
      <c r="S9" s="48"/>
      <c r="T9" s="21">
        <f t="shared" si="4"/>
        <v>40600</v>
      </c>
      <c r="U9" s="53">
        <f>IF($J9="","",ROUND(($J9-$J$3)/1000,1)+(_xlfn.RANK.AVG($J9,($J9,$O9,$T9),1)-2)*10)</f>
        <v>-30.4</v>
      </c>
      <c r="V9" s="54">
        <f>IF($O9="","",ROUND(($O9-$O$3)/1000,1)+(_xlfn.RANK.AVG($O9,($J9,$O9,$T9),1)-2)*10)</f>
        <v>24.8</v>
      </c>
      <c r="W9" s="55">
        <f>IF($T9="","",ROUND(($T9-$T$3)/1000,1)+(_xlfn.RANK.AVG($T9,($J9,$O9,$T9),1)-2)*10)</f>
        <v>5.6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104</v>
      </c>
      <c r="BA9" s="41" t="s">
        <v>86</v>
      </c>
      <c r="BB9" s="41" t="s">
        <v>203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201</v>
      </c>
      <c r="G10" s="9">
        <v>-5200</v>
      </c>
      <c r="H10" s="9"/>
      <c r="I10" s="48">
        <v>-1000</v>
      </c>
      <c r="J10" s="21">
        <f t="shared" si="2"/>
        <v>8400</v>
      </c>
      <c r="K10" s="8"/>
      <c r="L10" s="9"/>
      <c r="M10" s="9">
        <v>-1000</v>
      </c>
      <c r="N10" s="48"/>
      <c r="O10" s="21">
        <f t="shared" si="3"/>
        <v>48800</v>
      </c>
      <c r="P10" s="8" t="s">
        <v>200</v>
      </c>
      <c r="Q10" s="9">
        <v>5200</v>
      </c>
      <c r="R10" s="9">
        <v>1000</v>
      </c>
      <c r="S10" s="48">
        <v>1000</v>
      </c>
      <c r="T10" s="21">
        <f t="shared" si="4"/>
        <v>47800</v>
      </c>
      <c r="U10" s="53">
        <f>IF($J10="","",ROUND(($J10-$J$3)/1000,1)+(_xlfn.RANK.AVG($J10,($J10,$O10,$T10),1)-2)*10)</f>
        <v>-36.6</v>
      </c>
      <c r="V10" s="54">
        <f>IF($O10="","",ROUND(($O10-$O$3)/1000,1)+(_xlfn.RANK.AVG($O10,($J10,$O10,$T10),1)-2)*10)</f>
        <v>23.8</v>
      </c>
      <c r="W10" s="55">
        <f>IF($T10="","",ROUND(($T10-$T$3)/1000,1)+(_xlfn.RANK.AVG($T10,($J10,$O10,$T10),1)-2)*10)</f>
        <v>12.8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40</v>
      </c>
      <c r="BU10" s="40" t="s">
        <v>86</v>
      </c>
      <c r="BV10" s="41" t="s">
        <v>79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198</v>
      </c>
      <c r="G11" s="9">
        <v>2100</v>
      </c>
      <c r="H11" s="9"/>
      <c r="I11" s="48">
        <v>0</v>
      </c>
      <c r="J11" s="21">
        <f t="shared" si="2"/>
        <v>10500</v>
      </c>
      <c r="K11" s="8" t="s">
        <v>197</v>
      </c>
      <c r="L11" s="9">
        <v>-800</v>
      </c>
      <c r="M11" s="9"/>
      <c r="N11" s="48">
        <v>0</v>
      </c>
      <c r="O11" s="21">
        <f t="shared" si="3"/>
        <v>48000</v>
      </c>
      <c r="P11" s="8" t="s">
        <v>197</v>
      </c>
      <c r="Q11" s="9">
        <v>-1300</v>
      </c>
      <c r="R11" s="9"/>
      <c r="S11" s="48">
        <v>0</v>
      </c>
      <c r="T11" s="21">
        <f t="shared" si="4"/>
        <v>46500</v>
      </c>
      <c r="U11" s="53">
        <f>IF($J11="","",ROUND(($J11-$J$3)/1000,1)+(_xlfn.RANK.AVG($J11,($J11,$O11,$T11),1)-2)*10)</f>
        <v>-34.5</v>
      </c>
      <c r="V11" s="54">
        <f>IF($O11="","",ROUND(($O11-$O$3)/1000,1)+(_xlfn.RANK.AVG($O11,($J11,$O11,$T11),1)-2)*10)</f>
        <v>23</v>
      </c>
      <c r="W11" s="55">
        <f>IF($T11="","",ROUND(($T11-$T$3)/1000,1)+(_xlfn.RANK.AVG($T11,($J11,$O11,$T11),1)-2)*10)</f>
        <v>11.5</v>
      </c>
      <c r="Y11" s="8"/>
      <c r="Z11" s="34"/>
      <c r="AA11" s="26"/>
      <c r="AB11" s="26"/>
      <c r="AC11" s="26">
        <v>2</v>
      </c>
      <c r="AD11" s="30">
        <v>30</v>
      </c>
      <c r="AE11" s="40" t="s">
        <v>82</v>
      </c>
      <c r="AF11" s="41" t="s">
        <v>203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ABB07786-2A99-413E-9BE4-F3D83E604D44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736DBF22-87D7-4692-8081-1BFCE04DBB1D}">
      <formula1>$U$2:$W$2</formula1>
    </dataValidation>
    <dataValidation type="list" showInputMessage="1" showErrorMessage="1" sqref="K4:K30 P4:P30 F4:F30" xr:uid="{427509ED-D64D-4EBE-9C99-6CFAFB2AE1F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2D37-A0E0-4FDD-A800-4EA0B3D1892B}">
  <sheetPr codeName="Sheet17">
    <pageSetUpPr fitToPage="1"/>
  </sheetPr>
  <dimension ref="A1:CI30"/>
  <sheetViews>
    <sheetView zoomScaleNormal="100" workbookViewId="0">
      <selection activeCell="U1" sqref="U1:W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194</v>
      </c>
      <c r="G1" s="85"/>
      <c r="H1" s="85"/>
      <c r="I1" s="86"/>
      <c r="J1" s="87"/>
      <c r="K1" s="84" t="s">
        <v>191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ただ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りくと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ただ</v>
      </c>
      <c r="V2" s="76" t="str">
        <f>$K$1</f>
        <v>りくと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 t="s">
        <v>200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-15.2</v>
      </c>
      <c r="W4" s="55">
        <f>IF($T4="","",ROUND(($T4-$T$3)/1000,1)+(_xlfn.RANK.AVG($T4,($J4,$O4,$T4),1)-2)*10)</f>
        <v>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40</v>
      </c>
      <c r="BU4" s="40" t="s">
        <v>85</v>
      </c>
      <c r="BV4" s="41" t="s">
        <v>79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-1300</v>
      </c>
      <c r="H5" s="9"/>
      <c r="I5" s="48">
        <v>0</v>
      </c>
      <c r="J5" s="21">
        <f t="shared" ref="J5:J30" si="2">IF(COUNTA($F5,$K5,$P5)&gt;0,J4+SUM(G5:I5),"")</f>
        <v>33700</v>
      </c>
      <c r="K5" s="8"/>
      <c r="L5" s="9"/>
      <c r="M5" s="9"/>
      <c r="N5" s="48"/>
      <c r="O5" s="21">
        <f t="shared" ref="O5:O30" si="3">IF(COUNTA($F5,$K5,$P5)&gt;0,O4+SUM(L5:N5),"")</f>
        <v>29800</v>
      </c>
      <c r="P5" s="8" t="s">
        <v>200</v>
      </c>
      <c r="Q5" s="9">
        <v>1300</v>
      </c>
      <c r="R5" s="9"/>
      <c r="S5" s="48">
        <v>0</v>
      </c>
      <c r="T5" s="21">
        <f t="shared" ref="T5:T30" si="4">IF(COUNTA($F5,$K5,$P5)&gt;0,T4+SUM(Q5:S5),"")</f>
        <v>41500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-15.2</v>
      </c>
      <c r="W5" s="55">
        <f>IF($T5="","",ROUND(($T5-$T$3)/1000,1)+(_xlfn.RANK.AVG($T5,($J5,$O5,$T5),1)-2)*10)</f>
        <v>16.5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40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197</v>
      </c>
      <c r="G6" s="9">
        <v>-3000</v>
      </c>
      <c r="H6" s="9"/>
      <c r="I6" s="48">
        <v>0</v>
      </c>
      <c r="J6" s="21">
        <f t="shared" si="2"/>
        <v>30700</v>
      </c>
      <c r="K6" s="8" t="s">
        <v>198</v>
      </c>
      <c r="L6" s="9">
        <v>8000</v>
      </c>
      <c r="M6" s="9"/>
      <c r="N6" s="48">
        <v>0</v>
      </c>
      <c r="O6" s="21">
        <f t="shared" si="3"/>
        <v>37800</v>
      </c>
      <c r="P6" s="8" t="s">
        <v>197</v>
      </c>
      <c r="Q6" s="9">
        <v>-5000</v>
      </c>
      <c r="R6" s="9"/>
      <c r="S6" s="48">
        <v>0</v>
      </c>
      <c r="T6" s="21">
        <f t="shared" si="4"/>
        <v>36500</v>
      </c>
      <c r="U6" s="53">
        <f>IF($J6="","",ROUND(($J6-$J$3)/1000,1)+(_xlfn.RANK.AVG($J6,($J6,$O6,$T6),1)-2)*10)</f>
        <v>-14.3</v>
      </c>
      <c r="V6" s="54">
        <f>IF($O6="","",ROUND(($O6-$O$3)/1000,1)+(_xlfn.RANK.AVG($O6,($J6,$O6,$T6),1)-2)*10)</f>
        <v>12.8</v>
      </c>
      <c r="W6" s="55">
        <f>IF($T6="","",ROUND(($T6-$T$3)/1000,1)+(_xlfn.RANK.AVG($T6,($J6,$O6,$T6),1)-2)*10)</f>
        <v>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199</v>
      </c>
      <c r="BA6" s="41" t="s">
        <v>82</v>
      </c>
      <c r="BB6" s="41" t="s">
        <v>86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30700</v>
      </c>
      <c r="K7" s="8" t="s">
        <v>201</v>
      </c>
      <c r="L7" s="9">
        <v>-1000</v>
      </c>
      <c r="M7" s="9"/>
      <c r="N7" s="48">
        <v>0</v>
      </c>
      <c r="O7" s="21">
        <f t="shared" si="3"/>
        <v>36800</v>
      </c>
      <c r="P7" s="8" t="s">
        <v>200</v>
      </c>
      <c r="Q7" s="9">
        <v>1000</v>
      </c>
      <c r="R7" s="9"/>
      <c r="S7" s="48">
        <v>0</v>
      </c>
      <c r="T7" s="21">
        <f t="shared" si="4"/>
        <v>37500</v>
      </c>
      <c r="U7" s="53">
        <f>IF($J7="","",ROUND(($J7-$J$3)/1000,1)+(_xlfn.RANK.AVG($J7,($J7,$O7,$T7),1)-2)*10)</f>
        <v>-14.3</v>
      </c>
      <c r="V7" s="54">
        <f>IF($O7="","",ROUND(($O7-$O$3)/1000,1)+(_xlfn.RANK.AVG($O7,($J7,$O7,$T7),1)-2)*10)</f>
        <v>1.8</v>
      </c>
      <c r="W7" s="55">
        <f>IF($T7="","",ROUND(($T7-$T$3)/1000,1)+(_xlfn.RANK.AVG($T7,($J7,$O7,$T7),1)-2)*10)</f>
        <v>12.5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30700</v>
      </c>
      <c r="K8" s="8" t="s">
        <v>201</v>
      </c>
      <c r="L8" s="9">
        <v>-6400</v>
      </c>
      <c r="M8" s="9">
        <v>-1000</v>
      </c>
      <c r="N8" s="48">
        <v>0</v>
      </c>
      <c r="O8" s="21">
        <f t="shared" si="3"/>
        <v>29400</v>
      </c>
      <c r="P8" s="8" t="s">
        <v>200</v>
      </c>
      <c r="Q8" s="9">
        <v>6400</v>
      </c>
      <c r="R8" s="9">
        <v>1000</v>
      </c>
      <c r="S8" s="48">
        <v>0</v>
      </c>
      <c r="T8" s="21">
        <f t="shared" si="4"/>
        <v>44900</v>
      </c>
      <c r="U8" s="53">
        <f>IF($J8="","",ROUND(($J8-$J$3)/1000,1)+(_xlfn.RANK.AVG($J8,($J8,$O8,$T8),1)-2)*10)</f>
        <v>-4.3</v>
      </c>
      <c r="V8" s="54">
        <f>IF($O8="","",ROUND(($O8-$O$3)/1000,1)+(_xlfn.RANK.AVG($O8,($J8,$O8,$T8),1)-2)*10)</f>
        <v>-15.6</v>
      </c>
      <c r="W8" s="55">
        <f>IF($T8="","",ROUND(($T8-$T$3)/1000,1)+(_xlfn.RANK.AVG($T8,($J8,$O8,$T8),1)-2)*10)</f>
        <v>19.899999999999999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50</v>
      </c>
      <c r="BU8" s="40" t="s">
        <v>199</v>
      </c>
      <c r="BV8" s="41" t="s">
        <v>79</v>
      </c>
      <c r="BW8" s="41" t="s">
        <v>206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201</v>
      </c>
      <c r="G9" s="9">
        <v>-10300</v>
      </c>
      <c r="H9" s="9">
        <v>-1000</v>
      </c>
      <c r="I9" s="48">
        <v>0</v>
      </c>
      <c r="J9" s="21">
        <f t="shared" si="2"/>
        <v>19400</v>
      </c>
      <c r="K9" s="8" t="s">
        <v>200</v>
      </c>
      <c r="L9" s="9">
        <v>2600</v>
      </c>
      <c r="M9" s="9">
        <v>1000</v>
      </c>
      <c r="N9" s="48">
        <v>0</v>
      </c>
      <c r="O9" s="21">
        <f t="shared" si="3"/>
        <v>33000</v>
      </c>
      <c r="P9" s="8" t="s">
        <v>200</v>
      </c>
      <c r="Q9" s="9">
        <v>7700</v>
      </c>
      <c r="R9" s="9"/>
      <c r="S9" s="48"/>
      <c r="T9" s="21">
        <f t="shared" si="4"/>
        <v>52600</v>
      </c>
      <c r="U9" s="53">
        <f>IF($J9="","",ROUND(($J9-$J$3)/1000,1)+(_xlfn.RANK.AVG($J9,($J9,$O9,$T9),1)-2)*10)</f>
        <v>-25.6</v>
      </c>
      <c r="V9" s="54">
        <f>IF($O9="","",ROUND(($O9-$O$3)/1000,1)+(_xlfn.RANK.AVG($O9,($J9,$O9,$T9),1)-2)*10)</f>
        <v>-2</v>
      </c>
      <c r="W9" s="55">
        <f>IF($T9="","",ROUND(($T9-$T$3)/1000,1)+(_xlfn.RANK.AVG($T9,($J9,$O9,$T9),1)-2)*10)</f>
        <v>27.6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40</v>
      </c>
      <c r="AZ9" s="40" t="s">
        <v>86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40</v>
      </c>
      <c r="BU9" s="40" t="s">
        <v>96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196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8A9DAA38-6CFB-4B46-959E-8C730BA48BC2}">
      <formula1>"ロン,ツモ,放銃,ツモ支払,流局,チョンボ"</formula1>
    </dataValidation>
    <dataValidation type="list" allowBlank="1" showInputMessage="1" showErrorMessage="1" sqref="E4:E30" xr:uid="{194E4551-9BF5-486A-88CF-FE5718A3FFAE}">
      <formula1>$U$2:$W$2</formula1>
    </dataValidation>
    <dataValidation type="list" allowBlank="1" showInputMessage="1" sqref="F1:T1" xr:uid="{20F80CE8-340C-4141-B404-4FBF5463CA1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BD456-6116-43A9-BBD4-FAD7720C214C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194</v>
      </c>
      <c r="G1" s="85"/>
      <c r="H1" s="85"/>
      <c r="I1" s="86"/>
      <c r="J1" s="87"/>
      <c r="K1" s="84" t="s">
        <v>192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ただ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りくと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ただ</v>
      </c>
      <c r="V2" s="81" t="str">
        <f>$K$1</f>
        <v>りくと</v>
      </c>
      <c r="W2" s="16" t="str">
        <f>$P$1</f>
        <v>だいち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197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9</v>
      </c>
      <c r="BT4" s="30" t="s">
        <v>202</v>
      </c>
      <c r="BU4" s="40" t="s">
        <v>98</v>
      </c>
      <c r="BV4" s="41" t="s">
        <v>96</v>
      </c>
      <c r="BW4" s="41" t="s">
        <v>86</v>
      </c>
      <c r="BX4" s="41" t="s">
        <v>79</v>
      </c>
      <c r="BY4" s="41" t="s">
        <v>79</v>
      </c>
      <c r="BZ4" s="41" t="s">
        <v>79</v>
      </c>
      <c r="CA4" s="41" t="s">
        <v>203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>
        <v>-1000</v>
      </c>
      <c r="I5" s="48"/>
      <c r="J5" s="21">
        <f t="shared" ref="J5:J30" si="2">IF(COUNTA($F5,$K5,$P5)&gt;0,J4+SUM(G5:I5),"")</f>
        <v>24000</v>
      </c>
      <c r="K5" s="8" t="s">
        <v>201</v>
      </c>
      <c r="L5" s="9">
        <v>-12000</v>
      </c>
      <c r="M5" s="9">
        <v>-1000</v>
      </c>
      <c r="N5" s="48">
        <v>0</v>
      </c>
      <c r="O5" s="21">
        <f t="shared" ref="O5:O30" si="3">IF(COUNTA($F5,$K5,$P5)&gt;0,O4+SUM(L5:N5),"")</f>
        <v>16000</v>
      </c>
      <c r="P5" s="8" t="s">
        <v>200</v>
      </c>
      <c r="Q5" s="9">
        <v>12000</v>
      </c>
      <c r="R5" s="9">
        <v>2000</v>
      </c>
      <c r="S5" s="48">
        <v>0</v>
      </c>
      <c r="T5" s="21">
        <f t="shared" ref="T5:T30" si="4">IF(COUNTA($F5,$K5,$P5)&gt;0,T4+SUM(Q5:S5),"")</f>
        <v>65000</v>
      </c>
      <c r="U5" s="53">
        <f>IF($J5="","",ROUND(($J5-$J$3)/1000,1)+(_xlfn.RANK.AVG($J5,($J5,$O5,$T5),1)-2)*10)</f>
        <v>-11</v>
      </c>
      <c r="V5" s="54">
        <f>IF($O5="","",ROUND(($O5-$O$3)/1000,1)+(_xlfn.RANK.AVG($O5,($J5,$O5,$T5),1)-2)*10)</f>
        <v>-29</v>
      </c>
      <c r="W5" s="55">
        <f>IF($T5="","",ROUND(($T5-$T$3)/1000,1)+(_xlfn.RANK.AVG($T5,($J5,$O5,$T5),1)-2)*10)</f>
        <v>40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7</v>
      </c>
      <c r="BT5" s="30" t="s">
        <v>202</v>
      </c>
      <c r="BU5" s="40" t="s">
        <v>98</v>
      </c>
      <c r="BV5" s="41" t="s">
        <v>86</v>
      </c>
      <c r="BW5" s="41" t="s">
        <v>86</v>
      </c>
      <c r="BX5" s="41" t="s">
        <v>79</v>
      </c>
      <c r="BY5" s="41" t="s">
        <v>79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8000</v>
      </c>
      <c r="H6" s="9"/>
      <c r="I6" s="48">
        <v>0</v>
      </c>
      <c r="J6" s="21">
        <f t="shared" si="2"/>
        <v>32000</v>
      </c>
      <c r="K6" s="8" t="s">
        <v>197</v>
      </c>
      <c r="L6" s="9">
        <v>-3000</v>
      </c>
      <c r="M6" s="9"/>
      <c r="N6" s="48">
        <v>0</v>
      </c>
      <c r="O6" s="21">
        <f t="shared" si="3"/>
        <v>13000</v>
      </c>
      <c r="P6" s="8" t="s">
        <v>197</v>
      </c>
      <c r="Q6" s="9">
        <v>-5000</v>
      </c>
      <c r="R6" s="9"/>
      <c r="S6" s="48">
        <v>0</v>
      </c>
      <c r="T6" s="21">
        <f t="shared" si="4"/>
        <v>60000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-32</v>
      </c>
      <c r="W6" s="55">
        <f>IF($T6="","",ROUND(($T6-$T$3)/1000,1)+(_xlfn.RANK.AVG($T6,($J6,$O6,$T6),1)-2)*10)</f>
        <v>35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104</v>
      </c>
      <c r="AF6" s="41" t="s">
        <v>86</v>
      </c>
      <c r="AG6" s="41" t="s">
        <v>203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-2000</v>
      </c>
      <c r="H7" s="9"/>
      <c r="I7" s="48">
        <v>0</v>
      </c>
      <c r="J7" s="21">
        <f t="shared" si="2"/>
        <v>30000</v>
      </c>
      <c r="K7" s="8" t="s">
        <v>200</v>
      </c>
      <c r="L7" s="9">
        <v>2000</v>
      </c>
      <c r="M7" s="9"/>
      <c r="N7" s="48">
        <v>0</v>
      </c>
      <c r="O7" s="21">
        <f t="shared" si="3"/>
        <v>15000</v>
      </c>
      <c r="P7" s="8"/>
      <c r="Q7" s="9"/>
      <c r="R7" s="9"/>
      <c r="S7" s="48"/>
      <c r="T7" s="21">
        <f t="shared" si="4"/>
        <v>60000</v>
      </c>
      <c r="U7" s="53">
        <f>IF($J7="","",ROUND(($J7-$J$3)/1000,1)+(_xlfn.RANK.AVG($J7,($J7,$O7,$T7),1)-2)*10)</f>
        <v>-5</v>
      </c>
      <c r="V7" s="54">
        <f>IF($O7="","",ROUND(($O7-$O$3)/1000,1)+(_xlfn.RANK.AVG($O7,($J7,$O7,$T7),1)-2)*10)</f>
        <v>-30</v>
      </c>
      <c r="W7" s="55">
        <f>IF($T7="","",ROUND(($T7-$T$3)/1000,1)+(_xlfn.RANK.AVG($T7,($J7,$O7,$T7),1)-2)*10)</f>
        <v>35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203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-6400</v>
      </c>
      <c r="H8" s="9">
        <v>-1000</v>
      </c>
      <c r="I8" s="48">
        <v>0</v>
      </c>
      <c r="J8" s="21">
        <f t="shared" si="2"/>
        <v>22600</v>
      </c>
      <c r="K8" s="8"/>
      <c r="L8" s="9"/>
      <c r="M8" s="9"/>
      <c r="N8" s="48"/>
      <c r="O8" s="21">
        <f t="shared" si="3"/>
        <v>15000</v>
      </c>
      <c r="P8" s="8" t="s">
        <v>200</v>
      </c>
      <c r="Q8" s="9">
        <v>6400</v>
      </c>
      <c r="R8" s="9">
        <v>1000</v>
      </c>
      <c r="S8" s="48">
        <v>0</v>
      </c>
      <c r="T8" s="21">
        <f t="shared" si="4"/>
        <v>67400</v>
      </c>
      <c r="U8" s="53">
        <f>IF($J8="","",ROUND(($J8-$J$3)/1000,1)+(_xlfn.RANK.AVG($J8,($J8,$O8,$T8),1)-2)*10)</f>
        <v>-12.4</v>
      </c>
      <c r="V8" s="54">
        <f>IF($O8="","",ROUND(($O8-$O$3)/1000,1)+(_xlfn.RANK.AVG($O8,($J8,$O8,$T8),1)-2)*10)</f>
        <v>-30</v>
      </c>
      <c r="W8" s="55">
        <f>IF($T8="","",ROUND(($T8-$T$3)/1000,1)+(_xlfn.RANK.AVG($T8,($J8,$O8,$T8),1)-2)*10)</f>
        <v>42.4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50</v>
      </c>
      <c r="BU8" s="40" t="s">
        <v>88</v>
      </c>
      <c r="BV8" s="41" t="s">
        <v>86</v>
      </c>
      <c r="BW8" s="41" t="s">
        <v>203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-3000</v>
      </c>
      <c r="H9" s="9"/>
      <c r="I9" s="48">
        <v>0</v>
      </c>
      <c r="J9" s="21">
        <f t="shared" si="2"/>
        <v>19600</v>
      </c>
      <c r="K9" s="8" t="s">
        <v>197</v>
      </c>
      <c r="L9" s="9">
        <v>-3000</v>
      </c>
      <c r="M9" s="9"/>
      <c r="N9" s="48">
        <v>0</v>
      </c>
      <c r="O9" s="21">
        <f t="shared" si="3"/>
        <v>12000</v>
      </c>
      <c r="P9" s="8" t="s">
        <v>198</v>
      </c>
      <c r="Q9" s="9">
        <v>6000</v>
      </c>
      <c r="R9" s="9"/>
      <c r="S9" s="48">
        <v>0</v>
      </c>
      <c r="T9" s="21">
        <f t="shared" si="4"/>
        <v>73400</v>
      </c>
      <c r="U9" s="53">
        <f>IF($J9="","",ROUND(($J9-$J$3)/1000,1)+(_xlfn.RANK.AVG($J9,($J9,$O9,$T9),1)-2)*10)</f>
        <v>-15.4</v>
      </c>
      <c r="V9" s="54">
        <f>IF($O9="","",ROUND(($O9-$O$3)/1000,1)+(_xlfn.RANK.AVG($O9,($J9,$O9,$T9),1)-2)*10)</f>
        <v>-33</v>
      </c>
      <c r="W9" s="55">
        <f>IF($T9="","",ROUND(($T9-$T$3)/1000,1)+(_xlfn.RANK.AVG($T9,($J9,$O9,$T9),1)-2)*10)</f>
        <v>48.4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91</v>
      </c>
      <c r="BV9" s="41" t="s">
        <v>82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6FC6597-92A2-4D8F-822E-86C05B039135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57E2E59C-7EAC-4C70-B8B9-B80B8A8FD969}">
      <formula1>$U$2:$W$2</formula1>
    </dataValidation>
    <dataValidation type="list" showInputMessage="1" showErrorMessage="1" sqref="K4:K30 P4:P30 F4:F30" xr:uid="{2C01E95D-53FD-4497-A943-66869EA52E2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3D27-56E0-4AF9-8112-FC43EF6D26B2}">
  <sheetPr codeName="Sheet19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194</v>
      </c>
      <c r="G1" s="85"/>
      <c r="H1" s="85"/>
      <c r="I1" s="86"/>
      <c r="J1" s="87"/>
      <c r="K1" s="84" t="s">
        <v>196</v>
      </c>
      <c r="L1" s="85"/>
      <c r="M1" s="85"/>
      <c r="N1" s="86"/>
      <c r="O1" s="87"/>
      <c r="P1" s="84" t="s">
        <v>192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ただ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ただ</v>
      </c>
      <c r="V2" s="81" t="str">
        <f>$K$1</f>
        <v>だいち</v>
      </c>
      <c r="W2" s="16" t="str">
        <f>$P$1</f>
        <v>りくと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197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197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IF($J4="","",ROUND(($J4-$J$3)/1000,1)+(_xlfn.RANK.AVG($J4,($J4,$O4,$T4),1)-2)*10)</f>
        <v>14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-12.5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79</v>
      </c>
      <c r="AF4" s="41" t="s">
        <v>203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-2500</v>
      </c>
      <c r="H5" s="9">
        <v>-1000</v>
      </c>
      <c r="I5" s="48">
        <v>0</v>
      </c>
      <c r="J5" s="21">
        <f t="shared" ref="J5:J30" si="2">IF(COUNTA($F5,$K5,$P5)&gt;0,J4+SUM(G5:I5),"")</f>
        <v>35500</v>
      </c>
      <c r="K5" s="8" t="s">
        <v>198</v>
      </c>
      <c r="L5" s="9">
        <v>4000</v>
      </c>
      <c r="M5" s="9">
        <v>1000</v>
      </c>
      <c r="N5" s="48">
        <v>0</v>
      </c>
      <c r="O5" s="21">
        <f t="shared" ref="O5:O30" si="3">IF(COUNTA($F5,$K5,$P5)&gt;0,O4+SUM(L5:N5),"")</f>
        <v>38500</v>
      </c>
      <c r="P5" s="8" t="s">
        <v>197</v>
      </c>
      <c r="Q5" s="9">
        <v>-1500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13.5</v>
      </c>
      <c r="W5" s="55">
        <f>IF($T5="","",ROUND(($T5-$T$3)/1000,1)+(_xlfn.RANK.AVG($T5,($J5,$O5,$T5),1)-2)*10)</f>
        <v>-14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86</v>
      </c>
      <c r="BB5" s="41" t="s">
        <v>203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205</v>
      </c>
      <c r="G6" s="9">
        <v>-3000</v>
      </c>
      <c r="H6" s="9"/>
      <c r="I6" s="48"/>
      <c r="J6" s="21">
        <f t="shared" si="2"/>
        <v>32500</v>
      </c>
      <c r="K6" s="8" t="s">
        <v>205</v>
      </c>
      <c r="L6" s="9">
        <v>1500</v>
      </c>
      <c r="M6" s="9"/>
      <c r="N6" s="48"/>
      <c r="O6" s="21">
        <f t="shared" si="3"/>
        <v>40000</v>
      </c>
      <c r="P6" s="8" t="s">
        <v>205</v>
      </c>
      <c r="Q6" s="9">
        <v>1500</v>
      </c>
      <c r="R6" s="9"/>
      <c r="S6" s="48"/>
      <c r="T6" s="21">
        <f t="shared" si="4"/>
        <v>32500</v>
      </c>
      <c r="U6" s="53">
        <f>IF($J6="","",ROUND(($J6-$J$3)/1000,1)+(_xlfn.RANK.AVG($J6,($J6,$O6,$T6),1)-2)*10)</f>
        <v>-7.5</v>
      </c>
      <c r="V6" s="54">
        <f>IF($O6="","",ROUND(($O6-$O$3)/1000,1)+(_xlfn.RANK.AVG($O6,($J6,$O6,$T6),1)-2)*10)</f>
        <v>15</v>
      </c>
      <c r="W6" s="55">
        <f>IF($T6="","",ROUND(($T6-$T$3)/1000,1)+(_xlfn.RANK.AVG($T6,($J6,$O6,$T6),1)-2)*10)</f>
        <v>-7.5</v>
      </c>
      <c r="Y6" s="8" t="s">
        <v>207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32500</v>
      </c>
      <c r="K7" s="8" t="s">
        <v>200</v>
      </c>
      <c r="L7" s="9">
        <v>12000</v>
      </c>
      <c r="M7" s="9"/>
      <c r="N7" s="48">
        <v>1000</v>
      </c>
      <c r="O7" s="21">
        <f t="shared" si="3"/>
        <v>53000</v>
      </c>
      <c r="P7" s="8" t="s">
        <v>201</v>
      </c>
      <c r="Q7" s="9">
        <v>-12000</v>
      </c>
      <c r="R7" s="9"/>
      <c r="S7" s="48">
        <v>-1000</v>
      </c>
      <c r="T7" s="21">
        <f t="shared" si="4"/>
        <v>19500</v>
      </c>
      <c r="U7" s="53">
        <f>IF($J7="","",ROUND(($J7-$J$3)/1000,1)+(_xlfn.RANK.AVG($J7,($J7,$O7,$T7),1)-2)*10)</f>
        <v>-2.5</v>
      </c>
      <c r="V7" s="54">
        <f>IF($O7="","",ROUND(($O7-$O$3)/1000,1)+(_xlfn.RANK.AVG($O7,($J7,$O7,$T7),1)-2)*10)</f>
        <v>28</v>
      </c>
      <c r="W7" s="55">
        <f>IF($T7="","",ROUND(($T7-$T$3)/1000,1)+(_xlfn.RANK.AVG($T7,($J7,$O7,$T7),1)-2)*10)</f>
        <v>-25.5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199</v>
      </c>
      <c r="BA7" s="41" t="s">
        <v>79</v>
      </c>
      <c r="BB7" s="41" t="s">
        <v>79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195</v>
      </c>
      <c r="F8" s="8" t="s">
        <v>205</v>
      </c>
      <c r="G8" s="9">
        <v>-1500</v>
      </c>
      <c r="H8" s="9"/>
      <c r="I8" s="48"/>
      <c r="J8" s="21">
        <f t="shared" si="2"/>
        <v>31000</v>
      </c>
      <c r="K8" s="8" t="s">
        <v>205</v>
      </c>
      <c r="L8" s="9">
        <v>-1500</v>
      </c>
      <c r="M8" s="9"/>
      <c r="N8" s="48"/>
      <c r="O8" s="21">
        <f t="shared" si="3"/>
        <v>51500</v>
      </c>
      <c r="P8" s="8" t="s">
        <v>205</v>
      </c>
      <c r="Q8" s="9">
        <v>3000</v>
      </c>
      <c r="R8" s="9">
        <v>-1000</v>
      </c>
      <c r="S8" s="48"/>
      <c r="T8" s="21">
        <f t="shared" si="4"/>
        <v>21500</v>
      </c>
      <c r="U8" s="53">
        <f>IF($J8="","",ROUND(($J8-$J$3)/1000,1)+(_xlfn.RANK.AVG($J8,($J8,$O8,$T8),1)-2)*10)</f>
        <v>-4</v>
      </c>
      <c r="V8" s="54">
        <f>IF($O8="","",ROUND(($O8-$O$3)/1000,1)+(_xlfn.RANK.AVG($O8,($J8,$O8,$T8),1)-2)*10)</f>
        <v>26.5</v>
      </c>
      <c r="W8" s="55">
        <f>IF($T8="","",ROUND(($T8-$T$3)/1000,1)+(_xlfn.RANK.AVG($T8,($J8,$O8,$T8),1)-2)*10)</f>
        <v>-23.5</v>
      </c>
      <c r="Y8" s="8" t="s">
        <v>207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1</v>
      </c>
      <c r="E9" s="4" t="s">
        <v>191</v>
      </c>
      <c r="F9" s="8" t="s">
        <v>201</v>
      </c>
      <c r="G9" s="9">
        <v>-3900</v>
      </c>
      <c r="H9" s="9">
        <v>-1000</v>
      </c>
      <c r="I9" s="48">
        <v>-3000</v>
      </c>
      <c r="J9" s="21">
        <f t="shared" si="2"/>
        <v>23100</v>
      </c>
      <c r="K9" s="8"/>
      <c r="L9" s="9"/>
      <c r="M9" s="9"/>
      <c r="N9" s="48"/>
      <c r="O9" s="21">
        <f t="shared" si="3"/>
        <v>51500</v>
      </c>
      <c r="P9" s="8" t="s">
        <v>200</v>
      </c>
      <c r="Q9" s="9">
        <v>3900</v>
      </c>
      <c r="R9" s="9">
        <v>2000</v>
      </c>
      <c r="S9" s="48">
        <v>3000</v>
      </c>
      <c r="T9" s="21">
        <f t="shared" si="4"/>
        <v>30400</v>
      </c>
      <c r="U9" s="53">
        <f>IF($J9="","",ROUND(($J9-$J$3)/1000,1)+(_xlfn.RANK.AVG($J9,($J9,$O9,$T9),1)-2)*10)</f>
        <v>-21.9</v>
      </c>
      <c r="V9" s="54">
        <f>IF($O9="","",ROUND(($O9-$O$3)/1000,1)+(_xlfn.RANK.AVG($O9,($J9,$O9,$T9),1)-2)*10)</f>
        <v>26.5</v>
      </c>
      <c r="W9" s="55">
        <f>IF($T9="","",ROUND(($T9-$T$3)/1000,1)+(_xlfn.RANK.AVG($T9,($J9,$O9,$T9),1)-2)*10)</f>
        <v>-4.5999999999999996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40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0</v>
      </c>
      <c r="E10" s="4" t="s">
        <v>191</v>
      </c>
      <c r="F10" s="8" t="s">
        <v>200</v>
      </c>
      <c r="G10" s="9">
        <v>8000</v>
      </c>
      <c r="H10" s="9"/>
      <c r="I10" s="48">
        <v>4000</v>
      </c>
      <c r="J10" s="21">
        <f t="shared" si="2"/>
        <v>35100</v>
      </c>
      <c r="K10" s="8"/>
      <c r="L10" s="9"/>
      <c r="M10" s="9"/>
      <c r="N10" s="48"/>
      <c r="O10" s="21">
        <f t="shared" si="3"/>
        <v>51500</v>
      </c>
      <c r="P10" s="8" t="s">
        <v>201</v>
      </c>
      <c r="Q10" s="9">
        <v>-8000</v>
      </c>
      <c r="R10" s="9"/>
      <c r="S10" s="48">
        <v>-4000</v>
      </c>
      <c r="T10" s="21">
        <f t="shared" si="4"/>
        <v>18400</v>
      </c>
      <c r="U10" s="53">
        <f>IF($J10="","",ROUND(($J10-$J$3)/1000,1)+(_xlfn.RANK.AVG($J10,($J10,$O10,$T10),1)-2)*10)</f>
        <v>0.1</v>
      </c>
      <c r="V10" s="54">
        <f>IF($O10="","",ROUND(($O10-$O$3)/1000,1)+(_xlfn.RANK.AVG($O10,($J10,$O10,$T10),1)-2)*10)</f>
        <v>26.5</v>
      </c>
      <c r="W10" s="55">
        <f>IF($T10="","",ROUND(($T10-$T$3)/1000,1)+(_xlfn.RANK.AVG($T10,($J10,$O10,$T10),1)-2)*10)</f>
        <v>-26.6</v>
      </c>
      <c r="Y10" s="8"/>
      <c r="Z10" s="34"/>
      <c r="AA10" s="26">
        <v>1</v>
      </c>
      <c r="AB10" s="26"/>
      <c r="AC10" s="26">
        <v>5</v>
      </c>
      <c r="AD10" s="30" t="s">
        <v>202</v>
      </c>
      <c r="AE10" s="40" t="s">
        <v>199</v>
      </c>
      <c r="AF10" s="41" t="s">
        <v>82</v>
      </c>
      <c r="AG10" s="41" t="s">
        <v>206</v>
      </c>
      <c r="AH10" s="41" t="s">
        <v>83</v>
      </c>
      <c r="AI10" s="41" t="s">
        <v>203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-7500</v>
      </c>
      <c r="H11" s="9"/>
      <c r="I11" s="48">
        <v>0</v>
      </c>
      <c r="J11" s="21">
        <f t="shared" si="2"/>
        <v>27600</v>
      </c>
      <c r="K11" s="8" t="s">
        <v>198</v>
      </c>
      <c r="L11" s="9">
        <v>12000</v>
      </c>
      <c r="M11" s="9"/>
      <c r="N11" s="48">
        <v>0</v>
      </c>
      <c r="O11" s="21">
        <f t="shared" si="3"/>
        <v>63500</v>
      </c>
      <c r="P11" s="8" t="s">
        <v>197</v>
      </c>
      <c r="Q11" s="9">
        <v>-4500</v>
      </c>
      <c r="R11" s="9"/>
      <c r="S11" s="48">
        <v>0</v>
      </c>
      <c r="T11" s="21">
        <f t="shared" si="4"/>
        <v>13900</v>
      </c>
      <c r="U11" s="53">
        <f>IF($J11="","",ROUND(($J11-$J$3)/1000,1)+(_xlfn.RANK.AVG($J11,($J11,$O11,$T11),1)-2)*10)</f>
        <v>-7.4</v>
      </c>
      <c r="V11" s="54">
        <f>IF($O11="","",ROUND(($O11-$O$3)/1000,1)+(_xlfn.RANK.AVG($O11,($J11,$O11,$T11),1)-2)*10)</f>
        <v>38.5</v>
      </c>
      <c r="W11" s="55">
        <f>IF($T11="","",ROUND(($T11-$T$3)/1000,1)+(_xlfn.RANK.AVG($T11,($J11,$O11,$T11),1)-2)*10)</f>
        <v>-31.1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7</v>
      </c>
      <c r="AY11" s="30" t="s">
        <v>202</v>
      </c>
      <c r="AZ11" s="40" t="s">
        <v>82</v>
      </c>
      <c r="BA11" s="41" t="s">
        <v>86</v>
      </c>
      <c r="BB11" s="41" t="s">
        <v>86</v>
      </c>
      <c r="BC11" s="41" t="s">
        <v>86</v>
      </c>
      <c r="BD11" s="41" t="s">
        <v>79</v>
      </c>
      <c r="BE11" s="41" t="s">
        <v>79</v>
      </c>
      <c r="BF11" s="41" t="s">
        <v>203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E7AADAEB-097D-4348-AB1B-314AD7159052}">
      <formula1>"ロン,ツモ,放銃,ツモ支払,流局,チョンボ"</formula1>
    </dataValidation>
    <dataValidation type="list" allowBlank="1" showInputMessage="1" showErrorMessage="1" sqref="E4:E30" xr:uid="{BBB22F3F-79FD-4BB1-87B5-76F3EF6E27E0}">
      <formula1>$U$2:$W$2</formula1>
    </dataValidation>
    <dataValidation type="list" allowBlank="1" showInputMessage="1" sqref="F1:T1" xr:uid="{DD520B5B-168C-41BD-AB0C-387102A56D3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2020-03-11T05:51:25Z</dcterms:modified>
</cp:coreProperties>
</file>