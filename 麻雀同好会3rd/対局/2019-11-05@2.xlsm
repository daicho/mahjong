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7D65116-8554-4147-8769-0FA9FDFC52D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<sst xmlns="http://schemas.openxmlformats.org/spreadsheetml/2006/main" count="579" uniqueCount="206">
  <si>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</si>
  <si>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</si>
  <si>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</si>
  <si>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</si>
  <si>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</si>
  <si>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</si>
  <si>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</si>
  <si>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</si>
  <si>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</si>
  <si>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</si>
  <si>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</si>
  <si>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</si>
  <si>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</si>
  <si>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</si>
  <si>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</si>
  <si>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</si>
  <si>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</si>
  <si>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</si>
  <si>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</si>
  <si>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</si>
  <si>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</si>
  <si>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</si>
  <si>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</si>
  <si>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</si>
  <si>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</si>
  <si>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</si>
  <si>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</si>
  <si>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</si>
  <si>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</si>
  <si>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</si>
  <si>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</si>
  <si>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</si>
  <si>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</si>
  <si>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</si>
  <si>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</si>
  <si>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</si>
  <si>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</si>
  <si>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</si>
  <si>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</si>
  <si>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</si>
  <si>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</si>
  <si>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</si>
  <si>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</si>
  <si>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</si>
  <si>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</si>
  <si>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</si>
  <si>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</si>
  <si>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</si>
  <si>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</si>
  <si>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</si>
  <si>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</si>
  <si>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</si>
  <si>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</si>
  <si>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</si>
  <si>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</si>
  <si>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</si>
  <si>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</si>
  <si>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</si>
  <si>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</si>
  <si>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</si>
  <si>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</si>
  <si>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</si>
  <si>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</si>
  <si>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</si>
  <si>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</si>
  <si>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</si>
  <si>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</si>
  <si>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</si>
  <si>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</si>
  <si>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</si>
  <si>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</si>
  <si>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</si>
  <si>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</si>
  <si>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</si>
  <si>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</si>
  <si>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</si>
  <si>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</si>
  <si>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</si>
  <si>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</si>
  <si>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</si>
  <si>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</si>
  <si>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</si>
  <si>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</si>
  <si>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</si>
  <si>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</si>
  <si>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</si>
  <si>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</si>
  <si>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</si>
  <si>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</si>
  <si>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</si>
  <si>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</si>
  <si>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</si>
  <si>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</si>
  <si>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</si>
  <si>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</si>
  <si>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</si>
  <si>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</si>
  <si>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</si>
  <si>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</si>
  <si>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</si>
  <si>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</si>
  <si>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</si>
  <si>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</si>
  <si>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</si>
  <si>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</si>
  <si>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</si>
  <si>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</si>
  <si>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</si>
  <si>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</si>
  <si>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</si>
  <si>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</si>
  <si>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</si>
  <si>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</si>
  <si>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</si>
  <si>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</si>
  <si>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</si>
  <si>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</si>
  <si>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</si>
  <si>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</si>
  <si>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</si>
  <si>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</si>
  <si>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</si>
  <si>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</si>
  <si>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</si>
  <si>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</si>
  <si>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</si>
  <si>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</si>
  <si>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</si>
  <si>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</si>
  <si>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</si>
  <si>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</si>
  <si>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</si>
  <si>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</si>
  <si>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</si>
  <si>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</si>
  <si>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</si>
  <si>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</si>
  <si>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</si>
  <si>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</si>
  <si>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</si>
  <si>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</si>
  <si>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</si>
  <si>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</si>
  <si>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</si>
  <si>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</si>
  <si>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</si>
  <si>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</si>
  <si>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</si>
  <si>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</si>
  <si>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</si>
  <si>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</si>
  <si>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</si>
  <si>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</si>
  <si>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</si>
  <si>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</si>
  <si>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</si>
  <si>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</si>
  <si>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</si>
  <si>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</si>
  <si>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</si>
  <si>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</si>
  <si>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</si>
  <si>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</si>
  <si>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</si>
  <si>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</si>
  <si>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</si>
  <si>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</si>
  <si>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</si>
  <si>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</si>
  <si>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</si>
  <si>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</si>
  <si>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</si>
  <si>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</si>
  <si>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</si>
  <si>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</si>
  <si>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</si>
  <si>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</si>
  <si>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</si>
  <si>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</si>
  <si>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</si>
  <si>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</si>
  <si>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</si>
  <si>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</si>
  <si>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</si>
  <si>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</si>
  <si>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</si>
  <si>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</si>
  <si>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</si>
  <si>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</si>
  <si>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</si>
  <si>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</si>
  <si>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</si>
  <si>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</si>
  <si>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</si>
  <si>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</si>
  <si>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まっつん</t>
  </si>
  <si>
    <t>まっつん</t>
    <phoneticPr fontId="1"/>
  </si>
  <si>
    <t>N</t>
  </si>
  <si>
    <t>流局</t>
    <phoneticPr fontId="1"/>
  </si>
  <si>
    <t>ロン</t>
  </si>
  <si>
    <t>放銃</t>
  </si>
  <si>
    <t>52</t>
  </si>
  <si>
    <t>ツモ支払</t>
  </si>
  <si>
    <t>ツモ</t>
  </si>
  <si>
    <t>01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</si>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</sst>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B1" zoomScaleNormal="100" workbookViewId="0">
      <selection activeCell="B1" sqref="B1:B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ただ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まっつん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0</v>
      </c>
      <c r="H4" s="9"/>
      <c r="I4" s="48"/>
      <c r="J4" s="21">
        <f>IF(COUNTA($F4,$K4,$P4)&gt;0,J3+SUM(G4:I4),"")</f>
        <v>35000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3200</v>
      </c>
      <c r="H5" s="9"/>
      <c r="I5" s="48">
        <v>1000</v>
      </c>
      <c r="J5" s="21">
        <f t="shared" ref="J5:J30" si="2">IF(COUNTA($F5,$K5,$P5)&gt;0,J4+SUM(G5:I5),"")</f>
        <v>39200</v>
      </c>
      <c r="K5" s="8" t="s">
        <v>200</v>
      </c>
      <c r="L5" s="9">
        <v>-3200</v>
      </c>
      <c r="M5" s="9"/>
      <c r="N5" s="48">
        <v>-1000</v>
      </c>
      <c r="O5" s="21">
        <f t="shared" ref="O5:O30" si="3">IF(COUNTA($F5,$K5,$P5)&gt;0,O4+SUM(L5:N5),"")</f>
        <v>30800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-14.2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3</v>
      </c>
      <c r="AD5" s="30">
        <v>25</v>
      </c>
      <c r="AE5" s="40" t="s">
        <v>101</v>
      </c>
      <c r="AF5" s="41" t="s">
        <v>201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-5800</v>
      </c>
      <c r="H6" s="9"/>
      <c r="I6" s="48">
        <v>0</v>
      </c>
      <c r="J6" s="21">
        <f t="shared" si="2"/>
        <v>33400</v>
      </c>
      <c r="K6" s="8" t="s">
        <v>202</v>
      </c>
      <c r="L6" s="9">
        <v>-5800</v>
      </c>
      <c r="M6" s="9">
        <v>-1000</v>
      </c>
      <c r="N6" s="48">
        <v>0</v>
      </c>
      <c r="O6" s="21">
        <f t="shared" si="3"/>
        <v>24000</v>
      </c>
      <c r="P6" s="8" t="s">
        <v>203</v>
      </c>
      <c r="Q6" s="9">
        <v>11600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-1.6</v>
      </c>
      <c r="V6" s="54">
        <f>IF($O6="","",ROUND(($O6-$O$3)/1000,1)+(_xlfn.RANK.AVG($O6,($J6,$O6,$T6),1)-2)*10)</f>
        <v>-21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204</v>
      </c>
      <c r="BV6" s="41" t="s">
        <v>82</v>
      </c>
      <c r="BW6" s="41" t="s">
        <v>84</v>
      </c>
      <c r="BX6" s="41" t="s">
        <v>201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202</v>
      </c>
      <c r="G7" s="9">
        <v>-1500</v>
      </c>
      <c r="H7" s="9"/>
      <c r="I7" s="48">
        <v>-500</v>
      </c>
      <c r="J7" s="21">
        <f t="shared" si="2"/>
        <v>31400</v>
      </c>
      <c r="K7" s="8" t="s">
        <v>203</v>
      </c>
      <c r="L7" s="9">
        <v>4000</v>
      </c>
      <c r="M7" s="9">
        <v>1000</v>
      </c>
      <c r="N7" s="48">
        <v>1000</v>
      </c>
      <c r="O7" s="21">
        <f t="shared" si="3"/>
        <v>30000</v>
      </c>
      <c r="P7" s="8" t="s">
        <v>202</v>
      </c>
      <c r="Q7" s="9">
        <v>-2500</v>
      </c>
      <c r="R7" s="9">
        <v>-1000</v>
      </c>
      <c r="S7" s="48">
        <v>-500</v>
      </c>
      <c r="T7" s="21">
        <f t="shared" si="4"/>
        <v>43600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-15</v>
      </c>
      <c r="W7" s="55">
        <f>IF($T7="","",ROUND(($T7-$T$3)/1000,1)+(_xlfn.RANK.AVG($T7,($J7,$O7,$T7),1)-2)*10)</f>
        <v>18.600000000000001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204</v>
      </c>
      <c r="BA7" s="41" t="s">
        <v>82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-5200</v>
      </c>
      <c r="H8" s="9"/>
      <c r="I8" s="48">
        <v>0</v>
      </c>
      <c r="J8" s="21">
        <f t="shared" si="2"/>
        <v>26200</v>
      </c>
      <c r="K8" s="8"/>
      <c r="L8" s="9"/>
      <c r="M8" s="9"/>
      <c r="N8" s="48"/>
      <c r="O8" s="21">
        <f t="shared" si="3"/>
        <v>30000</v>
      </c>
      <c r="P8" s="8" t="s">
        <v>199</v>
      </c>
      <c r="Q8" s="9">
        <v>5200</v>
      </c>
      <c r="R8" s="9"/>
      <c r="S8" s="48">
        <v>0</v>
      </c>
      <c r="T8" s="21">
        <f t="shared" si="4"/>
        <v>48800</v>
      </c>
      <c r="U8" s="53">
        <f>IF($J8="","",ROUND(($J8-$J$3)/1000,1)+(_xlfn.RANK.AVG($J8,($J8,$O8,$T8),1)-2)*10)</f>
        <v>-18.8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23.8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85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26200</v>
      </c>
      <c r="K9" s="8" t="s">
        <v>200</v>
      </c>
      <c r="L9" s="9">
        <v>-2600</v>
      </c>
      <c r="M9" s="9"/>
      <c r="N9" s="48">
        <v>0</v>
      </c>
      <c r="O9" s="21">
        <f t="shared" si="3"/>
        <v>27400</v>
      </c>
      <c r="P9" s="8" t="s">
        <v>199</v>
      </c>
      <c r="Q9" s="9">
        <v>2600</v>
      </c>
      <c r="R9" s="9"/>
      <c r="S9" s="48">
        <v>0</v>
      </c>
      <c r="T9" s="21">
        <f t="shared" si="4"/>
        <v>51400</v>
      </c>
      <c r="U9" s="53">
        <f>IF($J9="","",ROUND(($J9-$J$3)/1000,1)+(_xlfn.RANK.AVG($J9,($J9,$O9,$T9),1)-2)*10)</f>
        <v>-18.8</v>
      </c>
      <c r="V9" s="54">
        <f>IF($O9="","",ROUND(($O9-$O$3)/1000,1)+(_xlfn.RANK.AVG($O9,($J9,$O9,$T9),1)-2)*10)</f>
        <v>-7.6</v>
      </c>
      <c r="W9" s="55">
        <f>IF($T9="","",ROUND(($T9-$T$3)/1000,1)+(_xlfn.RANK.AVG($T9,($J9,$O9,$T9),1)-2)*10)</f>
        <v>26.4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204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199</v>
      </c>
      <c r="G10" s="9">
        <v>12000</v>
      </c>
      <c r="H10" s="9"/>
      <c r="I10" s="48">
        <v>0</v>
      </c>
      <c r="J10" s="21">
        <f t="shared" si="2"/>
        <v>38200</v>
      </c>
      <c r="K10" s="8" t="s">
        <v>200</v>
      </c>
      <c r="L10" s="9">
        <v>-12000</v>
      </c>
      <c r="M10" s="9"/>
      <c r="N10" s="48">
        <v>0</v>
      </c>
      <c r="O10" s="21">
        <f t="shared" si="3"/>
        <v>15400</v>
      </c>
      <c r="P10" s="8"/>
      <c r="Q10" s="9"/>
      <c r="R10" s="9"/>
      <c r="S10" s="48"/>
      <c r="T10" s="21">
        <f t="shared" si="4"/>
        <v>51400</v>
      </c>
      <c r="U10" s="53">
        <f>IF($J10="","",ROUND(($J10-$J$3)/1000,1)+(_xlfn.RANK.AVG($J10,($J10,$O10,$T10),1)-2)*10)</f>
        <v>3.2</v>
      </c>
      <c r="V10" s="54">
        <f>IF($O10="","",ROUND(($O10-$O$3)/1000,1)+(_xlfn.RANK.AVG($O10,($J10,$O10,$T10),1)-2)*10)</f>
        <v>-29.6</v>
      </c>
      <c r="W10" s="55">
        <f>IF($T10="","",ROUND(($T10-$T$3)/1000,1)+(_xlfn.RANK.AVG($T10,($J10,$O10,$T10),1)-2)*10)</f>
        <v>26.4</v>
      </c>
      <c r="Y10" s="8"/>
      <c r="Z10" s="34"/>
      <c r="AA10" s="26"/>
      <c r="AB10" s="26">
        <v>1</v>
      </c>
      <c r="AC10" s="26">
        <v>6</v>
      </c>
      <c r="AD10" s="30" t="s">
        <v>205</v>
      </c>
      <c r="AE10" s="40" t="s">
        <v>86</v>
      </c>
      <c r="AF10" s="41" t="s">
        <v>86</v>
      </c>
      <c r="AG10" s="41" t="s">
        <v>79</v>
      </c>
      <c r="AH10" s="41" t="s">
        <v>79</v>
      </c>
      <c r="AI10" s="41" t="s">
        <v>79</v>
      </c>
      <c r="AJ10" s="41" t="s">
        <v>201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92B1D38-9932-4DB1-9EE7-67C5B158E45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2019-11-05T08:41:37Z</dcterms:modified>
</cp:coreProperties>
</file>