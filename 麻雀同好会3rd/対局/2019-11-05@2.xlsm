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対局\"/>
    </mc:Choice>
  </mc:AlternateContent>
  <xr:revisionPtr revIDLastSave="0" documentId="13_ncr:1_{4CCA002A-485E-4941-A877-6517348149BD}" xr6:coauthVersionLast="41" xr6:coauthVersionMax="41" xr10:uidLastSave="{00000000-0000-0000-0000-000000000000}"/>
  <bookViews>
    <workbookView xWindow="45" yWindow="3360" windowWidth="21600" windowHeight="11835" activeTab="4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役一覧" sheetId="15" state="hidden" r:id="rId6"/>
    <sheet name="点数表(親ロン)" sheetId="4" state="hidden" r:id="rId7"/>
    <sheet name="点数表(親ツモ)" sheetId="9" state="hidden" r:id="rId8"/>
    <sheet name="点数表(子→親)" sheetId="7" state="hidden" r:id="rId9"/>
    <sheet name="点数表(子ロン)" sheetId="3" state="hidden" r:id="rId10"/>
    <sheet name="点数表(子ツモ)" sheetId="10" state="hidden" r:id="rId11"/>
    <sheet name="点数表(子→子)" sheetId="5" state="hidden" r:id="rId12"/>
    <sheet name="点数表(親→子)" sheetId="6" state="hidden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3" l="1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 s="1"/>
  <c r="T16" i="23"/>
  <c r="O16" i="23"/>
  <c r="V16" i="23" s="1"/>
  <c r="J16" i="23"/>
  <c r="D16" i="23"/>
  <c r="C16" i="23"/>
  <c r="B16" i="23"/>
  <c r="A16" i="23" s="1"/>
  <c r="T15" i="23"/>
  <c r="W15" i="23" s="1"/>
  <c r="O15" i="23"/>
  <c r="J15" i="23"/>
  <c r="D15" i="23"/>
  <c r="C15" i="23"/>
  <c r="B15" i="23"/>
  <c r="A15" i="23" s="1"/>
  <c r="T14" i="23"/>
  <c r="O14" i="23"/>
  <c r="J14" i="23"/>
  <c r="D14" i="23"/>
  <c r="C14" i="23"/>
  <c r="B14" i="23"/>
  <c r="A14" i="23" s="1"/>
  <c r="T13" i="23"/>
  <c r="W13" i="23" s="1"/>
  <c r="O13" i="23"/>
  <c r="J13" i="23"/>
  <c r="D13" i="23"/>
  <c r="C13" i="23"/>
  <c r="B13" i="23"/>
  <c r="A13" i="23" s="1"/>
  <c r="T12" i="23"/>
  <c r="O12" i="23"/>
  <c r="J12" i="23"/>
  <c r="U12" i="23" s="1"/>
  <c r="D12" i="23"/>
  <c r="C12" i="23"/>
  <c r="B12" i="23"/>
  <c r="A12" i="23" s="1"/>
  <c r="D11" i="23"/>
  <c r="C11" i="23"/>
  <c r="D10" i="23"/>
  <c r="C10" i="23"/>
  <c r="D9" i="23"/>
  <c r="C9" i="23"/>
  <c r="D8" i="23"/>
  <c r="C8" i="23"/>
  <c r="D7" i="23"/>
  <c r="C7" i="23"/>
  <c r="D6" i="23"/>
  <c r="C6" i="23"/>
  <c r="D5" i="23"/>
  <c r="C5" i="23"/>
  <c r="B5" i="23"/>
  <c r="B6" i="23" s="1"/>
  <c r="T4" i="23"/>
  <c r="O4" i="23"/>
  <c r="J4" i="23"/>
  <c r="U4" i="23" s="1"/>
  <c r="W3" i="23"/>
  <c r="V3" i="23"/>
  <c r="U3" i="23"/>
  <c r="W2" i="23"/>
  <c r="V2" i="23"/>
  <c r="U2" i="23"/>
  <c r="BO1" i="23"/>
  <c r="AT1" i="23"/>
  <c r="Y1" i="23"/>
  <c r="U16" i="23" l="1"/>
  <c r="W16" i="23"/>
  <c r="U15" i="23"/>
  <c r="V15" i="23"/>
  <c r="W14" i="23"/>
  <c r="U14" i="23"/>
  <c r="V14" i="23"/>
  <c r="U13" i="23"/>
  <c r="V13" i="23"/>
  <c r="W12" i="23"/>
  <c r="V12" i="23"/>
  <c r="W4" i="23"/>
  <c r="V4" i="23"/>
  <c r="B7" i="23"/>
  <c r="J5" i="23"/>
  <c r="O5" i="23"/>
  <c r="T5" i="23"/>
  <c r="A5" i="23"/>
  <c r="A6" i="23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T12" i="22"/>
  <c r="W12" i="22" s="1"/>
  <c r="O12" i="22"/>
  <c r="V12" i="22" s="1"/>
  <c r="J12" i="22"/>
  <c r="U12" i="22" s="1"/>
  <c r="D12" i="22"/>
  <c r="C12" i="22"/>
  <c r="B12" i="22"/>
  <c r="A12" i="22" s="1"/>
  <c r="T11" i="22"/>
  <c r="O11" i="22"/>
  <c r="J11" i="22"/>
  <c r="U11" i="22" s="1"/>
  <c r="D11" i="22"/>
  <c r="C11" i="22"/>
  <c r="B11" i="22"/>
  <c r="A11" i="22" s="1"/>
  <c r="T10" i="22"/>
  <c r="O10" i="22"/>
  <c r="V10" i="22" s="1"/>
  <c r="J10" i="22"/>
  <c r="D10" i="22"/>
  <c r="C10" i="22"/>
  <c r="B10" i="22"/>
  <c r="A10" i="22" s="1"/>
  <c r="D9" i="22"/>
  <c r="D8" i="22"/>
  <c r="D7" i="22"/>
  <c r="C7" i="22"/>
  <c r="C8" i="22" s="1"/>
  <c r="C9" i="22" s="1"/>
  <c r="D6" i="22"/>
  <c r="C6" i="22"/>
  <c r="B6" i="22"/>
  <c r="B7" i="22" s="1"/>
  <c r="T5" i="22"/>
  <c r="D5" i="22"/>
  <c r="C5" i="22"/>
  <c r="B5" i="22"/>
  <c r="A5" i="22" s="1"/>
  <c r="T4" i="22"/>
  <c r="O4" i="22"/>
  <c r="O5" i="22" s="1"/>
  <c r="J4" i="22"/>
  <c r="U4" i="22" s="1"/>
  <c r="W3" i="22"/>
  <c r="V3" i="22"/>
  <c r="U3" i="22"/>
  <c r="W2" i="22"/>
  <c r="V2" i="22"/>
  <c r="U2" i="22"/>
  <c r="BO1" i="22"/>
  <c r="AT1" i="22"/>
  <c r="Y1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D18" i="21"/>
  <c r="C18" i="21"/>
  <c r="D17" i="21"/>
  <c r="D16" i="21"/>
  <c r="C16" i="21"/>
  <c r="C17" i="21" s="1"/>
  <c r="D15" i="21"/>
  <c r="C15" i="21"/>
  <c r="D14" i="21"/>
  <c r="D13" i="21"/>
  <c r="D10" i="21"/>
  <c r="D11" i="21" s="1"/>
  <c r="D12" i="21" s="1"/>
  <c r="C10" i="21"/>
  <c r="C11" i="21" s="1"/>
  <c r="C12" i="21" s="1"/>
  <c r="C13" i="21" s="1"/>
  <c r="C14" i="21" s="1"/>
  <c r="D9" i="21"/>
  <c r="D8" i="21"/>
  <c r="C8" i="21"/>
  <c r="C9" i="21" s="1"/>
  <c r="D7" i="21"/>
  <c r="D6" i="21"/>
  <c r="C6" i="21"/>
  <c r="C7" i="21" s="1"/>
  <c r="B6" i="21"/>
  <c r="J5" i="21"/>
  <c r="D5" i="21"/>
  <c r="C5" i="21"/>
  <c r="B5" i="21"/>
  <c r="T4" i="21"/>
  <c r="O4" i="21"/>
  <c r="J4" i="21"/>
  <c r="W3" i="21"/>
  <c r="V3" i="21"/>
  <c r="U3" i="21"/>
  <c r="W2" i="21"/>
  <c r="V2" i="21"/>
  <c r="U2" i="21"/>
  <c r="BO1" i="21"/>
  <c r="AT1" i="21"/>
  <c r="Y1" i="21"/>
  <c r="T6" i="23" l="1"/>
  <c r="W5" i="23"/>
  <c r="V5" i="23"/>
  <c r="O6" i="23"/>
  <c r="U5" i="23"/>
  <c r="J6" i="23"/>
  <c r="B8" i="23"/>
  <c r="A7" i="23"/>
  <c r="V11" i="22"/>
  <c r="W11" i="22"/>
  <c r="U10" i="22"/>
  <c r="W10" i="22"/>
  <c r="A6" i="22"/>
  <c r="W4" i="22"/>
  <c r="V4" i="22"/>
  <c r="O6" i="22"/>
  <c r="B8" i="22"/>
  <c r="J5" i="22"/>
  <c r="V5" i="22" s="1"/>
  <c r="A7" i="22"/>
  <c r="T6" i="22"/>
  <c r="A6" i="21"/>
  <c r="A5" i="21"/>
  <c r="V4" i="21"/>
  <c r="W4" i="21"/>
  <c r="O5" i="21"/>
  <c r="U5" i="21" s="1"/>
  <c r="B7" i="21"/>
  <c r="U4" i="21"/>
  <c r="T5" i="21"/>
  <c r="J6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 s="1"/>
  <c r="T18" i="20"/>
  <c r="O18" i="20"/>
  <c r="J18" i="20"/>
  <c r="D18" i="20"/>
  <c r="C18" i="20"/>
  <c r="B18" i="20"/>
  <c r="A18" i="20" s="1"/>
  <c r="T17" i="20"/>
  <c r="O17" i="20"/>
  <c r="J17" i="20"/>
  <c r="D17" i="20"/>
  <c r="C17" i="20"/>
  <c r="B17" i="20"/>
  <c r="A17" i="20" s="1"/>
  <c r="T16" i="20"/>
  <c r="O16" i="20"/>
  <c r="J16" i="20"/>
  <c r="D16" i="20"/>
  <c r="C16" i="20"/>
  <c r="B16" i="20"/>
  <c r="A16" i="20"/>
  <c r="T15" i="20"/>
  <c r="O15" i="20"/>
  <c r="J15" i="20"/>
  <c r="D15" i="20"/>
  <c r="C15" i="20"/>
  <c r="B15" i="20"/>
  <c r="A15" i="20"/>
  <c r="T14" i="20"/>
  <c r="W14" i="20" s="1"/>
  <c r="O14" i="20"/>
  <c r="J14" i="20"/>
  <c r="D14" i="20"/>
  <c r="C14" i="20"/>
  <c r="B14" i="20"/>
  <c r="A14" i="20" s="1"/>
  <c r="T13" i="20"/>
  <c r="O13" i="20"/>
  <c r="J13" i="20"/>
  <c r="D13" i="20"/>
  <c r="C13" i="20"/>
  <c r="B13" i="20"/>
  <c r="A13" i="20" s="1"/>
  <c r="T12" i="20"/>
  <c r="O12" i="20"/>
  <c r="J12" i="20"/>
  <c r="D12" i="20"/>
  <c r="C12" i="20"/>
  <c r="B12" i="20"/>
  <c r="A12" i="20"/>
  <c r="T11" i="20"/>
  <c r="O11" i="20"/>
  <c r="J11" i="20"/>
  <c r="D11" i="20"/>
  <c r="C11" i="20"/>
  <c r="B11" i="20"/>
  <c r="A11" i="20" s="1"/>
  <c r="D10" i="20"/>
  <c r="C10" i="20"/>
  <c r="D9" i="20"/>
  <c r="C9" i="20"/>
  <c r="D8" i="20"/>
  <c r="C8" i="20"/>
  <c r="D7" i="20"/>
  <c r="C7" i="20"/>
  <c r="D6" i="20"/>
  <c r="C6" i="20"/>
  <c r="B6" i="20"/>
  <c r="B7" i="20" s="1"/>
  <c r="T5" i="20"/>
  <c r="D5" i="20"/>
  <c r="C5" i="20"/>
  <c r="B5" i="20"/>
  <c r="A5" i="20"/>
  <c r="T4" i="20"/>
  <c r="O4" i="20"/>
  <c r="O5" i="20" s="1"/>
  <c r="J4" i="20"/>
  <c r="W3" i="20"/>
  <c r="V3" i="20"/>
  <c r="U3" i="20"/>
  <c r="W2" i="20"/>
  <c r="V2" i="20"/>
  <c r="U2" i="20"/>
  <c r="BO1" i="20"/>
  <c r="AT1" i="20"/>
  <c r="Y1" i="20"/>
  <c r="A8" i="23" l="1"/>
  <c r="W6" i="23"/>
  <c r="T7" i="23"/>
  <c r="B9" i="23"/>
  <c r="J7" i="23"/>
  <c r="U6" i="23"/>
  <c r="O7" i="23"/>
  <c r="V6" i="23"/>
  <c r="T7" i="22"/>
  <c r="B9" i="22"/>
  <c r="A9" i="22" s="1"/>
  <c r="O7" i="22"/>
  <c r="U5" i="22"/>
  <c r="J6" i="22"/>
  <c r="V6" i="22" s="1"/>
  <c r="A8" i="22"/>
  <c r="W5" i="22"/>
  <c r="B8" i="21"/>
  <c r="A8" i="21" s="1"/>
  <c r="V5" i="21"/>
  <c r="O6" i="21"/>
  <c r="A7" i="21"/>
  <c r="J7" i="21"/>
  <c r="W5" i="21"/>
  <c r="T6" i="21"/>
  <c r="U18" i="20"/>
  <c r="V18" i="20"/>
  <c r="W18" i="20"/>
  <c r="V17" i="20"/>
  <c r="U17" i="20"/>
  <c r="W17" i="20"/>
  <c r="U16" i="20"/>
  <c r="V16" i="20"/>
  <c r="W16" i="20"/>
  <c r="V15" i="20"/>
  <c r="U15" i="20"/>
  <c r="W15" i="20"/>
  <c r="U14" i="20"/>
  <c r="V14" i="20"/>
  <c r="U13" i="20"/>
  <c r="V13" i="20"/>
  <c r="W13" i="20"/>
  <c r="U12" i="20"/>
  <c r="V12" i="20"/>
  <c r="W12" i="20"/>
  <c r="V11" i="20"/>
  <c r="U11" i="20"/>
  <c r="W11" i="20"/>
  <c r="A6" i="20"/>
  <c r="W4" i="20"/>
  <c r="V4" i="20"/>
  <c r="O6" i="20"/>
  <c r="B8" i="20"/>
  <c r="A7" i="20"/>
  <c r="J5" i="20"/>
  <c r="V5" i="20" s="1"/>
  <c r="U4" i="20"/>
  <c r="T6" i="20"/>
  <c r="W3" i="19"/>
  <c r="V3" i="19"/>
  <c r="U3" i="19"/>
  <c r="B10" i="23" l="1"/>
  <c r="A10" i="23" s="1"/>
  <c r="A9" i="23"/>
  <c r="U7" i="23"/>
  <c r="J8" i="23"/>
  <c r="W7" i="23"/>
  <c r="T8" i="23"/>
  <c r="O8" i="23"/>
  <c r="V7" i="23"/>
  <c r="W6" i="22"/>
  <c r="U6" i="22"/>
  <c r="J7" i="22"/>
  <c r="W7" i="22"/>
  <c r="T8" i="22"/>
  <c r="O8" i="22"/>
  <c r="W6" i="21"/>
  <c r="T7" i="21"/>
  <c r="B9" i="21"/>
  <c r="A9" i="21" s="1"/>
  <c r="J8" i="21"/>
  <c r="U6" i="21"/>
  <c r="V6" i="21"/>
  <c r="O7" i="21"/>
  <c r="W5" i="20"/>
  <c r="U5" i="20"/>
  <c r="J6" i="20"/>
  <c r="T7" i="20"/>
  <c r="O7" i="20"/>
  <c r="B9" i="20"/>
  <c r="A9" i="20" s="1"/>
  <c r="A8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W8" i="23" l="1"/>
  <c r="T9" i="23"/>
  <c r="V8" i="23"/>
  <c r="O9" i="23"/>
  <c r="U8" i="23"/>
  <c r="J9" i="23"/>
  <c r="B11" i="23"/>
  <c r="A11" i="23" s="1"/>
  <c r="U7" i="22"/>
  <c r="J8" i="22"/>
  <c r="V8" i="22" s="1"/>
  <c r="O9" i="22"/>
  <c r="V7" i="22"/>
  <c r="T9" i="22"/>
  <c r="T8" i="21"/>
  <c r="W7" i="21"/>
  <c r="O8" i="21"/>
  <c r="V7" i="21"/>
  <c r="J9" i="21"/>
  <c r="U7" i="21"/>
  <c r="B10" i="21"/>
  <c r="A10" i="21" s="1"/>
  <c r="B10" i="20"/>
  <c r="A10" i="20" s="1"/>
  <c r="U6" i="20"/>
  <c r="J7" i="20"/>
  <c r="V6" i="20"/>
  <c r="O8" i="20"/>
  <c r="W7" i="20"/>
  <c r="T8" i="20"/>
  <c r="W6" i="20"/>
  <c r="U10" i="19"/>
  <c r="V9" i="19"/>
  <c r="U9" i="19"/>
  <c r="W8" i="19"/>
  <c r="U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U9" i="23" l="1"/>
  <c r="J10" i="23"/>
  <c r="V9" i="23"/>
  <c r="O10" i="23"/>
  <c r="W9" i="23"/>
  <c r="T10" i="23"/>
  <c r="W8" i="22"/>
  <c r="U8" i="22"/>
  <c r="J9" i="22"/>
  <c r="U9" i="22" s="1"/>
  <c r="W8" i="21"/>
  <c r="T9" i="21"/>
  <c r="B11" i="21"/>
  <c r="V8" i="21"/>
  <c r="O9" i="21"/>
  <c r="U8" i="21"/>
  <c r="J10" i="21"/>
  <c r="V7" i="20"/>
  <c r="T9" i="20"/>
  <c r="O9" i="20"/>
  <c r="U7" i="20"/>
  <c r="J8" i="20"/>
  <c r="W5" i="19"/>
  <c r="V5" i="19"/>
  <c r="U5" i="19"/>
  <c r="W10" i="23" l="1"/>
  <c r="T11" i="23"/>
  <c r="V10" i="23"/>
  <c r="O11" i="23"/>
  <c r="U10" i="23"/>
  <c r="J11" i="23"/>
  <c r="W9" i="22"/>
  <c r="V9" i="22"/>
  <c r="U9" i="21"/>
  <c r="B12" i="21"/>
  <c r="A12" i="21"/>
  <c r="J11" i="21"/>
  <c r="W9" i="21"/>
  <c r="T10" i="21"/>
  <c r="V9" i="21"/>
  <c r="O10" i="21"/>
  <c r="A11" i="21"/>
  <c r="W8" i="20"/>
  <c r="T10" i="20"/>
  <c r="U8" i="20"/>
  <c r="J9" i="20"/>
  <c r="W9" i="20" s="1"/>
  <c r="V9" i="20"/>
  <c r="O10" i="20"/>
  <c r="V8" i="20"/>
  <c r="V11" i="23" l="1"/>
  <c r="W11" i="23"/>
  <c r="U11" i="23"/>
  <c r="J12" i="21"/>
  <c r="V10" i="21"/>
  <c r="O11" i="21"/>
  <c r="W10" i="21"/>
  <c r="T11" i="21"/>
  <c r="U11" i="21" s="1"/>
  <c r="U10" i="21"/>
  <c r="B13" i="21"/>
  <c r="J10" i="20"/>
  <c r="V10" i="20" s="1"/>
  <c r="U9" i="20"/>
  <c r="B14" i="21" l="1"/>
  <c r="A13" i="21"/>
  <c r="A14" i="21" s="1"/>
  <c r="J13" i="21"/>
  <c r="T12" i="21"/>
  <c r="W11" i="21"/>
  <c r="O12" i="21"/>
  <c r="V11" i="21"/>
  <c r="W10" i="20"/>
  <c r="U10" i="20"/>
  <c r="B15" i="21" l="1"/>
  <c r="V12" i="21"/>
  <c r="O13" i="21"/>
  <c r="W12" i="21"/>
  <c r="T13" i="21"/>
  <c r="U12" i="21"/>
  <c r="U13" i="21"/>
  <c r="J14" i="21"/>
  <c r="T14" i="21" l="1"/>
  <c r="U14" i="21" s="1"/>
  <c r="W13" i="21"/>
  <c r="V13" i="21"/>
  <c r="O14" i="21"/>
  <c r="B16" i="21"/>
  <c r="J15" i="21"/>
  <c r="A15" i="21"/>
  <c r="A16" i="21" s="1"/>
  <c r="J16" i="21" l="1"/>
  <c r="A17" i="21"/>
  <c r="B17" i="21"/>
  <c r="V14" i="21"/>
  <c r="O15" i="21"/>
  <c r="W14" i="21"/>
  <c r="T15" i="21"/>
  <c r="W15" i="21" l="1"/>
  <c r="T16" i="21"/>
  <c r="O16" i="21"/>
  <c r="U16" i="21" s="1"/>
  <c r="V15" i="21"/>
  <c r="B18" i="21"/>
  <c r="A18" i="21"/>
  <c r="J17" i="21"/>
  <c r="U15" i="21"/>
  <c r="J18" i="21" l="1"/>
  <c r="V16" i="21"/>
  <c r="O17" i="21"/>
  <c r="W16" i="21"/>
  <c r="T17" i="21"/>
  <c r="T18" i="21" l="1"/>
  <c r="W18" i="21" s="1"/>
  <c r="W17" i="21"/>
  <c r="V17" i="21"/>
  <c r="O18" i="21"/>
  <c r="V18" i="21" s="1"/>
  <c r="U18" i="21"/>
  <c r="U17" i="21"/>
</calcChain>
</file>

<file path=xl/sharedStrings.xml><?xml version="1.0" encoding="utf-8"?>
<sst xmlns="http://schemas.openxmlformats.org/spreadsheetml/2006/main" count="1072" uniqueCount="213">
  <si>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</si>
  <si>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</si>
  <si>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</si>
  <si>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</si>
  <si>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</si>
  <si>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</si>
  <si>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</si>
  <si>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</si>
  <si>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</si>
  <si>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</si>
  <si>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</si>
  <si>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</si>
  <si>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</si>
  <si>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</si>
  <si>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</si>
  <si>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</si>
  <si>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</si>
  <si>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</si>
  <si>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</si>
  <si>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</si>
  <si>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</si>
  <si>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</si>
  <si>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</si>
  <si>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</si>
  <si>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</si>
  <si>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</si>
  <si>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</si>
  <si>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</si>
  <si>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</si>
  <si>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</si>
  <si>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</si>
  <si>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</si>
  <si>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</si>
  <si>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</si>
  <si>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</si>
  <si>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</si>
  <si>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</si>
  <si>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</si>
  <si>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</si>
  <si>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</si>
  <si>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</si>
  <si>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</si>
  <si>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</si>
  <si>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</si>
  <si>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</si>
  <si>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</si>
  <si>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</si>
  <si>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</si>
  <si>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</si>
  <si>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</si>
  <si>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</si>
  <si>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</si>
  <si>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</si>
  <si>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</si>
  <si>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</si>
  <si>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</si>
  <si>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</si>
  <si>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</si>
  <si>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</si>
  <si>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</si>
  <si>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</si>
  <si>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</si>
  <si>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</si>
  <si>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</si>
  <si>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</si>
  <si>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</si>
  <si>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</si>
  <si>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</si>
  <si>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</si>
  <si>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</si>
  <si>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</si>
  <si>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</si>
  <si>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</si>
  <si>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</si>
  <si>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</si>
  <si>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</si>
  <si>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</si>
  <si>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</si>
  <si>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</si>
  <si>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</si>
  <si>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</si>
  <si>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</si>
  <si>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</si>
  <si>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</si>
  <si>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</si>
  <si>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</si>
  <si>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</si>
  <si>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</si>
  <si>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</si>
  <si>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</si>
  <si>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</si>
  <si>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</si>
  <si>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</si>
  <si>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</si>
  <si>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</si>
  <si>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</si>
  <si>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</si>
  <si>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</si>
  <si>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</si>
  <si>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</si>
  <si>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</si>
  <si>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</si>
  <si>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</si>
  <si>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</si>
  <si>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</si>
  <si>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</si>
  <si>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</si>
  <si>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</si>
  <si>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</si>
  <si>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</si>
  <si>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</si>
  <si>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</si>
  <si>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</si>
  <si>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</si>
  <si>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</si>
  <si>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</si>
  <si>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</si>
  <si>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</si>
  <si>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</si>
  <si>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</si>
  <si>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</si>
  <si>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</si>
  <si>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</si>
  <si>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</si>
  <si>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</si>
  <si>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</si>
  <si>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</si>
  <si>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</si>
  <si>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</si>
  <si>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</si>
  <si>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</si>
  <si>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</si>
  <si>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</si>
  <si>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</si>
  <si>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</si>
  <si>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</si>
  <si>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</si>
  <si>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</si>
  <si>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</si>
  <si>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</si>
  <si>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</si>
  <si>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</si>
  <si>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</si>
  <si>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</si>
  <si>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</si>
  <si>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</si>
  <si>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</si>
  <si>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</si>
  <si>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</si>
  <si>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</si>
  <si>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</si>
  <si>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</si>
  <si>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</si>
  <si>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</si>
  <si>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</si>
  <si>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</si>
  <si>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</si>
  <si>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</si>
  <si>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</si>
  <si>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</si>
  <si>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</si>
  <si>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</si>
  <si>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</si>
  <si>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</si>
  <si>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</si>
  <si>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</si>
  <si>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</si>
  <si>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</si>
  <si>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</si>
  <si>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</si>
  <si>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</si>
  <si>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</si>
  <si>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</si>
  <si>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</si>
  <si>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</si>
  <si>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</si>
  <si>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</si>
  <si>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</si>
  <si>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</si>
  <si>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</si>
  <si>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</si>
  <si>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</si>
  <si>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</si>
  <si>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</si>
  <si>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</si>
  <si>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</si>
  <si>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</si>
  <si>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</si>
  <si>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</si>
  <si>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</si>
  <si>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</si>
  <si>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</si>
  <si>
    <t>だいち</t>
    <phoneticPr fontId="1"/>
  </si>
  <si>
    <t>ただ</t>
  </si>
  <si>
    <t>ただ</t>
    <phoneticPr fontId="1"/>
  </si>
  <si>
    <t>まっつん</t>
  </si>
  <si>
    <t>まっつん</t>
    <phoneticPr fontId="1"/>
  </si>
  <si>
    <t>N</t>
  </si>
  <si>
    <t>流局</t>
    <phoneticPr fontId="1"/>
  </si>
  <si>
    <t>ロン</t>
  </si>
  <si>
    <t>放銃</t>
  </si>
  <si>
    <t>52</t>
  </si>
  <si>
    <t>ツモ支払</t>
  </si>
  <si>
    <t>ツモ</t>
  </si>
  <si>
    <t>01</t>
  </si>
  <si>
    <t>*</t>
  </si>
  <si>
    <t>のり</t>
  </si>
  <si>
    <t>ぱぱ</t>
  </si>
  <si>
    <t>T</t>
  </si>
  <si>
    <t>02</t>
  </si>
  <si>
    <t>のり</t>
    <phoneticPr fontId="1"/>
  </si>
  <si>
    <t>たかの</t>
  </si>
  <si>
    <t>たかの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</si>
</sst>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5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2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opLeftCell="B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9" t="s">
        <v>0</v>
      </c>
      <c r="B1" s="91" t="s">
        <v>2</v>
      </c>
      <c r="C1" s="91" t="s">
        <v>1</v>
      </c>
      <c r="D1" s="91" t="s">
        <v>21</v>
      </c>
      <c r="E1" s="93" t="s">
        <v>3</v>
      </c>
      <c r="F1" s="84" t="s">
        <v>192</v>
      </c>
      <c r="G1" s="85"/>
      <c r="H1" s="85"/>
      <c r="I1" s="86"/>
      <c r="J1" s="87"/>
      <c r="K1" s="84" t="s">
        <v>194</v>
      </c>
      <c r="L1" s="85"/>
      <c r="M1" s="85"/>
      <c r="N1" s="86"/>
      <c r="O1" s="87"/>
      <c r="P1" s="84" t="s">
        <v>196</v>
      </c>
      <c r="Q1" s="85"/>
      <c r="R1" s="85"/>
      <c r="S1" s="86"/>
      <c r="T1" s="87"/>
      <c r="U1" s="84" t="s">
        <v>6</v>
      </c>
      <c r="V1" s="85"/>
      <c r="W1" s="87"/>
      <c r="Y1" s="84" t="str">
        <f>F1</f>
        <v>だいち</v>
      </c>
      <c r="Z1" s="88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7"/>
      <c r="AT1" s="84" t="str">
        <f>K1</f>
        <v>ただ</v>
      </c>
      <c r="AU1" s="88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85"/>
      <c r="BM1" s="85"/>
      <c r="BN1" s="87"/>
      <c r="BO1" s="84" t="str">
        <f>P1</f>
        <v>まっつん</v>
      </c>
      <c r="BP1" s="88"/>
      <c r="BQ1" s="85"/>
      <c r="BR1" s="85"/>
      <c r="BS1" s="85"/>
      <c r="BT1" s="85"/>
      <c r="BU1" s="85"/>
      <c r="BV1" s="85"/>
      <c r="BW1" s="85"/>
      <c r="BX1" s="85"/>
      <c r="BY1" s="85"/>
      <c r="BZ1" s="85"/>
      <c r="CA1" s="85"/>
      <c r="CB1" s="85"/>
      <c r="CC1" s="85"/>
      <c r="CD1" s="85"/>
      <c r="CE1" s="85"/>
      <c r="CF1" s="85"/>
      <c r="CG1" s="85"/>
      <c r="CH1" s="85"/>
      <c r="CI1" s="87"/>
    </row>
    <row r="2" spans="1:87" x14ac:dyDescent="0.4">
      <c r="A2" s="90"/>
      <c r="B2" s="92"/>
      <c r="C2" s="92"/>
      <c r="D2" s="92"/>
      <c r="E2" s="9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ただ</v>
      </c>
      <c r="W2" s="16" t="str">
        <f>$P$1</f>
        <v>まっつん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3" t="s">
        <v>20</v>
      </c>
      <c r="AF2" s="83"/>
      <c r="AG2" s="83"/>
      <c r="AH2" s="83"/>
      <c r="AI2" s="83"/>
      <c r="AJ2" s="83"/>
      <c r="AK2" s="83"/>
      <c r="AL2" s="83"/>
      <c r="AM2" s="83"/>
      <c r="AN2" s="83"/>
      <c r="AO2" s="83"/>
      <c r="AP2" s="83"/>
      <c r="AQ2" s="83"/>
      <c r="AR2" s="83"/>
      <c r="AS2" s="83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3" t="s">
        <v>20</v>
      </c>
      <c r="BA2" s="83"/>
      <c r="BB2" s="83"/>
      <c r="BC2" s="83"/>
      <c r="BD2" s="83"/>
      <c r="BE2" s="83"/>
      <c r="BF2" s="83"/>
      <c r="BG2" s="83"/>
      <c r="BH2" s="83"/>
      <c r="BI2" s="83"/>
      <c r="BJ2" s="83"/>
      <c r="BK2" s="83"/>
      <c r="BL2" s="83"/>
      <c r="BM2" s="83"/>
      <c r="BN2" s="83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3" t="s">
        <v>20</v>
      </c>
      <c r="BV2" s="83"/>
      <c r="BW2" s="83"/>
      <c r="BX2" s="83"/>
      <c r="BY2" s="83"/>
      <c r="BZ2" s="83"/>
      <c r="CA2" s="83"/>
      <c r="CB2" s="83"/>
      <c r="CC2" s="83"/>
      <c r="CD2" s="83"/>
      <c r="CE2" s="83"/>
      <c r="CF2" s="83"/>
      <c r="CG2" s="83"/>
      <c r="CH2" s="83"/>
      <c r="CI2" s="8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198</v>
      </c>
      <c r="G4" s="9">
        <v>0</v>
      </c>
      <c r="H4" s="9"/>
      <c r="I4" s="48"/>
      <c r="J4" s="21">
        <f>IF(COUNTA($F4,$K4,$P4)&gt;0,J3+SUM(G4:I4),"")</f>
        <v>35000</v>
      </c>
      <c r="K4" s="8" t="s">
        <v>198</v>
      </c>
      <c r="L4" s="9">
        <v>0</v>
      </c>
      <c r="M4" s="9"/>
      <c r="N4" s="48"/>
      <c r="O4" s="21">
        <f>IF(COUNTA($F4,$K4,$P4)&gt;0,O3+SUM(L4:N4),"")</f>
        <v>35000</v>
      </c>
      <c r="P4" s="8" t="s">
        <v>198</v>
      </c>
      <c r="Q4" s="9">
        <v>0</v>
      </c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0</v>
      </c>
      <c r="Y4" s="8" t="s">
        <v>197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197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197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199</v>
      </c>
      <c r="G5" s="9">
        <v>3200</v>
      </c>
      <c r="H5" s="9"/>
      <c r="I5" s="48">
        <v>1000</v>
      </c>
      <c r="J5" s="21">
        <f t="shared" ref="J5:J30" si="2">IF(COUNTA($F5,$K5,$P5)&gt;0,J4+SUM(G5:I5),"")</f>
        <v>39200</v>
      </c>
      <c r="K5" s="8" t="s">
        <v>200</v>
      </c>
      <c r="L5" s="9">
        <v>-3200</v>
      </c>
      <c r="M5" s="9"/>
      <c r="N5" s="48">
        <v>-1000</v>
      </c>
      <c r="O5" s="21">
        <f t="shared" ref="O5:O30" si="3">IF(COUNTA($F5,$K5,$P5)&gt;0,O4+SUM(L5:N5),"")</f>
        <v>30800</v>
      </c>
      <c r="P5" s="8"/>
      <c r="Q5" s="9"/>
      <c r="R5" s="9"/>
      <c r="S5" s="48"/>
      <c r="T5" s="21">
        <f t="shared" ref="T5:T30" si="4">IF(COUNTA($F5,$K5,$P5)&gt;0,T4+SUM(Q5:S5),"")</f>
        <v>35000</v>
      </c>
      <c r="U5" s="53">
        <f>IF($J5="","",ROUND(($J5-$J$3)/1000,1)+(_xlfn.RANK.AVG($J5,($J5,$O5,$T5),1)-2)*10)</f>
        <v>14.2</v>
      </c>
      <c r="V5" s="54">
        <f>IF($O5="","",ROUND(($O5-$O$3)/1000,1)+(_xlfn.RANK.AVG($O5,($J5,$O5,$T5),1)-2)*10)</f>
        <v>-14.2</v>
      </c>
      <c r="W5" s="55">
        <f>IF($T5="","",ROUND(($T5-$T$3)/1000,1)+(_xlfn.RANK.AVG($T5,($J5,$O5,$T5),1)-2)*10)</f>
        <v>0</v>
      </c>
      <c r="Y5" s="8"/>
      <c r="Z5" s="34"/>
      <c r="AA5" s="26"/>
      <c r="AB5" s="26"/>
      <c r="AC5" s="26">
        <v>3</v>
      </c>
      <c r="AD5" s="30">
        <v>25</v>
      </c>
      <c r="AE5" s="40" t="s">
        <v>101</v>
      </c>
      <c r="AF5" s="41" t="s">
        <v>201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202</v>
      </c>
      <c r="G6" s="9">
        <v>-5800</v>
      </c>
      <c r="H6" s="9"/>
      <c r="I6" s="48">
        <v>0</v>
      </c>
      <c r="J6" s="21">
        <f t="shared" si="2"/>
        <v>33400</v>
      </c>
      <c r="K6" s="8" t="s">
        <v>202</v>
      </c>
      <c r="L6" s="9">
        <v>-5800</v>
      </c>
      <c r="M6" s="9">
        <v>-1000</v>
      </c>
      <c r="N6" s="48">
        <v>0</v>
      </c>
      <c r="O6" s="21">
        <f t="shared" si="3"/>
        <v>24000</v>
      </c>
      <c r="P6" s="8" t="s">
        <v>203</v>
      </c>
      <c r="Q6" s="9">
        <v>11600</v>
      </c>
      <c r="R6" s="9">
        <v>1000</v>
      </c>
      <c r="S6" s="48">
        <v>0</v>
      </c>
      <c r="T6" s="21">
        <f t="shared" si="4"/>
        <v>47600</v>
      </c>
      <c r="U6" s="53">
        <f>IF($J6="","",ROUND(($J6-$J$3)/1000,1)+(_xlfn.RANK.AVG($J6,($J6,$O6,$T6),1)-2)*10)</f>
        <v>-1.6</v>
      </c>
      <c r="V6" s="54">
        <f>IF($O6="","",ROUND(($O6-$O$3)/1000,1)+(_xlfn.RANK.AVG($O6,($J6,$O6,$T6),1)-2)*10)</f>
        <v>-21</v>
      </c>
      <c r="W6" s="55">
        <f>IF($T6="","",ROUND(($T6-$T$3)/1000,1)+(_xlfn.RANK.AVG($T6,($J6,$O6,$T6),1)-2)*10)</f>
        <v>22.6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4</v>
      </c>
      <c r="BT6" s="30">
        <v>30</v>
      </c>
      <c r="BU6" s="40" t="s">
        <v>204</v>
      </c>
      <c r="BV6" s="41" t="s">
        <v>82</v>
      </c>
      <c r="BW6" s="41" t="s">
        <v>84</v>
      </c>
      <c r="BX6" s="41" t="s">
        <v>201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195</v>
      </c>
      <c r="F7" s="8" t="s">
        <v>202</v>
      </c>
      <c r="G7" s="9">
        <v>-1500</v>
      </c>
      <c r="H7" s="9"/>
      <c r="I7" s="48">
        <v>-500</v>
      </c>
      <c r="J7" s="21">
        <f t="shared" si="2"/>
        <v>31400</v>
      </c>
      <c r="K7" s="8" t="s">
        <v>203</v>
      </c>
      <c r="L7" s="9">
        <v>4000</v>
      </c>
      <c r="M7" s="9">
        <v>1000</v>
      </c>
      <c r="N7" s="48">
        <v>1000</v>
      </c>
      <c r="O7" s="21">
        <f t="shared" si="3"/>
        <v>30000</v>
      </c>
      <c r="P7" s="8" t="s">
        <v>202</v>
      </c>
      <c r="Q7" s="9">
        <v>-2500</v>
      </c>
      <c r="R7" s="9">
        <v>-1000</v>
      </c>
      <c r="S7" s="48">
        <v>-500</v>
      </c>
      <c r="T7" s="21">
        <f t="shared" si="4"/>
        <v>43600</v>
      </c>
      <c r="U7" s="53">
        <f>IF($J7="","",ROUND(($J7-$J$3)/1000,1)+(_xlfn.RANK.AVG($J7,($J7,$O7,$T7),1)-2)*10)</f>
        <v>-3.6</v>
      </c>
      <c r="V7" s="54">
        <f>IF($O7="","",ROUND(($O7-$O$3)/1000,1)+(_xlfn.RANK.AVG($O7,($J7,$O7,$T7),1)-2)*10)</f>
        <v>-15</v>
      </c>
      <c r="W7" s="55">
        <f>IF($T7="","",ROUND(($T7-$T$3)/1000,1)+(_xlfn.RANK.AVG($T7,($J7,$O7,$T7),1)-2)*10)</f>
        <v>18.600000000000001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3</v>
      </c>
      <c r="AY7" s="30">
        <v>30</v>
      </c>
      <c r="AZ7" s="40" t="s">
        <v>204</v>
      </c>
      <c r="BA7" s="41" t="s">
        <v>82</v>
      </c>
      <c r="BB7" s="41" t="s">
        <v>201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200</v>
      </c>
      <c r="G8" s="9">
        <v>-5200</v>
      </c>
      <c r="H8" s="9"/>
      <c r="I8" s="48">
        <v>0</v>
      </c>
      <c r="J8" s="21">
        <f t="shared" si="2"/>
        <v>26200</v>
      </c>
      <c r="K8" s="8"/>
      <c r="L8" s="9"/>
      <c r="M8" s="9"/>
      <c r="N8" s="48"/>
      <c r="O8" s="21">
        <f t="shared" si="3"/>
        <v>30000</v>
      </c>
      <c r="P8" s="8" t="s">
        <v>199</v>
      </c>
      <c r="Q8" s="9">
        <v>5200</v>
      </c>
      <c r="R8" s="9"/>
      <c r="S8" s="48">
        <v>0</v>
      </c>
      <c r="T8" s="21">
        <f t="shared" si="4"/>
        <v>48800</v>
      </c>
      <c r="U8" s="53">
        <f>IF($J8="","",ROUND(($J8-$J$3)/1000,1)+(_xlfn.RANK.AVG($J8,($J8,$O8,$T8),1)-2)*10)</f>
        <v>-18.8</v>
      </c>
      <c r="V8" s="54">
        <f>IF($O8="","",ROUND(($O8-$O$3)/1000,1)+(_xlfn.RANK.AVG($O8,($J8,$O8,$T8),1)-2)*10)</f>
        <v>-5</v>
      </c>
      <c r="W8" s="55">
        <f>IF($T8="","",ROUND(($T8-$T$3)/1000,1)+(_xlfn.RANK.AVG($T8,($J8,$O8,$T8),1)-2)*10)</f>
        <v>23.8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3</v>
      </c>
      <c r="BT8" s="30">
        <v>40</v>
      </c>
      <c r="BU8" s="40" t="s">
        <v>204</v>
      </c>
      <c r="BV8" s="41" t="s">
        <v>85</v>
      </c>
      <c r="BW8" s="41" t="s">
        <v>79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193</v>
      </c>
      <c r="F9" s="8"/>
      <c r="G9" s="9"/>
      <c r="H9" s="9"/>
      <c r="I9" s="48"/>
      <c r="J9" s="21">
        <f t="shared" si="2"/>
        <v>26200</v>
      </c>
      <c r="K9" s="8" t="s">
        <v>200</v>
      </c>
      <c r="L9" s="9">
        <v>-2600</v>
      </c>
      <c r="M9" s="9"/>
      <c r="N9" s="48">
        <v>0</v>
      </c>
      <c r="O9" s="21">
        <f t="shared" si="3"/>
        <v>27400</v>
      </c>
      <c r="P9" s="8" t="s">
        <v>199</v>
      </c>
      <c r="Q9" s="9">
        <v>2600</v>
      </c>
      <c r="R9" s="9"/>
      <c r="S9" s="48">
        <v>0</v>
      </c>
      <c r="T9" s="21">
        <f t="shared" si="4"/>
        <v>51400</v>
      </c>
      <c r="U9" s="53">
        <f>IF($J9="","",ROUND(($J9-$J$3)/1000,1)+(_xlfn.RANK.AVG($J9,($J9,$O9,$T9),1)-2)*10)</f>
        <v>-18.8</v>
      </c>
      <c r="V9" s="54">
        <f>IF($O9="","",ROUND(($O9-$O$3)/1000,1)+(_xlfn.RANK.AVG($O9,($J9,$O9,$T9),1)-2)*10)</f>
        <v>-7.6</v>
      </c>
      <c r="W9" s="55">
        <f>IF($T9="","",ROUND(($T9-$T$3)/1000,1)+(_xlfn.RANK.AVG($T9,($J9,$O9,$T9),1)-2)*10)</f>
        <v>26.4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2</v>
      </c>
      <c r="BT9" s="30">
        <v>40</v>
      </c>
      <c r="BU9" s="40" t="s">
        <v>204</v>
      </c>
      <c r="BV9" s="41" t="s">
        <v>201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195</v>
      </c>
      <c r="F10" s="8" t="s">
        <v>199</v>
      </c>
      <c r="G10" s="9">
        <v>12000</v>
      </c>
      <c r="H10" s="9"/>
      <c r="I10" s="48">
        <v>0</v>
      </c>
      <c r="J10" s="21">
        <f t="shared" si="2"/>
        <v>38200</v>
      </c>
      <c r="K10" s="8" t="s">
        <v>200</v>
      </c>
      <c r="L10" s="9">
        <v>-12000</v>
      </c>
      <c r="M10" s="9"/>
      <c r="N10" s="48">
        <v>0</v>
      </c>
      <c r="O10" s="21">
        <f t="shared" si="3"/>
        <v>15400</v>
      </c>
      <c r="P10" s="8"/>
      <c r="Q10" s="9"/>
      <c r="R10" s="9"/>
      <c r="S10" s="48"/>
      <c r="T10" s="21">
        <f t="shared" si="4"/>
        <v>51400</v>
      </c>
      <c r="U10" s="53">
        <f>IF($J10="","",ROUND(($J10-$J$3)/1000,1)+(_xlfn.RANK.AVG($J10,($J10,$O10,$T10),1)-2)*10)</f>
        <v>3.2</v>
      </c>
      <c r="V10" s="54">
        <f>IF($O10="","",ROUND(($O10-$O$3)/1000,1)+(_xlfn.RANK.AVG($O10,($J10,$O10,$T10),1)-2)*10)</f>
        <v>-29.6</v>
      </c>
      <c r="W10" s="55">
        <f>IF($T10="","",ROUND(($T10-$T$3)/1000,1)+(_xlfn.RANK.AVG($T10,($J10,$O10,$T10),1)-2)*10)</f>
        <v>26.4</v>
      </c>
      <c r="Y10" s="8"/>
      <c r="Z10" s="34"/>
      <c r="AA10" s="26"/>
      <c r="AB10" s="26">
        <v>1</v>
      </c>
      <c r="AC10" s="26">
        <v>6</v>
      </c>
      <c r="AD10" s="30" t="s">
        <v>205</v>
      </c>
      <c r="AE10" s="40" t="s">
        <v>86</v>
      </c>
      <c r="AF10" s="41" t="s">
        <v>86</v>
      </c>
      <c r="AG10" s="41" t="s">
        <v>79</v>
      </c>
      <c r="AH10" s="41" t="s">
        <v>79</v>
      </c>
      <c r="AI10" s="41" t="s">
        <v>79</v>
      </c>
      <c r="AJ10" s="41" t="s">
        <v>201</v>
      </c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73FE0951-F381-43BA-B237-030CCD09A7CF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4001C-82FB-4F4F-A78A-B65F93A95440}">
  <sheetPr codeName="Sheet11">
    <pageSetUpPr fitToPage="1"/>
  </sheetPr>
  <dimension ref="A1:CI30"/>
  <sheetViews>
    <sheetView topLeftCell="B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9" t="s">
        <v>0</v>
      </c>
      <c r="B1" s="91" t="s">
        <v>2</v>
      </c>
      <c r="C1" s="91" t="s">
        <v>1</v>
      </c>
      <c r="D1" s="91" t="s">
        <v>21</v>
      </c>
      <c r="E1" s="93" t="s">
        <v>3</v>
      </c>
      <c r="F1" s="84" t="s">
        <v>206</v>
      </c>
      <c r="G1" s="85"/>
      <c r="H1" s="85"/>
      <c r="I1" s="86"/>
      <c r="J1" s="87"/>
      <c r="K1" s="84" t="s">
        <v>207</v>
      </c>
      <c r="L1" s="85"/>
      <c r="M1" s="85"/>
      <c r="N1" s="86"/>
      <c r="O1" s="87"/>
      <c r="P1" s="84" t="s">
        <v>191</v>
      </c>
      <c r="Q1" s="85"/>
      <c r="R1" s="85"/>
      <c r="S1" s="86"/>
      <c r="T1" s="87"/>
      <c r="U1" s="84" t="s">
        <v>6</v>
      </c>
      <c r="V1" s="85"/>
      <c r="W1" s="87"/>
      <c r="Y1" s="84" t="str">
        <f>F1</f>
        <v>のり</v>
      </c>
      <c r="Z1" s="88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7"/>
      <c r="AT1" s="84" t="str">
        <f>K1</f>
        <v>ぱぱ</v>
      </c>
      <c r="AU1" s="88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85"/>
      <c r="BM1" s="85"/>
      <c r="BN1" s="87"/>
      <c r="BO1" s="84" t="str">
        <f>P1</f>
        <v>だいち</v>
      </c>
      <c r="BP1" s="88"/>
      <c r="BQ1" s="85"/>
      <c r="BR1" s="85"/>
      <c r="BS1" s="85"/>
      <c r="BT1" s="85"/>
      <c r="BU1" s="85"/>
      <c r="BV1" s="85"/>
      <c r="BW1" s="85"/>
      <c r="BX1" s="85"/>
      <c r="BY1" s="85"/>
      <c r="BZ1" s="85"/>
      <c r="CA1" s="85"/>
      <c r="CB1" s="85"/>
      <c r="CC1" s="85"/>
      <c r="CD1" s="85"/>
      <c r="CE1" s="85"/>
      <c r="CF1" s="85"/>
      <c r="CG1" s="85"/>
      <c r="CH1" s="85"/>
      <c r="CI1" s="87"/>
    </row>
    <row r="2" spans="1:87" x14ac:dyDescent="0.4">
      <c r="A2" s="90"/>
      <c r="B2" s="92"/>
      <c r="C2" s="92"/>
      <c r="D2" s="92"/>
      <c r="E2" s="9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のり</v>
      </c>
      <c r="V2" s="69" t="str">
        <f>$K$1</f>
        <v>ぱぱ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3" t="s">
        <v>20</v>
      </c>
      <c r="AF2" s="83"/>
      <c r="AG2" s="83"/>
      <c r="AH2" s="83"/>
      <c r="AI2" s="83"/>
      <c r="AJ2" s="83"/>
      <c r="AK2" s="83"/>
      <c r="AL2" s="83"/>
      <c r="AM2" s="83"/>
      <c r="AN2" s="83"/>
      <c r="AO2" s="83"/>
      <c r="AP2" s="83"/>
      <c r="AQ2" s="83"/>
      <c r="AR2" s="83"/>
      <c r="AS2" s="83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3" t="s">
        <v>20</v>
      </c>
      <c r="BA2" s="83"/>
      <c r="BB2" s="83"/>
      <c r="BC2" s="83"/>
      <c r="BD2" s="83"/>
      <c r="BE2" s="83"/>
      <c r="BF2" s="83"/>
      <c r="BG2" s="83"/>
      <c r="BH2" s="83"/>
      <c r="BI2" s="83"/>
      <c r="BJ2" s="83"/>
      <c r="BK2" s="83"/>
      <c r="BL2" s="83"/>
      <c r="BM2" s="83"/>
      <c r="BN2" s="83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3" t="s">
        <v>20</v>
      </c>
      <c r="BV2" s="83"/>
      <c r="BW2" s="83"/>
      <c r="BX2" s="83"/>
      <c r="BY2" s="83"/>
      <c r="BZ2" s="83"/>
      <c r="CA2" s="83"/>
      <c r="CB2" s="83"/>
      <c r="CC2" s="83"/>
      <c r="CD2" s="83"/>
      <c r="CE2" s="83"/>
      <c r="CF2" s="83"/>
      <c r="CG2" s="83"/>
      <c r="CH2" s="83"/>
      <c r="CI2" s="8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200</v>
      </c>
      <c r="G4" s="9">
        <v>-5800</v>
      </c>
      <c r="H4" s="9"/>
      <c r="I4" s="48">
        <v>0</v>
      </c>
      <c r="J4" s="21">
        <f>IF(COUNTA($F4,$K4,$P4)&gt;0,J3+SUM(G4:I4),"")</f>
        <v>29200</v>
      </c>
      <c r="K4" s="8"/>
      <c r="L4" s="9"/>
      <c r="M4" s="9">
        <v>-1000</v>
      </c>
      <c r="N4" s="48"/>
      <c r="O4" s="21">
        <f>IF(COUNTA($F4,$K4,$P4)&gt;0,O3+SUM(L4:N4),"")</f>
        <v>34000</v>
      </c>
      <c r="P4" s="8" t="s">
        <v>199</v>
      </c>
      <c r="Q4" s="9">
        <v>5800</v>
      </c>
      <c r="R4" s="9">
        <v>1000</v>
      </c>
      <c r="S4" s="48">
        <v>0</v>
      </c>
      <c r="T4" s="21">
        <f>IF(COUNTA($F4,$K4,$P4)&gt;0,T3+SUM(Q4:S4),"")</f>
        <v>41800</v>
      </c>
      <c r="U4" s="53">
        <f>IF($J4="","",ROUND(($J4-$J$3)/1000,1)+(_xlfn.RANK.AVG($J4,($J4,$O4,$T4),1)-2)*10)</f>
        <v>-15.8</v>
      </c>
      <c r="V4" s="54">
        <f>IF($O4="","",ROUND(($O4-$O$3)/1000,1)+(_xlfn.RANK.AVG($O4,($J4,$O4,$T4),1)-2)*10)</f>
        <v>-1</v>
      </c>
      <c r="W4" s="55">
        <f>IF($T4="","",ROUND(($T4-$T$3)/1000,1)+(_xlfn.RANK.AVG($T4,($J4,$O4,$T4),1)-2)*10)</f>
        <v>16.8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3</v>
      </c>
      <c r="BT4" s="30">
        <v>30</v>
      </c>
      <c r="BU4" s="40" t="s">
        <v>83</v>
      </c>
      <c r="BV4" s="41" t="s">
        <v>79</v>
      </c>
      <c r="BW4" s="41" t="s">
        <v>79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200</v>
      </c>
      <c r="G5" s="9">
        <v>-18000</v>
      </c>
      <c r="H5" s="9"/>
      <c r="I5" s="48">
        <v>-1000</v>
      </c>
      <c r="J5" s="21">
        <f t="shared" ref="J5:J30" si="2">IF(COUNTA($F5,$K5,$P5)&gt;0,J4+SUM(G5:I5),"")</f>
        <v>10200</v>
      </c>
      <c r="K5" s="8"/>
      <c r="L5" s="9"/>
      <c r="M5" s="9"/>
      <c r="N5" s="48"/>
      <c r="O5" s="21">
        <f t="shared" ref="O5:O30" si="3">IF(COUNTA($F5,$K5,$P5)&gt;0,O4+SUM(L5:N5),"")</f>
        <v>34000</v>
      </c>
      <c r="P5" s="8" t="s">
        <v>199</v>
      </c>
      <c r="Q5" s="9">
        <v>18000</v>
      </c>
      <c r="R5" s="9"/>
      <c r="S5" s="48">
        <v>1000</v>
      </c>
      <c r="T5" s="21">
        <f t="shared" ref="T5:T30" si="4">IF(COUNTA($F5,$K5,$P5)&gt;0,T4+SUM(Q5:S5),"")</f>
        <v>60800</v>
      </c>
      <c r="U5" s="53">
        <f>IF($J5="","",ROUND(($J5-$J$3)/1000,1)+(_xlfn.RANK.AVG($J5,($J5,$O5,$T5),1)-2)*10)</f>
        <v>-34.799999999999997</v>
      </c>
      <c r="V5" s="54">
        <f>IF($O5="","",ROUND(($O5-$O$3)/1000,1)+(_xlfn.RANK.AVG($O5,($J5,$O5,$T5),1)-2)*10)</f>
        <v>-1</v>
      </c>
      <c r="W5" s="55">
        <f>IF($T5="","",ROUND(($T5-$T$3)/1000,1)+(_xlfn.RANK.AVG($T5,($J5,$O5,$T5),1)-2)*10)</f>
        <v>35.799999999999997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6</v>
      </c>
      <c r="BT5" s="30" t="s">
        <v>205</v>
      </c>
      <c r="BU5" s="40" t="s">
        <v>85</v>
      </c>
      <c r="BV5" s="41" t="s">
        <v>201</v>
      </c>
      <c r="BW5" s="41" t="s">
        <v>79</v>
      </c>
      <c r="BX5" s="41" t="s">
        <v>79</v>
      </c>
      <c r="BY5" s="41" t="s">
        <v>79</v>
      </c>
      <c r="BZ5" s="41" t="s">
        <v>79</v>
      </c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191</v>
      </c>
      <c r="F6" s="8"/>
      <c r="G6" s="9"/>
      <c r="H6" s="9"/>
      <c r="I6" s="48"/>
      <c r="J6" s="21">
        <f t="shared" si="2"/>
        <v>10200</v>
      </c>
      <c r="K6" s="8" t="s">
        <v>200</v>
      </c>
      <c r="L6" s="9">
        <v>-3900</v>
      </c>
      <c r="M6" s="9"/>
      <c r="N6" s="48">
        <v>-2000</v>
      </c>
      <c r="O6" s="21">
        <f t="shared" si="3"/>
        <v>28100</v>
      </c>
      <c r="P6" s="8" t="s">
        <v>199</v>
      </c>
      <c r="Q6" s="9">
        <v>3900</v>
      </c>
      <c r="R6" s="9"/>
      <c r="S6" s="48">
        <v>2000</v>
      </c>
      <c r="T6" s="21">
        <f t="shared" si="4"/>
        <v>66700</v>
      </c>
      <c r="U6" s="53">
        <f>IF($J6="","",ROUND(($J6-$J$3)/1000,1)+(_xlfn.RANK.AVG($J6,($J6,$O6,$T6),1)-2)*10)</f>
        <v>-34.799999999999997</v>
      </c>
      <c r="V6" s="54">
        <f>IF($O6="","",ROUND(($O6-$O$3)/1000,1)+(_xlfn.RANK.AVG($O6,($J6,$O6,$T6),1)-2)*10)</f>
        <v>-6.9</v>
      </c>
      <c r="W6" s="55">
        <f>IF($T6="","",ROUND(($T6-$T$3)/1000,1)+(_xlfn.RANK.AVG($T6,($J6,$O6,$T6),1)-2)*10)</f>
        <v>41.7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2</v>
      </c>
      <c r="BT6" s="30">
        <v>40</v>
      </c>
      <c r="BU6" s="40" t="s">
        <v>204</v>
      </c>
      <c r="BV6" s="41" t="s">
        <v>201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191</v>
      </c>
      <c r="F7" s="8" t="s">
        <v>199</v>
      </c>
      <c r="G7" s="9">
        <v>8000</v>
      </c>
      <c r="H7" s="9"/>
      <c r="I7" s="48">
        <v>3000</v>
      </c>
      <c r="J7" s="21">
        <f t="shared" si="2"/>
        <v>21200</v>
      </c>
      <c r="K7" s="8" t="s">
        <v>200</v>
      </c>
      <c r="L7" s="9">
        <v>-8000</v>
      </c>
      <c r="M7" s="9"/>
      <c r="N7" s="48">
        <v>-3000</v>
      </c>
      <c r="O7" s="21">
        <f t="shared" si="3"/>
        <v>17100</v>
      </c>
      <c r="P7" s="8"/>
      <c r="Q7" s="9"/>
      <c r="R7" s="9"/>
      <c r="S7" s="48"/>
      <c r="T7" s="21">
        <f t="shared" si="4"/>
        <v>66700</v>
      </c>
      <c r="U7" s="53">
        <f>IF($J7="","",ROUND(($J7-$J$3)/1000,1)+(_xlfn.RANK.AVG($J7,($J7,$O7,$T7),1)-2)*10)</f>
        <v>-13.8</v>
      </c>
      <c r="V7" s="54">
        <f>IF($O7="","",ROUND(($O7-$O$3)/1000,1)+(_xlfn.RANK.AVG($O7,($J7,$O7,$T7),1)-2)*10)</f>
        <v>-27.9</v>
      </c>
      <c r="W7" s="55">
        <f>IF($T7="","",ROUND(($T7-$T$3)/1000,1)+(_xlfn.RANK.AVG($T7,($J7,$O7,$T7),1)-2)*10)</f>
        <v>41.7</v>
      </c>
      <c r="Y7" s="8"/>
      <c r="Z7" s="34"/>
      <c r="AA7" s="26">
        <v>1</v>
      </c>
      <c r="AB7" s="26"/>
      <c r="AC7" s="26">
        <v>5</v>
      </c>
      <c r="AD7" s="30" t="s">
        <v>205</v>
      </c>
      <c r="AE7" s="40" t="s">
        <v>204</v>
      </c>
      <c r="AF7" s="41" t="s">
        <v>83</v>
      </c>
      <c r="AG7" s="41" t="s">
        <v>85</v>
      </c>
      <c r="AH7" s="41" t="s">
        <v>84</v>
      </c>
      <c r="AI7" s="41" t="s">
        <v>201</v>
      </c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206</v>
      </c>
      <c r="F8" s="8" t="s">
        <v>203</v>
      </c>
      <c r="G8" s="9">
        <v>6000</v>
      </c>
      <c r="H8" s="9">
        <v>1000</v>
      </c>
      <c r="I8" s="48">
        <v>0</v>
      </c>
      <c r="J8" s="21">
        <f t="shared" si="2"/>
        <v>28200</v>
      </c>
      <c r="K8" s="8" t="s">
        <v>202</v>
      </c>
      <c r="L8" s="9">
        <v>-3000</v>
      </c>
      <c r="M8" s="9">
        <v>-1000</v>
      </c>
      <c r="N8" s="48">
        <v>0</v>
      </c>
      <c r="O8" s="21">
        <f t="shared" si="3"/>
        <v>13100</v>
      </c>
      <c r="P8" s="8" t="s">
        <v>202</v>
      </c>
      <c r="Q8" s="9">
        <v>-3000</v>
      </c>
      <c r="R8" s="9"/>
      <c r="S8" s="48">
        <v>0</v>
      </c>
      <c r="T8" s="21">
        <f t="shared" si="4"/>
        <v>63700</v>
      </c>
      <c r="U8" s="53">
        <f>IF($J8="","",ROUND(($J8-$J$3)/1000,1)+(_xlfn.RANK.AVG($J8,($J8,$O8,$T8),1)-2)*10)</f>
        <v>-6.8</v>
      </c>
      <c r="V8" s="54">
        <f>IF($O8="","",ROUND(($O8-$O$3)/1000,1)+(_xlfn.RANK.AVG($O8,($J8,$O8,$T8),1)-2)*10)</f>
        <v>-31.9</v>
      </c>
      <c r="W8" s="55">
        <f>IF($T8="","",ROUND(($T8-$T$3)/1000,1)+(_xlfn.RANK.AVG($T8,($J8,$O8,$T8),1)-2)*10)</f>
        <v>38.700000000000003</v>
      </c>
      <c r="Y8" s="8"/>
      <c r="Z8" s="34"/>
      <c r="AA8" s="26">
        <v>1</v>
      </c>
      <c r="AB8" s="26"/>
      <c r="AC8" s="26">
        <v>3</v>
      </c>
      <c r="AD8" s="30">
        <v>30</v>
      </c>
      <c r="AE8" s="40" t="s">
        <v>204</v>
      </c>
      <c r="AF8" s="41" t="s">
        <v>82</v>
      </c>
      <c r="AG8" s="41" t="s">
        <v>79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">
        <v>206</v>
      </c>
      <c r="F9" s="8" t="s">
        <v>202</v>
      </c>
      <c r="G9" s="9">
        <v>-1700</v>
      </c>
      <c r="H9" s="9"/>
      <c r="I9" s="48">
        <v>-500</v>
      </c>
      <c r="J9" s="21">
        <f t="shared" si="2"/>
        <v>26000</v>
      </c>
      <c r="K9" s="8" t="s">
        <v>202</v>
      </c>
      <c r="L9" s="9">
        <v>-1100</v>
      </c>
      <c r="M9" s="9"/>
      <c r="N9" s="48">
        <v>-500</v>
      </c>
      <c r="O9" s="21">
        <f t="shared" si="3"/>
        <v>11500</v>
      </c>
      <c r="P9" s="8" t="s">
        <v>203</v>
      </c>
      <c r="Q9" s="9">
        <v>2800</v>
      </c>
      <c r="R9" s="9"/>
      <c r="S9" s="48">
        <v>1000</v>
      </c>
      <c r="T9" s="21">
        <f t="shared" si="4"/>
        <v>67500</v>
      </c>
      <c r="U9" s="53">
        <f>IF($J9="","",ROUND(($J9-$J$3)/1000,1)+(_xlfn.RANK.AVG($J9,($J9,$O9,$T9),1)-2)*10)</f>
        <v>-9</v>
      </c>
      <c r="V9" s="54">
        <f>IF($O9="","",ROUND(($O9-$O$3)/1000,1)+(_xlfn.RANK.AVG($O9,($J9,$O9,$T9),1)-2)*10)</f>
        <v>-33.5</v>
      </c>
      <c r="W9" s="55">
        <f>IF($T9="","",ROUND(($T9-$T$3)/1000,1)+(_xlfn.RANK.AVG($T9,($J9,$O9,$T9),1)-2)*10)</f>
        <v>42.5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2</v>
      </c>
      <c r="BT9" s="30">
        <v>40</v>
      </c>
      <c r="BU9" s="40" t="s">
        <v>82</v>
      </c>
      <c r="BV9" s="41" t="s">
        <v>86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207</v>
      </c>
      <c r="F10" s="8" t="s">
        <v>198</v>
      </c>
      <c r="G10" s="9">
        <v>-3000</v>
      </c>
      <c r="H10" s="9"/>
      <c r="I10" s="48"/>
      <c r="J10" s="21">
        <f t="shared" si="2"/>
        <v>23000</v>
      </c>
      <c r="K10" s="8" t="s">
        <v>198</v>
      </c>
      <c r="L10" s="9">
        <v>1500</v>
      </c>
      <c r="M10" s="9">
        <v>-1000</v>
      </c>
      <c r="N10" s="48"/>
      <c r="O10" s="21">
        <f t="shared" si="3"/>
        <v>12000</v>
      </c>
      <c r="P10" s="8" t="s">
        <v>198</v>
      </c>
      <c r="Q10" s="9">
        <v>1500</v>
      </c>
      <c r="R10" s="9"/>
      <c r="S10" s="48"/>
      <c r="T10" s="21">
        <f t="shared" si="4"/>
        <v>69000</v>
      </c>
      <c r="U10" s="53">
        <f>IF($J10="","",ROUND(($J10-$J$3)/1000,1)+(_xlfn.RANK.AVG($J10,($J10,$O10,$T10),1)-2)*10)</f>
        <v>-12</v>
      </c>
      <c r="V10" s="54">
        <f>IF($O10="","",ROUND(($O10-$O$3)/1000,1)+(_xlfn.RANK.AVG($O10,($J10,$O10,$T10),1)-2)*10)</f>
        <v>-33</v>
      </c>
      <c r="W10" s="55">
        <f>IF($T10="","",ROUND(($T10-$T$3)/1000,1)+(_xlfn.RANK.AVG($T10,($J10,$O10,$T10),1)-2)*10)</f>
        <v>44</v>
      </c>
      <c r="Y10" s="8" t="s">
        <v>197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208</v>
      </c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208</v>
      </c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東</v>
      </c>
      <c r="B11" s="18">
        <f t="shared" si="5"/>
        <v>3</v>
      </c>
      <c r="C11" s="18">
        <f t="shared" si="6"/>
        <v>1</v>
      </c>
      <c r="D11" s="18">
        <f t="shared" si="1"/>
        <v>1</v>
      </c>
      <c r="E11" s="4" t="s">
        <v>207</v>
      </c>
      <c r="F11" s="8" t="s">
        <v>198</v>
      </c>
      <c r="G11" s="9">
        <v>1500</v>
      </c>
      <c r="H11" s="9"/>
      <c r="I11" s="48"/>
      <c r="J11" s="21">
        <f t="shared" si="2"/>
        <v>24500</v>
      </c>
      <c r="K11" s="8" t="s">
        <v>198</v>
      </c>
      <c r="L11" s="9">
        <v>1500</v>
      </c>
      <c r="M11" s="9"/>
      <c r="N11" s="48"/>
      <c r="O11" s="21">
        <f t="shared" si="3"/>
        <v>13500</v>
      </c>
      <c r="P11" s="8" t="s">
        <v>198</v>
      </c>
      <c r="Q11" s="9">
        <v>-3000</v>
      </c>
      <c r="R11" s="9"/>
      <c r="S11" s="48"/>
      <c r="T11" s="21">
        <f t="shared" si="4"/>
        <v>66000</v>
      </c>
      <c r="U11" s="53">
        <f>IF($J11="","",ROUND(($J11-$J$3)/1000,1)+(_xlfn.RANK.AVG($J11,($J11,$O11,$T11),1)-2)*10)</f>
        <v>-10.5</v>
      </c>
      <c r="V11" s="54">
        <f>IF($O11="","",ROUND(($O11-$O$3)/1000,1)+(_xlfn.RANK.AVG($O11,($J11,$O11,$T11),1)-2)*10)</f>
        <v>-31.5</v>
      </c>
      <c r="W11" s="55">
        <f>IF($T11="","",ROUND(($T11-$T$3)/1000,1)+(_xlfn.RANK.AVG($T11,($J11,$O11,$T11),1)-2)*10)</f>
        <v>41</v>
      </c>
      <c r="Y11" s="8" t="s">
        <v>208</v>
      </c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208</v>
      </c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197</v>
      </c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東</v>
      </c>
      <c r="B12" s="18">
        <f t="shared" si="5"/>
        <v>3</v>
      </c>
      <c r="C12" s="18">
        <f t="shared" si="6"/>
        <v>2</v>
      </c>
      <c r="D12" s="18">
        <f t="shared" si="1"/>
        <v>1</v>
      </c>
      <c r="E12" s="4" t="s">
        <v>207</v>
      </c>
      <c r="F12" s="8" t="s">
        <v>202</v>
      </c>
      <c r="G12" s="9">
        <v>-3000</v>
      </c>
      <c r="H12" s="9"/>
      <c r="I12" s="48">
        <v>-1000</v>
      </c>
      <c r="J12" s="21">
        <f t="shared" si="2"/>
        <v>20500</v>
      </c>
      <c r="K12" s="8" t="s">
        <v>203</v>
      </c>
      <c r="L12" s="9">
        <v>6000</v>
      </c>
      <c r="M12" s="9">
        <v>1000</v>
      </c>
      <c r="N12" s="48">
        <v>2000</v>
      </c>
      <c r="O12" s="21">
        <f t="shared" si="3"/>
        <v>22500</v>
      </c>
      <c r="P12" s="8" t="s">
        <v>202</v>
      </c>
      <c r="Q12" s="9">
        <v>-3000</v>
      </c>
      <c r="R12" s="9"/>
      <c r="S12" s="48">
        <v>-1000</v>
      </c>
      <c r="T12" s="21">
        <f t="shared" si="4"/>
        <v>62000</v>
      </c>
      <c r="U12" s="53">
        <f>IF($J12="","",ROUND(($J12-$J$3)/1000,1)+(_xlfn.RANK.AVG($J12,($J12,$O12,$T12),1)-2)*10)</f>
        <v>-24.5</v>
      </c>
      <c r="V12" s="54">
        <f>IF($O12="","",ROUND(($O12-$O$3)/1000,1)+(_xlfn.RANK.AVG($O12,($J12,$O12,$T12),1)-2)*10)</f>
        <v>-12.5</v>
      </c>
      <c r="W12" s="55">
        <f>IF($T12="","",ROUND(($T12-$T$3)/1000,1)+(_xlfn.RANK.AVG($T12,($J12,$O12,$T12),1)-2)*10)</f>
        <v>37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>
        <v>3</v>
      </c>
      <c r="AY12" s="30">
        <v>30</v>
      </c>
      <c r="AZ12" s="40" t="s">
        <v>82</v>
      </c>
      <c r="BA12" s="41" t="s">
        <v>79</v>
      </c>
      <c r="BB12" s="41" t="s">
        <v>201</v>
      </c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東</v>
      </c>
      <c r="B13" s="18">
        <f t="shared" si="5"/>
        <v>3</v>
      </c>
      <c r="C13" s="18">
        <f t="shared" si="6"/>
        <v>3</v>
      </c>
      <c r="D13" s="18">
        <f t="shared" si="1"/>
        <v>0</v>
      </c>
      <c r="E13" s="4" t="s">
        <v>207</v>
      </c>
      <c r="F13" s="8" t="s">
        <v>202</v>
      </c>
      <c r="G13" s="9">
        <v>-9000</v>
      </c>
      <c r="H13" s="9"/>
      <c r="I13" s="48">
        <v>-1500</v>
      </c>
      <c r="J13" s="21">
        <f t="shared" si="2"/>
        <v>10000</v>
      </c>
      <c r="K13" s="8" t="s">
        <v>203</v>
      </c>
      <c r="L13" s="9">
        <v>18000</v>
      </c>
      <c r="M13" s="9"/>
      <c r="N13" s="48">
        <v>3000</v>
      </c>
      <c r="O13" s="21">
        <f t="shared" si="3"/>
        <v>43500</v>
      </c>
      <c r="P13" s="8" t="s">
        <v>202</v>
      </c>
      <c r="Q13" s="9">
        <v>-9000</v>
      </c>
      <c r="R13" s="9"/>
      <c r="S13" s="48">
        <v>-1500</v>
      </c>
      <c r="T13" s="21">
        <f t="shared" si="4"/>
        <v>51500</v>
      </c>
      <c r="U13" s="53">
        <f>IF($J13="","",ROUND(($J13-$J$3)/1000,1)+(_xlfn.RANK.AVG($J13,($J13,$O13,$T13),1)-2)*10)</f>
        <v>-35</v>
      </c>
      <c r="V13" s="54">
        <f>IF($O13="","",ROUND(($O13-$O$3)/1000,1)+(_xlfn.RANK.AVG($O13,($J13,$O13,$T13),1)-2)*10)</f>
        <v>8.5</v>
      </c>
      <c r="W13" s="55">
        <f>IF($T13="","",ROUND(($T13-$T$3)/1000,1)+(_xlfn.RANK.AVG($T13,($J13,$O13,$T13),1)-2)*10)</f>
        <v>26.5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>
        <v>6</v>
      </c>
      <c r="AY13" s="30" t="s">
        <v>205</v>
      </c>
      <c r="AZ13" s="40" t="s">
        <v>204</v>
      </c>
      <c r="BA13" s="41" t="s">
        <v>82</v>
      </c>
      <c r="BB13" s="41" t="s">
        <v>101</v>
      </c>
      <c r="BC13" s="41" t="s">
        <v>79</v>
      </c>
      <c r="BD13" s="41" t="s">
        <v>79</v>
      </c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東</v>
      </c>
      <c r="B14" s="18">
        <f t="shared" si="5"/>
        <v>3</v>
      </c>
      <c r="C14" s="18">
        <f t="shared" si="6"/>
        <v>4</v>
      </c>
      <c r="D14" s="18">
        <f t="shared" si="1"/>
        <v>0</v>
      </c>
      <c r="E14" s="4" t="s">
        <v>207</v>
      </c>
      <c r="F14" s="8" t="s">
        <v>200</v>
      </c>
      <c r="G14" s="9">
        <v>-3900</v>
      </c>
      <c r="H14" s="9"/>
      <c r="I14" s="48">
        <v>-4000</v>
      </c>
      <c r="J14" s="21">
        <f t="shared" si="2"/>
        <v>2100</v>
      </c>
      <c r="K14" s="8"/>
      <c r="L14" s="9"/>
      <c r="M14" s="9"/>
      <c r="N14" s="48"/>
      <c r="O14" s="21">
        <f t="shared" si="3"/>
        <v>43500</v>
      </c>
      <c r="P14" s="8" t="s">
        <v>199</v>
      </c>
      <c r="Q14" s="9">
        <v>3900</v>
      </c>
      <c r="R14" s="9"/>
      <c r="S14" s="48">
        <v>4000</v>
      </c>
      <c r="T14" s="21">
        <f t="shared" si="4"/>
        <v>59400</v>
      </c>
      <c r="U14" s="53">
        <f>IF($J14="","",ROUND(($J14-$J$3)/1000,1)+(_xlfn.RANK.AVG($J14,($J14,$O14,$T14),1)-2)*10)</f>
        <v>-42.9</v>
      </c>
      <c r="V14" s="54">
        <f>IF($O14="","",ROUND(($O14-$O$3)/1000,1)+(_xlfn.RANK.AVG($O14,($J14,$O14,$T14),1)-2)*10)</f>
        <v>8.5</v>
      </c>
      <c r="W14" s="55">
        <f>IF($T14="","",ROUND(($T14-$T$3)/1000,1)+(_xlfn.RANK.AVG($T14,($J14,$O14,$T14),1)-2)*10)</f>
        <v>34.4</v>
      </c>
      <c r="Y14" s="8"/>
      <c r="Z14" s="34"/>
      <c r="AA14" s="26"/>
      <c r="AB14" s="26">
        <v>1</v>
      </c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>
        <v>1</v>
      </c>
      <c r="BR14" s="26"/>
      <c r="BS14" s="26">
        <v>3</v>
      </c>
      <c r="BT14" s="30">
        <v>30</v>
      </c>
      <c r="BU14" s="40" t="s">
        <v>204</v>
      </c>
      <c r="BV14" s="41" t="s">
        <v>83</v>
      </c>
      <c r="BW14" s="41" t="s">
        <v>79</v>
      </c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1</v>
      </c>
      <c r="C15" s="18">
        <f t="shared" si="6"/>
        <v>0</v>
      </c>
      <c r="D15" s="18">
        <f t="shared" si="1"/>
        <v>0</v>
      </c>
      <c r="E15" s="4" t="s">
        <v>191</v>
      </c>
      <c r="F15" s="8" t="s">
        <v>199</v>
      </c>
      <c r="G15" s="9">
        <v>6400</v>
      </c>
      <c r="H15" s="9"/>
      <c r="I15" s="48">
        <v>0</v>
      </c>
      <c r="J15" s="21">
        <f t="shared" si="2"/>
        <v>8500</v>
      </c>
      <c r="K15" s="8" t="s">
        <v>200</v>
      </c>
      <c r="L15" s="9">
        <v>-6400</v>
      </c>
      <c r="M15" s="9"/>
      <c r="N15" s="48">
        <v>0</v>
      </c>
      <c r="O15" s="21">
        <f t="shared" si="3"/>
        <v>37100</v>
      </c>
      <c r="P15" s="8"/>
      <c r="Q15" s="9"/>
      <c r="R15" s="9"/>
      <c r="S15" s="48"/>
      <c r="T15" s="21">
        <f t="shared" si="4"/>
        <v>59400</v>
      </c>
      <c r="U15" s="53">
        <f>IF($J15="","",ROUND(($J15-$J$3)/1000,1)+(_xlfn.RANK.AVG($J15,($J15,$O15,$T15),1)-2)*10)</f>
        <v>-36.5</v>
      </c>
      <c r="V15" s="54">
        <f>IF($O15="","",ROUND(($O15-$O$3)/1000,1)+(_xlfn.RANK.AVG($O15,($J15,$O15,$T15),1)-2)*10)</f>
        <v>2.1</v>
      </c>
      <c r="W15" s="55">
        <f>IF($T15="","",ROUND(($T15-$T$3)/1000,1)+(_xlfn.RANK.AVG($T15,($J15,$O15,$T15),1)-2)*10)</f>
        <v>34.4</v>
      </c>
      <c r="Y15" s="8"/>
      <c r="Z15" s="34"/>
      <c r="AA15" s="26"/>
      <c r="AB15" s="26"/>
      <c r="AC15" s="26">
        <v>4</v>
      </c>
      <c r="AD15" s="30">
        <v>25</v>
      </c>
      <c r="AE15" s="40" t="s">
        <v>101</v>
      </c>
      <c r="AF15" s="41" t="s">
        <v>79</v>
      </c>
      <c r="AG15" s="41" t="s">
        <v>79</v>
      </c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南</v>
      </c>
      <c r="B16" s="18">
        <f t="shared" si="5"/>
        <v>2</v>
      </c>
      <c r="C16" s="18">
        <f t="shared" si="6"/>
        <v>0</v>
      </c>
      <c r="D16" s="18">
        <f t="shared" si="1"/>
        <v>0</v>
      </c>
      <c r="E16" s="4" t="s">
        <v>206</v>
      </c>
      <c r="F16" s="8" t="s">
        <v>199</v>
      </c>
      <c r="G16" s="9">
        <v>3900</v>
      </c>
      <c r="H16" s="9"/>
      <c r="I16" s="48">
        <v>0</v>
      </c>
      <c r="J16" s="21">
        <f t="shared" si="2"/>
        <v>12400</v>
      </c>
      <c r="K16" s="8"/>
      <c r="L16" s="9"/>
      <c r="M16" s="9"/>
      <c r="N16" s="48"/>
      <c r="O16" s="21">
        <f t="shared" si="3"/>
        <v>37100</v>
      </c>
      <c r="P16" s="8" t="s">
        <v>200</v>
      </c>
      <c r="Q16" s="9">
        <v>-3900</v>
      </c>
      <c r="R16" s="9"/>
      <c r="S16" s="48">
        <v>0</v>
      </c>
      <c r="T16" s="21">
        <f t="shared" si="4"/>
        <v>55500</v>
      </c>
      <c r="U16" s="53">
        <f>IF($J16="","",ROUND(($J16-$J$3)/1000,1)+(_xlfn.RANK.AVG($J16,($J16,$O16,$T16),1)-2)*10)</f>
        <v>-32.6</v>
      </c>
      <c r="V16" s="54">
        <f>IF($O16="","",ROUND(($O16-$O$3)/1000,1)+(_xlfn.RANK.AVG($O16,($J16,$O16,$T16),1)-2)*10)</f>
        <v>2.1</v>
      </c>
      <c r="W16" s="55">
        <f>IF($T16="","",ROUND(($T16-$T$3)/1000,1)+(_xlfn.RANK.AVG($T16,($J16,$O16,$T16),1)-2)*10)</f>
        <v>30.5</v>
      </c>
      <c r="Y16" s="8"/>
      <c r="Z16" s="34"/>
      <c r="AA16" s="26">
        <v>1</v>
      </c>
      <c r="AB16" s="26"/>
      <c r="AC16" s="26">
        <v>2</v>
      </c>
      <c r="AD16" s="30">
        <v>40</v>
      </c>
      <c r="AE16" s="40" t="s">
        <v>204</v>
      </c>
      <c r="AF16" s="41" t="s">
        <v>84</v>
      </c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>南</v>
      </c>
      <c r="B17" s="18">
        <f t="shared" si="5"/>
        <v>2</v>
      </c>
      <c r="C17" s="18">
        <f t="shared" si="6"/>
        <v>1</v>
      </c>
      <c r="D17" s="18">
        <f t="shared" si="1"/>
        <v>0</v>
      </c>
      <c r="E17" s="4" t="s">
        <v>206</v>
      </c>
      <c r="F17" s="8" t="s">
        <v>200</v>
      </c>
      <c r="G17" s="9">
        <v>-7700</v>
      </c>
      <c r="H17" s="9">
        <v>-1000</v>
      </c>
      <c r="I17" s="48">
        <v>-1000</v>
      </c>
      <c r="J17" s="21">
        <f t="shared" si="2"/>
        <v>2700</v>
      </c>
      <c r="K17" s="8" t="s">
        <v>199</v>
      </c>
      <c r="L17" s="9">
        <v>7700</v>
      </c>
      <c r="M17" s="9">
        <v>1000</v>
      </c>
      <c r="N17" s="48">
        <v>1000</v>
      </c>
      <c r="O17" s="21">
        <f t="shared" si="3"/>
        <v>46800</v>
      </c>
      <c r="P17" s="8"/>
      <c r="Q17" s="9"/>
      <c r="R17" s="9"/>
      <c r="S17" s="48"/>
      <c r="T17" s="21">
        <f t="shared" si="4"/>
        <v>55500</v>
      </c>
      <c r="U17" s="53">
        <f>IF($J17="","",ROUND(($J17-$J$3)/1000,1)+(_xlfn.RANK.AVG($J17,($J17,$O17,$T17),1)-2)*10)</f>
        <v>-42.3</v>
      </c>
      <c r="V17" s="54">
        <f>IF($O17="","",ROUND(($O17-$O$3)/1000,1)+(_xlfn.RANK.AVG($O17,($J17,$O17,$T17),1)-2)*10)</f>
        <v>11.8</v>
      </c>
      <c r="W17" s="55">
        <f>IF($T17="","",ROUND(($T17-$T$3)/1000,1)+(_xlfn.RANK.AVG($T17,($J17,$O17,$T17),1)-2)*10)</f>
        <v>30.5</v>
      </c>
      <c r="Y17" s="8"/>
      <c r="Z17" s="34"/>
      <c r="AA17" s="26">
        <v>1</v>
      </c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>
        <v>4</v>
      </c>
      <c r="AY17" s="30">
        <v>30</v>
      </c>
      <c r="AZ17" s="40" t="s">
        <v>83</v>
      </c>
      <c r="BA17" s="41" t="s">
        <v>79</v>
      </c>
      <c r="BB17" s="41" t="s">
        <v>201</v>
      </c>
      <c r="BC17" s="41" t="s">
        <v>201</v>
      </c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>南</v>
      </c>
      <c r="B18" s="18">
        <f t="shared" si="5"/>
        <v>3</v>
      </c>
      <c r="C18" s="18">
        <f t="shared" si="6"/>
        <v>0</v>
      </c>
      <c r="D18" s="18">
        <f t="shared" si="1"/>
        <v>0</v>
      </c>
      <c r="E18" s="4" t="s">
        <v>207</v>
      </c>
      <c r="F18" s="8" t="s">
        <v>202</v>
      </c>
      <c r="G18" s="9">
        <v>-9000</v>
      </c>
      <c r="H18" s="9">
        <v>-1000</v>
      </c>
      <c r="I18" s="48">
        <v>0</v>
      </c>
      <c r="J18" s="21">
        <f t="shared" si="2"/>
        <v>-7300</v>
      </c>
      <c r="K18" s="8" t="s">
        <v>203</v>
      </c>
      <c r="L18" s="9">
        <v>18000</v>
      </c>
      <c r="M18" s="9">
        <v>1000</v>
      </c>
      <c r="N18" s="48">
        <v>0</v>
      </c>
      <c r="O18" s="21">
        <f t="shared" si="3"/>
        <v>65800</v>
      </c>
      <c r="P18" s="8" t="s">
        <v>202</v>
      </c>
      <c r="Q18" s="9">
        <v>-9000</v>
      </c>
      <c r="R18" s="9"/>
      <c r="S18" s="48">
        <v>0</v>
      </c>
      <c r="T18" s="21">
        <f t="shared" si="4"/>
        <v>46500</v>
      </c>
      <c r="U18" s="53">
        <f>IF($J18="","",ROUND(($J18-$J$3)/1000,1)+(_xlfn.RANK.AVG($J18,($J18,$O18,$T18),1)-2)*10)</f>
        <v>-52.3</v>
      </c>
      <c r="V18" s="54">
        <f>IF($O18="","",ROUND(($O18-$O$3)/1000,1)+(_xlfn.RANK.AVG($O18,($J18,$O18,$T18),1)-2)*10)</f>
        <v>40.799999999999997</v>
      </c>
      <c r="W18" s="55">
        <f>IF($T18="","",ROUND(($T18-$T$3)/1000,1)+(_xlfn.RANK.AVG($T18,($J18,$O18,$T18),1)-2)*10)</f>
        <v>11.5</v>
      </c>
      <c r="Y18" s="8"/>
      <c r="Z18" s="34"/>
      <c r="AA18" s="26">
        <v>1</v>
      </c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>
        <v>1</v>
      </c>
      <c r="AW18" s="26"/>
      <c r="AX18" s="26">
        <v>6</v>
      </c>
      <c r="AY18" s="30" t="s">
        <v>205</v>
      </c>
      <c r="AZ18" s="40" t="s">
        <v>204</v>
      </c>
      <c r="BA18" s="41" t="s">
        <v>82</v>
      </c>
      <c r="BB18" s="41" t="s">
        <v>79</v>
      </c>
      <c r="BC18" s="41" t="s">
        <v>79</v>
      </c>
      <c r="BD18" s="41" t="s">
        <v>201</v>
      </c>
      <c r="BE18" s="41" t="s">
        <v>201</v>
      </c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showInputMessage="1" showErrorMessage="1" sqref="K4:K30 P4:P30 F4:F30" xr:uid="{ACF60BDB-A6E0-4226-8705-4933D1DA876C}">
      <formula1>"ロン,ツモ,放銃,ツモ支払,流局,チョンボ"</formula1>
    </dataValidation>
    <dataValidation type="list" allowBlank="1" showInputMessage="1" showErrorMessage="1" sqref="E4:E30" xr:uid="{0DF18139-5389-4180-9603-431645F7071D}">
      <formula1>$U$2:$W$2</formula1>
    </dataValidation>
    <dataValidation type="list" allowBlank="1" showInputMessage="1" sqref="F1:T1" xr:uid="{2257FB91-559F-400C-8AEA-7ADC10B7C594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C17C2-4E8F-4387-B713-EC508DF4337F}">
  <sheetPr codeName="Sheet12">
    <pageSetUpPr fitToPage="1"/>
  </sheetPr>
  <dimension ref="A1:CI30"/>
  <sheetViews>
    <sheetView topLeftCell="B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9" t="s">
        <v>0</v>
      </c>
      <c r="B1" s="91" t="s">
        <v>2</v>
      </c>
      <c r="C1" s="91" t="s">
        <v>1</v>
      </c>
      <c r="D1" s="91" t="s">
        <v>21</v>
      </c>
      <c r="E1" s="93" t="s">
        <v>3</v>
      </c>
      <c r="F1" s="84" t="s">
        <v>206</v>
      </c>
      <c r="G1" s="85"/>
      <c r="H1" s="85"/>
      <c r="I1" s="86"/>
      <c r="J1" s="87"/>
      <c r="K1" s="84" t="s">
        <v>194</v>
      </c>
      <c r="L1" s="85"/>
      <c r="M1" s="85"/>
      <c r="N1" s="86"/>
      <c r="O1" s="87"/>
      <c r="P1" s="84" t="s">
        <v>191</v>
      </c>
      <c r="Q1" s="85"/>
      <c r="R1" s="85"/>
      <c r="S1" s="86"/>
      <c r="T1" s="87"/>
      <c r="U1" s="84" t="s">
        <v>6</v>
      </c>
      <c r="V1" s="85"/>
      <c r="W1" s="87"/>
      <c r="Y1" s="84" t="str">
        <f>F1</f>
        <v>のり</v>
      </c>
      <c r="Z1" s="88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7"/>
      <c r="AT1" s="84" t="str">
        <f>K1</f>
        <v>ただ</v>
      </c>
      <c r="AU1" s="88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85"/>
      <c r="BM1" s="85"/>
      <c r="BN1" s="87"/>
      <c r="BO1" s="84" t="str">
        <f>P1</f>
        <v>だいち</v>
      </c>
      <c r="BP1" s="88"/>
      <c r="BQ1" s="85"/>
      <c r="BR1" s="85"/>
      <c r="BS1" s="85"/>
      <c r="BT1" s="85"/>
      <c r="BU1" s="85"/>
      <c r="BV1" s="85"/>
      <c r="BW1" s="85"/>
      <c r="BX1" s="85"/>
      <c r="BY1" s="85"/>
      <c r="BZ1" s="85"/>
      <c r="CA1" s="85"/>
      <c r="CB1" s="85"/>
      <c r="CC1" s="85"/>
      <c r="CD1" s="85"/>
      <c r="CE1" s="85"/>
      <c r="CF1" s="85"/>
      <c r="CG1" s="85"/>
      <c r="CH1" s="85"/>
      <c r="CI1" s="87"/>
    </row>
    <row r="2" spans="1:87" x14ac:dyDescent="0.4">
      <c r="A2" s="90"/>
      <c r="B2" s="92"/>
      <c r="C2" s="92"/>
      <c r="D2" s="92"/>
      <c r="E2" s="9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のり</v>
      </c>
      <c r="V2" s="76" t="str">
        <f>$K$1</f>
        <v>ただ</v>
      </c>
      <c r="W2" s="16" t="str">
        <f>$P$1</f>
        <v>だいち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3" t="s">
        <v>20</v>
      </c>
      <c r="AF2" s="83"/>
      <c r="AG2" s="83"/>
      <c r="AH2" s="83"/>
      <c r="AI2" s="83"/>
      <c r="AJ2" s="83"/>
      <c r="AK2" s="83"/>
      <c r="AL2" s="83"/>
      <c r="AM2" s="83"/>
      <c r="AN2" s="83"/>
      <c r="AO2" s="83"/>
      <c r="AP2" s="83"/>
      <c r="AQ2" s="83"/>
      <c r="AR2" s="83"/>
      <c r="AS2" s="83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3" t="s">
        <v>20</v>
      </c>
      <c r="BA2" s="83"/>
      <c r="BB2" s="83"/>
      <c r="BC2" s="83"/>
      <c r="BD2" s="83"/>
      <c r="BE2" s="83"/>
      <c r="BF2" s="83"/>
      <c r="BG2" s="83"/>
      <c r="BH2" s="83"/>
      <c r="BI2" s="83"/>
      <c r="BJ2" s="83"/>
      <c r="BK2" s="83"/>
      <c r="BL2" s="83"/>
      <c r="BM2" s="83"/>
      <c r="BN2" s="83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3" t="s">
        <v>20</v>
      </c>
      <c r="BV2" s="83"/>
      <c r="BW2" s="83"/>
      <c r="BX2" s="83"/>
      <c r="BY2" s="83"/>
      <c r="BZ2" s="83"/>
      <c r="CA2" s="83"/>
      <c r="CB2" s="83"/>
      <c r="CC2" s="83"/>
      <c r="CD2" s="83"/>
      <c r="CE2" s="83"/>
      <c r="CF2" s="83"/>
      <c r="CG2" s="83"/>
      <c r="CH2" s="83"/>
      <c r="CI2" s="8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206</v>
      </c>
      <c r="F4" s="8" t="s">
        <v>200</v>
      </c>
      <c r="G4" s="9">
        <v>-1000</v>
      </c>
      <c r="H4" s="9"/>
      <c r="I4" s="48">
        <v>0</v>
      </c>
      <c r="J4" s="21">
        <f>IF(COUNTA($F4,$K4,$P4)&gt;0,J3+SUM(G4:I4),"")</f>
        <v>34000</v>
      </c>
      <c r="K4" s="8"/>
      <c r="L4" s="9"/>
      <c r="M4" s="9"/>
      <c r="N4" s="48"/>
      <c r="O4" s="21">
        <f>IF(COUNTA($F4,$K4,$P4)&gt;0,O3+SUM(L4:N4),"")</f>
        <v>35000</v>
      </c>
      <c r="P4" s="8" t="s">
        <v>199</v>
      </c>
      <c r="Q4" s="9">
        <v>1000</v>
      </c>
      <c r="R4" s="9"/>
      <c r="S4" s="48">
        <v>0</v>
      </c>
      <c r="T4" s="21">
        <f>IF(COUNTA($F4,$K4,$P4)&gt;0,T3+SUM(Q4:S4),"")</f>
        <v>36000</v>
      </c>
      <c r="U4" s="53">
        <f>IF($J4="","",ROUND(($J4-$J$3)/1000,1)+(_xlfn.RANK.AVG($J4,($J4,$O4,$T4),1)-2)*10)</f>
        <v>-11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11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1</v>
      </c>
      <c r="BT4" s="30">
        <v>30</v>
      </c>
      <c r="BU4" s="40" t="s">
        <v>83</v>
      </c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199</v>
      </c>
      <c r="G5" s="9">
        <v>8000</v>
      </c>
      <c r="H5" s="9"/>
      <c r="I5" s="48">
        <v>0</v>
      </c>
      <c r="J5" s="21">
        <f t="shared" ref="J5:J30" si="2">IF(COUNTA($F5,$K5,$P5)&gt;0,J4+SUM(G5:I5),"")</f>
        <v>42000</v>
      </c>
      <c r="K5" s="8" t="s">
        <v>200</v>
      </c>
      <c r="L5" s="9">
        <v>-8000</v>
      </c>
      <c r="M5" s="9"/>
      <c r="N5" s="48">
        <v>0</v>
      </c>
      <c r="O5" s="21">
        <f t="shared" ref="O5:O30" si="3">IF(COUNTA($F5,$K5,$P5)&gt;0,O4+SUM(L5:N5),"")</f>
        <v>27000</v>
      </c>
      <c r="P5" s="8"/>
      <c r="Q5" s="9"/>
      <c r="R5" s="9"/>
      <c r="S5" s="48"/>
      <c r="T5" s="21">
        <f t="shared" ref="T5:T30" si="4">IF(COUNTA($F5,$K5,$P5)&gt;0,T4+SUM(Q5:S5),"")</f>
        <v>36000</v>
      </c>
      <c r="U5" s="53">
        <f>IF($J5="","",ROUND(($J5-$J$3)/1000,1)+(_xlfn.RANK.AVG($J5,($J5,$O5,$T5),1)-2)*10)</f>
        <v>17</v>
      </c>
      <c r="V5" s="54">
        <f>IF($O5="","",ROUND(($O5-$O$3)/1000,1)+(_xlfn.RANK.AVG($O5,($J5,$O5,$T5),1)-2)*10)</f>
        <v>-18</v>
      </c>
      <c r="W5" s="55">
        <f>IF($T5="","",ROUND(($T5-$T$3)/1000,1)+(_xlfn.RANK.AVG($T5,($J5,$O5,$T5),1)-2)*10)</f>
        <v>1</v>
      </c>
      <c r="Y5" s="8"/>
      <c r="Z5" s="34"/>
      <c r="AA5" s="26"/>
      <c r="AB5" s="26"/>
      <c r="AC5" s="26">
        <v>4</v>
      </c>
      <c r="AD5" s="30">
        <v>40</v>
      </c>
      <c r="AE5" s="40" t="s">
        <v>104</v>
      </c>
      <c r="AF5" s="41" t="s">
        <v>84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202</v>
      </c>
      <c r="G6" s="9">
        <v>-5800</v>
      </c>
      <c r="H6" s="9"/>
      <c r="I6" s="48">
        <v>0</v>
      </c>
      <c r="J6" s="21">
        <f t="shared" si="2"/>
        <v>36200</v>
      </c>
      <c r="K6" s="8" t="s">
        <v>202</v>
      </c>
      <c r="L6" s="9">
        <v>-5800</v>
      </c>
      <c r="M6" s="9"/>
      <c r="N6" s="48">
        <v>0</v>
      </c>
      <c r="O6" s="21">
        <f t="shared" si="3"/>
        <v>21200</v>
      </c>
      <c r="P6" s="8" t="s">
        <v>203</v>
      </c>
      <c r="Q6" s="9">
        <v>11600</v>
      </c>
      <c r="R6" s="9"/>
      <c r="S6" s="48">
        <v>0</v>
      </c>
      <c r="T6" s="21">
        <f t="shared" si="4"/>
        <v>47600</v>
      </c>
      <c r="U6" s="53">
        <f>IF($J6="","",ROUND(($J6-$J$3)/1000,1)+(_xlfn.RANK.AVG($J6,($J6,$O6,$T6),1)-2)*10)</f>
        <v>1.2</v>
      </c>
      <c r="V6" s="54">
        <f>IF($O6="","",ROUND(($O6-$O$3)/1000,1)+(_xlfn.RANK.AVG($O6,($J6,$O6,$T6),1)-2)*10)</f>
        <v>-23.8</v>
      </c>
      <c r="W6" s="55">
        <f>IF($T6="","",ROUND(($T6-$T$3)/1000,1)+(_xlfn.RANK.AVG($T6,($J6,$O6,$T6),1)-2)*10)</f>
        <v>22.6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4</v>
      </c>
      <c r="BT6" s="30">
        <v>30</v>
      </c>
      <c r="BU6" s="40" t="s">
        <v>104</v>
      </c>
      <c r="BV6" s="41" t="s">
        <v>201</v>
      </c>
      <c r="BW6" s="41" t="s">
        <v>86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191</v>
      </c>
      <c r="F7" s="8" t="s">
        <v>202</v>
      </c>
      <c r="G7" s="9">
        <v>-6000</v>
      </c>
      <c r="H7" s="9"/>
      <c r="I7" s="48">
        <v>-500</v>
      </c>
      <c r="J7" s="21">
        <f t="shared" si="2"/>
        <v>29700</v>
      </c>
      <c r="K7" s="8" t="s">
        <v>202</v>
      </c>
      <c r="L7" s="9">
        <v>-6000</v>
      </c>
      <c r="M7" s="9"/>
      <c r="N7" s="48">
        <v>-500</v>
      </c>
      <c r="O7" s="21">
        <f t="shared" si="3"/>
        <v>14700</v>
      </c>
      <c r="P7" s="8" t="s">
        <v>203</v>
      </c>
      <c r="Q7" s="9">
        <v>12000</v>
      </c>
      <c r="R7" s="9"/>
      <c r="S7" s="48">
        <v>1000</v>
      </c>
      <c r="T7" s="21">
        <f t="shared" si="4"/>
        <v>60600</v>
      </c>
      <c r="U7" s="53">
        <f>IF($J7="","",ROUND(($J7-$J$3)/1000,1)+(_xlfn.RANK.AVG($J7,($J7,$O7,$T7),1)-2)*10)</f>
        <v>-5.3</v>
      </c>
      <c r="V7" s="54">
        <f>IF($O7="","",ROUND(($O7-$O$3)/1000,1)+(_xlfn.RANK.AVG($O7,($J7,$O7,$T7),1)-2)*10)</f>
        <v>-30.3</v>
      </c>
      <c r="W7" s="55">
        <f>IF($T7="","",ROUND(($T7-$T$3)/1000,1)+(_xlfn.RANK.AVG($T7,($J7,$O7,$T7),1)-2)*10)</f>
        <v>35.6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5</v>
      </c>
      <c r="BT7" s="30" t="s">
        <v>205</v>
      </c>
      <c r="BU7" s="40" t="s">
        <v>104</v>
      </c>
      <c r="BV7" s="41" t="s">
        <v>92</v>
      </c>
      <c r="BW7" s="41" t="s">
        <v>86</v>
      </c>
      <c r="BX7" s="41" t="s">
        <v>201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">
        <v>191</v>
      </c>
      <c r="F8" s="8" t="s">
        <v>202</v>
      </c>
      <c r="G8" s="9">
        <v>-9000</v>
      </c>
      <c r="H8" s="9"/>
      <c r="I8" s="48">
        <v>-1000</v>
      </c>
      <c r="J8" s="21">
        <f t="shared" si="2"/>
        <v>19700</v>
      </c>
      <c r="K8" s="8" t="s">
        <v>202</v>
      </c>
      <c r="L8" s="9">
        <v>-9000</v>
      </c>
      <c r="M8" s="9"/>
      <c r="N8" s="48">
        <v>-1000</v>
      </c>
      <c r="O8" s="21">
        <f t="shared" si="3"/>
        <v>4700</v>
      </c>
      <c r="P8" s="8" t="s">
        <v>203</v>
      </c>
      <c r="Q8" s="9">
        <v>18000</v>
      </c>
      <c r="R8" s="9"/>
      <c r="S8" s="48">
        <v>2000</v>
      </c>
      <c r="T8" s="21">
        <f t="shared" si="4"/>
        <v>80600</v>
      </c>
      <c r="U8" s="53">
        <f>IF($J8="","",ROUND(($J8-$J$3)/1000,1)+(_xlfn.RANK.AVG($J8,($J8,$O8,$T8),1)-2)*10)</f>
        <v>-15.3</v>
      </c>
      <c r="V8" s="54">
        <f>IF($O8="","",ROUND(($O8-$O$3)/1000,1)+(_xlfn.RANK.AVG($O8,($J8,$O8,$T8),1)-2)*10)</f>
        <v>-40.299999999999997</v>
      </c>
      <c r="W8" s="55">
        <f>IF($T8="","",ROUND(($T8-$T$3)/1000,1)+(_xlfn.RANK.AVG($T8,($J8,$O8,$T8),1)-2)*10)</f>
        <v>55.6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6</v>
      </c>
      <c r="BT8" s="30" t="s">
        <v>205</v>
      </c>
      <c r="BU8" s="40" t="s">
        <v>204</v>
      </c>
      <c r="BV8" s="41" t="s">
        <v>82</v>
      </c>
      <c r="BW8" s="41" t="s">
        <v>101</v>
      </c>
      <c r="BX8" s="41" t="s">
        <v>80</v>
      </c>
      <c r="BY8" s="41" t="s">
        <v>80</v>
      </c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3</v>
      </c>
      <c r="D9" s="18">
        <f t="shared" si="1"/>
        <v>0</v>
      </c>
      <c r="E9" s="4" t="s">
        <v>191</v>
      </c>
      <c r="F9" s="8" t="s">
        <v>202</v>
      </c>
      <c r="G9" s="9">
        <v>-6000</v>
      </c>
      <c r="H9" s="9"/>
      <c r="I9" s="48">
        <v>-1500</v>
      </c>
      <c r="J9" s="21">
        <f t="shared" si="2"/>
        <v>12200</v>
      </c>
      <c r="K9" s="8" t="s">
        <v>202</v>
      </c>
      <c r="L9" s="9">
        <v>-6000</v>
      </c>
      <c r="M9" s="9"/>
      <c r="N9" s="48">
        <v>-1500</v>
      </c>
      <c r="O9" s="21">
        <f t="shared" si="3"/>
        <v>-2800</v>
      </c>
      <c r="P9" s="8" t="s">
        <v>203</v>
      </c>
      <c r="Q9" s="9">
        <v>12000</v>
      </c>
      <c r="R9" s="9"/>
      <c r="S9" s="48">
        <v>3000</v>
      </c>
      <c r="T9" s="21">
        <f t="shared" si="4"/>
        <v>95600</v>
      </c>
      <c r="U9" s="53">
        <f>IF($J9="","",ROUND(($J9-$J$3)/1000,1)+(_xlfn.RANK.AVG($J9,($J9,$O9,$T9),1)-2)*10)</f>
        <v>-22.8</v>
      </c>
      <c r="V9" s="54">
        <f>IF($O9="","",ROUND(($O9-$O$3)/1000,1)+(_xlfn.RANK.AVG($O9,($J9,$O9,$T9),1)-2)*10)</f>
        <v>-47.8</v>
      </c>
      <c r="W9" s="55">
        <f>IF($T9="","",ROUND(($T9-$T$3)/1000,1)+(_xlfn.RANK.AVG($T9,($J9,$O9,$T9),1)-2)*10)</f>
        <v>70.599999999999994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5</v>
      </c>
      <c r="BT9" s="30" t="s">
        <v>205</v>
      </c>
      <c r="BU9" s="40" t="s">
        <v>204</v>
      </c>
      <c r="BV9" s="41" t="s">
        <v>82</v>
      </c>
      <c r="BW9" s="41" t="s">
        <v>209</v>
      </c>
      <c r="BX9" s="41" t="s">
        <v>201</v>
      </c>
      <c r="BY9" s="41" t="s">
        <v>80</v>
      </c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qref="F1:T1" xr:uid="{ED37248C-8CD6-4EFA-9E8D-8A6BC9A9C1A9}">
      <formula1>"たかの,だいち,ただ,りくと,れんたろう,まっつん,のり,ぱぱ,ほたに,いっしー,"</formula1>
    </dataValidation>
    <dataValidation type="list" allowBlank="1" showInputMessage="1" showErrorMessage="1" sqref="E4:E30" xr:uid="{A3205F02-74F5-4409-ACE7-7234B8A85B4D}">
      <formula1>$U$2:$W$2</formula1>
    </dataValidation>
    <dataValidation type="list" showInputMessage="1" showErrorMessage="1" sqref="K4:K30 P4:P30 F4:F30" xr:uid="{2C831B41-8E5B-4633-BFE5-019D85BAAA53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2DDA71-04C0-4ED4-BABD-906B3806024A}">
  <sheetPr codeName="Sheet13">
    <pageSetUpPr fitToPage="1"/>
  </sheetPr>
  <dimension ref="A1:CI30"/>
  <sheetViews>
    <sheetView topLeftCell="B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9" t="s">
        <v>0</v>
      </c>
      <c r="B1" s="91" t="s">
        <v>2</v>
      </c>
      <c r="C1" s="91" t="s">
        <v>1</v>
      </c>
      <c r="D1" s="91" t="s">
        <v>21</v>
      </c>
      <c r="E1" s="93" t="s">
        <v>3</v>
      </c>
      <c r="F1" s="84" t="s">
        <v>192</v>
      </c>
      <c r="G1" s="85"/>
      <c r="H1" s="85"/>
      <c r="I1" s="86"/>
      <c r="J1" s="87"/>
      <c r="K1" s="84" t="s">
        <v>194</v>
      </c>
      <c r="L1" s="85"/>
      <c r="M1" s="85"/>
      <c r="N1" s="86"/>
      <c r="O1" s="87"/>
      <c r="P1" s="84" t="s">
        <v>210</v>
      </c>
      <c r="Q1" s="85"/>
      <c r="R1" s="85"/>
      <c r="S1" s="86"/>
      <c r="T1" s="87"/>
      <c r="U1" s="84" t="s">
        <v>6</v>
      </c>
      <c r="V1" s="85"/>
      <c r="W1" s="87"/>
      <c r="Y1" s="84" t="str">
        <f>F1</f>
        <v>だいち</v>
      </c>
      <c r="Z1" s="88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7"/>
      <c r="AT1" s="84" t="str">
        <f>K1</f>
        <v>ただ</v>
      </c>
      <c r="AU1" s="88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85"/>
      <c r="BM1" s="85"/>
      <c r="BN1" s="87"/>
      <c r="BO1" s="84" t="str">
        <f>P1</f>
        <v>のり</v>
      </c>
      <c r="BP1" s="88"/>
      <c r="BQ1" s="85"/>
      <c r="BR1" s="85"/>
      <c r="BS1" s="85"/>
      <c r="BT1" s="85"/>
      <c r="BU1" s="85"/>
      <c r="BV1" s="85"/>
      <c r="BW1" s="85"/>
      <c r="BX1" s="85"/>
      <c r="BY1" s="85"/>
      <c r="BZ1" s="85"/>
      <c r="CA1" s="85"/>
      <c r="CB1" s="85"/>
      <c r="CC1" s="85"/>
      <c r="CD1" s="85"/>
      <c r="CE1" s="85"/>
      <c r="CF1" s="85"/>
      <c r="CG1" s="85"/>
      <c r="CH1" s="85"/>
      <c r="CI1" s="87"/>
    </row>
    <row r="2" spans="1:87" x14ac:dyDescent="0.4">
      <c r="A2" s="90"/>
      <c r="B2" s="92"/>
      <c r="C2" s="92"/>
      <c r="D2" s="92"/>
      <c r="E2" s="9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だいち</v>
      </c>
      <c r="V2" s="76" t="str">
        <f>$K$1</f>
        <v>ただ</v>
      </c>
      <c r="W2" s="16" t="str">
        <f>$P$1</f>
        <v>のり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3" t="s">
        <v>20</v>
      </c>
      <c r="AF2" s="83"/>
      <c r="AG2" s="83"/>
      <c r="AH2" s="83"/>
      <c r="AI2" s="83"/>
      <c r="AJ2" s="83"/>
      <c r="AK2" s="83"/>
      <c r="AL2" s="83"/>
      <c r="AM2" s="83"/>
      <c r="AN2" s="83"/>
      <c r="AO2" s="83"/>
      <c r="AP2" s="83"/>
      <c r="AQ2" s="83"/>
      <c r="AR2" s="83"/>
      <c r="AS2" s="83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3" t="s">
        <v>20</v>
      </c>
      <c r="BA2" s="83"/>
      <c r="BB2" s="83"/>
      <c r="BC2" s="83"/>
      <c r="BD2" s="83"/>
      <c r="BE2" s="83"/>
      <c r="BF2" s="83"/>
      <c r="BG2" s="83"/>
      <c r="BH2" s="83"/>
      <c r="BI2" s="83"/>
      <c r="BJ2" s="83"/>
      <c r="BK2" s="83"/>
      <c r="BL2" s="83"/>
      <c r="BM2" s="83"/>
      <c r="BN2" s="83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3" t="s">
        <v>20</v>
      </c>
      <c r="BV2" s="83"/>
      <c r="BW2" s="83"/>
      <c r="BX2" s="83"/>
      <c r="BY2" s="83"/>
      <c r="BZ2" s="83"/>
      <c r="CA2" s="83"/>
      <c r="CB2" s="83"/>
      <c r="CC2" s="83"/>
      <c r="CD2" s="83"/>
      <c r="CE2" s="83"/>
      <c r="CF2" s="83"/>
      <c r="CG2" s="83"/>
      <c r="CH2" s="83"/>
      <c r="CI2" s="8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203</v>
      </c>
      <c r="G4" s="9">
        <v>6000</v>
      </c>
      <c r="H4" s="9">
        <v>1000</v>
      </c>
      <c r="I4" s="48">
        <v>0</v>
      </c>
      <c r="J4" s="21">
        <f>IF(COUNTA($F4,$K4,$P4)&gt;0,J3+SUM(G4:I4),"")</f>
        <v>42000</v>
      </c>
      <c r="K4" s="8" t="s">
        <v>202</v>
      </c>
      <c r="L4" s="9">
        <v>-3000</v>
      </c>
      <c r="M4" s="9">
        <v>-1000</v>
      </c>
      <c r="N4" s="48">
        <v>0</v>
      </c>
      <c r="O4" s="21">
        <f>IF(COUNTA($F4,$K4,$P4)&gt;0,O3+SUM(L4:N4),"")</f>
        <v>31000</v>
      </c>
      <c r="P4" s="8" t="s">
        <v>202</v>
      </c>
      <c r="Q4" s="9">
        <v>-3000</v>
      </c>
      <c r="R4" s="9"/>
      <c r="S4" s="48">
        <v>0</v>
      </c>
      <c r="T4" s="21">
        <f>IF(COUNTA($F4,$K4,$P4)&gt;0,T3+SUM(Q4:S4),"")</f>
        <v>32000</v>
      </c>
      <c r="U4" s="53">
        <f>IF($J4="","",ROUND(($J4-$J$3)/1000,1)+(_xlfn.RANK.AVG($J4,($J4,$O4,$T4),1)-2)*10)</f>
        <v>17</v>
      </c>
      <c r="V4" s="54">
        <f>IF($O4="","",ROUND(($O4-$O$3)/1000,1)+(_xlfn.RANK.AVG($O4,($J4,$O4,$T4),1)-2)*10)</f>
        <v>-14</v>
      </c>
      <c r="W4" s="55">
        <f>IF($T4="","",ROUND(($T4-$T$3)/1000,1)+(_xlfn.RANK.AVG($T4,($J4,$O4,$T4),1)-2)*10)</f>
        <v>-3</v>
      </c>
      <c r="Y4" s="8"/>
      <c r="Z4" s="34"/>
      <c r="AA4" s="26">
        <v>1</v>
      </c>
      <c r="AB4" s="26"/>
      <c r="AC4" s="26">
        <v>3</v>
      </c>
      <c r="AD4" s="30">
        <v>30</v>
      </c>
      <c r="AE4" s="40" t="s">
        <v>204</v>
      </c>
      <c r="AF4" s="41" t="s">
        <v>82</v>
      </c>
      <c r="AG4" s="41" t="s">
        <v>201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202</v>
      </c>
      <c r="G5" s="9">
        <v>-4800</v>
      </c>
      <c r="H5" s="9"/>
      <c r="I5" s="48">
        <v>-500</v>
      </c>
      <c r="J5" s="21">
        <f t="shared" ref="J5:J30" si="2">IF(COUNTA($F5,$K5,$P5)&gt;0,J4+SUM(G5:I5),"")</f>
        <v>36700</v>
      </c>
      <c r="K5" s="8" t="s">
        <v>202</v>
      </c>
      <c r="L5" s="9">
        <v>-2900</v>
      </c>
      <c r="M5" s="9"/>
      <c r="N5" s="48">
        <v>-500</v>
      </c>
      <c r="O5" s="21">
        <f t="shared" ref="O5:O30" si="3">IF(COUNTA($F5,$K5,$P5)&gt;0,O4+SUM(L5:N5),"")</f>
        <v>27600</v>
      </c>
      <c r="P5" s="8" t="s">
        <v>203</v>
      </c>
      <c r="Q5" s="9">
        <v>7700</v>
      </c>
      <c r="R5" s="9"/>
      <c r="S5" s="48">
        <v>1000</v>
      </c>
      <c r="T5" s="21">
        <f t="shared" ref="T5:T30" si="4">IF(COUNTA($F5,$K5,$P5)&gt;0,T4+SUM(Q5:S5),"")</f>
        <v>40700</v>
      </c>
      <c r="U5" s="53">
        <f>IF($J5="","",ROUND(($J5-$J$3)/1000,1)+(_xlfn.RANK.AVG($J5,($J5,$O5,$T5),1)-2)*10)</f>
        <v>1.7</v>
      </c>
      <c r="V5" s="54">
        <f>IF($O5="","",ROUND(($O5-$O$3)/1000,1)+(_xlfn.RANK.AVG($O5,($J5,$O5,$T5),1)-2)*10)</f>
        <v>-17.399999999999999</v>
      </c>
      <c r="W5" s="55">
        <f>IF($T5="","",ROUND(($T5-$T$3)/1000,1)+(_xlfn.RANK.AVG($T5,($J5,$O5,$T5),1)-2)*10)</f>
        <v>15.7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4</v>
      </c>
      <c r="BT5" s="30">
        <v>30</v>
      </c>
      <c r="BU5" s="40" t="s">
        <v>86</v>
      </c>
      <c r="BV5" s="41" t="s">
        <v>79</v>
      </c>
      <c r="BW5" s="41" t="s">
        <v>79</v>
      </c>
      <c r="BX5" s="41" t="s">
        <v>79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199</v>
      </c>
      <c r="G6" s="9">
        <v>8000</v>
      </c>
      <c r="H6" s="9"/>
      <c r="I6" s="48">
        <v>0</v>
      </c>
      <c r="J6" s="21">
        <f t="shared" si="2"/>
        <v>44700</v>
      </c>
      <c r="K6" s="8" t="s">
        <v>200</v>
      </c>
      <c r="L6" s="9">
        <v>-8000</v>
      </c>
      <c r="M6" s="9"/>
      <c r="N6" s="48">
        <v>0</v>
      </c>
      <c r="O6" s="21">
        <f t="shared" si="3"/>
        <v>19600</v>
      </c>
      <c r="P6" s="8"/>
      <c r="Q6" s="9"/>
      <c r="R6" s="9"/>
      <c r="S6" s="48"/>
      <c r="T6" s="21">
        <f t="shared" si="4"/>
        <v>40700</v>
      </c>
      <c r="U6" s="53">
        <f>IF($J6="","",ROUND(($J6-$J$3)/1000,1)+(_xlfn.RANK.AVG($J6,($J6,$O6,$T6),1)-2)*10)</f>
        <v>19.7</v>
      </c>
      <c r="V6" s="54">
        <f>IF($O6="","",ROUND(($O6-$O$3)/1000,1)+(_xlfn.RANK.AVG($O6,($J6,$O6,$T6),1)-2)*10)</f>
        <v>-25.4</v>
      </c>
      <c r="W6" s="55">
        <f>IF($T6="","",ROUND(($T6-$T$3)/1000,1)+(_xlfn.RANK.AVG($T6,($J6,$O6,$T6),1)-2)*10)</f>
        <v>5.7</v>
      </c>
      <c r="Y6" s="8"/>
      <c r="Z6" s="34"/>
      <c r="AA6" s="26"/>
      <c r="AB6" s="26">
        <v>1</v>
      </c>
      <c r="AC6" s="26">
        <v>4</v>
      </c>
      <c r="AD6" s="30">
        <v>40</v>
      </c>
      <c r="AE6" s="40" t="s">
        <v>86</v>
      </c>
      <c r="AF6" s="41" t="s">
        <v>201</v>
      </c>
      <c r="AG6" s="41" t="s">
        <v>79</v>
      </c>
      <c r="AH6" s="41" t="s">
        <v>79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206</v>
      </c>
      <c r="F7" s="8" t="s">
        <v>199</v>
      </c>
      <c r="G7" s="9">
        <v>5200</v>
      </c>
      <c r="H7" s="9"/>
      <c r="I7" s="48">
        <v>0</v>
      </c>
      <c r="J7" s="21">
        <f t="shared" si="2"/>
        <v>49900</v>
      </c>
      <c r="K7" s="8"/>
      <c r="L7" s="9"/>
      <c r="M7" s="9"/>
      <c r="N7" s="48"/>
      <c r="O7" s="21">
        <f t="shared" si="3"/>
        <v>19600</v>
      </c>
      <c r="P7" s="8" t="s">
        <v>200</v>
      </c>
      <c r="Q7" s="9">
        <v>-5200</v>
      </c>
      <c r="R7" s="9"/>
      <c r="S7" s="48">
        <v>0</v>
      </c>
      <c r="T7" s="21">
        <f t="shared" si="4"/>
        <v>35500</v>
      </c>
      <c r="U7" s="53">
        <f>IF($J7="","",ROUND(($J7-$J$3)/1000,1)+(_xlfn.RANK.AVG($J7,($J7,$O7,$T7),1)-2)*10)</f>
        <v>24.9</v>
      </c>
      <c r="V7" s="54">
        <f>IF($O7="","",ROUND(($O7-$O$3)/1000,1)+(_xlfn.RANK.AVG($O7,($J7,$O7,$T7),1)-2)*10)</f>
        <v>-25.4</v>
      </c>
      <c r="W7" s="55">
        <f>IF($T7="","",ROUND(($T7-$T$3)/1000,1)+(_xlfn.RANK.AVG($T7,($J7,$O7,$T7),1)-2)*10)</f>
        <v>0.5</v>
      </c>
      <c r="Y7" s="8"/>
      <c r="Z7" s="34"/>
      <c r="AA7" s="26">
        <v>1</v>
      </c>
      <c r="AB7" s="26"/>
      <c r="AC7" s="26">
        <v>3</v>
      </c>
      <c r="AD7" s="30">
        <v>40</v>
      </c>
      <c r="AE7" s="40" t="s">
        <v>204</v>
      </c>
      <c r="AF7" s="41" t="s">
        <v>86</v>
      </c>
      <c r="AG7" s="41" t="s">
        <v>201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199</v>
      </c>
      <c r="G8" s="9">
        <v>3900</v>
      </c>
      <c r="H8" s="9">
        <v>1000</v>
      </c>
      <c r="I8" s="48">
        <v>0</v>
      </c>
      <c r="J8" s="21">
        <f t="shared" si="2"/>
        <v>54800</v>
      </c>
      <c r="K8" s="8" t="s">
        <v>200</v>
      </c>
      <c r="L8" s="9">
        <v>-3900</v>
      </c>
      <c r="M8" s="9">
        <v>-1000</v>
      </c>
      <c r="N8" s="48">
        <v>0</v>
      </c>
      <c r="O8" s="21">
        <f t="shared" si="3"/>
        <v>14700</v>
      </c>
      <c r="P8" s="8"/>
      <c r="Q8" s="9"/>
      <c r="R8" s="9"/>
      <c r="S8" s="48"/>
      <c r="T8" s="21">
        <f t="shared" si="4"/>
        <v>35500</v>
      </c>
      <c r="U8" s="53">
        <f>IF($J8="","",ROUND(($J8-$J$3)/1000,1)+(_xlfn.RANK.AVG($J8,($J8,$O8,$T8),1)-2)*10)</f>
        <v>29.8</v>
      </c>
      <c r="V8" s="54">
        <f>IF($O8="","",ROUND(($O8-$O$3)/1000,1)+(_xlfn.RANK.AVG($O8,($J8,$O8,$T8),1)-2)*10)</f>
        <v>-30.3</v>
      </c>
      <c r="W8" s="55">
        <f>IF($T8="","",ROUND(($T8-$T$3)/1000,1)+(_xlfn.RANK.AVG($T8,($J8,$O8,$T8),1)-2)*10)</f>
        <v>0.5</v>
      </c>
      <c r="Y8" s="8"/>
      <c r="Z8" s="34"/>
      <c r="AA8" s="26">
        <v>1</v>
      </c>
      <c r="AB8" s="26"/>
      <c r="AC8" s="26">
        <v>2</v>
      </c>
      <c r="AD8" s="30">
        <v>40</v>
      </c>
      <c r="AE8" s="40" t="s">
        <v>204</v>
      </c>
      <c r="AF8" s="41" t="s">
        <v>79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191</v>
      </c>
      <c r="F9" s="8" t="s">
        <v>202</v>
      </c>
      <c r="G9" s="9">
        <v>-7500</v>
      </c>
      <c r="H9" s="9"/>
      <c r="I9" s="48">
        <v>-500</v>
      </c>
      <c r="J9" s="21">
        <f t="shared" si="2"/>
        <v>46800</v>
      </c>
      <c r="K9" s="8" t="s">
        <v>203</v>
      </c>
      <c r="L9" s="9">
        <v>12000</v>
      </c>
      <c r="M9" s="9"/>
      <c r="N9" s="48">
        <v>1000</v>
      </c>
      <c r="O9" s="21">
        <f t="shared" si="3"/>
        <v>27700</v>
      </c>
      <c r="P9" s="8" t="s">
        <v>202</v>
      </c>
      <c r="Q9" s="9">
        <v>-4500</v>
      </c>
      <c r="R9" s="9"/>
      <c r="S9" s="48">
        <v>-500</v>
      </c>
      <c r="T9" s="21">
        <f t="shared" si="4"/>
        <v>30500</v>
      </c>
      <c r="U9" s="53">
        <f>IF($J9="","",ROUND(($J9-$J$3)/1000,1)+(_xlfn.RANK.AVG($J9,($J9,$O9,$T9),1)-2)*10)</f>
        <v>21.8</v>
      </c>
      <c r="V9" s="54">
        <f>IF($O9="","",ROUND(($O9-$O$3)/1000,1)+(_xlfn.RANK.AVG($O9,($J9,$O9,$T9),1)-2)*10)</f>
        <v>-17.3</v>
      </c>
      <c r="W9" s="55">
        <f>IF($T9="","",ROUND(($T9-$T$3)/1000,1)+(_xlfn.RANK.AVG($T9,($J9,$O9,$T9),1)-2)*10)</f>
        <v>-4.5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7</v>
      </c>
      <c r="AY9" s="30" t="s">
        <v>205</v>
      </c>
      <c r="AZ9" s="40" t="s">
        <v>204</v>
      </c>
      <c r="BA9" s="41" t="s">
        <v>82</v>
      </c>
      <c r="BB9" s="41" t="s">
        <v>83</v>
      </c>
      <c r="BC9" s="41" t="s">
        <v>84</v>
      </c>
      <c r="BD9" s="41" t="s">
        <v>79</v>
      </c>
      <c r="BE9" s="41" t="s">
        <v>79</v>
      </c>
      <c r="BF9" s="41" t="s">
        <v>80</v>
      </c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193</v>
      </c>
      <c r="F10" s="8" t="s">
        <v>202</v>
      </c>
      <c r="G10" s="9">
        <v>-6000</v>
      </c>
      <c r="H10" s="9"/>
      <c r="I10" s="48">
        <v>0</v>
      </c>
      <c r="J10" s="21">
        <f t="shared" si="2"/>
        <v>40800</v>
      </c>
      <c r="K10" s="8" t="s">
        <v>202</v>
      </c>
      <c r="L10" s="9">
        <v>-10000</v>
      </c>
      <c r="M10" s="9"/>
      <c r="N10" s="48">
        <v>0</v>
      </c>
      <c r="O10" s="21">
        <f t="shared" si="3"/>
        <v>17700</v>
      </c>
      <c r="P10" s="8" t="s">
        <v>203</v>
      </c>
      <c r="Q10" s="9">
        <v>16000</v>
      </c>
      <c r="R10" s="9"/>
      <c r="S10" s="48">
        <v>0</v>
      </c>
      <c r="T10" s="21">
        <f t="shared" si="4"/>
        <v>46500</v>
      </c>
      <c r="U10" s="53">
        <f>IF($J10="","",ROUND(($J10-$J$3)/1000,1)+(_xlfn.RANK.AVG($J10,($J10,$O10,$T10),1)-2)*10)</f>
        <v>5.8</v>
      </c>
      <c r="V10" s="54">
        <f>IF($O10="","",ROUND(($O10-$O$3)/1000,1)+(_xlfn.RANK.AVG($O10,($J10,$O10,$T10),1)-2)*10)</f>
        <v>-27.3</v>
      </c>
      <c r="W10" s="55">
        <f>IF($T10="","",ROUND(($T10-$T$3)/1000,1)+(_xlfn.RANK.AVG($T10,($J10,$O10,$T10),1)-2)*10)</f>
        <v>21.5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10</v>
      </c>
      <c r="BT10" s="30" t="s">
        <v>205</v>
      </c>
      <c r="BU10" s="40" t="s">
        <v>204</v>
      </c>
      <c r="BV10" s="41" t="s">
        <v>82</v>
      </c>
      <c r="BW10" s="41" t="s">
        <v>79</v>
      </c>
      <c r="BX10" s="41" t="s">
        <v>79</v>
      </c>
      <c r="BY10" s="41" t="s">
        <v>80</v>
      </c>
      <c r="BZ10" s="41" t="s">
        <v>201</v>
      </c>
      <c r="CA10" s="41" t="s">
        <v>104</v>
      </c>
      <c r="CB10" s="41" t="s">
        <v>83</v>
      </c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206</v>
      </c>
      <c r="F11" s="8"/>
      <c r="G11" s="9"/>
      <c r="H11" s="9"/>
      <c r="I11" s="48"/>
      <c r="J11" s="21">
        <f t="shared" si="2"/>
        <v>40800</v>
      </c>
      <c r="K11" s="8" t="s">
        <v>199</v>
      </c>
      <c r="L11" s="9">
        <v>5200</v>
      </c>
      <c r="M11" s="9"/>
      <c r="N11" s="48">
        <v>0</v>
      </c>
      <c r="O11" s="21">
        <f t="shared" si="3"/>
        <v>22900</v>
      </c>
      <c r="P11" s="8" t="s">
        <v>200</v>
      </c>
      <c r="Q11" s="9">
        <v>-5200</v>
      </c>
      <c r="R11" s="9"/>
      <c r="S11" s="48">
        <v>0</v>
      </c>
      <c r="T11" s="21">
        <f t="shared" si="4"/>
        <v>41300</v>
      </c>
      <c r="U11" s="53">
        <f>IF($J11="","",ROUND(($J11-$J$3)/1000,1)+(_xlfn.RANK.AVG($J11,($J11,$O11,$T11),1)-2)*10)</f>
        <v>5.8</v>
      </c>
      <c r="V11" s="54">
        <f>IF($O11="","",ROUND(($O11-$O$3)/1000,1)+(_xlfn.RANK.AVG($O11,($J11,$O11,$T11),1)-2)*10)</f>
        <v>-22.1</v>
      </c>
      <c r="W11" s="55">
        <f>IF($T11="","",ROUND(($T11-$T$3)/1000,1)+(_xlfn.RANK.AVG($T11,($J11,$O11,$T11),1)-2)*10)</f>
        <v>16.3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3</v>
      </c>
      <c r="AY11" s="30">
        <v>40</v>
      </c>
      <c r="AZ11" s="40" t="s">
        <v>98</v>
      </c>
      <c r="BA11" s="41" t="s">
        <v>86</v>
      </c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showInputMessage="1" showErrorMessage="1" sqref="K4:K30 P4:P30 F4:F30" xr:uid="{9B8CC594-BDE4-4CD6-A7BC-D360229C3354}">
      <formula1>"ロン,ツモ,放銃,ツモ支払,流局,チョンボ"</formula1>
    </dataValidation>
    <dataValidation type="list" allowBlank="1" showInputMessage="1" showErrorMessage="1" sqref="E4:E30" xr:uid="{451C860D-AC92-4966-A2F9-419DA2811284}">
      <formula1>$U$2:$W$2</formula1>
    </dataValidation>
    <dataValidation type="list" allowBlank="1" showInputMessage="1" sqref="F1:T1" xr:uid="{2BA6DDC1-F7B9-4205-AA5A-C23ED215965B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AF7B4-0062-4239-99F8-A73FFDD58798}">
  <sheetPr codeName="Sheet14">
    <pageSetUpPr fitToPage="1"/>
  </sheetPr>
  <dimension ref="A1:CI30"/>
  <sheetViews>
    <sheetView tabSelected="1" zoomScaleNormal="100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9" t="s">
        <v>0</v>
      </c>
      <c r="B1" s="91" t="s">
        <v>2</v>
      </c>
      <c r="C1" s="91" t="s">
        <v>1</v>
      </c>
      <c r="D1" s="91" t="s">
        <v>21</v>
      </c>
      <c r="E1" s="93" t="s">
        <v>3</v>
      </c>
      <c r="F1" s="84" t="s">
        <v>212</v>
      </c>
      <c r="G1" s="85"/>
      <c r="H1" s="85"/>
      <c r="I1" s="86"/>
      <c r="J1" s="87"/>
      <c r="K1" s="84" t="s">
        <v>192</v>
      </c>
      <c r="L1" s="85"/>
      <c r="M1" s="85"/>
      <c r="N1" s="86"/>
      <c r="O1" s="87"/>
      <c r="P1" s="84" t="s">
        <v>196</v>
      </c>
      <c r="Q1" s="85"/>
      <c r="R1" s="85"/>
      <c r="S1" s="86"/>
      <c r="T1" s="87"/>
      <c r="U1" s="84" t="s">
        <v>6</v>
      </c>
      <c r="V1" s="85"/>
      <c r="W1" s="87"/>
      <c r="Y1" s="84" t="str">
        <f>F1</f>
        <v>たかの</v>
      </c>
      <c r="Z1" s="88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7"/>
      <c r="AT1" s="84" t="str">
        <f>K1</f>
        <v>だいち</v>
      </c>
      <c r="AU1" s="88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85"/>
      <c r="BM1" s="85"/>
      <c r="BN1" s="87"/>
      <c r="BO1" s="84" t="str">
        <f>P1</f>
        <v>まっつん</v>
      </c>
      <c r="BP1" s="88"/>
      <c r="BQ1" s="85"/>
      <c r="BR1" s="85"/>
      <c r="BS1" s="85"/>
      <c r="BT1" s="85"/>
      <c r="BU1" s="85"/>
      <c r="BV1" s="85"/>
      <c r="BW1" s="85"/>
      <c r="BX1" s="85"/>
      <c r="BY1" s="85"/>
      <c r="BZ1" s="85"/>
      <c r="CA1" s="85"/>
      <c r="CB1" s="85"/>
      <c r="CC1" s="85"/>
      <c r="CD1" s="85"/>
      <c r="CE1" s="85"/>
      <c r="CF1" s="85"/>
      <c r="CG1" s="85"/>
      <c r="CH1" s="85"/>
      <c r="CI1" s="87"/>
    </row>
    <row r="2" spans="1:87" x14ac:dyDescent="0.4">
      <c r="A2" s="90"/>
      <c r="B2" s="92"/>
      <c r="C2" s="92"/>
      <c r="D2" s="92"/>
      <c r="E2" s="9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80" t="str">
        <f>$F$1</f>
        <v>たかの</v>
      </c>
      <c r="V2" s="81" t="str">
        <f>$K$1</f>
        <v>だいち</v>
      </c>
      <c r="W2" s="16" t="str">
        <f>$P$1</f>
        <v>まっつん</v>
      </c>
      <c r="Y2" s="77" t="s">
        <v>23</v>
      </c>
      <c r="Z2" s="82" t="s">
        <v>26</v>
      </c>
      <c r="AA2" s="78" t="s">
        <v>24</v>
      </c>
      <c r="AB2" s="78" t="s">
        <v>127</v>
      </c>
      <c r="AC2" s="78" t="s">
        <v>18</v>
      </c>
      <c r="AD2" s="79" t="s">
        <v>19</v>
      </c>
      <c r="AE2" s="83" t="s">
        <v>20</v>
      </c>
      <c r="AF2" s="83"/>
      <c r="AG2" s="83"/>
      <c r="AH2" s="83"/>
      <c r="AI2" s="83"/>
      <c r="AJ2" s="83"/>
      <c r="AK2" s="83"/>
      <c r="AL2" s="83"/>
      <c r="AM2" s="83"/>
      <c r="AN2" s="83"/>
      <c r="AO2" s="83"/>
      <c r="AP2" s="83"/>
      <c r="AQ2" s="83"/>
      <c r="AR2" s="83"/>
      <c r="AS2" s="83"/>
      <c r="AT2" s="77" t="s">
        <v>23</v>
      </c>
      <c r="AU2" s="82" t="s">
        <v>26</v>
      </c>
      <c r="AV2" s="78" t="s">
        <v>24</v>
      </c>
      <c r="AW2" s="78" t="s">
        <v>128</v>
      </c>
      <c r="AX2" s="78" t="s">
        <v>18</v>
      </c>
      <c r="AY2" s="79" t="s">
        <v>19</v>
      </c>
      <c r="AZ2" s="83" t="s">
        <v>20</v>
      </c>
      <c r="BA2" s="83"/>
      <c r="BB2" s="83"/>
      <c r="BC2" s="83"/>
      <c r="BD2" s="83"/>
      <c r="BE2" s="83"/>
      <c r="BF2" s="83"/>
      <c r="BG2" s="83"/>
      <c r="BH2" s="83"/>
      <c r="BI2" s="83"/>
      <c r="BJ2" s="83"/>
      <c r="BK2" s="83"/>
      <c r="BL2" s="83"/>
      <c r="BM2" s="83"/>
      <c r="BN2" s="83"/>
      <c r="BO2" s="77" t="s">
        <v>23</v>
      </c>
      <c r="BP2" s="82" t="s">
        <v>26</v>
      </c>
      <c r="BQ2" s="78" t="s">
        <v>24</v>
      </c>
      <c r="BR2" s="78" t="s">
        <v>128</v>
      </c>
      <c r="BS2" s="78" t="s">
        <v>18</v>
      </c>
      <c r="BT2" s="79" t="s">
        <v>19</v>
      </c>
      <c r="BU2" s="83" t="s">
        <v>20</v>
      </c>
      <c r="BV2" s="83"/>
      <c r="BW2" s="83"/>
      <c r="BX2" s="83"/>
      <c r="BY2" s="83"/>
      <c r="BZ2" s="83"/>
      <c r="CA2" s="83"/>
      <c r="CB2" s="83"/>
      <c r="CC2" s="83"/>
      <c r="CD2" s="83"/>
      <c r="CE2" s="83"/>
      <c r="CF2" s="83"/>
      <c r="CG2" s="83"/>
      <c r="CH2" s="83"/>
      <c r="CI2" s="8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211</v>
      </c>
      <c r="F4" s="8" t="s">
        <v>199</v>
      </c>
      <c r="G4" s="9">
        <v>12000</v>
      </c>
      <c r="H4" s="9"/>
      <c r="I4" s="48">
        <v>0</v>
      </c>
      <c r="J4" s="21">
        <f>IF(COUNTA($F4,$K4,$P4)&gt;0,J3+SUM(G4:I4),"")</f>
        <v>47000</v>
      </c>
      <c r="K4" s="8" t="s">
        <v>200</v>
      </c>
      <c r="L4" s="9">
        <v>-12000</v>
      </c>
      <c r="M4" s="9"/>
      <c r="N4" s="48">
        <v>0</v>
      </c>
      <c r="O4" s="21">
        <f>IF(COUNTA($F4,$K4,$P4)&gt;0,O3+SUM(L4:N4),"")</f>
        <v>23000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22</v>
      </c>
      <c r="V4" s="54">
        <f>IF($O4="","",ROUND(($O4-$O$3)/1000,1)+(_xlfn.RANK.AVG($O4,($J4,$O4,$T4),1)-2)*10)</f>
        <v>-22</v>
      </c>
      <c r="W4" s="55">
        <f>IF($T4="","",ROUND(($T4-$T$3)/1000,1)+(_xlfn.RANK.AVG($T4,($J4,$O4,$T4),1)-2)*10)</f>
        <v>0</v>
      </c>
      <c r="Y4" s="8"/>
      <c r="Z4" s="34"/>
      <c r="AA4" s="26"/>
      <c r="AB4" s="26">
        <v>1</v>
      </c>
      <c r="AC4" s="26">
        <v>5</v>
      </c>
      <c r="AD4" s="30" t="s">
        <v>205</v>
      </c>
      <c r="AE4" s="40" t="s">
        <v>86</v>
      </c>
      <c r="AF4" s="41" t="s">
        <v>86</v>
      </c>
      <c r="AG4" s="41" t="s">
        <v>79</v>
      </c>
      <c r="AH4" s="41" t="s">
        <v>79</v>
      </c>
      <c r="AI4" s="41" t="s">
        <v>201</v>
      </c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211</v>
      </c>
      <c r="F5" s="8"/>
      <c r="G5" s="9"/>
      <c r="H5" s="9"/>
      <c r="I5" s="48"/>
      <c r="J5" s="21">
        <f t="shared" ref="J5:J30" si="2">IF(COUNTA($F5,$K5,$P5)&gt;0,J4+SUM(G5:I5),"")</f>
        <v>47000</v>
      </c>
      <c r="K5" s="8" t="s">
        <v>199</v>
      </c>
      <c r="L5" s="9">
        <v>7700</v>
      </c>
      <c r="M5" s="9"/>
      <c r="N5" s="48">
        <v>1000</v>
      </c>
      <c r="O5" s="21">
        <f t="shared" ref="O5:O30" si="3">IF(COUNTA($F5,$K5,$P5)&gt;0,O4+SUM(L5:N5),"")</f>
        <v>31700</v>
      </c>
      <c r="P5" s="8" t="s">
        <v>200</v>
      </c>
      <c r="Q5" s="9">
        <v>-7700</v>
      </c>
      <c r="R5" s="9"/>
      <c r="S5" s="48">
        <v>-1000</v>
      </c>
      <c r="T5" s="21">
        <f t="shared" ref="T5:T30" si="4">IF(COUNTA($F5,$K5,$P5)&gt;0,T4+SUM(Q5:S5),"")</f>
        <v>26300</v>
      </c>
      <c r="U5" s="53">
        <f>IF($J5="","",ROUND(($J5-$J$3)/1000,1)+(_xlfn.RANK.AVG($J5,($J5,$O5,$T5),1)-2)*10)</f>
        <v>22</v>
      </c>
      <c r="V5" s="54">
        <f>IF($O5="","",ROUND(($O5-$O$3)/1000,1)+(_xlfn.RANK.AVG($O5,($J5,$O5,$T5),1)-2)*10)</f>
        <v>-3.3</v>
      </c>
      <c r="W5" s="55">
        <f>IF($T5="","",ROUND(($T5-$T$3)/1000,1)+(_xlfn.RANK.AVG($T5,($J5,$O5,$T5),1)-2)*10)</f>
        <v>-18.7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4</v>
      </c>
      <c r="AY5" s="30">
        <v>30</v>
      </c>
      <c r="AZ5" s="40" t="s">
        <v>204</v>
      </c>
      <c r="BA5" s="41" t="s">
        <v>83</v>
      </c>
      <c r="BB5" s="41" t="s">
        <v>209</v>
      </c>
      <c r="BC5" s="41" t="s">
        <v>201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199</v>
      </c>
      <c r="G6" s="9">
        <v>8000</v>
      </c>
      <c r="H6" s="9"/>
      <c r="I6" s="48">
        <v>0</v>
      </c>
      <c r="J6" s="21">
        <f t="shared" si="2"/>
        <v>55000</v>
      </c>
      <c r="K6" s="8"/>
      <c r="L6" s="9"/>
      <c r="M6" s="9"/>
      <c r="N6" s="48"/>
      <c r="O6" s="21">
        <f t="shared" si="3"/>
        <v>31700</v>
      </c>
      <c r="P6" s="8" t="s">
        <v>200</v>
      </c>
      <c r="Q6" s="9">
        <v>-8000</v>
      </c>
      <c r="R6" s="9"/>
      <c r="S6" s="48">
        <v>0</v>
      </c>
      <c r="T6" s="21">
        <f t="shared" si="4"/>
        <v>18300</v>
      </c>
      <c r="U6" s="53">
        <f>IF($J6="","",ROUND(($J6-$J$3)/1000,1)+(_xlfn.RANK.AVG($J6,($J6,$O6,$T6),1)-2)*10)</f>
        <v>30</v>
      </c>
      <c r="V6" s="54">
        <f>IF($O6="","",ROUND(($O6-$O$3)/1000,1)+(_xlfn.RANK.AVG($O6,($J6,$O6,$T6),1)-2)*10)</f>
        <v>-3.3</v>
      </c>
      <c r="W6" s="55">
        <f>IF($T6="","",ROUND(($T6-$T$3)/1000,1)+(_xlfn.RANK.AVG($T6,($J6,$O6,$T6),1)-2)*10)</f>
        <v>-26.7</v>
      </c>
      <c r="Y6" s="8"/>
      <c r="Z6" s="34"/>
      <c r="AA6" s="26"/>
      <c r="AB6" s="26"/>
      <c r="AC6" s="26">
        <v>5</v>
      </c>
      <c r="AD6" s="30" t="s">
        <v>205</v>
      </c>
      <c r="AE6" s="40" t="s">
        <v>86</v>
      </c>
      <c r="AF6" s="41" t="s">
        <v>201</v>
      </c>
      <c r="AG6" s="41" t="s">
        <v>79</v>
      </c>
      <c r="AH6" s="41" t="s">
        <v>79</v>
      </c>
      <c r="AI6" s="41" t="s">
        <v>79</v>
      </c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195</v>
      </c>
      <c r="F7" s="8" t="s">
        <v>198</v>
      </c>
      <c r="G7" s="9">
        <v>-3000</v>
      </c>
      <c r="H7" s="9"/>
      <c r="I7" s="48"/>
      <c r="J7" s="21">
        <f t="shared" si="2"/>
        <v>52000</v>
      </c>
      <c r="K7" s="8" t="s">
        <v>198</v>
      </c>
      <c r="L7" s="9">
        <v>1500</v>
      </c>
      <c r="M7" s="9"/>
      <c r="N7" s="48"/>
      <c r="O7" s="21">
        <f t="shared" si="3"/>
        <v>33200</v>
      </c>
      <c r="P7" s="8" t="s">
        <v>198</v>
      </c>
      <c r="Q7" s="9">
        <v>1500</v>
      </c>
      <c r="R7" s="9"/>
      <c r="S7" s="48"/>
      <c r="T7" s="21">
        <f t="shared" si="4"/>
        <v>19800</v>
      </c>
      <c r="U7" s="53">
        <f>IF($J7="","",ROUND(($J7-$J$3)/1000,1)+(_xlfn.RANK.AVG($J7,($J7,$O7,$T7),1)-2)*10)</f>
        <v>27</v>
      </c>
      <c r="V7" s="54">
        <f>IF($O7="","",ROUND(($O7-$O$3)/1000,1)+(_xlfn.RANK.AVG($O7,($J7,$O7,$T7),1)-2)*10)</f>
        <v>-1.8</v>
      </c>
      <c r="W7" s="55">
        <f>IF($T7="","",ROUND(($T7-$T$3)/1000,1)+(_xlfn.RANK.AVG($T7,($J7,$O7,$T7),1)-2)*10)</f>
        <v>-25.2</v>
      </c>
      <c r="Y7" s="8" t="s">
        <v>197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208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208</v>
      </c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195</v>
      </c>
      <c r="F8" s="8" t="s">
        <v>202</v>
      </c>
      <c r="G8" s="9">
        <v>-1500</v>
      </c>
      <c r="H8" s="9"/>
      <c r="I8" s="48">
        <v>-500</v>
      </c>
      <c r="J8" s="21">
        <f t="shared" si="2"/>
        <v>50000</v>
      </c>
      <c r="K8" s="8" t="s">
        <v>203</v>
      </c>
      <c r="L8" s="9">
        <v>4000</v>
      </c>
      <c r="M8" s="9"/>
      <c r="N8" s="48">
        <v>1000</v>
      </c>
      <c r="O8" s="21">
        <f t="shared" si="3"/>
        <v>38200</v>
      </c>
      <c r="P8" s="8" t="s">
        <v>202</v>
      </c>
      <c r="Q8" s="9">
        <v>-2500</v>
      </c>
      <c r="R8" s="9"/>
      <c r="S8" s="48">
        <v>-500</v>
      </c>
      <c r="T8" s="21">
        <f t="shared" si="4"/>
        <v>16800</v>
      </c>
      <c r="U8" s="53">
        <f>IF($J8="","",ROUND(($J8-$J$3)/1000,1)+(_xlfn.RANK.AVG($J8,($J8,$O8,$T8),1)-2)*10)</f>
        <v>25</v>
      </c>
      <c r="V8" s="54">
        <f>IF($O8="","",ROUND(($O8-$O$3)/1000,1)+(_xlfn.RANK.AVG($O8,($J8,$O8,$T8),1)-2)*10)</f>
        <v>3.2</v>
      </c>
      <c r="W8" s="55">
        <f>IF($T8="","",ROUND(($T8-$T$3)/1000,1)+(_xlfn.RANK.AVG($T8,($J8,$O8,$T8),1)-2)*10)</f>
        <v>-28.2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3</v>
      </c>
      <c r="AY8" s="30">
        <v>30</v>
      </c>
      <c r="AZ8" s="40" t="s">
        <v>82</v>
      </c>
      <c r="BA8" s="41" t="s">
        <v>84</v>
      </c>
      <c r="BB8" s="41" t="s">
        <v>85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211</v>
      </c>
      <c r="F9" s="8"/>
      <c r="G9" s="9"/>
      <c r="H9" s="9"/>
      <c r="I9" s="48"/>
      <c r="J9" s="21">
        <f t="shared" si="2"/>
        <v>50000</v>
      </c>
      <c r="K9" s="8" t="s">
        <v>200</v>
      </c>
      <c r="L9" s="9">
        <v>-1300</v>
      </c>
      <c r="M9" s="9"/>
      <c r="N9" s="48">
        <v>0</v>
      </c>
      <c r="O9" s="21">
        <f t="shared" si="3"/>
        <v>36900</v>
      </c>
      <c r="P9" s="8" t="s">
        <v>199</v>
      </c>
      <c r="Q9" s="9">
        <v>1300</v>
      </c>
      <c r="R9" s="9"/>
      <c r="S9" s="48">
        <v>0</v>
      </c>
      <c r="T9" s="21">
        <f t="shared" si="4"/>
        <v>18100</v>
      </c>
      <c r="U9" s="53">
        <f>IF($J9="","",ROUND(($J9-$J$3)/1000,1)+(_xlfn.RANK.AVG($J9,($J9,$O9,$T9),1)-2)*10)</f>
        <v>25</v>
      </c>
      <c r="V9" s="54">
        <f>IF($O9="","",ROUND(($O9-$O$3)/1000,1)+(_xlfn.RANK.AVG($O9,($J9,$O9,$T9),1)-2)*10)</f>
        <v>1.9</v>
      </c>
      <c r="W9" s="55">
        <f>IF($T9="","",ROUND(($T9-$T$3)/1000,1)+(_xlfn.RANK.AVG($T9,($J9,$O9,$T9),1)-2)*10)</f>
        <v>-26.9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1</v>
      </c>
      <c r="BT9" s="30">
        <v>40</v>
      </c>
      <c r="BU9" s="40" t="s">
        <v>86</v>
      </c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191</v>
      </c>
      <c r="F10" s="8" t="s">
        <v>202</v>
      </c>
      <c r="G10" s="9">
        <v>-9000</v>
      </c>
      <c r="H10" s="9"/>
      <c r="I10" s="48">
        <v>0</v>
      </c>
      <c r="J10" s="21">
        <f t="shared" si="2"/>
        <v>41000</v>
      </c>
      <c r="K10" s="8" t="s">
        <v>203</v>
      </c>
      <c r="L10" s="9">
        <v>18000</v>
      </c>
      <c r="M10" s="9"/>
      <c r="N10" s="48">
        <v>0</v>
      </c>
      <c r="O10" s="21">
        <f t="shared" si="3"/>
        <v>54900</v>
      </c>
      <c r="P10" s="8" t="s">
        <v>202</v>
      </c>
      <c r="Q10" s="9">
        <v>-9000</v>
      </c>
      <c r="R10" s="9"/>
      <c r="S10" s="48">
        <v>0</v>
      </c>
      <c r="T10" s="21">
        <f t="shared" si="4"/>
        <v>9100</v>
      </c>
      <c r="U10" s="53">
        <f>IF($J10="","",ROUND(($J10-$J$3)/1000,1)+(_xlfn.RANK.AVG($J10,($J10,$O10,$T10),1)-2)*10)</f>
        <v>6</v>
      </c>
      <c r="V10" s="54">
        <f>IF($O10="","",ROUND(($O10-$O$3)/1000,1)+(_xlfn.RANK.AVG($O10,($J10,$O10,$T10),1)-2)*10)</f>
        <v>29.9</v>
      </c>
      <c r="W10" s="55">
        <f>IF($T10="","",ROUND(($T10-$T$3)/1000,1)+(_xlfn.RANK.AVG($T10,($J10,$O10,$T10),1)-2)*10)</f>
        <v>-35.9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6</v>
      </c>
      <c r="AY10" s="30" t="s">
        <v>205</v>
      </c>
      <c r="AZ10" s="40" t="s">
        <v>204</v>
      </c>
      <c r="BA10" s="41" t="s">
        <v>82</v>
      </c>
      <c r="BB10" s="41" t="s">
        <v>201</v>
      </c>
      <c r="BC10" s="41" t="s">
        <v>92</v>
      </c>
      <c r="BD10" s="41" t="s">
        <v>80</v>
      </c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">
        <v>191</v>
      </c>
      <c r="F11" s="8" t="s">
        <v>200</v>
      </c>
      <c r="G11" s="9">
        <v>-12000</v>
      </c>
      <c r="H11" s="9"/>
      <c r="I11" s="48">
        <v>-1000</v>
      </c>
      <c r="J11" s="21">
        <f t="shared" si="2"/>
        <v>28000</v>
      </c>
      <c r="K11" s="8" t="s">
        <v>199</v>
      </c>
      <c r="L11" s="9">
        <v>12000</v>
      </c>
      <c r="M11" s="9">
        <v>1000</v>
      </c>
      <c r="N11" s="48">
        <v>1000</v>
      </c>
      <c r="O11" s="21">
        <f t="shared" si="3"/>
        <v>68900</v>
      </c>
      <c r="P11" s="8"/>
      <c r="Q11" s="9"/>
      <c r="R11" s="9">
        <v>-1000</v>
      </c>
      <c r="S11" s="48"/>
      <c r="T11" s="21">
        <f t="shared" si="4"/>
        <v>8100</v>
      </c>
      <c r="U11" s="53">
        <f>IF($J11="","",ROUND(($J11-$J$3)/1000,1)+(_xlfn.RANK.AVG($J11,($J11,$O11,$T11),1)-2)*10)</f>
        <v>-7</v>
      </c>
      <c r="V11" s="54">
        <f>IF($O11="","",ROUND(($O11-$O$3)/1000,1)+(_xlfn.RANK.AVG($O11,($J11,$O11,$T11),1)-2)*10)</f>
        <v>43.9</v>
      </c>
      <c r="W11" s="55">
        <f>IF($T11="","",ROUND(($T11-$T$3)/1000,1)+(_xlfn.RANK.AVG($T11,($J11,$O11,$T11),1)-2)*10)</f>
        <v>-36.9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4</v>
      </c>
      <c r="AY11" s="30">
        <v>40</v>
      </c>
      <c r="AZ11" s="40" t="s">
        <v>98</v>
      </c>
      <c r="BA11" s="41" t="s">
        <v>86</v>
      </c>
      <c r="BB11" s="41" t="s">
        <v>86</v>
      </c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2</v>
      </c>
      <c r="D12" s="18">
        <f t="shared" si="1"/>
        <v>0</v>
      </c>
      <c r="E12" s="4" t="s">
        <v>191</v>
      </c>
      <c r="F12" s="8" t="s">
        <v>203</v>
      </c>
      <c r="G12" s="9">
        <v>1200</v>
      </c>
      <c r="H12" s="9">
        <v>1000</v>
      </c>
      <c r="I12" s="48">
        <v>2000</v>
      </c>
      <c r="J12" s="21">
        <f t="shared" si="2"/>
        <v>32200</v>
      </c>
      <c r="K12" s="8" t="s">
        <v>202</v>
      </c>
      <c r="L12" s="9">
        <v>-700</v>
      </c>
      <c r="M12" s="9">
        <v>-1000</v>
      </c>
      <c r="N12" s="48">
        <v>-1000</v>
      </c>
      <c r="O12" s="21">
        <f t="shared" si="3"/>
        <v>66200</v>
      </c>
      <c r="P12" s="8" t="s">
        <v>202</v>
      </c>
      <c r="Q12" s="9">
        <v>-500</v>
      </c>
      <c r="R12" s="9"/>
      <c r="S12" s="48">
        <v>-1000</v>
      </c>
      <c r="T12" s="21">
        <f t="shared" si="4"/>
        <v>6600</v>
      </c>
      <c r="U12" s="53">
        <f>IF($J12="","",ROUND(($J12-$J$3)/1000,1)+(_xlfn.RANK.AVG($J12,($J12,$O12,$T12),1)-2)*10)</f>
        <v>-2.8</v>
      </c>
      <c r="V12" s="54">
        <f>IF($O12="","",ROUND(($O12-$O$3)/1000,1)+(_xlfn.RANK.AVG($O12,($J12,$O12,$T12),1)-2)*10)</f>
        <v>41.2</v>
      </c>
      <c r="W12" s="55">
        <f>IF($T12="","",ROUND(($T12-$T$3)/1000,1)+(_xlfn.RANK.AVG($T12,($J12,$O12,$T12),1)-2)*10)</f>
        <v>-38.4</v>
      </c>
      <c r="Y12" s="8"/>
      <c r="Z12" s="34"/>
      <c r="AA12" s="26"/>
      <c r="AB12" s="26">
        <v>1</v>
      </c>
      <c r="AC12" s="26">
        <v>1</v>
      </c>
      <c r="AD12" s="30">
        <v>30</v>
      </c>
      <c r="AE12" s="40" t="s">
        <v>86</v>
      </c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195</v>
      </c>
      <c r="F13" s="8" t="s">
        <v>200</v>
      </c>
      <c r="G13" s="9">
        <v>-5800</v>
      </c>
      <c r="H13" s="9">
        <v>-1000</v>
      </c>
      <c r="I13" s="48">
        <v>0</v>
      </c>
      <c r="J13" s="21">
        <f t="shared" si="2"/>
        <v>25400</v>
      </c>
      <c r="K13" s="8"/>
      <c r="L13" s="9"/>
      <c r="M13" s="9"/>
      <c r="N13" s="48"/>
      <c r="O13" s="21">
        <f t="shared" si="3"/>
        <v>66200</v>
      </c>
      <c r="P13" s="8" t="s">
        <v>199</v>
      </c>
      <c r="Q13" s="9">
        <v>5800</v>
      </c>
      <c r="R13" s="9">
        <v>1000</v>
      </c>
      <c r="S13" s="48">
        <v>0</v>
      </c>
      <c r="T13" s="21">
        <f t="shared" si="4"/>
        <v>13400</v>
      </c>
      <c r="U13" s="53">
        <f>IF($J13="","",ROUND(($J13-$J$3)/1000,1)+(_xlfn.RANK.AVG($J13,($J13,$O13,$T13),1)-2)*10)</f>
        <v>-9.6</v>
      </c>
      <c r="V13" s="54">
        <f>IF($O13="","",ROUND(($O13-$O$3)/1000,1)+(_xlfn.RANK.AVG($O13,($J13,$O13,$T13),1)-2)*10)</f>
        <v>41.2</v>
      </c>
      <c r="W13" s="55">
        <f>IF($T13="","",ROUND(($T13-$T$3)/1000,1)+(_xlfn.RANK.AVG($T13,($J13,$O13,$T13),1)-2)*10)</f>
        <v>-31.6</v>
      </c>
      <c r="Y13" s="8"/>
      <c r="Z13" s="34"/>
      <c r="AA13" s="26">
        <v>1</v>
      </c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>
        <v>3</v>
      </c>
      <c r="BT13" s="30">
        <v>30</v>
      </c>
      <c r="BU13" s="40" t="s">
        <v>204</v>
      </c>
      <c r="BV13" s="41" t="s">
        <v>79</v>
      </c>
      <c r="BW13" s="41" t="s">
        <v>83</v>
      </c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1</v>
      </c>
      <c r="D14" s="18">
        <f t="shared" si="1"/>
        <v>0</v>
      </c>
      <c r="E14" s="4" t="s">
        <v>195</v>
      </c>
      <c r="F14" s="8" t="s">
        <v>202</v>
      </c>
      <c r="G14" s="9">
        <v>-5800</v>
      </c>
      <c r="H14" s="9"/>
      <c r="I14" s="48">
        <v>-500</v>
      </c>
      <c r="J14" s="21">
        <f t="shared" si="2"/>
        <v>19100</v>
      </c>
      <c r="K14" s="8" t="s">
        <v>202</v>
      </c>
      <c r="L14" s="9">
        <v>-5800</v>
      </c>
      <c r="M14" s="9"/>
      <c r="N14" s="48">
        <v>-500</v>
      </c>
      <c r="O14" s="21">
        <f t="shared" si="3"/>
        <v>59900</v>
      </c>
      <c r="P14" s="8" t="s">
        <v>203</v>
      </c>
      <c r="Q14" s="9">
        <v>11600</v>
      </c>
      <c r="R14" s="9"/>
      <c r="S14" s="48">
        <v>1000</v>
      </c>
      <c r="T14" s="21">
        <f t="shared" si="4"/>
        <v>26000</v>
      </c>
      <c r="U14" s="53">
        <f>IF($J14="","",ROUND(($J14-$J$3)/1000,1)+(_xlfn.RANK.AVG($J14,($J14,$O14,$T14),1)-2)*10)</f>
        <v>-25.9</v>
      </c>
      <c r="V14" s="54">
        <f>IF($O14="","",ROUND(($O14-$O$3)/1000,1)+(_xlfn.RANK.AVG($O14,($J14,$O14,$T14),1)-2)*10)</f>
        <v>34.9</v>
      </c>
      <c r="W14" s="55">
        <f>IF($T14="","",ROUND(($T14-$T$3)/1000,1)+(_xlfn.RANK.AVG($T14,($J14,$O14,$T14),1)-2)*10)</f>
        <v>-9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>
        <v>1</v>
      </c>
      <c r="BR14" s="26"/>
      <c r="BS14" s="26">
        <v>4</v>
      </c>
      <c r="BT14" s="30">
        <v>30</v>
      </c>
      <c r="BU14" s="40" t="s">
        <v>204</v>
      </c>
      <c r="BV14" s="41" t="s">
        <v>82</v>
      </c>
      <c r="BW14" s="41" t="s">
        <v>79</v>
      </c>
      <c r="BX14" s="41" t="s">
        <v>79</v>
      </c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3</v>
      </c>
      <c r="C15" s="18">
        <f t="shared" si="6"/>
        <v>2</v>
      </c>
      <c r="D15" s="18">
        <f t="shared" si="1"/>
        <v>0</v>
      </c>
      <c r="E15" s="4" t="s">
        <v>195</v>
      </c>
      <c r="F15" s="8" t="s">
        <v>200</v>
      </c>
      <c r="G15" s="9">
        <v>-7700</v>
      </c>
      <c r="H15" s="9">
        <v>-1000</v>
      </c>
      <c r="I15" s="48">
        <v>-2000</v>
      </c>
      <c r="J15" s="21">
        <f t="shared" si="2"/>
        <v>8400</v>
      </c>
      <c r="K15" s="8"/>
      <c r="L15" s="9"/>
      <c r="M15" s="9"/>
      <c r="N15" s="48"/>
      <c r="O15" s="21">
        <f t="shared" si="3"/>
        <v>59900</v>
      </c>
      <c r="P15" s="8" t="s">
        <v>199</v>
      </c>
      <c r="Q15" s="9">
        <v>7700</v>
      </c>
      <c r="R15" s="9">
        <v>1000</v>
      </c>
      <c r="S15" s="48">
        <v>2000</v>
      </c>
      <c r="T15" s="21">
        <f t="shared" si="4"/>
        <v>36700</v>
      </c>
      <c r="U15" s="53">
        <f>IF($J15="","",ROUND(($J15-$J$3)/1000,1)+(_xlfn.RANK.AVG($J15,($J15,$O15,$T15),1)-2)*10)</f>
        <v>-36.6</v>
      </c>
      <c r="V15" s="54">
        <f>IF($O15="","",ROUND(($O15-$O$3)/1000,1)+(_xlfn.RANK.AVG($O15,($J15,$O15,$T15),1)-2)*10)</f>
        <v>34.9</v>
      </c>
      <c r="W15" s="55">
        <f>IF($T15="","",ROUND(($T15-$T$3)/1000,1)+(_xlfn.RANK.AVG($T15,($J15,$O15,$T15),1)-2)*10)</f>
        <v>1.7</v>
      </c>
      <c r="Y15" s="8"/>
      <c r="Z15" s="34"/>
      <c r="AA15" s="26">
        <v>1</v>
      </c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>
        <v>1</v>
      </c>
      <c r="BR15" s="26"/>
      <c r="BS15" s="26">
        <v>3</v>
      </c>
      <c r="BT15" s="30">
        <v>40</v>
      </c>
      <c r="BU15" s="40" t="s">
        <v>204</v>
      </c>
      <c r="BV15" s="41" t="s">
        <v>201</v>
      </c>
      <c r="BW15" s="41" t="s">
        <v>80</v>
      </c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南</v>
      </c>
      <c r="B16" s="18">
        <f t="shared" si="5"/>
        <v>3</v>
      </c>
      <c r="C16" s="18">
        <f t="shared" si="6"/>
        <v>3</v>
      </c>
      <c r="D16" s="18">
        <f t="shared" si="1"/>
        <v>0</v>
      </c>
      <c r="E16" s="4" t="s">
        <v>195</v>
      </c>
      <c r="F16" s="8" t="s">
        <v>202</v>
      </c>
      <c r="G16" s="9">
        <v>-3000</v>
      </c>
      <c r="H16" s="9"/>
      <c r="I16" s="48">
        <v>-1500</v>
      </c>
      <c r="J16" s="21">
        <f t="shared" si="2"/>
        <v>3900</v>
      </c>
      <c r="K16" s="8" t="s">
        <v>203</v>
      </c>
      <c r="L16" s="9">
        <v>8000</v>
      </c>
      <c r="M16" s="9">
        <v>1000</v>
      </c>
      <c r="N16" s="48">
        <v>3000</v>
      </c>
      <c r="O16" s="21">
        <f t="shared" si="3"/>
        <v>71900</v>
      </c>
      <c r="P16" s="8" t="s">
        <v>202</v>
      </c>
      <c r="Q16" s="9">
        <v>-5000</v>
      </c>
      <c r="R16" s="9">
        <v>-1000</v>
      </c>
      <c r="S16" s="48">
        <v>-1500</v>
      </c>
      <c r="T16" s="21">
        <f t="shared" si="4"/>
        <v>29200</v>
      </c>
      <c r="U16" s="53">
        <f>IF($J16="","",ROUND(($J16-$J$3)/1000,1)+(_xlfn.RANK.AVG($J16,($J16,$O16,$T16),1)-2)*10)</f>
        <v>-41.1</v>
      </c>
      <c r="V16" s="54">
        <f>IF($O16="","",ROUND(($O16-$O$3)/1000,1)+(_xlfn.RANK.AVG($O16,($J16,$O16,$T16),1)-2)*10)</f>
        <v>46.9</v>
      </c>
      <c r="W16" s="55">
        <f>IF($T16="","",ROUND(($T16-$T$3)/1000,1)+(_xlfn.RANK.AVG($T16,($J16,$O16,$T16),1)-2)*10)</f>
        <v>-5.8</v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>
        <v>1</v>
      </c>
      <c r="AW16" s="26"/>
      <c r="AX16" s="26">
        <v>4</v>
      </c>
      <c r="AY16" s="30">
        <v>40</v>
      </c>
      <c r="AZ16" s="40" t="s">
        <v>204</v>
      </c>
      <c r="BA16" s="41" t="s">
        <v>82</v>
      </c>
      <c r="BB16" s="41" t="s">
        <v>86</v>
      </c>
      <c r="BC16" s="41" t="s">
        <v>79</v>
      </c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>
        <v>1</v>
      </c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>西</v>
      </c>
      <c r="B17" s="18">
        <f t="shared" si="5"/>
        <v>1</v>
      </c>
      <c r="C17" s="18">
        <f t="shared" si="6"/>
        <v>0</v>
      </c>
      <c r="D17" s="18">
        <f t="shared" si="1"/>
        <v>0</v>
      </c>
      <c r="E17" s="4" t="s">
        <v>211</v>
      </c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92AD5A0C-6265-487D-8187-C882386969F9}">
      <formula1>"たかの,だいち,ただ,りくと,れんたろう,まっつん,のり,ぱぱ,ほたに,いっしー,"</formula1>
    </dataValidation>
    <dataValidation type="list" allowBlank="1" showInputMessage="1" showErrorMessage="1" sqref="E4:E30" xr:uid="{1A920923-1CB8-4F83-B06E-703CFBAE8CD7}">
      <formula1>$U$2:$W$2</formula1>
    </dataValidation>
    <dataValidation type="list" showInputMessage="1" showErrorMessage="1" sqref="K4:K30 P4:P30 F4:F30" xr:uid="{D7240E40-BBF8-4410-8737-3A453DC06823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Sheet2</vt:lpstr>
      <vt:lpstr>Sheet3</vt:lpstr>
      <vt:lpstr>Sheet4</vt:lpstr>
      <vt:lpstr>Sheet5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2019-11-05T15:29:58Z</dcterms:modified>
</cp:coreProperties>
</file>