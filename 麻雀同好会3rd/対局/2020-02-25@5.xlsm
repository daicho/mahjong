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01FB48D-1653-46F3-BC15-E9791B0BCD5F}" xr6:coauthVersionLast="44" xr6:coauthVersionMax="44" xr10:uidLastSave="{00000000-0000-0000-0000-000000000000}"/>
  <bookViews>
    <workbookView xWindow="-108" yWindow="-108" windowWidth="23256" windowHeight="1272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4" r:id="rId5"/>
    <sheet name="Sheet6" sheetId="25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D12" i="25"/>
  <c r="D13" i="25" s="1"/>
  <c r="D11" i="25"/>
  <c r="C11" i="25"/>
  <c r="C12" i="25" s="1"/>
  <c r="C13" i="25" s="1"/>
  <c r="D10" i="25"/>
  <c r="C10" i="25"/>
  <c r="D9" i="25"/>
  <c r="C9" i="25"/>
  <c r="D8" i="25"/>
  <c r="C7" i="25"/>
  <c r="C8" i="25" s="1"/>
  <c r="D6" i="25"/>
  <c r="D7" i="25" s="1"/>
  <c r="C6" i="25"/>
  <c r="T5" i="25"/>
  <c r="T6" i="25" s="1"/>
  <c r="O5" i="25"/>
  <c r="D5" i="25"/>
  <c r="T4" i="25"/>
  <c r="O4" i="25"/>
  <c r="V4" i="25" s="1"/>
  <c r="J4" i="25"/>
  <c r="E4" i="25"/>
  <c r="C5" i="25" s="1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J13" i="24"/>
  <c r="U13" i="24" s="1"/>
  <c r="D13" i="24"/>
  <c r="C13" i="24"/>
  <c r="B13" i="24"/>
  <c r="A13" i="24" s="1"/>
  <c r="T12" i="24"/>
  <c r="W12" i="24" s="1"/>
  <c r="O12" i="24"/>
  <c r="V12" i="24" s="1"/>
  <c r="J12" i="24"/>
  <c r="D12" i="24"/>
  <c r="C12" i="24"/>
  <c r="B12" i="24"/>
  <c r="A12" i="24" s="1"/>
  <c r="C9" i="24"/>
  <c r="C10" i="24" s="1"/>
  <c r="C11" i="24" s="1"/>
  <c r="D8" i="24"/>
  <c r="D9" i="24" s="1"/>
  <c r="D10" i="24" s="1"/>
  <c r="D11" i="24" s="1"/>
  <c r="C8" i="24"/>
  <c r="D7" i="24"/>
  <c r="C7" i="24"/>
  <c r="D6" i="24"/>
  <c r="C6" i="24"/>
  <c r="T5" i="24"/>
  <c r="T6" i="24" s="1"/>
  <c r="O5" i="24"/>
  <c r="D5" i="24"/>
  <c r="T4" i="24"/>
  <c r="O4" i="24"/>
  <c r="J4" i="24"/>
  <c r="U4" i="24" s="1"/>
  <c r="E4" i="24"/>
  <c r="B5" i="24" s="1"/>
  <c r="W3" i="24"/>
  <c r="V3" i="24"/>
  <c r="U3" i="24"/>
  <c r="W2" i="24"/>
  <c r="V2" i="24"/>
  <c r="U2" i="24"/>
  <c r="BO1" i="24"/>
  <c r="AT1" i="24"/>
  <c r="Y1" i="24"/>
  <c r="U4" i="25" l="1"/>
  <c r="W4" i="25"/>
  <c r="T7" i="25"/>
  <c r="J5" i="25"/>
  <c r="V5" i="25" s="1"/>
  <c r="O6" i="25"/>
  <c r="B5" i="25"/>
  <c r="V13" i="24"/>
  <c r="U12" i="24"/>
  <c r="V4" i="24"/>
  <c r="W4" i="24"/>
  <c r="A5" i="24"/>
  <c r="B6" i="24"/>
  <c r="A6" i="24" s="1"/>
  <c r="T7" i="24"/>
  <c r="V5" i="24"/>
  <c r="C5" i="24"/>
  <c r="J5" i="24"/>
  <c r="O6" i="24"/>
  <c r="T8" i="25" l="1"/>
  <c r="W5" i="25"/>
  <c r="U5" i="25"/>
  <c r="J6" i="25"/>
  <c r="A5" i="25"/>
  <c r="B6" i="25"/>
  <c r="A6" i="25" s="1"/>
  <c r="O7" i="25"/>
  <c r="B7" i="24"/>
  <c r="A7" i="24" s="1"/>
  <c r="O7" i="24"/>
  <c r="W5" i="24"/>
  <c r="U5" i="24"/>
  <c r="J6" i="24"/>
  <c r="T8" i="24"/>
  <c r="U6" i="25" l="1"/>
  <c r="J7" i="25"/>
  <c r="W6" i="25"/>
  <c r="T9" i="25"/>
  <c r="O8" i="25"/>
  <c r="V6" i="25"/>
  <c r="B7" i="25"/>
  <c r="A7" i="25" s="1"/>
  <c r="T9" i="24"/>
  <c r="B8" i="24"/>
  <c r="O8" i="24"/>
  <c r="U6" i="24"/>
  <c r="J7" i="24"/>
  <c r="W6" i="24"/>
  <c r="V6" i="24"/>
  <c r="U7" i="25" l="1"/>
  <c r="J8" i="25"/>
  <c r="V8" i="25" s="1"/>
  <c r="W7" i="25"/>
  <c r="O9" i="25"/>
  <c r="T10" i="25"/>
  <c r="B8" i="25"/>
  <c r="V7" i="25"/>
  <c r="U7" i="24"/>
  <c r="J8" i="24"/>
  <c r="V8" i="24" s="1"/>
  <c r="W7" i="24"/>
  <c r="B9" i="24"/>
  <c r="T10" i="24"/>
  <c r="O9" i="24"/>
  <c r="V7" i="24"/>
  <c r="A8" i="24"/>
  <c r="B9" i="25" l="1"/>
  <c r="O10" i="25"/>
  <c r="T11" i="25"/>
  <c r="U8" i="25"/>
  <c r="J9" i="25"/>
  <c r="V9" i="25" s="1"/>
  <c r="W8" i="25"/>
  <c r="A8" i="25"/>
  <c r="A9" i="24"/>
  <c r="O10" i="24"/>
  <c r="U8" i="24"/>
  <c r="J9" i="24"/>
  <c r="V9" i="24" s="1"/>
  <c r="W8" i="24"/>
  <c r="T11" i="24"/>
  <c r="B10" i="24"/>
  <c r="A10" i="24" s="1"/>
  <c r="A9" i="25" l="1"/>
  <c r="U9" i="25"/>
  <c r="J10" i="25"/>
  <c r="W9" i="25"/>
  <c r="T12" i="25"/>
  <c r="V10" i="25"/>
  <c r="O11" i="25"/>
  <c r="B10" i="25"/>
  <c r="A10" i="25" s="1"/>
  <c r="B11" i="24"/>
  <c r="A11" i="24" s="1"/>
  <c r="O11" i="24"/>
  <c r="U9" i="24"/>
  <c r="J10" i="24"/>
  <c r="W9" i="24"/>
  <c r="T13" i="25" l="1"/>
  <c r="V11" i="25"/>
  <c r="O12" i="25"/>
  <c r="U10" i="25"/>
  <c r="J11" i="25"/>
  <c r="W10" i="25"/>
  <c r="B11" i="25"/>
  <c r="U10" i="24"/>
  <c r="J11" i="24"/>
  <c r="W10" i="24"/>
  <c r="V10" i="24"/>
  <c r="V11" i="24"/>
  <c r="B12" i="25" l="1"/>
  <c r="J12" i="25"/>
  <c r="U11" i="25"/>
  <c r="W11" i="25"/>
  <c r="V12" i="25"/>
  <c r="O13" i="25"/>
  <c r="A11" i="25"/>
  <c r="A12" i="25" s="1"/>
  <c r="U11" i="24"/>
  <c r="W11" i="24"/>
  <c r="U12" i="25" l="1"/>
  <c r="J13" i="25"/>
  <c r="W12" i="25"/>
  <c r="V13" i="25"/>
  <c r="B13" i="25"/>
  <c r="A13" i="25" s="1"/>
  <c r="U13" i="25" l="1"/>
  <c r="W13" i="25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O11" i="22"/>
  <c r="J11" i="22"/>
  <c r="D11" i="22"/>
  <c r="C11" i="22"/>
  <c r="B11" i="22"/>
  <c r="A11" i="22"/>
  <c r="T10" i="22"/>
  <c r="O10" i="22"/>
  <c r="J10" i="22"/>
  <c r="U10" i="22" s="1"/>
  <c r="D10" i="22"/>
  <c r="C10" i="22"/>
  <c r="B10" i="22"/>
  <c r="A10" i="22"/>
  <c r="T9" i="22"/>
  <c r="O9" i="22"/>
  <c r="J9" i="22"/>
  <c r="U9" i="22" s="1"/>
  <c r="D9" i="22"/>
  <c r="C9" i="22"/>
  <c r="B9" i="22"/>
  <c r="A9" i="22" s="1"/>
  <c r="T8" i="22"/>
  <c r="W8" i="22" s="1"/>
  <c r="O8" i="22"/>
  <c r="V8" i="22" s="1"/>
  <c r="J8" i="22"/>
  <c r="U8" i="22" s="1"/>
  <c r="D8" i="22"/>
  <c r="C8" i="22"/>
  <c r="B8" i="22"/>
  <c r="A8" i="22" s="1"/>
  <c r="D7" i="22"/>
  <c r="D6" i="22"/>
  <c r="O5" i="22"/>
  <c r="J5" i="22"/>
  <c r="D5" i="22"/>
  <c r="T4" i="22"/>
  <c r="O4" i="22"/>
  <c r="V4" i="22" s="1"/>
  <c r="J4" i="22"/>
  <c r="E4" i="22"/>
  <c r="C5" i="22" s="1"/>
  <c r="C6" i="22" s="1"/>
  <c r="C7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T9" i="21"/>
  <c r="W9" i="21" s="1"/>
  <c r="O9" i="21"/>
  <c r="V9" i="21" s="1"/>
  <c r="J9" i="21"/>
  <c r="U9" i="21" s="1"/>
  <c r="D9" i="21"/>
  <c r="C9" i="21"/>
  <c r="B9" i="21"/>
  <c r="A9" i="21"/>
  <c r="D8" i="21"/>
  <c r="D7" i="21"/>
  <c r="D6" i="21"/>
  <c r="T5" i="21"/>
  <c r="T6" i="21" s="1"/>
  <c r="O5" i="21"/>
  <c r="D5" i="21"/>
  <c r="T4" i="21"/>
  <c r="O4" i="21"/>
  <c r="J4" i="21"/>
  <c r="E4" i="21"/>
  <c r="C5" i="21" s="1"/>
  <c r="C6" i="21" s="1"/>
  <c r="C7" i="21" s="1"/>
  <c r="C8" i="21" s="1"/>
  <c r="W3" i="21"/>
  <c r="V3" i="21"/>
  <c r="U3" i="21"/>
  <c r="W2" i="21"/>
  <c r="V2" i="21"/>
  <c r="U2" i="21"/>
  <c r="BO1" i="21"/>
  <c r="AT1" i="21"/>
  <c r="Y1" i="21"/>
  <c r="V11" i="22" l="1"/>
  <c r="U11" i="22"/>
  <c r="W11" i="22"/>
  <c r="V10" i="22"/>
  <c r="W10" i="22"/>
  <c r="V9" i="22"/>
  <c r="W9" i="22"/>
  <c r="W4" i="22"/>
  <c r="U4" i="22"/>
  <c r="B5" i="22"/>
  <c r="T5" i="22"/>
  <c r="U5" i="22" s="1"/>
  <c r="J6" i="22"/>
  <c r="O6" i="22"/>
  <c r="V4" i="21"/>
  <c r="W4" i="21"/>
  <c r="U4" i="21"/>
  <c r="T7" i="21"/>
  <c r="J5" i="21"/>
  <c r="V5" i="21" s="1"/>
  <c r="O6" i="21"/>
  <c r="B5" i="21"/>
  <c r="V5" i="22" l="1"/>
  <c r="J7" i="22"/>
  <c r="B6" i="22"/>
  <c r="A5" i="22"/>
  <c r="O7" i="22"/>
  <c r="W5" i="22"/>
  <c r="T6" i="22"/>
  <c r="T8" i="21"/>
  <c r="A5" i="21"/>
  <c r="B6" i="21"/>
  <c r="A6" i="21" s="1"/>
  <c r="O7" i="21"/>
  <c r="U5" i="21"/>
  <c r="J6" i="21"/>
  <c r="W5" i="21"/>
  <c r="W6" i="22" l="1"/>
  <c r="T7" i="22"/>
  <c r="W7" i="22" s="1"/>
  <c r="U6" i="22"/>
  <c r="B7" i="22"/>
  <c r="V6" i="22"/>
  <c r="A6" i="22"/>
  <c r="O8" i="21"/>
  <c r="U6" i="21"/>
  <c r="J7" i="21"/>
  <c r="V7" i="21" s="1"/>
  <c r="W6" i="21"/>
  <c r="V6" i="21"/>
  <c r="B7" i="21"/>
  <c r="A7" i="21" s="1"/>
  <c r="A7" i="22" l="1"/>
  <c r="U7" i="22"/>
  <c r="V7" i="22"/>
  <c r="B8" i="21"/>
  <c r="A8" i="21" s="1"/>
  <c r="U7" i="21"/>
  <c r="J8" i="21"/>
  <c r="V8" i="21" s="1"/>
  <c r="W7" i="21"/>
  <c r="U8" i="21" l="1"/>
  <c r="W8" i="2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 s="1"/>
  <c r="T9" i="20"/>
  <c r="O9" i="20"/>
  <c r="J9" i="20"/>
  <c r="U9" i="20" s="1"/>
  <c r="D9" i="20"/>
  <c r="C9" i="20"/>
  <c r="B9" i="20"/>
  <c r="A9" i="20" s="1"/>
  <c r="T8" i="20"/>
  <c r="O8" i="20"/>
  <c r="J8" i="20"/>
  <c r="U8" i="20" s="1"/>
  <c r="D8" i="20"/>
  <c r="C8" i="20"/>
  <c r="B8" i="20"/>
  <c r="A8" i="20" s="1"/>
  <c r="D7" i="20"/>
  <c r="C7" i="20"/>
  <c r="J6" i="20"/>
  <c r="J7" i="20" s="1"/>
  <c r="D6" i="20"/>
  <c r="C6" i="20"/>
  <c r="T5" i="20"/>
  <c r="O5" i="20"/>
  <c r="V5" i="20" s="1"/>
  <c r="J5" i="20"/>
  <c r="D5" i="20"/>
  <c r="T4" i="20"/>
  <c r="O4" i="20"/>
  <c r="J4" i="20"/>
  <c r="U4" i="20" s="1"/>
  <c r="E4" i="20"/>
  <c r="B5" i="20" s="1"/>
  <c r="W3" i="20"/>
  <c r="V3" i="20"/>
  <c r="U3" i="20"/>
  <c r="W2" i="20"/>
  <c r="V2" i="20"/>
  <c r="U2" i="20"/>
  <c r="BO1" i="20"/>
  <c r="AT1" i="20"/>
  <c r="Y1" i="20"/>
  <c r="V9" i="20" l="1"/>
  <c r="W9" i="20"/>
  <c r="W8" i="20"/>
  <c r="V8" i="20"/>
  <c r="W5" i="20"/>
  <c r="V4" i="20"/>
  <c r="W4" i="20"/>
  <c r="B6" i="20"/>
  <c r="A5" i="20"/>
  <c r="U6" i="20"/>
  <c r="U5" i="20"/>
  <c r="O6" i="20"/>
  <c r="T6" i="20"/>
  <c r="C5" i="20"/>
  <c r="E4" i="19"/>
  <c r="A6" i="20" l="1"/>
  <c r="B7" i="20"/>
  <c r="A7" i="20" s="1"/>
  <c r="W6" i="20"/>
  <c r="T7" i="20"/>
  <c r="V6" i="20"/>
  <c r="O7" i="20"/>
  <c r="W3" i="19"/>
  <c r="V3" i="19"/>
  <c r="U3" i="19"/>
  <c r="W7" i="20" l="1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<sst xmlns="http://schemas.openxmlformats.org/spreadsheetml/2006/main" count="1027" uniqueCount="219">
  <si>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</si>
  <si>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</si>
  <si>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</si>
  <si>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</si>
  <si>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</si>
  <si>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</si>
  <si>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</si>
  <si>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</si>
  <si>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</si>
  <si>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</si>
  <si>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</si>
  <si>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</si>
  <si>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</si>
  <si>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</si>
  <si>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</si>
  <si>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</si>
  <si>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</si>
  <si>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</si>
  <si>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</si>
  <si>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</si>
  <si>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</si>
  <si>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</si>
  <si>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</si>
  <si>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</si>
  <si>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</si>
  <si>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</si>
  <si>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</si>
  <si>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</si>
  <si>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</si>
  <si>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</si>
  <si>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</si>
  <si>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</si>
  <si>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</si>
  <si>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</si>
  <si>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</si>
  <si>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</si>
  <si>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</si>
  <si>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</si>
  <si>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</si>
  <si>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</si>
  <si>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</si>
  <si>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</si>
  <si>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</si>
  <si>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</si>
  <si>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</si>
  <si>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</si>
  <si>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</si>
  <si>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</si>
  <si>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</si>
  <si>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</si>
  <si>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</si>
  <si>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</si>
  <si>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</si>
  <si>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</si>
  <si>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</si>
  <si>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</si>
  <si>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</si>
  <si>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</si>
  <si>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</si>
  <si>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</si>
  <si>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</si>
  <si>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</si>
  <si>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</si>
  <si>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</si>
  <si>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</si>
  <si>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</si>
  <si>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</si>
  <si>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</si>
  <si>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</si>
  <si>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</si>
  <si>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</si>
  <si>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</si>
  <si>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</si>
  <si>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</si>
  <si>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</si>
  <si>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</si>
  <si>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</si>
  <si>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</si>
  <si>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</si>
  <si>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</si>
  <si>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</si>
  <si>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</si>
  <si>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</si>
  <si>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</si>
  <si>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</si>
  <si>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</si>
  <si>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</si>
  <si>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</si>
  <si>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</si>
  <si>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</si>
  <si>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</si>
  <si>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</si>
  <si>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</si>
  <si>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</si>
  <si>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</si>
  <si>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</si>
  <si>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</si>
  <si>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</si>
  <si>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</si>
  <si>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</si>
  <si>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</si>
  <si>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</si>
  <si>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</si>
  <si>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</si>
  <si>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</si>
  <si>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</si>
  <si>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</si>
  <si>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</si>
  <si>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</si>
  <si>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</si>
  <si>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</si>
  <si>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</si>
  <si>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</si>
  <si>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</si>
  <si>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</si>
  <si>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</si>
  <si>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</si>
  <si>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</si>
  <si>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</si>
  <si>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</si>
  <si>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</si>
  <si>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</si>
  <si>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</si>
  <si>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</si>
  <si>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</si>
  <si>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</si>
  <si>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</si>
  <si>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</si>
  <si>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</si>
  <si>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</si>
  <si>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</si>
  <si>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</si>
  <si>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</si>
  <si>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</si>
  <si>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</si>
  <si>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</si>
  <si>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</si>
  <si>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</si>
  <si>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</si>
  <si>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</si>
  <si>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</si>
  <si>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</si>
  <si>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</si>
  <si>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</si>
  <si>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</si>
  <si>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</si>
  <si>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</si>
  <si>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</si>
  <si>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</si>
  <si>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</si>
  <si>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</si>
  <si>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</si>
  <si>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</si>
  <si>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</si>
  <si>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</si>
  <si>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</si>
  <si>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</si>
  <si>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</si>
  <si>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</si>
  <si>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</si>
  <si>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</si>
  <si>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</si>
  <si>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</si>
  <si>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</si>
  <si>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</si>
  <si>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</si>
  <si>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</si>
  <si>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</si>
  <si>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</si>
  <si>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</si>
  <si>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</si>
  <si>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</si>
  <si>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</si>
  <si>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</si>
  <si>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</si>
  <si>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</si>
  <si>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</si>
  <si>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</si>
  <si>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</si>
  <si>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</si>
  <si>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</si>
  <si>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</si>
  <si>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</si>
  <si>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</si>
  <si>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</si>
  <si>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</si>
  <si>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</si>
  <si>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</si>
  <si>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</si>
  <si>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</si>
  <si>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</si>
  <si>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ともき</t>
  </si>
  <si>
    <t>ともき</t>
    <phoneticPr fontId="1"/>
  </si>
  <si>
    <t>のり</t>
  </si>
  <si>
    <t>のり</t>
    <phoneticPr fontId="1"/>
  </si>
  <si>
    <t>だいち</t>
  </si>
  <si>
    <t>だいち</t>
    <phoneticPr fontId="1"/>
  </si>
  <si>
    <t>放銃</t>
  </si>
  <si>
    <t>ロン</t>
  </si>
  <si>
    <t>*</t>
  </si>
  <si>
    <t>01</t>
  </si>
  <si>
    <t>ツモ支払</t>
  </si>
  <si>
    <t>ツモ</t>
  </si>
  <si>
    <t>02</t>
  </si>
  <si>
    <t>N</t>
  </si>
  <si>
    <t>T</t>
  </si>
  <si>
    <t>流局</t>
    <phoneticPr fontId="1"/>
  </si>
  <si>
    <t>りくと</t>
  </si>
  <si>
    <t>りくと</t>
    <phoneticPr fontId="1"/>
  </si>
  <si>
    <t>れんたろう</t>
  </si>
  <si>
    <t>れんたろう</t>
    <phoneticPr fontId="1"/>
  </si>
  <si>
    <t>ぱぱ</t>
  </si>
  <si>
    <t>ぱぱ</t>
    <phoneticPr fontId="1"/>
  </si>
  <si>
    <t>流局</t>
    <phoneticPr fontId="1"/>
  </si>
  <si>
    <t>52</t>
  </si>
  <si>
    <t>まっつん</t>
  </si>
  <si>
    <t>まっつん</t>
    <phoneticPr fontId="1"/>
  </si>
  <si>
    <t>51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</si>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</sst>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ともき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ともき</v>
      </c>
      <c r="V2" s="64" t="str">
        <f>$K$1</f>
        <v>のり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ともき</v>
      </c>
      <c r="F4" s="8" t="s">
        <v>197</v>
      </c>
      <c r="G4" s="9">
        <v>-24000</v>
      </c>
      <c r="H4" s="9">
        <v>-1000</v>
      </c>
      <c r="I4" s="48">
        <v>0</v>
      </c>
      <c r="J4" s="21">
        <f>IF(COUNTA($F4,$K4,$P4)&gt;0,J3+SUM(G4:I4),"")</f>
        <v>10000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24000</v>
      </c>
      <c r="R4" s="9">
        <v>1000</v>
      </c>
      <c r="S4" s="48">
        <v>0</v>
      </c>
      <c r="T4" s="21">
        <f>IF(COUNTA($F4,$K4,$P4)&gt;0,T3+SUM(Q4:S4),"")</f>
        <v>60000</v>
      </c>
      <c r="U4" s="53">
        <f>IF($J4="","",ROUND(($J4-$J$3)/1000,1)+(_xlfn.RANK.AVG($J4,($J4,$O4,$T4),1)-2)*10)</f>
        <v>-35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35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11</v>
      </c>
      <c r="BT4" s="30" t="s">
        <v>199</v>
      </c>
      <c r="BU4" s="40" t="s">
        <v>106</v>
      </c>
      <c r="BV4" s="41" t="s">
        <v>83</v>
      </c>
      <c r="BW4" s="41" t="s">
        <v>92</v>
      </c>
      <c r="BX4" s="41" t="s">
        <v>80</v>
      </c>
      <c r="BY4" s="41" t="s">
        <v>200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-2900</v>
      </c>
      <c r="H5" s="9">
        <v>-1000</v>
      </c>
      <c r="I5" s="48">
        <v>0</v>
      </c>
      <c r="J5" s="21">
        <f t="shared" ref="J5:J30" si="2">IF(COUNTA($F5,$K5,$P5)&gt;0,J4+SUM(G5:I5),"")</f>
        <v>6100</v>
      </c>
      <c r="K5" s="8" t="s">
        <v>201</v>
      </c>
      <c r="L5" s="9">
        <v>-4800</v>
      </c>
      <c r="M5" s="9"/>
      <c r="N5" s="48">
        <v>0</v>
      </c>
      <c r="O5" s="21">
        <f t="shared" ref="O5:O30" si="3">IF(COUNTA($F5,$K5,$P5)&gt;0,O4+SUM(L5:N5),"")</f>
        <v>30200</v>
      </c>
      <c r="P5" s="8" t="s">
        <v>202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68700</v>
      </c>
      <c r="U5" s="53">
        <f>IF($J5="","",ROUND(($J5-$J$3)/1000,1)+(_xlfn.RANK.AVG($J5,($J5,$O5,$T5),1)-2)*10)</f>
        <v>-38.9</v>
      </c>
      <c r="V5" s="54">
        <f>IF($O5="","",ROUND(($O5-$O$3)/1000,1)+(_xlfn.RANK.AVG($O5,($J5,$O5,$T5),1)-2)*10)</f>
        <v>-4.8</v>
      </c>
      <c r="W5" s="55">
        <f>IF($T5="","",ROUND(($T5-$T$3)/1000,1)+(_xlfn.RANK.AVG($T5,($J5,$O5,$T5),1)-2)*10)</f>
        <v>43.7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60</v>
      </c>
      <c r="BU5" s="40" t="s">
        <v>98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-6000</v>
      </c>
      <c r="H6" s="9"/>
      <c r="I6" s="48">
        <v>0</v>
      </c>
      <c r="J6" s="21">
        <f t="shared" si="2"/>
        <v>100</v>
      </c>
      <c r="K6" s="8" t="s">
        <v>201</v>
      </c>
      <c r="L6" s="9">
        <v>-6000</v>
      </c>
      <c r="M6" s="9"/>
      <c r="N6" s="48">
        <v>0</v>
      </c>
      <c r="O6" s="21">
        <f t="shared" si="3"/>
        <v>24200</v>
      </c>
      <c r="P6" s="8" t="s">
        <v>202</v>
      </c>
      <c r="Q6" s="9">
        <v>12000</v>
      </c>
      <c r="R6" s="9"/>
      <c r="S6" s="48">
        <v>0</v>
      </c>
      <c r="T6" s="21">
        <f t="shared" si="4"/>
        <v>80700</v>
      </c>
      <c r="U6" s="53">
        <f>IF($J6="","",ROUND(($J6-$J$3)/1000,1)+(_xlfn.RANK.AVG($J6,($J6,$O6,$T6),1)-2)*10)</f>
        <v>-44.9</v>
      </c>
      <c r="V6" s="54">
        <f>IF($O6="","",ROUND(($O6-$O$3)/1000,1)+(_xlfn.RANK.AVG($O6,($J6,$O6,$T6),1)-2)*10)</f>
        <v>-10.8</v>
      </c>
      <c r="W6" s="55">
        <f>IF($T6="","",ROUND(($T6-$T$3)/1000,1)+(_xlfn.RANK.AVG($T6,($J6,$O6,$T6),1)-2)*10)</f>
        <v>55.7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200</v>
      </c>
      <c r="BV6" s="41" t="s">
        <v>82</v>
      </c>
      <c r="BW6" s="41" t="s">
        <v>84</v>
      </c>
      <c r="BX6" s="41" t="s">
        <v>83</v>
      </c>
      <c r="BY6" s="41" t="s">
        <v>203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206</v>
      </c>
      <c r="G7" s="9">
        <v>-1500</v>
      </c>
      <c r="H7" s="9"/>
      <c r="I7" s="48"/>
      <c r="J7" s="21">
        <f t="shared" si="2"/>
        <v>-1400</v>
      </c>
      <c r="K7" s="8" t="s">
        <v>206</v>
      </c>
      <c r="L7" s="9">
        <v>3000</v>
      </c>
      <c r="M7" s="9"/>
      <c r="N7" s="48"/>
      <c r="O7" s="21">
        <f t="shared" si="3"/>
        <v>27200</v>
      </c>
      <c r="P7" s="8" t="s">
        <v>206</v>
      </c>
      <c r="Q7" s="9">
        <v>-1500</v>
      </c>
      <c r="R7" s="9"/>
      <c r="S7" s="48"/>
      <c r="T7" s="21">
        <f t="shared" si="4"/>
        <v>79200</v>
      </c>
      <c r="U7" s="53">
        <f>IF($J7="","",ROUND(($J7-$J$3)/1000,1)+(_xlfn.RANK.AVG($J7,($J7,$O7,$T7),1)-2)*10)</f>
        <v>-46.4</v>
      </c>
      <c r="V7" s="54">
        <f>IF($O7="","",ROUND(($O7-$O$3)/1000,1)+(_xlfn.RANK.AVG($O7,($J7,$O7,$T7),1)-2)*10)</f>
        <v>-7.8</v>
      </c>
      <c r="W7" s="55">
        <f>IF($T7="","",ROUND(($T7-$T$3)/1000,1)+(_xlfn.RANK.AVG($T7,($J7,$O7,$T7),1)-2)*10)</f>
        <v>54.2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2921189-49B9-44C4-9334-CF1060B96262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2AE9-73EC-4F34-955B-732C53C3B8B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210</v>
      </c>
      <c r="L1" s="73"/>
      <c r="M1" s="73"/>
      <c r="N1" s="74"/>
      <c r="O1" s="75"/>
      <c r="P1" s="72" t="s">
        <v>212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れんたろう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 t="s">
        <v>213</v>
      </c>
      <c r="G4" s="9">
        <v>-3000</v>
      </c>
      <c r="H4" s="9"/>
      <c r="I4" s="48"/>
      <c r="J4" s="21">
        <f>IF(COUNTA($F4,$K4,$P4)&gt;0,J3+SUM(G4:I4),"")</f>
        <v>32000</v>
      </c>
      <c r="K4" s="8" t="s">
        <v>213</v>
      </c>
      <c r="L4" s="9">
        <v>1500</v>
      </c>
      <c r="M4" s="9"/>
      <c r="N4" s="48"/>
      <c r="O4" s="21">
        <f>IF(COUNTA($F4,$K4,$P4)&gt;0,O3+SUM(L4:N4),"")</f>
        <v>36500</v>
      </c>
      <c r="P4" s="8" t="s">
        <v>213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204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209</v>
      </c>
      <c r="F5" s="8" t="s">
        <v>201</v>
      </c>
      <c r="G5" s="9">
        <v>-12000</v>
      </c>
      <c r="H5" s="9"/>
      <c r="I5" s="48">
        <v>-500</v>
      </c>
      <c r="J5" s="21">
        <f t="shared" ref="J5:J30" si="2">IF(COUNTA($F5,$K5,$P5)&gt;0,J4+SUM(G5:I5),"")</f>
        <v>19500</v>
      </c>
      <c r="K5" s="8" t="s">
        <v>202</v>
      </c>
      <c r="L5" s="9">
        <v>24000</v>
      </c>
      <c r="M5" s="9">
        <v>1000</v>
      </c>
      <c r="N5" s="48">
        <v>1000</v>
      </c>
      <c r="O5" s="21">
        <f t="shared" ref="O5:O30" si="3">IF(COUNTA($F5,$K5,$P5)&gt;0,O4+SUM(L5:N5),"")</f>
        <v>62500</v>
      </c>
      <c r="P5" s="8" t="s">
        <v>201</v>
      </c>
      <c r="Q5" s="9">
        <v>-12000</v>
      </c>
      <c r="R5" s="9"/>
      <c r="S5" s="48">
        <v>-500</v>
      </c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-25.5</v>
      </c>
      <c r="V5" s="54">
        <f>IF($O5="","",ROUND(($O5-$O$3)/1000,1)+(_xlfn.RANK.AVG($O5,($J5,$O5,$T5),1)-2)*10)</f>
        <v>37.5</v>
      </c>
      <c r="W5" s="55">
        <f>IF($T5="","",ROUND(($T5-$T$3)/1000,1)+(_xlfn.RANK.AVG($T5,($J5,$O5,$T5),1)-2)*10)</f>
        <v>-12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199</v>
      </c>
      <c r="AZ5" s="40" t="s">
        <v>200</v>
      </c>
      <c r="BA5" s="41" t="s">
        <v>82</v>
      </c>
      <c r="BB5" s="41" t="s">
        <v>104</v>
      </c>
      <c r="BC5" s="41" t="s">
        <v>86</v>
      </c>
      <c r="BD5" s="41" t="s">
        <v>86</v>
      </c>
      <c r="BE5" s="41" t="s">
        <v>214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201</v>
      </c>
      <c r="G6" s="9">
        <v>-12000</v>
      </c>
      <c r="H6" s="9"/>
      <c r="I6" s="48">
        <v>-1000</v>
      </c>
      <c r="J6" s="21">
        <f t="shared" si="2"/>
        <v>6500</v>
      </c>
      <c r="K6" s="8" t="s">
        <v>202</v>
      </c>
      <c r="L6" s="9">
        <v>24000</v>
      </c>
      <c r="M6" s="9">
        <v>1000</v>
      </c>
      <c r="N6" s="48">
        <v>2000</v>
      </c>
      <c r="O6" s="21">
        <f t="shared" si="3"/>
        <v>89500</v>
      </c>
      <c r="P6" s="8" t="s">
        <v>201</v>
      </c>
      <c r="Q6" s="9">
        <v>-12000</v>
      </c>
      <c r="R6" s="9">
        <v>-1000</v>
      </c>
      <c r="S6" s="48">
        <v>-1000</v>
      </c>
      <c r="T6" s="21">
        <f t="shared" si="4"/>
        <v>9000</v>
      </c>
      <c r="U6" s="53">
        <f>IF($J6="","",ROUND(($J6-$J$3)/1000,1)+(_xlfn.RANK.AVG($J6,($J6,$O6,$T6),1)-2)*10)</f>
        <v>-38.5</v>
      </c>
      <c r="V6" s="54">
        <f>IF($O6="","",ROUND(($O6-$O$3)/1000,1)+(_xlfn.RANK.AVG($O6,($J6,$O6,$T6),1)-2)*10)</f>
        <v>64.5</v>
      </c>
      <c r="W6" s="55">
        <f>IF($T6="","",ROUND(($T6-$T$3)/1000,1)+(_xlfn.RANK.AVG($T6,($J6,$O6,$T6),1)-2)*10)</f>
        <v>-26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8</v>
      </c>
      <c r="AY6" s="30" t="s">
        <v>199</v>
      </c>
      <c r="AZ6" s="40" t="s">
        <v>82</v>
      </c>
      <c r="BA6" s="41" t="s">
        <v>79</v>
      </c>
      <c r="BB6" s="41" t="s">
        <v>106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209</v>
      </c>
      <c r="F7" s="8"/>
      <c r="G7" s="9"/>
      <c r="H7" s="9"/>
      <c r="I7" s="48"/>
      <c r="J7" s="21">
        <f t="shared" si="2"/>
        <v>6500</v>
      </c>
      <c r="K7" s="8" t="s">
        <v>198</v>
      </c>
      <c r="L7" s="9">
        <v>4800</v>
      </c>
      <c r="M7" s="9"/>
      <c r="N7" s="48">
        <v>3000</v>
      </c>
      <c r="O7" s="21">
        <f t="shared" si="3"/>
        <v>97300</v>
      </c>
      <c r="P7" s="8" t="s">
        <v>197</v>
      </c>
      <c r="Q7" s="9">
        <v>-4800</v>
      </c>
      <c r="R7" s="9"/>
      <c r="S7" s="48">
        <v>-3000</v>
      </c>
      <c r="T7" s="21">
        <f t="shared" si="4"/>
        <v>1200</v>
      </c>
      <c r="U7" s="53">
        <f>IF($J7="","",ROUND(($J7-$J$3)/1000,1)+(_xlfn.RANK.AVG($J7,($J7,$O7,$T7),1)-2)*10)</f>
        <v>-28.5</v>
      </c>
      <c r="V7" s="54">
        <f>IF($O7="","",ROUND(($O7-$O$3)/1000,1)+(_xlfn.RANK.AVG($O7,($J7,$O7,$T7),1)-2)*10)</f>
        <v>72.3</v>
      </c>
      <c r="W7" s="55">
        <f>IF($T7="","",ROUND(($T7-$T$3)/1000,1)+(_xlfn.RANK.AVG($T7,($J7,$O7,$T7),1)-2)*10)</f>
        <v>-43.8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25</v>
      </c>
      <c r="AZ7" s="40" t="s">
        <v>200</v>
      </c>
      <c r="BA7" s="41" t="s">
        <v>101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209</v>
      </c>
      <c r="F8" s="8" t="s">
        <v>198</v>
      </c>
      <c r="G8" s="9">
        <v>8000</v>
      </c>
      <c r="H8" s="9"/>
      <c r="I8" s="48">
        <v>4000</v>
      </c>
      <c r="J8" s="21">
        <f t="shared" si="2"/>
        <v>18500</v>
      </c>
      <c r="K8" s="8"/>
      <c r="L8" s="9"/>
      <c r="M8" s="9"/>
      <c r="N8" s="48"/>
      <c r="O8" s="21">
        <f t="shared" si="3"/>
        <v>97300</v>
      </c>
      <c r="P8" s="8" t="s">
        <v>197</v>
      </c>
      <c r="Q8" s="9">
        <v>-8000</v>
      </c>
      <c r="R8" s="9"/>
      <c r="S8" s="48">
        <v>-4000</v>
      </c>
      <c r="T8" s="21">
        <f t="shared" si="4"/>
        <v>-10800</v>
      </c>
      <c r="U8" s="53">
        <f>IF($J8="","",ROUND(($J8-$J$3)/1000,1)+(_xlfn.RANK.AVG($J8,($J8,$O8,$T8),1)-2)*10)</f>
        <v>-16.5</v>
      </c>
      <c r="V8" s="54">
        <f>IF($O8="","",ROUND(($O8-$O$3)/1000,1)+(_xlfn.RANK.AVG($O8,($J8,$O8,$T8),1)-2)*10)</f>
        <v>72.3</v>
      </c>
      <c r="W8" s="55">
        <f>IF($T8="","",ROUND(($T8-$T$3)/1000,1)+(_xlfn.RANK.AVG($T8,($J8,$O8,$T8),1)-2)*10)</f>
        <v>-55.8</v>
      </c>
      <c r="Y8" s="8"/>
      <c r="Z8" s="34"/>
      <c r="AA8" s="26"/>
      <c r="AB8" s="26"/>
      <c r="AC8" s="26">
        <v>5</v>
      </c>
      <c r="AD8" s="30" t="s">
        <v>199</v>
      </c>
      <c r="AE8" s="40" t="s">
        <v>104</v>
      </c>
      <c r="AF8" s="41" t="s">
        <v>79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8F817647-CE4D-4BB0-A859-3D7207DE7314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0F63823E-95D4-489F-85E2-CF8DE675D2FB}">
      <formula1>"ロン,ツモ,放銃,ツモ支払,流局,チョンボ"</formula1>
    </dataValidation>
    <dataValidation type="list" allowBlank="1" showInputMessage="1" showErrorMessage="1" sqref="E4:E30" xr:uid="{54AA3FA7-CF92-4B16-857A-7E2BA06F632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7EE45-9E87-43B6-B680-A8C2C6FD57D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208</v>
      </c>
      <c r="L1" s="73"/>
      <c r="M1" s="73"/>
      <c r="N1" s="74"/>
      <c r="O1" s="75"/>
      <c r="P1" s="72" t="s">
        <v>216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りくと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のり</v>
      </c>
      <c r="F4" s="8" t="s">
        <v>201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201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202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82</v>
      </c>
      <c r="BW4" s="41" t="s">
        <v>203</v>
      </c>
      <c r="BX4" s="41" t="s">
        <v>85</v>
      </c>
      <c r="BY4" s="41" t="s">
        <v>83</v>
      </c>
      <c r="BZ4" s="41" t="s">
        <v>84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213</v>
      </c>
      <c r="G5" s="9">
        <v>1500</v>
      </c>
      <c r="H5" s="9"/>
      <c r="I5" s="48"/>
      <c r="J5" s="21">
        <f t="shared" ref="J5:J30" si="2">IF(COUNTA($F5,$K5,$P5)&gt;0,J4+SUM(G5:I5),"")</f>
        <v>29000</v>
      </c>
      <c r="K5" s="8" t="s">
        <v>213</v>
      </c>
      <c r="L5" s="9">
        <v>1500</v>
      </c>
      <c r="M5" s="9">
        <v>-1000</v>
      </c>
      <c r="N5" s="48"/>
      <c r="O5" s="21">
        <f t="shared" ref="O5:O30" si="3">IF(COUNTA($F5,$K5,$P5)&gt;0,O4+SUM(L5:N5),"")</f>
        <v>31000</v>
      </c>
      <c r="P5" s="8" t="s">
        <v>213</v>
      </c>
      <c r="Q5" s="9">
        <v>-3000</v>
      </c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IF($J5="","",ROUND(($J5-$J$3)/1000,1)+(_xlfn.RANK.AVG($J5,($J5,$O5,$T5),1)-2)*10)</f>
        <v>-16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19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207</v>
      </c>
      <c r="F6" s="8" t="s">
        <v>197</v>
      </c>
      <c r="G6" s="9">
        <v>-3900</v>
      </c>
      <c r="H6" s="9"/>
      <c r="I6" s="48">
        <v>-1000</v>
      </c>
      <c r="J6" s="21">
        <f t="shared" si="2"/>
        <v>24100</v>
      </c>
      <c r="K6" s="8" t="s">
        <v>198</v>
      </c>
      <c r="L6" s="9">
        <v>3900</v>
      </c>
      <c r="M6" s="9">
        <v>1000</v>
      </c>
      <c r="N6" s="48">
        <v>1000</v>
      </c>
      <c r="O6" s="21">
        <f t="shared" si="3"/>
        <v>36900</v>
      </c>
      <c r="P6" s="8"/>
      <c r="Q6" s="9"/>
      <c r="R6" s="9"/>
      <c r="S6" s="48"/>
      <c r="T6" s="21">
        <f t="shared" si="4"/>
        <v>44000</v>
      </c>
      <c r="U6" s="53">
        <f>IF($J6="","",ROUND(($J6-$J$3)/1000,1)+(_xlfn.RANK.AVG($J6,($J6,$O6,$T6),1)-2)*10)</f>
        <v>-20.9</v>
      </c>
      <c r="V6" s="54">
        <f>IF($O6="","",ROUND(($O6-$O$3)/1000,1)+(_xlfn.RANK.AVG($O6,($J6,$O6,$T6),1)-2)*10)</f>
        <v>1.9</v>
      </c>
      <c r="W6" s="55">
        <f>IF($T6="","",ROUND(($T6-$T$3)/1000,1)+(_xlfn.RANK.AVG($T6,($J6,$O6,$T6),1)-2)*10)</f>
        <v>19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86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207</v>
      </c>
      <c r="F7" s="8" t="s">
        <v>197</v>
      </c>
      <c r="G7" s="9">
        <v>-48000</v>
      </c>
      <c r="H7" s="9"/>
      <c r="I7" s="48">
        <v>-2000</v>
      </c>
      <c r="J7" s="21">
        <f t="shared" si="2"/>
        <v>-25900</v>
      </c>
      <c r="K7" s="8" t="s">
        <v>198</v>
      </c>
      <c r="L7" s="9">
        <v>48000</v>
      </c>
      <c r="M7" s="9">
        <v>1000</v>
      </c>
      <c r="N7" s="48">
        <v>2000</v>
      </c>
      <c r="O7" s="21">
        <f t="shared" si="3"/>
        <v>87900</v>
      </c>
      <c r="P7" s="8"/>
      <c r="Q7" s="9"/>
      <c r="R7" s="9">
        <v>-1000</v>
      </c>
      <c r="S7" s="48"/>
      <c r="T7" s="21">
        <f t="shared" si="4"/>
        <v>43000</v>
      </c>
      <c r="U7" s="53">
        <f>IF($J7="","",ROUND(($J7-$J$3)/1000,1)+(_xlfn.RANK.AVG($J7,($J7,$O7,$T7),1)-2)*10)</f>
        <v>-70.900000000000006</v>
      </c>
      <c r="V7" s="54">
        <f>IF($O7="","",ROUND(($O7-$O$3)/1000,1)+(_xlfn.RANK.AVG($O7,($J7,$O7,$T7),1)-2)*10)</f>
        <v>62.9</v>
      </c>
      <c r="W7" s="55">
        <f>IF($T7="","",ROUND(($T7-$T$3)/1000,1)+(_xlfn.RANK.AVG($T7,($J7,$O7,$T7),1)-2)*10)</f>
        <v>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13</v>
      </c>
      <c r="AY7" s="30" t="s">
        <v>199</v>
      </c>
      <c r="AZ7" s="40" t="s">
        <v>107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52A9B886-95C7-46A4-9E9A-686A3B42C2ED}">
      <formula1>$U$2:$W$2</formula1>
    </dataValidation>
    <dataValidation type="list" showInputMessage="1" showErrorMessage="1" sqref="K4:K30 P4:P30 F4:F30" xr:uid="{DE2DC800-D7B8-40F6-96F1-56A446768A3F}">
      <formula1>"ロン,ツモ,放銃,ツモ支払,流局,チョンボ"</formula1>
    </dataValidation>
    <dataValidation type="list" allowBlank="1" showInputMessage="1" sqref="F1:T1" xr:uid="{BBC32EDA-ACD0-40BC-AD1A-FB9A11A7605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3F8FF-CA5F-4AA8-8984-3BFC7609BF8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208</v>
      </c>
      <c r="L1" s="73"/>
      <c r="M1" s="73"/>
      <c r="N1" s="74"/>
      <c r="O1" s="75"/>
      <c r="P1" s="72" t="s">
        <v>212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りくと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のり</v>
      </c>
      <c r="F4" s="8" t="s">
        <v>213</v>
      </c>
      <c r="G4" s="9">
        <v>0</v>
      </c>
      <c r="H4" s="9"/>
      <c r="I4" s="48"/>
      <c r="J4" s="21">
        <f>IF(COUNTA($F4,$K4,$P4)&gt;0,J3+SUM(G4:I4),"")</f>
        <v>35000</v>
      </c>
      <c r="K4" s="8" t="s">
        <v>213</v>
      </c>
      <c r="L4" s="9">
        <v>0</v>
      </c>
      <c r="M4" s="9"/>
      <c r="N4" s="48"/>
      <c r="O4" s="21">
        <f>IF(COUNTA($F4,$K4,$P4)&gt;0,O3+SUM(L4:N4),"")</f>
        <v>35000</v>
      </c>
      <c r="P4" s="8" t="s">
        <v>213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205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-5000</v>
      </c>
      <c r="H5" s="9"/>
      <c r="I5" s="48">
        <v>-500</v>
      </c>
      <c r="J5" s="21">
        <f t="shared" ref="J5:J30" si="2">IF(COUNTA($F5,$K5,$P5)&gt;0,J4+SUM(G5:I5),"")</f>
        <v>29500</v>
      </c>
      <c r="K5" s="8" t="s">
        <v>201</v>
      </c>
      <c r="L5" s="9">
        <v>-3000</v>
      </c>
      <c r="M5" s="9"/>
      <c r="N5" s="48">
        <v>-500</v>
      </c>
      <c r="O5" s="21">
        <f t="shared" ref="O5:O30" si="3">IF(COUNTA($F5,$K5,$P5)&gt;0,O4+SUM(L5:N5),"")</f>
        <v>31500</v>
      </c>
      <c r="P5" s="8" t="s">
        <v>202</v>
      </c>
      <c r="Q5" s="9">
        <v>8000</v>
      </c>
      <c r="R5" s="9"/>
      <c r="S5" s="48">
        <v>1000</v>
      </c>
      <c r="T5" s="21">
        <f t="shared" ref="T5:T30" si="4">IF(COUNTA($F5,$K5,$P5)&gt;0,T4+SUM(Q5:S5),"")</f>
        <v>44000</v>
      </c>
      <c r="U5" s="53">
        <f>IF($J5="","",ROUND(($J5-$J$3)/1000,1)+(_xlfn.RANK.AVG($J5,($J5,$O5,$T5),1)-2)*10)</f>
        <v>-15.5</v>
      </c>
      <c r="V5" s="54">
        <f>IF($O5="","",ROUND(($O5-$O$3)/1000,1)+(_xlfn.RANK.AVG($O5,($J5,$O5,$T5),1)-2)*10)</f>
        <v>-3.5</v>
      </c>
      <c r="W5" s="55">
        <f>IF($T5="","",ROUND(($T5-$T$3)/1000,1)+(_xlfn.RANK.AVG($T5,($J5,$O5,$T5),1)-2)*10)</f>
        <v>19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199</v>
      </c>
      <c r="BU5" s="40" t="s">
        <v>217</v>
      </c>
      <c r="BV5" s="41" t="s">
        <v>82</v>
      </c>
      <c r="BW5" s="41" t="s">
        <v>214</v>
      </c>
      <c r="BX5" s="41" t="s">
        <v>214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202</v>
      </c>
      <c r="G6" s="9">
        <v>2100</v>
      </c>
      <c r="H6" s="9"/>
      <c r="I6" s="48">
        <v>0</v>
      </c>
      <c r="J6" s="21">
        <f t="shared" si="2"/>
        <v>31600</v>
      </c>
      <c r="K6" s="8" t="s">
        <v>201</v>
      </c>
      <c r="L6" s="9">
        <v>-1300</v>
      </c>
      <c r="M6" s="9"/>
      <c r="N6" s="48">
        <v>0</v>
      </c>
      <c r="O6" s="21">
        <f t="shared" si="3"/>
        <v>30200</v>
      </c>
      <c r="P6" s="8" t="s">
        <v>201</v>
      </c>
      <c r="Q6" s="9">
        <v>-800</v>
      </c>
      <c r="R6" s="9"/>
      <c r="S6" s="48">
        <v>0</v>
      </c>
      <c r="T6" s="21">
        <f t="shared" si="4"/>
        <v>43200</v>
      </c>
      <c r="U6" s="53">
        <f>IF($J6="","",ROUND(($J6-$J$3)/1000,1)+(_xlfn.RANK.AVG($J6,($J6,$O6,$T6),1)-2)*10)</f>
        <v>-3.4</v>
      </c>
      <c r="V6" s="54">
        <f>IF($O6="","",ROUND(($O6-$O$3)/1000,1)+(_xlfn.RANK.AVG($O6,($J6,$O6,$T6),1)-2)*10)</f>
        <v>-14.8</v>
      </c>
      <c r="W6" s="55">
        <f>IF($T6="","",ROUND(($T6-$T$3)/1000,1)+(_xlfn.RANK.AVG($T6,($J6,$O6,$T6),1)-2)*10)</f>
        <v>18.2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214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211</v>
      </c>
      <c r="F7" s="8" t="s">
        <v>202</v>
      </c>
      <c r="G7" s="9">
        <v>7700</v>
      </c>
      <c r="H7" s="9">
        <v>1000</v>
      </c>
      <c r="I7" s="48">
        <v>0</v>
      </c>
      <c r="J7" s="21">
        <f t="shared" si="2"/>
        <v>40300</v>
      </c>
      <c r="K7" s="8" t="s">
        <v>201</v>
      </c>
      <c r="L7" s="9">
        <v>-2900</v>
      </c>
      <c r="M7" s="9"/>
      <c r="N7" s="48">
        <v>0</v>
      </c>
      <c r="O7" s="21">
        <f t="shared" si="3"/>
        <v>27300</v>
      </c>
      <c r="P7" s="8" t="s">
        <v>201</v>
      </c>
      <c r="Q7" s="9">
        <v>-4800</v>
      </c>
      <c r="R7" s="9">
        <v>-1000</v>
      </c>
      <c r="S7" s="48">
        <v>0</v>
      </c>
      <c r="T7" s="21">
        <f t="shared" si="4"/>
        <v>37400</v>
      </c>
      <c r="U7" s="53">
        <f>IF($J7="","",ROUND(($J7-$J$3)/1000,1)+(_xlfn.RANK.AVG($J7,($J7,$O7,$T7),1)-2)*10)</f>
        <v>15.3</v>
      </c>
      <c r="V7" s="54">
        <f>IF($O7="","",ROUND(($O7-$O$3)/1000,1)+(_xlfn.RANK.AVG($O7,($J7,$O7,$T7),1)-2)*10)</f>
        <v>-17.7</v>
      </c>
      <c r="W7" s="55">
        <f>IF($T7="","",ROUND(($T7-$T$3)/1000,1)+(_xlfn.RANK.AVG($T7,($J7,$O7,$T7),1)-2)*10)</f>
        <v>2.4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200</v>
      </c>
      <c r="AF7" s="41" t="s">
        <v>82</v>
      </c>
      <c r="AG7" s="41" t="s">
        <v>84</v>
      </c>
      <c r="AH7" s="41" t="s">
        <v>214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213</v>
      </c>
      <c r="G8" s="9">
        <v>-1500</v>
      </c>
      <c r="H8" s="9"/>
      <c r="I8" s="48"/>
      <c r="J8" s="21">
        <f t="shared" si="2"/>
        <v>38800</v>
      </c>
      <c r="K8" s="8" t="s">
        <v>213</v>
      </c>
      <c r="L8" s="9">
        <v>-1500</v>
      </c>
      <c r="M8" s="9"/>
      <c r="N8" s="48"/>
      <c r="O8" s="21">
        <f t="shared" si="3"/>
        <v>25800</v>
      </c>
      <c r="P8" s="8" t="s">
        <v>213</v>
      </c>
      <c r="Q8" s="9">
        <v>3000</v>
      </c>
      <c r="R8" s="9">
        <v>-1000</v>
      </c>
      <c r="S8" s="48"/>
      <c r="T8" s="21">
        <f t="shared" si="4"/>
        <v>39400</v>
      </c>
      <c r="U8" s="53">
        <f>IF($J8="","",ROUND(($J8-$J$3)/1000,1)+(_xlfn.RANK.AVG($J8,($J8,$O8,$T8),1)-2)*10)</f>
        <v>3.8</v>
      </c>
      <c r="V8" s="54">
        <f>IF($O8="","",ROUND(($O8-$O$3)/1000,1)+(_xlfn.RANK.AVG($O8,($J8,$O8,$T8),1)-2)*10)</f>
        <v>-19.2</v>
      </c>
      <c r="W8" s="55">
        <f>IF($T8="","",ROUND(($T8-$T$3)/1000,1)+(_xlfn.RANK.AVG($T8,($J8,$O8,$T8),1)-2)*10)</f>
        <v>14.4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207</v>
      </c>
      <c r="F9" s="8" t="s">
        <v>213</v>
      </c>
      <c r="G9" s="9">
        <v>1500</v>
      </c>
      <c r="H9" s="9">
        <v>-1000</v>
      </c>
      <c r="I9" s="48"/>
      <c r="J9" s="21">
        <f t="shared" si="2"/>
        <v>39300</v>
      </c>
      <c r="K9" s="8" t="s">
        <v>213</v>
      </c>
      <c r="L9" s="9">
        <v>1500</v>
      </c>
      <c r="M9" s="9">
        <v>-1000</v>
      </c>
      <c r="N9" s="48"/>
      <c r="O9" s="21">
        <f t="shared" si="3"/>
        <v>26300</v>
      </c>
      <c r="P9" s="8" t="s">
        <v>213</v>
      </c>
      <c r="Q9" s="9">
        <v>-3000</v>
      </c>
      <c r="R9" s="9"/>
      <c r="S9" s="48"/>
      <c r="T9" s="21">
        <f t="shared" si="4"/>
        <v>36400</v>
      </c>
      <c r="U9" s="53">
        <f>IF($J9="","",ROUND(($J9-$J$3)/1000,1)+(_xlfn.RANK.AVG($J9,($J9,$O9,$T9),1)-2)*10)</f>
        <v>14.3</v>
      </c>
      <c r="V9" s="54">
        <f>IF($O9="","",ROUND(($O9-$O$3)/1000,1)+(_xlfn.RANK.AVG($O9,($J9,$O9,$T9),1)-2)*10)</f>
        <v>-18.7</v>
      </c>
      <c r="W9" s="55">
        <f>IF($T9="","",ROUND(($T9-$T$3)/1000,1)+(_xlfn.RANK.AVG($T9,($J9,$O9,$T9),1)-2)*10)</f>
        <v>1.4</v>
      </c>
      <c r="Y9" s="8" t="s">
        <v>205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3</v>
      </c>
      <c r="E10" s="4" t="s">
        <v>207</v>
      </c>
      <c r="F10" s="8" t="s">
        <v>213</v>
      </c>
      <c r="G10" s="9">
        <v>3000</v>
      </c>
      <c r="H10" s="9">
        <v>-1000</v>
      </c>
      <c r="I10" s="48"/>
      <c r="J10" s="21">
        <f t="shared" si="2"/>
        <v>41300</v>
      </c>
      <c r="K10" s="8" t="s">
        <v>213</v>
      </c>
      <c r="L10" s="9">
        <v>-1500</v>
      </c>
      <c r="M10" s="9"/>
      <c r="N10" s="48"/>
      <c r="O10" s="21">
        <f t="shared" si="3"/>
        <v>24800</v>
      </c>
      <c r="P10" s="8" t="s">
        <v>213</v>
      </c>
      <c r="Q10" s="9">
        <v>-1500</v>
      </c>
      <c r="R10" s="9"/>
      <c r="S10" s="48"/>
      <c r="T10" s="21">
        <f t="shared" si="4"/>
        <v>34900</v>
      </c>
      <c r="U10" s="53">
        <f>IF($J10="","",ROUND(($J10-$J$3)/1000,1)+(_xlfn.RANK.AVG($J10,($J10,$O10,$T10),1)-2)*10)</f>
        <v>16.3</v>
      </c>
      <c r="V10" s="54">
        <f>IF($O10="","",ROUND(($O10-$O$3)/1000,1)+(_xlfn.RANK.AVG($O10,($J10,$O10,$T10),1)-2)*10)</f>
        <v>-20.2</v>
      </c>
      <c r="W10" s="55">
        <f>IF($T10="","",ROUND(($T10-$T$3)/1000,1)+(_xlfn.RANK.AVG($T10,($J10,$O10,$T10),1)-2)*10)</f>
        <v>-0.1</v>
      </c>
      <c r="Y10" s="8" t="s">
        <v>205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3</v>
      </c>
      <c r="D11" s="18">
        <f t="shared" si="1"/>
        <v>4</v>
      </c>
      <c r="E11" s="4" t="s">
        <v>211</v>
      </c>
      <c r="F11" s="8" t="s">
        <v>202</v>
      </c>
      <c r="G11" s="9">
        <v>7700</v>
      </c>
      <c r="H11" s="9">
        <v>6000</v>
      </c>
      <c r="I11" s="48">
        <v>3000</v>
      </c>
      <c r="J11" s="21">
        <f t="shared" si="2"/>
        <v>58000</v>
      </c>
      <c r="K11" s="8" t="s">
        <v>201</v>
      </c>
      <c r="L11" s="9">
        <v>-2900</v>
      </c>
      <c r="M11" s="9">
        <v>-1000</v>
      </c>
      <c r="N11" s="48">
        <v>-1500</v>
      </c>
      <c r="O11" s="21">
        <f t="shared" si="3"/>
        <v>19400</v>
      </c>
      <c r="P11" s="8" t="s">
        <v>201</v>
      </c>
      <c r="Q11" s="9">
        <v>-4800</v>
      </c>
      <c r="R11" s="9">
        <v>-1000</v>
      </c>
      <c r="S11" s="48">
        <v>-1500</v>
      </c>
      <c r="T11" s="21">
        <f t="shared" si="4"/>
        <v>27600</v>
      </c>
      <c r="U11" s="53">
        <f>IF($J11="","",ROUND(($J11-$J$3)/1000,1)+(_xlfn.RANK.AVG($J11,($J11,$O11,$T11),1)-2)*10)</f>
        <v>33</v>
      </c>
      <c r="V11" s="54">
        <f>IF($O11="","",ROUND(($O11-$O$3)/1000,1)+(_xlfn.RANK.AVG($O11,($J11,$O11,$T11),1)-2)*10)</f>
        <v>-25.6</v>
      </c>
      <c r="W11" s="55">
        <f>IF($T11="","",ROUND(($T11-$T$3)/1000,1)+(_xlfn.RANK.AVG($T11,($J11,$O11,$T11),1)-2)*10)</f>
        <v>-7.4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85</v>
      </c>
      <c r="AF11" s="41" t="s">
        <v>214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A2632D46-1E4D-4465-B766-759C57ABC811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BE7A2C6F-A4D9-4D5E-BBDA-BF1865A0371A}">
      <formula1>"ロン,ツモ,放銃,ツモ支払,流局,チョンボ"</formula1>
    </dataValidation>
    <dataValidation type="list" allowBlank="1" showInputMessage="1" showErrorMessage="1" sqref="E4:E30" xr:uid="{E63F7114-6FBE-4DC4-9BAC-6F8414A5AFB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C14E-1968-431A-BFF0-1F391DA9567C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212</v>
      </c>
      <c r="G1" s="73"/>
      <c r="H1" s="73"/>
      <c r="I1" s="74"/>
      <c r="J1" s="75"/>
      <c r="K1" s="72" t="s">
        <v>210</v>
      </c>
      <c r="L1" s="73"/>
      <c r="M1" s="73"/>
      <c r="N1" s="74"/>
      <c r="O1" s="75"/>
      <c r="P1" s="72" t="s">
        <v>216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ぱぱ</v>
      </c>
      <c r="F4" s="8" t="s">
        <v>198</v>
      </c>
      <c r="G4" s="9">
        <v>5800</v>
      </c>
      <c r="H4" s="9">
        <v>1000</v>
      </c>
      <c r="I4" s="48">
        <v>0</v>
      </c>
      <c r="J4" s="21">
        <f>IF(COUNTA($F4,$K4,$P4)&gt;0,J3+SUM(G4:I4),"")</f>
        <v>41800</v>
      </c>
      <c r="K4" s="8" t="s">
        <v>197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16.8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200</v>
      </c>
      <c r="AF4" s="41" t="s">
        <v>83</v>
      </c>
      <c r="AG4" s="41" t="s">
        <v>214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197</v>
      </c>
      <c r="G5" s="9">
        <v>-12000</v>
      </c>
      <c r="H5" s="9"/>
      <c r="I5" s="48">
        <v>-1000</v>
      </c>
      <c r="J5" s="21">
        <f t="shared" ref="J5:J30" si="2">IF(COUNTA($F5,$K5,$P5)&gt;0,J4+SUM(G5:I5),"")</f>
        <v>28800</v>
      </c>
      <c r="K5" s="8"/>
      <c r="L5" s="9"/>
      <c r="M5" s="9"/>
      <c r="N5" s="48"/>
      <c r="O5" s="21">
        <f t="shared" ref="O5:O30" si="3">IF(COUNTA($F5,$K5,$P5)&gt;0,O4+SUM(L5:N5),"")</f>
        <v>28200</v>
      </c>
      <c r="P5" s="8" t="s">
        <v>198</v>
      </c>
      <c r="Q5" s="9">
        <v>12000</v>
      </c>
      <c r="R5" s="9"/>
      <c r="S5" s="48">
        <v>1000</v>
      </c>
      <c r="T5" s="21">
        <f t="shared" ref="T5:T30" si="4">IF(COUNTA($F5,$K5,$P5)&gt;0,T4+SUM(Q5:S5),"")</f>
        <v>48000</v>
      </c>
      <c r="U5" s="53">
        <f>IF($J5="","",ROUND(($J5-$J$3)/1000,1)+(_xlfn.RANK.AVG($J5,($J5,$O5,$T5),1)-2)*10)</f>
        <v>-6.2</v>
      </c>
      <c r="V5" s="54">
        <f>IF($O5="","",ROUND(($O5-$O$3)/1000,1)+(_xlfn.RANK.AVG($O5,($J5,$O5,$T5),1)-2)*10)</f>
        <v>-16.8</v>
      </c>
      <c r="W5" s="55">
        <f>IF($T5="","",ROUND(($T5-$T$3)/1000,1)+(_xlfn.RANK.AVG($T5,($J5,$O5,$T5),1)-2)*10)</f>
        <v>23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199</v>
      </c>
      <c r="BU5" s="40" t="s">
        <v>84</v>
      </c>
      <c r="BV5" s="41" t="s">
        <v>106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209</v>
      </c>
      <c r="F6" s="8" t="s">
        <v>218</v>
      </c>
      <c r="G6" s="9">
        <v>-8000</v>
      </c>
      <c r="H6" s="9"/>
      <c r="I6" s="48"/>
      <c r="J6" s="21">
        <f t="shared" si="2"/>
        <v>20800</v>
      </c>
      <c r="K6" s="8" t="s">
        <v>218</v>
      </c>
      <c r="L6" s="9">
        <v>5000</v>
      </c>
      <c r="M6" s="9"/>
      <c r="N6" s="48"/>
      <c r="O6" s="21">
        <f t="shared" si="3"/>
        <v>33200</v>
      </c>
      <c r="P6" s="8" t="s">
        <v>218</v>
      </c>
      <c r="Q6" s="9">
        <v>3000</v>
      </c>
      <c r="R6" s="9"/>
      <c r="S6" s="48"/>
      <c r="T6" s="21">
        <f t="shared" si="4"/>
        <v>51000</v>
      </c>
      <c r="U6" s="53">
        <f>IF($J6="","",ROUND(($J6-$J$3)/1000,1)+(_xlfn.RANK.AVG($J6,($J6,$O6,$T6),1)-2)*10)</f>
        <v>-24.2</v>
      </c>
      <c r="V6" s="54">
        <f>IF($O6="","",ROUND(($O6-$O$3)/1000,1)+(_xlfn.RANK.AVG($O6,($J6,$O6,$T6),1)-2)*10)</f>
        <v>-1.8</v>
      </c>
      <c r="W6" s="55">
        <f>IF($T6="","",ROUND(($T6-$T$3)/1000,1)+(_xlfn.RANK.AVG($T6,($J6,$O6,$T6),1)-2)*10)</f>
        <v>26</v>
      </c>
      <c r="Y6" s="8"/>
      <c r="Z6" s="34">
        <v>1</v>
      </c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209</v>
      </c>
      <c r="F7" s="8" t="s">
        <v>197</v>
      </c>
      <c r="G7" s="9">
        <v>-12000</v>
      </c>
      <c r="H7" s="9">
        <v>-1000</v>
      </c>
      <c r="I7" s="48">
        <v>0</v>
      </c>
      <c r="J7" s="21">
        <f t="shared" si="2"/>
        <v>7800</v>
      </c>
      <c r="K7" s="8" t="s">
        <v>198</v>
      </c>
      <c r="L7" s="9">
        <v>12000</v>
      </c>
      <c r="M7" s="9">
        <v>1000</v>
      </c>
      <c r="N7" s="48">
        <v>0</v>
      </c>
      <c r="O7" s="21">
        <f t="shared" si="3"/>
        <v>46200</v>
      </c>
      <c r="P7" s="8"/>
      <c r="Q7" s="9"/>
      <c r="R7" s="9"/>
      <c r="S7" s="48"/>
      <c r="T7" s="21">
        <f t="shared" si="4"/>
        <v>51000</v>
      </c>
      <c r="U7" s="53">
        <f>IF($J7="","",ROUND(($J7-$J$3)/1000,1)+(_xlfn.RANK.AVG($J7,($J7,$O7,$T7),1)-2)*10)</f>
        <v>-37.200000000000003</v>
      </c>
      <c r="V7" s="54">
        <f>IF($O7="","",ROUND(($O7-$O$3)/1000,1)+(_xlfn.RANK.AVG($O7,($J7,$O7,$T7),1)-2)*10)</f>
        <v>11.2</v>
      </c>
      <c r="W7" s="55">
        <f>IF($T7="","",ROUND(($T7-$T$3)/1000,1)+(_xlfn.RANK.AVG($T7,($J7,$O7,$T7),1)-2)*10)</f>
        <v>26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200</v>
      </c>
      <c r="BA7" s="41" t="s">
        <v>86</v>
      </c>
      <c r="BB7" s="41" t="s">
        <v>86</v>
      </c>
      <c r="BC7" s="41" t="s">
        <v>79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209</v>
      </c>
      <c r="F8" s="8" t="s">
        <v>202</v>
      </c>
      <c r="G8" s="9">
        <v>2100</v>
      </c>
      <c r="H8" s="9"/>
      <c r="I8" s="48">
        <v>1000</v>
      </c>
      <c r="J8" s="21">
        <f t="shared" si="2"/>
        <v>10900</v>
      </c>
      <c r="K8" s="8" t="s">
        <v>201</v>
      </c>
      <c r="L8" s="9">
        <v>-1300</v>
      </c>
      <c r="M8" s="9"/>
      <c r="N8" s="48">
        <v>-500</v>
      </c>
      <c r="O8" s="21">
        <f t="shared" si="3"/>
        <v>44400</v>
      </c>
      <c r="P8" s="8" t="s">
        <v>201</v>
      </c>
      <c r="Q8" s="9">
        <v>-800</v>
      </c>
      <c r="R8" s="9"/>
      <c r="S8" s="48">
        <v>-500</v>
      </c>
      <c r="T8" s="21">
        <f t="shared" si="4"/>
        <v>49700</v>
      </c>
      <c r="U8" s="53">
        <f>IF($J8="","",ROUND(($J8-$J$3)/1000,1)+(_xlfn.RANK.AVG($J8,($J8,$O8,$T8),1)-2)*10)</f>
        <v>-34.1</v>
      </c>
      <c r="V8" s="54">
        <f>IF($O8="","",ROUND(($O8-$O$3)/1000,1)+(_xlfn.RANK.AVG($O8,($J8,$O8,$T8),1)-2)*10)</f>
        <v>9.4</v>
      </c>
      <c r="W8" s="55">
        <f>IF($T8="","",ROUND(($T8-$T$3)/1000,1)+(_xlfn.RANK.AVG($T8,($J8,$O8,$T8),1)-2)*10)</f>
        <v>24.7</v>
      </c>
      <c r="Y8" s="8"/>
      <c r="Z8" s="34"/>
      <c r="AA8" s="26"/>
      <c r="AB8" s="26"/>
      <c r="AC8" s="26">
        <v>2</v>
      </c>
      <c r="AD8" s="30">
        <v>30</v>
      </c>
      <c r="AE8" s="40" t="s">
        <v>82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215</v>
      </c>
      <c r="F9" s="8" t="s">
        <v>202</v>
      </c>
      <c r="G9" s="9">
        <v>8000</v>
      </c>
      <c r="H9" s="9"/>
      <c r="I9" s="48">
        <v>0</v>
      </c>
      <c r="J9" s="21">
        <f t="shared" si="2"/>
        <v>18900</v>
      </c>
      <c r="K9" s="8" t="s">
        <v>201</v>
      </c>
      <c r="L9" s="9">
        <v>-3000</v>
      </c>
      <c r="M9" s="9"/>
      <c r="N9" s="48">
        <v>0</v>
      </c>
      <c r="O9" s="21">
        <f t="shared" si="3"/>
        <v>41400</v>
      </c>
      <c r="P9" s="8" t="s">
        <v>201</v>
      </c>
      <c r="Q9" s="9">
        <v>-5000</v>
      </c>
      <c r="R9" s="9"/>
      <c r="S9" s="48">
        <v>0</v>
      </c>
      <c r="T9" s="21">
        <f t="shared" si="4"/>
        <v>44700</v>
      </c>
      <c r="U9" s="53">
        <f>IF($J9="","",ROUND(($J9-$J$3)/1000,1)+(_xlfn.RANK.AVG($J9,($J9,$O9,$T9),1)-2)*10)</f>
        <v>-26.1</v>
      </c>
      <c r="V9" s="54">
        <f>IF($O9="","",ROUND(($O9-$O$3)/1000,1)+(_xlfn.RANK.AVG($O9,($J9,$O9,$T9),1)-2)*10)</f>
        <v>6.4</v>
      </c>
      <c r="W9" s="55">
        <f>IF($T9="","",ROUND(($T9-$T$3)/1000,1)+(_xlfn.RANK.AVG($T9,($J9,$O9,$T9),1)-2)*10)</f>
        <v>19.7</v>
      </c>
      <c r="Y9" s="8"/>
      <c r="Z9" s="34"/>
      <c r="AA9" s="26">
        <v>1</v>
      </c>
      <c r="AB9" s="26"/>
      <c r="AC9" s="26">
        <v>5</v>
      </c>
      <c r="AD9" s="30" t="s">
        <v>199</v>
      </c>
      <c r="AE9" s="40" t="s">
        <v>82</v>
      </c>
      <c r="AF9" s="41" t="s">
        <v>200</v>
      </c>
      <c r="AG9" s="41" t="s">
        <v>83</v>
      </c>
      <c r="AH9" s="41" t="s">
        <v>84</v>
      </c>
      <c r="AI9" s="41" t="s">
        <v>203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211</v>
      </c>
      <c r="F10" s="8" t="s">
        <v>201</v>
      </c>
      <c r="G10" s="9">
        <v>-2000</v>
      </c>
      <c r="H10" s="9"/>
      <c r="I10" s="48">
        <v>0</v>
      </c>
      <c r="J10" s="21">
        <f t="shared" si="2"/>
        <v>16900</v>
      </c>
      <c r="K10" s="8" t="s">
        <v>201</v>
      </c>
      <c r="L10" s="9">
        <v>-1200</v>
      </c>
      <c r="M10" s="9">
        <v>-1000</v>
      </c>
      <c r="N10" s="48">
        <v>0</v>
      </c>
      <c r="O10" s="21">
        <f t="shared" si="3"/>
        <v>39200</v>
      </c>
      <c r="P10" s="8" t="s">
        <v>202</v>
      </c>
      <c r="Q10" s="9">
        <v>3200</v>
      </c>
      <c r="R10" s="9">
        <v>1000</v>
      </c>
      <c r="S10" s="48">
        <v>0</v>
      </c>
      <c r="T10" s="21">
        <f t="shared" si="4"/>
        <v>48900</v>
      </c>
      <c r="U10" s="53">
        <f>IF($J10="","",ROUND(($J10-$J$3)/1000,1)+(_xlfn.RANK.AVG($J10,($J10,$O10,$T10),1)-2)*10)</f>
        <v>-28.1</v>
      </c>
      <c r="V10" s="54">
        <f>IF($O10="","",ROUND(($O10-$O$3)/1000,1)+(_xlfn.RANK.AVG($O10,($J10,$O10,$T10),1)-2)*10)</f>
        <v>4.2</v>
      </c>
      <c r="W10" s="55">
        <f>IF($T10="","",ROUND(($T10-$T$3)/1000,1)+(_xlfn.RANK.AVG($T10,($J10,$O10,$T10),1)-2)*10)</f>
        <v>23.9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50</v>
      </c>
      <c r="BU10" s="40" t="s">
        <v>86</v>
      </c>
      <c r="BV10" s="41" t="s">
        <v>214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209</v>
      </c>
      <c r="F11" s="8" t="s">
        <v>197</v>
      </c>
      <c r="G11" s="9">
        <v>-12000</v>
      </c>
      <c r="H11" s="9">
        <v>-1000</v>
      </c>
      <c r="I11" s="48">
        <v>0</v>
      </c>
      <c r="J11" s="21">
        <f t="shared" si="2"/>
        <v>3900</v>
      </c>
      <c r="K11" s="8" t="s">
        <v>198</v>
      </c>
      <c r="L11" s="9">
        <v>12000</v>
      </c>
      <c r="M11" s="9">
        <v>1000</v>
      </c>
      <c r="N11" s="48">
        <v>0</v>
      </c>
      <c r="O11" s="21">
        <f t="shared" si="3"/>
        <v>52200</v>
      </c>
      <c r="P11" s="8"/>
      <c r="Q11" s="9"/>
      <c r="R11" s="9"/>
      <c r="S11" s="48"/>
      <c r="T11" s="21">
        <f t="shared" si="4"/>
        <v>48900</v>
      </c>
      <c r="U11" s="53">
        <f>IF($J11="","",ROUND(($J11-$J$3)/1000,1)+(_xlfn.RANK.AVG($J11,($J11,$O11,$T11),1)-2)*10)</f>
        <v>-41.1</v>
      </c>
      <c r="V11" s="54">
        <f>IF($O11="","",ROUND(($O11-$O$3)/1000,1)+(_xlfn.RANK.AVG($O11,($J11,$O11,$T11),1)-2)*10)</f>
        <v>27.2</v>
      </c>
      <c r="W11" s="55">
        <f>IF($T11="","",ROUND(($T11-$T$3)/1000,1)+(_xlfn.RANK.AVG($T11,($J11,$O11,$T11),1)-2)*10)</f>
        <v>13.9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40</v>
      </c>
      <c r="AZ11" s="40" t="s">
        <v>200</v>
      </c>
      <c r="BA11" s="41" t="s">
        <v>85</v>
      </c>
      <c r="BB11" s="41" t="s">
        <v>203</v>
      </c>
      <c r="BC11" s="41" t="s">
        <v>214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209</v>
      </c>
      <c r="F12" s="8" t="s">
        <v>213</v>
      </c>
      <c r="G12" s="9">
        <v>-1500</v>
      </c>
      <c r="H12" s="9"/>
      <c r="I12" s="48"/>
      <c r="J12" s="21">
        <f t="shared" si="2"/>
        <v>2400</v>
      </c>
      <c r="K12" s="8" t="s">
        <v>213</v>
      </c>
      <c r="L12" s="9">
        <v>3000</v>
      </c>
      <c r="M12" s="9"/>
      <c r="N12" s="48"/>
      <c r="O12" s="21">
        <f t="shared" si="3"/>
        <v>55200</v>
      </c>
      <c r="P12" s="8" t="s">
        <v>213</v>
      </c>
      <c r="Q12" s="9">
        <v>-1500</v>
      </c>
      <c r="R12" s="9"/>
      <c r="S12" s="48"/>
      <c r="T12" s="21">
        <f t="shared" si="4"/>
        <v>47400</v>
      </c>
      <c r="U12" s="53">
        <f>IF($J12="","",ROUND(($J12-$J$3)/1000,1)+(_xlfn.RANK.AVG($J12,($J12,$O12,$T12),1)-2)*10)</f>
        <v>-42.6</v>
      </c>
      <c r="V12" s="54">
        <f>IF($O12="","",ROUND(($O12-$O$3)/1000,1)+(_xlfn.RANK.AVG($O12,($J12,$O12,$T12),1)-2)*10)</f>
        <v>30.2</v>
      </c>
      <c r="W12" s="55">
        <f>IF($T12="","",ROUND(($T12-$T$3)/1000,1)+(_xlfn.RANK.AVG($T12,($J12,$O12,$T12),1)-2)*10)</f>
        <v>12.4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209</v>
      </c>
      <c r="F13" s="8" t="s">
        <v>197</v>
      </c>
      <c r="G13" s="9">
        <v>-11600</v>
      </c>
      <c r="H13" s="9"/>
      <c r="I13" s="48">
        <v>-2000</v>
      </c>
      <c r="J13" s="21">
        <f t="shared" si="2"/>
        <v>-11200</v>
      </c>
      <c r="K13" s="8" t="s">
        <v>198</v>
      </c>
      <c r="L13" s="9">
        <v>11600</v>
      </c>
      <c r="M13" s="9"/>
      <c r="N13" s="48">
        <v>2000</v>
      </c>
      <c r="O13" s="21">
        <f t="shared" si="3"/>
        <v>68800</v>
      </c>
      <c r="P13" s="8"/>
      <c r="Q13" s="9"/>
      <c r="R13" s="9"/>
      <c r="S13" s="48"/>
      <c r="T13" s="21">
        <f t="shared" si="4"/>
        <v>47400</v>
      </c>
      <c r="U13" s="53">
        <f>IF($J13="","",ROUND(($J13-$J$3)/1000,1)+(_xlfn.RANK.AVG($J13,($J13,$O13,$T13),1)-2)*10)</f>
        <v>-56.2</v>
      </c>
      <c r="V13" s="54">
        <f>IF($O13="","",ROUND(($O13-$O$3)/1000,1)+(_xlfn.RANK.AVG($O13,($J13,$O13,$T13),1)-2)*10)</f>
        <v>43.8</v>
      </c>
      <c r="W13" s="55">
        <f>IF($T13="","",ROUND(($T13-$T$3)/1000,1)+(_xlfn.RANK.AVG($T13,($J13,$O13,$T13),1)-2)*10)</f>
        <v>12.4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60</v>
      </c>
      <c r="AZ13" s="40" t="s">
        <v>86</v>
      </c>
      <c r="BA13" s="41" t="s">
        <v>79</v>
      </c>
      <c r="BB13" s="41" t="s">
        <v>214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90F54A95-C4D0-43CC-92DE-0CE87815E1B7}">
      <formula1>$U$2:$W$2</formula1>
    </dataValidation>
    <dataValidation type="list" showInputMessage="1" showErrorMessage="1" sqref="K4:K30 P4:P30 F4:F30" xr:uid="{CCE4F814-7B91-4C09-B5E4-715F06B190CC}">
      <formula1>"ロン,ツモ,放銃,ツモ支払,流局,チョンボ"</formula1>
    </dataValidation>
    <dataValidation type="list" allowBlank="1" showInputMessage="1" sqref="F1:T1" xr:uid="{332B872A-05CB-4CC9-AE53-6E1C59FC2DF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E9F39-614F-4E0E-B9D5-8BC2D16B23F5}">
  <sheetPr codeName="Sheet15">
    <pageSetUpPr fitToPage="1"/>
  </sheetPr>
  <dimension ref="A1:CI30"/>
  <sheetViews>
    <sheetView tabSelected="1" zoomScaleNormal="100" workbookViewId="0">
      <selection activeCell="O6" sqref="O6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ともき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のり</v>
      </c>
      <c r="W2" s="16" t="str">
        <f>$P$1</f>
        <v>ともき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201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202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201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200</v>
      </c>
      <c r="BA4" s="41" t="s">
        <v>82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32500</v>
      </c>
      <c r="K5" s="8" t="s">
        <v>198</v>
      </c>
      <c r="L5" s="9">
        <v>7700</v>
      </c>
      <c r="M5" s="9">
        <v>1000</v>
      </c>
      <c r="N5" s="48">
        <v>0</v>
      </c>
      <c r="O5" s="21">
        <f t="shared" ref="O5:O30" si="3">IF(COUNTA($F5,$K5,$P5)&gt;0,O4+SUM(L5:N5),"")</f>
        <v>47700</v>
      </c>
      <c r="P5" s="8" t="s">
        <v>197</v>
      </c>
      <c r="Q5" s="9">
        <v>-7700</v>
      </c>
      <c r="R5" s="9">
        <v>-1000</v>
      </c>
      <c r="S5" s="48">
        <v>0</v>
      </c>
      <c r="T5" s="21">
        <f t="shared" ref="T5:T30" si="4">IF(COUNTA($F5,$K5,$P5)&gt;0,T4+SUM(Q5:S5),"")</f>
        <v>24800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22.7</v>
      </c>
      <c r="W5" s="55">
        <f>IF($T5="","",ROUND(($T5-$T$3)/1000,1)+(_xlfn.RANK.AVG($T5,($J5,$O5,$T5),1)-2)*10)</f>
        <v>-20.2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200</v>
      </c>
      <c r="BA5" s="41" t="s">
        <v>86</v>
      </c>
      <c r="BB5" s="41" t="s">
        <v>84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202</v>
      </c>
      <c r="G6" s="9">
        <v>5300</v>
      </c>
      <c r="H6" s="9">
        <v>1000</v>
      </c>
      <c r="I6" s="48">
        <v>1000</v>
      </c>
      <c r="J6" s="21">
        <f t="shared" si="2"/>
        <v>39800</v>
      </c>
      <c r="K6" s="8" t="s">
        <v>201</v>
      </c>
      <c r="L6" s="9">
        <v>-3300</v>
      </c>
      <c r="M6" s="9"/>
      <c r="N6" s="48">
        <v>-500</v>
      </c>
      <c r="O6" s="21">
        <f t="shared" si="3"/>
        <v>43900</v>
      </c>
      <c r="P6" s="8" t="s">
        <v>201</v>
      </c>
      <c r="Q6" s="9">
        <v>-2000</v>
      </c>
      <c r="R6" s="9">
        <v>-1000</v>
      </c>
      <c r="S6" s="48">
        <v>-500</v>
      </c>
      <c r="T6" s="21">
        <f t="shared" si="4"/>
        <v>21300</v>
      </c>
      <c r="U6" s="53">
        <f>IF($J6="","",ROUND(($J6-$J$3)/1000,1)+(_xlfn.RANK.AVG($J6,($J6,$O6,$T6),1)-2)*10)</f>
        <v>4.8</v>
      </c>
      <c r="V6" s="54">
        <f>IF($O6="","",ROUND(($O6-$O$3)/1000,1)+(_xlfn.RANK.AVG($O6,($J6,$O6,$T6),1)-2)*10)</f>
        <v>18.899999999999999</v>
      </c>
      <c r="W6" s="55">
        <f>IF($T6="","",ROUND(($T6-$T$3)/1000,1)+(_xlfn.RANK.AVG($T6,($J6,$O6,$T6),1)-2)*10)</f>
        <v>-23.7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200</v>
      </c>
      <c r="AF6" s="41" t="s">
        <v>82</v>
      </c>
      <c r="AG6" s="41" t="s">
        <v>214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2800</v>
      </c>
      <c r="H7" s="9"/>
      <c r="I7" s="48">
        <v>0</v>
      </c>
      <c r="J7" s="21">
        <f t="shared" si="2"/>
        <v>42600</v>
      </c>
      <c r="K7" s="8" t="s">
        <v>201</v>
      </c>
      <c r="L7" s="9">
        <v>-1100</v>
      </c>
      <c r="M7" s="9"/>
      <c r="N7" s="48">
        <v>0</v>
      </c>
      <c r="O7" s="21">
        <f t="shared" si="3"/>
        <v>42800</v>
      </c>
      <c r="P7" s="8" t="s">
        <v>201</v>
      </c>
      <c r="Q7" s="9">
        <v>-1700</v>
      </c>
      <c r="R7" s="9"/>
      <c r="S7" s="48">
        <v>0</v>
      </c>
      <c r="T7" s="21">
        <f t="shared" si="4"/>
        <v>19600</v>
      </c>
      <c r="U7" s="53">
        <f>IF($J7="","",ROUND(($J7-$J$3)/1000,1)+(_xlfn.RANK.AVG($J7,($J7,$O7,$T7),1)-2)*10)</f>
        <v>7.6</v>
      </c>
      <c r="V7" s="54">
        <f>IF($O7="","",ROUND(($O7-$O$3)/1000,1)+(_xlfn.RANK.AVG($O7,($J7,$O7,$T7),1)-2)*10)</f>
        <v>17.8</v>
      </c>
      <c r="W7" s="55">
        <f>IF($T7="","",ROUND(($T7-$T$3)/1000,1)+(_xlfn.RANK.AVG($T7,($J7,$O7,$T7),1)-2)*10)</f>
        <v>-25.4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214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-5000</v>
      </c>
      <c r="H8" s="9"/>
      <c r="I8" s="48">
        <v>0</v>
      </c>
      <c r="J8" s="21">
        <f t="shared" si="2"/>
        <v>37600</v>
      </c>
      <c r="K8" s="8" t="s">
        <v>202</v>
      </c>
      <c r="L8" s="9">
        <v>8000</v>
      </c>
      <c r="M8" s="9"/>
      <c r="N8" s="48">
        <v>0</v>
      </c>
      <c r="O8" s="21">
        <f t="shared" si="3"/>
        <v>50800</v>
      </c>
      <c r="P8" s="8" t="s">
        <v>201</v>
      </c>
      <c r="Q8" s="9">
        <v>-3000</v>
      </c>
      <c r="R8" s="9"/>
      <c r="S8" s="48">
        <v>0</v>
      </c>
      <c r="T8" s="21">
        <f t="shared" si="4"/>
        <v>16600</v>
      </c>
      <c r="U8" s="53">
        <f>IF($J8="","",ROUND(($J8-$J$3)/1000,1)+(_xlfn.RANK.AVG($J8,($J8,$O8,$T8),1)-2)*10)</f>
        <v>2.6</v>
      </c>
      <c r="V8" s="54">
        <f>IF($O8="","",ROUND(($O8-$O$3)/1000,1)+(_xlfn.RANK.AVG($O8,($J8,$O8,$T8),1)-2)*10)</f>
        <v>25.8</v>
      </c>
      <c r="W8" s="55">
        <f>IF($T8="","",ROUND(($T8-$T$3)/1000,1)+(_xlfn.RANK.AVG($T8,($J8,$O8,$T8),1)-2)*10)</f>
        <v>-28.4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199</v>
      </c>
      <c r="AZ8" s="40" t="s">
        <v>98</v>
      </c>
      <c r="BA8" s="41" t="s">
        <v>104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12000</v>
      </c>
      <c r="H9" s="9"/>
      <c r="I9" s="48">
        <v>0</v>
      </c>
      <c r="J9" s="21">
        <f t="shared" si="2"/>
        <v>49600</v>
      </c>
      <c r="K9" s="8" t="s">
        <v>201</v>
      </c>
      <c r="L9" s="9">
        <v>-7500</v>
      </c>
      <c r="M9" s="9"/>
      <c r="N9" s="48">
        <v>0</v>
      </c>
      <c r="O9" s="21">
        <f t="shared" si="3"/>
        <v>43300</v>
      </c>
      <c r="P9" s="8" t="s">
        <v>201</v>
      </c>
      <c r="Q9" s="9">
        <v>-4500</v>
      </c>
      <c r="R9" s="9"/>
      <c r="S9" s="48">
        <v>0</v>
      </c>
      <c r="T9" s="21">
        <f t="shared" si="4"/>
        <v>12100</v>
      </c>
      <c r="U9" s="53">
        <f>IF($J9="","",ROUND(($J9-$J$3)/1000,1)+(_xlfn.RANK.AVG($J9,($J9,$O9,$T9),1)-2)*10)</f>
        <v>24.6</v>
      </c>
      <c r="V9" s="54">
        <f>IF($O9="","",ROUND(($O9-$O$3)/1000,1)+(_xlfn.RANK.AVG($O9,($J9,$O9,$T9),1)-2)*10)</f>
        <v>8.3000000000000007</v>
      </c>
      <c r="W9" s="55">
        <f>IF($T9="","",ROUND(($T9-$T$3)/1000,1)+(_xlfn.RANK.AVG($T9,($J9,$O9,$T9),1)-2)*10)</f>
        <v>-32.9</v>
      </c>
      <c r="Y9" s="8"/>
      <c r="Z9" s="34"/>
      <c r="AA9" s="26"/>
      <c r="AB9" s="26">
        <v>1</v>
      </c>
      <c r="AC9" s="26">
        <v>6</v>
      </c>
      <c r="AD9" s="30" t="s">
        <v>199</v>
      </c>
      <c r="AE9" s="40" t="s">
        <v>104</v>
      </c>
      <c r="AF9" s="41" t="s">
        <v>86</v>
      </c>
      <c r="AG9" s="41" t="s">
        <v>86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1000</v>
      </c>
      <c r="H10" s="9"/>
      <c r="I10" s="48">
        <v>0</v>
      </c>
      <c r="J10" s="21">
        <f t="shared" si="2"/>
        <v>50600</v>
      </c>
      <c r="K10" s="8"/>
      <c r="L10" s="9"/>
      <c r="M10" s="9"/>
      <c r="N10" s="48"/>
      <c r="O10" s="21">
        <f t="shared" si="3"/>
        <v>43300</v>
      </c>
      <c r="P10" s="8" t="s">
        <v>197</v>
      </c>
      <c r="Q10" s="9">
        <v>-1000</v>
      </c>
      <c r="R10" s="9"/>
      <c r="S10" s="48">
        <v>0</v>
      </c>
      <c r="T10" s="21">
        <f t="shared" si="4"/>
        <v>11100</v>
      </c>
      <c r="U10" s="53">
        <f>IF($J10="","",ROUND(($J10-$J$3)/1000,1)+(_xlfn.RANK.AVG($J10,($J10,$O10,$T10),1)-2)*10)</f>
        <v>25.6</v>
      </c>
      <c r="V10" s="54">
        <f>IF($O10="","",ROUND(($O10-$O$3)/1000,1)+(_xlfn.RANK.AVG($O10,($J10,$O10,$T10),1)-2)*10)</f>
        <v>8.3000000000000007</v>
      </c>
      <c r="W10" s="55">
        <f>IF($T10="","",ROUND(($T10-$T$3)/1000,1)+(_xlfn.RANK.AVG($T10,($J10,$O10,$T10),1)-2)*10)</f>
        <v>-33.9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07884BF3-709A-424C-AE52-7247EB77F469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09076075-77EE-44C2-9B4A-E0B3821D796E}">
      <formula1>"ロン,ツモ,放銃,ツモ支払,流局,チョンボ"</formula1>
    </dataValidation>
    <dataValidation type="list" allowBlank="1" showInputMessage="1" showErrorMessage="1" sqref="E4:E30" xr:uid="{8D986A92-770E-4229-B0CC-9F89F46EE07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2020-02-25T17:59:23Z</dcterms:modified>
</cp:coreProperties>
</file>