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704D1656-C97B-4593-ADAF-A2D5CCC3C9A3}" xr6:coauthVersionLast="41" xr6:coauthVersionMax="41" xr10:uidLastSave="{00000000-0000-0000-0000-000000000000}"/>
  <bookViews>
    <workbookView xWindow="-120" yWindow="-120" windowWidth="20730" windowHeight="1131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D14" i="23"/>
  <c r="C14" i="23"/>
  <c r="D13" i="23"/>
  <c r="C13" i="23"/>
  <c r="D12" i="23"/>
  <c r="D11" i="23"/>
  <c r="D10" i="23"/>
  <c r="D9" i="23"/>
  <c r="D8" i="23"/>
  <c r="C8" i="23"/>
  <c r="C9" i="23" s="1"/>
  <c r="C10" i="23" s="1"/>
  <c r="C11" i="23" s="1"/>
  <c r="C12" i="23" s="1"/>
  <c r="D7" i="23"/>
  <c r="C7" i="23"/>
  <c r="T6" i="23"/>
  <c r="D6" i="23"/>
  <c r="C6" i="23"/>
  <c r="B6" i="23"/>
  <c r="B7" i="23" s="1"/>
  <c r="T5" i="23"/>
  <c r="D5" i="23"/>
  <c r="C5" i="23"/>
  <c r="B5" i="23"/>
  <c r="A5" i="23" s="1"/>
  <c r="T4" i="23"/>
  <c r="O4" i="23"/>
  <c r="O5" i="23" s="1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O14" i="22"/>
  <c r="J14" i="22"/>
  <c r="D14" i="22"/>
  <c r="C14" i="22"/>
  <c r="B14" i="22"/>
  <c r="A14" i="22" s="1"/>
  <c r="D13" i="22"/>
  <c r="C13" i="22"/>
  <c r="D12" i="22"/>
  <c r="D11" i="22"/>
  <c r="C11" i="22"/>
  <c r="C12" i="22" s="1"/>
  <c r="D10" i="22"/>
  <c r="C10" i="22"/>
  <c r="D9" i="22"/>
  <c r="D8" i="22"/>
  <c r="C8" i="22"/>
  <c r="C9" i="22" s="1"/>
  <c r="D7" i="22"/>
  <c r="D6" i="22"/>
  <c r="C6" i="22"/>
  <c r="C7" i="22" s="1"/>
  <c r="J5" i="22"/>
  <c r="J6" i="22" s="1"/>
  <c r="D5" i="22"/>
  <c r="C5" i="22"/>
  <c r="B5" i="22"/>
  <c r="B6" i="22" s="1"/>
  <c r="T4" i="22"/>
  <c r="T5" i="22" s="1"/>
  <c r="O4" i="22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D13" i="21"/>
  <c r="C13" i="21"/>
  <c r="D12" i="21"/>
  <c r="C12" i="21"/>
  <c r="D11" i="21"/>
  <c r="D10" i="21"/>
  <c r="D9" i="21"/>
  <c r="C9" i="21"/>
  <c r="C10" i="21" s="1"/>
  <c r="C11" i="21" s="1"/>
  <c r="D8" i="21"/>
  <c r="C8" i="21"/>
  <c r="D7" i="21"/>
  <c r="C7" i="21"/>
  <c r="D6" i="21"/>
  <c r="C6" i="21"/>
  <c r="T5" i="21"/>
  <c r="T6" i="21" s="1"/>
  <c r="O5" i="21"/>
  <c r="D5" i="21"/>
  <c r="C5" i="21"/>
  <c r="B5" i="21"/>
  <c r="A5" i="21" s="1"/>
  <c r="T4" i="21"/>
  <c r="O4" i="21"/>
  <c r="J4" i="21"/>
  <c r="W3" i="21"/>
  <c r="V3" i="21"/>
  <c r="U3" i="21"/>
  <c r="W2" i="21"/>
  <c r="V2" i="21"/>
  <c r="U2" i="21"/>
  <c r="BO1" i="21"/>
  <c r="AT1" i="21"/>
  <c r="Y1" i="21"/>
  <c r="A6" i="23" l="1"/>
  <c r="W4" i="23"/>
  <c r="V4" i="23"/>
  <c r="B8" i="23"/>
  <c r="A8" i="23" s="1"/>
  <c r="O6" i="23"/>
  <c r="T7" i="23"/>
  <c r="J5" i="23"/>
  <c r="V5" i="23" s="1"/>
  <c r="A7" i="23"/>
  <c r="U4" i="23"/>
  <c r="V14" i="22"/>
  <c r="W14" i="22"/>
  <c r="U14" i="22"/>
  <c r="V4" i="22"/>
  <c r="W4" i="22"/>
  <c r="B7" i="22"/>
  <c r="J7" i="22"/>
  <c r="T6" i="22"/>
  <c r="O5" i="22"/>
  <c r="W5" i="22" s="1"/>
  <c r="A5" i="22"/>
  <c r="A6" i="22" s="1"/>
  <c r="V4" i="21"/>
  <c r="W4" i="21"/>
  <c r="U4" i="21"/>
  <c r="T7" i="21"/>
  <c r="B6" i="21"/>
  <c r="J5" i="21"/>
  <c r="V5" i="21" s="1"/>
  <c r="O6" i="21"/>
  <c r="W5" i="23" l="1"/>
  <c r="B9" i="23"/>
  <c r="U5" i="23"/>
  <c r="J6" i="23"/>
  <c r="T8" i="23"/>
  <c r="O7" i="23"/>
  <c r="V6" i="23"/>
  <c r="A7" i="22"/>
  <c r="T7" i="22"/>
  <c r="V5" i="22"/>
  <c r="O6" i="22"/>
  <c r="W6" i="22" s="1"/>
  <c r="U5" i="22"/>
  <c r="J8" i="22"/>
  <c r="B8" i="22"/>
  <c r="A8" i="22" s="1"/>
  <c r="T8" i="21"/>
  <c r="O7" i="21"/>
  <c r="U5" i="21"/>
  <c r="J6" i="21"/>
  <c r="V6" i="21" s="1"/>
  <c r="W5" i="21"/>
  <c r="B7" i="21"/>
  <c r="A6" i="21"/>
  <c r="B10" i="23" l="1"/>
  <c r="O8" i="23"/>
  <c r="T9" i="23"/>
  <c r="A9" i="23"/>
  <c r="U6" i="23"/>
  <c r="J7" i="23"/>
  <c r="V7" i="23" s="1"/>
  <c r="W6" i="23"/>
  <c r="B9" i="22"/>
  <c r="A9" i="22"/>
  <c r="J9" i="22"/>
  <c r="V6" i="22"/>
  <c r="O7" i="22"/>
  <c r="W7" i="22" s="1"/>
  <c r="U6" i="22"/>
  <c r="T8" i="22"/>
  <c r="A7" i="21"/>
  <c r="T9" i="21"/>
  <c r="B8" i="21"/>
  <c r="U6" i="21"/>
  <c r="J7" i="21"/>
  <c r="V7" i="21" s="1"/>
  <c r="W6" i="21"/>
  <c r="O8" i="21"/>
  <c r="B11" i="23" l="1"/>
  <c r="A10" i="23"/>
  <c r="U7" i="23"/>
  <c r="J8" i="23"/>
  <c r="W7" i="23"/>
  <c r="T10" i="23"/>
  <c r="V8" i="23"/>
  <c r="O9" i="23"/>
  <c r="T9" i="22"/>
  <c r="B10" i="22"/>
  <c r="O8" i="22"/>
  <c r="W8" i="22" s="1"/>
  <c r="V7" i="22"/>
  <c r="U7" i="22"/>
  <c r="J10" i="22"/>
  <c r="B9" i="21"/>
  <c r="T10" i="21"/>
  <c r="O9" i="21"/>
  <c r="J8" i="21"/>
  <c r="U7" i="21"/>
  <c r="W7" i="21"/>
  <c r="A8" i="21"/>
  <c r="A11" i="23" l="1"/>
  <c r="O10" i="23"/>
  <c r="B12" i="23"/>
  <c r="T11" i="23"/>
  <c r="U8" i="23"/>
  <c r="J9" i="23"/>
  <c r="V9" i="23" s="1"/>
  <c r="W8" i="23"/>
  <c r="W9" i="22"/>
  <c r="T10" i="22"/>
  <c r="B11" i="22"/>
  <c r="J11" i="22"/>
  <c r="V8" i="22"/>
  <c r="O9" i="22"/>
  <c r="U8" i="22"/>
  <c r="A10" i="22"/>
  <c r="A9" i="21"/>
  <c r="B10" i="21"/>
  <c r="U8" i="21"/>
  <c r="J9" i="21"/>
  <c r="W8" i="21"/>
  <c r="V9" i="21"/>
  <c r="O10" i="21"/>
  <c r="V8" i="21"/>
  <c r="T11" i="21"/>
  <c r="O11" i="23" l="1"/>
  <c r="U9" i="23"/>
  <c r="J10" i="23"/>
  <c r="V10" i="23" s="1"/>
  <c r="W9" i="23"/>
  <c r="B13" i="23"/>
  <c r="T12" i="23"/>
  <c r="A12" i="23"/>
  <c r="A13" i="23" s="1"/>
  <c r="V9" i="22"/>
  <c r="O10" i="22"/>
  <c r="U9" i="22"/>
  <c r="B12" i="22"/>
  <c r="T11" i="22"/>
  <c r="J12" i="22"/>
  <c r="A11" i="22"/>
  <c r="A12" i="22" s="1"/>
  <c r="B11" i="21"/>
  <c r="T12" i="21"/>
  <c r="O11" i="21"/>
  <c r="U9" i="21"/>
  <c r="J10" i="21"/>
  <c r="V10" i="21" s="1"/>
  <c r="W9" i="21"/>
  <c r="A10" i="21"/>
  <c r="T13" i="23" l="1"/>
  <c r="O12" i="23"/>
  <c r="B14" i="23"/>
  <c r="A14" i="23"/>
  <c r="U10" i="23"/>
  <c r="J11" i="23"/>
  <c r="V11" i="23" s="1"/>
  <c r="W10" i="23"/>
  <c r="V10" i="22"/>
  <c r="O11" i="22"/>
  <c r="U10" i="22"/>
  <c r="J13" i="22"/>
  <c r="T12" i="22"/>
  <c r="W10" i="22"/>
  <c r="B13" i="22"/>
  <c r="A13" i="22" s="1"/>
  <c r="B12" i="21"/>
  <c r="U10" i="21"/>
  <c r="J11" i="21"/>
  <c r="W10" i="21"/>
  <c r="O12" i="21"/>
  <c r="V11" i="21"/>
  <c r="T13" i="21"/>
  <c r="A11" i="21"/>
  <c r="T14" i="23" l="1"/>
  <c r="U11" i="23"/>
  <c r="J12" i="23"/>
  <c r="W11" i="23"/>
  <c r="V12" i="23"/>
  <c r="O13" i="23"/>
  <c r="O12" i="22"/>
  <c r="V11" i="22"/>
  <c r="U11" i="22"/>
  <c r="T13" i="22"/>
  <c r="W11" i="22"/>
  <c r="B13" i="21"/>
  <c r="A13" i="21" s="1"/>
  <c r="O13" i="21"/>
  <c r="U11" i="21"/>
  <c r="J12" i="21"/>
  <c r="W11" i="21"/>
  <c r="A12" i="21"/>
  <c r="V13" i="23" l="1"/>
  <c r="O14" i="23"/>
  <c r="U12" i="23"/>
  <c r="J13" i="23"/>
  <c r="W12" i="23"/>
  <c r="V12" i="22"/>
  <c r="O13" i="22"/>
  <c r="U12" i="22"/>
  <c r="W12" i="22"/>
  <c r="U12" i="21"/>
  <c r="J13" i="21"/>
  <c r="V13" i="21" s="1"/>
  <c r="W12" i="21"/>
  <c r="V12" i="21"/>
  <c r="U13" i="23" l="1"/>
  <c r="J14" i="23"/>
  <c r="W13" i="23"/>
  <c r="V14" i="23"/>
  <c r="V13" i="22"/>
  <c r="U13" i="22"/>
  <c r="W13" i="22"/>
  <c r="U13" i="21"/>
  <c r="W13" i="21"/>
  <c r="U14" i="23" l="1"/>
  <c r="W14" i="23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/>
  <c r="T12" i="20"/>
  <c r="O12" i="20"/>
  <c r="J12" i="20"/>
  <c r="U12" i="20" s="1"/>
  <c r="D12" i="20"/>
  <c r="C12" i="20"/>
  <c r="B12" i="20"/>
  <c r="A12" i="20"/>
  <c r="T11" i="20"/>
  <c r="O11" i="20"/>
  <c r="J11" i="20"/>
  <c r="D11" i="20"/>
  <c r="C11" i="20"/>
  <c r="B11" i="20"/>
  <c r="A11" i="20"/>
  <c r="T10" i="20"/>
  <c r="O10" i="20"/>
  <c r="J10" i="20"/>
  <c r="D10" i="20"/>
  <c r="C10" i="20"/>
  <c r="B10" i="20"/>
  <c r="A10" i="20" s="1"/>
  <c r="T9" i="20"/>
  <c r="O9" i="20"/>
  <c r="J9" i="20"/>
  <c r="D9" i="20"/>
  <c r="C9" i="20"/>
  <c r="B9" i="20"/>
  <c r="A9" i="20" s="1"/>
  <c r="D8" i="20"/>
  <c r="C8" i="20"/>
  <c r="D7" i="20"/>
  <c r="C7" i="20"/>
  <c r="D6" i="20"/>
  <c r="C6" i="20"/>
  <c r="T5" i="20"/>
  <c r="O5" i="20"/>
  <c r="D5" i="20"/>
  <c r="C5" i="20"/>
  <c r="B5" i="20"/>
  <c r="T4" i="20"/>
  <c r="O4" i="20"/>
  <c r="V4" i="20" s="1"/>
  <c r="J4" i="20"/>
  <c r="W3" i="20"/>
  <c r="V3" i="20"/>
  <c r="U3" i="20"/>
  <c r="W2" i="20"/>
  <c r="V2" i="20"/>
  <c r="U2" i="20"/>
  <c r="BO1" i="20"/>
  <c r="AT1" i="20"/>
  <c r="Y1" i="20"/>
  <c r="V13" i="20" l="1"/>
  <c r="W13" i="20"/>
  <c r="U13" i="20"/>
  <c r="V12" i="20"/>
  <c r="W12" i="20"/>
  <c r="V11" i="20"/>
  <c r="U11" i="20"/>
  <c r="W11" i="20"/>
  <c r="W10" i="20"/>
  <c r="U10" i="20"/>
  <c r="V10" i="20"/>
  <c r="V9" i="20"/>
  <c r="U9" i="20"/>
  <c r="W9" i="20"/>
  <c r="W4" i="20"/>
  <c r="U4" i="20"/>
  <c r="B6" i="20"/>
  <c r="A6" i="20" s="1"/>
  <c r="J5" i="20"/>
  <c r="V5" i="20" s="1"/>
  <c r="O6" i="20"/>
  <c r="A5" i="20"/>
  <c r="T6" i="20"/>
  <c r="W3" i="19"/>
  <c r="V3" i="19"/>
  <c r="U3" i="19"/>
  <c r="W5" i="20" l="1"/>
  <c r="T7" i="20"/>
  <c r="O7" i="20"/>
  <c r="U5" i="20"/>
  <c r="J6" i="20"/>
  <c r="W6" i="20" s="1"/>
  <c r="B7" i="20"/>
  <c r="A7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6" i="20" l="1"/>
  <c r="V9" i="19"/>
  <c r="U9" i="19"/>
  <c r="T8" i="20"/>
  <c r="B8" i="20"/>
  <c r="A8" i="20" s="1"/>
  <c r="U6" i="20"/>
  <c r="J7" i="20"/>
  <c r="W7" i="20" s="1"/>
  <c r="V7" i="20"/>
  <c r="O8" i="20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8" i="20" l="1"/>
  <c r="U7" i="20"/>
  <c r="J8" i="20"/>
  <c r="V8" i="20" s="1"/>
  <c r="W5" i="19"/>
  <c r="V5" i="19"/>
  <c r="U5" i="19"/>
  <c r="U8" i="20" l="1"/>
</calcChain>
</file>

<file path=xl/sharedStrings.xml><?xml version="1.0" encoding="utf-8"?>
<sst xmlns="http://schemas.openxmlformats.org/spreadsheetml/2006/main" count="1013" uniqueCount="212">
  <si>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</si>
  <si>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</si>
  <si>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</si>
  <si>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</si>
  <si>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</si>
  <si>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</si>
  <si>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</si>
  <si>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</si>
  <si>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</si>
  <si>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</si>
  <si>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</si>
  <si>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</si>
  <si>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</si>
  <si>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</si>
  <si>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</si>
  <si>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</si>
  <si>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</si>
  <si>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</si>
  <si>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</si>
  <si>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</si>
  <si>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</si>
  <si>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</si>
  <si>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</si>
  <si>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</si>
  <si>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</si>
  <si>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</si>
  <si>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</si>
  <si>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</si>
  <si>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</si>
  <si>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</si>
  <si>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</si>
  <si>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</si>
  <si>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</si>
  <si>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</si>
  <si>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</si>
  <si>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</si>
  <si>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</si>
  <si>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</si>
  <si>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</si>
  <si>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</si>
  <si>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</si>
  <si>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</si>
  <si>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</si>
  <si>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</si>
  <si>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</si>
  <si>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</si>
  <si>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</si>
  <si>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</si>
  <si>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</si>
  <si>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</si>
  <si>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</si>
  <si>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</si>
  <si>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</si>
  <si>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</si>
  <si>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</si>
  <si>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</si>
  <si>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</si>
  <si>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</si>
  <si>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</si>
  <si>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</si>
  <si>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</si>
  <si>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</si>
  <si>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</si>
  <si>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</si>
  <si>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</si>
  <si>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</si>
  <si>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</si>
  <si>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</si>
  <si>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</si>
  <si>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</si>
  <si>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</si>
  <si>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</si>
  <si>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</si>
  <si>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</si>
  <si>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</si>
  <si>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</si>
  <si>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</si>
  <si>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</si>
  <si>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</si>
  <si>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</si>
  <si>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</si>
  <si>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</si>
  <si>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</si>
  <si>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</si>
  <si>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</si>
  <si>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</si>
  <si>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</si>
  <si>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</si>
  <si>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</si>
  <si>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</si>
  <si>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</si>
  <si>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</si>
  <si>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</si>
  <si>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</si>
  <si>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</si>
  <si>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</si>
  <si>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</si>
  <si>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</si>
  <si>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</si>
  <si>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</si>
  <si>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</si>
  <si>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</si>
  <si>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</si>
  <si>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</si>
  <si>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</si>
  <si>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</si>
  <si>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</si>
  <si>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</si>
  <si>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</si>
  <si>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</si>
  <si>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</si>
  <si>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</si>
  <si>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</si>
  <si>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</si>
  <si>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</si>
  <si>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</si>
  <si>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</si>
  <si>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</si>
  <si>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</si>
  <si>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</si>
  <si>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</si>
  <si>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</si>
  <si>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</si>
  <si>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</si>
  <si>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</si>
  <si>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</si>
  <si>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</si>
  <si>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</si>
  <si>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</si>
  <si>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</si>
  <si>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</si>
  <si>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</si>
  <si>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</si>
  <si>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</si>
  <si>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</si>
  <si>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</si>
  <si>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</si>
  <si>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</si>
  <si>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</si>
  <si>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</si>
  <si>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</si>
  <si>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</si>
  <si>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</si>
  <si>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</si>
  <si>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</si>
  <si>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</si>
  <si>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</si>
  <si>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</si>
  <si>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</si>
  <si>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</si>
  <si>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</si>
  <si>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</si>
  <si>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</si>
  <si>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</si>
  <si>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</si>
  <si>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</si>
  <si>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</si>
  <si>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</si>
  <si>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</si>
  <si>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</si>
  <si>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</si>
  <si>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</si>
  <si>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</si>
  <si>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</si>
  <si>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</si>
  <si>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</si>
  <si>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</si>
  <si>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</si>
  <si>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</si>
  <si>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</si>
  <si>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</si>
  <si>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</si>
  <si>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</si>
  <si>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</si>
  <si>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</si>
  <si>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</si>
  <si>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</si>
  <si>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</si>
  <si>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</si>
  <si>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</si>
  <si>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</si>
  <si>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</si>
  <si>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</si>
  <si>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</si>
  <si>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</si>
  <si>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</si>
  <si>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</si>
  <si>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</si>
  <si>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</si>
  <si>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</si>
  <si>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</si>
  <si>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</si>
  <si>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</si>
  <si>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だいち</t>
  </si>
  <si>
    <t>だいち</t>
    <phoneticPr fontId="1"/>
  </si>
  <si>
    <t>ただ</t>
  </si>
  <si>
    <t>ただ</t>
    <phoneticPr fontId="1"/>
  </si>
  <si>
    <t>ツモ</t>
  </si>
  <si>
    <t>ツモ支払</t>
  </si>
  <si>
    <t>*</t>
  </si>
  <si>
    <t>52</t>
  </si>
  <si>
    <t>ロン</t>
  </si>
  <si>
    <t>放銃</t>
  </si>
  <si>
    <t>01</t>
  </si>
  <si>
    <t>まっつん</t>
  </si>
  <si>
    <t>まっつん</t>
    <phoneticPr fontId="1"/>
  </si>
  <si>
    <t>N</t>
  </si>
  <si>
    <t>T</t>
  </si>
  <si>
    <t>流局</t>
    <phoneticPr fontId="1"/>
  </si>
  <si>
    <t>りくと</t>
  </si>
  <si>
    <t>りくと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</si>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</sst>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8000</v>
      </c>
      <c r="H4" s="9">
        <v>1000</v>
      </c>
      <c r="I4" s="48">
        <v>0</v>
      </c>
      <c r="J4" s="21">
        <f>IF(COUNTA($F4,$K4,$P4)&gt;0,J3+SUM(G4:I4),"")</f>
        <v>44000</v>
      </c>
      <c r="K4" s="8" t="s">
        <v>198</v>
      </c>
      <c r="L4" s="9">
        <v>-5000</v>
      </c>
      <c r="M4" s="9">
        <v>-1000</v>
      </c>
      <c r="N4" s="48">
        <v>0</v>
      </c>
      <c r="O4" s="21">
        <f>IF(COUNTA($F4,$K4,$P4)&gt;0,O3+SUM(L4:N4),"")</f>
        <v>29000</v>
      </c>
      <c r="P4" s="8" t="s">
        <v>198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19</v>
      </c>
      <c r="V4" s="54">
        <f>IF($O4="","",ROUND(($O4-$O$3)/1000,1)+(_xlfn.RANK.AVG($O4,($J4,$O4,$T4),1)-2)*10)</f>
        <v>-16</v>
      </c>
      <c r="W4" s="55">
        <f>IF($T4="","",ROUND(($T4-$T$3)/1000,1)+(_xlfn.RANK.AVG($T4,($J4,$O4,$T4),1)-2)*10)</f>
        <v>-3</v>
      </c>
      <c r="Y4" s="8"/>
      <c r="Z4" s="34"/>
      <c r="AA4" s="26"/>
      <c r="AB4" s="26">
        <v>1</v>
      </c>
      <c r="AC4" s="26">
        <v>5</v>
      </c>
      <c r="AD4" s="30" t="s">
        <v>199</v>
      </c>
      <c r="AE4" s="40" t="s">
        <v>86</v>
      </c>
      <c r="AF4" s="41" t="s">
        <v>79</v>
      </c>
      <c r="AG4" s="41" t="s">
        <v>79</v>
      </c>
      <c r="AH4" s="41" t="s">
        <v>79</v>
      </c>
      <c r="AI4" s="41" t="s">
        <v>200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12000</v>
      </c>
      <c r="H5" s="9"/>
      <c r="I5" s="48">
        <v>0</v>
      </c>
      <c r="J5" s="21">
        <f t="shared" ref="J5:J30" si="2">IF(COUNTA($F5,$K5,$P5)&gt;0,J4+SUM(G5:I5),"")</f>
        <v>56000</v>
      </c>
      <c r="K5" s="8"/>
      <c r="L5" s="9"/>
      <c r="M5" s="9"/>
      <c r="N5" s="48"/>
      <c r="O5" s="21">
        <f t="shared" ref="O5:O30" si="3">IF(COUNTA($F5,$K5,$P5)&gt;0,O4+SUM(L5:N5),"")</f>
        <v>29000</v>
      </c>
      <c r="P5" s="8" t="s">
        <v>202</v>
      </c>
      <c r="Q5" s="9">
        <v>-12000</v>
      </c>
      <c r="R5" s="9"/>
      <c r="S5" s="48">
        <v>0</v>
      </c>
      <c r="T5" s="21">
        <f t="shared" ref="T5:T30" si="4">IF(COUNTA($F5,$K5,$P5)&gt;0,T4+SUM(Q5:S5),"")</f>
        <v>20000</v>
      </c>
      <c r="U5" s="53">
        <f>IF($J5="","",ROUND(($J5-$J$3)/1000,1)+(_xlfn.RANK.AVG($J5,($J5,$O5,$T5),1)-2)*10)</f>
        <v>31</v>
      </c>
      <c r="V5" s="54">
        <f>IF($O5="","",ROUND(($O5-$O$3)/1000,1)+(_xlfn.RANK.AVG($O5,($J5,$O5,$T5),1)-2)*10)</f>
        <v>-6</v>
      </c>
      <c r="W5" s="55">
        <f>IF($T5="","",ROUND(($T5-$T$3)/1000,1)+(_xlfn.RANK.AVG($T5,($J5,$O5,$T5),1)-2)*10)</f>
        <v>-25</v>
      </c>
      <c r="Y5" s="8"/>
      <c r="Z5" s="34"/>
      <c r="AA5" s="26"/>
      <c r="AB5" s="26">
        <v>1</v>
      </c>
      <c r="AC5" s="26">
        <v>6</v>
      </c>
      <c r="AD5" s="30" t="s">
        <v>199</v>
      </c>
      <c r="AE5" s="40" t="s">
        <v>104</v>
      </c>
      <c r="AF5" s="41" t="s">
        <v>86</v>
      </c>
      <c r="AG5" s="41" t="s">
        <v>79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-1300</v>
      </c>
      <c r="H6" s="9">
        <v>-1000</v>
      </c>
      <c r="I6" s="48">
        <v>0</v>
      </c>
      <c r="J6" s="21">
        <f t="shared" si="2"/>
        <v>53700</v>
      </c>
      <c r="K6" s="8" t="s">
        <v>198</v>
      </c>
      <c r="L6" s="9">
        <v>-800</v>
      </c>
      <c r="M6" s="9"/>
      <c r="N6" s="48">
        <v>0</v>
      </c>
      <c r="O6" s="21">
        <f t="shared" si="3"/>
        <v>28200</v>
      </c>
      <c r="P6" s="8" t="s">
        <v>197</v>
      </c>
      <c r="Q6" s="9">
        <v>2100</v>
      </c>
      <c r="R6" s="9">
        <v>1000</v>
      </c>
      <c r="S6" s="48">
        <v>0</v>
      </c>
      <c r="T6" s="21">
        <f t="shared" si="4"/>
        <v>23100</v>
      </c>
      <c r="U6" s="53">
        <f>IF($J6="","",ROUND(($J6-$J$3)/1000,1)+(_xlfn.RANK.AVG($J6,($J6,$O6,$T6),1)-2)*10)</f>
        <v>28.7</v>
      </c>
      <c r="V6" s="54">
        <f>IF($O6="","",ROUND(($O6-$O$3)/1000,1)+(_xlfn.RANK.AVG($O6,($J6,$O6,$T6),1)-2)*10)</f>
        <v>-6.8</v>
      </c>
      <c r="W6" s="55">
        <f>IF($T6="","",ROUND(($T6-$T$3)/1000,1)+(_xlfn.RANK.AVG($T6,($J6,$O6,$T6),1)-2)*10)</f>
        <v>-21.9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84</v>
      </c>
      <c r="BV6" s="41" t="s">
        <v>82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3200</v>
      </c>
      <c r="H7" s="9"/>
      <c r="I7" s="48">
        <v>0</v>
      </c>
      <c r="J7" s="21">
        <f t="shared" si="2"/>
        <v>56900</v>
      </c>
      <c r="K7" s="8"/>
      <c r="L7" s="9"/>
      <c r="M7" s="9"/>
      <c r="N7" s="48"/>
      <c r="O7" s="21">
        <f t="shared" si="3"/>
        <v>28200</v>
      </c>
      <c r="P7" s="8" t="s">
        <v>202</v>
      </c>
      <c r="Q7" s="9">
        <v>-3200</v>
      </c>
      <c r="R7" s="9"/>
      <c r="S7" s="48">
        <v>0</v>
      </c>
      <c r="T7" s="21">
        <f t="shared" si="4"/>
        <v>19900</v>
      </c>
      <c r="U7" s="53">
        <f>IF($J7="","",ROUND(($J7-$J$3)/1000,1)+(_xlfn.RANK.AVG($J7,($J7,$O7,$T7),1)-2)*10)</f>
        <v>31.9</v>
      </c>
      <c r="V7" s="54">
        <f>IF($O7="","",ROUND(($O7-$O$3)/1000,1)+(_xlfn.RANK.AVG($O7,($J7,$O7,$T7),1)-2)*10)</f>
        <v>-6.8</v>
      </c>
      <c r="W7" s="55">
        <f>IF($T7="","",ROUND(($T7-$T$3)/1000,1)+(_xlfn.RANK.AVG($T7,($J7,$O7,$T7),1)-2)*10)</f>
        <v>-25.1</v>
      </c>
      <c r="Y7" s="8"/>
      <c r="Z7" s="34"/>
      <c r="AA7" s="26">
        <v>1</v>
      </c>
      <c r="AB7" s="26"/>
      <c r="AC7" s="26">
        <v>2</v>
      </c>
      <c r="AD7" s="30">
        <v>50</v>
      </c>
      <c r="AE7" s="40" t="s">
        <v>203</v>
      </c>
      <c r="AF7" s="41" t="s">
        <v>80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201</v>
      </c>
      <c r="G8" s="9">
        <v>2600</v>
      </c>
      <c r="H8" s="9"/>
      <c r="I8" s="48">
        <v>0</v>
      </c>
      <c r="J8" s="21">
        <f t="shared" si="2"/>
        <v>59500</v>
      </c>
      <c r="K8" s="8"/>
      <c r="L8" s="9"/>
      <c r="M8" s="9"/>
      <c r="N8" s="48"/>
      <c r="O8" s="21">
        <f t="shared" si="3"/>
        <v>28200</v>
      </c>
      <c r="P8" s="8" t="s">
        <v>202</v>
      </c>
      <c r="Q8" s="9">
        <v>-2600</v>
      </c>
      <c r="R8" s="9"/>
      <c r="S8" s="48">
        <v>0</v>
      </c>
      <c r="T8" s="21">
        <f t="shared" si="4"/>
        <v>17300</v>
      </c>
      <c r="U8" s="53">
        <f>IF($J8="","",ROUND(($J8-$J$3)/1000,1)+(_xlfn.RANK.AVG($J8,($J8,$O8,$T8),1)-2)*10)</f>
        <v>34.5</v>
      </c>
      <c r="V8" s="54">
        <f>IF($O8="","",ROUND(($O8-$O$3)/1000,1)+(_xlfn.RANK.AVG($O8,($J8,$O8,$T8),1)-2)*10)</f>
        <v>-6.8</v>
      </c>
      <c r="W8" s="55">
        <f>IF($T8="","",ROUND(($T8-$T$3)/1000,1)+(_xlfn.RANK.AVG($T8,($J8,$O8,$T8),1)-2)*10)</f>
        <v>-27.7</v>
      </c>
      <c r="Y8" s="8"/>
      <c r="Z8" s="34"/>
      <c r="AA8" s="26"/>
      <c r="AB8" s="26">
        <v>1</v>
      </c>
      <c r="AC8" s="26">
        <v>2</v>
      </c>
      <c r="AD8" s="30">
        <v>40</v>
      </c>
      <c r="AE8" s="40" t="s">
        <v>93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>
        <v>-1000</v>
      </c>
      <c r="I9" s="48"/>
      <c r="J9" s="21">
        <f t="shared" si="2"/>
        <v>58500</v>
      </c>
      <c r="K9" s="8" t="s">
        <v>202</v>
      </c>
      <c r="L9" s="9">
        <v>-16000</v>
      </c>
      <c r="M9" s="9"/>
      <c r="N9" s="48">
        <v>0</v>
      </c>
      <c r="O9" s="21">
        <f t="shared" si="3"/>
        <v>12200</v>
      </c>
      <c r="P9" s="8" t="s">
        <v>201</v>
      </c>
      <c r="Q9" s="9">
        <v>16000</v>
      </c>
      <c r="R9" s="9">
        <v>1000</v>
      </c>
      <c r="S9" s="48">
        <v>0</v>
      </c>
      <c r="T9" s="21">
        <f t="shared" si="4"/>
        <v>34300</v>
      </c>
      <c r="U9" s="53">
        <f>IF($J9="","",ROUND(($J9-$J$3)/1000,1)+(_xlfn.RANK.AVG($J9,($J9,$O9,$T9),1)-2)*10)</f>
        <v>33.5</v>
      </c>
      <c r="V9" s="54">
        <f>IF($O9="","",ROUND(($O9-$O$3)/1000,1)+(_xlfn.RANK.AVG($O9,($J9,$O9,$T9),1)-2)*10)</f>
        <v>-32.799999999999997</v>
      </c>
      <c r="W9" s="55">
        <f>IF($T9="","",ROUND(($T9-$T$3)/1000,1)+(_xlfn.RANK.AVG($T9,($J9,$O9,$T9),1)-2)*10)</f>
        <v>-0.7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199</v>
      </c>
      <c r="BU9" s="40" t="s">
        <v>203</v>
      </c>
      <c r="BV9" s="41" t="s">
        <v>96</v>
      </c>
      <c r="BW9" s="41" t="s">
        <v>98</v>
      </c>
      <c r="BX9" s="41" t="s">
        <v>80</v>
      </c>
      <c r="BY9" s="41" t="s">
        <v>80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B259BC2-42B0-421D-AD2E-10F20EB3B74A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0AF8D-96DF-48CA-8727-3C2BAA6391D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205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だいち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208</v>
      </c>
      <c r="G4" s="9">
        <v>-1500</v>
      </c>
      <c r="H4" s="9"/>
      <c r="I4" s="48"/>
      <c r="J4" s="21">
        <f>IF(COUNTA($F4,$K4,$P4)&gt;0,J3+SUM(G4:I4),"")</f>
        <v>33500</v>
      </c>
      <c r="K4" s="8" t="s">
        <v>208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208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206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198</v>
      </c>
      <c r="G5" s="9">
        <v>-1300</v>
      </c>
      <c r="H5" s="9"/>
      <c r="I5" s="48">
        <v>-500</v>
      </c>
      <c r="J5" s="21">
        <f t="shared" ref="J5:J30" si="2">IF(COUNTA($F5,$K5,$P5)&gt;0,J4+SUM(G5:I5),"")</f>
        <v>31700</v>
      </c>
      <c r="K5" s="8" t="s">
        <v>198</v>
      </c>
      <c r="L5" s="9">
        <v>-800</v>
      </c>
      <c r="M5" s="9"/>
      <c r="N5" s="48">
        <v>-500</v>
      </c>
      <c r="O5" s="21">
        <f t="shared" ref="O5:O30" si="3">IF(COUNTA($F5,$K5,$P5)&gt;0,O4+SUM(L5:N5),"")</f>
        <v>35700</v>
      </c>
      <c r="P5" s="8" t="s">
        <v>197</v>
      </c>
      <c r="Q5" s="9">
        <v>2100</v>
      </c>
      <c r="R5" s="9">
        <v>1000</v>
      </c>
      <c r="S5" s="48">
        <v>1000</v>
      </c>
      <c r="T5" s="21">
        <f t="shared" ref="T5:T30" si="4">IF(COUNTA($F5,$K5,$P5)&gt;0,T4+SUM(Q5:S5),"")</f>
        <v>37600</v>
      </c>
      <c r="U5" s="53">
        <f>IF($J5="","",ROUND(($J5-$J$3)/1000,1)+(_xlfn.RANK.AVG($J5,($J5,$O5,$T5),1)-2)*10)</f>
        <v>-13.3</v>
      </c>
      <c r="V5" s="54">
        <f>IF($O5="","",ROUND(($O5-$O$3)/1000,1)+(_xlfn.RANK.AVG($O5,($J5,$O5,$T5),1)-2)*10)</f>
        <v>0.7</v>
      </c>
      <c r="W5" s="55">
        <f>IF($T5="","",ROUND(($T5-$T$3)/1000,1)+(_xlfn.RANK.AVG($T5,($J5,$O5,$T5),1)-2)*10)</f>
        <v>12.6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82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201</v>
      </c>
      <c r="G6" s="9">
        <v>5200</v>
      </c>
      <c r="H6" s="9">
        <v>1000</v>
      </c>
      <c r="I6" s="48">
        <v>0</v>
      </c>
      <c r="J6" s="21">
        <f t="shared" si="2"/>
        <v>37900</v>
      </c>
      <c r="K6" s="8"/>
      <c r="L6" s="9"/>
      <c r="M6" s="9"/>
      <c r="N6" s="48"/>
      <c r="O6" s="21">
        <f t="shared" si="3"/>
        <v>35700</v>
      </c>
      <c r="P6" s="8" t="s">
        <v>202</v>
      </c>
      <c r="Q6" s="9">
        <v>-5200</v>
      </c>
      <c r="R6" s="9">
        <v>-1000</v>
      </c>
      <c r="S6" s="48">
        <v>0</v>
      </c>
      <c r="T6" s="21">
        <f t="shared" si="4"/>
        <v>31400</v>
      </c>
      <c r="U6" s="53">
        <f>IF($J6="","",ROUND(($J6-$J$3)/1000,1)+(_xlfn.RANK.AVG($J6,($J6,$O6,$T6),1)-2)*10)</f>
        <v>12.9</v>
      </c>
      <c r="V6" s="54">
        <f>IF($O6="","",ROUND(($O6-$O$3)/1000,1)+(_xlfn.RANK.AVG($O6,($J6,$O6,$T6),1)-2)*10)</f>
        <v>0.7</v>
      </c>
      <c r="W6" s="55">
        <f>IF($T6="","",ROUND(($T6-$T$3)/1000,1)+(_xlfn.RANK.AVG($T6,($J6,$O6,$T6),1)-2)*10)</f>
        <v>-13.6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203</v>
      </c>
      <c r="AF6" s="41" t="s">
        <v>200</v>
      </c>
      <c r="AG6" s="41" t="s">
        <v>200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204</v>
      </c>
      <c r="F7" s="8" t="s">
        <v>201</v>
      </c>
      <c r="G7" s="9">
        <v>1300</v>
      </c>
      <c r="H7" s="9"/>
      <c r="I7" s="48">
        <v>0</v>
      </c>
      <c r="J7" s="21">
        <f t="shared" si="2"/>
        <v>39200</v>
      </c>
      <c r="K7" s="8" t="s">
        <v>202</v>
      </c>
      <c r="L7" s="9">
        <v>-1300</v>
      </c>
      <c r="M7" s="9"/>
      <c r="N7" s="48">
        <v>0</v>
      </c>
      <c r="O7" s="21">
        <f t="shared" si="3"/>
        <v>34400</v>
      </c>
      <c r="P7" s="8"/>
      <c r="Q7" s="9"/>
      <c r="R7" s="9"/>
      <c r="S7" s="48"/>
      <c r="T7" s="21">
        <f t="shared" si="4"/>
        <v>31400</v>
      </c>
      <c r="U7" s="53">
        <f>IF($J7="","",ROUND(($J7-$J$3)/1000,1)+(_xlfn.RANK.AVG($J7,($J7,$O7,$T7),1)-2)*10)</f>
        <v>14.2</v>
      </c>
      <c r="V7" s="54">
        <f>IF($O7="","",ROUND(($O7-$O$3)/1000,1)+(_xlfn.RANK.AVG($O7,($J7,$O7,$T7),1)-2)*10)</f>
        <v>-0.6</v>
      </c>
      <c r="W7" s="55">
        <f>IF($T7="","",ROUND(($T7-$T$3)/1000,1)+(_xlfn.RANK.AVG($T7,($J7,$O7,$T7),1)-2)*10)</f>
        <v>-13.6</v>
      </c>
      <c r="Y7" s="8"/>
      <c r="Z7" s="34"/>
      <c r="AA7" s="26"/>
      <c r="AB7" s="26"/>
      <c r="AC7" s="26">
        <v>1</v>
      </c>
      <c r="AD7" s="30">
        <v>40</v>
      </c>
      <c r="AE7" s="40" t="s">
        <v>85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12000</v>
      </c>
      <c r="H8" s="9"/>
      <c r="I8" s="48">
        <v>0</v>
      </c>
      <c r="J8" s="21">
        <f t="shared" si="2"/>
        <v>51200</v>
      </c>
      <c r="K8" s="8" t="s">
        <v>202</v>
      </c>
      <c r="L8" s="9">
        <v>-12000</v>
      </c>
      <c r="M8" s="9"/>
      <c r="N8" s="48">
        <v>0</v>
      </c>
      <c r="O8" s="21">
        <f t="shared" si="3"/>
        <v>22400</v>
      </c>
      <c r="P8" s="8"/>
      <c r="Q8" s="9"/>
      <c r="R8" s="9"/>
      <c r="S8" s="48"/>
      <c r="T8" s="21">
        <f t="shared" si="4"/>
        <v>31400</v>
      </c>
      <c r="U8" s="53">
        <f>IF($J8="","",ROUND(($J8-$J$3)/1000,1)+(_xlfn.RANK.AVG($J8,($J8,$O8,$T8),1)-2)*10)</f>
        <v>26.2</v>
      </c>
      <c r="V8" s="54">
        <f>IF($O8="","",ROUND(($O8-$O$3)/1000,1)+(_xlfn.RANK.AVG($O8,($J8,$O8,$T8),1)-2)*10)</f>
        <v>-22.6</v>
      </c>
      <c r="W8" s="55">
        <f>IF($T8="","",ROUND(($T8-$T$3)/1000,1)+(_xlfn.RANK.AVG($T8,($J8,$O8,$T8),1)-2)*10)</f>
        <v>-3.6</v>
      </c>
      <c r="Y8" s="8"/>
      <c r="Z8" s="34"/>
      <c r="AA8" s="26"/>
      <c r="AB8" s="26">
        <v>1</v>
      </c>
      <c r="AC8" s="26">
        <v>4</v>
      </c>
      <c r="AD8" s="30">
        <v>40</v>
      </c>
      <c r="AE8" s="40" t="s">
        <v>86</v>
      </c>
      <c r="AF8" s="41" t="s">
        <v>79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201</v>
      </c>
      <c r="G9" s="9">
        <v>5800</v>
      </c>
      <c r="H9" s="9"/>
      <c r="I9" s="48">
        <v>1000</v>
      </c>
      <c r="J9" s="21">
        <f t="shared" si="2"/>
        <v>58000</v>
      </c>
      <c r="K9" s="8"/>
      <c r="L9" s="9"/>
      <c r="M9" s="9"/>
      <c r="N9" s="48"/>
      <c r="O9" s="21">
        <f t="shared" si="3"/>
        <v>22400</v>
      </c>
      <c r="P9" s="8" t="s">
        <v>202</v>
      </c>
      <c r="Q9" s="9">
        <v>-5800</v>
      </c>
      <c r="R9" s="9"/>
      <c r="S9" s="48">
        <v>-1000</v>
      </c>
      <c r="T9" s="21">
        <f t="shared" si="4"/>
        <v>24600</v>
      </c>
      <c r="U9" s="53">
        <f>IF($J9="","",ROUND(($J9-$J$3)/1000,1)+(_xlfn.RANK.AVG($J9,($J9,$O9,$T9),1)-2)*10)</f>
        <v>33</v>
      </c>
      <c r="V9" s="54">
        <f>IF($O9="","",ROUND(($O9-$O$3)/1000,1)+(_xlfn.RANK.AVG($O9,($J9,$O9,$T9),1)-2)*10)</f>
        <v>-22.6</v>
      </c>
      <c r="W9" s="55">
        <f>IF($T9="","",ROUND(($T9-$T$3)/1000,1)+(_xlfn.RANK.AVG($T9,($J9,$O9,$T9),1)-2)*10)</f>
        <v>-10.4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200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191</v>
      </c>
      <c r="F10" s="8" t="s">
        <v>201</v>
      </c>
      <c r="G10" s="9">
        <v>2900</v>
      </c>
      <c r="H10" s="9">
        <v>1000</v>
      </c>
      <c r="I10" s="48">
        <v>2000</v>
      </c>
      <c r="J10" s="21">
        <f t="shared" si="2"/>
        <v>63900</v>
      </c>
      <c r="K10" s="8" t="s">
        <v>202</v>
      </c>
      <c r="L10" s="9">
        <v>-2900</v>
      </c>
      <c r="M10" s="9"/>
      <c r="N10" s="48">
        <v>-2000</v>
      </c>
      <c r="O10" s="21">
        <f t="shared" si="3"/>
        <v>17500</v>
      </c>
      <c r="P10" s="8"/>
      <c r="Q10" s="9"/>
      <c r="R10" s="9">
        <v>-1000</v>
      </c>
      <c r="S10" s="48"/>
      <c r="T10" s="21">
        <f t="shared" si="4"/>
        <v>23600</v>
      </c>
      <c r="U10" s="53">
        <f>IF($J10="","",ROUND(($J10-$J$3)/1000,1)+(_xlfn.RANK.AVG($J10,($J10,$O10,$T10),1)-2)*10)</f>
        <v>38.9</v>
      </c>
      <c r="V10" s="54">
        <f>IF($O10="","",ROUND(($O10-$O$3)/1000,1)+(_xlfn.RANK.AVG($O10,($J10,$O10,$T10),1)-2)*10)</f>
        <v>-27.5</v>
      </c>
      <c r="W10" s="55">
        <f>IF($T10="","",ROUND(($T10-$T$3)/1000,1)+(_xlfn.RANK.AVG($T10,($J10,$O10,$T10),1)-2)*10)</f>
        <v>-11.4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79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191</v>
      </c>
      <c r="F11" s="8" t="s">
        <v>202</v>
      </c>
      <c r="G11" s="9">
        <v>-8000</v>
      </c>
      <c r="H11" s="9">
        <v>-1000</v>
      </c>
      <c r="I11" s="48">
        <v>-3000</v>
      </c>
      <c r="J11" s="21">
        <f t="shared" si="2"/>
        <v>51900</v>
      </c>
      <c r="K11" s="8" t="s">
        <v>201</v>
      </c>
      <c r="L11" s="9">
        <v>8000</v>
      </c>
      <c r="M11" s="9">
        <v>1000</v>
      </c>
      <c r="N11" s="48">
        <v>3000</v>
      </c>
      <c r="O11" s="21">
        <f t="shared" si="3"/>
        <v>29500</v>
      </c>
      <c r="P11" s="8"/>
      <c r="Q11" s="9"/>
      <c r="R11" s="9"/>
      <c r="S11" s="48"/>
      <c r="T11" s="21">
        <f t="shared" si="4"/>
        <v>23600</v>
      </c>
      <c r="U11" s="53">
        <f>IF($J11="","",ROUND(($J11-$J$3)/1000,1)+(_xlfn.RANK.AVG($J11,($J11,$O11,$T11),1)-2)*10)</f>
        <v>26.9</v>
      </c>
      <c r="V11" s="54">
        <f>IF($O11="","",ROUND(($O11-$O$3)/1000,1)+(_xlfn.RANK.AVG($O11,($J11,$O11,$T11),1)-2)*10)</f>
        <v>-5.5</v>
      </c>
      <c r="W11" s="55">
        <f>IF($T11="","",ROUND(($T11-$T$3)/1000,1)+(_xlfn.RANK.AVG($T11,($J11,$O11,$T11),1)-2)*10)</f>
        <v>-21.4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199</v>
      </c>
      <c r="AZ11" s="40" t="s">
        <v>203</v>
      </c>
      <c r="BA11" s="41" t="s">
        <v>83</v>
      </c>
      <c r="BB11" s="41" t="s">
        <v>84</v>
      </c>
      <c r="BC11" s="41" t="s">
        <v>79</v>
      </c>
      <c r="BD11" s="41" t="s">
        <v>80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198</v>
      </c>
      <c r="G12" s="9">
        <v>-3900</v>
      </c>
      <c r="H12" s="9">
        <v>-1000</v>
      </c>
      <c r="I12" s="48">
        <v>0</v>
      </c>
      <c r="J12" s="21">
        <f t="shared" si="2"/>
        <v>47000</v>
      </c>
      <c r="K12" s="8" t="s">
        <v>197</v>
      </c>
      <c r="L12" s="9">
        <v>7800</v>
      </c>
      <c r="M12" s="9">
        <v>1000</v>
      </c>
      <c r="N12" s="48">
        <v>0</v>
      </c>
      <c r="O12" s="21">
        <f t="shared" si="3"/>
        <v>38300</v>
      </c>
      <c r="P12" s="8" t="s">
        <v>198</v>
      </c>
      <c r="Q12" s="9">
        <v>-3900</v>
      </c>
      <c r="R12" s="9"/>
      <c r="S12" s="48">
        <v>0</v>
      </c>
      <c r="T12" s="21">
        <f t="shared" si="4"/>
        <v>19700</v>
      </c>
      <c r="U12" s="53">
        <f>IF($J12="","",ROUND(($J12-$J$3)/1000,1)+(_xlfn.RANK.AVG($J12,($J12,$O12,$T12),1)-2)*10)</f>
        <v>22</v>
      </c>
      <c r="V12" s="54">
        <f>IF($O12="","",ROUND(($O12-$O$3)/1000,1)+(_xlfn.RANK.AVG($O12,($J12,$O12,$T12),1)-2)*10)</f>
        <v>3.3</v>
      </c>
      <c r="W12" s="55">
        <f>IF($T12="","",ROUND(($T12-$T$3)/1000,1)+(_xlfn.RANK.AVG($T12,($J12,$O12,$T12),1)-2)*10)</f>
        <v>-25.3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3</v>
      </c>
      <c r="AY12" s="30">
        <v>40</v>
      </c>
      <c r="AZ12" s="40" t="s">
        <v>98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>
        <f t="shared" si="2"/>
        <v>47000</v>
      </c>
      <c r="K13" s="8" t="s">
        <v>201</v>
      </c>
      <c r="L13" s="9">
        <v>12000</v>
      </c>
      <c r="M13" s="9"/>
      <c r="N13" s="48">
        <v>1000</v>
      </c>
      <c r="O13" s="21">
        <f t="shared" si="3"/>
        <v>51300</v>
      </c>
      <c r="P13" s="8" t="s">
        <v>202</v>
      </c>
      <c r="Q13" s="9">
        <v>-12000</v>
      </c>
      <c r="R13" s="9"/>
      <c r="S13" s="48">
        <v>-1000</v>
      </c>
      <c r="T13" s="21">
        <f t="shared" si="4"/>
        <v>6700</v>
      </c>
      <c r="U13" s="53">
        <f>IF($J13="","",ROUND(($J13-$J$3)/1000,1)+(_xlfn.RANK.AVG($J13,($J13,$O13,$T13),1)-2)*10)</f>
        <v>12</v>
      </c>
      <c r="V13" s="54">
        <f>IF($O13="","",ROUND(($O13-$O$3)/1000,1)+(_xlfn.RANK.AVG($O13,($J13,$O13,$T13),1)-2)*10)</f>
        <v>26.3</v>
      </c>
      <c r="W13" s="55">
        <f>IF($T13="","",ROUND(($T13-$T$3)/1000,1)+(_xlfn.RANK.AVG($T13,($J13,$O13,$T13),1)-2)*10)</f>
        <v>-38.299999999999997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199</v>
      </c>
      <c r="AZ13" s="40" t="s">
        <v>203</v>
      </c>
      <c r="BA13" s="41" t="s">
        <v>200</v>
      </c>
      <c r="BB13" s="41" t="s">
        <v>79</v>
      </c>
      <c r="BC13" s="41" t="s">
        <v>79</v>
      </c>
      <c r="BD13" s="41" t="s">
        <v>80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1F0D6F87-2979-4F12-BE79-D0BF80AA09F5}">
      <formula1>"たかの,だいち,ただ,りくと,れんたろう,まっつん,のり,ぱぱ,ほたに,いっしー,"</formula1>
    </dataValidation>
    <dataValidation type="list" showInputMessage="1" showErrorMessage="1" sqref="K4:K30 P4:P30 F4:F30" xr:uid="{309F1EB7-26E5-4995-8841-92D4856D408B}">
      <formula1>"ロン,ツモ,放銃,ツモ支払,流局,チョンボ"</formula1>
    </dataValidation>
    <dataValidation type="list" allowBlank="1" showInputMessage="1" showErrorMessage="1" sqref="E4:E30" xr:uid="{ADB3053C-517A-4C8A-8D75-70091A9DA6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E849B-DB4C-4D65-BA59-849C8B5990B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204</v>
      </c>
      <c r="G1" s="78"/>
      <c r="H1" s="78"/>
      <c r="I1" s="79"/>
      <c r="J1" s="80"/>
      <c r="K1" s="77" t="s">
        <v>195</v>
      </c>
      <c r="L1" s="78"/>
      <c r="M1" s="78"/>
      <c r="N1" s="79"/>
      <c r="O1" s="80"/>
      <c r="P1" s="77" t="s">
        <v>209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ただ</v>
      </c>
      <c r="W2" s="16" t="str">
        <f>$P$1</f>
        <v>りくと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 t="s">
        <v>202</v>
      </c>
      <c r="Q4" s="9">
        <v>-2600</v>
      </c>
      <c r="R4" s="9"/>
      <c r="S4" s="48">
        <v>0</v>
      </c>
      <c r="T4" s="21">
        <f>IF(COUNTA($F4,$K4,$P4)&gt;0,T3+SUM(Q4:S4),"")</f>
        <v>32400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12.6</v>
      </c>
      <c r="W4" s="55">
        <f>IF($T4="","",ROUND(($T4-$T$3)/1000,1)+(_xlfn.RANK.AVG($T4,($J4,$O4,$T4),1)-2)*10)</f>
        <v>-12.6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40</v>
      </c>
      <c r="AZ4" s="40" t="s">
        <v>86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201</v>
      </c>
      <c r="G5" s="9">
        <v>12000</v>
      </c>
      <c r="H5" s="9"/>
      <c r="I5" s="48">
        <v>0</v>
      </c>
      <c r="J5" s="21">
        <f t="shared" ref="J5:J30" si="2">IF(COUNTA($F5,$K5,$P5)&gt;0,J4+SUM(G5:I5),"")</f>
        <v>47000</v>
      </c>
      <c r="K5" s="8"/>
      <c r="L5" s="9"/>
      <c r="M5" s="9"/>
      <c r="N5" s="48"/>
      <c r="O5" s="21">
        <f t="shared" ref="O5:O30" si="3">IF(COUNTA($F5,$K5,$P5)&gt;0,O4+SUM(L5:N5),"")</f>
        <v>37600</v>
      </c>
      <c r="P5" s="8" t="s">
        <v>202</v>
      </c>
      <c r="Q5" s="9">
        <v>-12000</v>
      </c>
      <c r="R5" s="9"/>
      <c r="S5" s="48">
        <v>0</v>
      </c>
      <c r="T5" s="21">
        <f t="shared" ref="T5:T30" si="4">IF(COUNTA($F5,$K5,$P5)&gt;0,T4+SUM(Q5:S5),"")</f>
        <v>20400</v>
      </c>
      <c r="U5" s="53">
        <f>IF($J5="","",ROUND(($J5-$J$3)/1000,1)+(_xlfn.RANK.AVG($J5,($J5,$O5,$T5),1)-2)*10)</f>
        <v>22</v>
      </c>
      <c r="V5" s="54">
        <f>IF($O5="","",ROUND(($O5-$O$3)/1000,1)+(_xlfn.RANK.AVG($O5,($J5,$O5,$T5),1)-2)*10)</f>
        <v>2.6</v>
      </c>
      <c r="W5" s="55">
        <f>IF($T5="","",ROUND(($T5-$T$3)/1000,1)+(_xlfn.RANK.AVG($T5,($J5,$O5,$T5),1)-2)*10)</f>
        <v>-24.6</v>
      </c>
      <c r="Y5" s="8"/>
      <c r="Z5" s="34"/>
      <c r="AA5" s="26"/>
      <c r="AB5" s="26">
        <v>1</v>
      </c>
      <c r="AC5" s="26">
        <v>4</v>
      </c>
      <c r="AD5" s="30">
        <v>40</v>
      </c>
      <c r="AE5" s="40" t="s">
        <v>86</v>
      </c>
      <c r="AF5" s="41" t="s">
        <v>104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204</v>
      </c>
      <c r="F6" s="8" t="s">
        <v>201</v>
      </c>
      <c r="G6" s="9">
        <v>5800</v>
      </c>
      <c r="H6" s="9"/>
      <c r="I6" s="48">
        <v>1000</v>
      </c>
      <c r="J6" s="21">
        <f t="shared" si="2"/>
        <v>53800</v>
      </c>
      <c r="K6" s="8" t="s">
        <v>202</v>
      </c>
      <c r="L6" s="9">
        <v>-5800</v>
      </c>
      <c r="M6" s="9"/>
      <c r="N6" s="48">
        <v>-1000</v>
      </c>
      <c r="O6" s="21">
        <f t="shared" si="3"/>
        <v>30800</v>
      </c>
      <c r="P6" s="8"/>
      <c r="Q6" s="9"/>
      <c r="R6" s="9"/>
      <c r="S6" s="48"/>
      <c r="T6" s="21">
        <f t="shared" si="4"/>
        <v>20400</v>
      </c>
      <c r="U6" s="53">
        <f>IF($J6="","",ROUND(($J6-$J$3)/1000,1)+(_xlfn.RANK.AVG($J6,($J6,$O6,$T6),1)-2)*10)</f>
        <v>28.8</v>
      </c>
      <c r="V6" s="54">
        <f>IF($O6="","",ROUND(($O6-$O$3)/1000,1)+(_xlfn.RANK.AVG($O6,($J6,$O6,$T6),1)-2)*10)</f>
        <v>-4.2</v>
      </c>
      <c r="W6" s="55">
        <f>IF($T6="","",ROUND(($T6-$T$3)/1000,1)+(_xlfn.RANK.AVG($T6,($J6,$O6,$T6),1)-2)*10)</f>
        <v>-24.6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104</v>
      </c>
      <c r="AF6" s="41" t="s">
        <v>200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204</v>
      </c>
      <c r="F7" s="8" t="s">
        <v>198</v>
      </c>
      <c r="G7" s="9">
        <v>-5000</v>
      </c>
      <c r="H7" s="9"/>
      <c r="I7" s="48">
        <v>-1000</v>
      </c>
      <c r="J7" s="21">
        <f t="shared" si="2"/>
        <v>47800</v>
      </c>
      <c r="K7" s="8" t="s">
        <v>197</v>
      </c>
      <c r="L7" s="9">
        <v>8000</v>
      </c>
      <c r="M7" s="9"/>
      <c r="N7" s="48">
        <v>2000</v>
      </c>
      <c r="O7" s="21">
        <f t="shared" si="3"/>
        <v>40800</v>
      </c>
      <c r="P7" s="8" t="s">
        <v>198</v>
      </c>
      <c r="Q7" s="9">
        <v>-3000</v>
      </c>
      <c r="R7" s="9"/>
      <c r="S7" s="48">
        <v>-1000</v>
      </c>
      <c r="T7" s="21">
        <f t="shared" si="4"/>
        <v>16400</v>
      </c>
      <c r="U7" s="53">
        <f>IF($J7="","",ROUND(($J7-$J$3)/1000,1)+(_xlfn.RANK.AVG($J7,($J7,$O7,$T7),1)-2)*10)</f>
        <v>22.8</v>
      </c>
      <c r="V7" s="54">
        <f>IF($O7="","",ROUND(($O7-$O$3)/1000,1)+(_xlfn.RANK.AVG($O7,($J7,$O7,$T7),1)-2)*10)</f>
        <v>5.8</v>
      </c>
      <c r="W7" s="55">
        <f>IF($T7="","",ROUND(($T7-$T$3)/1000,1)+(_xlfn.RANK.AVG($T7,($J7,$O7,$T7),1)-2)*10)</f>
        <v>-28.6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104</v>
      </c>
      <c r="BA7" s="41" t="s">
        <v>86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47800</v>
      </c>
      <c r="K8" s="8" t="s">
        <v>201</v>
      </c>
      <c r="L8" s="9">
        <v>2900</v>
      </c>
      <c r="M8" s="9"/>
      <c r="N8" s="48">
        <v>0</v>
      </c>
      <c r="O8" s="21">
        <f t="shared" si="3"/>
        <v>43700</v>
      </c>
      <c r="P8" s="8" t="s">
        <v>202</v>
      </c>
      <c r="Q8" s="9">
        <v>-2900</v>
      </c>
      <c r="R8" s="9"/>
      <c r="S8" s="48">
        <v>0</v>
      </c>
      <c r="T8" s="21">
        <f t="shared" si="4"/>
        <v>13500</v>
      </c>
      <c r="U8" s="53">
        <f>IF($J8="","",ROUND(($J8-$J$3)/1000,1)+(_xlfn.RANK.AVG($J8,($J8,$O8,$T8),1)-2)*10)</f>
        <v>22.8</v>
      </c>
      <c r="V8" s="54">
        <f>IF($O8="","",ROUND(($O8-$O$3)/1000,1)+(_xlfn.RANK.AVG($O8,($J8,$O8,$T8),1)-2)*10)</f>
        <v>8.6999999999999993</v>
      </c>
      <c r="W8" s="55">
        <f>IF($T8="","",ROUND(($T8-$T$3)/1000,1)+(_xlfn.RANK.AVG($T8,($J8,$O8,$T8),1)-2)*10)</f>
        <v>-31.5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30</v>
      </c>
      <c r="AZ8" s="40" t="s">
        <v>83</v>
      </c>
      <c r="BA8" s="41" t="s">
        <v>85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198</v>
      </c>
      <c r="G9" s="9">
        <v>-1500</v>
      </c>
      <c r="H9" s="9"/>
      <c r="I9" s="48">
        <v>-500</v>
      </c>
      <c r="J9" s="21">
        <f t="shared" si="2"/>
        <v>45800</v>
      </c>
      <c r="K9" s="8" t="s">
        <v>198</v>
      </c>
      <c r="L9" s="9">
        <v>-2500</v>
      </c>
      <c r="M9" s="9"/>
      <c r="N9" s="48">
        <v>-500</v>
      </c>
      <c r="O9" s="21">
        <f t="shared" si="3"/>
        <v>40700</v>
      </c>
      <c r="P9" s="8" t="s">
        <v>197</v>
      </c>
      <c r="Q9" s="9">
        <v>4000</v>
      </c>
      <c r="R9" s="9"/>
      <c r="S9" s="48">
        <v>1000</v>
      </c>
      <c r="T9" s="21">
        <f t="shared" si="4"/>
        <v>18500</v>
      </c>
      <c r="U9" s="53">
        <f>IF($J9="","",ROUND(($J9-$J$3)/1000,1)+(_xlfn.RANK.AVG($J9,($J9,$O9,$T9),1)-2)*10)</f>
        <v>20.8</v>
      </c>
      <c r="V9" s="54">
        <f>IF($O9="","",ROUND(($O9-$O$3)/1000,1)+(_xlfn.RANK.AVG($O9,($J9,$O9,$T9),1)-2)*10)</f>
        <v>5.7</v>
      </c>
      <c r="W9" s="55">
        <f>IF($T9="","",ROUND(($T9-$T$3)/1000,1)+(_xlfn.RANK.AVG($T9,($J9,$O9,$T9),1)-2)*10)</f>
        <v>-26.5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203</v>
      </c>
      <c r="BV9" s="41" t="s">
        <v>82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209</v>
      </c>
      <c r="F10" s="8" t="s">
        <v>201</v>
      </c>
      <c r="G10" s="9">
        <v>8000</v>
      </c>
      <c r="H10" s="9"/>
      <c r="I10" s="48">
        <v>0</v>
      </c>
      <c r="J10" s="21">
        <f t="shared" si="2"/>
        <v>53800</v>
      </c>
      <c r="K10" s="8" t="s">
        <v>202</v>
      </c>
      <c r="L10" s="9">
        <v>-8000</v>
      </c>
      <c r="M10" s="9"/>
      <c r="N10" s="48">
        <v>0</v>
      </c>
      <c r="O10" s="21">
        <f t="shared" si="3"/>
        <v>32700</v>
      </c>
      <c r="P10" s="8"/>
      <c r="Q10" s="9"/>
      <c r="R10" s="9"/>
      <c r="S10" s="48"/>
      <c r="T10" s="21">
        <f t="shared" si="4"/>
        <v>18500</v>
      </c>
      <c r="U10" s="53">
        <f>IF($J10="","",ROUND(($J10-$J$3)/1000,1)+(_xlfn.RANK.AVG($J10,($J10,$O10,$T10),1)-2)*10)</f>
        <v>28.8</v>
      </c>
      <c r="V10" s="54">
        <f>IF($O10="","",ROUND(($O10-$O$3)/1000,1)+(_xlfn.RANK.AVG($O10,($J10,$O10,$T10),1)-2)*10)</f>
        <v>-2.2999999999999998</v>
      </c>
      <c r="W10" s="55">
        <f>IF($T10="","",ROUND(($T10-$T$3)/1000,1)+(_xlfn.RANK.AVG($T10,($J10,$O10,$T10),1)-2)*10)</f>
        <v>-26.5</v>
      </c>
      <c r="Y10" s="8"/>
      <c r="Z10" s="34"/>
      <c r="AA10" s="26">
        <v>1</v>
      </c>
      <c r="AB10" s="26"/>
      <c r="AC10" s="26">
        <v>5</v>
      </c>
      <c r="AD10" s="30" t="s">
        <v>199</v>
      </c>
      <c r="AE10" s="40" t="s">
        <v>203</v>
      </c>
      <c r="AF10" s="41" t="s">
        <v>101</v>
      </c>
      <c r="AG10" s="41" t="s">
        <v>80</v>
      </c>
      <c r="AH10" s="41" t="s">
        <v>80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204</v>
      </c>
      <c r="F11" s="8" t="s">
        <v>201</v>
      </c>
      <c r="G11" s="9">
        <v>2900</v>
      </c>
      <c r="H11" s="9"/>
      <c r="I11" s="48">
        <v>0</v>
      </c>
      <c r="J11" s="21">
        <f t="shared" si="2"/>
        <v>56700</v>
      </c>
      <c r="K11" s="8" t="s">
        <v>202</v>
      </c>
      <c r="L11" s="9">
        <v>-2900</v>
      </c>
      <c r="M11" s="9"/>
      <c r="N11" s="48">
        <v>0</v>
      </c>
      <c r="O11" s="21">
        <f t="shared" si="3"/>
        <v>29800</v>
      </c>
      <c r="P11" s="8"/>
      <c r="Q11" s="9"/>
      <c r="R11" s="9"/>
      <c r="S11" s="48"/>
      <c r="T11" s="21">
        <f t="shared" si="4"/>
        <v>18500</v>
      </c>
      <c r="U11" s="53">
        <f>IF($J11="","",ROUND(($J11-$J$3)/1000,1)+(_xlfn.RANK.AVG($J11,($J11,$O11,$T11),1)-2)*10)</f>
        <v>31.7</v>
      </c>
      <c r="V11" s="54">
        <f>IF($O11="","",ROUND(($O11-$O$3)/1000,1)+(_xlfn.RANK.AVG($O11,($J11,$O11,$T11),1)-2)*10)</f>
        <v>-5.2</v>
      </c>
      <c r="W11" s="55">
        <f>IF($T11="","",ROUND(($T11-$T$3)/1000,1)+(_xlfn.RANK.AVG($T11,($J11,$O11,$T11),1)-2)*10)</f>
        <v>-26.5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204</v>
      </c>
      <c r="F12" s="8" t="s">
        <v>198</v>
      </c>
      <c r="G12" s="9">
        <v>-4800</v>
      </c>
      <c r="H12" s="9"/>
      <c r="I12" s="48">
        <v>-500</v>
      </c>
      <c r="J12" s="21">
        <f t="shared" si="2"/>
        <v>51400</v>
      </c>
      <c r="K12" s="8" t="s">
        <v>198</v>
      </c>
      <c r="L12" s="9">
        <v>-2900</v>
      </c>
      <c r="M12" s="9">
        <v>-1000</v>
      </c>
      <c r="N12" s="48">
        <v>-500</v>
      </c>
      <c r="O12" s="21">
        <f t="shared" si="3"/>
        <v>25400</v>
      </c>
      <c r="P12" s="8" t="s">
        <v>197</v>
      </c>
      <c r="Q12" s="9">
        <v>7700</v>
      </c>
      <c r="R12" s="9">
        <v>1000</v>
      </c>
      <c r="S12" s="48">
        <v>1000</v>
      </c>
      <c r="T12" s="21">
        <f t="shared" si="4"/>
        <v>28200</v>
      </c>
      <c r="U12" s="53">
        <f>IF($J12="","",ROUND(($J12-$J$3)/1000,1)+(_xlfn.RANK.AVG($J12,($J12,$O12,$T12),1)-2)*10)</f>
        <v>26.4</v>
      </c>
      <c r="V12" s="54">
        <f>IF($O12="","",ROUND(($O12-$O$3)/1000,1)+(_xlfn.RANK.AVG($O12,($J12,$O12,$T12),1)-2)*10)</f>
        <v>-19.600000000000001</v>
      </c>
      <c r="W12" s="55">
        <f>IF($T12="","",ROUND(($T12-$T$3)/1000,1)+(_xlfn.RANK.AVG($T12,($J12,$O12,$T12),1)-2)*10)</f>
        <v>-6.8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203</v>
      </c>
      <c r="BV12" s="41" t="s">
        <v>82</v>
      </c>
      <c r="BW12" s="41" t="s">
        <v>211</v>
      </c>
      <c r="BX12" s="41" t="s">
        <v>200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198</v>
      </c>
      <c r="G13" s="9">
        <v>-9000</v>
      </c>
      <c r="H13" s="9"/>
      <c r="I13" s="48">
        <v>0</v>
      </c>
      <c r="J13" s="21">
        <f t="shared" si="2"/>
        <v>42400</v>
      </c>
      <c r="K13" s="8" t="s">
        <v>197</v>
      </c>
      <c r="L13" s="9">
        <v>18000</v>
      </c>
      <c r="M13" s="9">
        <v>1000</v>
      </c>
      <c r="N13" s="48">
        <v>0</v>
      </c>
      <c r="O13" s="21">
        <f t="shared" si="3"/>
        <v>44400</v>
      </c>
      <c r="P13" s="8" t="s">
        <v>198</v>
      </c>
      <c r="Q13" s="9">
        <v>-9000</v>
      </c>
      <c r="R13" s="9">
        <v>-1000</v>
      </c>
      <c r="S13" s="48">
        <v>0</v>
      </c>
      <c r="T13" s="21">
        <f t="shared" si="4"/>
        <v>18200</v>
      </c>
      <c r="U13" s="53">
        <f>IF($J13="","",ROUND(($J13-$J$3)/1000,1)+(_xlfn.RANK.AVG($J13,($J13,$O13,$T13),1)-2)*10)</f>
        <v>7.4</v>
      </c>
      <c r="V13" s="54">
        <f>IF($O13="","",ROUND(($O13-$O$3)/1000,1)+(_xlfn.RANK.AVG($O13,($J13,$O13,$T13),1)-2)*10)</f>
        <v>19.399999999999999</v>
      </c>
      <c r="W13" s="55">
        <f>IF($T13="","",ROUND(($T13-$T$3)/1000,1)+(_xlfn.RANK.AVG($T13,($J13,$O13,$T13),1)-2)*10)</f>
        <v>-26.8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6</v>
      </c>
      <c r="AY13" s="30" t="s">
        <v>199</v>
      </c>
      <c r="AZ13" s="40" t="s">
        <v>86</v>
      </c>
      <c r="BA13" s="41" t="s">
        <v>86</v>
      </c>
      <c r="BB13" s="41" t="s">
        <v>96</v>
      </c>
      <c r="BC13" s="41" t="s">
        <v>98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6A0D645A-7717-4280-98C6-EA63EF64B79B}">
      <formula1>$U$2:$W$2</formula1>
    </dataValidation>
    <dataValidation type="list" showInputMessage="1" showErrorMessage="1" sqref="K4:K30 P4:P30 F4:F30" xr:uid="{DDA5176D-F595-472A-81EE-5E9700DED2AA}">
      <formula1>"ロン,ツモ,放銃,ツモ支払,流局,チョンボ"</formula1>
    </dataValidation>
    <dataValidation type="list" allowBlank="1" showInputMessage="1" sqref="F1:T1" xr:uid="{9542BCA6-B160-41FA-92F9-25E9FA2CF57D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BED5-ADE0-4C26-96EC-2C60A2EFE0E9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204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だいち</v>
      </c>
      <c r="W2" s="16" t="str">
        <f>$P$1</f>
        <v>ただ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208</v>
      </c>
      <c r="L4" s="9">
        <v>1500</v>
      </c>
      <c r="M4" s="9"/>
      <c r="N4" s="48"/>
      <c r="O4" s="21">
        <f>IF(COUNTA($F4,$K4,$P4)&gt;0,O3+SUM(L4:N4),"")</f>
        <v>36500</v>
      </c>
      <c r="P4" s="8" t="s">
        <v>208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11.5</v>
      </c>
      <c r="W4" s="55">
        <f>IF($T4="","",ROUND(($T4-$T$3)/1000,1)+(_xlfn.RANK.AVG($T4,($J4,$O4,$T4),1)-2)*10)</f>
        <v>-13</v>
      </c>
      <c r="Y4" s="8" t="s">
        <v>207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204</v>
      </c>
      <c r="F5" s="8" t="s">
        <v>198</v>
      </c>
      <c r="G5" s="9">
        <v>-1300</v>
      </c>
      <c r="H5" s="9"/>
      <c r="I5" s="48">
        <v>-500</v>
      </c>
      <c r="J5" s="21">
        <f t="shared" ref="J5:J30" si="2">IF(COUNTA($F5,$K5,$P5)&gt;0,J4+SUM(G5:I5),"")</f>
        <v>33700</v>
      </c>
      <c r="K5" s="8" t="s">
        <v>197</v>
      </c>
      <c r="L5" s="9">
        <v>2100</v>
      </c>
      <c r="M5" s="9">
        <v>1000</v>
      </c>
      <c r="N5" s="48">
        <v>1000</v>
      </c>
      <c r="O5" s="21">
        <f t="shared" ref="O5:O30" si="3">IF(COUNTA($F5,$K5,$P5)&gt;0,O4+SUM(L5:N5),"")</f>
        <v>40600</v>
      </c>
      <c r="P5" s="8" t="s">
        <v>198</v>
      </c>
      <c r="Q5" s="9">
        <v>-800</v>
      </c>
      <c r="R5" s="9"/>
      <c r="S5" s="48">
        <v>-500</v>
      </c>
      <c r="T5" s="21">
        <f t="shared" ref="T5:T30" si="4">IF(COUNTA($F5,$K5,$P5)&gt;0,T4+SUM(Q5:S5),"")</f>
        <v>30700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15.6</v>
      </c>
      <c r="W5" s="55">
        <f>IF($T5="","",ROUND(($T5-$T$3)/1000,1)+(_xlfn.RANK.AVG($T5,($J5,$O5,$T5),1)-2)*10)</f>
        <v>-14.3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198</v>
      </c>
      <c r="G6" s="9">
        <v>-9000</v>
      </c>
      <c r="H6" s="9">
        <v>-1000</v>
      </c>
      <c r="I6" s="48">
        <v>0</v>
      </c>
      <c r="J6" s="21">
        <f t="shared" si="2"/>
        <v>23700</v>
      </c>
      <c r="K6" s="8" t="s">
        <v>197</v>
      </c>
      <c r="L6" s="9">
        <v>18000</v>
      </c>
      <c r="M6" s="9">
        <v>1000</v>
      </c>
      <c r="N6" s="48">
        <v>0</v>
      </c>
      <c r="O6" s="21">
        <f t="shared" si="3"/>
        <v>59600</v>
      </c>
      <c r="P6" s="8" t="s">
        <v>198</v>
      </c>
      <c r="Q6" s="9">
        <v>-9000</v>
      </c>
      <c r="R6" s="9"/>
      <c r="S6" s="48">
        <v>0</v>
      </c>
      <c r="T6" s="21">
        <f t="shared" si="4"/>
        <v>21700</v>
      </c>
      <c r="U6" s="53">
        <f>IF($J6="","",ROUND(($J6-$J$3)/1000,1)+(_xlfn.RANK.AVG($J6,($J6,$O6,$T6),1)-2)*10)</f>
        <v>-11.3</v>
      </c>
      <c r="V6" s="54">
        <f>IF($O6="","",ROUND(($O6-$O$3)/1000,1)+(_xlfn.RANK.AVG($O6,($J6,$O6,$T6),1)-2)*10)</f>
        <v>34.6</v>
      </c>
      <c r="W6" s="55">
        <f>IF($T6="","",ROUND(($T6-$T$3)/1000,1)+(_xlfn.RANK.AVG($T6,($J6,$O6,$T6),1)-2)*10)</f>
        <v>-23.3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199</v>
      </c>
      <c r="AZ6" s="40" t="s">
        <v>203</v>
      </c>
      <c r="BA6" s="41" t="s">
        <v>82</v>
      </c>
      <c r="BB6" s="41" t="s">
        <v>80</v>
      </c>
      <c r="BC6" s="41" t="s">
        <v>80</v>
      </c>
      <c r="BD6" s="41" t="s">
        <v>80</v>
      </c>
      <c r="BE6" s="41" t="s">
        <v>80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197</v>
      </c>
      <c r="G7" s="9">
        <v>2100</v>
      </c>
      <c r="H7" s="9"/>
      <c r="I7" s="48">
        <v>1000</v>
      </c>
      <c r="J7" s="21">
        <f t="shared" si="2"/>
        <v>26800</v>
      </c>
      <c r="K7" s="8" t="s">
        <v>198</v>
      </c>
      <c r="L7" s="9">
        <v>-1300</v>
      </c>
      <c r="M7" s="9"/>
      <c r="N7" s="48">
        <v>-500</v>
      </c>
      <c r="O7" s="21">
        <f t="shared" si="3"/>
        <v>57800</v>
      </c>
      <c r="P7" s="8" t="s">
        <v>198</v>
      </c>
      <c r="Q7" s="9">
        <v>-800</v>
      </c>
      <c r="R7" s="9"/>
      <c r="S7" s="48">
        <v>-500</v>
      </c>
      <c r="T7" s="21">
        <f t="shared" si="4"/>
        <v>20400</v>
      </c>
      <c r="U7" s="53">
        <f>IF($J7="","",ROUND(($J7-$J$3)/1000,1)+(_xlfn.RANK.AVG($J7,($J7,$O7,$T7),1)-2)*10)</f>
        <v>-8.1999999999999993</v>
      </c>
      <c r="V7" s="54">
        <f>IF($O7="","",ROUND(($O7-$O$3)/1000,1)+(_xlfn.RANK.AVG($O7,($J7,$O7,$T7),1)-2)*10)</f>
        <v>32.799999999999997</v>
      </c>
      <c r="W7" s="55">
        <f>IF($T7="","",ROUND(($T7-$T$3)/1000,1)+(_xlfn.RANK.AVG($T7,($J7,$O7,$T7),1)-2)*10)</f>
        <v>-24.6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-800</v>
      </c>
      <c r="H8" s="9">
        <v>-1000</v>
      </c>
      <c r="I8" s="48">
        <v>0</v>
      </c>
      <c r="J8" s="21">
        <f t="shared" si="2"/>
        <v>25000</v>
      </c>
      <c r="K8" s="8" t="s">
        <v>198</v>
      </c>
      <c r="L8" s="9">
        <v>-800</v>
      </c>
      <c r="M8" s="9"/>
      <c r="N8" s="48">
        <v>0</v>
      </c>
      <c r="O8" s="21">
        <f t="shared" si="3"/>
        <v>57000</v>
      </c>
      <c r="P8" s="8" t="s">
        <v>197</v>
      </c>
      <c r="Q8" s="9">
        <v>1600</v>
      </c>
      <c r="R8" s="9">
        <v>1000</v>
      </c>
      <c r="S8" s="48">
        <v>0</v>
      </c>
      <c r="T8" s="21">
        <f t="shared" si="4"/>
        <v>23000</v>
      </c>
      <c r="U8" s="53">
        <f>IF($J8="","",ROUND(($J8-$J$3)/1000,1)+(_xlfn.RANK.AVG($J8,($J8,$O8,$T8),1)-2)*10)</f>
        <v>-10</v>
      </c>
      <c r="V8" s="54">
        <f>IF($O8="","",ROUND(($O8-$O$3)/1000,1)+(_xlfn.RANK.AVG($O8,($J8,$O8,$T8),1)-2)*10)</f>
        <v>32</v>
      </c>
      <c r="W8" s="55">
        <f>IF($T8="","",ROUND(($T8-$T$3)/1000,1)+(_xlfn.RANK.AVG($T8,($J8,$O8,$T8),1)-2)*10)</f>
        <v>-22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202</v>
      </c>
      <c r="G9" s="9">
        <v>-3900</v>
      </c>
      <c r="H9" s="9">
        <v>-1000</v>
      </c>
      <c r="I9" s="48">
        <v>-1000</v>
      </c>
      <c r="J9" s="21">
        <f t="shared" si="2"/>
        <v>19100</v>
      </c>
      <c r="K9" s="8"/>
      <c r="L9" s="9"/>
      <c r="M9" s="9"/>
      <c r="N9" s="48"/>
      <c r="O9" s="21">
        <f t="shared" si="3"/>
        <v>57000</v>
      </c>
      <c r="P9" s="8" t="s">
        <v>201</v>
      </c>
      <c r="Q9" s="9">
        <v>3900</v>
      </c>
      <c r="R9" s="9">
        <v>1000</v>
      </c>
      <c r="S9" s="48">
        <v>1000</v>
      </c>
      <c r="T9" s="21">
        <f t="shared" si="4"/>
        <v>28900</v>
      </c>
      <c r="U9" s="53">
        <f>IF($J9="","",ROUND(($J9-$J$3)/1000,1)+(_xlfn.RANK.AVG($J9,($J9,$O9,$T9),1)-2)*10)</f>
        <v>-25.9</v>
      </c>
      <c r="V9" s="54">
        <f>IF($O9="","",ROUND(($O9-$O$3)/1000,1)+(_xlfn.RANK.AVG($O9,($J9,$O9,$T9),1)-2)*10)</f>
        <v>32</v>
      </c>
      <c r="W9" s="55">
        <f>IF($T9="","",ROUND(($T9-$T$3)/1000,1)+(_xlfn.RANK.AVG($T9,($J9,$O9,$T9),1)-2)*10)</f>
        <v>-6.1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203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195</v>
      </c>
      <c r="F10" s="8" t="s">
        <v>202</v>
      </c>
      <c r="G10" s="9">
        <v>-2000</v>
      </c>
      <c r="H10" s="9"/>
      <c r="I10" s="48">
        <v>-2000</v>
      </c>
      <c r="J10" s="21">
        <f t="shared" si="2"/>
        <v>15100</v>
      </c>
      <c r="K10" s="8"/>
      <c r="L10" s="9"/>
      <c r="M10" s="9">
        <v>-1000</v>
      </c>
      <c r="N10" s="48"/>
      <c r="O10" s="21">
        <f t="shared" si="3"/>
        <v>56000</v>
      </c>
      <c r="P10" s="8" t="s">
        <v>201</v>
      </c>
      <c r="Q10" s="9">
        <v>2000</v>
      </c>
      <c r="R10" s="9">
        <v>1000</v>
      </c>
      <c r="S10" s="48">
        <v>2000</v>
      </c>
      <c r="T10" s="21">
        <f t="shared" si="4"/>
        <v>33900</v>
      </c>
      <c r="U10" s="53">
        <f>IF($J10="","",ROUND(($J10-$J$3)/1000,1)+(_xlfn.RANK.AVG($J10,($J10,$O10,$T10),1)-2)*10)</f>
        <v>-29.9</v>
      </c>
      <c r="V10" s="54">
        <f>IF($O10="","",ROUND(($O10-$O$3)/1000,1)+(_xlfn.RANK.AVG($O10,($J10,$O10,$T10),1)-2)*10)</f>
        <v>31</v>
      </c>
      <c r="W10" s="55">
        <f>IF($T10="","",ROUND(($T10-$T$3)/1000,1)+(_xlfn.RANK.AVG($T10,($J10,$O10,$T10),1)-2)*10)</f>
        <v>-1.1000000000000001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</v>
      </c>
      <c r="BT10" s="30">
        <v>40</v>
      </c>
      <c r="BU10" s="40" t="s">
        <v>85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>
        <f t="shared" si="2"/>
        <v>15100</v>
      </c>
      <c r="K11" s="8" t="s">
        <v>202</v>
      </c>
      <c r="L11" s="9">
        <v>-2900</v>
      </c>
      <c r="M11" s="9"/>
      <c r="N11" s="48">
        <v>-3000</v>
      </c>
      <c r="O11" s="21">
        <f t="shared" si="3"/>
        <v>50100</v>
      </c>
      <c r="P11" s="8" t="s">
        <v>201</v>
      </c>
      <c r="Q11" s="9">
        <v>2900</v>
      </c>
      <c r="R11" s="9"/>
      <c r="S11" s="48">
        <v>3000</v>
      </c>
      <c r="T11" s="21">
        <f t="shared" si="4"/>
        <v>39800</v>
      </c>
      <c r="U11" s="53">
        <f>IF($J11="","",ROUND(($J11-$J$3)/1000,1)+(_xlfn.RANK.AVG($J11,($J11,$O11,$T11),1)-2)*10)</f>
        <v>-29.9</v>
      </c>
      <c r="V11" s="54">
        <f>IF($O11="","",ROUND(($O11-$O$3)/1000,1)+(_xlfn.RANK.AVG($O11,($J11,$O11,$T11),1)-2)*10)</f>
        <v>25.1</v>
      </c>
      <c r="W11" s="55">
        <f>IF($T11="","",ROUND(($T11-$T$3)/1000,1)+(_xlfn.RANK.AVG($T11,($J11,$O11,$T11),1)-2)*10)</f>
        <v>4.8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200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4</v>
      </c>
      <c r="D12" s="18">
        <f t="shared" si="1"/>
        <v>0</v>
      </c>
      <c r="E12" s="4" t="s">
        <v>195</v>
      </c>
      <c r="F12" s="8" t="s">
        <v>201</v>
      </c>
      <c r="G12" s="9">
        <v>2000</v>
      </c>
      <c r="H12" s="9">
        <v>1000</v>
      </c>
      <c r="I12" s="48">
        <v>4000</v>
      </c>
      <c r="J12" s="21">
        <f t="shared" si="2"/>
        <v>22100</v>
      </c>
      <c r="K12" s="8" t="s">
        <v>202</v>
      </c>
      <c r="L12" s="9">
        <v>-2000</v>
      </c>
      <c r="M12" s="9"/>
      <c r="N12" s="48">
        <v>-4000</v>
      </c>
      <c r="O12" s="21">
        <f t="shared" si="3"/>
        <v>44100</v>
      </c>
      <c r="P12" s="8"/>
      <c r="Q12" s="9"/>
      <c r="R12" s="9">
        <v>-1000</v>
      </c>
      <c r="S12" s="48"/>
      <c r="T12" s="21">
        <f t="shared" si="4"/>
        <v>38800</v>
      </c>
      <c r="U12" s="53">
        <f>IF($J12="","",ROUND(($J12-$J$3)/1000,1)+(_xlfn.RANK.AVG($J12,($J12,$O12,$T12),1)-2)*10)</f>
        <v>-22.9</v>
      </c>
      <c r="V12" s="54">
        <f>IF($O12="","",ROUND(($O12-$O$3)/1000,1)+(_xlfn.RANK.AVG($O12,($J12,$O12,$T12),1)-2)*10)</f>
        <v>19.100000000000001</v>
      </c>
      <c r="W12" s="55">
        <f>IF($T12="","",ROUND(($T12-$T$3)/1000,1)+(_xlfn.RANK.AVG($T12,($J12,$O12,$T12),1)-2)*10)</f>
        <v>3.8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86</v>
      </c>
      <c r="AF12" s="41" t="s">
        <v>79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204</v>
      </c>
      <c r="F13" s="8" t="s">
        <v>202</v>
      </c>
      <c r="G13" s="9">
        <v>-3900</v>
      </c>
      <c r="H13" s="9"/>
      <c r="I13" s="48">
        <v>0</v>
      </c>
      <c r="J13" s="21">
        <f t="shared" si="2"/>
        <v>18200</v>
      </c>
      <c r="K13" s="8"/>
      <c r="L13" s="9"/>
      <c r="M13" s="9"/>
      <c r="N13" s="48"/>
      <c r="O13" s="21">
        <f t="shared" si="3"/>
        <v>44100</v>
      </c>
      <c r="P13" s="8" t="s">
        <v>201</v>
      </c>
      <c r="Q13" s="9">
        <v>3900</v>
      </c>
      <c r="R13" s="9"/>
      <c r="S13" s="48">
        <v>0</v>
      </c>
      <c r="T13" s="21">
        <f t="shared" si="4"/>
        <v>42700</v>
      </c>
      <c r="U13" s="53">
        <f>IF($J13="","",ROUND(($J13-$J$3)/1000,1)+(_xlfn.RANK.AVG($J13,($J13,$O13,$T13),1)-2)*10)</f>
        <v>-26.8</v>
      </c>
      <c r="V13" s="54">
        <f>IF($O13="","",ROUND(($O13-$O$3)/1000,1)+(_xlfn.RANK.AVG($O13,($J13,$O13,$T13),1)-2)*10)</f>
        <v>19.100000000000001</v>
      </c>
      <c r="W13" s="55">
        <f>IF($T13="","",ROUND(($T13-$T$3)/1000,1)+(_xlfn.RANK.AVG($T13,($J13,$O13,$T13),1)-2)*10)</f>
        <v>7.7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86</v>
      </c>
      <c r="BV13" s="41" t="s">
        <v>104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18200</v>
      </c>
      <c r="K14" s="8" t="s">
        <v>201</v>
      </c>
      <c r="L14" s="9">
        <v>2400</v>
      </c>
      <c r="M14" s="9"/>
      <c r="N14" s="48">
        <v>0</v>
      </c>
      <c r="O14" s="21">
        <f t="shared" si="3"/>
        <v>46500</v>
      </c>
      <c r="P14" s="8" t="s">
        <v>202</v>
      </c>
      <c r="Q14" s="9">
        <v>-2400</v>
      </c>
      <c r="R14" s="9"/>
      <c r="S14" s="48">
        <v>0</v>
      </c>
      <c r="T14" s="21">
        <f t="shared" si="4"/>
        <v>40300</v>
      </c>
      <c r="U14" s="53">
        <f>IF($J14="","",ROUND(($J14-$J$3)/1000,1)+(_xlfn.RANK.AVG($J14,($J14,$O14,$T14),1)-2)*10)</f>
        <v>-26.8</v>
      </c>
      <c r="V14" s="54">
        <f>IF($O14="","",ROUND(($O14-$O$3)/1000,1)+(_xlfn.RANK.AVG($O14,($J14,$O14,$T14),1)-2)*10)</f>
        <v>21.5</v>
      </c>
      <c r="W14" s="55">
        <f>IF($T14="","",ROUND(($T14-$T$3)/1000,1)+(_xlfn.RANK.AVG($T14,($J14,$O14,$T14),1)-2)*10)</f>
        <v>5.3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25</v>
      </c>
      <c r="AZ14" s="40" t="s">
        <v>101</v>
      </c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F42864C1-E298-4825-941C-80928A371374}">
      <formula1>"たかの,だいち,ただ,りくと,れんたろう,まっつん,のり,ぱぱ,ほたに,いっしー,"</formula1>
    </dataValidation>
    <dataValidation type="list" showInputMessage="1" showErrorMessage="1" sqref="K4:K30 P4:P30 F4:F30" xr:uid="{F38F5C54-15B7-4930-85FA-18F5DB8F436E}">
      <formula1>"ロン,ツモ,放銃,ツモ支払,流局,チョンボ"</formula1>
    </dataValidation>
    <dataValidation type="list" allowBlank="1" showInputMessage="1" showErrorMessage="1" sqref="E4:E30" xr:uid="{2DED86E6-6135-4D40-98C2-423BBF13D98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62D0D-1D2B-4BA4-8F5F-0BE67F916C0D}">
  <sheetPr codeName="Sheet14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204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まっつん</v>
      </c>
      <c r="V2" s="76" t="str">
        <f>$K$1</f>
        <v>だいち</v>
      </c>
      <c r="W2" s="16" t="str">
        <f>$P$1</f>
        <v>ただ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198</v>
      </c>
      <c r="L4" s="9">
        <v>-20000</v>
      </c>
      <c r="M4" s="9"/>
      <c r="N4" s="48">
        <v>0</v>
      </c>
      <c r="O4" s="21">
        <f>IF(COUNTA($F4,$K4,$P4)&gt;0,O3+SUM(L4:N4),"")</f>
        <v>15000</v>
      </c>
      <c r="P4" s="8" t="s">
        <v>197</v>
      </c>
      <c r="Q4" s="9">
        <v>32000</v>
      </c>
      <c r="R4" s="9"/>
      <c r="S4" s="48">
        <v>0</v>
      </c>
      <c r="T4" s="21">
        <f>IF(COUNTA($F4,$K4,$P4)&gt;0,T3+SUM(Q4:S4),"")</f>
        <v>67000</v>
      </c>
      <c r="U4" s="53">
        <f>IF($J4="","",ROUND(($J4-$J$3)/1000,1)+(_xlfn.RANK.AVG($J4,($J4,$O4,$T4),1)-2)*10)</f>
        <v>-12</v>
      </c>
      <c r="V4" s="54">
        <f>IF($O4="","",ROUND(($O4-$O$3)/1000,1)+(_xlfn.RANK.AVG($O4,($J4,$O4,$T4),1)-2)*10)</f>
        <v>-30</v>
      </c>
      <c r="W4" s="55">
        <f>IF($T4="","",ROUND(($T4-$T$3)/1000,1)+(_xlfn.RANK.AVG($T4,($J4,$O4,$T4),1)-2)*10)</f>
        <v>42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13</v>
      </c>
      <c r="BT4" s="30" t="s">
        <v>199</v>
      </c>
      <c r="BU4" s="40" t="s">
        <v>107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8000</v>
      </c>
      <c r="H5" s="9"/>
      <c r="I5" s="48">
        <v>0</v>
      </c>
      <c r="J5" s="21">
        <f t="shared" ref="J5:J30" si="2">IF(COUNTA($F5,$K5,$P5)&gt;0,J4+SUM(G5:I5),"")</f>
        <v>31000</v>
      </c>
      <c r="K5" s="8" t="s">
        <v>198</v>
      </c>
      <c r="L5" s="9">
        <v>-3000</v>
      </c>
      <c r="M5" s="9"/>
      <c r="N5" s="48">
        <v>0</v>
      </c>
      <c r="O5" s="21">
        <f t="shared" ref="O5:O30" si="3">IF(COUNTA($F5,$K5,$P5)&gt;0,O4+SUM(L5:N5),"")</f>
        <v>12000</v>
      </c>
      <c r="P5" s="8" t="s">
        <v>198</v>
      </c>
      <c r="Q5" s="9">
        <v>-5000</v>
      </c>
      <c r="R5" s="9"/>
      <c r="S5" s="48">
        <v>0</v>
      </c>
      <c r="T5" s="21">
        <f t="shared" ref="T5:T30" si="4">IF(COUNTA($F5,$K5,$P5)&gt;0,T4+SUM(Q5:S5),"")</f>
        <v>62000</v>
      </c>
      <c r="U5" s="53">
        <f>IF($J5="","",ROUND(($J5-$J$3)/1000,1)+(_xlfn.RANK.AVG($J5,($J5,$O5,$T5),1)-2)*10)</f>
        <v>-4</v>
      </c>
      <c r="V5" s="54">
        <f>IF($O5="","",ROUND(($O5-$O$3)/1000,1)+(_xlfn.RANK.AVG($O5,($J5,$O5,$T5),1)-2)*10)</f>
        <v>-33</v>
      </c>
      <c r="W5" s="55">
        <f>IF($T5="","",ROUND(($T5-$T$3)/1000,1)+(_xlfn.RANK.AVG($T5,($J5,$O5,$T5),1)-2)*10)</f>
        <v>37</v>
      </c>
      <c r="Y5" s="8"/>
      <c r="Z5" s="34"/>
      <c r="AA5" s="26"/>
      <c r="AB5" s="26">
        <v>1</v>
      </c>
      <c r="AC5" s="26">
        <v>4</v>
      </c>
      <c r="AD5" s="30">
        <v>40</v>
      </c>
      <c r="AE5" s="40" t="s">
        <v>86</v>
      </c>
      <c r="AF5" s="41" t="s">
        <v>200</v>
      </c>
      <c r="AG5" s="41" t="s">
        <v>79</v>
      </c>
      <c r="AH5" s="41" t="s">
        <v>87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 t="s">
        <v>202</v>
      </c>
      <c r="G6" s="9">
        <v>-8000</v>
      </c>
      <c r="H6" s="9"/>
      <c r="I6" s="48">
        <v>0</v>
      </c>
      <c r="J6" s="21">
        <f t="shared" si="2"/>
        <v>23000</v>
      </c>
      <c r="K6" s="8"/>
      <c r="L6" s="9"/>
      <c r="M6" s="9"/>
      <c r="N6" s="48"/>
      <c r="O6" s="21">
        <f t="shared" si="3"/>
        <v>12000</v>
      </c>
      <c r="P6" s="8" t="s">
        <v>201</v>
      </c>
      <c r="Q6" s="9">
        <v>8000</v>
      </c>
      <c r="R6" s="9"/>
      <c r="S6" s="48">
        <v>0</v>
      </c>
      <c r="T6" s="21">
        <f t="shared" si="4"/>
        <v>70000</v>
      </c>
      <c r="U6" s="53">
        <f>IF($J6="","",ROUND(($J6-$J$3)/1000,1)+(_xlfn.RANK.AVG($J6,($J6,$O6,$T6),1)-2)*10)</f>
        <v>-12</v>
      </c>
      <c r="V6" s="54">
        <f>IF($O6="","",ROUND(($O6-$O$3)/1000,1)+(_xlfn.RANK.AVG($O6,($J6,$O6,$T6),1)-2)*10)</f>
        <v>-33</v>
      </c>
      <c r="W6" s="55">
        <f>IF($T6="","",ROUND(($T6-$T$3)/1000,1)+(_xlfn.RANK.AVG($T6,($J6,$O6,$T6),1)-2)*10)</f>
        <v>45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199</v>
      </c>
      <c r="BU6" s="40" t="s">
        <v>104</v>
      </c>
      <c r="BV6" s="41" t="s">
        <v>101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198</v>
      </c>
      <c r="G7" s="9">
        <v>-800</v>
      </c>
      <c r="H7" s="9"/>
      <c r="I7" s="48">
        <v>0</v>
      </c>
      <c r="J7" s="21">
        <f t="shared" si="2"/>
        <v>22200</v>
      </c>
      <c r="K7" s="8" t="s">
        <v>197</v>
      </c>
      <c r="L7" s="9">
        <v>1600</v>
      </c>
      <c r="M7" s="9">
        <v>1000</v>
      </c>
      <c r="N7" s="48">
        <v>0</v>
      </c>
      <c r="O7" s="21">
        <f t="shared" si="3"/>
        <v>14600</v>
      </c>
      <c r="P7" s="8" t="s">
        <v>198</v>
      </c>
      <c r="Q7" s="9">
        <v>-800</v>
      </c>
      <c r="R7" s="9">
        <v>-1000</v>
      </c>
      <c r="S7" s="48">
        <v>0</v>
      </c>
      <c r="T7" s="21">
        <f t="shared" si="4"/>
        <v>68200</v>
      </c>
      <c r="U7" s="53">
        <f>IF($J7="","",ROUND(($J7-$J$3)/1000,1)+(_xlfn.RANK.AVG($J7,($J7,$O7,$T7),1)-2)*10)</f>
        <v>-12.8</v>
      </c>
      <c r="V7" s="54">
        <f>IF($O7="","",ROUND(($O7-$O$3)/1000,1)+(_xlfn.RANK.AVG($O7,($J7,$O7,$T7),1)-2)*10)</f>
        <v>-30.4</v>
      </c>
      <c r="W7" s="55">
        <f>IF($T7="","",ROUND(($T7-$T$3)/1000,1)+(_xlfn.RANK.AVG($T7,($J7,$O7,$T7),1)-2)*10)</f>
        <v>43.2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198</v>
      </c>
      <c r="G8" s="9">
        <v>-2000</v>
      </c>
      <c r="H8" s="9">
        <v>-1000</v>
      </c>
      <c r="I8" s="48">
        <v>-500</v>
      </c>
      <c r="J8" s="21">
        <f t="shared" si="2"/>
        <v>18700</v>
      </c>
      <c r="K8" s="8" t="s">
        <v>197</v>
      </c>
      <c r="L8" s="9">
        <v>4000</v>
      </c>
      <c r="M8" s="9">
        <v>1000</v>
      </c>
      <c r="N8" s="48">
        <v>1000</v>
      </c>
      <c r="O8" s="21">
        <f t="shared" si="3"/>
        <v>20600</v>
      </c>
      <c r="P8" s="8" t="s">
        <v>198</v>
      </c>
      <c r="Q8" s="9">
        <v>-2000</v>
      </c>
      <c r="R8" s="9"/>
      <c r="S8" s="48">
        <v>-500</v>
      </c>
      <c r="T8" s="21">
        <f t="shared" si="4"/>
        <v>65700</v>
      </c>
      <c r="U8" s="53">
        <f>IF($J8="","",ROUND(($J8-$J$3)/1000,1)+(_xlfn.RANK.AVG($J8,($J8,$O8,$T8),1)-2)*10)</f>
        <v>-26.3</v>
      </c>
      <c r="V8" s="54">
        <f>IF($O8="","",ROUND(($O8-$O$3)/1000,1)+(_xlfn.RANK.AVG($O8,($J8,$O8,$T8),1)-2)*10)</f>
        <v>-14.4</v>
      </c>
      <c r="W8" s="55">
        <f>IF($T8="","",ROUND(($T8-$T$3)/1000,1)+(_xlfn.RANK.AVG($T8,($J8,$O8,$T8),1)-2)*10)</f>
        <v>40.700000000000003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20</v>
      </c>
      <c r="AZ8" s="40" t="s">
        <v>203</v>
      </c>
      <c r="BA8" s="41" t="s">
        <v>82</v>
      </c>
      <c r="BB8" s="41" t="s">
        <v>83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193</v>
      </c>
      <c r="F9" s="8" t="s">
        <v>202</v>
      </c>
      <c r="G9" s="9">
        <v>-1000</v>
      </c>
      <c r="H9" s="9"/>
      <c r="I9" s="48">
        <v>-2000</v>
      </c>
      <c r="J9" s="21">
        <f t="shared" si="2"/>
        <v>15700</v>
      </c>
      <c r="K9" s="8"/>
      <c r="L9" s="9"/>
      <c r="M9" s="9"/>
      <c r="N9" s="48"/>
      <c r="O9" s="21">
        <f t="shared" si="3"/>
        <v>20600</v>
      </c>
      <c r="P9" s="8" t="s">
        <v>201</v>
      </c>
      <c r="Q9" s="9">
        <v>1000</v>
      </c>
      <c r="R9" s="9"/>
      <c r="S9" s="48">
        <v>2000</v>
      </c>
      <c r="T9" s="21">
        <f t="shared" si="4"/>
        <v>68700</v>
      </c>
      <c r="U9" s="53">
        <f>IF($J9="","",ROUND(($J9-$J$3)/1000,1)+(_xlfn.RANK.AVG($J9,($J9,$O9,$T9),1)-2)*10)</f>
        <v>-29.3</v>
      </c>
      <c r="V9" s="54">
        <f>IF($O9="","",ROUND(($O9-$O$3)/1000,1)+(_xlfn.RANK.AVG($O9,($J9,$O9,$T9),1)-2)*10)</f>
        <v>-14.4</v>
      </c>
      <c r="W9" s="55">
        <f>IF($T9="","",ROUND(($T9-$T$3)/1000,1)+(_xlfn.RANK.AVG($T9,($J9,$O9,$T9),1)-2)*10)</f>
        <v>43.7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30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198</v>
      </c>
      <c r="G10" s="9">
        <v>-2900</v>
      </c>
      <c r="H10" s="9"/>
      <c r="I10" s="48">
        <v>0</v>
      </c>
      <c r="J10" s="21">
        <f t="shared" si="2"/>
        <v>12800</v>
      </c>
      <c r="K10" s="8" t="s">
        <v>197</v>
      </c>
      <c r="L10" s="9">
        <v>7700</v>
      </c>
      <c r="M10" s="9">
        <v>1000</v>
      </c>
      <c r="N10" s="48">
        <v>0</v>
      </c>
      <c r="O10" s="21">
        <f t="shared" si="3"/>
        <v>29300</v>
      </c>
      <c r="P10" s="8" t="s">
        <v>198</v>
      </c>
      <c r="Q10" s="9">
        <v>-4800</v>
      </c>
      <c r="R10" s="9">
        <v>-1000</v>
      </c>
      <c r="S10" s="48">
        <v>0</v>
      </c>
      <c r="T10" s="21">
        <f t="shared" si="4"/>
        <v>62900</v>
      </c>
      <c r="U10" s="53">
        <f>IF($J10="","",ROUND(($J10-$J$3)/1000,1)+(_xlfn.RANK.AVG($J10,($J10,$O10,$T10),1)-2)*10)</f>
        <v>-32.200000000000003</v>
      </c>
      <c r="V10" s="54">
        <f>IF($O10="","",ROUND(($O10-$O$3)/1000,1)+(_xlfn.RANK.AVG($O10,($J10,$O10,$T10),1)-2)*10)</f>
        <v>-5.7</v>
      </c>
      <c r="W10" s="55">
        <f>IF($T10="","",ROUND(($T10-$T$3)/1000,1)+(_xlfn.RANK.AVG($T10,($J10,$O10,$T10),1)-2)*10)</f>
        <v>37.9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203</v>
      </c>
      <c r="BA10" s="41" t="s">
        <v>82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204</v>
      </c>
      <c r="F11" s="8" t="s">
        <v>197</v>
      </c>
      <c r="G11" s="9">
        <v>12000</v>
      </c>
      <c r="H11" s="9"/>
      <c r="I11" s="48">
        <v>0</v>
      </c>
      <c r="J11" s="21">
        <f t="shared" si="2"/>
        <v>24800</v>
      </c>
      <c r="K11" s="8" t="s">
        <v>198</v>
      </c>
      <c r="L11" s="9">
        <v>-6000</v>
      </c>
      <c r="M11" s="9"/>
      <c r="N11" s="48">
        <v>0</v>
      </c>
      <c r="O11" s="21">
        <f t="shared" si="3"/>
        <v>23300</v>
      </c>
      <c r="P11" s="8" t="s">
        <v>198</v>
      </c>
      <c r="Q11" s="9">
        <v>-6000</v>
      </c>
      <c r="R11" s="9"/>
      <c r="S11" s="48">
        <v>0</v>
      </c>
      <c r="T11" s="21">
        <f t="shared" si="4"/>
        <v>56900</v>
      </c>
      <c r="U11" s="53">
        <f>IF($J11="","",ROUND(($J11-$J$3)/1000,1)+(_xlfn.RANK.AVG($J11,($J11,$O11,$T11),1)-2)*10)</f>
        <v>-10.199999999999999</v>
      </c>
      <c r="V11" s="54">
        <f>IF($O11="","",ROUND(($O11-$O$3)/1000,1)+(_xlfn.RANK.AVG($O11,($J11,$O11,$T11),1)-2)*10)</f>
        <v>-21.7</v>
      </c>
      <c r="W11" s="55">
        <f>IF($T11="","",ROUND(($T11-$T$3)/1000,1)+(_xlfn.RANK.AVG($T11,($J11,$O11,$T11),1)-2)*10)</f>
        <v>31.9</v>
      </c>
      <c r="Y11" s="8"/>
      <c r="Z11" s="34"/>
      <c r="AA11" s="26">
        <v>1</v>
      </c>
      <c r="AB11" s="26"/>
      <c r="AC11" s="26">
        <v>5</v>
      </c>
      <c r="AD11" s="30" t="s">
        <v>199</v>
      </c>
      <c r="AE11" s="40" t="s">
        <v>203</v>
      </c>
      <c r="AF11" s="41" t="s">
        <v>82</v>
      </c>
      <c r="AG11" s="41" t="s">
        <v>83</v>
      </c>
      <c r="AH11" s="41" t="s">
        <v>79</v>
      </c>
      <c r="AI11" s="41" t="s">
        <v>79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204</v>
      </c>
      <c r="F12" s="8"/>
      <c r="G12" s="9"/>
      <c r="H12" s="9"/>
      <c r="I12" s="48"/>
      <c r="J12" s="21">
        <f t="shared" si="2"/>
        <v>24800</v>
      </c>
      <c r="K12" s="8" t="s">
        <v>201</v>
      </c>
      <c r="L12" s="9">
        <v>2000</v>
      </c>
      <c r="M12" s="9"/>
      <c r="N12" s="48">
        <v>1000</v>
      </c>
      <c r="O12" s="21">
        <f t="shared" si="3"/>
        <v>26300</v>
      </c>
      <c r="P12" s="8" t="s">
        <v>202</v>
      </c>
      <c r="Q12" s="9">
        <v>-2000</v>
      </c>
      <c r="R12" s="9"/>
      <c r="S12" s="48">
        <v>-1000</v>
      </c>
      <c r="T12" s="21">
        <f t="shared" si="4"/>
        <v>53900</v>
      </c>
      <c r="U12" s="53">
        <f>IF($J12="","",ROUND(($J12-$J$3)/1000,1)+(_xlfn.RANK.AVG($J12,($J12,$O12,$T12),1)-2)*10)</f>
        <v>-20.2</v>
      </c>
      <c r="V12" s="54">
        <f>IF($O12="","",ROUND(($O12-$O$3)/1000,1)+(_xlfn.RANK.AVG($O12,($J12,$O12,$T12),1)-2)*10)</f>
        <v>-8.6999999999999993</v>
      </c>
      <c r="W12" s="55">
        <f>IF($T12="","",ROUND(($T12-$T$3)/1000,1)+(_xlfn.RANK.AVG($T12,($J12,$O12,$T12),1)-2)*10)</f>
        <v>28.9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30</v>
      </c>
      <c r="AZ12" s="40" t="s">
        <v>86</v>
      </c>
      <c r="BA12" s="41" t="s">
        <v>79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1AEE14EB-3132-4276-8290-846C5C2680B7}">
      <formula1>$U$2:$W$2</formula1>
    </dataValidation>
    <dataValidation type="list" showInputMessage="1" showErrorMessage="1" sqref="K4:K30 P4:P30 F4:F30" xr:uid="{1BCF7F56-B591-406A-BB8E-98B8F5DC32E2}">
      <formula1>"ロン,ツモ,放銃,ツモ支払,流局,チョンボ"</formula1>
    </dataValidation>
    <dataValidation type="list" allowBlank="1" showInputMessage="1" sqref="F1:T1" xr:uid="{A87C7044-0093-4E2D-AB5D-E0F569CEA13A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2019-11-19T16:16:54Z</dcterms:modified>
</cp:coreProperties>
</file>