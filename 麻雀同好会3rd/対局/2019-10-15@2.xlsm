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662C8F85-F55F-40E3-995B-EED7F6DCCC87}" xr6:coauthVersionLast="41" xr6:coauthVersionMax="41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Sheet6" sheetId="25" r:id="rId6"/>
    <sheet name="Sheet7" sheetId="26" r:id="rId7"/>
    <sheet name="Sheet8" sheetId="27" r:id="rId8"/>
    <sheet name="Sheet9" sheetId="28" r:id="rId9"/>
    <sheet name="役一覧" sheetId="15" state="hidden" r:id="rId10"/>
    <sheet name="点数表(親ロン)" sheetId="4" state="hidden" r:id="rId11"/>
    <sheet name="点数表(親ツモ)" sheetId="9" state="hidden" r:id="rId12"/>
    <sheet name="点数表(子→親)" sheetId="7" state="hidden" r:id="rId13"/>
    <sheet name="点数表(子ロン)" sheetId="3" state="hidden" r:id="rId14"/>
    <sheet name="点数表(子ツモ)" sheetId="10" state="hidden" r:id="rId15"/>
    <sheet name="点数表(子→子)" sheetId="5" state="hidden" r:id="rId16"/>
    <sheet name="点数表(親→子)" sheetId="6" state="hidden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8" l="1"/>
  <c r="W30" i="28" s="1"/>
  <c r="O30" i="28"/>
  <c r="V30" i="28" s="1"/>
  <c r="J30" i="28"/>
  <c r="U30" i="28" s="1"/>
  <c r="D30" i="28"/>
  <c r="C30" i="28"/>
  <c r="B30" i="28"/>
  <c r="A30" i="28"/>
  <c r="T29" i="28"/>
  <c r="W29" i="28" s="1"/>
  <c r="O29" i="28"/>
  <c r="V29" i="28" s="1"/>
  <c r="J29" i="28"/>
  <c r="U29" i="28" s="1"/>
  <c r="D29" i="28"/>
  <c r="C29" i="28"/>
  <c r="B29" i="28"/>
  <c r="A29" i="28"/>
  <c r="T28" i="28"/>
  <c r="W28" i="28" s="1"/>
  <c r="O28" i="28"/>
  <c r="V28" i="28" s="1"/>
  <c r="J28" i="28"/>
  <c r="U28" i="28" s="1"/>
  <c r="D28" i="28"/>
  <c r="C28" i="28"/>
  <c r="B28" i="28"/>
  <c r="A28" i="28"/>
  <c r="T27" i="28"/>
  <c r="W27" i="28" s="1"/>
  <c r="O27" i="28"/>
  <c r="V27" i="28" s="1"/>
  <c r="J27" i="28"/>
  <c r="U27" i="28" s="1"/>
  <c r="D27" i="28"/>
  <c r="C27" i="28"/>
  <c r="B27" i="28"/>
  <c r="A27" i="28"/>
  <c r="T26" i="28"/>
  <c r="W26" i="28" s="1"/>
  <c r="O26" i="28"/>
  <c r="V26" i="28" s="1"/>
  <c r="J26" i="28"/>
  <c r="U26" i="28" s="1"/>
  <c r="D26" i="28"/>
  <c r="C26" i="28"/>
  <c r="B26" i="28"/>
  <c r="A26" i="28"/>
  <c r="T25" i="28"/>
  <c r="W25" i="28" s="1"/>
  <c r="O25" i="28"/>
  <c r="V25" i="28" s="1"/>
  <c r="J25" i="28"/>
  <c r="U25" i="28" s="1"/>
  <c r="D25" i="28"/>
  <c r="C25" i="28"/>
  <c r="B25" i="28"/>
  <c r="A25" i="28"/>
  <c r="T24" i="28"/>
  <c r="W24" i="28" s="1"/>
  <c r="O24" i="28"/>
  <c r="V24" i="28" s="1"/>
  <c r="J24" i="28"/>
  <c r="U24" i="28" s="1"/>
  <c r="D24" i="28"/>
  <c r="C24" i="28"/>
  <c r="B24" i="28"/>
  <c r="A24" i="28"/>
  <c r="T23" i="28"/>
  <c r="W23" i="28" s="1"/>
  <c r="O23" i="28"/>
  <c r="V23" i="28" s="1"/>
  <c r="J23" i="28"/>
  <c r="U23" i="28" s="1"/>
  <c r="D23" i="28"/>
  <c r="C23" i="28"/>
  <c r="B23" i="28"/>
  <c r="A23" i="28"/>
  <c r="T22" i="28"/>
  <c r="W22" i="28" s="1"/>
  <c r="O22" i="28"/>
  <c r="V22" i="28" s="1"/>
  <c r="J22" i="28"/>
  <c r="U22" i="28" s="1"/>
  <c r="D22" i="28"/>
  <c r="C22" i="28"/>
  <c r="B22" i="28"/>
  <c r="A22" i="28"/>
  <c r="T21" i="28"/>
  <c r="W21" i="28" s="1"/>
  <c r="O21" i="28"/>
  <c r="V21" i="28" s="1"/>
  <c r="J21" i="28"/>
  <c r="U21" i="28" s="1"/>
  <c r="D21" i="28"/>
  <c r="C21" i="28"/>
  <c r="B21" i="28"/>
  <c r="A21" i="28"/>
  <c r="T20" i="28"/>
  <c r="W20" i="28" s="1"/>
  <c r="O20" i="28"/>
  <c r="V20" i="28" s="1"/>
  <c r="J20" i="28"/>
  <c r="U20" i="28" s="1"/>
  <c r="D20" i="28"/>
  <c r="C20" i="28"/>
  <c r="B20" i="28"/>
  <c r="A20" i="28"/>
  <c r="T19" i="28"/>
  <c r="W19" i="28" s="1"/>
  <c r="O19" i="28"/>
  <c r="V19" i="28" s="1"/>
  <c r="J19" i="28"/>
  <c r="U19" i="28" s="1"/>
  <c r="D19" i="28"/>
  <c r="C19" i="28"/>
  <c r="B19" i="28"/>
  <c r="A19" i="28"/>
  <c r="T18" i="28"/>
  <c r="W18" i="28" s="1"/>
  <c r="O18" i="28"/>
  <c r="V18" i="28" s="1"/>
  <c r="J18" i="28"/>
  <c r="U18" i="28" s="1"/>
  <c r="D18" i="28"/>
  <c r="C18" i="28"/>
  <c r="B18" i="28"/>
  <c r="A18" i="28"/>
  <c r="T17" i="28"/>
  <c r="W17" i="28" s="1"/>
  <c r="O17" i="28"/>
  <c r="V17" i="28" s="1"/>
  <c r="J17" i="28"/>
  <c r="U17" i="28" s="1"/>
  <c r="D17" i="28"/>
  <c r="C17" i="28"/>
  <c r="B17" i="28"/>
  <c r="A17" i="28"/>
  <c r="T16" i="28"/>
  <c r="W16" i="28" s="1"/>
  <c r="O16" i="28"/>
  <c r="V16" i="28" s="1"/>
  <c r="J16" i="28"/>
  <c r="U16" i="28" s="1"/>
  <c r="D16" i="28"/>
  <c r="C16" i="28"/>
  <c r="B16" i="28"/>
  <c r="A16" i="28"/>
  <c r="T15" i="28"/>
  <c r="W15" i="28" s="1"/>
  <c r="O15" i="28"/>
  <c r="V15" i="28" s="1"/>
  <c r="J15" i="28"/>
  <c r="U15" i="28" s="1"/>
  <c r="D15" i="28"/>
  <c r="C15" i="28"/>
  <c r="B15" i="28"/>
  <c r="A15" i="28"/>
  <c r="T14" i="28"/>
  <c r="W14" i="28" s="1"/>
  <c r="O14" i="28"/>
  <c r="V14" i="28" s="1"/>
  <c r="J14" i="28"/>
  <c r="U14" i="28" s="1"/>
  <c r="D14" i="28"/>
  <c r="C14" i="28"/>
  <c r="B14" i="28"/>
  <c r="A14" i="28"/>
  <c r="T13" i="28"/>
  <c r="W13" i="28" s="1"/>
  <c r="O13" i="28"/>
  <c r="V13" i="28" s="1"/>
  <c r="J13" i="28"/>
  <c r="U13" i="28" s="1"/>
  <c r="D13" i="28"/>
  <c r="C13" i="28"/>
  <c r="B13" i="28"/>
  <c r="A13" i="28"/>
  <c r="T12" i="28"/>
  <c r="W12" i="28" s="1"/>
  <c r="O12" i="28"/>
  <c r="V12" i="28" s="1"/>
  <c r="J12" i="28"/>
  <c r="U12" i="28" s="1"/>
  <c r="D12" i="28"/>
  <c r="C12" i="28"/>
  <c r="B12" i="28"/>
  <c r="A12" i="28"/>
  <c r="T11" i="28"/>
  <c r="W11" i="28" s="1"/>
  <c r="O11" i="28"/>
  <c r="V11" i="28" s="1"/>
  <c r="J11" i="28"/>
  <c r="U11" i="28" s="1"/>
  <c r="D11" i="28"/>
  <c r="C11" i="28"/>
  <c r="B11" i="28"/>
  <c r="A11" i="28" s="1"/>
  <c r="D10" i="28"/>
  <c r="C10" i="28"/>
  <c r="D9" i="28"/>
  <c r="C9" i="28"/>
  <c r="D8" i="28"/>
  <c r="C8" i="28"/>
  <c r="D7" i="28"/>
  <c r="C7" i="28"/>
  <c r="D6" i="28"/>
  <c r="C6" i="28"/>
  <c r="B6" i="28"/>
  <c r="B7" i="28" s="1"/>
  <c r="T5" i="28"/>
  <c r="O5" i="28"/>
  <c r="D5" i="28"/>
  <c r="C5" i="28"/>
  <c r="B5" i="28"/>
  <c r="A5" i="28" s="1"/>
  <c r="T4" i="28"/>
  <c r="O4" i="28"/>
  <c r="J4" i="28"/>
  <c r="W3" i="28"/>
  <c r="V3" i="28"/>
  <c r="U3" i="28"/>
  <c r="W2" i="28"/>
  <c r="V2" i="28"/>
  <c r="U2" i="28"/>
  <c r="BO1" i="28"/>
  <c r="AT1" i="28"/>
  <c r="Y1" i="28"/>
  <c r="A6" i="28" l="1"/>
  <c r="V4" i="28"/>
  <c r="B8" i="28"/>
  <c r="J5" i="28"/>
  <c r="W5" i="28" s="1"/>
  <c r="A7" i="28"/>
  <c r="U4" i="28"/>
  <c r="W4" i="28"/>
  <c r="O6" i="28"/>
  <c r="T6" i="28"/>
  <c r="J6" i="28" l="1"/>
  <c r="W6" i="28" s="1"/>
  <c r="U5" i="28"/>
  <c r="B9" i="28"/>
  <c r="A9" i="28" s="1"/>
  <c r="A8" i="28"/>
  <c r="T7" i="28"/>
  <c r="O7" i="28"/>
  <c r="V5" i="28"/>
  <c r="V6" i="28" l="1"/>
  <c r="O8" i="28"/>
  <c r="T8" i="28"/>
  <c r="B10" i="28"/>
  <c r="A10" i="28" s="1"/>
  <c r="U6" i="28"/>
  <c r="J7" i="28"/>
  <c r="W7" i="28" s="1"/>
  <c r="V7" i="28" l="1"/>
  <c r="J8" i="28"/>
  <c r="U7" i="28"/>
  <c r="T9" i="28"/>
  <c r="V8" i="28"/>
  <c r="O9" i="28"/>
  <c r="T10" i="28" l="1"/>
  <c r="U8" i="28"/>
  <c r="J9" i="28"/>
  <c r="W9" i="28" s="1"/>
  <c r="V9" i="28"/>
  <c r="O10" i="28"/>
  <c r="W8" i="28"/>
  <c r="V10" i="28" l="1"/>
  <c r="U9" i="28"/>
  <c r="J10" i="28"/>
  <c r="U10" i="28" s="1"/>
  <c r="W10" i="28" l="1"/>
  <c r="T30" i="27" l="1"/>
  <c r="W30" i="27" s="1"/>
  <c r="O30" i="27"/>
  <c r="V30" i="27" s="1"/>
  <c r="J30" i="27"/>
  <c r="U30" i="27" s="1"/>
  <c r="D30" i="27"/>
  <c r="C30" i="27"/>
  <c r="B30" i="27"/>
  <c r="A30" i="27"/>
  <c r="T29" i="27"/>
  <c r="W29" i="27" s="1"/>
  <c r="O29" i="27"/>
  <c r="V29" i="27" s="1"/>
  <c r="J29" i="27"/>
  <c r="U29" i="27" s="1"/>
  <c r="D29" i="27"/>
  <c r="C29" i="27"/>
  <c r="B29" i="27"/>
  <c r="A29" i="27"/>
  <c r="T28" i="27"/>
  <c r="W28" i="27" s="1"/>
  <c r="O28" i="27"/>
  <c r="V28" i="27" s="1"/>
  <c r="J28" i="27"/>
  <c r="U28" i="27" s="1"/>
  <c r="D28" i="27"/>
  <c r="C28" i="27"/>
  <c r="B28" i="27"/>
  <c r="A28" i="27"/>
  <c r="T27" i="27"/>
  <c r="W27" i="27" s="1"/>
  <c r="O27" i="27"/>
  <c r="V27" i="27" s="1"/>
  <c r="J27" i="27"/>
  <c r="U27" i="27" s="1"/>
  <c r="D27" i="27"/>
  <c r="C27" i="27"/>
  <c r="B27" i="27"/>
  <c r="A27" i="27"/>
  <c r="T26" i="27"/>
  <c r="W26" i="27" s="1"/>
  <c r="O26" i="27"/>
  <c r="V26" i="27" s="1"/>
  <c r="J26" i="27"/>
  <c r="U26" i="27" s="1"/>
  <c r="D26" i="27"/>
  <c r="C26" i="27"/>
  <c r="B26" i="27"/>
  <c r="A26" i="27"/>
  <c r="T25" i="27"/>
  <c r="W25" i="27" s="1"/>
  <c r="O25" i="27"/>
  <c r="V25" i="27" s="1"/>
  <c r="J25" i="27"/>
  <c r="U25" i="27" s="1"/>
  <c r="D25" i="27"/>
  <c r="C25" i="27"/>
  <c r="B25" i="27"/>
  <c r="A25" i="27"/>
  <c r="T24" i="27"/>
  <c r="W24" i="27" s="1"/>
  <c r="O24" i="27"/>
  <c r="V24" i="27" s="1"/>
  <c r="J24" i="27"/>
  <c r="U24" i="27" s="1"/>
  <c r="D24" i="27"/>
  <c r="C24" i="27"/>
  <c r="B24" i="27"/>
  <c r="A24" i="27"/>
  <c r="T23" i="27"/>
  <c r="W23" i="27" s="1"/>
  <c r="O23" i="27"/>
  <c r="V23" i="27" s="1"/>
  <c r="J23" i="27"/>
  <c r="U23" i="27" s="1"/>
  <c r="D23" i="27"/>
  <c r="C23" i="27"/>
  <c r="B23" i="27"/>
  <c r="A23" i="27"/>
  <c r="T22" i="27"/>
  <c r="W22" i="27" s="1"/>
  <c r="O22" i="27"/>
  <c r="V22" i="27" s="1"/>
  <c r="J22" i="27"/>
  <c r="U22" i="27" s="1"/>
  <c r="D22" i="27"/>
  <c r="C22" i="27"/>
  <c r="B22" i="27"/>
  <c r="A22" i="27"/>
  <c r="T21" i="27"/>
  <c r="W21" i="27" s="1"/>
  <c r="O21" i="27"/>
  <c r="V21" i="27" s="1"/>
  <c r="J21" i="27"/>
  <c r="U21" i="27" s="1"/>
  <c r="D21" i="27"/>
  <c r="C21" i="27"/>
  <c r="B21" i="27"/>
  <c r="A21" i="27"/>
  <c r="T20" i="27"/>
  <c r="W20" i="27" s="1"/>
  <c r="O20" i="27"/>
  <c r="V20" i="27" s="1"/>
  <c r="J20" i="27"/>
  <c r="U20" i="27" s="1"/>
  <c r="D20" i="27"/>
  <c r="C20" i="27"/>
  <c r="B20" i="27"/>
  <c r="A20" i="27"/>
  <c r="T19" i="27"/>
  <c r="W19" i="27" s="1"/>
  <c r="O19" i="27"/>
  <c r="V19" i="27" s="1"/>
  <c r="J19" i="27"/>
  <c r="U19" i="27" s="1"/>
  <c r="D19" i="27"/>
  <c r="C19" i="27"/>
  <c r="B19" i="27"/>
  <c r="A19" i="27"/>
  <c r="T18" i="27"/>
  <c r="W18" i="27" s="1"/>
  <c r="O18" i="27"/>
  <c r="V18" i="27" s="1"/>
  <c r="J18" i="27"/>
  <c r="U18" i="27" s="1"/>
  <c r="D18" i="27"/>
  <c r="C18" i="27"/>
  <c r="B18" i="27"/>
  <c r="A18" i="27"/>
  <c r="T17" i="27"/>
  <c r="W17" i="27" s="1"/>
  <c r="O17" i="27"/>
  <c r="V17" i="27" s="1"/>
  <c r="J17" i="27"/>
  <c r="U17" i="27" s="1"/>
  <c r="D17" i="27"/>
  <c r="C17" i="27"/>
  <c r="B17" i="27"/>
  <c r="A17" i="27"/>
  <c r="T16" i="27"/>
  <c r="W16" i="27" s="1"/>
  <c r="O16" i="27"/>
  <c r="V16" i="27" s="1"/>
  <c r="J16" i="27"/>
  <c r="U16" i="27" s="1"/>
  <c r="D16" i="27"/>
  <c r="C16" i="27"/>
  <c r="B16" i="27"/>
  <c r="A16" i="27"/>
  <c r="T15" i="27"/>
  <c r="W15" i="27" s="1"/>
  <c r="O15" i="27"/>
  <c r="V15" i="27" s="1"/>
  <c r="J15" i="27"/>
  <c r="U15" i="27" s="1"/>
  <c r="D15" i="27"/>
  <c r="C15" i="27"/>
  <c r="B15" i="27"/>
  <c r="A15" i="27"/>
  <c r="T14" i="27"/>
  <c r="W14" i="27" s="1"/>
  <c r="O14" i="27"/>
  <c r="V14" i="27" s="1"/>
  <c r="J14" i="27"/>
  <c r="U14" i="27" s="1"/>
  <c r="D14" i="27"/>
  <c r="C14" i="27"/>
  <c r="B14" i="27"/>
  <c r="A14" i="27"/>
  <c r="T13" i="27"/>
  <c r="W13" i="27" s="1"/>
  <c r="O13" i="27"/>
  <c r="V13" i="27" s="1"/>
  <c r="J13" i="27"/>
  <c r="U13" i="27" s="1"/>
  <c r="D13" i="27"/>
  <c r="C13" i="27"/>
  <c r="B13" i="27"/>
  <c r="A13" i="27"/>
  <c r="T12" i="27"/>
  <c r="W12" i="27" s="1"/>
  <c r="O12" i="27"/>
  <c r="V12" i="27" s="1"/>
  <c r="J12" i="27"/>
  <c r="U12" i="27" s="1"/>
  <c r="D12" i="27"/>
  <c r="C12" i="27"/>
  <c r="B12" i="27"/>
  <c r="A12" i="27"/>
  <c r="T11" i="27"/>
  <c r="W11" i="27" s="1"/>
  <c r="O11" i="27"/>
  <c r="V11" i="27" s="1"/>
  <c r="J11" i="27"/>
  <c r="U11" i="27" s="1"/>
  <c r="D11" i="27"/>
  <c r="C11" i="27"/>
  <c r="B11" i="27"/>
  <c r="A11" i="27" s="1"/>
  <c r="D9" i="27"/>
  <c r="D10" i="27" s="1"/>
  <c r="C9" i="27"/>
  <c r="C10" i="27" s="1"/>
  <c r="D8" i="27"/>
  <c r="D7" i="27"/>
  <c r="C7" i="27"/>
  <c r="C8" i="27" s="1"/>
  <c r="D6" i="27"/>
  <c r="C6" i="27"/>
  <c r="B6" i="27"/>
  <c r="B7" i="27" s="1"/>
  <c r="D5" i="27"/>
  <c r="C5" i="27"/>
  <c r="B5" i="27"/>
  <c r="A5" i="27" s="1"/>
  <c r="T4" i="27"/>
  <c r="O4" i="27"/>
  <c r="J4" i="27"/>
  <c r="W3" i="27"/>
  <c r="V3" i="27"/>
  <c r="U3" i="27"/>
  <c r="W2" i="27"/>
  <c r="V2" i="27"/>
  <c r="U2" i="27"/>
  <c r="BO1" i="27"/>
  <c r="AT1" i="27"/>
  <c r="Y1" i="27"/>
  <c r="T30" i="26"/>
  <c r="W30" i="26" s="1"/>
  <c r="O30" i="26"/>
  <c r="V30" i="26" s="1"/>
  <c r="J30" i="26"/>
  <c r="U30" i="26" s="1"/>
  <c r="D30" i="26"/>
  <c r="C30" i="26"/>
  <c r="B30" i="26"/>
  <c r="A30" i="26"/>
  <c r="T29" i="26"/>
  <c r="W29" i="26" s="1"/>
  <c r="O29" i="26"/>
  <c r="V29" i="26" s="1"/>
  <c r="J29" i="26"/>
  <c r="U29" i="26" s="1"/>
  <c r="D29" i="26"/>
  <c r="C29" i="26"/>
  <c r="B29" i="26"/>
  <c r="A29" i="26"/>
  <c r="T28" i="26"/>
  <c r="W28" i="26" s="1"/>
  <c r="O28" i="26"/>
  <c r="V28" i="26" s="1"/>
  <c r="J28" i="26"/>
  <c r="U28" i="26" s="1"/>
  <c r="D28" i="26"/>
  <c r="C28" i="26"/>
  <c r="B28" i="26"/>
  <c r="A28" i="26"/>
  <c r="T27" i="26"/>
  <c r="W27" i="26" s="1"/>
  <c r="O27" i="26"/>
  <c r="V27" i="26" s="1"/>
  <c r="J27" i="26"/>
  <c r="U27" i="26" s="1"/>
  <c r="D27" i="26"/>
  <c r="C27" i="26"/>
  <c r="B27" i="26"/>
  <c r="A27" i="26"/>
  <c r="T26" i="26"/>
  <c r="W26" i="26" s="1"/>
  <c r="O26" i="26"/>
  <c r="V26" i="26" s="1"/>
  <c r="J26" i="26"/>
  <c r="U26" i="26" s="1"/>
  <c r="D26" i="26"/>
  <c r="C26" i="26"/>
  <c r="B26" i="26"/>
  <c r="A26" i="26"/>
  <c r="T25" i="26"/>
  <c r="W25" i="26" s="1"/>
  <c r="O25" i="26"/>
  <c r="V25" i="26" s="1"/>
  <c r="J25" i="26"/>
  <c r="U25" i="26" s="1"/>
  <c r="D25" i="26"/>
  <c r="C25" i="26"/>
  <c r="B25" i="26"/>
  <c r="A25" i="26"/>
  <c r="T24" i="26"/>
  <c r="W24" i="26" s="1"/>
  <c r="O24" i="26"/>
  <c r="V24" i="26" s="1"/>
  <c r="J24" i="26"/>
  <c r="U24" i="26" s="1"/>
  <c r="D24" i="26"/>
  <c r="C24" i="26"/>
  <c r="B24" i="26"/>
  <c r="A24" i="26"/>
  <c r="T23" i="26"/>
  <c r="W23" i="26" s="1"/>
  <c r="O23" i="26"/>
  <c r="V23" i="26" s="1"/>
  <c r="J23" i="26"/>
  <c r="U23" i="26" s="1"/>
  <c r="D23" i="26"/>
  <c r="C23" i="26"/>
  <c r="B23" i="26"/>
  <c r="A23" i="26"/>
  <c r="T22" i="26"/>
  <c r="W22" i="26" s="1"/>
  <c r="O22" i="26"/>
  <c r="V22" i="26" s="1"/>
  <c r="J22" i="26"/>
  <c r="U22" i="26" s="1"/>
  <c r="D22" i="26"/>
  <c r="C22" i="26"/>
  <c r="B22" i="26"/>
  <c r="A22" i="26"/>
  <c r="T21" i="26"/>
  <c r="W21" i="26" s="1"/>
  <c r="O21" i="26"/>
  <c r="V21" i="26" s="1"/>
  <c r="J21" i="26"/>
  <c r="U21" i="26" s="1"/>
  <c r="D21" i="26"/>
  <c r="C21" i="26"/>
  <c r="B21" i="26"/>
  <c r="A21" i="26"/>
  <c r="T20" i="26"/>
  <c r="W20" i="26" s="1"/>
  <c r="O20" i="26"/>
  <c r="V20" i="26" s="1"/>
  <c r="J20" i="26"/>
  <c r="U20" i="26" s="1"/>
  <c r="D20" i="26"/>
  <c r="C20" i="26"/>
  <c r="B20" i="26"/>
  <c r="A20" i="26"/>
  <c r="T19" i="26"/>
  <c r="W19" i="26" s="1"/>
  <c r="O19" i="26"/>
  <c r="V19" i="26" s="1"/>
  <c r="J19" i="26"/>
  <c r="U19" i="26" s="1"/>
  <c r="D19" i="26"/>
  <c r="C19" i="26"/>
  <c r="B19" i="26"/>
  <c r="A19" i="26"/>
  <c r="T18" i="26"/>
  <c r="W18" i="26" s="1"/>
  <c r="O18" i="26"/>
  <c r="V18" i="26" s="1"/>
  <c r="J18" i="26"/>
  <c r="U18" i="26" s="1"/>
  <c r="D18" i="26"/>
  <c r="C18" i="26"/>
  <c r="B18" i="26"/>
  <c r="A18" i="26"/>
  <c r="T17" i="26"/>
  <c r="W17" i="26" s="1"/>
  <c r="O17" i="26"/>
  <c r="V17" i="26" s="1"/>
  <c r="J17" i="26"/>
  <c r="U17" i="26" s="1"/>
  <c r="D17" i="26"/>
  <c r="C17" i="26"/>
  <c r="B17" i="26"/>
  <c r="A17" i="26"/>
  <c r="T16" i="26"/>
  <c r="W16" i="26" s="1"/>
  <c r="O16" i="26"/>
  <c r="V16" i="26" s="1"/>
  <c r="J16" i="26"/>
  <c r="U16" i="26" s="1"/>
  <c r="D16" i="26"/>
  <c r="C16" i="26"/>
  <c r="B16" i="26"/>
  <c r="A16" i="26"/>
  <c r="T15" i="26"/>
  <c r="W15" i="26" s="1"/>
  <c r="O15" i="26"/>
  <c r="V15" i="26" s="1"/>
  <c r="J15" i="26"/>
  <c r="U15" i="26" s="1"/>
  <c r="D15" i="26"/>
  <c r="C15" i="26"/>
  <c r="B15" i="26"/>
  <c r="A15" i="26"/>
  <c r="T14" i="26"/>
  <c r="W14" i="26" s="1"/>
  <c r="O14" i="26"/>
  <c r="V14" i="26" s="1"/>
  <c r="J14" i="26"/>
  <c r="U14" i="26" s="1"/>
  <c r="D14" i="26"/>
  <c r="C14" i="26"/>
  <c r="B14" i="26"/>
  <c r="A14" i="26"/>
  <c r="D13" i="26"/>
  <c r="C13" i="26"/>
  <c r="D12" i="26"/>
  <c r="C12" i="26"/>
  <c r="D10" i="26"/>
  <c r="D11" i="26" s="1"/>
  <c r="D9" i="26"/>
  <c r="C7" i="26"/>
  <c r="C8" i="26" s="1"/>
  <c r="C9" i="26" s="1"/>
  <c r="C10" i="26" s="1"/>
  <c r="C11" i="26" s="1"/>
  <c r="D6" i="26"/>
  <c r="D7" i="26" s="1"/>
  <c r="D8" i="26" s="1"/>
  <c r="C6" i="26"/>
  <c r="B6" i="26"/>
  <c r="B7" i="26" s="1"/>
  <c r="A6" i="26"/>
  <c r="T5" i="26"/>
  <c r="D5" i="26"/>
  <c r="C5" i="26"/>
  <c r="B5" i="26"/>
  <c r="A5" i="26" s="1"/>
  <c r="T4" i="26"/>
  <c r="O4" i="26"/>
  <c r="J4" i="26"/>
  <c r="W3" i="26"/>
  <c r="V3" i="26"/>
  <c r="U3" i="26"/>
  <c r="W2" i="26"/>
  <c r="V2" i="26"/>
  <c r="U2" i="26"/>
  <c r="BO1" i="26"/>
  <c r="AT1" i="26"/>
  <c r="Y1" i="26"/>
  <c r="T30" i="25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T19" i="25"/>
  <c r="W19" i="25" s="1"/>
  <c r="O19" i="25"/>
  <c r="V19" i="25" s="1"/>
  <c r="J19" i="25"/>
  <c r="U19" i="25" s="1"/>
  <c r="D19" i="25"/>
  <c r="C19" i="25"/>
  <c r="B19" i="25"/>
  <c r="A19" i="25"/>
  <c r="T18" i="25"/>
  <c r="W18" i="25" s="1"/>
  <c r="O18" i="25"/>
  <c r="V18" i="25" s="1"/>
  <c r="J18" i="25"/>
  <c r="U18" i="25" s="1"/>
  <c r="D18" i="25"/>
  <c r="C18" i="25"/>
  <c r="B18" i="25"/>
  <c r="A18" i="25"/>
  <c r="T17" i="25"/>
  <c r="W17" i="25" s="1"/>
  <c r="O17" i="25"/>
  <c r="V17" i="25" s="1"/>
  <c r="J17" i="25"/>
  <c r="U17" i="25" s="1"/>
  <c r="D17" i="25"/>
  <c r="C17" i="25"/>
  <c r="B17" i="25"/>
  <c r="A17" i="25"/>
  <c r="T16" i="25"/>
  <c r="W16" i="25" s="1"/>
  <c r="O16" i="25"/>
  <c r="V16" i="25" s="1"/>
  <c r="J16" i="25"/>
  <c r="U16" i="25" s="1"/>
  <c r="D16" i="25"/>
  <c r="C16" i="25"/>
  <c r="B16" i="25"/>
  <c r="A16" i="25"/>
  <c r="T15" i="25"/>
  <c r="W15" i="25" s="1"/>
  <c r="O15" i="25"/>
  <c r="V15" i="25" s="1"/>
  <c r="J15" i="25"/>
  <c r="U15" i="25" s="1"/>
  <c r="D15" i="25"/>
  <c r="C15" i="25"/>
  <c r="B15" i="25"/>
  <c r="A15" i="25"/>
  <c r="T14" i="25"/>
  <c r="W14" i="25" s="1"/>
  <c r="O14" i="25"/>
  <c r="V14" i="25" s="1"/>
  <c r="J14" i="25"/>
  <c r="U14" i="25" s="1"/>
  <c r="D14" i="25"/>
  <c r="C14" i="25"/>
  <c r="B14" i="25"/>
  <c r="A14" i="25"/>
  <c r="T13" i="25"/>
  <c r="O13" i="25"/>
  <c r="J13" i="25"/>
  <c r="D13" i="25"/>
  <c r="C13" i="25"/>
  <c r="B13" i="25"/>
  <c r="A13" i="25" s="1"/>
  <c r="T12" i="25"/>
  <c r="O12" i="25"/>
  <c r="J12" i="25"/>
  <c r="D12" i="25"/>
  <c r="C12" i="25"/>
  <c r="B12" i="25"/>
  <c r="A12" i="25"/>
  <c r="T11" i="25"/>
  <c r="O11" i="25"/>
  <c r="J11" i="25"/>
  <c r="D11" i="25"/>
  <c r="C11" i="25"/>
  <c r="B11" i="25"/>
  <c r="A11" i="25" s="1"/>
  <c r="T10" i="25"/>
  <c r="O10" i="25"/>
  <c r="J10" i="25"/>
  <c r="U10" i="25" s="1"/>
  <c r="D10" i="25"/>
  <c r="C10" i="25"/>
  <c r="B10" i="25"/>
  <c r="A10" i="25" s="1"/>
  <c r="T9" i="25"/>
  <c r="O9" i="25"/>
  <c r="J9" i="25"/>
  <c r="U9" i="25" s="1"/>
  <c r="D9" i="25"/>
  <c r="C9" i="25"/>
  <c r="B9" i="25"/>
  <c r="A9" i="25" s="1"/>
  <c r="T8" i="25"/>
  <c r="O8" i="25"/>
  <c r="J8" i="25"/>
  <c r="D8" i="25"/>
  <c r="C8" i="25"/>
  <c r="B8" i="25"/>
  <c r="A8" i="25" s="1"/>
  <c r="T7" i="25"/>
  <c r="O7" i="25"/>
  <c r="J7" i="25"/>
  <c r="D7" i="25"/>
  <c r="C7" i="25"/>
  <c r="B7" i="25"/>
  <c r="A7" i="25" s="1"/>
  <c r="T6" i="25"/>
  <c r="O6" i="25"/>
  <c r="J6" i="25"/>
  <c r="D6" i="25"/>
  <c r="C6" i="25"/>
  <c r="B6" i="25"/>
  <c r="A6" i="25"/>
  <c r="T5" i="25"/>
  <c r="O5" i="25"/>
  <c r="J5" i="25"/>
  <c r="D5" i="25"/>
  <c r="C5" i="25"/>
  <c r="B5" i="25"/>
  <c r="A5" i="25" s="1"/>
  <c r="T4" i="25"/>
  <c r="O4" i="25"/>
  <c r="J4" i="25"/>
  <c r="U4" i="25" s="1"/>
  <c r="W3" i="25"/>
  <c r="V3" i="25"/>
  <c r="U3" i="25"/>
  <c r="W2" i="25"/>
  <c r="V2" i="25"/>
  <c r="U2" i="25"/>
  <c r="BO1" i="25"/>
  <c r="AT1" i="25"/>
  <c r="Y1" i="25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 s="1"/>
  <c r="T14" i="23"/>
  <c r="O14" i="23"/>
  <c r="V14" i="23" s="1"/>
  <c r="J14" i="23"/>
  <c r="D14" i="23"/>
  <c r="C14" i="23"/>
  <c r="B14" i="23"/>
  <c r="A14" i="23"/>
  <c r="T13" i="23"/>
  <c r="O13" i="23"/>
  <c r="J13" i="23"/>
  <c r="D13" i="23"/>
  <c r="C13" i="23"/>
  <c r="B13" i="23"/>
  <c r="A13" i="23"/>
  <c r="D12" i="23"/>
  <c r="C12" i="23"/>
  <c r="D11" i="23"/>
  <c r="C11" i="23"/>
  <c r="D8" i="23"/>
  <c r="D9" i="23" s="1"/>
  <c r="D10" i="23" s="1"/>
  <c r="D7" i="23"/>
  <c r="C7" i="23"/>
  <c r="C8" i="23" s="1"/>
  <c r="C9" i="23" s="1"/>
  <c r="C10" i="23" s="1"/>
  <c r="D6" i="23"/>
  <c r="C6" i="23"/>
  <c r="T5" i="23"/>
  <c r="T6" i="23" s="1"/>
  <c r="O5" i="23"/>
  <c r="D5" i="23"/>
  <c r="C5" i="23"/>
  <c r="B5" i="23"/>
  <c r="A5" i="23" s="1"/>
  <c r="T4" i="23"/>
  <c r="O4" i="23"/>
  <c r="J4" i="23"/>
  <c r="W4" i="23" s="1"/>
  <c r="W3" i="23"/>
  <c r="V3" i="23"/>
  <c r="U3" i="23"/>
  <c r="W2" i="23"/>
  <c r="V2" i="23"/>
  <c r="U2" i="23"/>
  <c r="BO1" i="23"/>
  <c r="AT1" i="23"/>
  <c r="Y1" i="23"/>
  <c r="A6" i="27" l="1"/>
  <c r="V4" i="27"/>
  <c r="W4" i="27"/>
  <c r="U4" i="27"/>
  <c r="B8" i="27"/>
  <c r="A8" i="27" s="1"/>
  <c r="A7" i="27"/>
  <c r="J5" i="27"/>
  <c r="O5" i="27"/>
  <c r="T5" i="27"/>
  <c r="U4" i="26"/>
  <c r="W4" i="26"/>
  <c r="V4" i="26"/>
  <c r="B8" i="26"/>
  <c r="A8" i="26" s="1"/>
  <c r="J5" i="26"/>
  <c r="A7" i="26"/>
  <c r="O5" i="26"/>
  <c r="T6" i="26"/>
  <c r="U13" i="25"/>
  <c r="W13" i="25"/>
  <c r="V13" i="25"/>
  <c r="U12" i="25"/>
  <c r="V12" i="25"/>
  <c r="W12" i="25"/>
  <c r="V11" i="25"/>
  <c r="U11" i="25"/>
  <c r="W11" i="25"/>
  <c r="V10" i="25"/>
  <c r="W10" i="25"/>
  <c r="V9" i="25"/>
  <c r="W9" i="25"/>
  <c r="U8" i="25"/>
  <c r="V8" i="25"/>
  <c r="W8" i="25"/>
  <c r="V7" i="25"/>
  <c r="U7" i="25"/>
  <c r="W7" i="25"/>
  <c r="V6" i="25"/>
  <c r="U6" i="25"/>
  <c r="W6" i="25"/>
  <c r="U5" i="25"/>
  <c r="W5" i="25"/>
  <c r="V5" i="25"/>
  <c r="V4" i="25"/>
  <c r="W4" i="25"/>
  <c r="U14" i="23"/>
  <c r="W14" i="23"/>
  <c r="V13" i="23"/>
  <c r="W13" i="23"/>
  <c r="U13" i="23"/>
  <c r="V4" i="23"/>
  <c r="U4" i="23"/>
  <c r="T7" i="23"/>
  <c r="B6" i="23"/>
  <c r="J5" i="23"/>
  <c r="V5" i="23" s="1"/>
  <c r="O6" i="23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D13" i="22"/>
  <c r="C13" i="22"/>
  <c r="D12" i="22"/>
  <c r="D11" i="22"/>
  <c r="C11" i="22"/>
  <c r="C12" i="22" s="1"/>
  <c r="D10" i="22"/>
  <c r="D7" i="22"/>
  <c r="D8" i="22" s="1"/>
  <c r="D9" i="22" s="1"/>
  <c r="C7" i="22"/>
  <c r="C8" i="22" s="1"/>
  <c r="C9" i="22" s="1"/>
  <c r="C10" i="22" s="1"/>
  <c r="D6" i="22"/>
  <c r="C6" i="22"/>
  <c r="B6" i="22"/>
  <c r="B7" i="22" s="1"/>
  <c r="A6" i="22"/>
  <c r="J5" i="22"/>
  <c r="D5" i="22"/>
  <c r="C5" i="22"/>
  <c r="B5" i="22"/>
  <c r="A5" i="22" s="1"/>
  <c r="T4" i="22"/>
  <c r="T5" i="22" s="1"/>
  <c r="O4" i="22"/>
  <c r="O5" i="22" s="1"/>
  <c r="J4" i="22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 s="1"/>
  <c r="T13" i="21"/>
  <c r="O13" i="21"/>
  <c r="J13" i="21"/>
  <c r="D13" i="21"/>
  <c r="C13" i="21"/>
  <c r="B13" i="21"/>
  <c r="A13" i="21" s="1"/>
  <c r="T12" i="21"/>
  <c r="O12" i="21"/>
  <c r="J12" i="21"/>
  <c r="D12" i="21"/>
  <c r="C12" i="21"/>
  <c r="B12" i="21"/>
  <c r="A12" i="21"/>
  <c r="T11" i="21"/>
  <c r="O11" i="21"/>
  <c r="V11" i="21" s="1"/>
  <c r="J11" i="21"/>
  <c r="D11" i="21"/>
  <c r="C11" i="21"/>
  <c r="B11" i="21"/>
  <c r="A11" i="21" s="1"/>
  <c r="C10" i="21"/>
  <c r="D9" i="21"/>
  <c r="D10" i="21" s="1"/>
  <c r="C9" i="21"/>
  <c r="D8" i="21"/>
  <c r="C8" i="21"/>
  <c r="D7" i="21"/>
  <c r="C7" i="21"/>
  <c r="D6" i="21"/>
  <c r="C6" i="21"/>
  <c r="J5" i="21"/>
  <c r="D5" i="21"/>
  <c r="C5" i="21"/>
  <c r="B5" i="21"/>
  <c r="B6" i="21" s="1"/>
  <c r="T4" i="21"/>
  <c r="W4" i="21" s="1"/>
  <c r="O4" i="21"/>
  <c r="O5" i="21" s="1"/>
  <c r="J4" i="2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D12" i="20"/>
  <c r="C12" i="20"/>
  <c r="D11" i="20"/>
  <c r="C11" i="20"/>
  <c r="D8" i="20"/>
  <c r="D9" i="20" s="1"/>
  <c r="D10" i="20" s="1"/>
  <c r="D7" i="20"/>
  <c r="C7" i="20"/>
  <c r="C8" i="20" s="1"/>
  <c r="C9" i="20" s="1"/>
  <c r="C10" i="20" s="1"/>
  <c r="D6" i="20"/>
  <c r="C6" i="20"/>
  <c r="J5" i="20"/>
  <c r="D5" i="20"/>
  <c r="C5" i="20"/>
  <c r="B5" i="20"/>
  <c r="B6" i="20" s="1"/>
  <c r="T4" i="20"/>
  <c r="O4" i="20"/>
  <c r="O5" i="20" s="1"/>
  <c r="J4" i="20"/>
  <c r="W3" i="20"/>
  <c r="V3" i="20"/>
  <c r="U3" i="20"/>
  <c r="W2" i="20"/>
  <c r="V2" i="20"/>
  <c r="U2" i="20"/>
  <c r="BO1" i="20"/>
  <c r="AT1" i="20"/>
  <c r="Y1" i="20"/>
  <c r="W5" i="27" l="1"/>
  <c r="T6" i="27"/>
  <c r="V5" i="27"/>
  <c r="O6" i="27"/>
  <c r="J6" i="27"/>
  <c r="U5" i="27"/>
  <c r="B9" i="27"/>
  <c r="A9" i="27" s="1"/>
  <c r="T7" i="26"/>
  <c r="V5" i="26"/>
  <c r="O6" i="26"/>
  <c r="U5" i="26"/>
  <c r="J6" i="26"/>
  <c r="W6" i="26" s="1"/>
  <c r="B9" i="26"/>
  <c r="A9" i="26" s="1"/>
  <c r="W5" i="26"/>
  <c r="T8" i="23"/>
  <c r="O7" i="23"/>
  <c r="W5" i="23"/>
  <c r="U5" i="23"/>
  <c r="J6" i="23"/>
  <c r="V6" i="23" s="1"/>
  <c r="B7" i="23"/>
  <c r="A6" i="23"/>
  <c r="V4" i="22"/>
  <c r="W5" i="22"/>
  <c r="T6" i="22"/>
  <c r="B8" i="22"/>
  <c r="A8" i="22" s="1"/>
  <c r="A7" i="22"/>
  <c r="V5" i="22"/>
  <c r="O6" i="22"/>
  <c r="U5" i="22"/>
  <c r="U4" i="22"/>
  <c r="J6" i="22"/>
  <c r="W4" i="22"/>
  <c r="U13" i="21"/>
  <c r="V13" i="21"/>
  <c r="W13" i="21"/>
  <c r="W12" i="21"/>
  <c r="V12" i="21"/>
  <c r="U12" i="21"/>
  <c r="U11" i="21"/>
  <c r="W11" i="21"/>
  <c r="A5" i="21"/>
  <c r="U4" i="21"/>
  <c r="O6" i="21"/>
  <c r="A6" i="21"/>
  <c r="B7" i="21"/>
  <c r="A7" i="21" s="1"/>
  <c r="V4" i="21"/>
  <c r="T5" i="21"/>
  <c r="J6" i="21"/>
  <c r="A5" i="20"/>
  <c r="U4" i="20"/>
  <c r="V4" i="20"/>
  <c r="O6" i="20"/>
  <c r="A6" i="20"/>
  <c r="B7" i="20"/>
  <c r="J6" i="20"/>
  <c r="W4" i="20"/>
  <c r="T5" i="20"/>
  <c r="V5" i="20" s="1"/>
  <c r="W3" i="19"/>
  <c r="V3" i="19"/>
  <c r="U3" i="19"/>
  <c r="B10" i="27" l="1"/>
  <c r="A10" i="27" s="1"/>
  <c r="U6" i="27"/>
  <c r="J7" i="27"/>
  <c r="V6" i="27"/>
  <c r="O7" i="27"/>
  <c r="W6" i="27"/>
  <c r="T7" i="27"/>
  <c r="T8" i="26"/>
  <c r="V6" i="26"/>
  <c r="O7" i="26"/>
  <c r="B10" i="26"/>
  <c r="A10" i="26"/>
  <c r="U6" i="26"/>
  <c r="J7" i="26"/>
  <c r="W7" i="26" s="1"/>
  <c r="A7" i="23"/>
  <c r="T9" i="23"/>
  <c r="A8" i="23"/>
  <c r="B8" i="23"/>
  <c r="U6" i="23"/>
  <c r="J7" i="23"/>
  <c r="V7" i="23" s="1"/>
  <c r="W6" i="23"/>
  <c r="O8" i="23"/>
  <c r="U6" i="22"/>
  <c r="J7" i="22"/>
  <c r="V6" i="22"/>
  <c r="O7" i="22"/>
  <c r="W6" i="22"/>
  <c r="T7" i="22"/>
  <c r="B9" i="22"/>
  <c r="A9" i="22" s="1"/>
  <c r="W5" i="21"/>
  <c r="T6" i="21"/>
  <c r="B8" i="21"/>
  <c r="A8" i="21" s="1"/>
  <c r="U5" i="21"/>
  <c r="O7" i="21"/>
  <c r="J7" i="21"/>
  <c r="V5" i="21"/>
  <c r="U6" i="20"/>
  <c r="J7" i="20"/>
  <c r="B8" i="20"/>
  <c r="A7" i="20"/>
  <c r="O7" i="20"/>
  <c r="W5" i="20"/>
  <c r="T6" i="20"/>
  <c r="V6" i="20" s="1"/>
  <c r="U5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 s="1"/>
  <c r="T12" i="19"/>
  <c r="O12" i="19"/>
  <c r="J12" i="19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J10" i="19"/>
  <c r="U10" i="19" s="1"/>
  <c r="D10" i="19"/>
  <c r="C10" i="19"/>
  <c r="B10" i="19"/>
  <c r="A10" i="19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/>
  <c r="T6" i="19"/>
  <c r="W6" i="19" s="1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W7" i="27" l="1"/>
  <c r="T8" i="27"/>
  <c r="O8" i="27"/>
  <c r="V7" i="27"/>
  <c r="U7" i="27"/>
  <c r="J8" i="27"/>
  <c r="U7" i="26"/>
  <c r="J8" i="26"/>
  <c r="B11" i="26"/>
  <c r="O8" i="26"/>
  <c r="V7" i="26"/>
  <c r="W8" i="26"/>
  <c r="T9" i="26"/>
  <c r="O9" i="23"/>
  <c r="U7" i="23"/>
  <c r="J8" i="23"/>
  <c r="V8" i="23" s="1"/>
  <c r="W7" i="23"/>
  <c r="B9" i="23"/>
  <c r="A9" i="23"/>
  <c r="T10" i="23"/>
  <c r="U7" i="22"/>
  <c r="J8" i="22"/>
  <c r="B10" i="22"/>
  <c r="T8" i="22"/>
  <c r="W7" i="22"/>
  <c r="O8" i="22"/>
  <c r="V7" i="22"/>
  <c r="W6" i="21"/>
  <c r="T7" i="21"/>
  <c r="U6" i="21"/>
  <c r="O8" i="21"/>
  <c r="V7" i="21"/>
  <c r="U7" i="21"/>
  <c r="J8" i="21"/>
  <c r="V6" i="21"/>
  <c r="B9" i="21"/>
  <c r="A8" i="20"/>
  <c r="J8" i="20"/>
  <c r="O8" i="20"/>
  <c r="W6" i="20"/>
  <c r="T7" i="20"/>
  <c r="U7" i="20" s="1"/>
  <c r="B9" i="20"/>
  <c r="A9" i="20" s="1"/>
  <c r="U12" i="19"/>
  <c r="V12" i="19"/>
  <c r="W12" i="19"/>
  <c r="U11" i="19"/>
  <c r="V11" i="19"/>
  <c r="W11" i="19"/>
  <c r="V10" i="19"/>
  <c r="W10" i="19"/>
  <c r="V9" i="19"/>
  <c r="U9" i="19"/>
  <c r="W9" i="19"/>
  <c r="V8" i="19"/>
  <c r="U8" i="19"/>
  <c r="W8" i="19"/>
  <c r="W7" i="19"/>
  <c r="U7" i="19"/>
  <c r="V7" i="19"/>
  <c r="U6" i="19"/>
  <c r="V6" i="19"/>
  <c r="U4" i="19"/>
  <c r="V4" i="19"/>
  <c r="T5" i="19"/>
  <c r="W4" i="19"/>
  <c r="J5" i="19"/>
  <c r="O5" i="19"/>
  <c r="W8" i="27" l="1"/>
  <c r="T9" i="27"/>
  <c r="U8" i="27"/>
  <c r="J9" i="27"/>
  <c r="V8" i="27"/>
  <c r="O9" i="27"/>
  <c r="B12" i="26"/>
  <c r="A12" i="26" s="1"/>
  <c r="U8" i="26"/>
  <c r="J9" i="26"/>
  <c r="T10" i="26"/>
  <c r="V8" i="26"/>
  <c r="O9" i="26"/>
  <c r="A11" i="26"/>
  <c r="T11" i="23"/>
  <c r="O10" i="23"/>
  <c r="B10" i="23"/>
  <c r="U8" i="23"/>
  <c r="J9" i="23"/>
  <c r="V9" i="23" s="1"/>
  <c r="W8" i="23"/>
  <c r="U8" i="22"/>
  <c r="J9" i="22"/>
  <c r="B11" i="22"/>
  <c r="V8" i="22"/>
  <c r="O9" i="22"/>
  <c r="W8" i="22"/>
  <c r="T9" i="22"/>
  <c r="A10" i="22"/>
  <c r="B10" i="21"/>
  <c r="A10" i="21" s="1"/>
  <c r="O9" i="21"/>
  <c r="J9" i="21"/>
  <c r="A9" i="21"/>
  <c r="T8" i="21"/>
  <c r="U8" i="21" s="1"/>
  <c r="W7" i="21"/>
  <c r="J9" i="20"/>
  <c r="B10" i="20"/>
  <c r="A10" i="20" s="1"/>
  <c r="T8" i="20"/>
  <c r="U8" i="20" s="1"/>
  <c r="W7" i="20"/>
  <c r="V7" i="20"/>
  <c r="V8" i="20"/>
  <c r="O9" i="20"/>
  <c r="V5" i="19"/>
  <c r="U5" i="19"/>
  <c r="W5" i="19"/>
  <c r="W9" i="27" l="1"/>
  <c r="T10" i="27"/>
  <c r="V9" i="27"/>
  <c r="O10" i="27"/>
  <c r="U9" i="27"/>
  <c r="J10" i="27"/>
  <c r="T11" i="26"/>
  <c r="V9" i="26"/>
  <c r="O10" i="26"/>
  <c r="U9" i="26"/>
  <c r="J10" i="26"/>
  <c r="W9" i="26"/>
  <c r="B13" i="26"/>
  <c r="A13" i="26"/>
  <c r="U9" i="23"/>
  <c r="J10" i="23"/>
  <c r="W9" i="23"/>
  <c r="B11" i="23"/>
  <c r="A11" i="23" s="1"/>
  <c r="A10" i="23"/>
  <c r="O11" i="23"/>
  <c r="T12" i="23"/>
  <c r="W9" i="22"/>
  <c r="T10" i="22"/>
  <c r="B12" i="22"/>
  <c r="J10" i="22"/>
  <c r="U9" i="22"/>
  <c r="V9" i="22"/>
  <c r="O10" i="22"/>
  <c r="A11" i="22"/>
  <c r="V8" i="21"/>
  <c r="O10" i="21"/>
  <c r="W8" i="21"/>
  <c r="T9" i="21"/>
  <c r="U9" i="21" s="1"/>
  <c r="J10" i="21"/>
  <c r="W8" i="20"/>
  <c r="T9" i="20"/>
  <c r="V9" i="20"/>
  <c r="O10" i="20"/>
  <c r="B11" i="20"/>
  <c r="U9" i="20"/>
  <c r="J10" i="20"/>
  <c r="U10" i="27" l="1"/>
  <c r="V10" i="27"/>
  <c r="W10" i="27"/>
  <c r="W10" i="26"/>
  <c r="U10" i="26"/>
  <c r="J11" i="26"/>
  <c r="V10" i="26"/>
  <c r="O11" i="26"/>
  <c r="T12" i="26"/>
  <c r="V10" i="23"/>
  <c r="U10" i="23"/>
  <c r="J11" i="23"/>
  <c r="W10" i="23"/>
  <c r="O12" i="23"/>
  <c r="B12" i="23"/>
  <c r="A12" i="23" s="1"/>
  <c r="B13" i="22"/>
  <c r="A13" i="22" s="1"/>
  <c r="V10" i="22"/>
  <c r="O11" i="22"/>
  <c r="W10" i="22"/>
  <c r="T11" i="22"/>
  <c r="U10" i="22"/>
  <c r="J11" i="22"/>
  <c r="A12" i="22"/>
  <c r="V10" i="21"/>
  <c r="W9" i="21"/>
  <c r="T10" i="21"/>
  <c r="W10" i="21" s="1"/>
  <c r="V9" i="21"/>
  <c r="J11" i="20"/>
  <c r="B12" i="20"/>
  <c r="A12" i="20" s="1"/>
  <c r="O11" i="20"/>
  <c r="W9" i="20"/>
  <c r="T10" i="20"/>
  <c r="V10" i="20" s="1"/>
  <c r="A11" i="20"/>
  <c r="U11" i="26" l="1"/>
  <c r="J12" i="26"/>
  <c r="W12" i="26"/>
  <c r="T13" i="26"/>
  <c r="W11" i="26"/>
  <c r="O12" i="26"/>
  <c r="V11" i="26"/>
  <c r="U11" i="23"/>
  <c r="J12" i="23"/>
  <c r="V12" i="23" s="1"/>
  <c r="W11" i="23"/>
  <c r="V11" i="23"/>
  <c r="U11" i="22"/>
  <c r="J12" i="22"/>
  <c r="T12" i="22"/>
  <c r="W11" i="22"/>
  <c r="O12" i="22"/>
  <c r="V11" i="22"/>
  <c r="U10" i="21"/>
  <c r="U10" i="20"/>
  <c r="W10" i="20"/>
  <c r="T11" i="20"/>
  <c r="O12" i="20"/>
  <c r="V11" i="20"/>
  <c r="U11" i="20"/>
  <c r="J12" i="20"/>
  <c r="U12" i="26" l="1"/>
  <c r="J13" i="26"/>
  <c r="U13" i="26" s="1"/>
  <c r="V12" i="26"/>
  <c r="O13" i="26"/>
  <c r="W13" i="26"/>
  <c r="U12" i="23"/>
  <c r="W12" i="23"/>
  <c r="W12" i="22"/>
  <c r="T13" i="22"/>
  <c r="U12" i="22"/>
  <c r="J13" i="22"/>
  <c r="U13" i="22" s="1"/>
  <c r="V12" i="22"/>
  <c r="O13" i="22"/>
  <c r="T12" i="20"/>
  <c r="W12" i="20" s="1"/>
  <c r="W11" i="20"/>
  <c r="U12" i="20"/>
  <c r="V13" i="26" l="1"/>
  <c r="W13" i="22"/>
  <c r="V13" i="22"/>
  <c r="V12" i="20"/>
</calcChain>
</file>

<file path=xl/sharedStrings.xml><?xml version="1.0" encoding="utf-8"?>
<sst xmlns="http://schemas.openxmlformats.org/spreadsheetml/2006/main" count="1438" uniqueCount="216">
  <si>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</si>
  <si>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</si>
  <si>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</si>
  <si>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</si>
  <si>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</si>
  <si>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</si>
  <si>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</si>
  <si>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</si>
  <si>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</si>
  <si>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</si>
  <si>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</si>
  <si>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</si>
  <si>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</si>
  <si>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</si>
  <si>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</si>
  <si>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</si>
  <si>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</si>
  <si>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</si>
  <si>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</si>
  <si>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</si>
  <si>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</si>
  <si>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</si>
  <si>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</si>
  <si>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</si>
  <si>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</si>
  <si>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</si>
  <si>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</si>
  <si>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</si>
  <si>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</si>
  <si>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</si>
  <si>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</si>
  <si>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</si>
  <si>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</si>
  <si>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</si>
  <si>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</si>
  <si>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</si>
  <si>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</si>
  <si>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</si>
  <si>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</si>
  <si>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</si>
  <si>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</si>
  <si>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</si>
  <si>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</si>
  <si>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</si>
  <si>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</si>
  <si>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</si>
  <si>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</si>
  <si>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</si>
  <si>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</si>
  <si>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</si>
  <si>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</si>
  <si>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</si>
  <si>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</si>
  <si>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</si>
  <si>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</si>
  <si>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</si>
  <si>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</si>
  <si>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</si>
  <si>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</si>
  <si>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</si>
  <si>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</si>
  <si>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</si>
  <si>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</si>
  <si>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</si>
  <si>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</si>
  <si>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</si>
  <si>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</si>
  <si>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</si>
  <si>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</si>
  <si>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</si>
  <si>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</si>
  <si>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</si>
  <si>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</si>
  <si>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</si>
  <si>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</si>
  <si>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</si>
  <si>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</si>
  <si>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</si>
  <si>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</si>
  <si>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</si>
  <si>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</si>
  <si>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</si>
  <si>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</si>
  <si>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</si>
  <si>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</si>
  <si>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</si>
  <si>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</si>
  <si>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</si>
  <si>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</si>
  <si>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</si>
  <si>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</si>
  <si>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</si>
  <si>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</si>
  <si>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</si>
  <si>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</si>
  <si>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</si>
  <si>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</si>
  <si>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</si>
  <si>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</si>
  <si>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</si>
  <si>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</si>
  <si>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</si>
  <si>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</si>
  <si>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</si>
  <si>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</si>
  <si>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</si>
  <si>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</si>
  <si>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</si>
  <si>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</si>
  <si>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</si>
  <si>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</si>
  <si>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</si>
  <si>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</si>
  <si>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</si>
  <si>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</si>
  <si>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</si>
  <si>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</si>
  <si>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</si>
  <si>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</si>
  <si>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</si>
  <si>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</si>
  <si>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</si>
  <si>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</si>
  <si>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</si>
  <si>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</si>
  <si>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</si>
  <si>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</si>
  <si>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</si>
  <si>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</si>
  <si>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</si>
  <si>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</si>
  <si>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</si>
  <si>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</si>
  <si>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</si>
  <si>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</si>
  <si>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</si>
  <si>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</si>
  <si>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</si>
  <si>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</si>
  <si>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</si>
  <si>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</si>
  <si>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</si>
  <si>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</si>
  <si>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</si>
  <si>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</si>
  <si>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</si>
  <si>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</si>
  <si>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</si>
  <si>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</si>
  <si>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</si>
  <si>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</si>
  <si>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</si>
  <si>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</si>
  <si>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</si>
  <si>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</si>
  <si>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</si>
  <si>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</si>
  <si>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</si>
  <si>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</si>
  <si>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</si>
  <si>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</si>
  <si>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</si>
  <si>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</si>
  <si>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</si>
  <si>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</si>
  <si>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</si>
  <si>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</si>
  <si>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</si>
  <si>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</si>
  <si>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</si>
  <si>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</si>
  <si>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</si>
  <si>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</si>
  <si>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</si>
  <si>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</si>
  <si>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</si>
  <si>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</si>
  <si>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</si>
  <si>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</si>
  <si>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</si>
  <si>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</si>
  <si>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</si>
  <si>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</si>
  <si>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</si>
  <si>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</si>
  <si>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</si>
  <si>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</si>
  <si>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</si>
  <si>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</si>
  <si>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</si>
  <si>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</si>
  <si>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たかの</t>
  </si>
  <si>
    <t>たかの</t>
    <phoneticPr fontId="1"/>
  </si>
  <si>
    <t>だいち</t>
  </si>
  <si>
    <t>だいち</t>
    <phoneticPr fontId="1"/>
  </si>
  <si>
    <t>ただ</t>
  </si>
  <si>
    <t>ただ</t>
    <phoneticPr fontId="1"/>
  </si>
  <si>
    <t>ツモ</t>
  </si>
  <si>
    <t>ツモ支払</t>
  </si>
  <si>
    <t>放銃</t>
  </si>
  <si>
    <t>ロン</t>
  </si>
  <si>
    <t>01</t>
  </si>
  <si>
    <t>52</t>
  </si>
  <si>
    <t>N</t>
  </si>
  <si>
    <t>T</t>
  </si>
  <si>
    <t>流局</t>
    <phoneticPr fontId="1"/>
  </si>
  <si>
    <t>*</t>
  </si>
  <si>
    <t>02</t>
  </si>
  <si>
    <t>流局</t>
    <phoneticPr fontId="1"/>
  </si>
  <si>
    <t>れんたろう</t>
  </si>
  <si>
    <t>れんたろう</t>
    <phoneticPr fontId="1"/>
  </si>
  <si>
    <t>チョンボ</t>
  </si>
  <si>
    <t>まっつん</t>
  </si>
  <si>
    <t>まっつん</t>
    <phoneticPr fontId="1"/>
  </si>
  <si>
    <t>りくと</t>
  </si>
  <si>
    <t>りくと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</si>
</sst>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4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194</v>
      </c>
      <c r="L1" s="78"/>
      <c r="M1" s="78"/>
      <c r="N1" s="79"/>
      <c r="O1" s="80"/>
      <c r="P1" s="77" t="s">
        <v>196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たかの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だいち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ただ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だいち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2200</v>
      </c>
      <c r="H4" s="9"/>
      <c r="I4" s="48">
        <v>0</v>
      </c>
      <c r="J4" s="21">
        <f>IF(COUNTA($F4,$K4,$P4)&gt;0,J3+SUM(G4:I4),"")</f>
        <v>37200</v>
      </c>
      <c r="K4" s="8" t="s">
        <v>198</v>
      </c>
      <c r="L4" s="9">
        <v>-1100</v>
      </c>
      <c r="M4" s="9"/>
      <c r="N4" s="48">
        <v>0</v>
      </c>
      <c r="O4" s="21">
        <f>IF(COUNTA($F4,$K4,$P4)&gt;0,O3+SUM(L4:N4),"")</f>
        <v>33900</v>
      </c>
      <c r="P4" s="8" t="s">
        <v>198</v>
      </c>
      <c r="Q4" s="9">
        <v>-1100</v>
      </c>
      <c r="R4" s="9"/>
      <c r="S4" s="48">
        <v>0</v>
      </c>
      <c r="T4" s="21">
        <f>IF(COUNTA($F4,$K4,$P4)&gt;0,T3+SUM(Q4:S4),"")</f>
        <v>33900</v>
      </c>
      <c r="U4" s="53">
        <f>IF($J4="","",ROUND(($J4-$J$3)/1000,1)+(_xlfn.RANK.AVG($J4,($J4,$O4,$T4),1)-2)*10)</f>
        <v>12.2</v>
      </c>
      <c r="V4" s="54">
        <f>IF($O4="","",ROUND(($O4-$O$3)/1000,1)+(_xlfn.RANK.AVG($O4,($J4,$O4,$T4),1)-2)*10)</f>
        <v>-6.1</v>
      </c>
      <c r="W4" s="55">
        <f>IF($T4="","",ROUND(($T4-$T$3)/1000,1)+(_xlfn.RANK.AVG($T4,($J4,$O4,$T4),1)-2)*10)</f>
        <v>-6.1</v>
      </c>
      <c r="Y4" s="8"/>
      <c r="Z4" s="34"/>
      <c r="AA4" s="26"/>
      <c r="AB4" s="26">
        <v>1</v>
      </c>
      <c r="AC4" s="26">
        <v>1</v>
      </c>
      <c r="AD4" s="30">
        <v>40</v>
      </c>
      <c r="AE4" s="40" t="s">
        <v>86</v>
      </c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/>
      <c r="G5" s="9"/>
      <c r="H5" s="9"/>
      <c r="I5" s="48"/>
      <c r="J5" s="21">
        <f t="shared" ref="J5:J30" si="2">IF(COUNTA($F5,$K5,$P5)&gt;0,J4+SUM(G5:I5),"")</f>
        <v>37200</v>
      </c>
      <c r="K5" s="8" t="s">
        <v>199</v>
      </c>
      <c r="L5" s="9">
        <v>-5200</v>
      </c>
      <c r="M5" s="9"/>
      <c r="N5" s="48">
        <v>-1000</v>
      </c>
      <c r="O5" s="21">
        <f t="shared" ref="O5:O30" si="3">IF(COUNTA($F5,$K5,$P5)&gt;0,O4+SUM(L5:N5),"")</f>
        <v>27700</v>
      </c>
      <c r="P5" s="8" t="s">
        <v>200</v>
      </c>
      <c r="Q5" s="9">
        <v>5200</v>
      </c>
      <c r="R5" s="9"/>
      <c r="S5" s="48">
        <v>1000</v>
      </c>
      <c r="T5" s="21">
        <f t="shared" ref="T5:T30" si="4">IF(COUNTA($F5,$K5,$P5)&gt;0,T4+SUM(Q5:S5),"")</f>
        <v>40100</v>
      </c>
      <c r="U5" s="53">
        <f>IF($J5="","",ROUND(($J5-$J$3)/1000,1)+(_xlfn.RANK.AVG($J5,($J5,$O5,$T5),1)-2)*10)</f>
        <v>2.2000000000000002</v>
      </c>
      <c r="V5" s="54">
        <f>IF($O5="","",ROUND(($O5-$O$3)/1000,1)+(_xlfn.RANK.AVG($O5,($J5,$O5,$T5),1)-2)*10)</f>
        <v>-17.3</v>
      </c>
      <c r="W5" s="55">
        <f>IF($T5="","",ROUND(($T5-$T$3)/1000,1)+(_xlfn.RANK.AVG($T5,($J5,$O5,$T5),1)-2)*10)</f>
        <v>15.1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40</v>
      </c>
      <c r="BU5" s="40" t="s">
        <v>201</v>
      </c>
      <c r="BV5" s="41" t="s">
        <v>202</v>
      </c>
      <c r="BW5" s="41" t="s">
        <v>80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199</v>
      </c>
      <c r="G6" s="9">
        <v>-1300</v>
      </c>
      <c r="H6" s="9"/>
      <c r="I6" s="48">
        <v>0</v>
      </c>
      <c r="J6" s="21">
        <f t="shared" si="2"/>
        <v>35900</v>
      </c>
      <c r="K6" s="8"/>
      <c r="L6" s="9"/>
      <c r="M6" s="9"/>
      <c r="N6" s="48"/>
      <c r="O6" s="21">
        <f t="shared" si="3"/>
        <v>27700</v>
      </c>
      <c r="P6" s="8" t="s">
        <v>200</v>
      </c>
      <c r="Q6" s="9">
        <v>1300</v>
      </c>
      <c r="R6" s="9"/>
      <c r="S6" s="48">
        <v>0</v>
      </c>
      <c r="T6" s="21">
        <f t="shared" si="4"/>
        <v>41400</v>
      </c>
      <c r="U6" s="53">
        <f>IF($J6="","",ROUND(($J6-$J$3)/1000,1)+(_xlfn.RANK.AVG($J6,($J6,$O6,$T6),1)-2)*10)</f>
        <v>0.9</v>
      </c>
      <c r="V6" s="54">
        <f>IF($O6="","",ROUND(($O6-$O$3)/1000,1)+(_xlfn.RANK.AVG($O6,($J6,$O6,$T6),1)-2)*10)</f>
        <v>-17.3</v>
      </c>
      <c r="W6" s="55">
        <f>IF($T6="","",ROUND(($T6-$T$3)/1000,1)+(_xlfn.RANK.AVG($T6,($J6,$O6,$T6),1)-2)*10)</f>
        <v>16.399999999999999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1</v>
      </c>
      <c r="BT6" s="30">
        <v>40</v>
      </c>
      <c r="BU6" s="40" t="s">
        <v>201</v>
      </c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195</v>
      </c>
      <c r="F7" s="8"/>
      <c r="G7" s="9"/>
      <c r="H7" s="9"/>
      <c r="I7" s="48"/>
      <c r="J7" s="21">
        <f t="shared" si="2"/>
        <v>35900</v>
      </c>
      <c r="K7" s="8" t="s">
        <v>199</v>
      </c>
      <c r="L7" s="9">
        <v>-7700</v>
      </c>
      <c r="M7" s="9"/>
      <c r="N7" s="48">
        <v>0</v>
      </c>
      <c r="O7" s="21">
        <f t="shared" si="3"/>
        <v>20000</v>
      </c>
      <c r="P7" s="8" t="s">
        <v>200</v>
      </c>
      <c r="Q7" s="9">
        <v>7700</v>
      </c>
      <c r="R7" s="9"/>
      <c r="S7" s="48">
        <v>0</v>
      </c>
      <c r="T7" s="21">
        <f t="shared" si="4"/>
        <v>49100</v>
      </c>
      <c r="U7" s="53">
        <f>IF($J7="","",ROUND(($J7-$J$3)/1000,1)+(_xlfn.RANK.AVG($J7,($J7,$O7,$T7),1)-2)*10)</f>
        <v>0.9</v>
      </c>
      <c r="V7" s="54">
        <f>IF($O7="","",ROUND(($O7-$O$3)/1000,1)+(_xlfn.RANK.AVG($O7,($J7,$O7,$T7),1)-2)*10)</f>
        <v>-25</v>
      </c>
      <c r="W7" s="55">
        <f>IF($T7="","",ROUND(($T7-$T$3)/1000,1)+(_xlfn.RANK.AVG($T7,($J7,$O7,$T7),1)-2)*10)</f>
        <v>24.1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3</v>
      </c>
      <c r="BT7" s="30">
        <v>40</v>
      </c>
      <c r="BU7" s="40" t="s">
        <v>86</v>
      </c>
      <c r="BV7" s="41" t="s">
        <v>79</v>
      </c>
      <c r="BW7" s="41" t="s">
        <v>79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195</v>
      </c>
      <c r="F8" s="8" t="s">
        <v>205</v>
      </c>
      <c r="G8" s="9">
        <v>-1500</v>
      </c>
      <c r="H8" s="9"/>
      <c r="I8" s="48"/>
      <c r="J8" s="21">
        <f t="shared" si="2"/>
        <v>34400</v>
      </c>
      <c r="K8" s="8" t="s">
        <v>205</v>
      </c>
      <c r="L8" s="9">
        <v>-1500</v>
      </c>
      <c r="M8" s="9"/>
      <c r="N8" s="48"/>
      <c r="O8" s="21">
        <f t="shared" si="3"/>
        <v>18500</v>
      </c>
      <c r="P8" s="8" t="s">
        <v>205</v>
      </c>
      <c r="Q8" s="9">
        <v>3000</v>
      </c>
      <c r="R8" s="9">
        <v>-1000</v>
      </c>
      <c r="S8" s="48"/>
      <c r="T8" s="21">
        <f t="shared" si="4"/>
        <v>51100</v>
      </c>
      <c r="U8" s="53">
        <f>IF($J8="","",ROUND(($J8-$J$3)/1000,1)+(_xlfn.RANK.AVG($J8,($J8,$O8,$T8),1)-2)*10)</f>
        <v>-0.6</v>
      </c>
      <c r="V8" s="54">
        <f>IF($O8="","",ROUND(($O8-$O$3)/1000,1)+(_xlfn.RANK.AVG($O8,($J8,$O8,$T8),1)-2)*10)</f>
        <v>-26.5</v>
      </c>
      <c r="W8" s="55">
        <f>IF($T8="","",ROUND(($T8-$T$3)/1000,1)+(_xlfn.RANK.AVG($T8,($J8,$O8,$T8),1)-2)*10)</f>
        <v>26.1</v>
      </c>
      <c r="Y8" s="8" t="s">
        <v>203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203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204</v>
      </c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2</v>
      </c>
      <c r="D9" s="18">
        <f t="shared" si="1"/>
        <v>1</v>
      </c>
      <c r="E9" s="4" t="s">
        <v>195</v>
      </c>
      <c r="F9" s="8" t="s">
        <v>205</v>
      </c>
      <c r="G9" s="9">
        <v>1500</v>
      </c>
      <c r="H9" s="9">
        <v>-1000</v>
      </c>
      <c r="I9" s="48"/>
      <c r="J9" s="21">
        <f t="shared" si="2"/>
        <v>34900</v>
      </c>
      <c r="K9" s="8" t="s">
        <v>205</v>
      </c>
      <c r="L9" s="9">
        <v>1500</v>
      </c>
      <c r="M9" s="9"/>
      <c r="N9" s="48"/>
      <c r="O9" s="21">
        <f t="shared" si="3"/>
        <v>20000</v>
      </c>
      <c r="P9" s="8" t="s">
        <v>205</v>
      </c>
      <c r="Q9" s="9">
        <v>-3000</v>
      </c>
      <c r="R9" s="9"/>
      <c r="S9" s="48"/>
      <c r="T9" s="21">
        <f t="shared" si="4"/>
        <v>48100</v>
      </c>
      <c r="U9" s="53">
        <f>IF($J9="","",ROUND(($J9-$J$3)/1000,1)+(_xlfn.RANK.AVG($J9,($J9,$O9,$T9),1)-2)*10)</f>
        <v>-0.1</v>
      </c>
      <c r="V9" s="54">
        <f>IF($O9="","",ROUND(($O9-$O$3)/1000,1)+(_xlfn.RANK.AVG($O9,($J9,$O9,$T9),1)-2)*10)</f>
        <v>-25</v>
      </c>
      <c r="W9" s="55">
        <f>IF($T9="","",ROUND(($T9-$T$3)/1000,1)+(_xlfn.RANK.AVG($T9,($J9,$O9,$T9),1)-2)*10)</f>
        <v>23.1</v>
      </c>
      <c r="Y9" s="8" t="s">
        <v>204</v>
      </c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204</v>
      </c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203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3</v>
      </c>
      <c r="D10" s="18">
        <f t="shared" si="1"/>
        <v>2</v>
      </c>
      <c r="E10" s="4" t="s">
        <v>191</v>
      </c>
      <c r="F10" s="8" t="s">
        <v>199</v>
      </c>
      <c r="G10" s="9">
        <v>-12000</v>
      </c>
      <c r="H10" s="9"/>
      <c r="I10" s="48">
        <v>-3000</v>
      </c>
      <c r="J10" s="21">
        <f t="shared" si="2"/>
        <v>19900</v>
      </c>
      <c r="K10" s="8"/>
      <c r="L10" s="9"/>
      <c r="M10" s="9"/>
      <c r="N10" s="48"/>
      <c r="O10" s="21">
        <f t="shared" si="3"/>
        <v>20000</v>
      </c>
      <c r="P10" s="8" t="s">
        <v>200</v>
      </c>
      <c r="Q10" s="9">
        <v>12000</v>
      </c>
      <c r="R10" s="9">
        <v>2000</v>
      </c>
      <c r="S10" s="48">
        <v>3000</v>
      </c>
      <c r="T10" s="21">
        <f t="shared" si="4"/>
        <v>65100</v>
      </c>
      <c r="U10" s="53">
        <f>IF($J10="","",ROUND(($J10-$J$3)/1000,1)+(_xlfn.RANK.AVG($J10,($J10,$O10,$T10),1)-2)*10)</f>
        <v>-25.1</v>
      </c>
      <c r="V10" s="54">
        <f>IF($O10="","",ROUND(($O10-$O$3)/1000,1)+(_xlfn.RANK.AVG($O10,($J10,$O10,$T10),1)-2)*10)</f>
        <v>-15</v>
      </c>
      <c r="W10" s="55">
        <f>IF($T10="","",ROUND(($T10-$T$3)/1000,1)+(_xlfn.RANK.AVG($T10,($J10,$O10,$T10),1)-2)*10)</f>
        <v>40.1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6</v>
      </c>
      <c r="BT10" s="30" t="s">
        <v>206</v>
      </c>
      <c r="BU10" s="40" t="s">
        <v>98</v>
      </c>
      <c r="BV10" s="41" t="s">
        <v>79</v>
      </c>
      <c r="BW10" s="41" t="s">
        <v>79</v>
      </c>
      <c r="BX10" s="41" t="s">
        <v>79</v>
      </c>
      <c r="BY10" s="41" t="s">
        <v>86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193</v>
      </c>
      <c r="F11" s="8" t="s">
        <v>200</v>
      </c>
      <c r="G11" s="9">
        <v>12000</v>
      </c>
      <c r="H11" s="9">
        <v>1000</v>
      </c>
      <c r="I11" s="48">
        <v>0</v>
      </c>
      <c r="J11" s="21">
        <f t="shared" si="2"/>
        <v>32900</v>
      </c>
      <c r="K11" s="8"/>
      <c r="L11" s="9"/>
      <c r="M11" s="9"/>
      <c r="N11" s="48"/>
      <c r="O11" s="21">
        <f t="shared" si="3"/>
        <v>20000</v>
      </c>
      <c r="P11" s="8" t="s">
        <v>199</v>
      </c>
      <c r="Q11" s="9">
        <v>-12000</v>
      </c>
      <c r="R11" s="9">
        <v>-1000</v>
      </c>
      <c r="S11" s="48">
        <v>0</v>
      </c>
      <c r="T11" s="21">
        <f t="shared" si="4"/>
        <v>52100</v>
      </c>
      <c r="U11" s="53">
        <f>IF($J11="","",ROUND(($J11-$J$3)/1000,1)+(_xlfn.RANK.AVG($J11,($J11,$O11,$T11),1)-2)*10)</f>
        <v>-2.1</v>
      </c>
      <c r="V11" s="54">
        <f>IF($O11="","",ROUND(($O11-$O$3)/1000,1)+(_xlfn.RANK.AVG($O11,($J11,$O11,$T11),1)-2)*10)</f>
        <v>-25</v>
      </c>
      <c r="W11" s="55">
        <f>IF($T11="","",ROUND(($T11-$T$3)/1000,1)+(_xlfn.RANK.AVG($T11,($J11,$O11,$T11),1)-2)*10)</f>
        <v>27.1</v>
      </c>
      <c r="Y11" s="8"/>
      <c r="Z11" s="34"/>
      <c r="AA11" s="26"/>
      <c r="AB11" s="26">
        <v>1</v>
      </c>
      <c r="AC11" s="26">
        <v>6</v>
      </c>
      <c r="AD11" s="30" t="s">
        <v>206</v>
      </c>
      <c r="AE11" s="40" t="s">
        <v>98</v>
      </c>
      <c r="AF11" s="41" t="s">
        <v>86</v>
      </c>
      <c r="AG11" s="41" t="s">
        <v>86</v>
      </c>
      <c r="AH11" s="41" t="s">
        <v>104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195</v>
      </c>
      <c r="F12" s="8" t="s">
        <v>205</v>
      </c>
      <c r="G12" s="9">
        <v>0</v>
      </c>
      <c r="H12" s="9"/>
      <c r="I12" s="48"/>
      <c r="J12" s="21">
        <f t="shared" si="2"/>
        <v>32900</v>
      </c>
      <c r="K12" s="8" t="s">
        <v>205</v>
      </c>
      <c r="L12" s="9">
        <v>0</v>
      </c>
      <c r="M12" s="9">
        <v>-1000</v>
      </c>
      <c r="N12" s="48"/>
      <c r="O12" s="21">
        <f t="shared" si="3"/>
        <v>19000</v>
      </c>
      <c r="P12" s="8" t="s">
        <v>205</v>
      </c>
      <c r="Q12" s="9">
        <v>0</v>
      </c>
      <c r="R12" s="9">
        <v>1000</v>
      </c>
      <c r="S12" s="48"/>
      <c r="T12" s="21">
        <f t="shared" si="4"/>
        <v>53100</v>
      </c>
      <c r="U12" s="53">
        <f>IF($J12="","",ROUND(($J12-$J$3)/1000,1)+(_xlfn.RANK.AVG($J12,($J12,$O12,$T12),1)-2)*10)</f>
        <v>-2.1</v>
      </c>
      <c r="V12" s="54">
        <f>IF($O12="","",ROUND(($O12-$O$3)/1000,1)+(_xlfn.RANK.AVG($O12,($J12,$O12,$T12),1)-2)*10)</f>
        <v>-26</v>
      </c>
      <c r="W12" s="55">
        <f>IF($T12="","",ROUND(($T12-$T$3)/1000,1)+(_xlfn.RANK.AVG($T12,($J12,$O12,$T12),1)-2)*10)</f>
        <v>28.1</v>
      </c>
      <c r="Y12" s="8" t="s">
        <v>204</v>
      </c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204</v>
      </c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204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4" priority="5">
      <formula>IF(G4&lt;&gt;"",SUM($G4:$I4,$L4:$N4,$Q4:$S4)-$D4*1000+$D5*1000)</formula>
    </cfRule>
  </conditionalFormatting>
  <conditionalFormatting sqref="F1:G1 I1:L1 S1:T1 N1:Q1">
    <cfRule type="duplicateValues" dxfId="43" priority="4"/>
  </conditionalFormatting>
  <conditionalFormatting sqref="H1">
    <cfRule type="duplicateValues" dxfId="42" priority="3"/>
  </conditionalFormatting>
  <conditionalFormatting sqref="R1">
    <cfRule type="duplicateValues" dxfId="41" priority="2"/>
  </conditionalFormatting>
  <conditionalFormatting sqref="M1">
    <cfRule type="duplicateValues" dxfId="4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AFDA29D2-BAD1-4B28-9F71-A6CA4ACDAA67}">
      <formula1>"だいち,まっつん,ただ,りくと,れんたろう,のり,ぱぱ,たかの,いっしー,"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B12DB-DB48-4A9E-AF63-E7F1113F331E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194</v>
      </c>
      <c r="L1" s="78"/>
      <c r="M1" s="78"/>
      <c r="N1" s="79"/>
      <c r="O1" s="80"/>
      <c r="P1" s="77" t="s">
        <v>196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たかの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だいち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ただ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たかの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198</v>
      </c>
      <c r="G4" s="9">
        <v>-800</v>
      </c>
      <c r="H4" s="9"/>
      <c r="I4" s="48">
        <v>0</v>
      </c>
      <c r="J4" s="21">
        <f>IF(COUNTA($F4,$K4,$P4)&gt;0,J3+SUM(G4:I4),"")</f>
        <v>34200</v>
      </c>
      <c r="K4" s="8" t="s">
        <v>197</v>
      </c>
      <c r="L4" s="9">
        <v>1600</v>
      </c>
      <c r="M4" s="9">
        <v>1000</v>
      </c>
      <c r="N4" s="48">
        <v>0</v>
      </c>
      <c r="O4" s="21">
        <f>IF(COUNTA($F4,$K4,$P4)&gt;0,O3+SUM(L4:N4),"")</f>
        <v>37600</v>
      </c>
      <c r="P4" s="8" t="s">
        <v>198</v>
      </c>
      <c r="Q4" s="9">
        <v>-800</v>
      </c>
      <c r="R4" s="9">
        <v>-1000</v>
      </c>
      <c r="S4" s="48">
        <v>0</v>
      </c>
      <c r="T4" s="21">
        <f>IF(COUNTA($F4,$K4,$P4)&gt;0,T3+SUM(Q4:S4),"")</f>
        <v>33200</v>
      </c>
      <c r="U4" s="53">
        <f>IF($J4="","",ROUND(($J4-$J$3)/1000,1)+(_xlfn.RANK.AVG($J4,($J4,$O4,$T4),1)-2)*10)</f>
        <v>-0.8</v>
      </c>
      <c r="V4" s="54">
        <f>IF($O4="","",ROUND(($O4-$O$3)/1000,1)+(_xlfn.RANK.AVG($O4,($J4,$O4,$T4),1)-2)*10)</f>
        <v>12.6</v>
      </c>
      <c r="W4" s="55">
        <f>IF($T4="","",ROUND(($T4-$T$3)/1000,1)+(_xlfn.RANK.AVG($T4,($J4,$O4,$T4),1)-2)*10)</f>
        <v>-11.8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1</v>
      </c>
      <c r="AY4" s="30">
        <v>30</v>
      </c>
      <c r="AZ4" s="40" t="s">
        <v>86</v>
      </c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/>
      <c r="G5" s="9"/>
      <c r="H5" s="9"/>
      <c r="I5" s="48"/>
      <c r="J5" s="21">
        <f t="shared" ref="J5:J30" si="2">IF(COUNTA($F5,$K5,$P5)&gt;0,J4+SUM(G5:I5),"")</f>
        <v>34200</v>
      </c>
      <c r="K5" s="8" t="s">
        <v>199</v>
      </c>
      <c r="L5" s="9">
        <v>-5200</v>
      </c>
      <c r="M5" s="9"/>
      <c r="N5" s="48">
        <v>-1000</v>
      </c>
      <c r="O5" s="21">
        <f t="shared" ref="O5:O30" si="3">IF(COUNTA($F5,$K5,$P5)&gt;0,O4+SUM(L5:N5),"")</f>
        <v>31400</v>
      </c>
      <c r="P5" s="8" t="s">
        <v>200</v>
      </c>
      <c r="Q5" s="9">
        <v>5200</v>
      </c>
      <c r="R5" s="9"/>
      <c r="S5" s="48">
        <v>1000</v>
      </c>
      <c r="T5" s="21">
        <f t="shared" ref="T5:T30" si="4">IF(COUNTA($F5,$K5,$P5)&gt;0,T4+SUM(Q5:S5),"")</f>
        <v>39400</v>
      </c>
      <c r="U5" s="53">
        <f>IF($J5="","",ROUND(($J5-$J$3)/1000,1)+(_xlfn.RANK.AVG($J5,($J5,$O5,$T5),1)-2)*10)</f>
        <v>-0.8</v>
      </c>
      <c r="V5" s="54">
        <f>IF($O5="","",ROUND(($O5-$O$3)/1000,1)+(_xlfn.RANK.AVG($O5,($J5,$O5,$T5),1)-2)*10)</f>
        <v>-13.6</v>
      </c>
      <c r="W5" s="55">
        <f>IF($T5="","",ROUND(($T5-$T$3)/1000,1)+(_xlfn.RANK.AVG($T5,($J5,$O5,$T5),1)-2)*10)</f>
        <v>14.4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40</v>
      </c>
      <c r="BU5" s="40" t="s">
        <v>201</v>
      </c>
      <c r="BV5" s="41" t="s">
        <v>207</v>
      </c>
      <c r="BW5" s="41" t="s">
        <v>202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200</v>
      </c>
      <c r="G6" s="9">
        <v>3900</v>
      </c>
      <c r="H6" s="9"/>
      <c r="I6" s="48">
        <v>0</v>
      </c>
      <c r="J6" s="21">
        <f t="shared" si="2"/>
        <v>38100</v>
      </c>
      <c r="K6" s="8"/>
      <c r="L6" s="9"/>
      <c r="M6" s="9"/>
      <c r="N6" s="48"/>
      <c r="O6" s="21">
        <f t="shared" si="3"/>
        <v>31400</v>
      </c>
      <c r="P6" s="8" t="s">
        <v>199</v>
      </c>
      <c r="Q6" s="9">
        <v>-3900</v>
      </c>
      <c r="R6" s="9"/>
      <c r="S6" s="48">
        <v>0</v>
      </c>
      <c r="T6" s="21">
        <f t="shared" si="4"/>
        <v>35500</v>
      </c>
      <c r="U6" s="53">
        <f>IF($J6="","",ROUND(($J6-$J$3)/1000,1)+(_xlfn.RANK.AVG($J6,($J6,$O6,$T6),1)-2)*10)</f>
        <v>13.1</v>
      </c>
      <c r="V6" s="54">
        <f>IF($O6="","",ROUND(($O6-$O$3)/1000,1)+(_xlfn.RANK.AVG($O6,($J6,$O6,$T6),1)-2)*10)</f>
        <v>-13.6</v>
      </c>
      <c r="W6" s="55">
        <f>IF($T6="","",ROUND(($T6-$T$3)/1000,1)+(_xlfn.RANK.AVG($T6,($J6,$O6,$T6),1)-2)*10)</f>
        <v>0.5</v>
      </c>
      <c r="Y6" s="8"/>
      <c r="Z6" s="34"/>
      <c r="AA6" s="26"/>
      <c r="AB6" s="26"/>
      <c r="AC6" s="26">
        <v>3</v>
      </c>
      <c r="AD6" s="30">
        <v>30</v>
      </c>
      <c r="AE6" s="40" t="s">
        <v>85</v>
      </c>
      <c r="AF6" s="41" t="s">
        <v>84</v>
      </c>
      <c r="AG6" s="41" t="s">
        <v>83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198</v>
      </c>
      <c r="G7" s="9">
        <v>-4800</v>
      </c>
      <c r="H7" s="9"/>
      <c r="I7" s="48">
        <v>0</v>
      </c>
      <c r="J7" s="21">
        <f t="shared" si="2"/>
        <v>33300</v>
      </c>
      <c r="K7" s="8" t="s">
        <v>198</v>
      </c>
      <c r="L7" s="9">
        <v>-2900</v>
      </c>
      <c r="M7" s="9"/>
      <c r="N7" s="48">
        <v>0</v>
      </c>
      <c r="O7" s="21">
        <f t="shared" si="3"/>
        <v>28500</v>
      </c>
      <c r="P7" s="8" t="s">
        <v>197</v>
      </c>
      <c r="Q7" s="9">
        <v>7700</v>
      </c>
      <c r="R7" s="9"/>
      <c r="S7" s="48">
        <v>0</v>
      </c>
      <c r="T7" s="21">
        <f t="shared" si="4"/>
        <v>43200</v>
      </c>
      <c r="U7" s="53">
        <f>IF($J7="","",ROUND(($J7-$J$3)/1000,1)+(_xlfn.RANK.AVG($J7,($J7,$O7,$T7),1)-2)*10)</f>
        <v>-1.7</v>
      </c>
      <c r="V7" s="54">
        <f>IF($O7="","",ROUND(($O7-$O$3)/1000,1)+(_xlfn.RANK.AVG($O7,($J7,$O7,$T7),1)-2)*10)</f>
        <v>-16.5</v>
      </c>
      <c r="W7" s="55">
        <f>IF($T7="","",ROUND(($T7-$T$3)/1000,1)+(_xlfn.RANK.AVG($T7,($J7,$O7,$T7),1)-2)*10)</f>
        <v>18.2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4</v>
      </c>
      <c r="BT7" s="30">
        <v>30</v>
      </c>
      <c r="BU7" s="40" t="s">
        <v>104</v>
      </c>
      <c r="BV7" s="41" t="s">
        <v>202</v>
      </c>
      <c r="BW7" s="41" t="s">
        <v>79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197</v>
      </c>
      <c r="G8" s="9">
        <v>12000</v>
      </c>
      <c r="H8" s="9"/>
      <c r="I8" s="48">
        <v>0</v>
      </c>
      <c r="J8" s="21">
        <f t="shared" si="2"/>
        <v>45300</v>
      </c>
      <c r="K8" s="8" t="s">
        <v>198</v>
      </c>
      <c r="L8" s="9">
        <v>-7500</v>
      </c>
      <c r="M8" s="9"/>
      <c r="N8" s="48">
        <v>0</v>
      </c>
      <c r="O8" s="21">
        <f t="shared" si="3"/>
        <v>21000</v>
      </c>
      <c r="P8" s="8" t="s">
        <v>198</v>
      </c>
      <c r="Q8" s="9">
        <v>-4500</v>
      </c>
      <c r="R8" s="9"/>
      <c r="S8" s="48">
        <v>0</v>
      </c>
      <c r="T8" s="21">
        <f t="shared" si="4"/>
        <v>38700</v>
      </c>
      <c r="U8" s="53">
        <f>IF($J8="","",ROUND(($J8-$J$3)/1000,1)+(_xlfn.RANK.AVG($J8,($J8,$O8,$T8),1)-2)*10)</f>
        <v>20.3</v>
      </c>
      <c r="V8" s="54">
        <f>IF($O8="","",ROUND(($O8-$O$3)/1000,1)+(_xlfn.RANK.AVG($O8,($J8,$O8,$T8),1)-2)*10)</f>
        <v>-24</v>
      </c>
      <c r="W8" s="55">
        <f>IF($T8="","",ROUND(($T8-$T$3)/1000,1)+(_xlfn.RANK.AVG($T8,($J8,$O8,$T8),1)-2)*10)</f>
        <v>3.7</v>
      </c>
      <c r="Y8" s="8"/>
      <c r="Z8" s="34"/>
      <c r="AA8" s="26">
        <v>1</v>
      </c>
      <c r="AB8" s="26"/>
      <c r="AC8" s="26">
        <v>7</v>
      </c>
      <c r="AD8" s="30" t="s">
        <v>206</v>
      </c>
      <c r="AE8" s="40" t="s">
        <v>201</v>
      </c>
      <c r="AF8" s="41" t="s">
        <v>82</v>
      </c>
      <c r="AG8" s="41" t="s">
        <v>207</v>
      </c>
      <c r="AH8" s="41" t="s">
        <v>79</v>
      </c>
      <c r="AI8" s="41" t="s">
        <v>79</v>
      </c>
      <c r="AJ8" s="41" t="s">
        <v>96</v>
      </c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208</v>
      </c>
      <c r="G9" s="9">
        <v>-1500</v>
      </c>
      <c r="H9" s="9"/>
      <c r="I9" s="48"/>
      <c r="J9" s="21">
        <f t="shared" si="2"/>
        <v>43800</v>
      </c>
      <c r="K9" s="8" t="s">
        <v>208</v>
      </c>
      <c r="L9" s="9">
        <v>3000</v>
      </c>
      <c r="M9" s="9">
        <v>-1000</v>
      </c>
      <c r="N9" s="48"/>
      <c r="O9" s="21">
        <f t="shared" si="3"/>
        <v>23000</v>
      </c>
      <c r="P9" s="8" t="s">
        <v>208</v>
      </c>
      <c r="Q9" s="9">
        <v>-1500</v>
      </c>
      <c r="R9" s="9"/>
      <c r="S9" s="48"/>
      <c r="T9" s="21">
        <f t="shared" si="4"/>
        <v>37200</v>
      </c>
      <c r="U9" s="53">
        <f>IF($J9="","",ROUND(($J9-$J$3)/1000,1)+(_xlfn.RANK.AVG($J9,($J9,$O9,$T9),1)-2)*10)</f>
        <v>18.8</v>
      </c>
      <c r="V9" s="54">
        <f>IF($O9="","",ROUND(($O9-$O$3)/1000,1)+(_xlfn.RANK.AVG($O9,($J9,$O9,$T9),1)-2)*10)</f>
        <v>-22</v>
      </c>
      <c r="W9" s="55">
        <f>IF($T9="","",ROUND(($T9-$T$3)/1000,1)+(_xlfn.RANK.AVG($T9,($J9,$O9,$T9),1)-2)*10)</f>
        <v>2.2000000000000002</v>
      </c>
      <c r="Y9" s="8" t="s">
        <v>203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204</v>
      </c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203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1</v>
      </c>
      <c r="D10" s="18">
        <f t="shared" si="1"/>
        <v>1</v>
      </c>
      <c r="E10" s="4" t="s">
        <v>191</v>
      </c>
      <c r="F10" s="8" t="s">
        <v>198</v>
      </c>
      <c r="G10" s="9">
        <v>-7500</v>
      </c>
      <c r="H10" s="9"/>
      <c r="I10" s="48">
        <v>-500</v>
      </c>
      <c r="J10" s="21">
        <f t="shared" si="2"/>
        <v>35800</v>
      </c>
      <c r="K10" s="8" t="s">
        <v>198</v>
      </c>
      <c r="L10" s="9">
        <v>-4500</v>
      </c>
      <c r="M10" s="9"/>
      <c r="N10" s="48">
        <v>-500</v>
      </c>
      <c r="O10" s="21">
        <f t="shared" si="3"/>
        <v>18000</v>
      </c>
      <c r="P10" s="8" t="s">
        <v>197</v>
      </c>
      <c r="Q10" s="9">
        <v>12000</v>
      </c>
      <c r="R10" s="9">
        <v>1000</v>
      </c>
      <c r="S10" s="48">
        <v>1000</v>
      </c>
      <c r="T10" s="21">
        <f t="shared" si="4"/>
        <v>51200</v>
      </c>
      <c r="U10" s="53">
        <f>IF($J10="","",ROUND(($J10-$J$3)/1000,1)+(_xlfn.RANK.AVG($J10,($J10,$O10,$T10),1)-2)*10)</f>
        <v>0.8</v>
      </c>
      <c r="V10" s="54">
        <f>IF($O10="","",ROUND(($O10-$O$3)/1000,1)+(_xlfn.RANK.AVG($O10,($J10,$O10,$T10),1)-2)*10)</f>
        <v>-27</v>
      </c>
      <c r="W10" s="55">
        <f>IF($T10="","",ROUND(($T10-$T$3)/1000,1)+(_xlfn.RANK.AVG($T10,($J10,$O10,$T10),1)-2)*10)</f>
        <v>26.2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6</v>
      </c>
      <c r="BT10" s="30" t="s">
        <v>206</v>
      </c>
      <c r="BU10" s="40" t="s">
        <v>201</v>
      </c>
      <c r="BV10" s="41" t="s">
        <v>82</v>
      </c>
      <c r="BW10" s="41" t="s">
        <v>83</v>
      </c>
      <c r="BX10" s="41" t="s">
        <v>79</v>
      </c>
      <c r="BY10" s="41" t="s">
        <v>79</v>
      </c>
      <c r="BZ10" s="41" t="s">
        <v>80</v>
      </c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39" priority="5">
      <formula>IF(G4&lt;&gt;"",SUM($G4:$I4,$L4:$N4,$Q4:$S4)-$D4*1000+$D5*1000)</formula>
    </cfRule>
  </conditionalFormatting>
  <conditionalFormatting sqref="F1:G1 I1:L1 S1:T1 N1:Q1">
    <cfRule type="duplicateValues" dxfId="38" priority="4"/>
  </conditionalFormatting>
  <conditionalFormatting sqref="H1">
    <cfRule type="duplicateValues" dxfId="37" priority="3"/>
  </conditionalFormatting>
  <conditionalFormatting sqref="R1">
    <cfRule type="duplicateValues" dxfId="36" priority="2"/>
  </conditionalFormatting>
  <conditionalFormatting sqref="M1">
    <cfRule type="duplicateValues" dxfId="35" priority="1"/>
  </conditionalFormatting>
  <dataValidations count="3">
    <dataValidation type="list" allowBlank="1" showInputMessage="1" sqref="F1:T1" xr:uid="{8A98C425-A738-4670-8BC0-39610BD9670F}">
      <formula1>"たかの,だいち,ただ,りくと,れんたろう,まっつん,のり,ぱぱ,ほたに,"</formula1>
    </dataValidation>
    <dataValidation type="list" showInputMessage="1" showErrorMessage="1" sqref="K4:K30 P4:P30 F4:F30" xr:uid="{60A104E8-D490-4312-B2F7-BA02CE5A4879}">
      <formula1>"ロン,ツモ,放銃,ツモ支払,流局,チョンボ"</formula1>
    </dataValidation>
    <dataValidation type="list" allowBlank="1" showInputMessage="1" showErrorMessage="1" sqref="E4:E30" xr:uid="{EA293F12-5A61-4AE1-8D11-28BF2A0A2316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FC07-FF26-42C8-ADCC-A5B6595AB1E0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210</v>
      </c>
      <c r="G1" s="78"/>
      <c r="H1" s="78"/>
      <c r="I1" s="79"/>
      <c r="J1" s="80"/>
      <c r="K1" s="77" t="s">
        <v>194</v>
      </c>
      <c r="L1" s="78"/>
      <c r="M1" s="78"/>
      <c r="N1" s="79"/>
      <c r="O1" s="80"/>
      <c r="P1" s="77" t="s">
        <v>196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れんたろう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だいち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ただ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209</v>
      </c>
      <c r="F4" s="8" t="s">
        <v>208</v>
      </c>
      <c r="G4" s="9">
        <v>1500</v>
      </c>
      <c r="H4" s="9">
        <v>-1000</v>
      </c>
      <c r="I4" s="48"/>
      <c r="J4" s="21">
        <f>IF(COUNTA($F4,$K4,$P4)&gt;0,J3+SUM(G4:I4),"")</f>
        <v>35500</v>
      </c>
      <c r="K4" s="8" t="s">
        <v>208</v>
      </c>
      <c r="L4" s="9">
        <v>-3000</v>
      </c>
      <c r="M4" s="9"/>
      <c r="N4" s="48"/>
      <c r="O4" s="21">
        <f>IF(COUNTA($F4,$K4,$P4)&gt;0,O3+SUM(L4:N4),"")</f>
        <v>32000</v>
      </c>
      <c r="P4" s="8" t="s">
        <v>208</v>
      </c>
      <c r="Q4" s="9">
        <v>1500</v>
      </c>
      <c r="R4" s="9"/>
      <c r="S4" s="48"/>
      <c r="T4" s="21">
        <f>IF(COUNTA($F4,$K4,$P4)&gt;0,T3+SUM(Q4:S4),"")</f>
        <v>36500</v>
      </c>
      <c r="U4" s="53">
        <f>IF($J4="","",ROUND(($J4-$J$3)/1000,1)+(_xlfn.RANK.AVG($J4,($J4,$O4,$T4),1)-2)*10)</f>
        <v>0.5</v>
      </c>
      <c r="V4" s="54">
        <f>IF($O4="","",ROUND(($O4-$O$3)/1000,1)+(_xlfn.RANK.AVG($O4,($J4,$O4,$T4),1)-2)*10)</f>
        <v>-13</v>
      </c>
      <c r="W4" s="55">
        <f>IF($T4="","",ROUND(($T4-$T$3)/1000,1)+(_xlfn.RANK.AVG($T4,($J4,$O4,$T4),1)-2)*10)</f>
        <v>11.5</v>
      </c>
      <c r="Y4" s="8" t="s">
        <v>204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203</v>
      </c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204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209</v>
      </c>
      <c r="F5" s="8"/>
      <c r="G5" s="9"/>
      <c r="H5" s="9"/>
      <c r="I5" s="48"/>
      <c r="J5" s="21">
        <f t="shared" ref="J5:J30" si="2">IF(COUNTA($F5,$K5,$P5)&gt;0,J4+SUM(G5:I5),"")</f>
        <v>35500</v>
      </c>
      <c r="K5" s="8" t="s">
        <v>199</v>
      </c>
      <c r="L5" s="9">
        <v>-1300</v>
      </c>
      <c r="M5" s="9"/>
      <c r="N5" s="48">
        <v>-1000</v>
      </c>
      <c r="O5" s="21">
        <f t="shared" ref="O5:O30" si="3">IF(COUNTA($F5,$K5,$P5)&gt;0,O4+SUM(L5:N5),"")</f>
        <v>29700</v>
      </c>
      <c r="P5" s="8" t="s">
        <v>200</v>
      </c>
      <c r="Q5" s="9">
        <v>1300</v>
      </c>
      <c r="R5" s="9">
        <v>1000</v>
      </c>
      <c r="S5" s="48">
        <v>1000</v>
      </c>
      <c r="T5" s="21">
        <f t="shared" ref="T5:T30" si="4">IF(COUNTA($F5,$K5,$P5)&gt;0,T4+SUM(Q5:S5),"")</f>
        <v>39800</v>
      </c>
      <c r="U5" s="53">
        <f>IF($J5="","",ROUND(($J5-$J$3)/1000,1)+(_xlfn.RANK.AVG($J5,($J5,$O5,$T5),1)-2)*10)</f>
        <v>0.5</v>
      </c>
      <c r="V5" s="54">
        <f>IF($O5="","",ROUND(($O5-$O$3)/1000,1)+(_xlfn.RANK.AVG($O5,($J5,$O5,$T5),1)-2)*10)</f>
        <v>-15.3</v>
      </c>
      <c r="W5" s="55">
        <f>IF($T5="","",ROUND(($T5-$T$3)/1000,1)+(_xlfn.RANK.AVG($T5,($J5,$O5,$T5),1)-2)*10)</f>
        <v>14.8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1</v>
      </c>
      <c r="BT5" s="30">
        <v>40</v>
      </c>
      <c r="BU5" s="40" t="s">
        <v>85</v>
      </c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199</v>
      </c>
      <c r="G6" s="9">
        <v>-8000</v>
      </c>
      <c r="H6" s="9"/>
      <c r="I6" s="48">
        <v>0</v>
      </c>
      <c r="J6" s="21">
        <f t="shared" si="2"/>
        <v>27500</v>
      </c>
      <c r="K6" s="8"/>
      <c r="L6" s="9"/>
      <c r="M6" s="9"/>
      <c r="N6" s="48"/>
      <c r="O6" s="21">
        <f t="shared" si="3"/>
        <v>29700</v>
      </c>
      <c r="P6" s="8" t="s">
        <v>200</v>
      </c>
      <c r="Q6" s="9">
        <v>8000</v>
      </c>
      <c r="R6" s="9"/>
      <c r="S6" s="48">
        <v>0</v>
      </c>
      <c r="T6" s="21">
        <f t="shared" si="4"/>
        <v>47800</v>
      </c>
      <c r="U6" s="53">
        <f>IF($J6="","",ROUND(($J6-$J$3)/1000,1)+(_xlfn.RANK.AVG($J6,($J6,$O6,$T6),1)-2)*10)</f>
        <v>-17.5</v>
      </c>
      <c r="V6" s="54">
        <f>IF($O6="","",ROUND(($O6-$O$3)/1000,1)+(_xlfn.RANK.AVG($O6,($J6,$O6,$T6),1)-2)*10)</f>
        <v>-5.3</v>
      </c>
      <c r="W6" s="55">
        <f>IF($T6="","",ROUND(($T6-$T$3)/1000,1)+(_xlfn.RANK.AVG($T6,($J6,$O6,$T6),1)-2)*10)</f>
        <v>22.8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5</v>
      </c>
      <c r="BT6" s="30" t="s">
        <v>206</v>
      </c>
      <c r="BU6" s="40" t="s">
        <v>85</v>
      </c>
      <c r="BV6" s="41" t="s">
        <v>83</v>
      </c>
      <c r="BW6" s="41" t="s">
        <v>202</v>
      </c>
      <c r="BX6" s="41" t="s">
        <v>202</v>
      </c>
      <c r="BY6" s="41" t="s">
        <v>79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208</v>
      </c>
      <c r="G7" s="9">
        <v>-1500</v>
      </c>
      <c r="H7" s="9"/>
      <c r="I7" s="48"/>
      <c r="J7" s="21">
        <f t="shared" si="2"/>
        <v>26000</v>
      </c>
      <c r="K7" s="8" t="s">
        <v>208</v>
      </c>
      <c r="L7" s="9">
        <v>3000</v>
      </c>
      <c r="M7" s="9">
        <v>-1000</v>
      </c>
      <c r="N7" s="48"/>
      <c r="O7" s="21">
        <f t="shared" si="3"/>
        <v>31700</v>
      </c>
      <c r="P7" s="8" t="s">
        <v>208</v>
      </c>
      <c r="Q7" s="9">
        <v>-1500</v>
      </c>
      <c r="R7" s="9"/>
      <c r="S7" s="48"/>
      <c r="T7" s="21">
        <f t="shared" si="4"/>
        <v>46300</v>
      </c>
      <c r="U7" s="53">
        <f>IF($J7="","",ROUND(($J7-$J$3)/1000,1)+(_xlfn.RANK.AVG($J7,($J7,$O7,$T7),1)-2)*10)</f>
        <v>-19</v>
      </c>
      <c r="V7" s="54">
        <f>IF($O7="","",ROUND(($O7-$O$3)/1000,1)+(_xlfn.RANK.AVG($O7,($J7,$O7,$T7),1)-2)*10)</f>
        <v>-3.3</v>
      </c>
      <c r="W7" s="55">
        <f>IF($T7="","",ROUND(($T7-$T$3)/1000,1)+(_xlfn.RANK.AVG($T7,($J7,$O7,$T7),1)-2)*10)</f>
        <v>21.3</v>
      </c>
      <c r="Y7" s="8" t="s">
        <v>203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204</v>
      </c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203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1</v>
      </c>
      <c r="E8" s="4" t="s">
        <v>209</v>
      </c>
      <c r="F8" s="8" t="s">
        <v>208</v>
      </c>
      <c r="G8" s="9">
        <v>3000</v>
      </c>
      <c r="H8" s="9">
        <v>-1000</v>
      </c>
      <c r="I8" s="48"/>
      <c r="J8" s="21">
        <f t="shared" si="2"/>
        <v>28000</v>
      </c>
      <c r="K8" s="8" t="s">
        <v>208</v>
      </c>
      <c r="L8" s="9">
        <v>-1500</v>
      </c>
      <c r="M8" s="9"/>
      <c r="N8" s="48"/>
      <c r="O8" s="21">
        <f t="shared" si="3"/>
        <v>30200</v>
      </c>
      <c r="P8" s="8" t="s">
        <v>208</v>
      </c>
      <c r="Q8" s="9">
        <v>-1500</v>
      </c>
      <c r="R8" s="9"/>
      <c r="S8" s="48"/>
      <c r="T8" s="21">
        <f t="shared" si="4"/>
        <v>44800</v>
      </c>
      <c r="U8" s="53">
        <f>IF($J8="","",ROUND(($J8-$J$3)/1000,1)+(_xlfn.RANK.AVG($J8,($J8,$O8,$T8),1)-2)*10)</f>
        <v>-17</v>
      </c>
      <c r="V8" s="54">
        <f>IF($O8="","",ROUND(($O8-$O$3)/1000,1)+(_xlfn.RANK.AVG($O8,($J8,$O8,$T8),1)-2)*10)</f>
        <v>-4.8</v>
      </c>
      <c r="W8" s="55">
        <f>IF($T8="","",ROUND(($T8-$T$3)/1000,1)+(_xlfn.RANK.AVG($T8,($J8,$O8,$T8),1)-2)*10)</f>
        <v>19.8</v>
      </c>
      <c r="Y8" s="8" t="s">
        <v>204</v>
      </c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203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203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2</v>
      </c>
      <c r="E9" s="4" t="s">
        <v>209</v>
      </c>
      <c r="F9" s="8" t="s">
        <v>200</v>
      </c>
      <c r="G9" s="9">
        <v>2900</v>
      </c>
      <c r="H9" s="9">
        <v>2000</v>
      </c>
      <c r="I9" s="48">
        <v>2000</v>
      </c>
      <c r="J9" s="21">
        <f t="shared" si="2"/>
        <v>34900</v>
      </c>
      <c r="K9" s="8" t="s">
        <v>199</v>
      </c>
      <c r="L9" s="9">
        <v>-2900</v>
      </c>
      <c r="M9" s="9"/>
      <c r="N9" s="48">
        <v>-2000</v>
      </c>
      <c r="O9" s="21">
        <f t="shared" si="3"/>
        <v>25300</v>
      </c>
      <c r="P9" s="8"/>
      <c r="Q9" s="9"/>
      <c r="R9" s="9"/>
      <c r="S9" s="48"/>
      <c r="T9" s="21">
        <f t="shared" si="4"/>
        <v>44800</v>
      </c>
      <c r="U9" s="53">
        <f>IF($J9="","",ROUND(($J9-$J$3)/1000,1)+(_xlfn.RANK.AVG($J9,($J9,$O9,$T9),1)-2)*10)</f>
        <v>-0.1</v>
      </c>
      <c r="V9" s="54">
        <f>IF($O9="","",ROUND(($O9-$O$3)/1000,1)+(_xlfn.RANK.AVG($O9,($J9,$O9,$T9),1)-2)*10)</f>
        <v>-19.7</v>
      </c>
      <c r="W9" s="55">
        <f>IF($T9="","",ROUND(($T9-$T$3)/1000,1)+(_xlfn.RANK.AVG($T9,($J9,$O9,$T9),1)-2)*10)</f>
        <v>19.8</v>
      </c>
      <c r="Y9" s="8"/>
      <c r="Z9" s="34"/>
      <c r="AA9" s="26"/>
      <c r="AB9" s="26">
        <v>1</v>
      </c>
      <c r="AC9" s="26">
        <v>2</v>
      </c>
      <c r="AD9" s="30">
        <v>30</v>
      </c>
      <c r="AE9" s="40" t="s">
        <v>202</v>
      </c>
      <c r="AF9" s="41" t="s">
        <v>86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3</v>
      </c>
      <c r="D10" s="18">
        <f t="shared" si="1"/>
        <v>0</v>
      </c>
      <c r="E10" s="4" t="s">
        <v>209</v>
      </c>
      <c r="F10" s="8" t="s">
        <v>198</v>
      </c>
      <c r="G10" s="9">
        <v>-1300</v>
      </c>
      <c r="H10" s="9">
        <v>-1000</v>
      </c>
      <c r="I10" s="48">
        <v>-1500</v>
      </c>
      <c r="J10" s="21">
        <f t="shared" si="2"/>
        <v>31100</v>
      </c>
      <c r="K10" s="8" t="s">
        <v>197</v>
      </c>
      <c r="L10" s="9">
        <v>2100</v>
      </c>
      <c r="M10" s="9">
        <v>1000</v>
      </c>
      <c r="N10" s="48">
        <v>3000</v>
      </c>
      <c r="O10" s="21">
        <f t="shared" si="3"/>
        <v>31400</v>
      </c>
      <c r="P10" s="8" t="s">
        <v>198</v>
      </c>
      <c r="Q10" s="9">
        <v>-800</v>
      </c>
      <c r="R10" s="9"/>
      <c r="S10" s="48">
        <v>-1500</v>
      </c>
      <c r="T10" s="21">
        <f t="shared" si="4"/>
        <v>42500</v>
      </c>
      <c r="U10" s="53">
        <f>IF($J10="","",ROUND(($J10-$J$3)/1000,1)+(_xlfn.RANK.AVG($J10,($J10,$O10,$T10),1)-2)*10)</f>
        <v>-13.9</v>
      </c>
      <c r="V10" s="54">
        <f>IF($O10="","",ROUND(($O10-$O$3)/1000,1)+(_xlfn.RANK.AVG($O10,($J10,$O10,$T10),1)-2)*10)</f>
        <v>-3.6</v>
      </c>
      <c r="W10" s="55">
        <f>IF($T10="","",ROUND(($T10-$T$3)/1000,1)+(_xlfn.RANK.AVG($T10,($J10,$O10,$T10),1)-2)*10)</f>
        <v>17.5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2</v>
      </c>
      <c r="AY10" s="30">
        <v>30</v>
      </c>
      <c r="AZ10" s="40" t="s">
        <v>82</v>
      </c>
      <c r="BA10" s="41" t="s">
        <v>79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193</v>
      </c>
      <c r="F11" s="8"/>
      <c r="G11" s="9"/>
      <c r="H11" s="9"/>
      <c r="I11" s="48"/>
      <c r="J11" s="21">
        <f t="shared" si="2"/>
        <v>31100</v>
      </c>
      <c r="K11" s="8" t="s">
        <v>200</v>
      </c>
      <c r="L11" s="9">
        <v>7700</v>
      </c>
      <c r="M11" s="9"/>
      <c r="N11" s="48">
        <v>0</v>
      </c>
      <c r="O11" s="21">
        <f t="shared" si="3"/>
        <v>39100</v>
      </c>
      <c r="P11" s="8" t="s">
        <v>199</v>
      </c>
      <c r="Q11" s="9">
        <v>-7700</v>
      </c>
      <c r="R11" s="9"/>
      <c r="S11" s="48">
        <v>0</v>
      </c>
      <c r="T11" s="21">
        <f t="shared" si="4"/>
        <v>34800</v>
      </c>
      <c r="U11" s="53">
        <f>IF($J11="","",ROUND(($J11-$J$3)/1000,1)+(_xlfn.RANK.AVG($J11,($J11,$O11,$T11),1)-2)*10)</f>
        <v>-13.9</v>
      </c>
      <c r="V11" s="54">
        <f>IF($O11="","",ROUND(($O11-$O$3)/1000,1)+(_xlfn.RANK.AVG($O11,($J11,$O11,$T11),1)-2)*10)</f>
        <v>14.1</v>
      </c>
      <c r="W11" s="55">
        <f>IF($T11="","",ROUND(($T11-$T$3)/1000,1)+(_xlfn.RANK.AVG($T11,($J11,$O11,$T11),1)-2)*10)</f>
        <v>-0.2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3</v>
      </c>
      <c r="AY11" s="30">
        <v>40</v>
      </c>
      <c r="AZ11" s="40" t="s">
        <v>201</v>
      </c>
      <c r="BA11" s="41" t="s">
        <v>202</v>
      </c>
      <c r="BB11" s="41" t="s">
        <v>80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">
        <v>193</v>
      </c>
      <c r="F12" s="8" t="s">
        <v>198</v>
      </c>
      <c r="G12" s="9">
        <v>-1100</v>
      </c>
      <c r="H12" s="9"/>
      <c r="I12" s="48">
        <v>-500</v>
      </c>
      <c r="J12" s="21">
        <f t="shared" si="2"/>
        <v>29500</v>
      </c>
      <c r="K12" s="8" t="s">
        <v>198</v>
      </c>
      <c r="L12" s="9">
        <v>-1700</v>
      </c>
      <c r="M12" s="9">
        <v>-1000</v>
      </c>
      <c r="N12" s="48">
        <v>-500</v>
      </c>
      <c r="O12" s="21">
        <f t="shared" si="3"/>
        <v>35900</v>
      </c>
      <c r="P12" s="8" t="s">
        <v>197</v>
      </c>
      <c r="Q12" s="9">
        <v>2800</v>
      </c>
      <c r="R12" s="9">
        <v>1000</v>
      </c>
      <c r="S12" s="48">
        <v>1000</v>
      </c>
      <c r="T12" s="21">
        <f t="shared" si="4"/>
        <v>39600</v>
      </c>
      <c r="U12" s="53">
        <f>IF($J12="","",ROUND(($J12-$J$3)/1000,1)+(_xlfn.RANK.AVG($J12,($J12,$O12,$T12),1)-2)*10)</f>
        <v>-15.5</v>
      </c>
      <c r="V12" s="54">
        <f>IF($O12="","",ROUND(($O12-$O$3)/1000,1)+(_xlfn.RANK.AVG($O12,($J12,$O12,$T12),1)-2)*10)</f>
        <v>0.9</v>
      </c>
      <c r="W12" s="55">
        <f>IF($T12="","",ROUND(($T12-$T$3)/1000,1)+(_xlfn.RANK.AVG($T12,($J12,$O12,$T12),1)-2)*10)</f>
        <v>14.6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2</v>
      </c>
      <c r="BT12" s="30">
        <v>40</v>
      </c>
      <c r="BU12" s="40" t="s">
        <v>86</v>
      </c>
      <c r="BV12" s="41" t="s">
        <v>79</v>
      </c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195</v>
      </c>
      <c r="F13" s="8"/>
      <c r="G13" s="9"/>
      <c r="H13" s="9"/>
      <c r="I13" s="48"/>
      <c r="J13" s="21">
        <f t="shared" si="2"/>
        <v>29500</v>
      </c>
      <c r="K13" s="8" t="s">
        <v>199</v>
      </c>
      <c r="L13" s="9">
        <v>-7700</v>
      </c>
      <c r="M13" s="9"/>
      <c r="N13" s="48">
        <v>0</v>
      </c>
      <c r="O13" s="21">
        <f t="shared" si="3"/>
        <v>28200</v>
      </c>
      <c r="P13" s="8" t="s">
        <v>200</v>
      </c>
      <c r="Q13" s="9">
        <v>7700</v>
      </c>
      <c r="R13" s="9"/>
      <c r="S13" s="48">
        <v>0</v>
      </c>
      <c r="T13" s="21">
        <f t="shared" si="4"/>
        <v>47300</v>
      </c>
      <c r="U13" s="53">
        <f>IF($J13="","",ROUND(($J13-$J$3)/1000,1)+(_xlfn.RANK.AVG($J13,($J13,$O13,$T13),1)-2)*10)</f>
        <v>-5.5</v>
      </c>
      <c r="V13" s="54">
        <f>IF($O13="","",ROUND(($O13-$O$3)/1000,1)+(_xlfn.RANK.AVG($O13,($J13,$O13,$T13),1)-2)*10)</f>
        <v>-16.8</v>
      </c>
      <c r="W13" s="55">
        <f>IF($T13="","",ROUND(($T13-$T$3)/1000,1)+(_xlfn.RANK.AVG($T13,($J13,$O13,$T13),1)-2)*10)</f>
        <v>22.3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>
        <v>3</v>
      </c>
      <c r="BT13" s="30">
        <v>40</v>
      </c>
      <c r="BU13" s="40" t="s">
        <v>86</v>
      </c>
      <c r="BV13" s="41" t="s">
        <v>104</v>
      </c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3">
    <dataValidation type="list" allowBlank="1" showInputMessage="1" showErrorMessage="1" sqref="E4:E30" xr:uid="{0CE7B134-1A96-431E-B648-D030EAC581AA}">
      <formula1>$U$2:$W$2</formula1>
    </dataValidation>
    <dataValidation type="list" showInputMessage="1" showErrorMessage="1" sqref="K4:K30 P4:P30 F4:F30" xr:uid="{AE31695A-6F95-4979-8037-1ADFD721B4BB}">
      <formula1>"ロン,ツモ,放銃,ツモ支払,流局,チョンボ"</formula1>
    </dataValidation>
    <dataValidation type="list" allowBlank="1" showInputMessage="1" sqref="F1:T1" xr:uid="{7145FF5E-7651-4B53-AC66-46F022BFA42E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C9E79-F488-4E97-B7AD-5FCA6C05B252}">
  <sheetPr codeName="Sheet13">
    <pageSetUpPr fitToPage="1"/>
  </sheetPr>
  <dimension ref="A1:CI30"/>
  <sheetViews>
    <sheetView zoomScaleNormal="100" workbookViewId="0">
      <selection activeCell="P10" sqref="P10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210</v>
      </c>
      <c r="G1" s="78"/>
      <c r="H1" s="78"/>
      <c r="I1" s="79"/>
      <c r="J1" s="80"/>
      <c r="K1" s="77" t="s">
        <v>194</v>
      </c>
      <c r="L1" s="78"/>
      <c r="M1" s="78"/>
      <c r="N1" s="79"/>
      <c r="O1" s="80"/>
      <c r="P1" s="77" t="s">
        <v>196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れんたろう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だいち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ただ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209</v>
      </c>
      <c r="F4" s="8" t="s">
        <v>208</v>
      </c>
      <c r="G4" s="9">
        <v>1500</v>
      </c>
      <c r="H4" s="9">
        <v>-1000</v>
      </c>
      <c r="I4" s="48"/>
      <c r="J4" s="21">
        <f>IF(COUNTA($F4,$K4,$P4)&gt;0,J3+SUM(G4:I4),"")</f>
        <v>35500</v>
      </c>
      <c r="K4" s="8" t="s">
        <v>208</v>
      </c>
      <c r="L4" s="9">
        <v>-3000</v>
      </c>
      <c r="M4" s="9"/>
      <c r="N4" s="48"/>
      <c r="O4" s="21">
        <f>IF(COUNTA($F4,$K4,$P4)&gt;0,O3+SUM(L4:N4),"")</f>
        <v>32000</v>
      </c>
      <c r="P4" s="8" t="s">
        <v>208</v>
      </c>
      <c r="Q4" s="9">
        <v>1500</v>
      </c>
      <c r="R4" s="9"/>
      <c r="S4" s="48"/>
      <c r="T4" s="21">
        <f>IF(COUNTA($F4,$K4,$P4)&gt;0,T3+SUM(Q4:S4),"")</f>
        <v>36500</v>
      </c>
      <c r="U4" s="53">
        <f>IF($J4="","",ROUND(($J4-$J$3)/1000,1)+(_xlfn.RANK.AVG($J4,($J4,$O4,$T4),1)-2)*10)</f>
        <v>0.5</v>
      </c>
      <c r="V4" s="54">
        <f>IF($O4="","",ROUND(($O4-$O$3)/1000,1)+(_xlfn.RANK.AVG($O4,($J4,$O4,$T4),1)-2)*10)</f>
        <v>-13</v>
      </c>
      <c r="W4" s="55">
        <f>IF($T4="","",ROUND(($T4-$T$3)/1000,1)+(_xlfn.RANK.AVG($T4,($J4,$O4,$T4),1)-2)*10)</f>
        <v>11.5</v>
      </c>
      <c r="Y4" s="8" t="s">
        <v>204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203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204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209</v>
      </c>
      <c r="F5" s="8" t="s">
        <v>200</v>
      </c>
      <c r="G5" s="9">
        <v>18000</v>
      </c>
      <c r="H5" s="9">
        <v>1000</v>
      </c>
      <c r="I5" s="48">
        <v>1000</v>
      </c>
      <c r="J5" s="21">
        <f t="shared" ref="J5:J30" si="2">IF(COUNTA($F5,$K5,$P5)&gt;0,J4+SUM(G5:I5),"")</f>
        <v>55500</v>
      </c>
      <c r="K5" s="8"/>
      <c r="L5" s="9"/>
      <c r="M5" s="9"/>
      <c r="N5" s="48"/>
      <c r="O5" s="21">
        <f t="shared" ref="O5:O30" si="3">IF(COUNTA($F5,$K5,$P5)&gt;0,O4+SUM(L5:N5),"")</f>
        <v>32000</v>
      </c>
      <c r="P5" s="8" t="s">
        <v>199</v>
      </c>
      <c r="Q5" s="9">
        <v>-18000</v>
      </c>
      <c r="R5" s="9"/>
      <c r="S5" s="48">
        <v>-1000</v>
      </c>
      <c r="T5" s="21">
        <f t="shared" ref="T5:T30" si="4">IF(COUNTA($F5,$K5,$P5)&gt;0,T4+SUM(Q5:S5),"")</f>
        <v>17500</v>
      </c>
      <c r="U5" s="53">
        <f>IF($J5="","",ROUND(($J5-$J$3)/1000,1)+(_xlfn.RANK.AVG($J5,($J5,$O5,$T5),1)-2)*10)</f>
        <v>30.5</v>
      </c>
      <c r="V5" s="54">
        <f>IF($O5="","",ROUND(($O5-$O$3)/1000,1)+(_xlfn.RANK.AVG($O5,($J5,$O5,$T5),1)-2)*10)</f>
        <v>-3</v>
      </c>
      <c r="W5" s="55">
        <f>IF($T5="","",ROUND(($T5-$T$3)/1000,1)+(_xlfn.RANK.AVG($T5,($J5,$O5,$T5),1)-2)*10)</f>
        <v>-27.5</v>
      </c>
      <c r="Y5" s="8"/>
      <c r="Z5" s="34"/>
      <c r="AA5" s="26"/>
      <c r="AB5" s="26"/>
      <c r="AC5" s="26">
        <v>7</v>
      </c>
      <c r="AD5" s="30" t="s">
        <v>206</v>
      </c>
      <c r="AE5" s="40" t="s">
        <v>84</v>
      </c>
      <c r="AF5" s="41" t="s">
        <v>104</v>
      </c>
      <c r="AG5" s="41" t="s">
        <v>202</v>
      </c>
      <c r="AH5" s="41" t="s">
        <v>79</v>
      </c>
      <c r="AI5" s="41" t="s">
        <v>79</v>
      </c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209</v>
      </c>
      <c r="F6" s="8" t="s">
        <v>197</v>
      </c>
      <c r="G6" s="9">
        <v>6000</v>
      </c>
      <c r="H6" s="9"/>
      <c r="I6" s="48">
        <v>2000</v>
      </c>
      <c r="J6" s="21">
        <f t="shared" si="2"/>
        <v>63500</v>
      </c>
      <c r="K6" s="8" t="s">
        <v>198</v>
      </c>
      <c r="L6" s="9">
        <v>-3000</v>
      </c>
      <c r="M6" s="9"/>
      <c r="N6" s="48">
        <v>-1000</v>
      </c>
      <c r="O6" s="21">
        <f t="shared" si="3"/>
        <v>28000</v>
      </c>
      <c r="P6" s="8" t="s">
        <v>198</v>
      </c>
      <c r="Q6" s="9">
        <v>-3000</v>
      </c>
      <c r="R6" s="9"/>
      <c r="S6" s="48">
        <v>-1000</v>
      </c>
      <c r="T6" s="21">
        <f t="shared" si="4"/>
        <v>13500</v>
      </c>
      <c r="U6" s="53">
        <f>IF($J6="","",ROUND(($J6-$J$3)/1000,1)+(_xlfn.RANK.AVG($J6,($J6,$O6,$T6),1)-2)*10)</f>
        <v>38.5</v>
      </c>
      <c r="V6" s="54">
        <f>IF($O6="","",ROUND(($O6-$O$3)/1000,1)+(_xlfn.RANK.AVG($O6,($J6,$O6,$T6),1)-2)*10)</f>
        <v>-7</v>
      </c>
      <c r="W6" s="55">
        <f>IF($T6="","",ROUND(($T6-$T$3)/1000,1)+(_xlfn.RANK.AVG($T6,($J6,$O6,$T6),1)-2)*10)</f>
        <v>-31.5</v>
      </c>
      <c r="Y6" s="8"/>
      <c r="Z6" s="34"/>
      <c r="AA6" s="26"/>
      <c r="AB6" s="26">
        <v>1</v>
      </c>
      <c r="AC6" s="26">
        <v>3</v>
      </c>
      <c r="AD6" s="30">
        <v>30</v>
      </c>
      <c r="AE6" s="40" t="s">
        <v>86</v>
      </c>
      <c r="AF6" s="41" t="s">
        <v>86</v>
      </c>
      <c r="AG6" s="41" t="s">
        <v>79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209</v>
      </c>
      <c r="F7" s="8" t="s">
        <v>198</v>
      </c>
      <c r="G7" s="9">
        <v>-1300</v>
      </c>
      <c r="H7" s="9"/>
      <c r="I7" s="48">
        <v>-1500</v>
      </c>
      <c r="J7" s="21">
        <f t="shared" si="2"/>
        <v>60700</v>
      </c>
      <c r="K7" s="8" t="s">
        <v>197</v>
      </c>
      <c r="L7" s="9">
        <v>2100</v>
      </c>
      <c r="M7" s="9">
        <v>1000</v>
      </c>
      <c r="N7" s="48">
        <v>3000</v>
      </c>
      <c r="O7" s="21">
        <f t="shared" si="3"/>
        <v>34100</v>
      </c>
      <c r="P7" s="8" t="s">
        <v>198</v>
      </c>
      <c r="Q7" s="9">
        <v>-800</v>
      </c>
      <c r="R7" s="9">
        <v>-1000</v>
      </c>
      <c r="S7" s="48">
        <v>-1500</v>
      </c>
      <c r="T7" s="21">
        <f t="shared" si="4"/>
        <v>10200</v>
      </c>
      <c r="U7" s="53">
        <f>IF($J7="","",ROUND(($J7-$J$3)/1000,1)+(_xlfn.RANK.AVG($J7,($J7,$O7,$T7),1)-2)*10)</f>
        <v>35.700000000000003</v>
      </c>
      <c r="V7" s="54">
        <f>IF($O7="","",ROUND(($O7-$O$3)/1000,1)+(_xlfn.RANK.AVG($O7,($J7,$O7,$T7),1)-2)*10)</f>
        <v>-0.9</v>
      </c>
      <c r="W7" s="55">
        <f>IF($T7="","",ROUND(($T7-$T$3)/1000,1)+(_xlfn.RANK.AVG($T7,($J7,$O7,$T7),1)-2)*10)</f>
        <v>-34.799999999999997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2</v>
      </c>
      <c r="AY7" s="30">
        <v>30</v>
      </c>
      <c r="AZ7" s="40" t="s">
        <v>82</v>
      </c>
      <c r="BA7" s="41" t="s">
        <v>86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211</v>
      </c>
      <c r="G8" s="9">
        <v>3000</v>
      </c>
      <c r="H8" s="9"/>
      <c r="I8" s="48"/>
      <c r="J8" s="21">
        <f t="shared" si="2"/>
        <v>63700</v>
      </c>
      <c r="K8" s="8" t="s">
        <v>211</v>
      </c>
      <c r="L8" s="9">
        <v>5000</v>
      </c>
      <c r="M8" s="9"/>
      <c r="N8" s="48"/>
      <c r="O8" s="21">
        <f t="shared" si="3"/>
        <v>39100</v>
      </c>
      <c r="P8" s="8" t="s">
        <v>211</v>
      </c>
      <c r="Q8" s="9">
        <v>-8000</v>
      </c>
      <c r="R8" s="9">
        <v>-1000</v>
      </c>
      <c r="S8" s="48"/>
      <c r="T8" s="21">
        <f t="shared" si="4"/>
        <v>1200</v>
      </c>
      <c r="U8" s="53">
        <f>IF($J8="","",ROUND(($J8-$J$3)/1000,1)+(_xlfn.RANK.AVG($J8,($J8,$O8,$T8),1)-2)*10)</f>
        <v>38.700000000000003</v>
      </c>
      <c r="V8" s="54">
        <f>IF($O8="","",ROUND(($O8-$O$3)/1000,1)+(_xlfn.RANK.AVG($O8,($J8,$O8,$T8),1)-2)*10)</f>
        <v>4.0999999999999996</v>
      </c>
      <c r="W8" s="55">
        <f>IF($T8="","",ROUND(($T8-$T$3)/1000,1)+(_xlfn.RANK.AVG($T8,($J8,$O8,$T8),1)-2)*10)</f>
        <v>-43.8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>
        <v>1</v>
      </c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2</v>
      </c>
      <c r="C9" s="18">
        <f t="shared" si="6"/>
        <v>0</v>
      </c>
      <c r="D9" s="18">
        <f t="shared" si="1"/>
        <v>1</v>
      </c>
      <c r="E9" s="4" t="s">
        <v>193</v>
      </c>
      <c r="F9" s="8" t="s">
        <v>200</v>
      </c>
      <c r="G9" s="9">
        <v>7700</v>
      </c>
      <c r="H9" s="9">
        <v>1000</v>
      </c>
      <c r="I9" s="48">
        <v>0</v>
      </c>
      <c r="J9" s="21">
        <f t="shared" si="2"/>
        <v>72400</v>
      </c>
      <c r="K9" s="8"/>
      <c r="L9" s="9"/>
      <c r="M9" s="9"/>
      <c r="N9" s="48"/>
      <c r="O9" s="21">
        <f t="shared" si="3"/>
        <v>39100</v>
      </c>
      <c r="P9" s="8" t="s">
        <v>199</v>
      </c>
      <c r="Q9" s="9">
        <v>-7700</v>
      </c>
      <c r="R9" s="9"/>
      <c r="S9" s="48">
        <v>0</v>
      </c>
      <c r="T9" s="21">
        <f t="shared" si="4"/>
        <v>-6500</v>
      </c>
      <c r="U9" s="53">
        <f>IF($J9="","",ROUND(($J9-$J$3)/1000,1)+(_xlfn.RANK.AVG($J9,($J9,$O9,$T9),1)-2)*10)</f>
        <v>47.4</v>
      </c>
      <c r="V9" s="54">
        <f>IF($O9="","",ROUND(($O9-$O$3)/1000,1)+(_xlfn.RANK.AVG($O9,($J9,$O9,$T9),1)-2)*10)</f>
        <v>4.0999999999999996</v>
      </c>
      <c r="W9" s="55">
        <f>IF($T9="","",ROUND(($T9-$T$3)/1000,1)+(_xlfn.RANK.AVG($T9,($J9,$O9,$T9),1)-2)*10)</f>
        <v>-51.5</v>
      </c>
      <c r="Y9" s="8"/>
      <c r="Z9" s="34"/>
      <c r="AA9" s="26">
        <v>1</v>
      </c>
      <c r="AB9" s="26"/>
      <c r="AC9" s="26">
        <v>4</v>
      </c>
      <c r="AD9" s="30">
        <v>30</v>
      </c>
      <c r="AE9" s="40" t="s">
        <v>83</v>
      </c>
      <c r="AF9" s="41" t="s">
        <v>201</v>
      </c>
      <c r="AG9" s="41" t="s">
        <v>85</v>
      </c>
      <c r="AH9" s="41" t="s">
        <v>202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195</v>
      </c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qref="F1:T1" xr:uid="{62F07960-1E23-4428-8D26-FBC3662096AA}">
      <formula1>"たかの,だいち,ただ,りくと,れんたろう,まっつん,のり,ぱぱ,ほたに,"</formula1>
    </dataValidation>
    <dataValidation type="list" showInputMessage="1" showErrorMessage="1" sqref="K4:K30 P4:P30 F4:F30" xr:uid="{FE8FA990-1EE7-4AB2-9583-F621B00B8495}">
      <formula1>"ロン,ツモ,放銃,ツモ支払,流局,チョンボ"</formula1>
    </dataValidation>
    <dataValidation type="list" allowBlank="1" showInputMessage="1" showErrorMessage="1" sqref="E4:E30" xr:uid="{AEF931F9-0890-4242-BB3A-BDF18BADB0F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203B6-CCE4-457C-9932-D8F82100DDF3}">
  <sheetPr codeName="Sheet14">
    <pageSetUpPr fitToPage="1"/>
  </sheetPr>
  <dimension ref="A1:CI30"/>
  <sheetViews>
    <sheetView zoomScaleNormal="100" workbookViewId="0">
      <selection activeCell="H32" sqref="H3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213</v>
      </c>
      <c r="G1" s="78"/>
      <c r="H1" s="78"/>
      <c r="I1" s="79"/>
      <c r="J1" s="80"/>
      <c r="K1" s="77" t="s">
        <v>194</v>
      </c>
      <c r="L1" s="78"/>
      <c r="M1" s="78"/>
      <c r="N1" s="79"/>
      <c r="O1" s="80"/>
      <c r="P1" s="77" t="s">
        <v>215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まっつん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だいち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りくと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まっつん</v>
      </c>
      <c r="V2" s="75" t="str">
        <f>$K$1</f>
        <v>だいち</v>
      </c>
      <c r="W2" s="16" t="str">
        <f>$P$1</f>
        <v>りくと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212</v>
      </c>
      <c r="F4" s="8" t="s">
        <v>200</v>
      </c>
      <c r="G4" s="9">
        <v>12000</v>
      </c>
      <c r="H4" s="9">
        <v>1000</v>
      </c>
      <c r="I4" s="48">
        <v>0</v>
      </c>
      <c r="J4" s="21">
        <f>IF(COUNTA($F4,$K4,$P4)&gt;0,J3+SUM(G4:I4),"")</f>
        <v>48000</v>
      </c>
      <c r="K4" s="8" t="s">
        <v>199</v>
      </c>
      <c r="L4" s="9">
        <v>-12000</v>
      </c>
      <c r="M4" s="9">
        <v>-1000</v>
      </c>
      <c r="N4" s="48">
        <v>0</v>
      </c>
      <c r="O4" s="21">
        <f>IF(COUNTA($F4,$K4,$P4)&gt;0,O3+SUM(L4:N4),"")</f>
        <v>22000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23</v>
      </c>
      <c r="V4" s="54">
        <f>IF($O4="","",ROUND(($O4-$O$3)/1000,1)+(_xlfn.RANK.AVG($O4,($J4,$O4,$T4),1)-2)*10)</f>
        <v>-23</v>
      </c>
      <c r="W4" s="55">
        <f>IF($T4="","",ROUND(($T4-$T$3)/1000,1)+(_xlfn.RANK.AVG($T4,($J4,$O4,$T4),1)-2)*10)</f>
        <v>0</v>
      </c>
      <c r="Y4" s="8"/>
      <c r="Z4" s="34"/>
      <c r="AA4" s="26">
        <v>1</v>
      </c>
      <c r="AB4" s="26"/>
      <c r="AC4" s="26">
        <v>5</v>
      </c>
      <c r="AD4" s="30" t="s">
        <v>206</v>
      </c>
      <c r="AE4" s="40" t="s">
        <v>201</v>
      </c>
      <c r="AF4" s="41" t="s">
        <v>85</v>
      </c>
      <c r="AG4" s="41" t="s">
        <v>202</v>
      </c>
      <c r="AH4" s="41" t="s">
        <v>202</v>
      </c>
      <c r="AI4" s="41" t="s">
        <v>80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212</v>
      </c>
      <c r="F5" s="8" t="s">
        <v>199</v>
      </c>
      <c r="G5" s="9">
        <v>-8000</v>
      </c>
      <c r="H5" s="9"/>
      <c r="I5" s="48">
        <v>-1000</v>
      </c>
      <c r="J5" s="21">
        <f t="shared" ref="J5:J30" si="2">IF(COUNTA($F5,$K5,$P5)&gt;0,J4+SUM(G5:I5),"")</f>
        <v>39000</v>
      </c>
      <c r="K5" s="8"/>
      <c r="L5" s="9"/>
      <c r="M5" s="9"/>
      <c r="N5" s="48"/>
      <c r="O5" s="21">
        <f t="shared" ref="O5:O30" si="3">IF(COUNTA($F5,$K5,$P5)&gt;0,O4+SUM(L5:N5),"")</f>
        <v>22000</v>
      </c>
      <c r="P5" s="8" t="s">
        <v>200</v>
      </c>
      <c r="Q5" s="9">
        <v>8000</v>
      </c>
      <c r="R5" s="9"/>
      <c r="S5" s="48">
        <v>1000</v>
      </c>
      <c r="T5" s="21">
        <f t="shared" ref="T5:T30" si="4">IF(COUNTA($F5,$K5,$P5)&gt;0,T4+SUM(Q5:S5),"")</f>
        <v>44000</v>
      </c>
      <c r="U5" s="53">
        <f>IF($J5="","",ROUND(($J5-$J$3)/1000,1)+(_xlfn.RANK.AVG($J5,($J5,$O5,$T5),1)-2)*10)</f>
        <v>4</v>
      </c>
      <c r="V5" s="54">
        <f>IF($O5="","",ROUND(($O5-$O$3)/1000,1)+(_xlfn.RANK.AVG($O5,($J5,$O5,$T5),1)-2)*10)</f>
        <v>-23</v>
      </c>
      <c r="W5" s="55">
        <f>IF($T5="","",ROUND(($T5-$T$3)/1000,1)+(_xlfn.RANK.AVG($T5,($J5,$O5,$T5),1)-2)*10)</f>
        <v>19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4</v>
      </c>
      <c r="BT5" s="30">
        <v>40</v>
      </c>
      <c r="BU5" s="40" t="s">
        <v>201</v>
      </c>
      <c r="BV5" s="41" t="s">
        <v>202</v>
      </c>
      <c r="BW5" s="41" t="s">
        <v>202</v>
      </c>
      <c r="BX5" s="41" t="s">
        <v>79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/>
      <c r="G6" s="9"/>
      <c r="H6" s="9"/>
      <c r="I6" s="48"/>
      <c r="J6" s="21">
        <f t="shared" si="2"/>
        <v>39000</v>
      </c>
      <c r="K6" s="8" t="s">
        <v>200</v>
      </c>
      <c r="L6" s="9">
        <v>7700</v>
      </c>
      <c r="M6" s="9"/>
      <c r="N6" s="48">
        <v>0</v>
      </c>
      <c r="O6" s="21">
        <f t="shared" si="3"/>
        <v>29700</v>
      </c>
      <c r="P6" s="8" t="s">
        <v>199</v>
      </c>
      <c r="Q6" s="9">
        <v>-7700</v>
      </c>
      <c r="R6" s="9"/>
      <c r="S6" s="48">
        <v>0</v>
      </c>
      <c r="T6" s="21">
        <f t="shared" si="4"/>
        <v>36300</v>
      </c>
      <c r="U6" s="53">
        <f>IF($J6="","",ROUND(($J6-$J$3)/1000,1)+(_xlfn.RANK.AVG($J6,($J6,$O6,$T6),1)-2)*10)</f>
        <v>14</v>
      </c>
      <c r="V6" s="54">
        <f>IF($O6="","",ROUND(($O6-$O$3)/1000,1)+(_xlfn.RANK.AVG($O6,($J6,$O6,$T6),1)-2)*10)</f>
        <v>-15.3</v>
      </c>
      <c r="W6" s="55">
        <f>IF($T6="","",ROUND(($T6-$T$3)/1000,1)+(_xlfn.RANK.AVG($T6,($J6,$O6,$T6),1)-2)*10)</f>
        <v>1.3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3</v>
      </c>
      <c r="AY6" s="30">
        <v>40</v>
      </c>
      <c r="AZ6" s="40" t="s">
        <v>104</v>
      </c>
      <c r="BA6" s="41" t="s">
        <v>79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193</v>
      </c>
      <c r="F7" s="8" t="s">
        <v>198</v>
      </c>
      <c r="G7" s="9">
        <v>-4500</v>
      </c>
      <c r="H7" s="9"/>
      <c r="I7" s="48">
        <v>-500</v>
      </c>
      <c r="J7" s="21">
        <f t="shared" si="2"/>
        <v>34000</v>
      </c>
      <c r="K7" s="8" t="s">
        <v>198</v>
      </c>
      <c r="L7" s="9">
        <v>-7500</v>
      </c>
      <c r="M7" s="9"/>
      <c r="N7" s="48">
        <v>-500</v>
      </c>
      <c r="O7" s="21">
        <f t="shared" si="3"/>
        <v>21700</v>
      </c>
      <c r="P7" s="8" t="s">
        <v>197</v>
      </c>
      <c r="Q7" s="9">
        <v>12000</v>
      </c>
      <c r="R7" s="9"/>
      <c r="S7" s="48">
        <v>1000</v>
      </c>
      <c r="T7" s="21">
        <f t="shared" si="4"/>
        <v>49300</v>
      </c>
      <c r="U7" s="53">
        <f>IF($J7="","",ROUND(($J7-$J$3)/1000,1)+(_xlfn.RANK.AVG($J7,($J7,$O7,$T7),1)-2)*10)</f>
        <v>-1</v>
      </c>
      <c r="V7" s="54">
        <f>IF($O7="","",ROUND(($O7-$O$3)/1000,1)+(_xlfn.RANK.AVG($O7,($J7,$O7,$T7),1)-2)*10)</f>
        <v>-23.3</v>
      </c>
      <c r="W7" s="55">
        <f>IF($T7="","",ROUND(($T7-$T$3)/1000,1)+(_xlfn.RANK.AVG($T7,($J7,$O7,$T7),1)-2)*10)</f>
        <v>24.3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7</v>
      </c>
      <c r="BT7" s="30" t="s">
        <v>206</v>
      </c>
      <c r="BU7" s="40" t="s">
        <v>201</v>
      </c>
      <c r="BV7" s="41" t="s">
        <v>82</v>
      </c>
      <c r="BW7" s="41" t="s">
        <v>79</v>
      </c>
      <c r="BX7" s="41" t="s">
        <v>79</v>
      </c>
      <c r="BY7" s="41" t="s">
        <v>79</v>
      </c>
      <c r="BZ7" s="41" t="s">
        <v>80</v>
      </c>
      <c r="CA7" s="41" t="s">
        <v>80</v>
      </c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214</v>
      </c>
      <c r="F8" s="8" t="s">
        <v>199</v>
      </c>
      <c r="G8" s="9">
        <v>-18000</v>
      </c>
      <c r="H8" s="9"/>
      <c r="I8" s="48">
        <v>0</v>
      </c>
      <c r="J8" s="21">
        <f t="shared" si="2"/>
        <v>16000</v>
      </c>
      <c r="K8" s="8"/>
      <c r="L8" s="9"/>
      <c r="M8" s="9"/>
      <c r="N8" s="48"/>
      <c r="O8" s="21">
        <f t="shared" si="3"/>
        <v>21700</v>
      </c>
      <c r="P8" s="8" t="s">
        <v>200</v>
      </c>
      <c r="Q8" s="9">
        <v>18000</v>
      </c>
      <c r="R8" s="9"/>
      <c r="S8" s="48">
        <v>0</v>
      </c>
      <c r="T8" s="21">
        <f t="shared" si="4"/>
        <v>67300</v>
      </c>
      <c r="U8" s="53">
        <f>IF($J8="","",ROUND(($J8-$J$3)/1000,1)+(_xlfn.RANK.AVG($J8,($J8,$O8,$T8),1)-2)*10)</f>
        <v>-29</v>
      </c>
      <c r="V8" s="54">
        <f>IF($O8="","",ROUND(($O8-$O$3)/1000,1)+(_xlfn.RANK.AVG($O8,($J8,$O8,$T8),1)-2)*10)</f>
        <v>-13.3</v>
      </c>
      <c r="W8" s="55">
        <f>IF($T8="","",ROUND(($T8-$T$3)/1000,1)+(_xlfn.RANK.AVG($T8,($J8,$O8,$T8),1)-2)*10)</f>
        <v>42.3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6</v>
      </c>
      <c r="BT8" s="30" t="s">
        <v>206</v>
      </c>
      <c r="BU8" s="40" t="s">
        <v>86</v>
      </c>
      <c r="BV8" s="41" t="s">
        <v>86</v>
      </c>
      <c r="BW8" s="41" t="s">
        <v>79</v>
      </c>
      <c r="BX8" s="41" t="s">
        <v>79</v>
      </c>
      <c r="BY8" s="41" t="s">
        <v>79</v>
      </c>
      <c r="BZ8" s="41" t="s">
        <v>202</v>
      </c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214</v>
      </c>
      <c r="F9" s="8" t="s">
        <v>200</v>
      </c>
      <c r="G9" s="9">
        <v>12000</v>
      </c>
      <c r="H9" s="9"/>
      <c r="I9" s="48">
        <v>1000</v>
      </c>
      <c r="J9" s="21">
        <f t="shared" si="2"/>
        <v>29000</v>
      </c>
      <c r="K9" s="8" t="s">
        <v>199</v>
      </c>
      <c r="L9" s="9">
        <v>-12000</v>
      </c>
      <c r="M9" s="9"/>
      <c r="N9" s="48">
        <v>-1000</v>
      </c>
      <c r="O9" s="21">
        <f t="shared" si="3"/>
        <v>8700</v>
      </c>
      <c r="P9" s="8"/>
      <c r="Q9" s="9"/>
      <c r="R9" s="9"/>
      <c r="S9" s="48"/>
      <c r="T9" s="21">
        <f t="shared" si="4"/>
        <v>67300</v>
      </c>
      <c r="U9" s="53">
        <f>IF($J9="","",ROUND(($J9-$J$3)/1000,1)+(_xlfn.RANK.AVG($J9,($J9,$O9,$T9),1)-2)*10)</f>
        <v>-6</v>
      </c>
      <c r="V9" s="54">
        <f>IF($O9="","",ROUND(($O9-$O$3)/1000,1)+(_xlfn.RANK.AVG($O9,($J9,$O9,$T9),1)-2)*10)</f>
        <v>-36.299999999999997</v>
      </c>
      <c r="W9" s="55">
        <f>IF($T9="","",ROUND(($T9-$T$3)/1000,1)+(_xlfn.RANK.AVG($T9,($J9,$O9,$T9),1)-2)*10)</f>
        <v>42.3</v>
      </c>
      <c r="Y9" s="8"/>
      <c r="Z9" s="34"/>
      <c r="AA9" s="26">
        <v>1</v>
      </c>
      <c r="AB9" s="26"/>
      <c r="AC9" s="26">
        <v>6</v>
      </c>
      <c r="AD9" s="30" t="s">
        <v>206</v>
      </c>
      <c r="AE9" s="40" t="s">
        <v>201</v>
      </c>
      <c r="AF9" s="41" t="s">
        <v>85</v>
      </c>
      <c r="AG9" s="41" t="s">
        <v>202</v>
      </c>
      <c r="AH9" s="41" t="s">
        <v>80</v>
      </c>
      <c r="AI9" s="41" t="s">
        <v>80</v>
      </c>
      <c r="AJ9" s="41" t="s">
        <v>80</v>
      </c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212</v>
      </c>
      <c r="F10" s="8" t="s">
        <v>200</v>
      </c>
      <c r="G10" s="9">
        <v>3900</v>
      </c>
      <c r="H10" s="9"/>
      <c r="I10" s="48">
        <v>0</v>
      </c>
      <c r="J10" s="21">
        <f t="shared" si="2"/>
        <v>32900</v>
      </c>
      <c r="K10" s="8"/>
      <c r="L10" s="9"/>
      <c r="M10" s="9"/>
      <c r="N10" s="48"/>
      <c r="O10" s="21">
        <f t="shared" si="3"/>
        <v>8700</v>
      </c>
      <c r="P10" s="8" t="s">
        <v>199</v>
      </c>
      <c r="Q10" s="9">
        <v>-3900</v>
      </c>
      <c r="R10" s="9"/>
      <c r="S10" s="48">
        <v>0</v>
      </c>
      <c r="T10" s="21">
        <f t="shared" si="4"/>
        <v>63400</v>
      </c>
      <c r="U10" s="53">
        <f>IF($J10="","",ROUND(($J10-$J$3)/1000,1)+(_xlfn.RANK.AVG($J10,($J10,$O10,$T10),1)-2)*10)</f>
        <v>-2.1</v>
      </c>
      <c r="V10" s="54">
        <f>IF($O10="","",ROUND(($O10-$O$3)/1000,1)+(_xlfn.RANK.AVG($O10,($J10,$O10,$T10),1)-2)*10)</f>
        <v>-36.299999999999997</v>
      </c>
      <c r="W10" s="55">
        <f>IF($T10="","",ROUND(($T10-$T$3)/1000,1)+(_xlfn.RANK.AVG($T10,($J10,$O10,$T10),1)-2)*10)</f>
        <v>38.4</v>
      </c>
      <c r="Y10" s="8"/>
      <c r="Z10" s="34"/>
      <c r="AA10" s="26">
        <v>1</v>
      </c>
      <c r="AB10" s="26"/>
      <c r="AC10" s="26">
        <v>2</v>
      </c>
      <c r="AD10" s="30">
        <v>40</v>
      </c>
      <c r="AE10" s="40" t="s">
        <v>201</v>
      </c>
      <c r="AF10" s="41" t="s">
        <v>202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">
        <v>212</v>
      </c>
      <c r="F11" s="8" t="s">
        <v>200</v>
      </c>
      <c r="G11" s="9">
        <v>3900</v>
      </c>
      <c r="H11" s="9">
        <v>1000</v>
      </c>
      <c r="I11" s="48">
        <v>1000</v>
      </c>
      <c r="J11" s="21">
        <f t="shared" si="2"/>
        <v>38800</v>
      </c>
      <c r="K11" s="8"/>
      <c r="L11" s="9"/>
      <c r="M11" s="9">
        <v>-1000</v>
      </c>
      <c r="N11" s="48"/>
      <c r="O11" s="21">
        <f t="shared" si="3"/>
        <v>7700</v>
      </c>
      <c r="P11" s="8" t="s">
        <v>199</v>
      </c>
      <c r="Q11" s="9">
        <v>-3900</v>
      </c>
      <c r="R11" s="9"/>
      <c r="S11" s="48">
        <v>-1000</v>
      </c>
      <c r="T11" s="21">
        <f t="shared" si="4"/>
        <v>58500</v>
      </c>
      <c r="U11" s="53">
        <f>IF($J11="","",ROUND(($J11-$J$3)/1000,1)+(_xlfn.RANK.AVG($J11,($J11,$O11,$T11),1)-2)*10)</f>
        <v>3.8</v>
      </c>
      <c r="V11" s="54">
        <f>IF($O11="","",ROUND(($O11-$O$3)/1000,1)+(_xlfn.RANK.AVG($O11,($J11,$O11,$T11),1)-2)*10)</f>
        <v>-37.299999999999997</v>
      </c>
      <c r="W11" s="55">
        <f>IF($T11="","",ROUND(($T11-$T$3)/1000,1)+(_xlfn.RANK.AVG($T11,($J11,$O11,$T11),1)-2)*10)</f>
        <v>33.5</v>
      </c>
      <c r="Y11" s="8"/>
      <c r="Z11" s="34"/>
      <c r="AA11" s="26"/>
      <c r="AB11" s="26"/>
      <c r="AC11" s="26">
        <v>2</v>
      </c>
      <c r="AD11" s="30">
        <v>40</v>
      </c>
      <c r="AE11" s="40" t="s">
        <v>86</v>
      </c>
      <c r="AF11" s="41" t="s">
        <v>202</v>
      </c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1</v>
      </c>
      <c r="C12" s="18">
        <f t="shared" si="6"/>
        <v>2</v>
      </c>
      <c r="D12" s="18">
        <f t="shared" si="1"/>
        <v>0</v>
      </c>
      <c r="E12" s="4" t="s">
        <v>212</v>
      </c>
      <c r="F12" s="8" t="s">
        <v>205</v>
      </c>
      <c r="G12" s="9">
        <v>-1500</v>
      </c>
      <c r="H12" s="9"/>
      <c r="I12" s="48"/>
      <c r="J12" s="21">
        <f t="shared" si="2"/>
        <v>37300</v>
      </c>
      <c r="K12" s="8" t="s">
        <v>205</v>
      </c>
      <c r="L12" s="9">
        <v>3000</v>
      </c>
      <c r="M12" s="9">
        <v>-1000</v>
      </c>
      <c r="N12" s="48"/>
      <c r="O12" s="21">
        <f t="shared" si="3"/>
        <v>9700</v>
      </c>
      <c r="P12" s="8" t="s">
        <v>205</v>
      </c>
      <c r="Q12" s="9">
        <v>-1500</v>
      </c>
      <c r="R12" s="9"/>
      <c r="S12" s="48"/>
      <c r="T12" s="21">
        <f t="shared" si="4"/>
        <v>57000</v>
      </c>
      <c r="U12" s="53">
        <f>IF($J12="","",ROUND(($J12-$J$3)/1000,1)+(_xlfn.RANK.AVG($J12,($J12,$O12,$T12),1)-2)*10)</f>
        <v>2.2999999999999998</v>
      </c>
      <c r="V12" s="54">
        <f>IF($O12="","",ROUND(($O12-$O$3)/1000,1)+(_xlfn.RANK.AVG($O12,($J12,$O12,$T12),1)-2)*10)</f>
        <v>-35.299999999999997</v>
      </c>
      <c r="W12" s="55">
        <f>IF($T12="","",ROUND(($T12-$T$3)/1000,1)+(_xlfn.RANK.AVG($T12,($J12,$O12,$T12),1)-2)*10)</f>
        <v>32</v>
      </c>
      <c r="Y12" s="8" t="s">
        <v>203</v>
      </c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204</v>
      </c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203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2</v>
      </c>
      <c r="C13" s="18">
        <f t="shared" si="6"/>
        <v>3</v>
      </c>
      <c r="D13" s="18">
        <f t="shared" si="1"/>
        <v>1</v>
      </c>
      <c r="E13" s="4" t="s">
        <v>193</v>
      </c>
      <c r="F13" s="8" t="s">
        <v>198</v>
      </c>
      <c r="G13" s="9">
        <v>-6000</v>
      </c>
      <c r="H13" s="9"/>
      <c r="I13" s="48">
        <v>-1500</v>
      </c>
      <c r="J13" s="21">
        <f t="shared" si="2"/>
        <v>29800</v>
      </c>
      <c r="K13" s="8" t="s">
        <v>197</v>
      </c>
      <c r="L13" s="9">
        <v>12000</v>
      </c>
      <c r="M13" s="9">
        <v>1000</v>
      </c>
      <c r="N13" s="48">
        <v>3000</v>
      </c>
      <c r="O13" s="21">
        <f t="shared" si="3"/>
        <v>25700</v>
      </c>
      <c r="P13" s="8" t="s">
        <v>198</v>
      </c>
      <c r="Q13" s="9">
        <v>-6000</v>
      </c>
      <c r="R13" s="9"/>
      <c r="S13" s="48">
        <v>-1500</v>
      </c>
      <c r="T13" s="21">
        <f t="shared" si="4"/>
        <v>49500</v>
      </c>
      <c r="U13" s="53">
        <f>IF($J13="","",ROUND(($J13-$J$3)/1000,1)+(_xlfn.RANK.AVG($J13,($J13,$O13,$T13),1)-2)*10)</f>
        <v>-5.2</v>
      </c>
      <c r="V13" s="54">
        <f>IF($O13="","",ROUND(($O13-$O$3)/1000,1)+(_xlfn.RANK.AVG($O13,($J13,$O13,$T13),1)-2)*10)</f>
        <v>-19.3</v>
      </c>
      <c r="W13" s="55">
        <f>IF($T13="","",ROUND(($T13-$T$3)/1000,1)+(_xlfn.RANK.AVG($T13,($J13,$O13,$T13),1)-2)*10)</f>
        <v>24.5</v>
      </c>
      <c r="Y13" s="8"/>
      <c r="Z13" s="34"/>
      <c r="AA13" s="26"/>
      <c r="AB13" s="26">
        <v>1</v>
      </c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5</v>
      </c>
      <c r="AY13" s="30" t="s">
        <v>206</v>
      </c>
      <c r="AZ13" s="40" t="s">
        <v>201</v>
      </c>
      <c r="BA13" s="41" t="s">
        <v>82</v>
      </c>
      <c r="BB13" s="41" t="s">
        <v>101</v>
      </c>
      <c r="BC13" s="41" t="s">
        <v>207</v>
      </c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2</v>
      </c>
      <c r="C14" s="18">
        <f t="shared" si="6"/>
        <v>4</v>
      </c>
      <c r="D14" s="18">
        <f t="shared" si="1"/>
        <v>0</v>
      </c>
      <c r="E14" s="4" t="s">
        <v>193</v>
      </c>
      <c r="F14" s="8" t="s">
        <v>200</v>
      </c>
      <c r="G14" s="9">
        <v>8000</v>
      </c>
      <c r="H14" s="9"/>
      <c r="I14" s="48">
        <v>4000</v>
      </c>
      <c r="J14" s="21">
        <f t="shared" si="2"/>
        <v>41800</v>
      </c>
      <c r="K14" s="8" t="s">
        <v>199</v>
      </c>
      <c r="L14" s="9">
        <v>-8000</v>
      </c>
      <c r="M14" s="9"/>
      <c r="N14" s="48">
        <v>-4000</v>
      </c>
      <c r="O14" s="21">
        <f t="shared" si="3"/>
        <v>13700</v>
      </c>
      <c r="P14" s="8"/>
      <c r="Q14" s="9"/>
      <c r="R14" s="9"/>
      <c r="S14" s="48"/>
      <c r="T14" s="21">
        <f t="shared" si="4"/>
        <v>49500</v>
      </c>
      <c r="U14" s="53">
        <f>IF($J14="","",ROUND(($J14-$J$3)/1000,1)+(_xlfn.RANK.AVG($J14,($J14,$O14,$T14),1)-2)*10)</f>
        <v>6.8</v>
      </c>
      <c r="V14" s="54">
        <f>IF($O14="","",ROUND(($O14-$O$3)/1000,1)+(_xlfn.RANK.AVG($O14,($J14,$O14,$T14),1)-2)*10)</f>
        <v>-31.3</v>
      </c>
      <c r="W14" s="55">
        <f>IF($T14="","",ROUND(($T14-$T$3)/1000,1)+(_xlfn.RANK.AVG($T14,($J14,$O14,$T14),1)-2)*10)</f>
        <v>24.5</v>
      </c>
      <c r="Y14" s="8"/>
      <c r="Z14" s="34"/>
      <c r="AA14" s="26">
        <v>1</v>
      </c>
      <c r="AB14" s="26"/>
      <c r="AC14" s="26">
        <v>5</v>
      </c>
      <c r="AD14" s="30" t="s">
        <v>206</v>
      </c>
      <c r="AE14" s="40" t="s">
        <v>101</v>
      </c>
      <c r="AF14" s="41" t="s">
        <v>79</v>
      </c>
      <c r="AG14" s="41" t="s">
        <v>79</v>
      </c>
      <c r="AH14" s="41" t="s">
        <v>202</v>
      </c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qref="F1:T1" xr:uid="{045E138B-2F08-44D0-9A21-60EF45550744}">
      <formula1>"たかの,だいち,ただ,りくと,れんたろう,まっつん,のり,ぱぱ,ほたに,"</formula1>
    </dataValidation>
    <dataValidation type="list" showInputMessage="1" showErrorMessage="1" sqref="K4:K30 P4:P30 F4:F30" xr:uid="{88AFBF27-38FF-40A9-92FD-D440038ED23D}">
      <formula1>"ロン,ツモ,放銃,ツモ支払,流局,チョンボ"</formula1>
    </dataValidation>
    <dataValidation type="list" allowBlank="1" showInputMessage="1" showErrorMessage="1" sqref="E4:E30" xr:uid="{4D743AB2-5ACF-4ED7-8457-8C8BF0975747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11E45-5D10-4219-A992-A56A728C1D97}">
  <sheetPr codeName="Sheet16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213</v>
      </c>
      <c r="G1" s="78"/>
      <c r="H1" s="78"/>
      <c r="I1" s="79"/>
      <c r="J1" s="80"/>
      <c r="K1" s="77" t="s">
        <v>196</v>
      </c>
      <c r="L1" s="78"/>
      <c r="M1" s="78"/>
      <c r="N1" s="79"/>
      <c r="O1" s="80"/>
      <c r="P1" s="77" t="s">
        <v>192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まっつん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ただ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たかの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まっつん</v>
      </c>
      <c r="V2" s="75" t="str">
        <f>$K$1</f>
        <v>ただ</v>
      </c>
      <c r="W2" s="16" t="str">
        <f>$P$1</f>
        <v>たかの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196</v>
      </c>
      <c r="F4" s="8"/>
      <c r="G4" s="9"/>
      <c r="H4" s="9"/>
      <c r="I4" s="48"/>
      <c r="J4" s="21">
        <f>IF(COUNTA($F4,$K4,$P4)&gt;0,J3+SUM(G4:I4),"")</f>
        <v>35000</v>
      </c>
      <c r="K4" s="8" t="s">
        <v>199</v>
      </c>
      <c r="L4" s="9">
        <v>-12000</v>
      </c>
      <c r="M4" s="9"/>
      <c r="N4" s="48">
        <v>0</v>
      </c>
      <c r="O4" s="21">
        <f>IF(COUNTA($F4,$K4,$P4)&gt;0,O3+SUM(L4:N4),"")</f>
        <v>23000</v>
      </c>
      <c r="P4" s="8" t="s">
        <v>200</v>
      </c>
      <c r="Q4" s="9">
        <v>12000</v>
      </c>
      <c r="R4" s="9"/>
      <c r="S4" s="48">
        <v>0</v>
      </c>
      <c r="T4" s="21">
        <f>IF(COUNTA($F4,$K4,$P4)&gt;0,T3+SUM(Q4:S4),"")</f>
        <v>47000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-22</v>
      </c>
      <c r="W4" s="55">
        <f>IF($T4="","",ROUND(($T4-$T$3)/1000,1)+(_xlfn.RANK.AVG($T4,($J4,$O4,$T4),1)-2)*10)</f>
        <v>22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7</v>
      </c>
      <c r="BT4" s="30" t="s">
        <v>206</v>
      </c>
      <c r="BU4" s="40" t="s">
        <v>104</v>
      </c>
      <c r="BV4" s="41" t="s">
        <v>86</v>
      </c>
      <c r="BW4" s="41" t="s">
        <v>86</v>
      </c>
      <c r="BX4" s="41" t="s">
        <v>86</v>
      </c>
      <c r="BY4" s="41" t="s">
        <v>98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200</v>
      </c>
      <c r="G5" s="9">
        <v>5200</v>
      </c>
      <c r="H5" s="9"/>
      <c r="I5" s="48">
        <v>0</v>
      </c>
      <c r="J5" s="21">
        <f t="shared" ref="J5:J30" si="2">IF(COUNTA($F5,$K5,$P5)&gt;0,J4+SUM(G5:I5),"")</f>
        <v>40200</v>
      </c>
      <c r="K5" s="8"/>
      <c r="L5" s="9"/>
      <c r="M5" s="9"/>
      <c r="N5" s="48"/>
      <c r="O5" s="21">
        <f t="shared" ref="O5:O30" si="3">IF(COUNTA($F5,$K5,$P5)&gt;0,O4+SUM(L5:N5),"")</f>
        <v>23000</v>
      </c>
      <c r="P5" s="8" t="s">
        <v>199</v>
      </c>
      <c r="Q5" s="9">
        <v>-5200</v>
      </c>
      <c r="R5" s="9"/>
      <c r="S5" s="48">
        <v>0</v>
      </c>
      <c r="T5" s="21">
        <f t="shared" ref="T5:T30" si="4">IF(COUNTA($F5,$K5,$P5)&gt;0,T4+SUM(Q5:S5),"")</f>
        <v>41800</v>
      </c>
      <c r="U5" s="53">
        <f>IF($J5="","",ROUND(($J5-$J$3)/1000,1)+(_xlfn.RANK.AVG($J5,($J5,$O5,$T5),1)-2)*10)</f>
        <v>5.2</v>
      </c>
      <c r="V5" s="54">
        <f>IF($O5="","",ROUND(($O5-$O$3)/1000,1)+(_xlfn.RANK.AVG($O5,($J5,$O5,$T5),1)-2)*10)</f>
        <v>-22</v>
      </c>
      <c r="W5" s="55">
        <f>IF($T5="","",ROUND(($T5-$T$3)/1000,1)+(_xlfn.RANK.AVG($T5,($J5,$O5,$T5),1)-2)*10)</f>
        <v>16.8</v>
      </c>
      <c r="Y5" s="8"/>
      <c r="Z5" s="34"/>
      <c r="AA5" s="26"/>
      <c r="AB5" s="26"/>
      <c r="AC5" s="26">
        <v>3</v>
      </c>
      <c r="AD5" s="30">
        <v>40</v>
      </c>
      <c r="AE5" s="40" t="s">
        <v>86</v>
      </c>
      <c r="AF5" s="41" t="s">
        <v>79</v>
      </c>
      <c r="AG5" s="41" t="s">
        <v>79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212</v>
      </c>
      <c r="F6" s="8" t="s">
        <v>205</v>
      </c>
      <c r="G6" s="9">
        <v>3000</v>
      </c>
      <c r="H6" s="9">
        <v>-1000</v>
      </c>
      <c r="I6" s="48"/>
      <c r="J6" s="21">
        <f t="shared" si="2"/>
        <v>42200</v>
      </c>
      <c r="K6" s="8" t="s">
        <v>205</v>
      </c>
      <c r="L6" s="9">
        <v>-1500</v>
      </c>
      <c r="M6" s="9"/>
      <c r="N6" s="48"/>
      <c r="O6" s="21">
        <f t="shared" si="3"/>
        <v>21500</v>
      </c>
      <c r="P6" s="8" t="s">
        <v>205</v>
      </c>
      <c r="Q6" s="9">
        <v>-1500</v>
      </c>
      <c r="R6" s="9"/>
      <c r="S6" s="48"/>
      <c r="T6" s="21">
        <f t="shared" si="4"/>
        <v>40300</v>
      </c>
      <c r="U6" s="53">
        <f>IF($J6="","",ROUND(($J6-$J$3)/1000,1)+(_xlfn.RANK.AVG($J6,($J6,$O6,$T6),1)-2)*10)</f>
        <v>17.2</v>
      </c>
      <c r="V6" s="54">
        <f>IF($O6="","",ROUND(($O6-$O$3)/1000,1)+(_xlfn.RANK.AVG($O6,($J6,$O6,$T6),1)-2)*10)</f>
        <v>-23.5</v>
      </c>
      <c r="W6" s="55">
        <f>IF($T6="","",ROUND(($T6-$T$3)/1000,1)+(_xlfn.RANK.AVG($T6,($J6,$O6,$T6),1)-2)*10)</f>
        <v>5.3</v>
      </c>
      <c r="Y6" s="8" t="s">
        <v>204</v>
      </c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203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203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1</v>
      </c>
      <c r="E7" s="4" t="s">
        <v>212</v>
      </c>
      <c r="F7" s="8" t="s">
        <v>205</v>
      </c>
      <c r="G7" s="9">
        <v>-3000</v>
      </c>
      <c r="H7" s="9"/>
      <c r="I7" s="48"/>
      <c r="J7" s="21">
        <f t="shared" si="2"/>
        <v>39200</v>
      </c>
      <c r="K7" s="8" t="s">
        <v>205</v>
      </c>
      <c r="L7" s="9">
        <v>1500</v>
      </c>
      <c r="M7" s="9"/>
      <c r="N7" s="48"/>
      <c r="O7" s="21">
        <f t="shared" si="3"/>
        <v>23000</v>
      </c>
      <c r="P7" s="8" t="s">
        <v>205</v>
      </c>
      <c r="Q7" s="9">
        <v>1500</v>
      </c>
      <c r="R7" s="9">
        <v>-1000</v>
      </c>
      <c r="S7" s="48"/>
      <c r="T7" s="21">
        <f t="shared" si="4"/>
        <v>40800</v>
      </c>
      <c r="U7" s="53">
        <f>IF($J7="","",ROUND(($J7-$J$3)/1000,1)+(_xlfn.RANK.AVG($J7,($J7,$O7,$T7),1)-2)*10)</f>
        <v>4.2</v>
      </c>
      <c r="V7" s="54">
        <f>IF($O7="","",ROUND(($O7-$O$3)/1000,1)+(_xlfn.RANK.AVG($O7,($J7,$O7,$T7),1)-2)*10)</f>
        <v>-22</v>
      </c>
      <c r="W7" s="55">
        <f>IF($T7="","",ROUND(($T7-$T$3)/1000,1)+(_xlfn.RANK.AVG($T7,($J7,$O7,$T7),1)-2)*10)</f>
        <v>15.8</v>
      </c>
      <c r="Y7" s="8" t="s">
        <v>203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204</v>
      </c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204</v>
      </c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2</v>
      </c>
      <c r="D8" s="18">
        <f t="shared" si="1"/>
        <v>2</v>
      </c>
      <c r="E8" s="4" t="s">
        <v>195</v>
      </c>
      <c r="F8" s="8"/>
      <c r="G8" s="9"/>
      <c r="H8" s="9"/>
      <c r="I8" s="48"/>
      <c r="J8" s="21">
        <f t="shared" si="2"/>
        <v>39200</v>
      </c>
      <c r="K8" s="8" t="s">
        <v>200</v>
      </c>
      <c r="L8" s="9">
        <v>18000</v>
      </c>
      <c r="M8" s="9">
        <v>2000</v>
      </c>
      <c r="N8" s="48">
        <v>2000</v>
      </c>
      <c r="O8" s="21">
        <f t="shared" si="3"/>
        <v>45000</v>
      </c>
      <c r="P8" s="8" t="s">
        <v>199</v>
      </c>
      <c r="Q8" s="9">
        <v>-18000</v>
      </c>
      <c r="R8" s="9"/>
      <c r="S8" s="48">
        <v>-2000</v>
      </c>
      <c r="T8" s="21">
        <f t="shared" si="4"/>
        <v>20800</v>
      </c>
      <c r="U8" s="53">
        <f>IF($J8="","",ROUND(($J8-$J$3)/1000,1)+(_xlfn.RANK.AVG($J8,($J8,$O8,$T8),1)-2)*10)</f>
        <v>4.2</v>
      </c>
      <c r="V8" s="54">
        <f>IF($O8="","",ROUND(($O8-$O$3)/1000,1)+(_xlfn.RANK.AVG($O8,($J8,$O8,$T8),1)-2)*10)</f>
        <v>20</v>
      </c>
      <c r="W8" s="55">
        <f>IF($T8="","",ROUND(($T8-$T$3)/1000,1)+(_xlfn.RANK.AVG($T8,($J8,$O8,$T8),1)-2)*10)</f>
        <v>-24.2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7</v>
      </c>
      <c r="AY8" s="30" t="s">
        <v>206</v>
      </c>
      <c r="AZ8" s="40" t="s">
        <v>201</v>
      </c>
      <c r="BA8" s="41" t="s">
        <v>84</v>
      </c>
      <c r="BB8" s="41" t="s">
        <v>79</v>
      </c>
      <c r="BC8" s="41" t="s">
        <v>79</v>
      </c>
      <c r="BD8" s="41" t="s">
        <v>80</v>
      </c>
      <c r="BE8" s="41" t="s">
        <v>80</v>
      </c>
      <c r="BF8" s="41" t="s">
        <v>202</v>
      </c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3</v>
      </c>
      <c r="D9" s="18">
        <f t="shared" si="1"/>
        <v>0</v>
      </c>
      <c r="E9" s="4" t="s">
        <v>195</v>
      </c>
      <c r="F9" s="8" t="s">
        <v>199</v>
      </c>
      <c r="G9" s="9">
        <v>-3900</v>
      </c>
      <c r="H9" s="9"/>
      <c r="I9" s="48">
        <v>-3000</v>
      </c>
      <c r="J9" s="21">
        <f t="shared" si="2"/>
        <v>32300</v>
      </c>
      <c r="K9" s="8" t="s">
        <v>200</v>
      </c>
      <c r="L9" s="9">
        <v>3900</v>
      </c>
      <c r="M9" s="9"/>
      <c r="N9" s="48">
        <v>3000</v>
      </c>
      <c r="O9" s="21">
        <f t="shared" si="3"/>
        <v>51900</v>
      </c>
      <c r="P9" s="8"/>
      <c r="Q9" s="9"/>
      <c r="R9" s="9"/>
      <c r="S9" s="48"/>
      <c r="T9" s="21">
        <f t="shared" si="4"/>
        <v>20800</v>
      </c>
      <c r="U9" s="53">
        <f>IF($J9="","",ROUND(($J9-$J$3)/1000,1)+(_xlfn.RANK.AVG($J9,($J9,$O9,$T9),1)-2)*10)</f>
        <v>-2.7</v>
      </c>
      <c r="V9" s="54">
        <f>IF($O9="","",ROUND(($O9-$O$3)/1000,1)+(_xlfn.RANK.AVG($O9,($J9,$O9,$T9),1)-2)*10)</f>
        <v>26.9</v>
      </c>
      <c r="W9" s="55">
        <f>IF($T9="","",ROUND(($T9-$T$3)/1000,1)+(_xlfn.RANK.AVG($T9,($J9,$O9,$T9),1)-2)*10)</f>
        <v>-24.2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2</v>
      </c>
      <c r="AY9" s="30">
        <v>40</v>
      </c>
      <c r="AZ9" s="40" t="s">
        <v>202</v>
      </c>
      <c r="BA9" s="41" t="s">
        <v>86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4</v>
      </c>
      <c r="D10" s="18">
        <f t="shared" si="1"/>
        <v>0</v>
      </c>
      <c r="E10" s="4" t="s">
        <v>195</v>
      </c>
      <c r="F10" s="8" t="s">
        <v>205</v>
      </c>
      <c r="G10" s="9">
        <v>1500</v>
      </c>
      <c r="H10" s="9">
        <v>-1000</v>
      </c>
      <c r="I10" s="48"/>
      <c r="J10" s="21">
        <f t="shared" si="2"/>
        <v>32800</v>
      </c>
      <c r="K10" s="8" t="s">
        <v>205</v>
      </c>
      <c r="L10" s="9">
        <v>1500</v>
      </c>
      <c r="M10" s="9"/>
      <c r="N10" s="48"/>
      <c r="O10" s="21">
        <f t="shared" si="3"/>
        <v>53400</v>
      </c>
      <c r="P10" s="8" t="s">
        <v>205</v>
      </c>
      <c r="Q10" s="9">
        <v>-3000</v>
      </c>
      <c r="R10" s="9"/>
      <c r="S10" s="48"/>
      <c r="T10" s="21">
        <f t="shared" si="4"/>
        <v>17800</v>
      </c>
      <c r="U10" s="53">
        <f>IF($J10="","",ROUND(($J10-$J$3)/1000,1)+(_xlfn.RANK.AVG($J10,($J10,$O10,$T10),1)-2)*10)</f>
        <v>-2.2000000000000002</v>
      </c>
      <c r="V10" s="54">
        <f>IF($O10="","",ROUND(($O10-$O$3)/1000,1)+(_xlfn.RANK.AVG($O10,($J10,$O10,$T10),1)-2)*10)</f>
        <v>28.4</v>
      </c>
      <c r="W10" s="55">
        <f>IF($T10="","",ROUND(($T10-$T$3)/1000,1)+(_xlfn.RANK.AVG($T10,($J10,$O10,$T10),1)-2)*10)</f>
        <v>-27.2</v>
      </c>
      <c r="Y10" s="8" t="s">
        <v>204</v>
      </c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204</v>
      </c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203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5</v>
      </c>
      <c r="D11" s="18">
        <f t="shared" si="1"/>
        <v>1</v>
      </c>
      <c r="E11" s="4" t="s">
        <v>195</v>
      </c>
      <c r="F11" s="8" t="s">
        <v>197</v>
      </c>
      <c r="G11" s="9">
        <v>12000</v>
      </c>
      <c r="H11" s="9">
        <v>1000</v>
      </c>
      <c r="I11" s="48">
        <v>5000</v>
      </c>
      <c r="J11" s="21">
        <f t="shared" si="2"/>
        <v>50800</v>
      </c>
      <c r="K11" s="8" t="s">
        <v>198</v>
      </c>
      <c r="L11" s="9">
        <v>-7500</v>
      </c>
      <c r="M11" s="9"/>
      <c r="N11" s="48">
        <v>-2500</v>
      </c>
      <c r="O11" s="21">
        <f t="shared" si="3"/>
        <v>43400</v>
      </c>
      <c r="P11" s="8" t="s">
        <v>198</v>
      </c>
      <c r="Q11" s="9">
        <v>-4500</v>
      </c>
      <c r="R11" s="9"/>
      <c r="S11" s="48">
        <v>-2500</v>
      </c>
      <c r="T11" s="21">
        <f t="shared" si="4"/>
        <v>10800</v>
      </c>
      <c r="U11" s="53">
        <f>IF($J11="","",ROUND(($J11-$J$3)/1000,1)+(_xlfn.RANK.AVG($J11,($J11,$O11,$T11),1)-2)*10)</f>
        <v>25.8</v>
      </c>
      <c r="V11" s="54">
        <f>IF($O11="","",ROUND(($O11-$O$3)/1000,1)+(_xlfn.RANK.AVG($O11,($J11,$O11,$T11),1)-2)*10)</f>
        <v>8.4</v>
      </c>
      <c r="W11" s="55">
        <f>IF($T11="","",ROUND(($T11-$T$3)/1000,1)+(_xlfn.RANK.AVG($T11,($J11,$O11,$T11),1)-2)*10)</f>
        <v>-34.200000000000003</v>
      </c>
      <c r="Y11" s="8"/>
      <c r="Z11" s="34"/>
      <c r="AA11" s="26">
        <v>1</v>
      </c>
      <c r="AB11" s="26"/>
      <c r="AC11" s="26">
        <v>6</v>
      </c>
      <c r="AD11" s="30" t="s">
        <v>206</v>
      </c>
      <c r="AE11" s="40" t="s">
        <v>201</v>
      </c>
      <c r="AF11" s="41" t="s">
        <v>82</v>
      </c>
      <c r="AG11" s="41" t="s">
        <v>84</v>
      </c>
      <c r="AH11" s="41" t="s">
        <v>80</v>
      </c>
      <c r="AI11" s="41" t="s">
        <v>80</v>
      </c>
      <c r="AJ11" s="41" t="s">
        <v>83</v>
      </c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191</v>
      </c>
      <c r="F12" s="8"/>
      <c r="G12" s="9"/>
      <c r="H12" s="9"/>
      <c r="I12" s="48"/>
      <c r="J12" s="21">
        <f t="shared" si="2"/>
        <v>50800</v>
      </c>
      <c r="K12" s="8" t="s">
        <v>200</v>
      </c>
      <c r="L12" s="9">
        <v>6400</v>
      </c>
      <c r="M12" s="9"/>
      <c r="N12" s="48">
        <v>0</v>
      </c>
      <c r="O12" s="21">
        <f t="shared" si="3"/>
        <v>49800</v>
      </c>
      <c r="P12" s="8" t="s">
        <v>199</v>
      </c>
      <c r="Q12" s="9">
        <v>-6400</v>
      </c>
      <c r="R12" s="9"/>
      <c r="S12" s="48">
        <v>0</v>
      </c>
      <c r="T12" s="21">
        <f t="shared" si="4"/>
        <v>4400</v>
      </c>
      <c r="U12" s="53">
        <f>IF($J12="","",ROUND(($J12-$J$3)/1000,1)+(_xlfn.RANK.AVG($J12,($J12,$O12,$T12),1)-2)*10)</f>
        <v>25.8</v>
      </c>
      <c r="V12" s="54">
        <f>IF($O12="","",ROUND(($O12-$O$3)/1000,1)+(_xlfn.RANK.AVG($O12,($J12,$O12,$T12),1)-2)*10)</f>
        <v>14.8</v>
      </c>
      <c r="W12" s="55">
        <f>IF($T12="","",ROUND(($T12-$T$3)/1000,1)+(_xlfn.RANK.AVG($T12,($J12,$O12,$T12),1)-2)*10)</f>
        <v>-40.6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>
        <v>4</v>
      </c>
      <c r="AY12" s="30">
        <v>25</v>
      </c>
      <c r="AZ12" s="40" t="s">
        <v>101</v>
      </c>
      <c r="BA12" s="41" t="s">
        <v>79</v>
      </c>
      <c r="BB12" s="41" t="s">
        <v>79</v>
      </c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212</v>
      </c>
      <c r="F13" s="8" t="s">
        <v>199</v>
      </c>
      <c r="G13" s="9">
        <v>-8000</v>
      </c>
      <c r="H13" s="9">
        <v>-1000</v>
      </c>
      <c r="I13" s="48">
        <v>0</v>
      </c>
      <c r="J13" s="21">
        <f t="shared" si="2"/>
        <v>41800</v>
      </c>
      <c r="K13" s="8"/>
      <c r="L13" s="9"/>
      <c r="M13" s="9"/>
      <c r="N13" s="48"/>
      <c r="O13" s="21">
        <f t="shared" si="3"/>
        <v>49800</v>
      </c>
      <c r="P13" s="8" t="s">
        <v>200</v>
      </c>
      <c r="Q13" s="9">
        <v>8000</v>
      </c>
      <c r="R13" s="9">
        <v>1000</v>
      </c>
      <c r="S13" s="48">
        <v>0</v>
      </c>
      <c r="T13" s="21">
        <f t="shared" si="4"/>
        <v>13400</v>
      </c>
      <c r="U13" s="53">
        <f>IF($J13="","",ROUND(($J13-$J$3)/1000,1)+(_xlfn.RANK.AVG($J13,($J13,$O13,$T13),1)-2)*10)</f>
        <v>6.8</v>
      </c>
      <c r="V13" s="54">
        <f>IF($O13="","",ROUND(($O13-$O$3)/1000,1)+(_xlfn.RANK.AVG($O13,($J13,$O13,$T13),1)-2)*10)</f>
        <v>24.8</v>
      </c>
      <c r="W13" s="55">
        <f>IF($T13="","",ROUND(($T13-$T$3)/1000,1)+(_xlfn.RANK.AVG($T13,($J13,$O13,$T13),1)-2)*10)</f>
        <v>-31.6</v>
      </c>
      <c r="Y13" s="8"/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5</v>
      </c>
      <c r="BT13" s="30" t="s">
        <v>206</v>
      </c>
      <c r="BU13" s="40" t="s">
        <v>83</v>
      </c>
      <c r="BV13" s="41" t="s">
        <v>79</v>
      </c>
      <c r="BW13" s="41" t="s">
        <v>79</v>
      </c>
      <c r="BX13" s="41" t="s">
        <v>201</v>
      </c>
      <c r="BY13" s="41" t="s">
        <v>88</v>
      </c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qref="F1:T1" xr:uid="{95B855DE-952E-4DE6-98C2-9A00BDF8E335}">
      <formula1>"たかの,だいち,ただ,りくと,れんたろう,まっつん,のり,ぱぱ,ほたに,"</formula1>
    </dataValidation>
    <dataValidation type="list" showInputMessage="1" showErrorMessage="1" sqref="K4:K30 P4:P30 F4:F30" xr:uid="{E5FCDE4E-4127-45CB-B95F-0D0937E2E27F}">
      <formula1>"ロン,ツモ,放銃,ツモ支払,流局,チョンボ"</formula1>
    </dataValidation>
    <dataValidation type="list" allowBlank="1" showInputMessage="1" showErrorMessage="1" sqref="E4:E30" xr:uid="{1DEC43A8-B2FE-45FD-AD5A-20B5C4F69331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C5D95-4FAA-4C00-A8B8-8ACA582682CF}">
  <sheetPr codeName="Sheet17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213</v>
      </c>
      <c r="G1" s="78"/>
      <c r="H1" s="78"/>
      <c r="I1" s="79"/>
      <c r="J1" s="80"/>
      <c r="K1" s="77" t="s">
        <v>210</v>
      </c>
      <c r="L1" s="78"/>
      <c r="M1" s="78"/>
      <c r="N1" s="79"/>
      <c r="O1" s="80"/>
      <c r="P1" s="77" t="s">
        <v>192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まっつん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れんたろう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たかの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まっつん</v>
      </c>
      <c r="V2" s="75" t="str">
        <f>$K$1</f>
        <v>れんたろう</v>
      </c>
      <c r="W2" s="16" t="str">
        <f>$P$1</f>
        <v>たかの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212</v>
      </c>
      <c r="F4" s="8" t="s">
        <v>198</v>
      </c>
      <c r="G4" s="9">
        <v>-7500</v>
      </c>
      <c r="H4" s="9"/>
      <c r="I4" s="48">
        <v>0</v>
      </c>
      <c r="J4" s="21">
        <f>IF(COUNTA($F4,$K4,$P4)&gt;0,J3+SUM(G4:I4),"")</f>
        <v>27500</v>
      </c>
      <c r="K4" s="8" t="s">
        <v>197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198</v>
      </c>
      <c r="Q4" s="9">
        <v>-4500</v>
      </c>
      <c r="R4" s="9"/>
      <c r="S4" s="48">
        <v>0</v>
      </c>
      <c r="T4" s="21">
        <f>IF(COUNTA($F4,$K4,$P4)&gt;0,T3+SUM(Q4:S4),"")</f>
        <v>30500</v>
      </c>
      <c r="U4" s="53">
        <f>IF($J4="","",ROUND(($J4-$J$3)/1000,1)+(_xlfn.RANK.AVG($J4,($J4,$O4,$T4),1)-2)*10)</f>
        <v>-17.5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-4.5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7</v>
      </c>
      <c r="AY4" s="30" t="s">
        <v>206</v>
      </c>
      <c r="AZ4" s="40" t="s">
        <v>201</v>
      </c>
      <c r="BA4" s="41" t="s">
        <v>82</v>
      </c>
      <c r="BB4" s="41" t="s">
        <v>79</v>
      </c>
      <c r="BC4" s="41" t="s">
        <v>79</v>
      </c>
      <c r="BD4" s="41" t="s">
        <v>80</v>
      </c>
      <c r="BE4" s="41" t="s">
        <v>202</v>
      </c>
      <c r="BF4" s="41" t="s">
        <v>83</v>
      </c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209</v>
      </c>
      <c r="F5" s="8"/>
      <c r="G5" s="9"/>
      <c r="H5" s="9"/>
      <c r="I5" s="48"/>
      <c r="J5" s="21">
        <f t="shared" ref="J5:J30" si="2">IF(COUNTA($F5,$K5,$P5)&gt;0,J4+SUM(G5:I5),"")</f>
        <v>27500</v>
      </c>
      <c r="K5" s="8" t="s">
        <v>199</v>
      </c>
      <c r="L5" s="9">
        <v>-2000</v>
      </c>
      <c r="M5" s="9"/>
      <c r="N5" s="48">
        <v>0</v>
      </c>
      <c r="O5" s="21">
        <f t="shared" ref="O5:O30" si="3">IF(COUNTA($F5,$K5,$P5)&gt;0,O4+SUM(L5:N5),"")</f>
        <v>45000</v>
      </c>
      <c r="P5" s="8" t="s">
        <v>200</v>
      </c>
      <c r="Q5" s="9">
        <v>2000</v>
      </c>
      <c r="R5" s="9"/>
      <c r="S5" s="48">
        <v>0</v>
      </c>
      <c r="T5" s="21">
        <f t="shared" ref="T5:T30" si="4">IF(COUNTA($F5,$K5,$P5)&gt;0,T4+SUM(Q5:S5),"")</f>
        <v>32500</v>
      </c>
      <c r="U5" s="53">
        <f>IF($J5="","",ROUND(($J5-$J$3)/1000,1)+(_xlfn.RANK.AVG($J5,($J5,$O5,$T5),1)-2)*10)</f>
        <v>-17.5</v>
      </c>
      <c r="V5" s="54">
        <f>IF($O5="","",ROUND(($O5-$O$3)/1000,1)+(_xlfn.RANK.AVG($O5,($J5,$O5,$T5),1)-2)*10)</f>
        <v>20</v>
      </c>
      <c r="W5" s="55">
        <f>IF($T5="","",ROUND(($T5-$T$3)/1000,1)+(_xlfn.RANK.AVG($T5,($J5,$O5,$T5),1)-2)*10)</f>
        <v>-2.5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2</v>
      </c>
      <c r="BT5" s="30">
        <v>30</v>
      </c>
      <c r="BU5" s="40" t="s">
        <v>79</v>
      </c>
      <c r="BV5" s="41" t="s">
        <v>86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/>
      <c r="G6" s="9"/>
      <c r="H6" s="9">
        <v>-1000</v>
      </c>
      <c r="I6" s="48"/>
      <c r="J6" s="21">
        <f t="shared" si="2"/>
        <v>26500</v>
      </c>
      <c r="K6" s="8" t="s">
        <v>200</v>
      </c>
      <c r="L6" s="9">
        <v>8000</v>
      </c>
      <c r="M6" s="9">
        <v>1000</v>
      </c>
      <c r="N6" s="48">
        <v>0</v>
      </c>
      <c r="O6" s="21">
        <f t="shared" si="3"/>
        <v>54000</v>
      </c>
      <c r="P6" s="8" t="s">
        <v>199</v>
      </c>
      <c r="Q6" s="9">
        <v>-8000</v>
      </c>
      <c r="R6" s="9"/>
      <c r="S6" s="48">
        <v>0</v>
      </c>
      <c r="T6" s="21">
        <f t="shared" si="4"/>
        <v>24500</v>
      </c>
      <c r="U6" s="53">
        <f>IF($J6="","",ROUND(($J6-$J$3)/1000,1)+(_xlfn.RANK.AVG($J6,($J6,$O6,$T6),1)-2)*10)</f>
        <v>-8.5</v>
      </c>
      <c r="V6" s="54">
        <f>IF($O6="","",ROUND(($O6-$O$3)/1000,1)+(_xlfn.RANK.AVG($O6,($J6,$O6,$T6),1)-2)*10)</f>
        <v>29</v>
      </c>
      <c r="W6" s="55">
        <f>IF($T6="","",ROUND(($T6-$T$3)/1000,1)+(_xlfn.RANK.AVG($T6,($J6,$O6,$T6),1)-2)*10)</f>
        <v>-20.5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5</v>
      </c>
      <c r="AY6" s="30" t="s">
        <v>206</v>
      </c>
      <c r="AZ6" s="40" t="s">
        <v>86</v>
      </c>
      <c r="BA6" s="41" t="s">
        <v>79</v>
      </c>
      <c r="BB6" s="41" t="s">
        <v>79</v>
      </c>
      <c r="BC6" s="41" t="s">
        <v>79</v>
      </c>
      <c r="BD6" s="41" t="s">
        <v>202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212</v>
      </c>
      <c r="F7" s="8" t="s">
        <v>200</v>
      </c>
      <c r="G7" s="9">
        <v>3900</v>
      </c>
      <c r="H7" s="9">
        <v>1000</v>
      </c>
      <c r="I7" s="48">
        <v>0</v>
      </c>
      <c r="J7" s="21">
        <f t="shared" si="2"/>
        <v>31400</v>
      </c>
      <c r="K7" s="8"/>
      <c r="L7" s="9"/>
      <c r="M7" s="9">
        <v>-1000</v>
      </c>
      <c r="N7" s="48"/>
      <c r="O7" s="21">
        <f t="shared" si="3"/>
        <v>53000</v>
      </c>
      <c r="P7" s="8" t="s">
        <v>199</v>
      </c>
      <c r="Q7" s="9">
        <v>-3900</v>
      </c>
      <c r="R7" s="9"/>
      <c r="S7" s="48">
        <v>0</v>
      </c>
      <c r="T7" s="21">
        <f t="shared" si="4"/>
        <v>20600</v>
      </c>
      <c r="U7" s="53">
        <f>IF($J7="","",ROUND(($J7-$J$3)/1000,1)+(_xlfn.RANK.AVG($J7,($J7,$O7,$T7),1)-2)*10)</f>
        <v>-3.6</v>
      </c>
      <c r="V7" s="54">
        <f>IF($O7="","",ROUND(($O7-$O$3)/1000,1)+(_xlfn.RANK.AVG($O7,($J7,$O7,$T7),1)-2)*10)</f>
        <v>28</v>
      </c>
      <c r="W7" s="55">
        <f>IF($T7="","",ROUND(($T7-$T$3)/1000,1)+(_xlfn.RANK.AVG($T7,($J7,$O7,$T7),1)-2)*10)</f>
        <v>-24.4</v>
      </c>
      <c r="Y7" s="8"/>
      <c r="Z7" s="34"/>
      <c r="AA7" s="26"/>
      <c r="AB7" s="26"/>
      <c r="AC7" s="26">
        <v>2</v>
      </c>
      <c r="AD7" s="30">
        <v>40</v>
      </c>
      <c r="AE7" s="40" t="s">
        <v>84</v>
      </c>
      <c r="AF7" s="41" t="s">
        <v>202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212</v>
      </c>
      <c r="F8" s="8" t="s">
        <v>198</v>
      </c>
      <c r="G8" s="9">
        <v>-3300</v>
      </c>
      <c r="H8" s="9"/>
      <c r="I8" s="48">
        <v>-500</v>
      </c>
      <c r="J8" s="21">
        <f t="shared" si="2"/>
        <v>27600</v>
      </c>
      <c r="K8" s="8" t="s">
        <v>197</v>
      </c>
      <c r="L8" s="9">
        <v>5300</v>
      </c>
      <c r="M8" s="9"/>
      <c r="N8" s="48">
        <v>1000</v>
      </c>
      <c r="O8" s="21">
        <f t="shared" si="3"/>
        <v>59300</v>
      </c>
      <c r="P8" s="8" t="s">
        <v>198</v>
      </c>
      <c r="Q8" s="9">
        <v>-2000</v>
      </c>
      <c r="R8" s="9"/>
      <c r="S8" s="48">
        <v>-500</v>
      </c>
      <c r="T8" s="21">
        <f t="shared" si="4"/>
        <v>18100</v>
      </c>
      <c r="U8" s="53">
        <f>IF($J8="","",ROUND(($J8-$J$3)/1000,1)+(_xlfn.RANK.AVG($J8,($J8,$O8,$T8),1)-2)*10)</f>
        <v>-7.4</v>
      </c>
      <c r="V8" s="54">
        <f>IF($O8="","",ROUND(($O8-$O$3)/1000,1)+(_xlfn.RANK.AVG($O8,($J8,$O8,$T8),1)-2)*10)</f>
        <v>34.299999999999997</v>
      </c>
      <c r="W8" s="55">
        <f>IF($T8="","",ROUND(($T8-$T$3)/1000,1)+(_xlfn.RANK.AVG($T8,($J8,$O8,$T8),1)-2)*10)</f>
        <v>-26.9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4</v>
      </c>
      <c r="AY8" s="30">
        <v>20</v>
      </c>
      <c r="AZ8" s="40" t="s">
        <v>201</v>
      </c>
      <c r="BA8" s="41" t="s">
        <v>82</v>
      </c>
      <c r="BB8" s="41" t="s">
        <v>83</v>
      </c>
      <c r="BC8" s="41" t="s">
        <v>79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209</v>
      </c>
      <c r="F9" s="8" t="s">
        <v>205</v>
      </c>
      <c r="G9" s="9">
        <v>0</v>
      </c>
      <c r="H9" s="9"/>
      <c r="I9" s="48"/>
      <c r="J9" s="21">
        <f t="shared" si="2"/>
        <v>27600</v>
      </c>
      <c r="K9" s="8" t="s">
        <v>205</v>
      </c>
      <c r="L9" s="9">
        <v>0</v>
      </c>
      <c r="M9" s="9"/>
      <c r="N9" s="48"/>
      <c r="O9" s="21">
        <f t="shared" si="3"/>
        <v>59300</v>
      </c>
      <c r="P9" s="8" t="s">
        <v>205</v>
      </c>
      <c r="Q9" s="9">
        <v>0</v>
      </c>
      <c r="R9" s="9"/>
      <c r="S9" s="48"/>
      <c r="T9" s="21">
        <f t="shared" si="4"/>
        <v>18100</v>
      </c>
      <c r="U9" s="53">
        <f>IF($J9="","",ROUND(($J9-$J$3)/1000,1)+(_xlfn.RANK.AVG($J9,($J9,$O9,$T9),1)-2)*10)</f>
        <v>-7.4</v>
      </c>
      <c r="V9" s="54">
        <f>IF($O9="","",ROUND(($O9-$O$3)/1000,1)+(_xlfn.RANK.AVG($O9,($J9,$O9,$T9),1)-2)*10)</f>
        <v>34.299999999999997</v>
      </c>
      <c r="W9" s="55">
        <f>IF($T9="","",ROUND(($T9-$T$3)/1000,1)+(_xlfn.RANK.AVG($T9,($J9,$O9,$T9),1)-2)*10)</f>
        <v>-26.9</v>
      </c>
      <c r="Y9" s="8" t="s">
        <v>203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203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203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">
        <v>191</v>
      </c>
      <c r="F10" s="8" t="s">
        <v>199</v>
      </c>
      <c r="G10" s="9">
        <v>-7700</v>
      </c>
      <c r="H10" s="9"/>
      <c r="I10" s="48">
        <v>-1000</v>
      </c>
      <c r="J10" s="21">
        <f t="shared" si="2"/>
        <v>18900</v>
      </c>
      <c r="K10" s="8" t="s">
        <v>200</v>
      </c>
      <c r="L10" s="9">
        <v>7700</v>
      </c>
      <c r="M10" s="9"/>
      <c r="N10" s="48">
        <v>1000</v>
      </c>
      <c r="O10" s="21">
        <f t="shared" si="3"/>
        <v>68000</v>
      </c>
      <c r="P10" s="8"/>
      <c r="Q10" s="9"/>
      <c r="R10" s="9"/>
      <c r="S10" s="48"/>
      <c r="T10" s="21">
        <f t="shared" si="4"/>
        <v>18100</v>
      </c>
      <c r="U10" s="53">
        <f>IF($J10="","",ROUND(($J10-$J$3)/1000,1)+(_xlfn.RANK.AVG($J10,($J10,$O10,$T10),1)-2)*10)</f>
        <v>-16.100000000000001</v>
      </c>
      <c r="V10" s="54">
        <f>IF($O10="","",ROUND(($O10-$O$3)/1000,1)+(_xlfn.RANK.AVG($O10,($J10,$O10,$T10),1)-2)*10)</f>
        <v>43</v>
      </c>
      <c r="W10" s="55">
        <f>IF($T10="","",ROUND(($T10-$T$3)/1000,1)+(_xlfn.RANK.AVG($T10,($J10,$O10,$T10),1)-2)*10)</f>
        <v>-26.9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4</v>
      </c>
      <c r="AY10" s="30">
        <v>30</v>
      </c>
      <c r="AZ10" s="40" t="s">
        <v>202</v>
      </c>
      <c r="BA10" s="41" t="s">
        <v>104</v>
      </c>
      <c r="BB10" s="41" t="s">
        <v>86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DD1A4B47-A869-43C7-979B-17B95BDDCDEA}">
      <formula1>$U$2:$W$2</formula1>
    </dataValidation>
    <dataValidation type="list" showInputMessage="1" showErrorMessage="1" sqref="K4:K30 P4:P30 F4:F30" xr:uid="{2C5A8CF0-C1A5-40D0-A268-A21EA0975796}">
      <formula1>"ロン,ツモ,放銃,ツモ支払,流局,チョンボ"</formula1>
    </dataValidation>
    <dataValidation type="list" allowBlank="1" showInputMessage="1" sqref="F1:T1" xr:uid="{DA0A6920-7683-4AF3-A151-C668E4A31339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B6D3E-13E4-4611-86FF-69CCD9B2FBC0}">
  <sheetPr codeName="Sheet18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213</v>
      </c>
      <c r="G1" s="78"/>
      <c r="H1" s="78"/>
      <c r="I1" s="79"/>
      <c r="J1" s="80"/>
      <c r="K1" s="77" t="s">
        <v>210</v>
      </c>
      <c r="L1" s="78"/>
      <c r="M1" s="78"/>
      <c r="N1" s="79"/>
      <c r="O1" s="80"/>
      <c r="P1" s="77" t="s">
        <v>196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まっつん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れんたろう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ただ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まっつん</v>
      </c>
      <c r="V2" s="75" t="str">
        <f>$K$1</f>
        <v>れんたろう</v>
      </c>
      <c r="W2" s="16" t="str">
        <f>$P$1</f>
        <v>ただ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200</v>
      </c>
      <c r="G4" s="9">
        <v>8000</v>
      </c>
      <c r="H4" s="9"/>
      <c r="I4" s="48">
        <v>0</v>
      </c>
      <c r="J4" s="21">
        <f>IF(COUNTA($F4,$K4,$P4)&gt;0,J3+SUM(G4:I4),"")</f>
        <v>43000</v>
      </c>
      <c r="K4" s="8"/>
      <c r="L4" s="9"/>
      <c r="M4" s="9"/>
      <c r="N4" s="48"/>
      <c r="O4" s="21">
        <f>IF(COUNTA($F4,$K4,$P4)&gt;0,O3+SUM(L4:N4),"")</f>
        <v>35000</v>
      </c>
      <c r="P4" s="8" t="s">
        <v>199</v>
      </c>
      <c r="Q4" s="9">
        <v>-8000</v>
      </c>
      <c r="R4" s="9"/>
      <c r="S4" s="48">
        <v>0</v>
      </c>
      <c r="T4" s="21">
        <f>IF(COUNTA($F4,$K4,$P4)&gt;0,T3+SUM(Q4:S4),"")</f>
        <v>27000</v>
      </c>
      <c r="U4" s="53">
        <f>IF($J4="","",ROUND(($J4-$J$3)/1000,1)+(_xlfn.RANK.AVG($J4,($J4,$O4,$T4),1)-2)*10)</f>
        <v>18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-18</v>
      </c>
      <c r="Y4" s="8"/>
      <c r="Z4" s="34"/>
      <c r="AA4" s="26">
        <v>1</v>
      </c>
      <c r="AB4" s="26"/>
      <c r="AC4" s="26">
        <v>5</v>
      </c>
      <c r="AD4" s="30" t="s">
        <v>206</v>
      </c>
      <c r="AE4" s="40" t="s">
        <v>201</v>
      </c>
      <c r="AF4" s="41" t="s">
        <v>84</v>
      </c>
      <c r="AG4" s="41" t="s">
        <v>86</v>
      </c>
      <c r="AH4" s="41" t="s">
        <v>79</v>
      </c>
      <c r="AI4" s="41" t="s">
        <v>79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212</v>
      </c>
      <c r="F5" s="8" t="s">
        <v>198</v>
      </c>
      <c r="G5" s="9">
        <v>-1300</v>
      </c>
      <c r="H5" s="9"/>
      <c r="I5" s="48">
        <v>0</v>
      </c>
      <c r="J5" s="21">
        <f t="shared" ref="J5:J30" si="2">IF(COUNTA($F5,$K5,$P5)&gt;0,J4+SUM(G5:I5),"")</f>
        <v>41700</v>
      </c>
      <c r="K5" s="8" t="s">
        <v>198</v>
      </c>
      <c r="L5" s="9">
        <v>-800</v>
      </c>
      <c r="M5" s="9"/>
      <c r="N5" s="48">
        <v>0</v>
      </c>
      <c r="O5" s="21">
        <f t="shared" ref="O5:O30" si="3">IF(COUNTA($F5,$K5,$P5)&gt;0,O4+SUM(L5:N5),"")</f>
        <v>34200</v>
      </c>
      <c r="P5" s="8" t="s">
        <v>197</v>
      </c>
      <c r="Q5" s="9">
        <v>2100</v>
      </c>
      <c r="R5" s="9"/>
      <c r="S5" s="48">
        <v>0</v>
      </c>
      <c r="T5" s="21">
        <f t="shared" ref="T5:T30" si="4">IF(COUNTA($F5,$K5,$P5)&gt;0,T4+SUM(Q5:S5),"")</f>
        <v>29100</v>
      </c>
      <c r="U5" s="53">
        <f>IF($J5="","",ROUND(($J5-$J$3)/1000,1)+(_xlfn.RANK.AVG($J5,($J5,$O5,$T5),1)-2)*10)</f>
        <v>16.7</v>
      </c>
      <c r="V5" s="54">
        <f>IF($O5="","",ROUND(($O5-$O$3)/1000,1)+(_xlfn.RANK.AVG($O5,($J5,$O5,$T5),1)-2)*10)</f>
        <v>-0.8</v>
      </c>
      <c r="W5" s="55">
        <f>IF($T5="","",ROUND(($T5-$T$3)/1000,1)+(_xlfn.RANK.AVG($T5,($J5,$O5,$T5),1)-2)*10)</f>
        <v>-15.9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2</v>
      </c>
      <c r="BT5" s="30">
        <v>30</v>
      </c>
      <c r="BU5" s="40" t="s">
        <v>86</v>
      </c>
      <c r="BV5" s="41" t="s">
        <v>79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209</v>
      </c>
      <c r="F6" s="8" t="s">
        <v>205</v>
      </c>
      <c r="G6" s="9">
        <v>0</v>
      </c>
      <c r="H6" s="9"/>
      <c r="I6" s="48"/>
      <c r="J6" s="21">
        <f t="shared" si="2"/>
        <v>41700</v>
      </c>
      <c r="K6" s="8" t="s">
        <v>205</v>
      </c>
      <c r="L6" s="9">
        <v>0</v>
      </c>
      <c r="M6" s="9"/>
      <c r="N6" s="48"/>
      <c r="O6" s="21">
        <f t="shared" si="3"/>
        <v>34200</v>
      </c>
      <c r="P6" s="8" t="s">
        <v>205</v>
      </c>
      <c r="Q6" s="9">
        <v>0</v>
      </c>
      <c r="R6" s="9"/>
      <c r="S6" s="48"/>
      <c r="T6" s="21">
        <f t="shared" si="4"/>
        <v>29100</v>
      </c>
      <c r="U6" s="53">
        <f>IF($J6="","",ROUND(($J6-$J$3)/1000,1)+(_xlfn.RANK.AVG($J6,($J6,$O6,$T6),1)-2)*10)</f>
        <v>16.7</v>
      </c>
      <c r="V6" s="54">
        <f>IF($O6="","",ROUND(($O6-$O$3)/1000,1)+(_xlfn.RANK.AVG($O6,($J6,$O6,$T6),1)-2)*10)</f>
        <v>-0.8</v>
      </c>
      <c r="W6" s="55">
        <f>IF($T6="","",ROUND(($T6-$T$3)/1000,1)+(_xlfn.RANK.AVG($T6,($J6,$O6,$T6),1)-2)*10)</f>
        <v>-15.9</v>
      </c>
      <c r="Y6" s="8" t="s">
        <v>204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204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204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209</v>
      </c>
      <c r="F7" s="8" t="s">
        <v>200</v>
      </c>
      <c r="G7" s="9">
        <v>16000</v>
      </c>
      <c r="H7" s="9"/>
      <c r="I7" s="48">
        <v>1000</v>
      </c>
      <c r="J7" s="21">
        <f t="shared" si="2"/>
        <v>58700</v>
      </c>
      <c r="K7" s="8"/>
      <c r="L7" s="9"/>
      <c r="M7" s="9"/>
      <c r="N7" s="48"/>
      <c r="O7" s="21">
        <f t="shared" si="3"/>
        <v>34200</v>
      </c>
      <c r="P7" s="8" t="s">
        <v>199</v>
      </c>
      <c r="Q7" s="9">
        <v>-16000</v>
      </c>
      <c r="R7" s="9"/>
      <c r="S7" s="48">
        <v>-1000</v>
      </c>
      <c r="T7" s="21">
        <f t="shared" si="4"/>
        <v>12100</v>
      </c>
      <c r="U7" s="53">
        <f>IF($J7="","",ROUND(($J7-$J$3)/1000,1)+(_xlfn.RANK.AVG($J7,($J7,$O7,$T7),1)-2)*10)</f>
        <v>33.700000000000003</v>
      </c>
      <c r="V7" s="54">
        <f>IF($O7="","",ROUND(($O7-$O$3)/1000,1)+(_xlfn.RANK.AVG($O7,($J7,$O7,$T7),1)-2)*10)</f>
        <v>-0.8</v>
      </c>
      <c r="W7" s="55">
        <f>IF($T7="","",ROUND(($T7-$T$3)/1000,1)+(_xlfn.RANK.AVG($T7,($J7,$O7,$T7),1)-2)*10)</f>
        <v>-32.9</v>
      </c>
      <c r="Y7" s="8"/>
      <c r="Z7" s="34"/>
      <c r="AA7" s="26">
        <v>1</v>
      </c>
      <c r="AB7" s="26"/>
      <c r="AC7" s="26">
        <v>8</v>
      </c>
      <c r="AD7" s="30" t="s">
        <v>206</v>
      </c>
      <c r="AE7" s="40" t="s">
        <v>201</v>
      </c>
      <c r="AF7" s="41" t="s">
        <v>86</v>
      </c>
      <c r="AG7" s="41" t="s">
        <v>79</v>
      </c>
      <c r="AH7" s="41" t="s">
        <v>79</v>
      </c>
      <c r="AI7" s="41" t="s">
        <v>79</v>
      </c>
      <c r="AJ7" s="41" t="s">
        <v>79</v>
      </c>
      <c r="AK7" s="41" t="s">
        <v>79</v>
      </c>
      <c r="AL7" s="41" t="s">
        <v>202</v>
      </c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195</v>
      </c>
      <c r="F8" s="8" t="s">
        <v>199</v>
      </c>
      <c r="G8" s="9">
        <v>-5200</v>
      </c>
      <c r="H8" s="9"/>
      <c r="I8" s="48">
        <v>0</v>
      </c>
      <c r="J8" s="21">
        <f t="shared" si="2"/>
        <v>53500</v>
      </c>
      <c r="K8" s="8" t="s">
        <v>200</v>
      </c>
      <c r="L8" s="9">
        <v>5200</v>
      </c>
      <c r="M8" s="9"/>
      <c r="N8" s="48">
        <v>0</v>
      </c>
      <c r="O8" s="21">
        <f t="shared" si="3"/>
        <v>39400</v>
      </c>
      <c r="P8" s="8"/>
      <c r="Q8" s="9"/>
      <c r="R8" s="9"/>
      <c r="S8" s="48"/>
      <c r="T8" s="21">
        <f t="shared" si="4"/>
        <v>12100</v>
      </c>
      <c r="U8" s="53">
        <f>IF($J8="","",ROUND(($J8-$J$3)/1000,1)+(_xlfn.RANK.AVG($J8,($J8,$O8,$T8),1)-2)*10)</f>
        <v>28.5</v>
      </c>
      <c r="V8" s="54">
        <f>IF($O8="","",ROUND(($O8-$O$3)/1000,1)+(_xlfn.RANK.AVG($O8,($J8,$O8,$T8),1)-2)*10)</f>
        <v>4.4000000000000004</v>
      </c>
      <c r="W8" s="55">
        <f>IF($T8="","",ROUND(($T8-$T$3)/1000,1)+(_xlfn.RANK.AVG($T8,($J8,$O8,$T8),1)-2)*10)</f>
        <v>-32.9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3</v>
      </c>
      <c r="AY8" s="30">
        <v>40</v>
      </c>
      <c r="AZ8" s="40" t="s">
        <v>201</v>
      </c>
      <c r="BA8" s="41" t="s">
        <v>86</v>
      </c>
      <c r="BB8" s="41" t="s">
        <v>202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212</v>
      </c>
      <c r="F9" s="8" t="s">
        <v>199</v>
      </c>
      <c r="G9" s="9">
        <v>-8000</v>
      </c>
      <c r="H9" s="9"/>
      <c r="I9" s="48">
        <v>0</v>
      </c>
      <c r="J9" s="21">
        <f t="shared" si="2"/>
        <v>45500</v>
      </c>
      <c r="K9" s="8"/>
      <c r="L9" s="9"/>
      <c r="M9" s="9"/>
      <c r="N9" s="48"/>
      <c r="O9" s="21">
        <f t="shared" si="3"/>
        <v>39400</v>
      </c>
      <c r="P9" s="8" t="s">
        <v>200</v>
      </c>
      <c r="Q9" s="9">
        <v>8000</v>
      </c>
      <c r="R9" s="9"/>
      <c r="S9" s="48">
        <v>0</v>
      </c>
      <c r="T9" s="21">
        <f t="shared" si="4"/>
        <v>20100</v>
      </c>
      <c r="U9" s="53">
        <f>IF($J9="","",ROUND(($J9-$J$3)/1000,1)+(_xlfn.RANK.AVG($J9,($J9,$O9,$T9),1)-2)*10)</f>
        <v>20.5</v>
      </c>
      <c r="V9" s="54">
        <f>IF($O9="","",ROUND(($O9-$O$3)/1000,1)+(_xlfn.RANK.AVG($O9,($J9,$O9,$T9),1)-2)*10)</f>
        <v>4.4000000000000004</v>
      </c>
      <c r="W9" s="55">
        <f>IF($T9="","",ROUND(($T9-$T$3)/1000,1)+(_xlfn.RANK.AVG($T9,($J9,$O9,$T9),1)-2)*10)</f>
        <v>-24.9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5</v>
      </c>
      <c r="BT9" s="30" t="s">
        <v>206</v>
      </c>
      <c r="BU9" s="40" t="s">
        <v>201</v>
      </c>
      <c r="BV9" s="41" t="s">
        <v>79</v>
      </c>
      <c r="BW9" s="41" t="s">
        <v>79</v>
      </c>
      <c r="BX9" s="41" t="s">
        <v>80</v>
      </c>
      <c r="BY9" s="41" t="s">
        <v>83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209</v>
      </c>
      <c r="F10" s="8" t="s">
        <v>198</v>
      </c>
      <c r="G10" s="9">
        <v>-3900</v>
      </c>
      <c r="H10" s="9"/>
      <c r="I10" s="48">
        <v>0</v>
      </c>
      <c r="J10" s="21">
        <f t="shared" si="2"/>
        <v>41600</v>
      </c>
      <c r="K10" s="8" t="s">
        <v>197</v>
      </c>
      <c r="L10" s="9">
        <v>7800</v>
      </c>
      <c r="M10" s="9"/>
      <c r="N10" s="48">
        <v>0</v>
      </c>
      <c r="O10" s="21">
        <f t="shared" si="3"/>
        <v>47200</v>
      </c>
      <c r="P10" s="8" t="s">
        <v>198</v>
      </c>
      <c r="Q10" s="9">
        <v>-3900</v>
      </c>
      <c r="R10" s="9"/>
      <c r="S10" s="48">
        <v>0</v>
      </c>
      <c r="T10" s="21">
        <f t="shared" si="4"/>
        <v>16200</v>
      </c>
      <c r="U10" s="53">
        <f>IF($J10="","",ROUND(($J10-$J$3)/1000,1)+(_xlfn.RANK.AVG($J10,($J10,$O10,$T10),1)-2)*10)</f>
        <v>6.6</v>
      </c>
      <c r="V10" s="54">
        <f>IF($O10="","",ROUND(($O10-$O$3)/1000,1)+(_xlfn.RANK.AVG($O10,($J10,$O10,$T10),1)-2)*10)</f>
        <v>22.2</v>
      </c>
      <c r="W10" s="55">
        <f>IF($T10="","",ROUND(($T10-$T$3)/1000,1)+(_xlfn.RANK.AVG($T10,($J10,$O10,$T10),1)-2)*10)</f>
        <v>-28.8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4</v>
      </c>
      <c r="AY10" s="30">
        <v>20</v>
      </c>
      <c r="AZ10" s="40" t="s">
        <v>82</v>
      </c>
      <c r="BA10" s="41" t="s">
        <v>85</v>
      </c>
      <c r="BB10" s="41" t="s">
        <v>83</v>
      </c>
      <c r="BC10" s="41" t="s">
        <v>202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showInputMessage="1" showErrorMessage="1" sqref="K4:K30 P4:P30 F4:F30" xr:uid="{0DD94EFF-3E19-40BE-94AE-DB2B4AB64349}">
      <formula1>"ロン,ツモ,放銃,ツモ支払,流局,チョンボ"</formula1>
    </dataValidation>
    <dataValidation type="list" allowBlank="1" showInputMessage="1" showErrorMessage="1" sqref="E4:E30" xr:uid="{56B711E4-1AAB-44BA-AAB4-6D68BDBE981B}">
      <formula1>$U$2:$W$2</formula1>
    </dataValidation>
    <dataValidation type="list" allowBlank="1" showInputMessage="1" sqref="F1:T1" xr:uid="{635D3B89-51B2-4589-BBB0-53E88C1A429D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8D632-65C9-4C0A-BE62-92424D5C0D5B}">
  <sheetPr codeName="Sheet19">
    <pageSetUpPr fitToPage="1"/>
  </sheetPr>
  <dimension ref="A1:CI30"/>
  <sheetViews>
    <sheetView zoomScaleNormal="100" workbookViewId="0">
      <selection activeCell="E4" sqref="E4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213</v>
      </c>
      <c r="G1" s="78"/>
      <c r="H1" s="78"/>
      <c r="I1" s="79"/>
      <c r="J1" s="80"/>
      <c r="K1" s="77" t="s">
        <v>210</v>
      </c>
      <c r="L1" s="78"/>
      <c r="M1" s="78"/>
      <c r="N1" s="79"/>
      <c r="O1" s="80"/>
      <c r="P1" s="77" t="s">
        <v>192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まっつん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れんたろう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たかの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まっつん</v>
      </c>
      <c r="V2" s="75" t="str">
        <f>$K$1</f>
        <v>れんたろう</v>
      </c>
      <c r="W2" s="16" t="str">
        <f>$P$1</f>
        <v>たかの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209</v>
      </c>
      <c r="F4" s="8"/>
      <c r="G4" s="9"/>
      <c r="H4" s="9"/>
      <c r="I4" s="48"/>
      <c r="J4" s="21">
        <f>IF(COUNTA($F4,$K4,$P4)&gt;0,J3+SUM(G4:I4),"")</f>
        <v>35000</v>
      </c>
      <c r="K4" s="8" t="s">
        <v>199</v>
      </c>
      <c r="L4" s="9">
        <v>-2600</v>
      </c>
      <c r="M4" s="9"/>
      <c r="N4" s="48">
        <v>0</v>
      </c>
      <c r="O4" s="21">
        <f>IF(COUNTA($F4,$K4,$P4)&gt;0,O3+SUM(L4:N4),"")</f>
        <v>32400</v>
      </c>
      <c r="P4" s="8" t="s">
        <v>200</v>
      </c>
      <c r="Q4" s="9">
        <v>2600</v>
      </c>
      <c r="R4" s="9"/>
      <c r="S4" s="48">
        <v>0</v>
      </c>
      <c r="T4" s="21">
        <f>IF(COUNTA($F4,$K4,$P4)&gt;0,T3+SUM(Q4:S4),"")</f>
        <v>37600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-12.6</v>
      </c>
      <c r="W4" s="55">
        <f>IF($T4="","",ROUND(($T4-$T$3)/1000,1)+(_xlfn.RANK.AVG($T4,($J4,$O4,$T4),1)-2)*10)</f>
        <v>12.6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2</v>
      </c>
      <c r="BT4" s="30">
        <v>40</v>
      </c>
      <c r="BU4" s="40" t="s">
        <v>201</v>
      </c>
      <c r="BV4" s="41" t="s">
        <v>80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197</v>
      </c>
      <c r="G5" s="9">
        <v>2100</v>
      </c>
      <c r="H5" s="9"/>
      <c r="I5" s="48">
        <v>0</v>
      </c>
      <c r="J5" s="21">
        <f t="shared" ref="J5:J30" si="2">IF(COUNTA($F5,$K5,$P5)&gt;0,J4+SUM(G5:I5),"")</f>
        <v>37100</v>
      </c>
      <c r="K5" s="8" t="s">
        <v>198</v>
      </c>
      <c r="L5" s="9">
        <v>-800</v>
      </c>
      <c r="M5" s="9"/>
      <c r="N5" s="48">
        <v>0</v>
      </c>
      <c r="O5" s="21">
        <f t="shared" ref="O5:O30" si="3">IF(COUNTA($F5,$K5,$P5)&gt;0,O4+SUM(L5:N5),"")</f>
        <v>31600</v>
      </c>
      <c r="P5" s="8" t="s">
        <v>198</v>
      </c>
      <c r="Q5" s="9">
        <v>-1300</v>
      </c>
      <c r="R5" s="9"/>
      <c r="S5" s="48">
        <v>0</v>
      </c>
      <c r="T5" s="21">
        <f t="shared" ref="T5:T30" si="4">IF(COUNTA($F5,$K5,$P5)&gt;0,T4+SUM(Q5:S5),"")</f>
        <v>36300</v>
      </c>
      <c r="U5" s="53">
        <f>IF($J5="","",ROUND(($J5-$J$3)/1000,1)+(_xlfn.RANK.AVG($J5,($J5,$O5,$T5),1)-2)*10)</f>
        <v>12.1</v>
      </c>
      <c r="V5" s="54">
        <f>IF($O5="","",ROUND(($O5-$O$3)/1000,1)+(_xlfn.RANK.AVG($O5,($J5,$O5,$T5),1)-2)*10)</f>
        <v>-13.4</v>
      </c>
      <c r="W5" s="55">
        <f>IF($T5="","",ROUND(($T5-$T$3)/1000,1)+(_xlfn.RANK.AVG($T5,($J5,$O5,$T5),1)-2)*10)</f>
        <v>1.3</v>
      </c>
      <c r="Y5" s="8"/>
      <c r="Z5" s="34"/>
      <c r="AA5" s="26"/>
      <c r="AB5" s="26">
        <v>1</v>
      </c>
      <c r="AC5" s="26">
        <v>2</v>
      </c>
      <c r="AD5" s="30">
        <v>30</v>
      </c>
      <c r="AE5" s="40" t="s">
        <v>79</v>
      </c>
      <c r="AF5" s="41" t="s">
        <v>86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212</v>
      </c>
      <c r="F6" s="8" t="s">
        <v>200</v>
      </c>
      <c r="G6" s="9">
        <v>3900</v>
      </c>
      <c r="H6" s="9"/>
      <c r="I6" s="48">
        <v>0</v>
      </c>
      <c r="J6" s="21">
        <f t="shared" si="2"/>
        <v>41000</v>
      </c>
      <c r="K6" s="8" t="s">
        <v>199</v>
      </c>
      <c r="L6" s="9">
        <v>-3900</v>
      </c>
      <c r="M6" s="9"/>
      <c r="N6" s="48">
        <v>0</v>
      </c>
      <c r="O6" s="21">
        <f t="shared" si="3"/>
        <v>27700</v>
      </c>
      <c r="P6" s="8"/>
      <c r="Q6" s="9"/>
      <c r="R6" s="9"/>
      <c r="S6" s="48"/>
      <c r="T6" s="21">
        <f t="shared" si="4"/>
        <v>36300</v>
      </c>
      <c r="U6" s="53">
        <f>IF($J6="","",ROUND(($J6-$J$3)/1000,1)+(_xlfn.RANK.AVG($J6,($J6,$O6,$T6),1)-2)*10)</f>
        <v>16</v>
      </c>
      <c r="V6" s="54">
        <f>IF($O6="","",ROUND(($O6-$O$3)/1000,1)+(_xlfn.RANK.AVG($O6,($J6,$O6,$T6),1)-2)*10)</f>
        <v>-17.3</v>
      </c>
      <c r="W6" s="55">
        <f>IF($T6="","",ROUND(($T6-$T$3)/1000,1)+(_xlfn.RANK.AVG($T6,($J6,$O6,$T6),1)-2)*10)</f>
        <v>1.3</v>
      </c>
      <c r="Y6" s="8"/>
      <c r="Z6" s="34"/>
      <c r="AA6" s="26">
        <v>1</v>
      </c>
      <c r="AB6" s="26"/>
      <c r="AC6" s="26">
        <v>2</v>
      </c>
      <c r="AD6" s="30">
        <v>40</v>
      </c>
      <c r="AE6" s="40" t="s">
        <v>84</v>
      </c>
      <c r="AF6" s="41" t="s">
        <v>201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212</v>
      </c>
      <c r="F7" s="8" t="s">
        <v>199</v>
      </c>
      <c r="G7" s="9">
        <v>-7700</v>
      </c>
      <c r="H7" s="9">
        <v>-1000</v>
      </c>
      <c r="I7" s="48">
        <v>-1000</v>
      </c>
      <c r="J7" s="21">
        <f t="shared" si="2"/>
        <v>31300</v>
      </c>
      <c r="K7" s="8" t="s">
        <v>200</v>
      </c>
      <c r="L7" s="9">
        <v>7700</v>
      </c>
      <c r="M7" s="9">
        <v>1000</v>
      </c>
      <c r="N7" s="48">
        <v>1000</v>
      </c>
      <c r="O7" s="21">
        <f t="shared" si="3"/>
        <v>37400</v>
      </c>
      <c r="P7" s="8"/>
      <c r="Q7" s="9"/>
      <c r="R7" s="9"/>
      <c r="S7" s="48"/>
      <c r="T7" s="21">
        <f t="shared" si="4"/>
        <v>36300</v>
      </c>
      <c r="U7" s="53">
        <f>IF($J7="","",ROUND(($J7-$J$3)/1000,1)+(_xlfn.RANK.AVG($J7,($J7,$O7,$T7),1)-2)*10)</f>
        <v>-13.7</v>
      </c>
      <c r="V7" s="54">
        <f>IF($O7="","",ROUND(($O7-$O$3)/1000,1)+(_xlfn.RANK.AVG($O7,($J7,$O7,$T7),1)-2)*10)</f>
        <v>12.4</v>
      </c>
      <c r="W7" s="55">
        <f>IF($T7="","",ROUND(($T7-$T$3)/1000,1)+(_xlfn.RANK.AVG($T7,($J7,$O7,$T7),1)-2)*10)</f>
        <v>1.3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4</v>
      </c>
      <c r="AY7" s="30">
        <v>30</v>
      </c>
      <c r="AZ7" s="40" t="s">
        <v>201</v>
      </c>
      <c r="BA7" s="41" t="s">
        <v>83</v>
      </c>
      <c r="BB7" s="41" t="s">
        <v>79</v>
      </c>
      <c r="BC7" s="41" t="s">
        <v>79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209</v>
      </c>
      <c r="F8" s="8" t="s">
        <v>199</v>
      </c>
      <c r="G8" s="9">
        <v>-3900</v>
      </c>
      <c r="H8" s="9"/>
      <c r="I8" s="48">
        <v>0</v>
      </c>
      <c r="J8" s="21">
        <f t="shared" si="2"/>
        <v>27400</v>
      </c>
      <c r="K8" s="8"/>
      <c r="L8" s="9"/>
      <c r="M8" s="9"/>
      <c r="N8" s="48"/>
      <c r="O8" s="21">
        <f t="shared" si="3"/>
        <v>37400</v>
      </c>
      <c r="P8" s="8" t="s">
        <v>200</v>
      </c>
      <c r="Q8" s="9">
        <v>3900</v>
      </c>
      <c r="R8" s="9"/>
      <c r="S8" s="48">
        <v>0</v>
      </c>
      <c r="T8" s="21">
        <f t="shared" si="4"/>
        <v>40200</v>
      </c>
      <c r="U8" s="53">
        <f>IF($J8="","",ROUND(($J8-$J$3)/1000,1)+(_xlfn.RANK.AVG($J8,($J8,$O8,$T8),1)-2)*10)</f>
        <v>-17.600000000000001</v>
      </c>
      <c r="V8" s="54">
        <f>IF($O8="","",ROUND(($O8-$O$3)/1000,1)+(_xlfn.RANK.AVG($O8,($J8,$O8,$T8),1)-2)*10)</f>
        <v>2.4</v>
      </c>
      <c r="W8" s="55">
        <f>IF($T8="","",ROUND(($T8-$T$3)/1000,1)+(_xlfn.RANK.AVG($T8,($J8,$O8,$T8),1)-2)*10)</f>
        <v>15.2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3</v>
      </c>
      <c r="BT8" s="30">
        <v>30</v>
      </c>
      <c r="BU8" s="40" t="s">
        <v>86</v>
      </c>
      <c r="BV8" s="41" t="s">
        <v>86</v>
      </c>
      <c r="BW8" s="41" t="s">
        <v>202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197</v>
      </c>
      <c r="G9" s="9">
        <v>12000</v>
      </c>
      <c r="H9" s="9"/>
      <c r="I9" s="48">
        <v>0</v>
      </c>
      <c r="J9" s="21">
        <f t="shared" si="2"/>
        <v>39400</v>
      </c>
      <c r="K9" s="8" t="s">
        <v>198</v>
      </c>
      <c r="L9" s="9">
        <v>-4500</v>
      </c>
      <c r="M9" s="9"/>
      <c r="N9" s="48">
        <v>0</v>
      </c>
      <c r="O9" s="21">
        <f t="shared" si="3"/>
        <v>32900</v>
      </c>
      <c r="P9" s="8" t="s">
        <v>198</v>
      </c>
      <c r="Q9" s="9">
        <v>-7500</v>
      </c>
      <c r="R9" s="9"/>
      <c r="S9" s="48">
        <v>0</v>
      </c>
      <c r="T9" s="21">
        <f t="shared" si="4"/>
        <v>32700</v>
      </c>
      <c r="U9" s="53">
        <f>IF($J9="","",ROUND(($J9-$J$3)/1000,1)+(_xlfn.RANK.AVG($J9,($J9,$O9,$T9),1)-2)*10)</f>
        <v>14.4</v>
      </c>
      <c r="V9" s="54">
        <f>IF($O9="","",ROUND(($O9-$O$3)/1000,1)+(_xlfn.RANK.AVG($O9,($J9,$O9,$T9),1)-2)*10)</f>
        <v>-2.1</v>
      </c>
      <c r="W9" s="55">
        <f>IF($T9="","",ROUND(($T9-$T$3)/1000,1)+(_xlfn.RANK.AVG($T9,($J9,$O9,$T9),1)-2)*10)</f>
        <v>-12.3</v>
      </c>
      <c r="Y9" s="8"/>
      <c r="Z9" s="34"/>
      <c r="AA9" s="26">
        <v>1</v>
      </c>
      <c r="AB9" s="26"/>
      <c r="AC9" s="26">
        <v>7</v>
      </c>
      <c r="AD9" s="30" t="s">
        <v>206</v>
      </c>
      <c r="AE9" s="40" t="s">
        <v>82</v>
      </c>
      <c r="AF9" s="41" t="s">
        <v>201</v>
      </c>
      <c r="AG9" s="41" t="s">
        <v>79</v>
      </c>
      <c r="AH9" s="41" t="s">
        <v>79</v>
      </c>
      <c r="AI9" s="41" t="s">
        <v>80</v>
      </c>
      <c r="AJ9" s="41" t="s">
        <v>80</v>
      </c>
      <c r="AK9" s="41" t="s">
        <v>83</v>
      </c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212</v>
      </c>
      <c r="F10" s="8"/>
      <c r="G10" s="9"/>
      <c r="H10" s="9"/>
      <c r="I10" s="48"/>
      <c r="J10" s="21">
        <f t="shared" si="2"/>
        <v>39400</v>
      </c>
      <c r="K10" s="8" t="s">
        <v>200</v>
      </c>
      <c r="L10" s="9">
        <v>8000</v>
      </c>
      <c r="M10" s="9"/>
      <c r="N10" s="48">
        <v>0</v>
      </c>
      <c r="O10" s="21">
        <f t="shared" si="3"/>
        <v>40900</v>
      </c>
      <c r="P10" s="8" t="s">
        <v>199</v>
      </c>
      <c r="Q10" s="9">
        <v>-8000</v>
      </c>
      <c r="R10" s="9"/>
      <c r="S10" s="48">
        <v>0</v>
      </c>
      <c r="T10" s="21">
        <f t="shared" si="4"/>
        <v>24700</v>
      </c>
      <c r="U10" s="53">
        <f>IF($J10="","",ROUND(($J10-$J$3)/1000,1)+(_xlfn.RANK.AVG($J10,($J10,$O10,$T10),1)-2)*10)</f>
        <v>4.4000000000000004</v>
      </c>
      <c r="V10" s="54">
        <f>IF($O10="","",ROUND(($O10-$O$3)/1000,1)+(_xlfn.RANK.AVG($O10,($J10,$O10,$T10),1)-2)*10)</f>
        <v>15.9</v>
      </c>
      <c r="W10" s="55">
        <f>IF($T10="","",ROUND(($T10-$T$3)/1000,1)+(_xlfn.RANK.AVG($T10,($J10,$O10,$T10),1)-2)*10)</f>
        <v>-20.3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5</v>
      </c>
      <c r="AY10" s="30" t="s">
        <v>206</v>
      </c>
      <c r="AZ10" s="40" t="s">
        <v>201</v>
      </c>
      <c r="BA10" s="41" t="s">
        <v>83</v>
      </c>
      <c r="BB10" s="41" t="s">
        <v>80</v>
      </c>
      <c r="BC10" s="41" t="s">
        <v>80</v>
      </c>
      <c r="BD10" s="41" t="s">
        <v>202</v>
      </c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西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209</v>
      </c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0BF130A-FD00-4E11-99DD-09CA6F73070F}">
      <formula1>$U$2:$W$2</formula1>
    </dataValidation>
    <dataValidation type="list" showInputMessage="1" showErrorMessage="1" sqref="K4:K30 P4:P30 F4:F30" xr:uid="{A62045D3-91B5-413C-B12D-1AACB64F86F3}">
      <formula1>"ロン,ツモ,放銃,ツモ支払,流局,チョンボ"</formula1>
    </dataValidation>
    <dataValidation type="list" allowBlank="1" showInputMessage="1" sqref="F1:T1" xr:uid="{85C4CDB5-5B6A-4EFF-B8CA-B72BDE476770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2019-11-30T16:30:34Z</dcterms:modified>
</cp:coreProperties>
</file>