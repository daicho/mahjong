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E920626-F66B-478D-BFDC-9D556E78B27D}" xr6:coauthVersionLast="44" xr6:coauthVersionMax="44" xr10:uidLastSave="{00000000-0000-0000-0000-000000000000}"/>
  <bookViews>
    <workbookView xWindow="-108" yWindow="-108" windowWidth="23256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D11" i="23"/>
  <c r="C11" i="23"/>
  <c r="D10" i="23"/>
  <c r="D9" i="23"/>
  <c r="C9" i="23"/>
  <c r="C10" i="23" s="1"/>
  <c r="D8" i="23"/>
  <c r="C8" i="23"/>
  <c r="D7" i="23"/>
  <c r="C7" i="23"/>
  <c r="D6" i="23"/>
  <c r="C6" i="23"/>
  <c r="T5" i="23"/>
  <c r="T6" i="23" s="1"/>
  <c r="O5" i="23"/>
  <c r="D5" i="23"/>
  <c r="T4" i="23"/>
  <c r="O4" i="23"/>
  <c r="J4" i="23"/>
  <c r="E4" i="23"/>
  <c r="B5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D14" i="22"/>
  <c r="C14" i="22"/>
  <c r="C13" i="22"/>
  <c r="D12" i="22"/>
  <c r="D13" i="22" s="1"/>
  <c r="C12" i="22"/>
  <c r="D11" i="22"/>
  <c r="D10" i="22"/>
  <c r="C10" i="22"/>
  <c r="C11" i="22" s="1"/>
  <c r="D9" i="22"/>
  <c r="C9" i="22"/>
  <c r="D8" i="22"/>
  <c r="C8" i="22"/>
  <c r="D6" i="22"/>
  <c r="D7" i="22" s="1"/>
  <c r="O5" i="22"/>
  <c r="D5" i="22"/>
  <c r="T4" i="22"/>
  <c r="W4" i="22" s="1"/>
  <c r="O4" i="22"/>
  <c r="J4" i="22"/>
  <c r="J5" i="22" s="1"/>
  <c r="E4" i="22"/>
  <c r="C5" i="22" s="1"/>
  <c r="C6" i="22" s="1"/>
  <c r="C7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/>
  <c r="T12" i="21"/>
  <c r="W12" i="21" s="1"/>
  <c r="O12" i="21"/>
  <c r="V12" i="21" s="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/>
  <c r="D9" i="21"/>
  <c r="C9" i="21"/>
  <c r="D8" i="21"/>
  <c r="C8" i="21"/>
  <c r="D7" i="21"/>
  <c r="C7" i="21"/>
  <c r="D6" i="21"/>
  <c r="O5" i="21"/>
  <c r="J5" i="21"/>
  <c r="D5" i="21"/>
  <c r="T4" i="21"/>
  <c r="O4" i="21"/>
  <c r="J4" i="21"/>
  <c r="U4" i="21" s="1"/>
  <c r="E4" i="21"/>
  <c r="B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D13" i="20"/>
  <c r="C13" i="20"/>
  <c r="C14" i="20" s="1"/>
  <c r="D11" i="20"/>
  <c r="D12" i="20" s="1"/>
  <c r="D9" i="20"/>
  <c r="D10" i="20" s="1"/>
  <c r="C9" i="20"/>
  <c r="C10" i="20" s="1"/>
  <c r="C11" i="20" s="1"/>
  <c r="C12" i="20" s="1"/>
  <c r="D8" i="20"/>
  <c r="D7" i="20"/>
  <c r="C7" i="20"/>
  <c r="C8" i="20" s="1"/>
  <c r="D6" i="20"/>
  <c r="C6" i="20"/>
  <c r="T5" i="20"/>
  <c r="D5" i="20"/>
  <c r="C5" i="20"/>
  <c r="T4" i="20"/>
  <c r="O4" i="20"/>
  <c r="V4" i="20" s="1"/>
  <c r="J4" i="20"/>
  <c r="E4" i="20"/>
  <c r="B5" i="20" s="1"/>
  <c r="W3" i="20"/>
  <c r="V3" i="20"/>
  <c r="U3" i="20"/>
  <c r="W2" i="20"/>
  <c r="V2" i="20"/>
  <c r="U2" i="20"/>
  <c r="BO1" i="20"/>
  <c r="AT1" i="20"/>
  <c r="Y1" i="20"/>
  <c r="V4" i="23" l="1"/>
  <c r="W4" i="23"/>
  <c r="U4" i="23"/>
  <c r="V5" i="23"/>
  <c r="A5" i="23"/>
  <c r="B6" i="23"/>
  <c r="T7" i="23"/>
  <c r="C5" i="23"/>
  <c r="J5" i="23"/>
  <c r="O6" i="23"/>
  <c r="V4" i="22"/>
  <c r="U4" i="22"/>
  <c r="J6" i="22"/>
  <c r="T5" i="22"/>
  <c r="U5" i="22" s="1"/>
  <c r="O6" i="22"/>
  <c r="B5" i="22"/>
  <c r="W14" i="21"/>
  <c r="U14" i="21"/>
  <c r="V14" i="21"/>
  <c r="W13" i="21"/>
  <c r="U13" i="21"/>
  <c r="V13" i="21"/>
  <c r="U12" i="21"/>
  <c r="V11" i="21"/>
  <c r="W11" i="21"/>
  <c r="V10" i="21"/>
  <c r="U10" i="21"/>
  <c r="W10" i="21"/>
  <c r="W4" i="21"/>
  <c r="B6" i="21"/>
  <c r="A5" i="21"/>
  <c r="V4" i="21"/>
  <c r="T5" i="21"/>
  <c r="U5" i="21" s="1"/>
  <c r="J6" i="21"/>
  <c r="O6" i="21"/>
  <c r="C5" i="21"/>
  <c r="C6" i="21" s="1"/>
  <c r="W4" i="20"/>
  <c r="U4" i="20"/>
  <c r="B6" i="20"/>
  <c r="A6" i="20"/>
  <c r="A5" i="20"/>
  <c r="J5" i="20"/>
  <c r="O5" i="20"/>
  <c r="T6" i="20"/>
  <c r="O7" i="23" l="1"/>
  <c r="W5" i="23"/>
  <c r="U5" i="23"/>
  <c r="J6" i="23"/>
  <c r="V6" i="23" s="1"/>
  <c r="B7" i="23"/>
  <c r="T8" i="23"/>
  <c r="A6" i="23"/>
  <c r="V5" i="22"/>
  <c r="J7" i="22"/>
  <c r="B6" i="22"/>
  <c r="A5" i="22"/>
  <c r="O7" i="22"/>
  <c r="T6" i="22"/>
  <c r="U6" i="22" s="1"/>
  <c r="W5" i="22"/>
  <c r="V5" i="21"/>
  <c r="O7" i="21"/>
  <c r="J7" i="21"/>
  <c r="B7" i="21"/>
  <c r="T6" i="21"/>
  <c r="V6" i="21" s="1"/>
  <c r="W5" i="21"/>
  <c r="A6" i="21"/>
  <c r="U5" i="20"/>
  <c r="J6" i="20"/>
  <c r="V5" i="20"/>
  <c r="O6" i="20"/>
  <c r="B7" i="20"/>
  <c r="A7" i="20" s="1"/>
  <c r="T7" i="20"/>
  <c r="W5" i="20"/>
  <c r="B8" i="23" l="1"/>
  <c r="U6" i="23"/>
  <c r="J7" i="23"/>
  <c r="V7" i="23" s="1"/>
  <c r="W6" i="23"/>
  <c r="T9" i="23"/>
  <c r="O8" i="23"/>
  <c r="A7" i="23"/>
  <c r="V6" i="22"/>
  <c r="B7" i="22"/>
  <c r="A7" i="22" s="1"/>
  <c r="J8" i="22"/>
  <c r="W6" i="22"/>
  <c r="T7" i="22"/>
  <c r="V7" i="22" s="1"/>
  <c r="O8" i="22"/>
  <c r="A6" i="22"/>
  <c r="A7" i="21"/>
  <c r="U6" i="21"/>
  <c r="W6" i="21"/>
  <c r="T7" i="21"/>
  <c r="U7" i="21" s="1"/>
  <c r="B8" i="21"/>
  <c r="J8" i="21"/>
  <c r="O8" i="21"/>
  <c r="U6" i="20"/>
  <c r="J7" i="20"/>
  <c r="W6" i="20"/>
  <c r="T8" i="20"/>
  <c r="B8" i="20"/>
  <c r="A8" i="20" s="1"/>
  <c r="V6" i="20"/>
  <c r="O7" i="20"/>
  <c r="A8" i="23" l="1"/>
  <c r="O9" i="23"/>
  <c r="U7" i="23"/>
  <c r="J8" i="23"/>
  <c r="V8" i="23" s="1"/>
  <c r="W7" i="23"/>
  <c r="B9" i="23"/>
  <c r="A9" i="23" s="1"/>
  <c r="T10" i="23"/>
  <c r="U7" i="22"/>
  <c r="O9" i="22"/>
  <c r="W7" i="22"/>
  <c r="T8" i="22"/>
  <c r="V8" i="22" s="1"/>
  <c r="U8" i="22"/>
  <c r="J9" i="22"/>
  <c r="B8" i="22"/>
  <c r="A8" i="22" s="1"/>
  <c r="B9" i="21"/>
  <c r="A9" i="21" s="1"/>
  <c r="V7" i="21"/>
  <c r="O9" i="21"/>
  <c r="J9" i="21"/>
  <c r="A8" i="21"/>
  <c r="W7" i="21"/>
  <c r="T8" i="21"/>
  <c r="V8" i="21" s="1"/>
  <c r="U7" i="20"/>
  <c r="J8" i="20"/>
  <c r="O8" i="20"/>
  <c r="V7" i="20"/>
  <c r="B9" i="20"/>
  <c r="A9" i="20" s="1"/>
  <c r="W8" i="20"/>
  <c r="T9" i="20"/>
  <c r="W7" i="20"/>
  <c r="V9" i="23" l="1"/>
  <c r="O10" i="23"/>
  <c r="T11" i="23"/>
  <c r="B10" i="23"/>
  <c r="A10" i="23"/>
  <c r="U8" i="23"/>
  <c r="J9" i="23"/>
  <c r="W8" i="23"/>
  <c r="O10" i="22"/>
  <c r="B9" i="22"/>
  <c r="J10" i="22"/>
  <c r="W8" i="22"/>
  <c r="T9" i="22"/>
  <c r="V9" i="22" s="1"/>
  <c r="U8" i="21"/>
  <c r="W8" i="21"/>
  <c r="T9" i="21"/>
  <c r="W9" i="21" s="1"/>
  <c r="V8" i="20"/>
  <c r="O9" i="20"/>
  <c r="U8" i="20"/>
  <c r="J9" i="20"/>
  <c r="T10" i="20"/>
  <c r="B10" i="20"/>
  <c r="A10" i="20" s="1"/>
  <c r="V10" i="23" l="1"/>
  <c r="O11" i="23"/>
  <c r="U9" i="23"/>
  <c r="J10" i="23"/>
  <c r="W9" i="23"/>
  <c r="B11" i="23"/>
  <c r="A11" i="23" s="1"/>
  <c r="W9" i="22"/>
  <c r="T10" i="22"/>
  <c r="V10" i="22" s="1"/>
  <c r="B10" i="22"/>
  <c r="J11" i="22"/>
  <c r="U9" i="22"/>
  <c r="A9" i="22"/>
  <c r="O11" i="22"/>
  <c r="V9" i="21"/>
  <c r="U9" i="21"/>
  <c r="V9" i="20"/>
  <c r="O10" i="20"/>
  <c r="B11" i="20"/>
  <c r="T11" i="20"/>
  <c r="W9" i="20"/>
  <c r="U9" i="20"/>
  <c r="J10" i="20"/>
  <c r="U10" i="23" l="1"/>
  <c r="J11" i="23"/>
  <c r="W10" i="23"/>
  <c r="O12" i="22"/>
  <c r="B11" i="22"/>
  <c r="W10" i="22"/>
  <c r="T11" i="22"/>
  <c r="V11" i="22" s="1"/>
  <c r="U11" i="22"/>
  <c r="J12" i="22"/>
  <c r="U10" i="22"/>
  <c r="A10" i="22"/>
  <c r="B12" i="20"/>
  <c r="U10" i="20"/>
  <c r="J11" i="20"/>
  <c r="V10" i="20"/>
  <c r="O11" i="20"/>
  <c r="W11" i="20" s="1"/>
  <c r="W10" i="20"/>
  <c r="T12" i="20"/>
  <c r="A11" i="20"/>
  <c r="A12" i="20" s="1"/>
  <c r="U11" i="23" l="1"/>
  <c r="W11" i="23"/>
  <c r="V11" i="23"/>
  <c r="J13" i="22"/>
  <c r="B12" i="22"/>
  <c r="A12" i="22" s="1"/>
  <c r="W11" i="22"/>
  <c r="T12" i="22"/>
  <c r="A11" i="22"/>
  <c r="V12" i="22"/>
  <c r="O13" i="22"/>
  <c r="T13" i="20"/>
  <c r="B13" i="20"/>
  <c r="V11" i="20"/>
  <c r="O12" i="20"/>
  <c r="J12" i="20"/>
  <c r="W12" i="20" s="1"/>
  <c r="U11" i="20"/>
  <c r="W12" i="22" l="1"/>
  <c r="T13" i="22"/>
  <c r="B13" i="22"/>
  <c r="A13" i="22"/>
  <c r="U13" i="22"/>
  <c r="J14" i="22"/>
  <c r="V13" i="22"/>
  <c r="O14" i="22"/>
  <c r="U12" i="22"/>
  <c r="T14" i="20"/>
  <c r="A14" i="20"/>
  <c r="B14" i="20"/>
  <c r="U12" i="20"/>
  <c r="J13" i="20"/>
  <c r="W13" i="20" s="1"/>
  <c r="V12" i="20"/>
  <c r="O13" i="20"/>
  <c r="A13" i="20"/>
  <c r="B14" i="22" l="1"/>
  <c r="A14" i="22"/>
  <c r="T14" i="22"/>
  <c r="W14" i="22" s="1"/>
  <c r="W13" i="22"/>
  <c r="V13" i="20"/>
  <c r="O14" i="20"/>
  <c r="V14" i="20" s="1"/>
  <c r="W14" i="20"/>
  <c r="U13" i="20"/>
  <c r="J14" i="20"/>
  <c r="U14" i="22" l="1"/>
  <c r="V14" i="22"/>
  <c r="U14" i="20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V14" i="19" s="1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4" i="19" l="1"/>
  <c r="U13" i="19"/>
  <c r="V13" i="19"/>
  <c r="V12" i="19"/>
  <c r="W12" i="19"/>
  <c r="U12" i="19"/>
  <c r="V11" i="19"/>
  <c r="W11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<sst xmlns="http://schemas.openxmlformats.org/spreadsheetml/2006/main" count="1007" uniqueCount="217">
  <si>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</si>
  <si>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</si>
  <si>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</si>
  <si>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</si>
  <si>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</si>
  <si>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</si>
  <si>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</si>
  <si>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</si>
  <si>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</si>
  <si>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</si>
  <si>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</si>
  <si>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</si>
  <si>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</si>
  <si>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</si>
  <si>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</si>
  <si>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</si>
  <si>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</si>
  <si>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</si>
  <si>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</si>
  <si>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</si>
  <si>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</si>
  <si>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</si>
  <si>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</si>
  <si>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</si>
  <si>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</si>
  <si>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</si>
  <si>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</si>
  <si>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</si>
  <si>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</si>
  <si>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</si>
  <si>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</si>
  <si>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</si>
  <si>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</si>
  <si>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</si>
  <si>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</si>
  <si>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</si>
  <si>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</si>
  <si>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</si>
  <si>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</si>
  <si>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</si>
  <si>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</si>
  <si>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</si>
  <si>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</si>
  <si>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</si>
  <si>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</si>
  <si>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</si>
  <si>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</si>
  <si>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</si>
  <si>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</si>
  <si>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</si>
  <si>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</si>
  <si>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</si>
  <si>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</si>
  <si>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</si>
  <si>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</si>
  <si>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</si>
  <si>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</si>
  <si>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</si>
  <si>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</si>
  <si>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</si>
  <si>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</si>
  <si>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</si>
  <si>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</si>
  <si>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</si>
  <si>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</si>
  <si>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</si>
  <si>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</si>
  <si>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</si>
  <si>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</si>
  <si>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</si>
  <si>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</si>
  <si>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</si>
  <si>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</si>
  <si>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</si>
  <si>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</si>
  <si>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</si>
  <si>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</si>
  <si>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</si>
  <si>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</si>
  <si>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</si>
  <si>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</si>
  <si>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</si>
  <si>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</si>
  <si>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</si>
  <si>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</si>
  <si>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</si>
  <si>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</si>
  <si>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</si>
  <si>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</si>
  <si>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</si>
  <si>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</si>
  <si>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</si>
  <si>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</si>
  <si>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</si>
  <si>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</si>
  <si>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</si>
  <si>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</si>
  <si>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</si>
  <si>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</si>
  <si>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</si>
  <si>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</si>
  <si>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</si>
  <si>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</si>
  <si>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</si>
  <si>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</si>
  <si>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</si>
  <si>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</si>
  <si>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</si>
  <si>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</si>
  <si>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</si>
  <si>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</si>
  <si>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</si>
  <si>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</si>
  <si>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</si>
  <si>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</si>
  <si>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</si>
  <si>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</si>
  <si>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</si>
  <si>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</si>
  <si>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</si>
  <si>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</si>
  <si>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</si>
  <si>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</si>
  <si>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</si>
  <si>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</si>
  <si>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</si>
  <si>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</si>
  <si>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</si>
  <si>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</si>
  <si>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</si>
  <si>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</si>
  <si>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</si>
  <si>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</si>
  <si>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</si>
  <si>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</si>
  <si>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</si>
  <si>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</si>
  <si>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</si>
  <si>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</si>
  <si>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</si>
  <si>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</si>
  <si>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</si>
  <si>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</si>
  <si>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</si>
  <si>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</si>
  <si>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</si>
  <si>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</si>
  <si>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</si>
  <si>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</si>
  <si>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</si>
  <si>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</si>
  <si>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</si>
  <si>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</si>
  <si>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</si>
  <si>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</si>
  <si>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</si>
  <si>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</si>
  <si>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</si>
  <si>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</si>
  <si>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</si>
  <si>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</si>
  <si>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</si>
  <si>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</si>
  <si>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</si>
  <si>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</si>
  <si>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</si>
  <si>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</si>
  <si>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</si>
  <si>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</si>
  <si>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</si>
  <si>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</si>
  <si>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</si>
  <si>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</si>
  <si>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</si>
  <si>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</si>
  <si>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</si>
  <si>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</si>
  <si>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</si>
  <si>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</si>
  <si>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</si>
  <si>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</si>
  <si>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</si>
  <si>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</si>
  <si>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</si>
  <si>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</si>
  <si>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</si>
  <si>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</si>
  <si>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</si>
  <si>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</si>
  <si>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</si>
  <si>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</si>
  <si>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</si>
  <si>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</si>
  <si>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りくと</t>
  </si>
  <si>
    <t>りくと</t>
    <phoneticPr fontId="1"/>
  </si>
  <si>
    <t>だいち</t>
  </si>
  <si>
    <t>だいち</t>
    <phoneticPr fontId="1"/>
  </si>
  <si>
    <t>T</t>
  </si>
  <si>
    <t>流局</t>
    <phoneticPr fontId="1"/>
  </si>
  <si>
    <t>ツモ支払</t>
  </si>
  <si>
    <t>ツモ</t>
  </si>
  <si>
    <t>*</t>
  </si>
  <si>
    <t>01</t>
  </si>
  <si>
    <t>02</t>
  </si>
  <si>
    <t>52</t>
  </si>
  <si>
    <t>放銃</t>
  </si>
  <si>
    <t>ロン</t>
  </si>
  <si>
    <t>N</t>
  </si>
  <si>
    <t>たかの</t>
  </si>
  <si>
    <t>流局</t>
    <phoneticPr fontId="1"/>
  </si>
  <si>
    <t>ただ</t>
  </si>
  <si>
    <t>チョンボ</t>
  </si>
  <si>
    <t>れんたろう</t>
  </si>
  <si>
    <t>れんたろう</t>
    <phoneticPr fontId="1"/>
  </si>
  <si>
    <t>ぱぱ</t>
  </si>
  <si>
    <t>ぱぱ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</si>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</sst>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まっつん</v>
      </c>
      <c r="F4" s="8" t="s">
        <v>198</v>
      </c>
      <c r="G4" s="9">
        <v>0</v>
      </c>
      <c r="H4" s="9">
        <v>-1000</v>
      </c>
      <c r="I4" s="48"/>
      <c r="J4" s="21">
        <f>IF(COUNTA($F4,$K4,$P4)&gt;0,J3+SUM(G4:I4),"")</f>
        <v>34000</v>
      </c>
      <c r="K4" s="8" t="s">
        <v>198</v>
      </c>
      <c r="L4" s="9">
        <v>0</v>
      </c>
      <c r="M4" s="9"/>
      <c r="N4" s="48"/>
      <c r="O4" s="21">
        <f>IF(COUNTA($F4,$K4,$P4)&gt;0,O3+SUM(L4:N4),"")</f>
        <v>35000</v>
      </c>
      <c r="P4" s="8" t="s">
        <v>198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-6</v>
      </c>
      <c r="V4" s="54">
        <f>IF($O4="","",ROUND(($O4-$O$3)/1000,1)+(_xlfn.RANK.AVG($O4,($J4,$O4,$T4),1)-2)*10)</f>
        <v>10</v>
      </c>
      <c r="W4" s="55">
        <f>IF($T4="","",ROUND(($T4-$T$3)/1000,1)+(_xlfn.RANK.AVG($T4,($J4,$O4,$T4),1)-2)*10)</f>
        <v>-6</v>
      </c>
      <c r="Y4" s="8" t="s">
        <v>197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 t="s">
        <v>199</v>
      </c>
      <c r="G5" s="9">
        <v>-5000</v>
      </c>
      <c r="H5" s="9"/>
      <c r="I5" s="48">
        <v>-500</v>
      </c>
      <c r="J5" s="21">
        <f t="shared" ref="J5:J30" si="2">IF(COUNTA($F5,$K5,$P5)&gt;0,J4+SUM(G5:I5),"")</f>
        <v>28500</v>
      </c>
      <c r="K5" s="8" t="s">
        <v>200</v>
      </c>
      <c r="L5" s="9">
        <v>8000</v>
      </c>
      <c r="M5" s="9">
        <v>2000</v>
      </c>
      <c r="N5" s="48">
        <v>1000</v>
      </c>
      <c r="O5" s="21">
        <f t="shared" ref="O5:O30" si="3">IF(COUNTA($F5,$K5,$P5)&gt;0,O4+SUM(L5:N5),"")</f>
        <v>46000</v>
      </c>
      <c r="P5" s="8" t="s">
        <v>199</v>
      </c>
      <c r="Q5" s="9">
        <v>-3000</v>
      </c>
      <c r="R5" s="9"/>
      <c r="S5" s="48">
        <v>-500</v>
      </c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-16.5</v>
      </c>
      <c r="V5" s="54">
        <f>IF($O5="","",ROUND(($O5-$O$3)/1000,1)+(_xlfn.RANK.AVG($O5,($J5,$O5,$T5),1)-2)*10)</f>
        <v>21</v>
      </c>
      <c r="W5" s="55">
        <f>IF($T5="","",ROUND(($T5-$T$3)/1000,1)+(_xlfn.RANK.AVG($T5,($J5,$O5,$T5),1)-2)*10)</f>
        <v>-4.5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201</v>
      </c>
      <c r="AZ5" s="40" t="s">
        <v>82</v>
      </c>
      <c r="BA5" s="41" t="s">
        <v>202</v>
      </c>
      <c r="BB5" s="41" t="s">
        <v>203</v>
      </c>
      <c r="BC5" s="41" t="s">
        <v>79</v>
      </c>
      <c r="BD5" s="41" t="s">
        <v>204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205</v>
      </c>
      <c r="G6" s="9">
        <v>-8000</v>
      </c>
      <c r="H6" s="9"/>
      <c r="I6" s="48">
        <v>0</v>
      </c>
      <c r="J6" s="21">
        <f t="shared" si="2"/>
        <v>20500</v>
      </c>
      <c r="K6" s="8"/>
      <c r="L6" s="9"/>
      <c r="M6" s="9"/>
      <c r="N6" s="48"/>
      <c r="O6" s="21">
        <f t="shared" si="3"/>
        <v>46000</v>
      </c>
      <c r="P6" s="8" t="s">
        <v>206</v>
      </c>
      <c r="Q6" s="9">
        <v>8000</v>
      </c>
      <c r="R6" s="9"/>
      <c r="S6" s="48">
        <v>0</v>
      </c>
      <c r="T6" s="21">
        <f t="shared" si="4"/>
        <v>38500</v>
      </c>
      <c r="U6" s="53">
        <f>IF($J6="","",ROUND(($J6-$J$3)/1000,1)+(_xlfn.RANK.AVG($J6,($J6,$O6,$T6),1)-2)*10)</f>
        <v>-24.5</v>
      </c>
      <c r="V6" s="54">
        <f>IF($O6="","",ROUND(($O6-$O$3)/1000,1)+(_xlfn.RANK.AVG($O6,($J6,$O6,$T6),1)-2)*10)</f>
        <v>21</v>
      </c>
      <c r="W6" s="55">
        <f>IF($T6="","",ROUND(($T6-$T$3)/1000,1)+(_xlfn.RANK.AVG($T6,($J6,$O6,$T6),1)-2)*10)</f>
        <v>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201</v>
      </c>
      <c r="BU6" s="40" t="s">
        <v>86</v>
      </c>
      <c r="BV6" s="41" t="s">
        <v>79</v>
      </c>
      <c r="BW6" s="41" t="s">
        <v>79</v>
      </c>
      <c r="BX6" s="41" t="s">
        <v>79</v>
      </c>
      <c r="BY6" s="41" t="s">
        <v>204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199</v>
      </c>
      <c r="G7" s="9">
        <v>-5800</v>
      </c>
      <c r="H7" s="9"/>
      <c r="I7" s="48">
        <v>0</v>
      </c>
      <c r="J7" s="21">
        <f t="shared" si="2"/>
        <v>14700</v>
      </c>
      <c r="K7" s="8" t="s">
        <v>199</v>
      </c>
      <c r="L7" s="9">
        <v>-5800</v>
      </c>
      <c r="M7" s="9"/>
      <c r="N7" s="48">
        <v>0</v>
      </c>
      <c r="O7" s="21">
        <f t="shared" si="3"/>
        <v>40200</v>
      </c>
      <c r="P7" s="8" t="s">
        <v>200</v>
      </c>
      <c r="Q7" s="9">
        <v>11600</v>
      </c>
      <c r="R7" s="9"/>
      <c r="S7" s="48">
        <v>0</v>
      </c>
      <c r="T7" s="21">
        <f t="shared" si="4"/>
        <v>50100</v>
      </c>
      <c r="U7" s="53">
        <f>IF($J7="","",ROUND(($J7-$J$3)/1000,1)+(_xlfn.RANK.AVG($J7,($J7,$O7,$T7),1)-2)*10)</f>
        <v>-30.3</v>
      </c>
      <c r="V7" s="54">
        <f>IF($O7="","",ROUND(($O7-$O$3)/1000,1)+(_xlfn.RANK.AVG($O7,($J7,$O7,$T7),1)-2)*10)</f>
        <v>5.2</v>
      </c>
      <c r="W7" s="55">
        <f>IF($T7="","",ROUND(($T7-$T$3)/1000,1)+(_xlfn.RANK.AVG($T7,($J7,$O7,$T7),1)-2)*10)</f>
        <v>25.1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202</v>
      </c>
      <c r="BV7" s="41" t="s">
        <v>82</v>
      </c>
      <c r="BW7" s="41" t="s">
        <v>85</v>
      </c>
      <c r="BX7" s="41" t="s">
        <v>204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206</v>
      </c>
      <c r="G8" s="9">
        <v>3900</v>
      </c>
      <c r="H8" s="9"/>
      <c r="I8" s="48">
        <v>1000</v>
      </c>
      <c r="J8" s="21">
        <f t="shared" si="2"/>
        <v>19600</v>
      </c>
      <c r="K8" s="8"/>
      <c r="L8" s="9"/>
      <c r="M8" s="9"/>
      <c r="N8" s="48"/>
      <c r="O8" s="21">
        <f t="shared" si="3"/>
        <v>40200</v>
      </c>
      <c r="P8" s="8" t="s">
        <v>205</v>
      </c>
      <c r="Q8" s="9">
        <v>-3900</v>
      </c>
      <c r="R8" s="9"/>
      <c r="S8" s="48">
        <v>-1000</v>
      </c>
      <c r="T8" s="21">
        <f t="shared" si="4"/>
        <v>45200</v>
      </c>
      <c r="U8" s="53">
        <f>IF($J8="","",ROUND(($J8-$J$3)/1000,1)+(_xlfn.RANK.AVG($J8,($J8,$O8,$T8),1)-2)*10)</f>
        <v>-25.4</v>
      </c>
      <c r="V8" s="54">
        <f>IF($O8="","",ROUND(($O8-$O$3)/1000,1)+(_xlfn.RANK.AVG($O8,($J8,$O8,$T8),1)-2)*10)</f>
        <v>5.2</v>
      </c>
      <c r="W8" s="55">
        <f>IF($T8="","",ROUND(($T8-$T$3)/1000,1)+(_xlfn.RANK.AVG($T8,($J8,$O8,$T8),1)-2)*10)</f>
        <v>20.2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104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-3000</v>
      </c>
      <c r="H9" s="9"/>
      <c r="I9" s="48"/>
      <c r="J9" s="21">
        <f t="shared" si="2"/>
        <v>16600</v>
      </c>
      <c r="K9" s="8" t="s">
        <v>198</v>
      </c>
      <c r="L9" s="9">
        <v>1500</v>
      </c>
      <c r="M9" s="9"/>
      <c r="N9" s="48"/>
      <c r="O9" s="21">
        <f t="shared" si="3"/>
        <v>41700</v>
      </c>
      <c r="P9" s="8" t="s">
        <v>198</v>
      </c>
      <c r="Q9" s="9">
        <v>1500</v>
      </c>
      <c r="R9" s="9"/>
      <c r="S9" s="48"/>
      <c r="T9" s="21">
        <f t="shared" si="4"/>
        <v>46700</v>
      </c>
      <c r="U9" s="53">
        <f>IF($J9="","",ROUND(($J9-$J$3)/1000,1)+(_xlfn.RANK.AVG($J9,($J9,$O9,$T9),1)-2)*10)</f>
        <v>-28.4</v>
      </c>
      <c r="V9" s="54">
        <f>IF($O9="","",ROUND(($O9-$O$3)/1000,1)+(_xlfn.RANK.AVG($O9,($J9,$O9,$T9),1)-2)*10)</f>
        <v>6.7</v>
      </c>
      <c r="W9" s="55">
        <f>IF($T9="","",ROUND(($T9-$T$3)/1000,1)+(_xlfn.RANK.AVG($T9,($J9,$O9,$T9),1)-2)*10)</f>
        <v>21.7</v>
      </c>
      <c r="Y9" s="8" t="s">
        <v>207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197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199</v>
      </c>
      <c r="G10" s="9">
        <v>-6000</v>
      </c>
      <c r="H10" s="9">
        <v>-1000</v>
      </c>
      <c r="I10" s="48">
        <v>-500</v>
      </c>
      <c r="J10" s="21">
        <f t="shared" si="2"/>
        <v>9100</v>
      </c>
      <c r="K10" s="8" t="s">
        <v>200</v>
      </c>
      <c r="L10" s="9">
        <v>12000</v>
      </c>
      <c r="M10" s="9">
        <v>1000</v>
      </c>
      <c r="N10" s="48">
        <v>1000</v>
      </c>
      <c r="O10" s="21">
        <f t="shared" si="3"/>
        <v>55700</v>
      </c>
      <c r="P10" s="8" t="s">
        <v>199</v>
      </c>
      <c r="Q10" s="9">
        <v>-6000</v>
      </c>
      <c r="R10" s="9"/>
      <c r="S10" s="48">
        <v>-500</v>
      </c>
      <c r="T10" s="21">
        <f t="shared" si="4"/>
        <v>40200</v>
      </c>
      <c r="U10" s="53">
        <f>IF($J10="","",ROUND(($J10-$J$3)/1000,1)+(_xlfn.RANK.AVG($J10,($J10,$O10,$T10),1)-2)*10)</f>
        <v>-35.9</v>
      </c>
      <c r="V10" s="54">
        <f>IF($O10="","",ROUND(($O10-$O$3)/1000,1)+(_xlfn.RANK.AVG($O10,($J10,$O10,$T10),1)-2)*10)</f>
        <v>30.7</v>
      </c>
      <c r="W10" s="55">
        <f>IF($T10="","",ROUND(($T10-$T$3)/1000,1)+(_xlfn.RANK.AVG($T10,($J10,$O10,$T10),1)-2)*10)</f>
        <v>5.2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201</v>
      </c>
      <c r="AZ10" s="40" t="s">
        <v>86</v>
      </c>
      <c r="BA10" s="41" t="s">
        <v>79</v>
      </c>
      <c r="BB10" s="41" t="s">
        <v>79</v>
      </c>
      <c r="BC10" s="41" t="s">
        <v>79</v>
      </c>
      <c r="BD10" s="41" t="s">
        <v>204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198</v>
      </c>
      <c r="G11" s="9">
        <v>-1500</v>
      </c>
      <c r="H11" s="9"/>
      <c r="I11" s="48"/>
      <c r="J11" s="21">
        <f t="shared" si="2"/>
        <v>7600</v>
      </c>
      <c r="K11" s="8" t="s">
        <v>198</v>
      </c>
      <c r="L11" s="9">
        <v>3000</v>
      </c>
      <c r="M11" s="9"/>
      <c r="N11" s="48"/>
      <c r="O11" s="21">
        <f t="shared" si="3"/>
        <v>58700</v>
      </c>
      <c r="P11" s="8" t="s">
        <v>198</v>
      </c>
      <c r="Q11" s="9">
        <v>-1500</v>
      </c>
      <c r="R11" s="9"/>
      <c r="S11" s="48"/>
      <c r="T11" s="21">
        <f t="shared" si="4"/>
        <v>38700</v>
      </c>
      <c r="U11" s="53">
        <f>IF($J11="","",ROUND(($J11-$J$3)/1000,1)+(_xlfn.RANK.AVG($J11,($J11,$O11,$T11),1)-2)*10)</f>
        <v>-37.4</v>
      </c>
      <c r="V11" s="54">
        <f>IF($O11="","",ROUND(($O11-$O$3)/1000,1)+(_xlfn.RANK.AVG($O11,($J11,$O11,$T11),1)-2)*10)</f>
        <v>33.700000000000003</v>
      </c>
      <c r="W11" s="55">
        <f>IF($T11="","",ROUND(($T11-$T$3)/1000,1)+(_xlfn.RANK.AVG($T11,($J11,$O11,$T11),1)-2)*10)</f>
        <v>3.7</v>
      </c>
      <c r="Y11" s="8" t="s">
        <v>207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197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207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193</v>
      </c>
      <c r="F12" s="8" t="s">
        <v>200</v>
      </c>
      <c r="G12" s="9">
        <v>4000</v>
      </c>
      <c r="H12" s="9">
        <v>1000</v>
      </c>
      <c r="I12" s="48">
        <v>3000</v>
      </c>
      <c r="J12" s="21">
        <f t="shared" si="2"/>
        <v>15600</v>
      </c>
      <c r="K12" s="8" t="s">
        <v>199</v>
      </c>
      <c r="L12" s="9">
        <v>-2500</v>
      </c>
      <c r="M12" s="9"/>
      <c r="N12" s="48">
        <v>-1500</v>
      </c>
      <c r="O12" s="21">
        <f t="shared" si="3"/>
        <v>54700</v>
      </c>
      <c r="P12" s="8" t="s">
        <v>199</v>
      </c>
      <c r="Q12" s="9">
        <v>-1500</v>
      </c>
      <c r="R12" s="9">
        <v>-1000</v>
      </c>
      <c r="S12" s="48">
        <v>-1500</v>
      </c>
      <c r="T12" s="21">
        <f t="shared" si="4"/>
        <v>34700</v>
      </c>
      <c r="U12" s="53">
        <f>IF($J12="","",ROUND(($J12-$J$3)/1000,1)+(_xlfn.RANK.AVG($J12,($J12,$O12,$T12),1)-2)*10)</f>
        <v>-29.4</v>
      </c>
      <c r="V12" s="54">
        <f>IF($O12="","",ROUND(($O12-$O$3)/1000,1)+(_xlfn.RANK.AVG($O12,($J12,$O12,$T12),1)-2)*10)</f>
        <v>29.7</v>
      </c>
      <c r="W12" s="55">
        <f>IF($T12="","",ROUND(($T12-$T$3)/1000,1)+(_xlfn.RANK.AVG($T12,($J12,$O12,$T12),1)-2)*10)</f>
        <v>-0.3</v>
      </c>
      <c r="Y12" s="8"/>
      <c r="Z12" s="34"/>
      <c r="AA12" s="26">
        <v>1</v>
      </c>
      <c r="AB12" s="26"/>
      <c r="AC12" s="26">
        <v>3</v>
      </c>
      <c r="AD12" s="30">
        <v>30</v>
      </c>
      <c r="AE12" s="40" t="s">
        <v>202</v>
      </c>
      <c r="AF12" s="41" t="s">
        <v>82</v>
      </c>
      <c r="AG12" s="41" t="s">
        <v>204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205</v>
      </c>
      <c r="G13" s="9">
        <v>-9600</v>
      </c>
      <c r="H13" s="9"/>
      <c r="I13" s="48">
        <v>0</v>
      </c>
      <c r="J13" s="21">
        <f t="shared" si="2"/>
        <v>6000</v>
      </c>
      <c r="K13" s="8"/>
      <c r="L13" s="9"/>
      <c r="M13" s="9"/>
      <c r="N13" s="48"/>
      <c r="O13" s="21">
        <f t="shared" si="3"/>
        <v>54700</v>
      </c>
      <c r="P13" s="8" t="s">
        <v>206</v>
      </c>
      <c r="Q13" s="9">
        <v>9600</v>
      </c>
      <c r="R13" s="9"/>
      <c r="S13" s="48">
        <v>0</v>
      </c>
      <c r="T13" s="21">
        <f t="shared" si="4"/>
        <v>44300</v>
      </c>
      <c r="U13" s="53">
        <f>IF($J13="","",ROUND(($J13-$J$3)/1000,1)+(_xlfn.RANK.AVG($J13,($J13,$O13,$T13),1)-2)*10)</f>
        <v>-39</v>
      </c>
      <c r="V13" s="54">
        <f>IF($O13="","",ROUND(($O13-$O$3)/1000,1)+(_xlfn.RANK.AVG($O13,($J13,$O13,$T13),1)-2)*10)</f>
        <v>29.7</v>
      </c>
      <c r="W13" s="55">
        <f>IF($T13="","",ROUND(($T13-$T$3)/1000,1)+(_xlfn.RANK.AVG($T13,($J13,$O13,$T13),1)-2)*10)</f>
        <v>9.3000000000000007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4</v>
      </c>
      <c r="BT13" s="30">
        <v>25</v>
      </c>
      <c r="BU13" s="40" t="s">
        <v>101</v>
      </c>
      <c r="BV13" s="41" t="s">
        <v>79</v>
      </c>
      <c r="BW13" s="41" t="s">
        <v>79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>
        <f t="shared" si="2"/>
        <v>6000</v>
      </c>
      <c r="K14" s="8" t="s">
        <v>206</v>
      </c>
      <c r="L14" s="9">
        <v>12000</v>
      </c>
      <c r="M14" s="9"/>
      <c r="N14" s="48">
        <v>1000</v>
      </c>
      <c r="O14" s="21">
        <f t="shared" si="3"/>
        <v>67700</v>
      </c>
      <c r="P14" s="8" t="s">
        <v>205</v>
      </c>
      <c r="Q14" s="9">
        <v>-12000</v>
      </c>
      <c r="R14" s="9"/>
      <c r="S14" s="48">
        <v>-1000</v>
      </c>
      <c r="T14" s="21">
        <f t="shared" si="4"/>
        <v>31300</v>
      </c>
      <c r="U14" s="53">
        <f>IF($J14="","",ROUND(($J14-$J$3)/1000,1)+(_xlfn.RANK.AVG($J14,($J14,$O14,$T14),1)-2)*10)</f>
        <v>-39</v>
      </c>
      <c r="V14" s="54">
        <f>IF($O14="","",ROUND(($O14-$O$3)/1000,1)+(_xlfn.RANK.AVG($O14,($J14,$O14,$T14),1)-2)*10)</f>
        <v>42.7</v>
      </c>
      <c r="W14" s="55">
        <f>IF($T14="","",ROUND(($T14-$T$3)/1000,1)+(_xlfn.RANK.AVG($T14,($J14,$O14,$T14),1)-2)*10)</f>
        <v>-3.7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7</v>
      </c>
      <c r="AY14" s="30" t="s">
        <v>201</v>
      </c>
      <c r="AZ14" s="40" t="s">
        <v>202</v>
      </c>
      <c r="BA14" s="41" t="s">
        <v>203</v>
      </c>
      <c r="BB14" s="41" t="s">
        <v>92</v>
      </c>
      <c r="BC14" s="41" t="s">
        <v>79</v>
      </c>
      <c r="BD14" s="41" t="s">
        <v>204</v>
      </c>
      <c r="BE14" s="41" t="s">
        <v>83</v>
      </c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FF22379-3164-4BFB-9F82-7C3B431AE36A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BFF4A-DBDA-4189-AE1E-B87B00C6F62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208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たかの</v>
      </c>
      <c r="F4" s="8"/>
      <c r="G4" s="9"/>
      <c r="H4" s="9"/>
      <c r="I4" s="48"/>
      <c r="J4" s="21">
        <f>IF(COUNTA($F4,$K4,$P4)&gt;0,J3+SUM(G4:I4),"")</f>
        <v>35000</v>
      </c>
      <c r="K4" s="8" t="s">
        <v>205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206</v>
      </c>
      <c r="Q4" s="9">
        <v>2000</v>
      </c>
      <c r="R4" s="9"/>
      <c r="S4" s="48">
        <v>0</v>
      </c>
      <c r="T4" s="21">
        <f>IF(COUNTA($F4,$K4,$P4)&gt;0,T3+SUM(Q4:S4),"")</f>
        <v>37000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-12</v>
      </c>
      <c r="W4" s="55">
        <f>IF($T4="","",ROUND(($T4-$T$3)/1000,1)+(_xlfn.RANK.AVG($T4,($J4,$O4,$T4),1)-2)*10)</f>
        <v>12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209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209</v>
      </c>
      <c r="L5" s="9">
        <v>-1500</v>
      </c>
      <c r="M5" s="9"/>
      <c r="N5" s="48"/>
      <c r="O5" s="21">
        <f t="shared" ref="O5:O30" si="3">IF(COUNTA($F5,$K5,$P5)&gt;0,O4+SUM(L5:N5),"")</f>
        <v>31500</v>
      </c>
      <c r="P5" s="8" t="s">
        <v>209</v>
      </c>
      <c r="Q5" s="9">
        <v>3000</v>
      </c>
      <c r="R5" s="9"/>
      <c r="S5" s="48"/>
      <c r="T5" s="21">
        <f t="shared" ref="T5:T30" si="4">IF(COUNTA($F5,$K5,$P5)&gt;0,T4+SUM(Q5:S5),"")</f>
        <v>40000</v>
      </c>
      <c r="U5" s="53">
        <f>IF($J5="","",ROUND(($J5-$J$3)/1000,1)+(_xlfn.RANK.AVG($J5,($J5,$O5,$T5),1)-2)*10)</f>
        <v>-1.5</v>
      </c>
      <c r="V5" s="54">
        <f>IF($O5="","",ROUND(($O5-$O$3)/1000,1)+(_xlfn.RANK.AVG($O5,($J5,$O5,$T5),1)-2)*10)</f>
        <v>-13.5</v>
      </c>
      <c r="W5" s="55">
        <f>IF($T5="","",ROUND(($T5-$T$3)/1000,1)+(_xlfn.RANK.AVG($T5,($J5,$O5,$T5),1)-2)*10)</f>
        <v>15</v>
      </c>
      <c r="Y5" s="8" t="s">
        <v>207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206</v>
      </c>
      <c r="G6" s="9">
        <v>5200</v>
      </c>
      <c r="H6" s="9"/>
      <c r="I6" s="48">
        <v>1000</v>
      </c>
      <c r="J6" s="21">
        <f t="shared" si="2"/>
        <v>39700</v>
      </c>
      <c r="K6" s="8"/>
      <c r="L6" s="9"/>
      <c r="M6" s="9"/>
      <c r="N6" s="48"/>
      <c r="O6" s="21">
        <f t="shared" si="3"/>
        <v>31500</v>
      </c>
      <c r="P6" s="8" t="s">
        <v>205</v>
      </c>
      <c r="Q6" s="9">
        <v>-5200</v>
      </c>
      <c r="R6" s="9"/>
      <c r="S6" s="48">
        <v>-1000</v>
      </c>
      <c r="T6" s="21">
        <f t="shared" si="4"/>
        <v>33800</v>
      </c>
      <c r="U6" s="53">
        <f>IF($J6="","",ROUND(($J6-$J$3)/1000,1)+(_xlfn.RANK.AVG($J6,($J6,$O6,$T6),1)-2)*10)</f>
        <v>14.7</v>
      </c>
      <c r="V6" s="54">
        <f>IF($O6="","",ROUND(($O6-$O$3)/1000,1)+(_xlfn.RANK.AVG($O6,($J6,$O6,$T6),1)-2)*10)</f>
        <v>-13.5</v>
      </c>
      <c r="W6" s="55">
        <f>IF($T6="","",ROUND(($T6-$T$3)/1000,1)+(_xlfn.RANK.AVG($T6,($J6,$O6,$T6),1)-2)*10)</f>
        <v>-1.2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202</v>
      </c>
      <c r="AF6" s="41" t="s">
        <v>204</v>
      </c>
      <c r="AG6" s="41" t="s">
        <v>80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208</v>
      </c>
      <c r="F7" s="8" t="s">
        <v>199</v>
      </c>
      <c r="G7" s="9">
        <v>-7500</v>
      </c>
      <c r="H7" s="9"/>
      <c r="I7" s="48">
        <v>0</v>
      </c>
      <c r="J7" s="21">
        <f t="shared" si="2"/>
        <v>32200</v>
      </c>
      <c r="K7" s="8" t="s">
        <v>199</v>
      </c>
      <c r="L7" s="9">
        <v>-4500</v>
      </c>
      <c r="M7" s="9"/>
      <c r="N7" s="48">
        <v>0</v>
      </c>
      <c r="O7" s="21">
        <f t="shared" si="3"/>
        <v>27000</v>
      </c>
      <c r="P7" s="8" t="s">
        <v>200</v>
      </c>
      <c r="Q7" s="9">
        <v>12000</v>
      </c>
      <c r="R7" s="9"/>
      <c r="S7" s="48">
        <v>0</v>
      </c>
      <c r="T7" s="21">
        <f t="shared" si="4"/>
        <v>45800</v>
      </c>
      <c r="U7" s="53">
        <f>IF($J7="","",ROUND(($J7-$J$3)/1000,1)+(_xlfn.RANK.AVG($J7,($J7,$O7,$T7),1)-2)*10)</f>
        <v>-2.8</v>
      </c>
      <c r="V7" s="54">
        <f>IF($O7="","",ROUND(($O7-$O$3)/1000,1)+(_xlfn.RANK.AVG($O7,($J7,$O7,$T7),1)-2)*10)</f>
        <v>-18</v>
      </c>
      <c r="W7" s="55">
        <f>IF($T7="","",ROUND(($T7-$T$3)/1000,1)+(_xlfn.RANK.AVG($T7,($J7,$O7,$T7),1)-2)*10)</f>
        <v>20.8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201</v>
      </c>
      <c r="BU7" s="40" t="s">
        <v>202</v>
      </c>
      <c r="BV7" s="41" t="s">
        <v>82</v>
      </c>
      <c r="BW7" s="41" t="s">
        <v>83</v>
      </c>
      <c r="BX7" s="41" t="s">
        <v>79</v>
      </c>
      <c r="BY7" s="41" t="s">
        <v>79</v>
      </c>
      <c r="BZ7" s="41" t="s">
        <v>80</v>
      </c>
      <c r="CA7" s="41" t="s">
        <v>80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-3000</v>
      </c>
      <c r="H8" s="9">
        <v>-1000</v>
      </c>
      <c r="I8" s="48">
        <v>0</v>
      </c>
      <c r="J8" s="21">
        <f t="shared" si="2"/>
        <v>28200</v>
      </c>
      <c r="K8" s="8" t="s">
        <v>199</v>
      </c>
      <c r="L8" s="9">
        <v>-5000</v>
      </c>
      <c r="M8" s="9"/>
      <c r="N8" s="48">
        <v>0</v>
      </c>
      <c r="O8" s="21">
        <f t="shared" si="3"/>
        <v>22000</v>
      </c>
      <c r="P8" s="8" t="s">
        <v>200</v>
      </c>
      <c r="Q8" s="9">
        <v>8000</v>
      </c>
      <c r="R8" s="9">
        <v>1000</v>
      </c>
      <c r="S8" s="48">
        <v>0</v>
      </c>
      <c r="T8" s="21">
        <f t="shared" si="4"/>
        <v>54800</v>
      </c>
      <c r="U8" s="53">
        <f>IF($J8="","",ROUND(($J8-$J$3)/1000,1)+(_xlfn.RANK.AVG($J8,($J8,$O8,$T8),1)-2)*10)</f>
        <v>-6.8</v>
      </c>
      <c r="V8" s="54">
        <f>IF($O8="","",ROUND(($O8-$O$3)/1000,1)+(_xlfn.RANK.AVG($O8,($J8,$O8,$T8),1)-2)*10)</f>
        <v>-23</v>
      </c>
      <c r="W8" s="55">
        <f>IF($T8="","",ROUND(($T8-$T$3)/1000,1)+(_xlfn.RANK.AVG($T8,($J8,$O8,$T8),1)-2)*10)</f>
        <v>29.8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201</v>
      </c>
      <c r="BU8" s="40" t="s">
        <v>202</v>
      </c>
      <c r="BV8" s="41" t="s">
        <v>82</v>
      </c>
      <c r="BW8" s="41" t="s">
        <v>83</v>
      </c>
      <c r="BX8" s="41" t="s">
        <v>204</v>
      </c>
      <c r="BY8" s="41" t="s">
        <v>204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200</v>
      </c>
      <c r="G9" s="9">
        <v>8000</v>
      </c>
      <c r="H9" s="9"/>
      <c r="I9" s="48">
        <v>0</v>
      </c>
      <c r="J9" s="21">
        <f t="shared" si="2"/>
        <v>36200</v>
      </c>
      <c r="K9" s="8" t="s">
        <v>199</v>
      </c>
      <c r="L9" s="9">
        <v>-3000</v>
      </c>
      <c r="M9" s="9"/>
      <c r="N9" s="48">
        <v>0</v>
      </c>
      <c r="O9" s="21">
        <f t="shared" si="3"/>
        <v>19000</v>
      </c>
      <c r="P9" s="8" t="s">
        <v>199</v>
      </c>
      <c r="Q9" s="9">
        <v>-5000</v>
      </c>
      <c r="R9" s="9"/>
      <c r="S9" s="48">
        <v>0</v>
      </c>
      <c r="T9" s="21">
        <f t="shared" si="4"/>
        <v>49800</v>
      </c>
      <c r="U9" s="53">
        <f>IF($J9="","",ROUND(($J9-$J$3)/1000,1)+(_xlfn.RANK.AVG($J9,($J9,$O9,$T9),1)-2)*10)</f>
        <v>1.2</v>
      </c>
      <c r="V9" s="54">
        <f>IF($O9="","",ROUND(($O9-$O$3)/1000,1)+(_xlfn.RANK.AVG($O9,($J9,$O9,$T9),1)-2)*10)</f>
        <v>-26</v>
      </c>
      <c r="W9" s="55">
        <f>IF($T9="","",ROUND(($T9-$T$3)/1000,1)+(_xlfn.RANK.AVG($T9,($J9,$O9,$T9),1)-2)*10)</f>
        <v>24.8</v>
      </c>
      <c r="Y9" s="8"/>
      <c r="Z9" s="34"/>
      <c r="AA9" s="26">
        <v>1</v>
      </c>
      <c r="AB9" s="26"/>
      <c r="AC9" s="26">
        <v>5</v>
      </c>
      <c r="AD9" s="30" t="s">
        <v>201</v>
      </c>
      <c r="AE9" s="40" t="s">
        <v>202</v>
      </c>
      <c r="AF9" s="41" t="s">
        <v>82</v>
      </c>
      <c r="AG9" s="41" t="s">
        <v>85</v>
      </c>
      <c r="AH9" s="41" t="s">
        <v>79</v>
      </c>
      <c r="AI9" s="41" t="s">
        <v>204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1E7B3518-33FB-40B6-BEE6-41CA1C99CF43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394EA87C-2F6D-4C1B-BA88-981386D68C74}">
      <formula1>"ロン,ツモ,放銃,ツモ支払,流局,チョンボ"</formula1>
    </dataValidation>
    <dataValidation type="list" allowBlank="1" showInputMessage="1" showErrorMessage="1" sqref="E4:E30" xr:uid="{127F8A9E-ABD3-4D67-8D15-DF9E5A95062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92561-5036-4AD8-8D81-084CEA781E6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210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208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まっつん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206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 t="s">
        <v>205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13.9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202</v>
      </c>
      <c r="AF4" s="41" t="s">
        <v>203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209</v>
      </c>
      <c r="G5" s="9">
        <v>3000</v>
      </c>
      <c r="H5" s="9"/>
      <c r="I5" s="48"/>
      <c r="J5" s="21">
        <f t="shared" ref="J5:J30" si="2">IF(COUNTA($F5,$K5,$P5)&gt;0,J4+SUM(G5:I5),"")</f>
        <v>41900</v>
      </c>
      <c r="K5" s="8" t="s">
        <v>209</v>
      </c>
      <c r="L5" s="9">
        <v>-1500</v>
      </c>
      <c r="M5" s="9"/>
      <c r="N5" s="48"/>
      <c r="O5" s="21">
        <f t="shared" ref="O5:O30" si="3">IF(COUNTA($F5,$K5,$P5)&gt;0,O4+SUM(L5:N5),"")</f>
        <v>29600</v>
      </c>
      <c r="P5" s="8" t="s">
        <v>209</v>
      </c>
      <c r="Q5" s="9">
        <v>-1500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16.899999999999999</v>
      </c>
      <c r="V5" s="54">
        <f>IF($O5="","",ROUND(($O5-$O$3)/1000,1)+(_xlfn.RANK.AVG($O5,($J5,$O5,$T5),1)-2)*10)</f>
        <v>-15.4</v>
      </c>
      <c r="W5" s="55">
        <f>IF($T5="","",ROUND(($T5-$T$3)/1000,1)+(_xlfn.RANK.AVG($T5,($J5,$O5,$T5),1)-2)*10)</f>
        <v>-1.5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210</v>
      </c>
      <c r="F6" s="8" t="s">
        <v>211</v>
      </c>
      <c r="G6" s="9">
        <v>5000</v>
      </c>
      <c r="H6" s="9">
        <v>-1000</v>
      </c>
      <c r="I6" s="48"/>
      <c r="J6" s="21">
        <f t="shared" si="2"/>
        <v>45900</v>
      </c>
      <c r="K6" s="8" t="s">
        <v>211</v>
      </c>
      <c r="L6" s="9">
        <v>3000</v>
      </c>
      <c r="M6" s="9"/>
      <c r="N6" s="48"/>
      <c r="O6" s="21">
        <f t="shared" si="3"/>
        <v>32600</v>
      </c>
      <c r="P6" s="8" t="s">
        <v>211</v>
      </c>
      <c r="Q6" s="9">
        <v>-8000</v>
      </c>
      <c r="R6" s="9"/>
      <c r="S6" s="48"/>
      <c r="T6" s="21">
        <f t="shared" si="4"/>
        <v>25500</v>
      </c>
      <c r="U6" s="53">
        <f>IF($J6="","",ROUND(($J6-$J$3)/1000,1)+(_xlfn.RANK.AVG($J6,($J6,$O6,$T6),1)-2)*10)</f>
        <v>20.9</v>
      </c>
      <c r="V6" s="54">
        <f>IF($O6="","",ROUND(($O6-$O$3)/1000,1)+(_xlfn.RANK.AVG($O6,($J6,$O6,$T6),1)-2)*10)</f>
        <v>-2.4</v>
      </c>
      <c r="W6" s="55">
        <f>IF($T6="","",ROUND(($T6-$T$3)/1000,1)+(_xlfn.RANK.AVG($T6,($J6,$O6,$T6),1)-2)*10)</f>
        <v>-19.5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>
        <v>1</v>
      </c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2</v>
      </c>
      <c r="D7" s="18">
        <f t="shared" si="1"/>
        <v>1</v>
      </c>
      <c r="E7" s="4" t="s">
        <v>210</v>
      </c>
      <c r="F7" s="8" t="s">
        <v>199</v>
      </c>
      <c r="G7" s="9">
        <v>-1300</v>
      </c>
      <c r="H7" s="9"/>
      <c r="I7" s="48">
        <v>-1000</v>
      </c>
      <c r="J7" s="21">
        <f t="shared" si="2"/>
        <v>43600</v>
      </c>
      <c r="K7" s="8" t="s">
        <v>199</v>
      </c>
      <c r="L7" s="9">
        <v>-800</v>
      </c>
      <c r="M7" s="9"/>
      <c r="N7" s="48">
        <v>-1000</v>
      </c>
      <c r="O7" s="21">
        <f t="shared" si="3"/>
        <v>30800</v>
      </c>
      <c r="P7" s="8" t="s">
        <v>200</v>
      </c>
      <c r="Q7" s="9">
        <v>2100</v>
      </c>
      <c r="R7" s="9">
        <v>1000</v>
      </c>
      <c r="S7" s="48">
        <v>2000</v>
      </c>
      <c r="T7" s="21">
        <f t="shared" si="4"/>
        <v>30600</v>
      </c>
      <c r="U7" s="53">
        <f>IF($J7="","",ROUND(($J7-$J$3)/1000,1)+(_xlfn.RANK.AVG($J7,($J7,$O7,$T7),1)-2)*10)</f>
        <v>18.600000000000001</v>
      </c>
      <c r="V7" s="54">
        <f>IF($O7="","",ROUND(($O7-$O$3)/1000,1)+(_xlfn.RANK.AVG($O7,($J7,$O7,$T7),1)-2)*10)</f>
        <v>-4.2</v>
      </c>
      <c r="W7" s="55">
        <f>IF($T7="","",ROUND(($T7-$T$3)/1000,1)+(_xlfn.RANK.AVG($T7,($J7,$O7,$T7),1)-2)*10)</f>
        <v>-14.4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204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-600</v>
      </c>
      <c r="H8" s="9"/>
      <c r="I8" s="48">
        <v>0</v>
      </c>
      <c r="J8" s="21">
        <f t="shared" si="2"/>
        <v>43000</v>
      </c>
      <c r="K8" s="8" t="s">
        <v>199</v>
      </c>
      <c r="L8" s="9">
        <v>-900</v>
      </c>
      <c r="M8" s="9"/>
      <c r="N8" s="48">
        <v>0</v>
      </c>
      <c r="O8" s="21">
        <f t="shared" si="3"/>
        <v>29900</v>
      </c>
      <c r="P8" s="8" t="s">
        <v>200</v>
      </c>
      <c r="Q8" s="9">
        <v>1500</v>
      </c>
      <c r="R8" s="9"/>
      <c r="S8" s="48">
        <v>0</v>
      </c>
      <c r="T8" s="21">
        <f t="shared" si="4"/>
        <v>32100</v>
      </c>
      <c r="U8" s="53">
        <f>IF($J8="","",ROUND(($J8-$J$3)/1000,1)+(_xlfn.RANK.AVG($J8,($J8,$O8,$T8),1)-2)*10)</f>
        <v>18</v>
      </c>
      <c r="V8" s="54">
        <f>IF($O8="","",ROUND(($O8-$O$3)/1000,1)+(_xlfn.RANK.AVG($O8,($J8,$O8,$T8),1)-2)*10)</f>
        <v>-15.1</v>
      </c>
      <c r="W8" s="55">
        <f>IF($T8="","",ROUND(($T8-$T$3)/1000,1)+(_xlfn.RANK.AVG($T8,($J8,$O8,$T8),1)-2)*10)</f>
        <v>-2.9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20</v>
      </c>
      <c r="BU8" s="40" t="s">
        <v>82</v>
      </c>
      <c r="BV8" s="41" t="s">
        <v>83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206</v>
      </c>
      <c r="G9" s="9">
        <v>8000</v>
      </c>
      <c r="H9" s="9"/>
      <c r="I9" s="48">
        <v>0</v>
      </c>
      <c r="J9" s="21">
        <f t="shared" si="2"/>
        <v>51000</v>
      </c>
      <c r="K9" s="8"/>
      <c r="L9" s="9"/>
      <c r="M9" s="9"/>
      <c r="N9" s="48"/>
      <c r="O9" s="21">
        <f t="shared" si="3"/>
        <v>29900</v>
      </c>
      <c r="P9" s="8" t="s">
        <v>205</v>
      </c>
      <c r="Q9" s="9">
        <v>-8000</v>
      </c>
      <c r="R9" s="9"/>
      <c r="S9" s="48">
        <v>0</v>
      </c>
      <c r="T9" s="21">
        <f t="shared" si="4"/>
        <v>24100</v>
      </c>
      <c r="U9" s="53">
        <f>IF($J9="","",ROUND(($J9-$J$3)/1000,1)+(_xlfn.RANK.AVG($J9,($J9,$O9,$T9),1)-2)*10)</f>
        <v>26</v>
      </c>
      <c r="V9" s="54">
        <f>IF($O9="","",ROUND(($O9-$O$3)/1000,1)+(_xlfn.RANK.AVG($O9,($J9,$O9,$T9),1)-2)*10)</f>
        <v>-5.0999999999999996</v>
      </c>
      <c r="W9" s="55">
        <f>IF($T9="","",ROUND(($T9-$T$3)/1000,1)+(_xlfn.RANK.AVG($T9,($J9,$O9,$T9),1)-2)*10)</f>
        <v>-20.9</v>
      </c>
      <c r="Y9" s="8"/>
      <c r="Z9" s="34"/>
      <c r="AA9" s="26">
        <v>1</v>
      </c>
      <c r="AB9" s="26"/>
      <c r="AC9" s="26">
        <v>5</v>
      </c>
      <c r="AD9" s="30" t="s">
        <v>201</v>
      </c>
      <c r="AE9" s="40" t="s">
        <v>202</v>
      </c>
      <c r="AF9" s="41" t="s">
        <v>104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210</v>
      </c>
      <c r="F10" s="8" t="s">
        <v>200</v>
      </c>
      <c r="G10" s="9">
        <v>1600</v>
      </c>
      <c r="H10" s="9">
        <v>1000</v>
      </c>
      <c r="I10" s="48">
        <v>0</v>
      </c>
      <c r="J10" s="21">
        <f t="shared" si="2"/>
        <v>53600</v>
      </c>
      <c r="K10" s="8" t="s">
        <v>199</v>
      </c>
      <c r="L10" s="9">
        <v>-800</v>
      </c>
      <c r="M10" s="9"/>
      <c r="N10" s="48">
        <v>0</v>
      </c>
      <c r="O10" s="21">
        <f t="shared" si="3"/>
        <v>29100</v>
      </c>
      <c r="P10" s="8" t="s">
        <v>199</v>
      </c>
      <c r="Q10" s="9">
        <v>-800</v>
      </c>
      <c r="R10" s="9">
        <v>-1000</v>
      </c>
      <c r="S10" s="48">
        <v>0</v>
      </c>
      <c r="T10" s="21">
        <f t="shared" si="4"/>
        <v>22300</v>
      </c>
      <c r="U10" s="53">
        <f>IF($J10="","",ROUND(($J10-$J$3)/1000,1)+(_xlfn.RANK.AVG($J10,($J10,$O10,$T10),1)-2)*10)</f>
        <v>28.6</v>
      </c>
      <c r="V10" s="54">
        <f>IF($O10="","",ROUND(($O10-$O$3)/1000,1)+(_xlfn.RANK.AVG($O10,($J10,$O10,$T10),1)-2)*10)</f>
        <v>-5.9</v>
      </c>
      <c r="W10" s="55">
        <f>IF($T10="","",ROUND(($T10-$T$3)/1000,1)+(_xlfn.RANK.AVG($T10,($J10,$O10,$T10),1)-2)*10)</f>
        <v>-22.7</v>
      </c>
      <c r="Y10" s="8"/>
      <c r="Z10" s="34"/>
      <c r="AA10" s="26"/>
      <c r="AB10" s="26"/>
      <c r="AC10" s="26">
        <v>1</v>
      </c>
      <c r="AD10" s="30">
        <v>30</v>
      </c>
      <c r="AE10" s="40" t="s">
        <v>82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210</v>
      </c>
      <c r="F11" s="8" t="s">
        <v>199</v>
      </c>
      <c r="G11" s="9">
        <v>-1300</v>
      </c>
      <c r="H11" s="9"/>
      <c r="I11" s="48">
        <v>-500</v>
      </c>
      <c r="J11" s="21">
        <f t="shared" si="2"/>
        <v>51800</v>
      </c>
      <c r="K11" s="8" t="s">
        <v>199</v>
      </c>
      <c r="L11" s="9">
        <v>-800</v>
      </c>
      <c r="M11" s="9"/>
      <c r="N11" s="48">
        <v>-500</v>
      </c>
      <c r="O11" s="21">
        <f t="shared" si="3"/>
        <v>27800</v>
      </c>
      <c r="P11" s="8" t="s">
        <v>200</v>
      </c>
      <c r="Q11" s="9">
        <v>2100</v>
      </c>
      <c r="R11" s="9"/>
      <c r="S11" s="48">
        <v>1000</v>
      </c>
      <c r="T11" s="21">
        <f t="shared" si="4"/>
        <v>25400</v>
      </c>
      <c r="U11" s="53">
        <f>IF($J11="","",ROUND(($J11-$J$3)/1000,1)+(_xlfn.RANK.AVG($J11,($J11,$O11,$T11),1)-2)*10)</f>
        <v>26.8</v>
      </c>
      <c r="V11" s="54">
        <f>IF($O11="","",ROUND(($O11-$O$3)/1000,1)+(_xlfn.RANK.AVG($O11,($J11,$O11,$T11),1)-2)*10)</f>
        <v>-7.2</v>
      </c>
      <c r="W11" s="55">
        <f>IF($T11="","",ROUND(($T11-$T$3)/1000,1)+(_xlfn.RANK.AVG($T11,($J11,$O11,$T11),1)-2)*10)</f>
        <v>-19.600000000000001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30</v>
      </c>
      <c r="BU11" s="40" t="s">
        <v>82</v>
      </c>
      <c r="BV11" s="41" t="s">
        <v>202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209</v>
      </c>
      <c r="G12" s="9">
        <v>-3000</v>
      </c>
      <c r="H12" s="9"/>
      <c r="I12" s="48"/>
      <c r="J12" s="21">
        <f t="shared" si="2"/>
        <v>48800</v>
      </c>
      <c r="K12" s="8" t="s">
        <v>209</v>
      </c>
      <c r="L12" s="9">
        <v>1500</v>
      </c>
      <c r="M12" s="9"/>
      <c r="N12" s="48"/>
      <c r="O12" s="21">
        <f t="shared" si="3"/>
        <v>29300</v>
      </c>
      <c r="P12" s="8" t="s">
        <v>209</v>
      </c>
      <c r="Q12" s="9">
        <v>1500</v>
      </c>
      <c r="R12" s="9"/>
      <c r="S12" s="48"/>
      <c r="T12" s="21">
        <f t="shared" si="4"/>
        <v>26900</v>
      </c>
      <c r="U12" s="53">
        <f>IF($J12="","",ROUND(($J12-$J$3)/1000,1)+(_xlfn.RANK.AVG($J12,($J12,$O12,$T12),1)-2)*10)</f>
        <v>23.8</v>
      </c>
      <c r="V12" s="54">
        <f>IF($O12="","",ROUND(($O12-$O$3)/1000,1)+(_xlfn.RANK.AVG($O12,($J12,$O12,$T12),1)-2)*10)</f>
        <v>-5.7</v>
      </c>
      <c r="W12" s="55">
        <f>IF($T12="","",ROUND(($T12-$T$3)/1000,1)+(_xlfn.RANK.AVG($T12,($J12,$O12,$T12),1)-2)*10)</f>
        <v>-18.100000000000001</v>
      </c>
      <c r="Y12" s="8" t="s">
        <v>207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197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191</v>
      </c>
      <c r="F13" s="8" t="s">
        <v>205</v>
      </c>
      <c r="G13" s="9">
        <v>-8000</v>
      </c>
      <c r="H13" s="9"/>
      <c r="I13" s="48">
        <v>-1000</v>
      </c>
      <c r="J13" s="21">
        <f t="shared" si="2"/>
        <v>39800</v>
      </c>
      <c r="K13" s="8"/>
      <c r="L13" s="9"/>
      <c r="M13" s="9"/>
      <c r="N13" s="48"/>
      <c r="O13" s="21">
        <f t="shared" si="3"/>
        <v>29300</v>
      </c>
      <c r="P13" s="8" t="s">
        <v>206</v>
      </c>
      <c r="Q13" s="9">
        <v>8000</v>
      </c>
      <c r="R13" s="9"/>
      <c r="S13" s="48">
        <v>1000</v>
      </c>
      <c r="T13" s="21">
        <f t="shared" si="4"/>
        <v>35900</v>
      </c>
      <c r="U13" s="53">
        <f>IF($J13="","",ROUND(($J13-$J$3)/1000,1)+(_xlfn.RANK.AVG($J13,($J13,$O13,$T13),1)-2)*10)</f>
        <v>14.8</v>
      </c>
      <c r="V13" s="54">
        <f>IF($O13="","",ROUND(($O13-$O$3)/1000,1)+(_xlfn.RANK.AVG($O13,($J13,$O13,$T13),1)-2)*10)</f>
        <v>-15.7</v>
      </c>
      <c r="W13" s="55">
        <f>IF($T13="","",ROUND(($T13-$T$3)/1000,1)+(_xlfn.RANK.AVG($T13,($J13,$O13,$T13),1)-2)*10)</f>
        <v>0.9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40</v>
      </c>
      <c r="BU13" s="40" t="s">
        <v>202</v>
      </c>
      <c r="BV13" s="41" t="s">
        <v>80</v>
      </c>
      <c r="BW13" s="41" t="s">
        <v>80</v>
      </c>
      <c r="BX13" s="41" t="s">
        <v>204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208</v>
      </c>
      <c r="F14" s="8" t="s">
        <v>200</v>
      </c>
      <c r="G14" s="9">
        <v>2100</v>
      </c>
      <c r="H14" s="9"/>
      <c r="I14" s="48">
        <v>0</v>
      </c>
      <c r="J14" s="21">
        <f t="shared" si="2"/>
        <v>41900</v>
      </c>
      <c r="K14" s="8" t="s">
        <v>199</v>
      </c>
      <c r="L14" s="9">
        <v>-800</v>
      </c>
      <c r="M14" s="9"/>
      <c r="N14" s="48">
        <v>0</v>
      </c>
      <c r="O14" s="21">
        <f t="shared" si="3"/>
        <v>28500</v>
      </c>
      <c r="P14" s="8" t="s">
        <v>199</v>
      </c>
      <c r="Q14" s="9">
        <v>-1300</v>
      </c>
      <c r="R14" s="9"/>
      <c r="S14" s="48">
        <v>0</v>
      </c>
      <c r="T14" s="21">
        <f t="shared" si="4"/>
        <v>34600</v>
      </c>
      <c r="U14" s="53">
        <f>IF($J14="","",ROUND(($J14-$J$3)/1000,1)+(_xlfn.RANK.AVG($J14,($J14,$O14,$T14),1)-2)*10)</f>
        <v>16.899999999999999</v>
      </c>
      <c r="V14" s="54">
        <f>IF($O14="","",ROUND(($O14-$O$3)/1000,1)+(_xlfn.RANK.AVG($O14,($J14,$O14,$T14),1)-2)*10)</f>
        <v>-16.5</v>
      </c>
      <c r="W14" s="55">
        <f>IF($T14="","",ROUND(($T14-$T$3)/1000,1)+(_xlfn.RANK.AVG($T14,($J14,$O14,$T14),1)-2)*10)</f>
        <v>-0.4</v>
      </c>
      <c r="Y14" s="8"/>
      <c r="Z14" s="34"/>
      <c r="AA14" s="26"/>
      <c r="AB14" s="26">
        <v>1</v>
      </c>
      <c r="AC14" s="26">
        <v>2</v>
      </c>
      <c r="AD14" s="30">
        <v>30</v>
      </c>
      <c r="AE14" s="40" t="s">
        <v>86</v>
      </c>
      <c r="AF14" s="41" t="s">
        <v>204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2C5A4AD6-92F6-417E-A616-D70589E04651}">
      <formula1>$U$2:$W$2</formula1>
    </dataValidation>
    <dataValidation type="list" showInputMessage="1" showErrorMessage="1" sqref="K4:K30 P4:P30 F4:F30" xr:uid="{581E6E93-3049-4396-98E2-91435E9085CB}">
      <formula1>"ロン,ツモ,放銃,ツモ支払,流局,チョンボ"</formula1>
    </dataValidation>
    <dataValidation type="list" allowBlank="1" showInputMessage="1" sqref="F1:T1" xr:uid="{5D28B191-FAF2-43DC-A242-E5AF1A4A5B0A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1C74C-A848-465C-9F2D-5F48397BC551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213</v>
      </c>
      <c r="L1" s="73"/>
      <c r="M1" s="73"/>
      <c r="N1" s="74"/>
      <c r="O1" s="75"/>
      <c r="P1" s="72" t="s">
        <v>215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まっつん</v>
      </c>
      <c r="F4" s="8" t="s">
        <v>199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199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200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IF($J4="","",ROUND(($J4-$J$3)/1000,1)+(_xlfn.RANK.AVG($J4,($J4,$O4,$T4),1)-2)*10)</f>
        <v>-14.8</v>
      </c>
      <c r="V4" s="54">
        <f>IF($O4="","",ROUND(($O4-$O$3)/1000,1)+(_xlfn.RANK.AVG($O4,($J4,$O4,$T4),1)-2)*10)</f>
        <v>-2.9</v>
      </c>
      <c r="W4" s="55">
        <f>IF($T4="","",ROUND(($T4-$T$3)/1000,1)+(_xlfn.RANK.AVG($T4,($J4,$O4,$T4),1)-2)*10)</f>
        <v>17.7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202</v>
      </c>
      <c r="BV4" s="41" t="s">
        <v>82</v>
      </c>
      <c r="BW4" s="41" t="s">
        <v>85</v>
      </c>
      <c r="BX4" s="41" t="s">
        <v>204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212</v>
      </c>
      <c r="F5" s="8" t="s">
        <v>206</v>
      </c>
      <c r="G5" s="9">
        <v>16000</v>
      </c>
      <c r="H5" s="9"/>
      <c r="I5" s="48">
        <v>0</v>
      </c>
      <c r="J5" s="21">
        <f t="shared" ref="J5:J30" si="2">IF(COUNTA($F5,$K5,$P5)&gt;0,J4+SUM(G5:I5),"")</f>
        <v>46200</v>
      </c>
      <c r="K5" s="8"/>
      <c r="L5" s="9"/>
      <c r="M5" s="9"/>
      <c r="N5" s="48"/>
      <c r="O5" s="21">
        <f t="shared" ref="O5:O30" si="3">IF(COUNTA($F5,$K5,$P5)&gt;0,O4+SUM(L5:N5),"")</f>
        <v>32100</v>
      </c>
      <c r="P5" s="8" t="s">
        <v>205</v>
      </c>
      <c r="Q5" s="9">
        <v>-16000</v>
      </c>
      <c r="R5" s="9"/>
      <c r="S5" s="48">
        <v>0</v>
      </c>
      <c r="T5" s="21">
        <f t="shared" ref="T5:T30" si="4">IF(COUNTA($F5,$K5,$P5)&gt;0,T4+SUM(Q5:S5),"")</f>
        <v>26700</v>
      </c>
      <c r="U5" s="53">
        <f>IF($J5="","",ROUND(($J5-$J$3)/1000,1)+(_xlfn.RANK.AVG($J5,($J5,$O5,$T5),1)-2)*10)</f>
        <v>21.2</v>
      </c>
      <c r="V5" s="54">
        <f>IF($O5="","",ROUND(($O5-$O$3)/1000,1)+(_xlfn.RANK.AVG($O5,($J5,$O5,$T5),1)-2)*10)</f>
        <v>-2.9</v>
      </c>
      <c r="W5" s="55">
        <f>IF($T5="","",ROUND(($T5-$T$3)/1000,1)+(_xlfn.RANK.AVG($T5,($J5,$O5,$T5),1)-2)*10)</f>
        <v>-18.3</v>
      </c>
      <c r="Y5" s="8"/>
      <c r="Z5" s="34"/>
      <c r="AA5" s="26"/>
      <c r="AB5" s="26">
        <v>1</v>
      </c>
      <c r="AC5" s="26">
        <v>8</v>
      </c>
      <c r="AD5" s="30" t="s">
        <v>201</v>
      </c>
      <c r="AE5" s="40" t="s">
        <v>86</v>
      </c>
      <c r="AF5" s="41" t="s">
        <v>86</v>
      </c>
      <c r="AG5" s="41" t="s">
        <v>86</v>
      </c>
      <c r="AH5" s="41" t="s">
        <v>79</v>
      </c>
      <c r="AI5" s="41" t="s">
        <v>79</v>
      </c>
      <c r="AJ5" s="41" t="s">
        <v>79</v>
      </c>
      <c r="AK5" s="41" t="s">
        <v>98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214</v>
      </c>
      <c r="F6" s="8" t="s">
        <v>200</v>
      </c>
      <c r="G6" s="9">
        <v>7700</v>
      </c>
      <c r="H6" s="9"/>
      <c r="I6" s="48">
        <v>0</v>
      </c>
      <c r="J6" s="21">
        <f t="shared" si="2"/>
        <v>53900</v>
      </c>
      <c r="K6" s="8" t="s">
        <v>199</v>
      </c>
      <c r="L6" s="9">
        <v>-2900</v>
      </c>
      <c r="M6" s="9"/>
      <c r="N6" s="48">
        <v>0</v>
      </c>
      <c r="O6" s="21">
        <f t="shared" si="3"/>
        <v>29200</v>
      </c>
      <c r="P6" s="8" t="s">
        <v>199</v>
      </c>
      <c r="Q6" s="9">
        <v>-4800</v>
      </c>
      <c r="R6" s="9"/>
      <c r="S6" s="48">
        <v>0</v>
      </c>
      <c r="T6" s="21">
        <f t="shared" si="4"/>
        <v>21900</v>
      </c>
      <c r="U6" s="53">
        <f>IF($J6="","",ROUND(($J6-$J$3)/1000,1)+(_xlfn.RANK.AVG($J6,($J6,$O6,$T6),1)-2)*10)</f>
        <v>28.9</v>
      </c>
      <c r="V6" s="54">
        <f>IF($O6="","",ROUND(($O6-$O$3)/1000,1)+(_xlfn.RANK.AVG($O6,($J6,$O6,$T6),1)-2)*10)</f>
        <v>-5.8</v>
      </c>
      <c r="W6" s="55">
        <f>IF($T6="","",ROUND(($T6-$T$3)/1000,1)+(_xlfn.RANK.AVG($T6,($J6,$O6,$T6),1)-2)*10)</f>
        <v>-23.1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216</v>
      </c>
      <c r="AF6" s="41" t="s">
        <v>82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199</v>
      </c>
      <c r="G7" s="9">
        <v>-4800</v>
      </c>
      <c r="H7" s="9"/>
      <c r="I7" s="48">
        <v>0</v>
      </c>
      <c r="J7" s="21">
        <f t="shared" si="2"/>
        <v>49100</v>
      </c>
      <c r="K7" s="8" t="s">
        <v>200</v>
      </c>
      <c r="L7" s="9">
        <v>7700</v>
      </c>
      <c r="M7" s="9">
        <v>1000</v>
      </c>
      <c r="N7" s="48">
        <v>0</v>
      </c>
      <c r="O7" s="21">
        <f t="shared" si="3"/>
        <v>37900</v>
      </c>
      <c r="P7" s="8" t="s">
        <v>199</v>
      </c>
      <c r="Q7" s="9">
        <v>-2900</v>
      </c>
      <c r="R7" s="9">
        <v>-1000</v>
      </c>
      <c r="S7" s="48">
        <v>0</v>
      </c>
      <c r="T7" s="21">
        <f t="shared" si="4"/>
        <v>18000</v>
      </c>
      <c r="U7" s="53">
        <f>IF($J7="","",ROUND(($J7-$J$3)/1000,1)+(_xlfn.RANK.AVG($J7,($J7,$O7,$T7),1)-2)*10)</f>
        <v>24.1</v>
      </c>
      <c r="V7" s="54">
        <f>IF($O7="","",ROUND(($O7-$O$3)/1000,1)+(_xlfn.RANK.AVG($O7,($J7,$O7,$T7),1)-2)*10)</f>
        <v>2.9</v>
      </c>
      <c r="W7" s="55">
        <f>IF($T7="","",ROUND(($T7-$T$3)/1000,1)+(_xlfn.RANK.AVG($T7,($J7,$O7,$T7),1)-2)*10)</f>
        <v>-27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202</v>
      </c>
      <c r="BA7" s="41" t="s">
        <v>82</v>
      </c>
      <c r="BB7" s="41" t="s">
        <v>85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212</v>
      </c>
      <c r="F8" s="8" t="s">
        <v>199</v>
      </c>
      <c r="G8" s="9">
        <v>-2400</v>
      </c>
      <c r="H8" s="9"/>
      <c r="I8" s="48">
        <v>0</v>
      </c>
      <c r="J8" s="21">
        <f t="shared" si="2"/>
        <v>46700</v>
      </c>
      <c r="K8" s="8" t="s">
        <v>200</v>
      </c>
      <c r="L8" s="9">
        <v>4800</v>
      </c>
      <c r="M8" s="9"/>
      <c r="N8" s="48">
        <v>0</v>
      </c>
      <c r="O8" s="21">
        <f t="shared" si="3"/>
        <v>42700</v>
      </c>
      <c r="P8" s="8" t="s">
        <v>199</v>
      </c>
      <c r="Q8" s="9">
        <v>-2400</v>
      </c>
      <c r="R8" s="9"/>
      <c r="S8" s="48">
        <v>0</v>
      </c>
      <c r="T8" s="21">
        <f t="shared" si="4"/>
        <v>15600</v>
      </c>
      <c r="U8" s="53">
        <f>IF($J8="","",ROUND(($J8-$J$3)/1000,1)+(_xlfn.RANK.AVG($J8,($J8,$O8,$T8),1)-2)*10)</f>
        <v>21.7</v>
      </c>
      <c r="V8" s="54">
        <f>IF($O8="","",ROUND(($O8-$O$3)/1000,1)+(_xlfn.RANK.AVG($O8,($J8,$O8,$T8),1)-2)*10)</f>
        <v>7.7</v>
      </c>
      <c r="W8" s="55">
        <f>IF($T8="","",ROUND(($T8-$T$3)/1000,1)+(_xlfn.RANK.AVG($T8,($J8,$O8,$T8),1)-2)*10)</f>
        <v>-29.4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50</v>
      </c>
      <c r="AZ8" s="40" t="s">
        <v>202</v>
      </c>
      <c r="BA8" s="41" t="s">
        <v>82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212</v>
      </c>
      <c r="F9" s="8" t="s">
        <v>199</v>
      </c>
      <c r="G9" s="9">
        <v>-3900</v>
      </c>
      <c r="H9" s="9"/>
      <c r="I9" s="48">
        <v>-500</v>
      </c>
      <c r="J9" s="21">
        <f t="shared" si="2"/>
        <v>42300</v>
      </c>
      <c r="K9" s="8" t="s">
        <v>200</v>
      </c>
      <c r="L9" s="9">
        <v>7800</v>
      </c>
      <c r="M9" s="9"/>
      <c r="N9" s="48">
        <v>1000</v>
      </c>
      <c r="O9" s="21">
        <f t="shared" si="3"/>
        <v>51500</v>
      </c>
      <c r="P9" s="8" t="s">
        <v>199</v>
      </c>
      <c r="Q9" s="9">
        <v>-3900</v>
      </c>
      <c r="R9" s="9"/>
      <c r="S9" s="48">
        <v>-500</v>
      </c>
      <c r="T9" s="21">
        <f t="shared" si="4"/>
        <v>11200</v>
      </c>
      <c r="U9" s="53">
        <f>IF($J9="","",ROUND(($J9-$J$3)/1000,1)+(_xlfn.RANK.AVG($J9,($J9,$O9,$T9),1)-2)*10)</f>
        <v>7.3</v>
      </c>
      <c r="V9" s="54">
        <f>IF($O9="","",ROUND(($O9-$O$3)/1000,1)+(_xlfn.RANK.AVG($O9,($J9,$O9,$T9),1)-2)*10)</f>
        <v>26.5</v>
      </c>
      <c r="W9" s="55">
        <f>IF($T9="","",ROUND(($T9-$T$3)/1000,1)+(_xlfn.RANK.AVG($T9,($J9,$O9,$T9),1)-2)*10)</f>
        <v>-33.799999999999997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20</v>
      </c>
      <c r="AZ9" s="40" t="s">
        <v>202</v>
      </c>
      <c r="BA9" s="41" t="s">
        <v>82</v>
      </c>
      <c r="BB9" s="41" t="s">
        <v>83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212</v>
      </c>
      <c r="F10" s="8" t="s">
        <v>206</v>
      </c>
      <c r="G10" s="9">
        <v>7700</v>
      </c>
      <c r="H10" s="9">
        <v>1000</v>
      </c>
      <c r="I10" s="48">
        <v>2000</v>
      </c>
      <c r="J10" s="21">
        <f t="shared" si="2"/>
        <v>53000</v>
      </c>
      <c r="K10" s="8" t="s">
        <v>205</v>
      </c>
      <c r="L10" s="9">
        <v>-7700</v>
      </c>
      <c r="M10" s="9">
        <v>-1000</v>
      </c>
      <c r="N10" s="48">
        <v>-2000</v>
      </c>
      <c r="O10" s="21">
        <f t="shared" si="3"/>
        <v>40800</v>
      </c>
      <c r="P10" s="8"/>
      <c r="Q10" s="9"/>
      <c r="R10" s="9"/>
      <c r="S10" s="48"/>
      <c r="T10" s="21">
        <f t="shared" si="4"/>
        <v>11200</v>
      </c>
      <c r="U10" s="53">
        <f>IF($J10="","",ROUND(($J10-$J$3)/1000,1)+(_xlfn.RANK.AVG($J10,($J10,$O10,$T10),1)-2)*10)</f>
        <v>28</v>
      </c>
      <c r="V10" s="54">
        <f>IF($O10="","",ROUND(($O10-$O$3)/1000,1)+(_xlfn.RANK.AVG($O10,($J10,$O10,$T10),1)-2)*10)</f>
        <v>5.8</v>
      </c>
      <c r="W10" s="55">
        <f>IF($T10="","",ROUND(($T10-$T$3)/1000,1)+(_xlfn.RANK.AVG($T10,($J10,$O10,$T10),1)-2)*10)</f>
        <v>-33.799999999999997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202</v>
      </c>
      <c r="AF10" s="41" t="s">
        <v>83</v>
      </c>
      <c r="AG10" s="41" t="s">
        <v>204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214</v>
      </c>
      <c r="F11" s="8"/>
      <c r="G11" s="9"/>
      <c r="H11" s="9"/>
      <c r="I11" s="48"/>
      <c r="J11" s="21">
        <f t="shared" si="2"/>
        <v>53000</v>
      </c>
      <c r="K11" s="8" t="s">
        <v>206</v>
      </c>
      <c r="L11" s="9">
        <v>8000</v>
      </c>
      <c r="M11" s="9"/>
      <c r="N11" s="48">
        <v>0</v>
      </c>
      <c r="O11" s="21">
        <f t="shared" si="3"/>
        <v>48800</v>
      </c>
      <c r="P11" s="8" t="s">
        <v>205</v>
      </c>
      <c r="Q11" s="9">
        <v>-8000</v>
      </c>
      <c r="R11" s="9"/>
      <c r="S11" s="48">
        <v>0</v>
      </c>
      <c r="T11" s="21">
        <f t="shared" si="4"/>
        <v>3200</v>
      </c>
      <c r="U11" s="53">
        <f>IF($J11="","",ROUND(($J11-$J$3)/1000,1)+(_xlfn.RANK.AVG($J11,($J11,$O11,$T11),1)-2)*10)</f>
        <v>28</v>
      </c>
      <c r="V11" s="54">
        <f>IF($O11="","",ROUND(($O11-$O$3)/1000,1)+(_xlfn.RANK.AVG($O11,($J11,$O11,$T11),1)-2)*10)</f>
        <v>13.8</v>
      </c>
      <c r="W11" s="55">
        <f>IF($T11="","",ROUND(($T11-$T$3)/1000,1)+(_xlfn.RANK.AVG($T11,($J11,$O11,$T11),1)-2)*10)</f>
        <v>-41.8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5</v>
      </c>
      <c r="AY11" s="30" t="s">
        <v>201</v>
      </c>
      <c r="AZ11" s="40" t="s">
        <v>104</v>
      </c>
      <c r="BA11" s="41" t="s">
        <v>79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3BA33AE-B84D-4C11-8405-51D9CBD4B65F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A8924754-06C9-4CB8-959C-B19BE026A8A2}">
      <formula1>"ロン,ツモ,放銃,ツモ支払,流局,チョンボ"</formula1>
    </dataValidation>
    <dataValidation type="list" allowBlank="1" showInputMessage="1" showErrorMessage="1" sqref="E4:E30" xr:uid="{A39AB7B8-3F16-404A-BB41-7174D7C77A1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CDADA-0D4D-42BB-B722-E1EEF712C878}">
  <sheetPr codeName="Sheet14">
    <pageSetUpPr fitToPage="1"/>
  </sheetPr>
  <dimension ref="A1:CI30"/>
  <sheetViews>
    <sheetView tabSelected="1" zoomScaleNormal="100" workbookViewId="0">
      <selection activeCell="P1" sqref="P1:T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212</v>
      </c>
      <c r="G1" s="73"/>
      <c r="H1" s="73"/>
      <c r="I1" s="74"/>
      <c r="J1" s="75"/>
      <c r="K1" s="72" t="s">
        <v>210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ただ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205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/>
      <c r="L4" s="9"/>
      <c r="M4" s="9"/>
      <c r="N4" s="48"/>
      <c r="O4" s="21">
        <f>IF(COUNTA($F4,$K4,$P4)&gt;0,O3+SUM(L4:N4),"")</f>
        <v>35000</v>
      </c>
      <c r="P4" s="8" t="s">
        <v>206</v>
      </c>
      <c r="Q4" s="9">
        <v>1300</v>
      </c>
      <c r="R4" s="9"/>
      <c r="S4" s="48">
        <v>0</v>
      </c>
      <c r="T4" s="21">
        <f>IF(COUNTA($F4,$K4,$P4)&gt;0,T3+SUM(Q4:S4),"")</f>
        <v>36300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11.3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202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205</v>
      </c>
      <c r="G5" s="9">
        <v>-7700</v>
      </c>
      <c r="H5" s="9">
        <v>-1000</v>
      </c>
      <c r="I5" s="48">
        <v>0</v>
      </c>
      <c r="J5" s="21">
        <f t="shared" ref="J5:J30" si="2">IF(COUNTA($F5,$K5,$P5)&gt;0,J4+SUM(G5:I5),"")</f>
        <v>25000</v>
      </c>
      <c r="K5" s="8" t="s">
        <v>206</v>
      </c>
      <c r="L5" s="9">
        <v>7700</v>
      </c>
      <c r="M5" s="9">
        <v>1000</v>
      </c>
      <c r="N5" s="48">
        <v>0</v>
      </c>
      <c r="O5" s="21">
        <f t="shared" ref="O5:O30" si="3">IF(COUNTA($F5,$K5,$P5)&gt;0,O4+SUM(L5:N5),"")</f>
        <v>43700</v>
      </c>
      <c r="P5" s="8"/>
      <c r="Q5" s="9"/>
      <c r="R5" s="9"/>
      <c r="S5" s="48"/>
      <c r="T5" s="21">
        <f t="shared" ref="T5:T30" si="4">IF(COUNTA($F5,$K5,$P5)&gt;0,T4+SUM(Q5:S5),"")</f>
        <v>36300</v>
      </c>
      <c r="U5" s="53">
        <f>IF($J5="","",ROUND(($J5-$J$3)/1000,1)+(_xlfn.RANK.AVG($J5,($J5,$O5,$T5),1)-2)*10)</f>
        <v>-20</v>
      </c>
      <c r="V5" s="54">
        <f>IF($O5="","",ROUND(($O5-$O$3)/1000,1)+(_xlfn.RANK.AVG($O5,($J5,$O5,$T5),1)-2)*10)</f>
        <v>18.7</v>
      </c>
      <c r="W5" s="55">
        <f>IF($T5="","",ROUND(($T5-$T$3)/1000,1)+(_xlfn.RANK.AVG($T5,($J5,$O5,$T5),1)-2)*10)</f>
        <v>1.3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40</v>
      </c>
      <c r="AZ5" s="40" t="s">
        <v>85</v>
      </c>
      <c r="BA5" s="41" t="s">
        <v>79</v>
      </c>
      <c r="BB5" s="41" t="s">
        <v>204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210</v>
      </c>
      <c r="F6" s="8" t="s">
        <v>205</v>
      </c>
      <c r="G6" s="9">
        <v>-7700</v>
      </c>
      <c r="H6" s="9"/>
      <c r="I6" s="48">
        <v>-1000</v>
      </c>
      <c r="J6" s="21">
        <f t="shared" si="2"/>
        <v>16300</v>
      </c>
      <c r="K6" s="8" t="s">
        <v>206</v>
      </c>
      <c r="L6" s="9">
        <v>7700</v>
      </c>
      <c r="M6" s="9"/>
      <c r="N6" s="48">
        <v>1000</v>
      </c>
      <c r="O6" s="21">
        <f t="shared" si="3"/>
        <v>52400</v>
      </c>
      <c r="P6" s="8"/>
      <c r="Q6" s="9"/>
      <c r="R6" s="9"/>
      <c r="S6" s="48"/>
      <c r="T6" s="21">
        <f t="shared" si="4"/>
        <v>36300</v>
      </c>
      <c r="U6" s="53">
        <f>IF($J6="","",ROUND(($J6-$J$3)/1000,1)+(_xlfn.RANK.AVG($J6,($J6,$O6,$T6),1)-2)*10)</f>
        <v>-28.7</v>
      </c>
      <c r="V6" s="54">
        <f>IF($O6="","",ROUND(($O6-$O$3)/1000,1)+(_xlfn.RANK.AVG($O6,($J6,$O6,$T6),1)-2)*10)</f>
        <v>27.4</v>
      </c>
      <c r="W6" s="55">
        <f>IF($T6="","",ROUND(($T6-$T$3)/1000,1)+(_xlfn.RANK.AVG($T6,($J6,$O6,$T6),1)-2)*10)</f>
        <v>1.3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104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210</v>
      </c>
      <c r="F7" s="8" t="s">
        <v>205</v>
      </c>
      <c r="G7" s="9">
        <v>-12000</v>
      </c>
      <c r="H7" s="9"/>
      <c r="I7" s="48">
        <v>-2000</v>
      </c>
      <c r="J7" s="21">
        <f t="shared" si="2"/>
        <v>2300</v>
      </c>
      <c r="K7" s="8" t="s">
        <v>206</v>
      </c>
      <c r="L7" s="9">
        <v>12000</v>
      </c>
      <c r="M7" s="9"/>
      <c r="N7" s="48">
        <v>2000</v>
      </c>
      <c r="O7" s="21">
        <f t="shared" si="3"/>
        <v>66400</v>
      </c>
      <c r="P7" s="8"/>
      <c r="Q7" s="9"/>
      <c r="R7" s="9"/>
      <c r="S7" s="48"/>
      <c r="T7" s="21">
        <f t="shared" si="4"/>
        <v>36300</v>
      </c>
      <c r="U7" s="53">
        <f>IF($J7="","",ROUND(($J7-$J$3)/1000,1)+(_xlfn.RANK.AVG($J7,($J7,$O7,$T7),1)-2)*10)</f>
        <v>-42.7</v>
      </c>
      <c r="V7" s="54">
        <f>IF($O7="","",ROUND(($O7-$O$3)/1000,1)+(_xlfn.RANK.AVG($O7,($J7,$O7,$T7),1)-2)*10)</f>
        <v>41.4</v>
      </c>
      <c r="W7" s="55">
        <f>IF($T7="","",ROUND(($T7-$T$3)/1000,1)+(_xlfn.RANK.AVG($T7,($J7,$O7,$T7),1)-2)*10)</f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96</v>
      </c>
      <c r="BA7" s="41" t="s">
        <v>86</v>
      </c>
      <c r="BB7" s="41" t="s">
        <v>204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210</v>
      </c>
      <c r="F8" s="8" t="s">
        <v>199</v>
      </c>
      <c r="G8" s="9">
        <v>-4500</v>
      </c>
      <c r="H8" s="9"/>
      <c r="I8" s="48">
        <v>-1500</v>
      </c>
      <c r="J8" s="21">
        <f t="shared" si="2"/>
        <v>-3700</v>
      </c>
      <c r="K8" s="8" t="s">
        <v>199</v>
      </c>
      <c r="L8" s="9">
        <v>-7500</v>
      </c>
      <c r="M8" s="9"/>
      <c r="N8" s="48">
        <v>-1500</v>
      </c>
      <c r="O8" s="21">
        <f t="shared" si="3"/>
        <v>57400</v>
      </c>
      <c r="P8" s="8" t="s">
        <v>200</v>
      </c>
      <c r="Q8" s="9">
        <v>12000</v>
      </c>
      <c r="R8" s="9"/>
      <c r="S8" s="48">
        <v>3000</v>
      </c>
      <c r="T8" s="21">
        <f t="shared" si="4"/>
        <v>51300</v>
      </c>
      <c r="U8" s="53">
        <f>IF($J8="","",ROUND(($J8-$J$3)/1000,1)+(_xlfn.RANK.AVG($J8,($J8,$O8,$T8),1)-2)*10)</f>
        <v>-48.7</v>
      </c>
      <c r="V8" s="54">
        <f>IF($O8="","",ROUND(($O8-$O$3)/1000,1)+(_xlfn.RANK.AVG($O8,($J8,$O8,$T8),1)-2)*10)</f>
        <v>32.4</v>
      </c>
      <c r="W8" s="55">
        <f>IF($T8="","",ROUND(($T8-$T$3)/1000,1)+(_xlfn.RANK.AVG($T8,($J8,$O8,$T8),1)-2)*10)</f>
        <v>16.3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201</v>
      </c>
      <c r="BU8" s="40" t="s">
        <v>202</v>
      </c>
      <c r="BV8" s="41" t="s">
        <v>82</v>
      </c>
      <c r="BW8" s="41" t="s">
        <v>89</v>
      </c>
      <c r="BX8" s="41" t="s">
        <v>79</v>
      </c>
      <c r="BY8" s="41" t="s">
        <v>80</v>
      </c>
      <c r="BZ8" s="41" t="s">
        <v>204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79BA99F3-585B-4D24-9961-89B86C78128B}">
      <formula1>$U$2:$W$2</formula1>
    </dataValidation>
    <dataValidation type="list" showInputMessage="1" showErrorMessage="1" sqref="K4:K30 P4:P30 F4:F30" xr:uid="{FFCF3D2F-EC05-48DC-959C-C0368093F193}">
      <formula1>"ロン,ツモ,放銃,ツモ支払,流局,チョンボ"</formula1>
    </dataValidation>
    <dataValidation type="list" allowBlank="1" showInputMessage="1" sqref="F1:T1" xr:uid="{938194D4-1D4F-4376-A09C-209134137769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2020-02-23T17:06:26Z</dcterms:modified>
</cp:coreProperties>
</file>