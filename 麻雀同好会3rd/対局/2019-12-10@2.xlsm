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61B6A892-AA2F-4B5E-8812-3C95A8D5149C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D11" i="23"/>
  <c r="C11" i="23"/>
  <c r="D10" i="23"/>
  <c r="C10" i="23"/>
  <c r="D9" i="23"/>
  <c r="C9" i="23"/>
  <c r="D8" i="23"/>
  <c r="D7" i="23"/>
  <c r="C7" i="23"/>
  <c r="C8" i="23" s="1"/>
  <c r="D6" i="23"/>
  <c r="T5" i="23"/>
  <c r="T6" i="23" s="1"/>
  <c r="O5" i="23"/>
  <c r="D5" i="23"/>
  <c r="C5" i="23"/>
  <c r="C6" i="23" s="1"/>
  <c r="B5" i="23"/>
  <c r="T4" i="23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D13" i="22"/>
  <c r="C13" i="22"/>
  <c r="D12" i="22"/>
  <c r="C11" i="22"/>
  <c r="C12" i="22" s="1"/>
  <c r="D10" i="22"/>
  <c r="D11" i="22" s="1"/>
  <c r="C10" i="22"/>
  <c r="D9" i="22"/>
  <c r="C9" i="22"/>
  <c r="D8" i="22"/>
  <c r="D7" i="22"/>
  <c r="C7" i="22"/>
  <c r="C8" i="22" s="1"/>
  <c r="D6" i="22"/>
  <c r="C6" i="22"/>
  <c r="T5" i="22"/>
  <c r="T6" i="22" s="1"/>
  <c r="O5" i="22"/>
  <c r="D5" i="22"/>
  <c r="C5" i="22"/>
  <c r="B5" i="22"/>
  <c r="B6" i="22" s="1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C13" i="21"/>
  <c r="D12" i="21"/>
  <c r="D13" i="21" s="1"/>
  <c r="C12" i="21"/>
  <c r="C11" i="21"/>
  <c r="D10" i="21"/>
  <c r="D11" i="21" s="1"/>
  <c r="C10" i="21"/>
  <c r="D9" i="21"/>
  <c r="C9" i="21"/>
  <c r="D8" i="21"/>
  <c r="D7" i="21"/>
  <c r="C7" i="21"/>
  <c r="C8" i="21" s="1"/>
  <c r="D6" i="21"/>
  <c r="C6" i="21"/>
  <c r="T5" i="21"/>
  <c r="T6" i="21" s="1"/>
  <c r="O5" i="21"/>
  <c r="D5" i="21"/>
  <c r="C5" i="21"/>
  <c r="B5" i="21"/>
  <c r="B6" i="21" s="1"/>
  <c r="T4" i="21"/>
  <c r="O4" i="21"/>
  <c r="V4" i="21" s="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V13" i="20" s="1"/>
  <c r="J13" i="20"/>
  <c r="U13" i="20" s="1"/>
  <c r="D13" i="20"/>
  <c r="C13" i="20"/>
  <c r="B13" i="20"/>
  <c r="A13" i="20"/>
  <c r="T12" i="20"/>
  <c r="W12" i="20" s="1"/>
  <c r="O12" i="20"/>
  <c r="J12" i="20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D10" i="20"/>
  <c r="C10" i="20"/>
  <c r="D9" i="20"/>
  <c r="C9" i="20"/>
  <c r="D8" i="20"/>
  <c r="C8" i="20"/>
  <c r="C7" i="20"/>
  <c r="D6" i="20"/>
  <c r="D7" i="20" s="1"/>
  <c r="C6" i="20"/>
  <c r="T5" i="20"/>
  <c r="O5" i="20"/>
  <c r="D5" i="20"/>
  <c r="C5" i="20"/>
  <c r="B5" i="20"/>
  <c r="A5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U4" i="23" l="1"/>
  <c r="V4" i="23"/>
  <c r="W4" i="23"/>
  <c r="T7" i="23"/>
  <c r="B6" i="23"/>
  <c r="A6" i="23" s="1"/>
  <c r="J5" i="23"/>
  <c r="V5" i="23" s="1"/>
  <c r="O6" i="23"/>
  <c r="A5" i="23"/>
  <c r="W4" i="22"/>
  <c r="V4" i="22"/>
  <c r="U4" i="22"/>
  <c r="B7" i="22"/>
  <c r="T7" i="22"/>
  <c r="J5" i="22"/>
  <c r="V5" i="22" s="1"/>
  <c r="O6" i="22"/>
  <c r="A5" i="22"/>
  <c r="A6" i="22"/>
  <c r="W4" i="21"/>
  <c r="U4" i="21"/>
  <c r="B7" i="21"/>
  <c r="U5" i="21"/>
  <c r="J6" i="21"/>
  <c r="W5" i="21"/>
  <c r="V5" i="21"/>
  <c r="W6" i="21"/>
  <c r="T7" i="21"/>
  <c r="O6" i="21"/>
  <c r="A5" i="21"/>
  <c r="A6" i="21"/>
  <c r="W13" i="20"/>
  <c r="U12" i="20"/>
  <c r="V12" i="20"/>
  <c r="W11" i="20"/>
  <c r="V11" i="20"/>
  <c r="V4" i="20"/>
  <c r="W4" i="20"/>
  <c r="B6" i="20"/>
  <c r="J5" i="20"/>
  <c r="W5" i="20" s="1"/>
  <c r="O6" i="20"/>
  <c r="T6" i="20"/>
  <c r="W3" i="19"/>
  <c r="V3" i="19"/>
  <c r="U3" i="19"/>
  <c r="T8" i="23" l="1"/>
  <c r="O7" i="23"/>
  <c r="W5" i="23"/>
  <c r="U5" i="23"/>
  <c r="J6" i="23"/>
  <c r="V6" i="23" s="1"/>
  <c r="B7" i="23"/>
  <c r="A7" i="23" s="1"/>
  <c r="A7" i="22"/>
  <c r="B8" i="22"/>
  <c r="A8" i="22" s="1"/>
  <c r="O7" i="22"/>
  <c r="W5" i="22"/>
  <c r="U5" i="22"/>
  <c r="J6" i="22"/>
  <c r="T8" i="22"/>
  <c r="A7" i="21"/>
  <c r="O7" i="21"/>
  <c r="V6" i="21"/>
  <c r="B8" i="21"/>
  <c r="A8" i="21" s="1"/>
  <c r="T8" i="21"/>
  <c r="U6" i="21"/>
  <c r="J7" i="21"/>
  <c r="V5" i="20"/>
  <c r="T7" i="20"/>
  <c r="O7" i="20"/>
  <c r="B7" i="20"/>
  <c r="U5" i="20"/>
  <c r="J6" i="20"/>
  <c r="V6" i="20" s="1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8" i="23" l="1"/>
  <c r="A8" i="23" s="1"/>
  <c r="T9" i="23"/>
  <c r="U6" i="23"/>
  <c r="J7" i="23"/>
  <c r="V7" i="23" s="1"/>
  <c r="W6" i="23"/>
  <c r="O8" i="23"/>
  <c r="U6" i="22"/>
  <c r="J7" i="22"/>
  <c r="W6" i="22"/>
  <c r="O8" i="22"/>
  <c r="V6" i="22"/>
  <c r="T9" i="22"/>
  <c r="B9" i="22"/>
  <c r="A9" i="22" s="1"/>
  <c r="O8" i="21"/>
  <c r="V7" i="21"/>
  <c r="U7" i="21"/>
  <c r="J8" i="21"/>
  <c r="W8" i="21" s="1"/>
  <c r="T9" i="21"/>
  <c r="W7" i="21"/>
  <c r="B9" i="21"/>
  <c r="A9" i="21" s="1"/>
  <c r="A7" i="20"/>
  <c r="W6" i="20"/>
  <c r="T8" i="20"/>
  <c r="U6" i="20"/>
  <c r="J7" i="20"/>
  <c r="W7" i="20" s="1"/>
  <c r="B8" i="20"/>
  <c r="A8" i="20" s="1"/>
  <c r="V7" i="20"/>
  <c r="O8" i="20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9" i="23" l="1"/>
  <c r="B9" i="23"/>
  <c r="A9" i="23" s="1"/>
  <c r="U7" i="23"/>
  <c r="J8" i="23"/>
  <c r="W7" i="23"/>
  <c r="T10" i="23"/>
  <c r="U7" i="22"/>
  <c r="J8" i="22"/>
  <c r="W7" i="22"/>
  <c r="B10" i="22"/>
  <c r="A10" i="22" s="1"/>
  <c r="T10" i="22"/>
  <c r="V7" i="22"/>
  <c r="O9" i="22"/>
  <c r="T10" i="21"/>
  <c r="U8" i="21"/>
  <c r="J9" i="21"/>
  <c r="B10" i="21"/>
  <c r="V8" i="21"/>
  <c r="O9" i="21"/>
  <c r="O9" i="20"/>
  <c r="T9" i="20"/>
  <c r="U7" i="20"/>
  <c r="J8" i="20"/>
  <c r="V8" i="20" s="1"/>
  <c r="B9" i="20"/>
  <c r="A9" i="20" s="1"/>
  <c r="W5" i="19"/>
  <c r="V5" i="19"/>
  <c r="U5" i="19"/>
  <c r="T11" i="23" l="1"/>
  <c r="U8" i="23"/>
  <c r="J9" i="23"/>
  <c r="W8" i="23"/>
  <c r="V9" i="23"/>
  <c r="O10" i="23"/>
  <c r="B10" i="23"/>
  <c r="A10" i="23" s="1"/>
  <c r="V8" i="23"/>
  <c r="U8" i="22"/>
  <c r="J9" i="22"/>
  <c r="W8" i="22"/>
  <c r="V8" i="22"/>
  <c r="T11" i="22"/>
  <c r="B11" i="22"/>
  <c r="A11" i="22" s="1"/>
  <c r="O10" i="22"/>
  <c r="W9" i="21"/>
  <c r="V9" i="21"/>
  <c r="O10" i="21"/>
  <c r="B11" i="21"/>
  <c r="A10" i="21"/>
  <c r="U9" i="21"/>
  <c r="J10" i="21"/>
  <c r="T11" i="21"/>
  <c r="B10" i="20"/>
  <c r="A10" i="20" s="1"/>
  <c r="T10" i="20"/>
  <c r="O10" i="20"/>
  <c r="U8" i="20"/>
  <c r="J9" i="20"/>
  <c r="W9" i="20" s="1"/>
  <c r="W8" i="20"/>
  <c r="V10" i="23" l="1"/>
  <c r="O11" i="23"/>
  <c r="U9" i="23"/>
  <c r="J10" i="23"/>
  <c r="W9" i="23"/>
  <c r="B11" i="23"/>
  <c r="A11" i="23" s="1"/>
  <c r="U9" i="22"/>
  <c r="J10" i="22"/>
  <c r="V10" i="22" s="1"/>
  <c r="W9" i="22"/>
  <c r="V9" i="22"/>
  <c r="B12" i="22"/>
  <c r="A12" i="22" s="1"/>
  <c r="T12" i="22"/>
  <c r="O11" i="22"/>
  <c r="W10" i="21"/>
  <c r="V10" i="21"/>
  <c r="O11" i="21"/>
  <c r="T12" i="21"/>
  <c r="B12" i="21"/>
  <c r="U10" i="21"/>
  <c r="J11" i="21"/>
  <c r="W11" i="21" s="1"/>
  <c r="A11" i="21"/>
  <c r="V9" i="20"/>
  <c r="J10" i="20"/>
  <c r="V10" i="20" s="1"/>
  <c r="U9" i="20"/>
  <c r="U10" i="23" l="1"/>
  <c r="J11" i="23"/>
  <c r="W10" i="23"/>
  <c r="V11" i="23"/>
  <c r="O12" i="22"/>
  <c r="T13" i="22"/>
  <c r="B13" i="22"/>
  <c r="A13" i="22"/>
  <c r="U10" i="22"/>
  <c r="J11" i="22"/>
  <c r="V11" i="22" s="1"/>
  <c r="W10" i="22"/>
  <c r="A12" i="21"/>
  <c r="U11" i="21"/>
  <c r="J12" i="21"/>
  <c r="B13" i="21"/>
  <c r="A13" i="21" s="1"/>
  <c r="T13" i="21"/>
  <c r="O12" i="21"/>
  <c r="V11" i="21"/>
  <c r="U10" i="20"/>
  <c r="W10" i="20"/>
  <c r="U11" i="23" l="1"/>
  <c r="W11" i="23"/>
  <c r="V12" i="22"/>
  <c r="O13" i="22"/>
  <c r="U11" i="22"/>
  <c r="J12" i="22"/>
  <c r="W11" i="22"/>
  <c r="W12" i="21"/>
  <c r="V12" i="21"/>
  <c r="O13" i="21"/>
  <c r="U12" i="21"/>
  <c r="J13" i="21"/>
  <c r="W13" i="21" s="1"/>
  <c r="U12" i="22" l="1"/>
  <c r="J13" i="22"/>
  <c r="V13" i="22" s="1"/>
  <c r="W12" i="22"/>
  <c r="U13" i="21"/>
  <c r="V13" i="21"/>
  <c r="U13" i="22" l="1"/>
  <c r="W13" i="22"/>
</calcChain>
</file>

<file path=xl/sharedStrings.xml><?xml version="1.0" encoding="utf-8"?>
<sst xmlns="http://schemas.openxmlformats.org/spreadsheetml/2006/main" count="1019" uniqueCount="213">
  <si>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</si>
  <si>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</si>
  <si>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</si>
  <si>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</si>
  <si>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</si>
  <si>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</si>
  <si>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</si>
  <si>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</si>
  <si>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</si>
  <si>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</si>
  <si>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</si>
  <si>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</si>
  <si>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</si>
  <si>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</si>
  <si>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</si>
  <si>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</si>
  <si>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</si>
  <si>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</si>
  <si>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</si>
  <si>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</si>
  <si>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</si>
  <si>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</si>
  <si>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</si>
  <si>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</si>
  <si>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</si>
  <si>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</si>
  <si>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</si>
  <si>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</si>
  <si>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</si>
  <si>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</si>
  <si>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</si>
  <si>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</si>
  <si>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</si>
  <si>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</si>
  <si>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</si>
  <si>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</si>
  <si>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</si>
  <si>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</si>
  <si>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</si>
  <si>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</si>
  <si>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</si>
  <si>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</si>
  <si>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</si>
  <si>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</si>
  <si>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</si>
  <si>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</si>
  <si>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</si>
  <si>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</si>
  <si>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</si>
  <si>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</si>
  <si>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</si>
  <si>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</si>
  <si>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</si>
  <si>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</si>
  <si>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</si>
  <si>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</si>
  <si>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</si>
  <si>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</si>
  <si>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</si>
  <si>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</si>
  <si>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</si>
  <si>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</si>
  <si>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</si>
  <si>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</si>
  <si>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</si>
  <si>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</si>
  <si>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</si>
  <si>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</si>
  <si>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</si>
  <si>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</si>
  <si>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</si>
  <si>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</si>
  <si>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</si>
  <si>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</si>
  <si>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</si>
  <si>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</si>
  <si>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</si>
  <si>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</si>
  <si>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</si>
  <si>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</si>
  <si>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</si>
  <si>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</si>
  <si>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</si>
  <si>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</si>
  <si>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</si>
  <si>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</si>
  <si>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</si>
  <si>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</si>
  <si>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</si>
  <si>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</si>
  <si>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</si>
  <si>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</si>
  <si>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</si>
  <si>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</si>
  <si>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</si>
  <si>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</si>
  <si>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</si>
  <si>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</si>
  <si>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</si>
  <si>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</si>
  <si>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</si>
  <si>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</si>
  <si>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</si>
  <si>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</si>
  <si>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</si>
  <si>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</si>
  <si>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</si>
  <si>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</si>
  <si>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</si>
  <si>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</si>
  <si>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</si>
  <si>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</si>
  <si>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</si>
  <si>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</si>
  <si>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</si>
  <si>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</si>
  <si>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</si>
  <si>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</si>
  <si>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</si>
  <si>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</si>
  <si>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</si>
  <si>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</si>
  <si>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</si>
  <si>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</si>
  <si>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</si>
  <si>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</si>
  <si>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</si>
  <si>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</si>
  <si>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</si>
  <si>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</si>
  <si>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</si>
  <si>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</si>
  <si>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</si>
  <si>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</si>
  <si>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</si>
  <si>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</si>
  <si>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</si>
  <si>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</si>
  <si>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</si>
  <si>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</si>
  <si>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</si>
  <si>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</si>
  <si>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</si>
  <si>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</si>
  <si>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</si>
  <si>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</si>
  <si>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</si>
  <si>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</si>
  <si>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</si>
  <si>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</si>
  <si>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</si>
  <si>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</si>
  <si>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</si>
  <si>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</si>
  <si>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</si>
  <si>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</si>
  <si>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</si>
  <si>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</si>
  <si>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</si>
  <si>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</si>
  <si>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</si>
  <si>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</si>
  <si>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</si>
  <si>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</si>
  <si>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</si>
  <si>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</si>
  <si>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</si>
  <si>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</si>
  <si>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</si>
  <si>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</si>
  <si>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</si>
  <si>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</si>
  <si>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</si>
  <si>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</si>
  <si>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</si>
  <si>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</si>
  <si>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</si>
  <si>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</si>
  <si>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</si>
  <si>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</si>
  <si>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</si>
  <si>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</si>
  <si>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</si>
  <si>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</si>
  <si>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</si>
  <si>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</si>
  <si>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</si>
  <si>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</si>
  <si>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</si>
  <si>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</si>
  <si>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</si>
  <si>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</si>
  <si>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ともき</t>
  </si>
  <si>
    <t>りくと</t>
  </si>
  <si>
    <t>放銃</t>
  </si>
  <si>
    <t>ロン</t>
  </si>
  <si>
    <t>01</t>
  </si>
  <si>
    <t>52</t>
  </si>
  <si>
    <t>流局</t>
  </si>
  <si>
    <t>T</t>
  </si>
  <si>
    <t>N</t>
  </si>
  <si>
    <t>ツモ</t>
  </si>
  <si>
    <t>ツモ支払</t>
  </si>
  <si>
    <t>02</t>
  </si>
  <si>
    <t>*</t>
  </si>
  <si>
    <t>だいち</t>
  </si>
  <si>
    <t>だいち</t>
    <phoneticPr fontId="1"/>
  </si>
  <si>
    <t>れんたろう</t>
  </si>
  <si>
    <t>れんたろう</t>
    <phoneticPr fontId="1"/>
  </si>
  <si>
    <t>まっつん</t>
  </si>
  <si>
    <t>まっつん</t>
    <phoneticPr fontId="1"/>
  </si>
  <si>
    <t>流局</t>
    <phoneticPr fontId="1"/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</si>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</sst>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296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ともき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ともき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 t="s">
        <v>195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-17.7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196</v>
      </c>
      <c r="BA4" s="41" t="s">
        <v>83</v>
      </c>
      <c r="BB4" s="41" t="s">
        <v>79</v>
      </c>
      <c r="BC4" s="41" t="s">
        <v>80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194</v>
      </c>
      <c r="G5" s="9">
        <v>-2600</v>
      </c>
      <c r="H5" s="9"/>
      <c r="I5" s="48">
        <v>0</v>
      </c>
      <c r="J5" s="21">
        <f t="shared" ref="J5:J30" si="2">IF(COUNTA($F5,$K5,$P5)&gt;0,J4+SUM(G5:I5),"")</f>
        <v>24700</v>
      </c>
      <c r="K5" s="8" t="s">
        <v>195</v>
      </c>
      <c r="L5" s="9">
        <v>2600</v>
      </c>
      <c r="M5" s="9"/>
      <c r="N5" s="48">
        <v>0</v>
      </c>
      <c r="O5" s="21">
        <f t="shared" ref="O5:O30" si="3">IF(COUNTA($F5,$K5,$P5)&gt;0,O4+SUM(L5:N5),"")</f>
        <v>45300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-20.3</v>
      </c>
      <c r="V5" s="54">
        <f>IF($O5="","",ROUND(($O5-$O$3)/1000,1)+(_xlfn.RANK.AVG($O5,($J5,$O5,$T5),1)-2)*10)</f>
        <v>20.3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40</v>
      </c>
      <c r="AZ5" s="40" t="s">
        <v>196</v>
      </c>
      <c r="BA5" s="41" t="s">
        <v>197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198</v>
      </c>
      <c r="G6" s="9">
        <v>1500</v>
      </c>
      <c r="H6" s="9"/>
      <c r="I6" s="48"/>
      <c r="J6" s="21">
        <f t="shared" si="2"/>
        <v>26200</v>
      </c>
      <c r="K6" s="8" t="s">
        <v>198</v>
      </c>
      <c r="L6" s="9">
        <v>-3000</v>
      </c>
      <c r="M6" s="9"/>
      <c r="N6" s="48"/>
      <c r="O6" s="21">
        <f t="shared" si="3"/>
        <v>42300</v>
      </c>
      <c r="P6" s="8" t="s">
        <v>198</v>
      </c>
      <c r="Q6" s="9">
        <v>1500</v>
      </c>
      <c r="R6" s="9">
        <v>-1000</v>
      </c>
      <c r="S6" s="48"/>
      <c r="T6" s="21">
        <f t="shared" si="4"/>
        <v>35500</v>
      </c>
      <c r="U6" s="53">
        <f>IF($J6="","",ROUND(($J6-$J$3)/1000,1)+(_xlfn.RANK.AVG($J6,($J6,$O6,$T6),1)-2)*10)</f>
        <v>-18.8</v>
      </c>
      <c r="V6" s="54">
        <f>IF($O6="","",ROUND(($O6-$O$3)/1000,1)+(_xlfn.RANK.AVG($O6,($J6,$O6,$T6),1)-2)*10)</f>
        <v>17.3</v>
      </c>
      <c r="W6" s="55">
        <f>IF($T6="","",ROUND(($T6-$T$3)/1000,1)+(_xlfn.RANK.AVG($T6,($J6,$O6,$T6),1)-2)*10)</f>
        <v>0.5</v>
      </c>
      <c r="Y6" s="8" t="s">
        <v>199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199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">
        <v>193</v>
      </c>
      <c r="F7" s="8" t="s">
        <v>201</v>
      </c>
      <c r="G7" s="9">
        <v>7700</v>
      </c>
      <c r="H7" s="9">
        <v>1000</v>
      </c>
      <c r="I7" s="48">
        <v>1000</v>
      </c>
      <c r="J7" s="21">
        <f t="shared" si="2"/>
        <v>35900</v>
      </c>
      <c r="K7" s="8" t="s">
        <v>202</v>
      </c>
      <c r="L7" s="9">
        <v>-2900</v>
      </c>
      <c r="M7" s="9"/>
      <c r="N7" s="48">
        <v>-500</v>
      </c>
      <c r="O7" s="21">
        <f t="shared" si="3"/>
        <v>38900</v>
      </c>
      <c r="P7" s="8" t="s">
        <v>202</v>
      </c>
      <c r="Q7" s="9">
        <v>-4800</v>
      </c>
      <c r="R7" s="9"/>
      <c r="S7" s="48">
        <v>-500</v>
      </c>
      <c r="T7" s="21">
        <f t="shared" si="4"/>
        <v>30200</v>
      </c>
      <c r="U7" s="53">
        <f>IF($J7="","",ROUND(($J7-$J$3)/1000,1)+(_xlfn.RANK.AVG($J7,($J7,$O7,$T7),1)-2)*10)</f>
        <v>0.9</v>
      </c>
      <c r="V7" s="54">
        <f>IF($O7="","",ROUND(($O7-$O$3)/1000,1)+(_xlfn.RANK.AVG($O7,($J7,$O7,$T7),1)-2)*10)</f>
        <v>13.9</v>
      </c>
      <c r="W7" s="55">
        <f>IF($T7="","",ROUND(($T7-$T$3)/1000,1)+(_xlfn.RANK.AVG($T7,($J7,$O7,$T7),1)-2)*10)</f>
        <v>-14.8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196</v>
      </c>
      <c r="AF7" s="41" t="s">
        <v>82</v>
      </c>
      <c r="AG7" s="41" t="s">
        <v>203</v>
      </c>
      <c r="AH7" s="41" t="s">
        <v>84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195</v>
      </c>
      <c r="G8" s="9">
        <v>18000</v>
      </c>
      <c r="H8" s="9"/>
      <c r="I8" s="48">
        <v>0</v>
      </c>
      <c r="J8" s="21">
        <f t="shared" si="2"/>
        <v>53900</v>
      </c>
      <c r="K8" s="8"/>
      <c r="L8" s="9"/>
      <c r="M8" s="9"/>
      <c r="N8" s="48"/>
      <c r="O8" s="21">
        <f t="shared" si="3"/>
        <v>38900</v>
      </c>
      <c r="P8" s="8" t="s">
        <v>194</v>
      </c>
      <c r="Q8" s="9">
        <v>-18000</v>
      </c>
      <c r="R8" s="9"/>
      <c r="S8" s="48">
        <v>0</v>
      </c>
      <c r="T8" s="21">
        <f t="shared" si="4"/>
        <v>12200</v>
      </c>
      <c r="U8" s="53">
        <f>IF($J8="","",ROUND(($J8-$J$3)/1000,1)+(_xlfn.RANK.AVG($J8,($J8,$O8,$T8),1)-2)*10)</f>
        <v>28.9</v>
      </c>
      <c r="V8" s="54">
        <f>IF($O8="","",ROUND(($O8-$O$3)/1000,1)+(_xlfn.RANK.AVG($O8,($J8,$O8,$T8),1)-2)*10)</f>
        <v>3.9</v>
      </c>
      <c r="W8" s="55">
        <f>IF($T8="","",ROUND(($T8-$T$3)/1000,1)+(_xlfn.RANK.AVG($T8,($J8,$O8,$T8),1)-2)*10)</f>
        <v>-32.799999999999997</v>
      </c>
      <c r="Y8" s="8"/>
      <c r="Z8" s="34"/>
      <c r="AA8" s="26"/>
      <c r="AB8" s="26">
        <v>1</v>
      </c>
      <c r="AC8" s="26">
        <v>7</v>
      </c>
      <c r="AD8" s="30" t="s">
        <v>204</v>
      </c>
      <c r="AE8" s="40" t="s">
        <v>92</v>
      </c>
      <c r="AF8" s="41" t="s">
        <v>106</v>
      </c>
      <c r="AG8" s="41" t="s">
        <v>197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194</v>
      </c>
      <c r="G9" s="9">
        <v>-8000</v>
      </c>
      <c r="H9" s="9"/>
      <c r="I9" s="48">
        <v>-1000</v>
      </c>
      <c r="J9" s="21">
        <f t="shared" si="2"/>
        <v>44900</v>
      </c>
      <c r="K9" s="8" t="s">
        <v>195</v>
      </c>
      <c r="L9" s="9">
        <v>8000</v>
      </c>
      <c r="M9" s="9"/>
      <c r="N9" s="48">
        <v>1000</v>
      </c>
      <c r="O9" s="21">
        <f t="shared" si="3"/>
        <v>47900</v>
      </c>
      <c r="P9" s="8"/>
      <c r="Q9" s="9"/>
      <c r="R9" s="9"/>
      <c r="S9" s="48"/>
      <c r="T9" s="21">
        <f t="shared" si="4"/>
        <v>12200</v>
      </c>
      <c r="U9" s="53">
        <f>IF($J9="","",ROUND(($J9-$J$3)/1000,1)+(_xlfn.RANK.AVG($J9,($J9,$O9,$T9),1)-2)*10)</f>
        <v>9.9</v>
      </c>
      <c r="V9" s="54">
        <f>IF($O9="","",ROUND(($O9-$O$3)/1000,1)+(_xlfn.RANK.AVG($O9,($J9,$O9,$T9),1)-2)*10)</f>
        <v>22.9</v>
      </c>
      <c r="W9" s="55">
        <f>IF($T9="","",ROUND(($T9-$T$3)/1000,1)+(_xlfn.RANK.AVG($T9,($J9,$O9,$T9),1)-2)*10)</f>
        <v>-32.799999999999997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196</v>
      </c>
      <c r="BA9" s="41" t="s">
        <v>79</v>
      </c>
      <c r="BB9" s="41" t="s">
        <v>79</v>
      </c>
      <c r="BC9" s="41" t="s">
        <v>203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202</v>
      </c>
      <c r="G10" s="9">
        <v>-9000</v>
      </c>
      <c r="H10" s="9"/>
      <c r="I10" s="48">
        <v>0</v>
      </c>
      <c r="J10" s="21">
        <f t="shared" si="2"/>
        <v>35900</v>
      </c>
      <c r="K10" s="8" t="s">
        <v>201</v>
      </c>
      <c r="L10" s="9">
        <v>18000</v>
      </c>
      <c r="M10" s="9"/>
      <c r="N10" s="48">
        <v>0</v>
      </c>
      <c r="O10" s="21">
        <f t="shared" si="3"/>
        <v>65900</v>
      </c>
      <c r="P10" s="8" t="s">
        <v>202</v>
      </c>
      <c r="Q10" s="9">
        <v>-9000</v>
      </c>
      <c r="R10" s="9"/>
      <c r="S10" s="48">
        <v>0</v>
      </c>
      <c r="T10" s="21">
        <f t="shared" si="4"/>
        <v>3200</v>
      </c>
      <c r="U10" s="53">
        <f>IF($J10="","",ROUND(($J10-$J$3)/1000,1)+(_xlfn.RANK.AVG($J10,($J10,$O10,$T10),1)-2)*10)</f>
        <v>0.9</v>
      </c>
      <c r="V10" s="54">
        <f>IF($O10="","",ROUND(($O10-$O$3)/1000,1)+(_xlfn.RANK.AVG($O10,($J10,$O10,$T10),1)-2)*10)</f>
        <v>40.9</v>
      </c>
      <c r="W10" s="55">
        <f>IF($T10="","",ROUND(($T10-$T$3)/1000,1)+(_xlfn.RANK.AVG($T10,($J10,$O10,$T10),1)-2)*10)</f>
        <v>-41.8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204</v>
      </c>
      <c r="AZ10" s="40" t="s">
        <v>196</v>
      </c>
      <c r="BA10" s="41" t="s">
        <v>82</v>
      </c>
      <c r="BB10" s="41" t="s">
        <v>197</v>
      </c>
      <c r="BC10" s="41" t="s">
        <v>80</v>
      </c>
      <c r="BD10" s="41" t="s">
        <v>80</v>
      </c>
      <c r="BE10" s="41" t="s">
        <v>80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7A27A77-E0AC-4A9E-8E0E-88CBECD580C4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DD156-979B-4C1C-A036-594E8FC639E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296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208</v>
      </c>
      <c r="L1" s="72"/>
      <c r="M1" s="72"/>
      <c r="N1" s="73"/>
      <c r="O1" s="74"/>
      <c r="P1" s="71" t="s">
        <v>210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201</v>
      </c>
      <c r="G4" s="9">
        <v>24000</v>
      </c>
      <c r="H4" s="9"/>
      <c r="I4" s="48">
        <v>0</v>
      </c>
      <c r="J4" s="21">
        <f>IF(COUNTA($F4,$K4,$P4)&gt;0,J3+SUM(G4:I4),"")</f>
        <v>59000</v>
      </c>
      <c r="K4" s="8" t="s">
        <v>202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202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34</v>
      </c>
      <c r="V4" s="54">
        <f>IF($O4="","",ROUND(($O4-$O$3)/1000,1)+(_xlfn.RANK.AVG($O4,($J4,$O4,$T4),1)-2)*10)</f>
        <v>-17</v>
      </c>
      <c r="W4" s="55">
        <f>IF($T4="","",ROUND(($T4-$T$3)/1000,1)+(_xlfn.RANK.AVG($T4,($J4,$O4,$T4),1)-2)*10)</f>
        <v>-17</v>
      </c>
      <c r="Y4" s="8"/>
      <c r="Z4" s="34"/>
      <c r="AA4" s="26">
        <v>1</v>
      </c>
      <c r="AB4" s="26"/>
      <c r="AC4" s="26">
        <v>9</v>
      </c>
      <c r="AD4" s="30" t="s">
        <v>204</v>
      </c>
      <c r="AE4" s="40" t="s">
        <v>196</v>
      </c>
      <c r="AF4" s="41" t="s">
        <v>82</v>
      </c>
      <c r="AG4" s="41" t="s">
        <v>79</v>
      </c>
      <c r="AH4" s="41" t="s">
        <v>106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205</v>
      </c>
      <c r="F5" s="8"/>
      <c r="G5" s="9"/>
      <c r="H5" s="9"/>
      <c r="I5" s="48"/>
      <c r="J5" s="21">
        <f t="shared" ref="J5:J30" si="2">IF(COUNTA($F5,$K5,$P5)&gt;0,J4+SUM(G5:I5),"")</f>
        <v>59000</v>
      </c>
      <c r="K5" s="8" t="s">
        <v>194</v>
      </c>
      <c r="L5" s="9">
        <v>-3900</v>
      </c>
      <c r="M5" s="9"/>
      <c r="N5" s="48">
        <v>-1000</v>
      </c>
      <c r="O5" s="21">
        <f t="shared" ref="O5:O30" si="3">IF(COUNTA($F5,$K5,$P5)&gt;0,O4+SUM(L5:N5),"")</f>
        <v>18100</v>
      </c>
      <c r="P5" s="8" t="s">
        <v>195</v>
      </c>
      <c r="Q5" s="9">
        <v>3900</v>
      </c>
      <c r="R5" s="9"/>
      <c r="S5" s="48">
        <v>1000</v>
      </c>
      <c r="T5" s="21">
        <f t="shared" ref="T5:T30" si="4">IF(COUNTA($F5,$K5,$P5)&gt;0,T4+SUM(Q5:S5),"")</f>
        <v>27900</v>
      </c>
      <c r="U5" s="53">
        <f>IF($J5="","",ROUND(($J5-$J$3)/1000,1)+(_xlfn.RANK.AVG($J5,($J5,$O5,$T5),1)-2)*10)</f>
        <v>34</v>
      </c>
      <c r="V5" s="54">
        <f>IF($O5="","",ROUND(($O5-$O$3)/1000,1)+(_xlfn.RANK.AVG($O5,($J5,$O5,$T5),1)-2)*10)</f>
        <v>-26.9</v>
      </c>
      <c r="W5" s="55">
        <f>IF($T5="","",ROUND(($T5-$T$3)/1000,1)+(_xlfn.RANK.AVG($T5,($J5,$O5,$T5),1)-2)*10)</f>
        <v>-7.1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86</v>
      </c>
      <c r="BV5" s="41" t="s">
        <v>104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207</v>
      </c>
      <c r="F6" s="8" t="s">
        <v>195</v>
      </c>
      <c r="G6" s="9">
        <v>1600</v>
      </c>
      <c r="H6" s="9">
        <v>2000</v>
      </c>
      <c r="I6" s="48">
        <v>0</v>
      </c>
      <c r="J6" s="21">
        <f t="shared" si="2"/>
        <v>62600</v>
      </c>
      <c r="K6" s="8"/>
      <c r="L6" s="9"/>
      <c r="M6" s="9">
        <v>-1000</v>
      </c>
      <c r="N6" s="48"/>
      <c r="O6" s="21">
        <f t="shared" si="3"/>
        <v>17100</v>
      </c>
      <c r="P6" s="8" t="s">
        <v>194</v>
      </c>
      <c r="Q6" s="9">
        <v>-1600</v>
      </c>
      <c r="R6" s="9">
        <v>-1000</v>
      </c>
      <c r="S6" s="48">
        <v>0</v>
      </c>
      <c r="T6" s="21">
        <f t="shared" si="4"/>
        <v>25300</v>
      </c>
      <c r="U6" s="53">
        <f>IF($J6="","",ROUND(($J6-$J$3)/1000,1)+(_xlfn.RANK.AVG($J6,($J6,$O6,$T6),1)-2)*10)</f>
        <v>37.6</v>
      </c>
      <c r="V6" s="54">
        <f>IF($O6="","",ROUND(($O6-$O$3)/1000,1)+(_xlfn.RANK.AVG($O6,($J6,$O6,$T6),1)-2)*10)</f>
        <v>-27.9</v>
      </c>
      <c r="W6" s="55">
        <f>IF($T6="","",ROUND(($T6-$T$3)/1000,1)+(_xlfn.RANK.AVG($T6,($J6,$O6,$T6),1)-2)*10)</f>
        <v>-9.6999999999999993</v>
      </c>
      <c r="Y6" s="8"/>
      <c r="Z6" s="34"/>
      <c r="AA6" s="26"/>
      <c r="AB6" s="26"/>
      <c r="AC6" s="26">
        <v>2</v>
      </c>
      <c r="AD6" s="30">
        <v>25</v>
      </c>
      <c r="AE6" s="40" t="s">
        <v>101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209</v>
      </c>
      <c r="F7" s="8" t="s">
        <v>202</v>
      </c>
      <c r="G7" s="9">
        <v>-800</v>
      </c>
      <c r="H7" s="9"/>
      <c r="I7" s="48">
        <v>0</v>
      </c>
      <c r="J7" s="21">
        <f t="shared" si="2"/>
        <v>61800</v>
      </c>
      <c r="K7" s="8" t="s">
        <v>202</v>
      </c>
      <c r="L7" s="9">
        <v>-800</v>
      </c>
      <c r="M7" s="9"/>
      <c r="N7" s="48">
        <v>0</v>
      </c>
      <c r="O7" s="21">
        <f t="shared" si="3"/>
        <v>16300</v>
      </c>
      <c r="P7" s="8" t="s">
        <v>201</v>
      </c>
      <c r="Q7" s="9">
        <v>1600</v>
      </c>
      <c r="R7" s="9"/>
      <c r="S7" s="48">
        <v>0</v>
      </c>
      <c r="T7" s="21">
        <f t="shared" si="4"/>
        <v>26900</v>
      </c>
      <c r="U7" s="53">
        <f>IF($J7="","",ROUND(($J7-$J$3)/1000,1)+(_xlfn.RANK.AVG($J7,($J7,$O7,$T7),1)-2)*10)</f>
        <v>36.799999999999997</v>
      </c>
      <c r="V7" s="54">
        <f>IF($O7="","",ROUND(($O7-$O$3)/1000,1)+(_xlfn.RANK.AVG($O7,($J7,$O7,$T7),1)-2)*10)</f>
        <v>-28.7</v>
      </c>
      <c r="W7" s="55">
        <f>IF($T7="","",ROUND(($T7-$T$3)/1000,1)+(_xlfn.RANK.AVG($T7,($J7,$O7,$T7),1)-2)*10)</f>
        <v>-8.1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30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209</v>
      </c>
      <c r="F8" s="8" t="s">
        <v>201</v>
      </c>
      <c r="G8" s="9">
        <v>8000</v>
      </c>
      <c r="H8" s="9">
        <v>1000</v>
      </c>
      <c r="I8" s="48">
        <v>1000</v>
      </c>
      <c r="J8" s="21">
        <f t="shared" si="2"/>
        <v>71800</v>
      </c>
      <c r="K8" s="8" t="s">
        <v>202</v>
      </c>
      <c r="L8" s="9">
        <v>-3000</v>
      </c>
      <c r="M8" s="9">
        <v>-1000</v>
      </c>
      <c r="N8" s="48">
        <v>-500</v>
      </c>
      <c r="O8" s="21">
        <f t="shared" si="3"/>
        <v>11800</v>
      </c>
      <c r="P8" s="8" t="s">
        <v>202</v>
      </c>
      <c r="Q8" s="9">
        <v>-5000</v>
      </c>
      <c r="R8" s="9"/>
      <c r="S8" s="48">
        <v>-500</v>
      </c>
      <c r="T8" s="21">
        <f t="shared" si="4"/>
        <v>21400</v>
      </c>
      <c r="U8" s="53">
        <f>IF($J8="","",ROUND(($J8-$J$3)/1000,1)+(_xlfn.RANK.AVG($J8,($J8,$O8,$T8),1)-2)*10)</f>
        <v>46.8</v>
      </c>
      <c r="V8" s="54">
        <f>IF($O8="","",ROUND(($O8-$O$3)/1000,1)+(_xlfn.RANK.AVG($O8,($J8,$O8,$T8),1)-2)*10)</f>
        <v>-33.200000000000003</v>
      </c>
      <c r="W8" s="55">
        <f>IF($T8="","",ROUND(($T8-$T$3)/1000,1)+(_xlfn.RANK.AVG($T8,($J8,$O8,$T8),1)-2)*10)</f>
        <v>-13.6</v>
      </c>
      <c r="Y8" s="8"/>
      <c r="Z8" s="34"/>
      <c r="AA8" s="26"/>
      <c r="AB8" s="26">
        <v>1</v>
      </c>
      <c r="AC8" s="26">
        <v>4</v>
      </c>
      <c r="AD8" s="30">
        <v>40</v>
      </c>
      <c r="AE8" s="40" t="s">
        <v>86</v>
      </c>
      <c r="AF8" s="41" t="s">
        <v>79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205</v>
      </c>
      <c r="F9" s="8" t="s">
        <v>202</v>
      </c>
      <c r="G9" s="9">
        <v>-3300</v>
      </c>
      <c r="H9" s="9"/>
      <c r="I9" s="48">
        <v>0</v>
      </c>
      <c r="J9" s="21">
        <f t="shared" si="2"/>
        <v>68500</v>
      </c>
      <c r="K9" s="8" t="s">
        <v>201</v>
      </c>
      <c r="L9" s="9">
        <v>5300</v>
      </c>
      <c r="M9" s="9"/>
      <c r="N9" s="48">
        <v>0</v>
      </c>
      <c r="O9" s="21">
        <f t="shared" si="3"/>
        <v>17100</v>
      </c>
      <c r="P9" s="8" t="s">
        <v>202</v>
      </c>
      <c r="Q9" s="9">
        <v>-2000</v>
      </c>
      <c r="R9" s="9"/>
      <c r="S9" s="48">
        <v>0</v>
      </c>
      <c r="T9" s="21">
        <f t="shared" si="4"/>
        <v>19400</v>
      </c>
      <c r="U9" s="53">
        <f>IF($J9="","",ROUND(($J9-$J$3)/1000,1)+(_xlfn.RANK.AVG($J9,($J9,$O9,$T9),1)-2)*10)</f>
        <v>43.5</v>
      </c>
      <c r="V9" s="54">
        <f>IF($O9="","",ROUND(($O9-$O$3)/1000,1)+(_xlfn.RANK.AVG($O9,($J9,$O9,$T9),1)-2)*10)</f>
        <v>-27.9</v>
      </c>
      <c r="W9" s="55">
        <f>IF($T9="","",ROUND(($T9-$T$3)/1000,1)+(_xlfn.RANK.AVG($T9,($J9,$O9,$T9),1)-2)*10)</f>
        <v>-15.6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20</v>
      </c>
      <c r="AZ9" s="40" t="s">
        <v>196</v>
      </c>
      <c r="BA9" s="41" t="s">
        <v>82</v>
      </c>
      <c r="BB9" s="41" t="s">
        <v>83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207</v>
      </c>
      <c r="F10" s="8" t="s">
        <v>211</v>
      </c>
      <c r="G10" s="9">
        <v>0</v>
      </c>
      <c r="H10" s="9"/>
      <c r="I10" s="48"/>
      <c r="J10" s="21">
        <f t="shared" si="2"/>
        <v>68500</v>
      </c>
      <c r="K10" s="8" t="s">
        <v>211</v>
      </c>
      <c r="L10" s="9">
        <v>0</v>
      </c>
      <c r="M10" s="9"/>
      <c r="N10" s="48"/>
      <c r="O10" s="21">
        <f t="shared" si="3"/>
        <v>17100</v>
      </c>
      <c r="P10" s="8" t="s">
        <v>211</v>
      </c>
      <c r="Q10" s="9">
        <v>0</v>
      </c>
      <c r="R10" s="9">
        <v>-1000</v>
      </c>
      <c r="S10" s="48"/>
      <c r="T10" s="21">
        <f t="shared" si="4"/>
        <v>18400</v>
      </c>
      <c r="U10" s="53">
        <f>IF($J10="","",ROUND(($J10-$J$3)/1000,1)+(_xlfn.RANK.AVG($J10,($J10,$O10,$T10),1)-2)*10)</f>
        <v>43.5</v>
      </c>
      <c r="V10" s="54">
        <f>IF($O10="","",ROUND(($O10-$O$3)/1000,1)+(_xlfn.RANK.AVG($O10,($J10,$O10,$T10),1)-2)*10)</f>
        <v>-27.9</v>
      </c>
      <c r="W10" s="55">
        <f>IF($T10="","",ROUND(($T10-$T$3)/1000,1)+(_xlfn.RANK.AVG($T10,($J10,$O10,$T10),1)-2)*10)</f>
        <v>-16.600000000000001</v>
      </c>
      <c r="Y10" s="8" t="s">
        <v>199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199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199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">
        <v>207</v>
      </c>
      <c r="F11" s="8" t="s">
        <v>195</v>
      </c>
      <c r="G11" s="9">
        <v>2000</v>
      </c>
      <c r="H11" s="9">
        <v>1000</v>
      </c>
      <c r="I11" s="48">
        <v>1000</v>
      </c>
      <c r="J11" s="21">
        <f t="shared" si="2"/>
        <v>72500</v>
      </c>
      <c r="K11" s="8"/>
      <c r="L11" s="9"/>
      <c r="M11" s="9"/>
      <c r="N11" s="48"/>
      <c r="O11" s="21">
        <f t="shared" si="3"/>
        <v>17100</v>
      </c>
      <c r="P11" s="8" t="s">
        <v>194</v>
      </c>
      <c r="Q11" s="9">
        <v>-2000</v>
      </c>
      <c r="R11" s="9"/>
      <c r="S11" s="48">
        <v>-1000</v>
      </c>
      <c r="T11" s="21">
        <f t="shared" si="4"/>
        <v>15400</v>
      </c>
      <c r="U11" s="53">
        <f>IF($J11="","",ROUND(($J11-$J$3)/1000,1)+(_xlfn.RANK.AVG($J11,($J11,$O11,$T11),1)-2)*10)</f>
        <v>47.5</v>
      </c>
      <c r="V11" s="54">
        <f>IF($O11="","",ROUND(($O11-$O$3)/1000,1)+(_xlfn.RANK.AVG($O11,($J11,$O11,$T11),1)-2)*10)</f>
        <v>-17.899999999999999</v>
      </c>
      <c r="W11" s="55">
        <f>IF($T11="","",ROUND(($T11-$T$3)/1000,1)+(_xlfn.RANK.AVG($T11,($J11,$O11,$T11),1)-2)*10)</f>
        <v>-29.6</v>
      </c>
      <c r="Y11" s="8"/>
      <c r="Z11" s="34"/>
      <c r="AA11" s="26"/>
      <c r="AB11" s="26">
        <v>1</v>
      </c>
      <c r="AC11" s="26">
        <v>2</v>
      </c>
      <c r="AD11" s="30">
        <v>30</v>
      </c>
      <c r="AE11" s="40" t="s">
        <v>86</v>
      </c>
      <c r="AF11" s="41" t="s">
        <v>86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209</v>
      </c>
      <c r="F12" s="8" t="s">
        <v>211</v>
      </c>
      <c r="G12" s="9">
        <v>-3000</v>
      </c>
      <c r="H12" s="9"/>
      <c r="I12" s="48"/>
      <c r="J12" s="21">
        <f t="shared" si="2"/>
        <v>69500</v>
      </c>
      <c r="K12" s="8" t="s">
        <v>211</v>
      </c>
      <c r="L12" s="9">
        <v>1500</v>
      </c>
      <c r="M12" s="9"/>
      <c r="N12" s="48"/>
      <c r="O12" s="21">
        <f t="shared" si="3"/>
        <v>18600</v>
      </c>
      <c r="P12" s="8" t="s">
        <v>211</v>
      </c>
      <c r="Q12" s="9">
        <v>1500</v>
      </c>
      <c r="R12" s="9">
        <v>-1000</v>
      </c>
      <c r="S12" s="48"/>
      <c r="T12" s="21">
        <f t="shared" si="4"/>
        <v>15900</v>
      </c>
      <c r="U12" s="53">
        <f>IF($J12="","",ROUND(($J12-$J$3)/1000,1)+(_xlfn.RANK.AVG($J12,($J12,$O12,$T12),1)-2)*10)</f>
        <v>44.5</v>
      </c>
      <c r="V12" s="54">
        <f>IF($O12="","",ROUND(($O12-$O$3)/1000,1)+(_xlfn.RANK.AVG($O12,($J12,$O12,$T12),1)-2)*10)</f>
        <v>-16.399999999999999</v>
      </c>
      <c r="W12" s="55">
        <f>IF($T12="","",ROUND(($T12-$T$3)/1000,1)+(_xlfn.RANK.AVG($T12,($J12,$O12,$T12),1)-2)*10)</f>
        <v>-29.1</v>
      </c>
      <c r="Y12" s="8" t="s">
        <v>200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199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199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1</v>
      </c>
      <c r="E13" s="4" t="s">
        <v>209</v>
      </c>
      <c r="F13" s="8" t="s">
        <v>194</v>
      </c>
      <c r="G13" s="9">
        <v>-8000</v>
      </c>
      <c r="H13" s="9">
        <v>-1000</v>
      </c>
      <c r="I13" s="48">
        <v>-1000</v>
      </c>
      <c r="J13" s="21">
        <f t="shared" si="2"/>
        <v>59500</v>
      </c>
      <c r="K13" s="8" t="s">
        <v>195</v>
      </c>
      <c r="L13" s="9">
        <v>8000</v>
      </c>
      <c r="M13" s="9">
        <v>2000</v>
      </c>
      <c r="N13" s="48">
        <v>1000</v>
      </c>
      <c r="O13" s="21">
        <f t="shared" si="3"/>
        <v>29600</v>
      </c>
      <c r="P13" s="8"/>
      <c r="Q13" s="9"/>
      <c r="R13" s="9"/>
      <c r="S13" s="48"/>
      <c r="T13" s="21">
        <f t="shared" si="4"/>
        <v>15900</v>
      </c>
      <c r="U13" s="53">
        <f>IF($J13="","",ROUND(($J13-$J$3)/1000,1)+(_xlfn.RANK.AVG($J13,($J13,$O13,$T13),1)-2)*10)</f>
        <v>34.5</v>
      </c>
      <c r="V13" s="54">
        <f>IF($O13="","",ROUND(($O13-$O$3)/1000,1)+(_xlfn.RANK.AVG($O13,($J13,$O13,$T13),1)-2)*10)</f>
        <v>-5.4</v>
      </c>
      <c r="W13" s="55">
        <f>IF($T13="","",ROUND(($T13-$T$3)/1000,1)+(_xlfn.RANK.AVG($T13,($J13,$O13,$T13),1)-2)*10)</f>
        <v>-29.1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4</v>
      </c>
      <c r="AY13" s="30">
        <v>40</v>
      </c>
      <c r="AZ13" s="40" t="s">
        <v>104</v>
      </c>
      <c r="BA13" s="41" t="s">
        <v>86</v>
      </c>
      <c r="BB13" s="41" t="s">
        <v>197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D02C1438-FAF2-405D-B6F2-D1F7030FC709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C584EABE-7944-4C0A-98C3-6EEEBE1C912D}">
      <formula1>"ロン,ツモ,放銃,ツモ支払,流局,チョンボ"</formula1>
    </dataValidation>
    <dataValidation type="list" allowBlank="1" showInputMessage="1" showErrorMessage="1" sqref="E4:E30" xr:uid="{0FAD3AD2-FD04-48F1-BD09-820ACB97893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08A2-058C-45A1-B8DD-E035AE39D5A2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296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208</v>
      </c>
      <c r="L1" s="72"/>
      <c r="M1" s="72"/>
      <c r="N1" s="73"/>
      <c r="O1" s="74"/>
      <c r="P1" s="71" t="s">
        <v>210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195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194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-1</v>
      </c>
      <c r="Y4" s="8"/>
      <c r="Z4" s="34"/>
      <c r="AA4" s="26">
        <v>1</v>
      </c>
      <c r="AB4" s="26"/>
      <c r="AC4" s="26">
        <v>5</v>
      </c>
      <c r="AD4" s="30" t="s">
        <v>204</v>
      </c>
      <c r="AE4" s="40" t="s">
        <v>196</v>
      </c>
      <c r="AF4" s="41" t="s">
        <v>203</v>
      </c>
      <c r="AG4" s="41" t="s">
        <v>86</v>
      </c>
      <c r="AH4" s="41" t="s">
        <v>79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205</v>
      </c>
      <c r="F5" s="8" t="s">
        <v>202</v>
      </c>
      <c r="G5" s="9">
        <v>-4800</v>
      </c>
      <c r="H5" s="9"/>
      <c r="I5" s="48">
        <v>-500</v>
      </c>
      <c r="J5" s="21">
        <f t="shared" ref="J5:J30" si="2">IF(COUNTA($F5,$K5,$P5)&gt;0,J4+SUM(G5:I5),"")</f>
        <v>42700</v>
      </c>
      <c r="K5" s="8" t="s">
        <v>202</v>
      </c>
      <c r="L5" s="9">
        <v>-2900</v>
      </c>
      <c r="M5" s="9"/>
      <c r="N5" s="48">
        <v>-500</v>
      </c>
      <c r="O5" s="21">
        <f t="shared" ref="O5:O30" si="3">IF(COUNTA($F5,$K5,$P5)&gt;0,O4+SUM(L5:N5),"")</f>
        <v>19600</v>
      </c>
      <c r="P5" s="8" t="s">
        <v>201</v>
      </c>
      <c r="Q5" s="9">
        <v>7700</v>
      </c>
      <c r="R5" s="9"/>
      <c r="S5" s="48">
        <v>1000</v>
      </c>
      <c r="T5" s="21">
        <f t="shared" ref="T5:T30" si="4">IF(COUNTA($F5,$K5,$P5)&gt;0,T4+SUM(Q5:S5),"")</f>
        <v>42700</v>
      </c>
      <c r="U5" s="53">
        <f>IF($J5="","",ROUND(($J5-$J$3)/1000,1)+(_xlfn.RANK.AVG($J5,($J5,$O5,$T5),1)-2)*10)</f>
        <v>12.7</v>
      </c>
      <c r="V5" s="54">
        <f>IF($O5="","",ROUND(($O5-$O$3)/1000,1)+(_xlfn.RANK.AVG($O5,($J5,$O5,$T5),1)-2)*10)</f>
        <v>-25.4</v>
      </c>
      <c r="W5" s="55">
        <f>IF($T5="","",ROUND(($T5-$T$3)/1000,1)+(_xlfn.RANK.AVG($T5,($J5,$O5,$T5),1)-2)*10)</f>
        <v>12.7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196</v>
      </c>
      <c r="BV5" s="41" t="s">
        <v>82</v>
      </c>
      <c r="BW5" s="41" t="s">
        <v>85</v>
      </c>
      <c r="BX5" s="41" t="s">
        <v>197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207</v>
      </c>
      <c r="F6" s="8" t="s">
        <v>202</v>
      </c>
      <c r="G6" s="9">
        <v>-800</v>
      </c>
      <c r="H6" s="9"/>
      <c r="I6" s="48">
        <v>0</v>
      </c>
      <c r="J6" s="21">
        <f t="shared" si="2"/>
        <v>41900</v>
      </c>
      <c r="K6" s="8" t="s">
        <v>202</v>
      </c>
      <c r="L6" s="9">
        <v>-1300</v>
      </c>
      <c r="M6" s="9"/>
      <c r="N6" s="48">
        <v>0</v>
      </c>
      <c r="O6" s="21">
        <f t="shared" si="3"/>
        <v>18300</v>
      </c>
      <c r="P6" s="8" t="s">
        <v>201</v>
      </c>
      <c r="Q6" s="9">
        <v>2100</v>
      </c>
      <c r="R6" s="9"/>
      <c r="S6" s="48">
        <v>0</v>
      </c>
      <c r="T6" s="21">
        <f t="shared" si="4"/>
        <v>44800</v>
      </c>
      <c r="U6" s="53">
        <f>IF($J6="","",ROUND(($J6-$J$3)/1000,1)+(_xlfn.RANK.AVG($J6,($J6,$O6,$T6),1)-2)*10)</f>
        <v>6.9</v>
      </c>
      <c r="V6" s="54">
        <f>IF($O6="","",ROUND(($O6-$O$3)/1000,1)+(_xlfn.RANK.AVG($O6,($J6,$O6,$T6),1)-2)*10)</f>
        <v>-26.7</v>
      </c>
      <c r="W6" s="55">
        <f>IF($T6="","",ROUND(($T6-$T$3)/1000,1)+(_xlfn.RANK.AVG($T6,($J6,$O6,$T6),1)-2)*10)</f>
        <v>19.8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82</v>
      </c>
      <c r="BV6" s="41" t="s">
        <v>84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209</v>
      </c>
      <c r="F7" s="8"/>
      <c r="G7" s="9"/>
      <c r="H7" s="9"/>
      <c r="I7" s="48"/>
      <c r="J7" s="21">
        <f t="shared" si="2"/>
        <v>41900</v>
      </c>
      <c r="K7" s="8" t="s">
        <v>194</v>
      </c>
      <c r="L7" s="9">
        <v>-2900</v>
      </c>
      <c r="M7" s="9"/>
      <c r="N7" s="48">
        <v>0</v>
      </c>
      <c r="O7" s="21">
        <f t="shared" si="3"/>
        <v>15400</v>
      </c>
      <c r="P7" s="8" t="s">
        <v>195</v>
      </c>
      <c r="Q7" s="9">
        <v>2900</v>
      </c>
      <c r="R7" s="9"/>
      <c r="S7" s="48">
        <v>0</v>
      </c>
      <c r="T7" s="21">
        <f t="shared" si="4"/>
        <v>47700</v>
      </c>
      <c r="U7" s="53">
        <f>IF($J7="","",ROUND(($J7-$J$3)/1000,1)+(_xlfn.RANK.AVG($J7,($J7,$O7,$T7),1)-2)*10)</f>
        <v>6.9</v>
      </c>
      <c r="V7" s="54">
        <f>IF($O7="","",ROUND(($O7-$O$3)/1000,1)+(_xlfn.RANK.AVG($O7,($J7,$O7,$T7),1)-2)*10)</f>
        <v>-29.6</v>
      </c>
      <c r="W7" s="55">
        <f>IF($T7="","",ROUND(($T7-$T$3)/1000,1)+(_xlfn.RANK.AVG($T7,($J7,$O7,$T7),1)-2)*10)</f>
        <v>22.7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79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209</v>
      </c>
      <c r="F8" s="8" t="s">
        <v>195</v>
      </c>
      <c r="G8" s="9">
        <v>3200</v>
      </c>
      <c r="H8" s="9"/>
      <c r="I8" s="48">
        <v>1000</v>
      </c>
      <c r="J8" s="21">
        <f t="shared" si="2"/>
        <v>46100</v>
      </c>
      <c r="K8" s="8"/>
      <c r="L8" s="9"/>
      <c r="M8" s="9"/>
      <c r="N8" s="48"/>
      <c r="O8" s="21">
        <f t="shared" si="3"/>
        <v>15400</v>
      </c>
      <c r="P8" s="8" t="s">
        <v>194</v>
      </c>
      <c r="Q8" s="9">
        <v>-3200</v>
      </c>
      <c r="R8" s="9"/>
      <c r="S8" s="48">
        <v>-1000</v>
      </c>
      <c r="T8" s="21">
        <f t="shared" si="4"/>
        <v>43500</v>
      </c>
      <c r="U8" s="53">
        <f>IF($J8="","",ROUND(($J8-$J$3)/1000,1)+(_xlfn.RANK.AVG($J8,($J8,$O8,$T8),1)-2)*10)</f>
        <v>21.1</v>
      </c>
      <c r="V8" s="54">
        <f>IF($O8="","",ROUND(($O8-$O$3)/1000,1)+(_xlfn.RANK.AVG($O8,($J8,$O8,$T8),1)-2)*10)</f>
        <v>-29.6</v>
      </c>
      <c r="W8" s="55">
        <f>IF($T8="","",ROUND(($T8-$T$3)/1000,1)+(_xlfn.RANK.AVG($T8,($J8,$O8,$T8),1)-2)*10)</f>
        <v>8.5</v>
      </c>
      <c r="Y8" s="8"/>
      <c r="Z8" s="34"/>
      <c r="AA8" s="26">
        <v>1</v>
      </c>
      <c r="AB8" s="26"/>
      <c r="AC8" s="26">
        <v>2</v>
      </c>
      <c r="AD8" s="30">
        <v>50</v>
      </c>
      <c r="AE8" s="40" t="s">
        <v>86</v>
      </c>
      <c r="AF8" s="41" t="s">
        <v>196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205</v>
      </c>
      <c r="F9" s="8" t="s">
        <v>202</v>
      </c>
      <c r="G9" s="9">
        <v>-2500</v>
      </c>
      <c r="H9" s="9"/>
      <c r="I9" s="48">
        <v>0</v>
      </c>
      <c r="J9" s="21">
        <f t="shared" si="2"/>
        <v>43600</v>
      </c>
      <c r="K9" s="8" t="s">
        <v>201</v>
      </c>
      <c r="L9" s="9">
        <v>4000</v>
      </c>
      <c r="M9" s="9"/>
      <c r="N9" s="48">
        <v>0</v>
      </c>
      <c r="O9" s="21">
        <f t="shared" si="3"/>
        <v>19400</v>
      </c>
      <c r="P9" s="8" t="s">
        <v>202</v>
      </c>
      <c r="Q9" s="9">
        <v>-1500</v>
      </c>
      <c r="R9" s="9"/>
      <c r="S9" s="48">
        <v>0</v>
      </c>
      <c r="T9" s="21">
        <f t="shared" si="4"/>
        <v>42000</v>
      </c>
      <c r="U9" s="53">
        <f>IF($J9="","",ROUND(($J9-$J$3)/1000,1)+(_xlfn.RANK.AVG($J9,($J9,$O9,$T9),1)-2)*10)</f>
        <v>18.600000000000001</v>
      </c>
      <c r="V9" s="54">
        <f>IF($O9="","",ROUND(($O9-$O$3)/1000,1)+(_xlfn.RANK.AVG($O9,($J9,$O9,$T9),1)-2)*10)</f>
        <v>-25.6</v>
      </c>
      <c r="W9" s="55">
        <f>IF($T9="","",ROUND(($T9-$T$3)/1000,1)+(_xlfn.RANK.AVG($T9,($J9,$O9,$T9),1)-2)*10)</f>
        <v>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30</v>
      </c>
      <c r="AZ9" s="40" t="s">
        <v>196</v>
      </c>
      <c r="BA9" s="41" t="s">
        <v>82</v>
      </c>
      <c r="BB9" s="41" t="s">
        <v>203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207</v>
      </c>
      <c r="F10" s="8" t="s">
        <v>211</v>
      </c>
      <c r="G10" s="9">
        <v>-3000</v>
      </c>
      <c r="H10" s="9"/>
      <c r="I10" s="48"/>
      <c r="J10" s="21">
        <f t="shared" si="2"/>
        <v>40600</v>
      </c>
      <c r="K10" s="8" t="s">
        <v>211</v>
      </c>
      <c r="L10" s="9">
        <v>1500</v>
      </c>
      <c r="M10" s="9">
        <v>-1000</v>
      </c>
      <c r="N10" s="48"/>
      <c r="O10" s="21">
        <f t="shared" si="3"/>
        <v>19900</v>
      </c>
      <c r="P10" s="8" t="s">
        <v>211</v>
      </c>
      <c r="Q10" s="9">
        <v>1500</v>
      </c>
      <c r="R10" s="9"/>
      <c r="S10" s="48"/>
      <c r="T10" s="21">
        <f t="shared" si="4"/>
        <v>43500</v>
      </c>
      <c r="U10" s="53">
        <f>IF($J10="","",ROUND(($J10-$J$3)/1000,1)+(_xlfn.RANK.AVG($J10,($J10,$O10,$T10),1)-2)*10)</f>
        <v>5.6</v>
      </c>
      <c r="V10" s="54">
        <f>IF($O10="","",ROUND(($O10-$O$3)/1000,1)+(_xlfn.RANK.AVG($O10,($J10,$O10,$T10),1)-2)*10)</f>
        <v>-25.1</v>
      </c>
      <c r="W10" s="55">
        <f>IF($T10="","",ROUND(($T10-$T$3)/1000,1)+(_xlfn.RANK.AVG($T10,($J10,$O10,$T10),1)-2)*10)</f>
        <v>18.5</v>
      </c>
      <c r="Y10" s="8" t="s">
        <v>200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199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199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">
        <v>207</v>
      </c>
      <c r="F11" s="8" t="s">
        <v>202</v>
      </c>
      <c r="G11" s="9">
        <v>-9000</v>
      </c>
      <c r="H11" s="9"/>
      <c r="I11" s="48">
        <v>-500</v>
      </c>
      <c r="J11" s="21">
        <f t="shared" si="2"/>
        <v>31100</v>
      </c>
      <c r="K11" s="8" t="s">
        <v>201</v>
      </c>
      <c r="L11" s="9">
        <v>18000</v>
      </c>
      <c r="M11" s="9">
        <v>2000</v>
      </c>
      <c r="N11" s="48">
        <v>1000</v>
      </c>
      <c r="O11" s="21">
        <f t="shared" si="3"/>
        <v>40900</v>
      </c>
      <c r="P11" s="8" t="s">
        <v>202</v>
      </c>
      <c r="Q11" s="9">
        <v>-9000</v>
      </c>
      <c r="R11" s="9">
        <v>-1000</v>
      </c>
      <c r="S11" s="48">
        <v>-500</v>
      </c>
      <c r="T11" s="21">
        <f t="shared" si="4"/>
        <v>33000</v>
      </c>
      <c r="U11" s="53">
        <f>IF($J11="","",ROUND(($J11-$J$3)/1000,1)+(_xlfn.RANK.AVG($J11,($J11,$O11,$T11),1)-2)*10)</f>
        <v>-13.9</v>
      </c>
      <c r="V11" s="54">
        <f>IF($O11="","",ROUND(($O11-$O$3)/1000,1)+(_xlfn.RANK.AVG($O11,($J11,$O11,$T11),1)-2)*10)</f>
        <v>15.9</v>
      </c>
      <c r="W11" s="55">
        <f>IF($T11="","",ROUND(($T11-$T$3)/1000,1)+(_xlfn.RANK.AVG($T11,($J11,$O11,$T11),1)-2)*10)</f>
        <v>-2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7</v>
      </c>
      <c r="AY11" s="30" t="s">
        <v>204</v>
      </c>
      <c r="AZ11" s="40" t="s">
        <v>86</v>
      </c>
      <c r="BA11" s="41" t="s">
        <v>197</v>
      </c>
      <c r="BB11" s="41" t="s">
        <v>79</v>
      </c>
      <c r="BC11" s="41" t="s">
        <v>79</v>
      </c>
      <c r="BD11" s="41" t="s">
        <v>79</v>
      </c>
      <c r="BE11" s="41" t="s">
        <v>79</v>
      </c>
      <c r="BF11" s="41" t="s">
        <v>79</v>
      </c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207</v>
      </c>
      <c r="F12" s="8" t="s">
        <v>195</v>
      </c>
      <c r="G12" s="9">
        <v>2000</v>
      </c>
      <c r="H12" s="9">
        <v>1000</v>
      </c>
      <c r="I12" s="48">
        <v>2000</v>
      </c>
      <c r="J12" s="21">
        <f t="shared" si="2"/>
        <v>36100</v>
      </c>
      <c r="K12" s="8"/>
      <c r="L12" s="9"/>
      <c r="M12" s="9"/>
      <c r="N12" s="48"/>
      <c r="O12" s="21">
        <f t="shared" si="3"/>
        <v>40900</v>
      </c>
      <c r="P12" s="8" t="s">
        <v>194</v>
      </c>
      <c r="Q12" s="9">
        <v>-2000</v>
      </c>
      <c r="R12" s="9">
        <v>-1000</v>
      </c>
      <c r="S12" s="48">
        <v>-2000</v>
      </c>
      <c r="T12" s="21">
        <f t="shared" si="4"/>
        <v>28000</v>
      </c>
      <c r="U12" s="53">
        <f>IF($J12="","",ROUND(($J12-$J$3)/1000,1)+(_xlfn.RANK.AVG($J12,($J12,$O12,$T12),1)-2)*10)</f>
        <v>1.1000000000000001</v>
      </c>
      <c r="V12" s="54">
        <f>IF($O12="","",ROUND(($O12-$O$3)/1000,1)+(_xlfn.RANK.AVG($O12,($J12,$O12,$T12),1)-2)*10)</f>
        <v>15.9</v>
      </c>
      <c r="W12" s="55">
        <f>IF($T12="","",ROUND(($T12-$T$3)/1000,1)+(_xlfn.RANK.AVG($T12,($J12,$O12,$T12),1)-2)*10)</f>
        <v>-17</v>
      </c>
      <c r="Y12" s="8"/>
      <c r="Z12" s="34"/>
      <c r="AA12" s="26"/>
      <c r="AB12" s="26">
        <v>1</v>
      </c>
      <c r="AC12" s="26">
        <v>2</v>
      </c>
      <c r="AD12" s="30">
        <v>30</v>
      </c>
      <c r="AE12" s="40" t="s">
        <v>197</v>
      </c>
      <c r="AF12" s="41" t="s">
        <v>85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209</v>
      </c>
      <c r="F13" s="8" t="s">
        <v>195</v>
      </c>
      <c r="G13" s="9">
        <v>1300</v>
      </c>
      <c r="H13" s="9"/>
      <c r="I13" s="48">
        <v>0</v>
      </c>
      <c r="J13" s="21">
        <f t="shared" si="2"/>
        <v>37400</v>
      </c>
      <c r="K13" s="8" t="s">
        <v>194</v>
      </c>
      <c r="L13" s="9">
        <v>-1300</v>
      </c>
      <c r="M13" s="9"/>
      <c r="N13" s="48">
        <v>0</v>
      </c>
      <c r="O13" s="21">
        <f t="shared" si="3"/>
        <v>39600</v>
      </c>
      <c r="P13" s="8"/>
      <c r="Q13" s="9"/>
      <c r="R13" s="9"/>
      <c r="S13" s="48"/>
      <c r="T13" s="21">
        <f t="shared" si="4"/>
        <v>28000</v>
      </c>
      <c r="U13" s="53">
        <f>IF($J13="","",ROUND(($J13-$J$3)/1000,1)+(_xlfn.RANK.AVG($J13,($J13,$O13,$T13),1)-2)*10)</f>
        <v>2.4</v>
      </c>
      <c r="V13" s="54">
        <f>IF($O13="","",ROUND(($O13-$O$3)/1000,1)+(_xlfn.RANK.AVG($O13,($J13,$O13,$T13),1)-2)*10)</f>
        <v>14.6</v>
      </c>
      <c r="W13" s="55">
        <f>IF($T13="","",ROUND(($T13-$T$3)/1000,1)+(_xlfn.RANK.AVG($T13,($J13,$O13,$T13),1)-2)*10)</f>
        <v>-17</v>
      </c>
      <c r="Y13" s="8"/>
      <c r="Z13" s="34"/>
      <c r="AA13" s="26">
        <v>1</v>
      </c>
      <c r="AB13" s="26"/>
      <c r="AC13" s="26">
        <v>1</v>
      </c>
      <c r="AD13" s="30">
        <v>40</v>
      </c>
      <c r="AE13" s="40" t="s">
        <v>196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F7DF552C-F85F-4782-B41E-2A3C30DFE358}">
      <formula1>$U$2:$W$2</formula1>
    </dataValidation>
    <dataValidation type="list" showInputMessage="1" showErrorMessage="1" sqref="K4:K30 P4:P30 F4:F30" xr:uid="{0E3FFBAB-45EC-43C0-86A9-3105E68BE41A}">
      <formula1>"ロン,ツモ,放銃,ツモ支払,流局,チョンボ"</formula1>
    </dataValidation>
    <dataValidation type="list" allowBlank="1" showInputMessage="1" sqref="F1:T1" xr:uid="{7D5125CF-C587-41A5-AEAB-8932D1663CAB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826A3-1E8F-442D-A3C4-A17F9FFBDA14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296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210</v>
      </c>
      <c r="G1" s="72"/>
      <c r="H1" s="72"/>
      <c r="I1" s="73"/>
      <c r="J1" s="74"/>
      <c r="K1" s="71" t="s">
        <v>212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6</v>
      </c>
      <c r="BT4" s="30" t="s">
        <v>204</v>
      </c>
      <c r="BU4" s="40" t="s">
        <v>104</v>
      </c>
      <c r="BV4" s="41" t="s">
        <v>101</v>
      </c>
      <c r="BW4" s="41" t="s">
        <v>197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207</v>
      </c>
      <c r="F5" s="8" t="s">
        <v>202</v>
      </c>
      <c r="G5" s="9">
        <v>-12000</v>
      </c>
      <c r="H5" s="9"/>
      <c r="I5" s="48">
        <v>0</v>
      </c>
      <c r="J5" s="21">
        <f t="shared" ref="J5:J30" si="2">IF(COUNTA($F5,$K5,$P5)&gt;0,J4+SUM(G5:I5),"")</f>
        <v>11000</v>
      </c>
      <c r="K5" s="8" t="s">
        <v>202</v>
      </c>
      <c r="L5" s="9">
        <v>-12000</v>
      </c>
      <c r="M5" s="9"/>
      <c r="N5" s="48">
        <v>0</v>
      </c>
      <c r="O5" s="21">
        <f t="shared" ref="O5:O30" si="3">IF(COUNTA($F5,$K5,$P5)&gt;0,O4+SUM(L5:N5),"")</f>
        <v>23000</v>
      </c>
      <c r="P5" s="8" t="s">
        <v>201</v>
      </c>
      <c r="Q5" s="9">
        <v>24000</v>
      </c>
      <c r="R5" s="9"/>
      <c r="S5" s="48">
        <v>0</v>
      </c>
      <c r="T5" s="21">
        <f t="shared" ref="T5:T30" si="4">IF(COUNTA($F5,$K5,$P5)&gt;0,T4+SUM(Q5:S5),"")</f>
        <v>71000</v>
      </c>
      <c r="U5" s="53">
        <f>IF($J5="","",ROUND(($J5-$J$3)/1000,1)+(_xlfn.RANK.AVG($J5,($J5,$O5,$T5),1)-2)*10)</f>
        <v>-34</v>
      </c>
      <c r="V5" s="54">
        <f>IF($O5="","",ROUND(($O5-$O$3)/1000,1)+(_xlfn.RANK.AVG($O5,($J5,$O5,$T5),1)-2)*10)</f>
        <v>-12</v>
      </c>
      <c r="W5" s="55">
        <f>IF($T5="","",ROUND(($T5-$T$3)/1000,1)+(_xlfn.RANK.AVG($T5,($J5,$O5,$T5),1)-2)*10)</f>
        <v>46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9</v>
      </c>
      <c r="BT5" s="30" t="s">
        <v>204</v>
      </c>
      <c r="BU5" s="40" t="s">
        <v>196</v>
      </c>
      <c r="BV5" s="41" t="s">
        <v>82</v>
      </c>
      <c r="BW5" s="41" t="s">
        <v>203</v>
      </c>
      <c r="BX5" s="41" t="s">
        <v>101</v>
      </c>
      <c r="BY5" s="41" t="s">
        <v>79</v>
      </c>
      <c r="BZ5" s="41" t="s">
        <v>79</v>
      </c>
      <c r="CA5" s="41" t="s">
        <v>80</v>
      </c>
      <c r="CB5" s="41" t="s">
        <v>80</v>
      </c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207</v>
      </c>
      <c r="F6" s="8" t="s">
        <v>202</v>
      </c>
      <c r="G6" s="9">
        <v>-2900</v>
      </c>
      <c r="H6" s="9"/>
      <c r="I6" s="48">
        <v>-500</v>
      </c>
      <c r="J6" s="21">
        <f t="shared" si="2"/>
        <v>7600</v>
      </c>
      <c r="K6" s="8" t="s">
        <v>201</v>
      </c>
      <c r="L6" s="9">
        <v>7700</v>
      </c>
      <c r="M6" s="9"/>
      <c r="N6" s="48">
        <v>1000</v>
      </c>
      <c r="O6" s="21">
        <f t="shared" si="3"/>
        <v>31700</v>
      </c>
      <c r="P6" s="8" t="s">
        <v>202</v>
      </c>
      <c r="Q6" s="9">
        <v>-4800</v>
      </c>
      <c r="R6" s="9"/>
      <c r="S6" s="48">
        <v>-500</v>
      </c>
      <c r="T6" s="21">
        <f t="shared" si="4"/>
        <v>65700</v>
      </c>
      <c r="U6" s="53">
        <f>IF($J6="","",ROUND(($J6-$J$3)/1000,1)+(_xlfn.RANK.AVG($J6,($J6,$O6,$T6),1)-2)*10)</f>
        <v>-37.4</v>
      </c>
      <c r="V6" s="54">
        <f>IF($O6="","",ROUND(($O6-$O$3)/1000,1)+(_xlfn.RANK.AVG($O6,($J6,$O6,$T6),1)-2)*10)</f>
        <v>-3.3</v>
      </c>
      <c r="W6" s="55">
        <f>IF($T6="","",ROUND(($T6-$T$3)/1000,1)+(_xlfn.RANK.AVG($T6,($J6,$O6,$T6),1)-2)*10)</f>
        <v>40.700000000000003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196</v>
      </c>
      <c r="BA6" s="41" t="s">
        <v>82</v>
      </c>
      <c r="BB6" s="41" t="s">
        <v>85</v>
      </c>
      <c r="BC6" s="41" t="s">
        <v>84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209</v>
      </c>
      <c r="F7" s="8" t="s">
        <v>195</v>
      </c>
      <c r="G7" s="9">
        <v>18000</v>
      </c>
      <c r="H7" s="9">
        <v>1000</v>
      </c>
      <c r="I7" s="48">
        <v>0</v>
      </c>
      <c r="J7" s="21">
        <f t="shared" si="2"/>
        <v>26600</v>
      </c>
      <c r="K7" s="8" t="s">
        <v>194</v>
      </c>
      <c r="L7" s="9">
        <v>-18000</v>
      </c>
      <c r="M7" s="9">
        <v>-1000</v>
      </c>
      <c r="N7" s="48">
        <v>0</v>
      </c>
      <c r="O7" s="21">
        <f t="shared" si="3"/>
        <v>12700</v>
      </c>
      <c r="P7" s="8"/>
      <c r="Q7" s="9"/>
      <c r="R7" s="9"/>
      <c r="S7" s="48"/>
      <c r="T7" s="21">
        <f t="shared" si="4"/>
        <v>65700</v>
      </c>
      <c r="U7" s="53">
        <f>IF($J7="","",ROUND(($J7-$J$3)/1000,1)+(_xlfn.RANK.AVG($J7,($J7,$O7,$T7),1)-2)*10)</f>
        <v>-8.4</v>
      </c>
      <c r="V7" s="54">
        <f>IF($O7="","",ROUND(($O7-$O$3)/1000,1)+(_xlfn.RANK.AVG($O7,($J7,$O7,$T7),1)-2)*10)</f>
        <v>-32.299999999999997</v>
      </c>
      <c r="W7" s="55">
        <f>IF($T7="","",ROUND(($T7-$T$3)/1000,1)+(_xlfn.RANK.AVG($T7,($J7,$O7,$T7),1)-2)*10)</f>
        <v>40.700000000000003</v>
      </c>
      <c r="Y7" s="8"/>
      <c r="Z7" s="34"/>
      <c r="AA7" s="26"/>
      <c r="AB7" s="26">
        <v>1</v>
      </c>
      <c r="AC7" s="26">
        <v>7</v>
      </c>
      <c r="AD7" s="30" t="s">
        <v>204</v>
      </c>
      <c r="AE7" s="40" t="s">
        <v>86</v>
      </c>
      <c r="AF7" s="41" t="s">
        <v>86</v>
      </c>
      <c r="AG7" s="41" t="s">
        <v>86</v>
      </c>
      <c r="AH7" s="41" t="s">
        <v>98</v>
      </c>
      <c r="AI7" s="41" t="s">
        <v>100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209</v>
      </c>
      <c r="F8" s="8" t="s">
        <v>202</v>
      </c>
      <c r="G8" s="9">
        <v>-7500</v>
      </c>
      <c r="H8" s="9"/>
      <c r="I8" s="48">
        <v>-500</v>
      </c>
      <c r="J8" s="21">
        <f t="shared" si="2"/>
        <v>18600</v>
      </c>
      <c r="K8" s="8" t="s">
        <v>202</v>
      </c>
      <c r="L8" s="9">
        <v>-4500</v>
      </c>
      <c r="M8" s="9">
        <v>-1000</v>
      </c>
      <c r="N8" s="48">
        <v>-500</v>
      </c>
      <c r="O8" s="21">
        <f t="shared" si="3"/>
        <v>6700</v>
      </c>
      <c r="P8" s="8" t="s">
        <v>201</v>
      </c>
      <c r="Q8" s="9">
        <v>12000</v>
      </c>
      <c r="R8" s="9">
        <v>1000</v>
      </c>
      <c r="S8" s="48">
        <v>1000</v>
      </c>
      <c r="T8" s="21">
        <f t="shared" si="4"/>
        <v>79700</v>
      </c>
      <c r="U8" s="53">
        <f>IF($J8="","",ROUND(($J8-$J$3)/1000,1)+(_xlfn.RANK.AVG($J8,($J8,$O8,$T8),1)-2)*10)</f>
        <v>-16.399999999999999</v>
      </c>
      <c r="V8" s="54">
        <f>IF($O8="","",ROUND(($O8-$O$3)/1000,1)+(_xlfn.RANK.AVG($O8,($J8,$O8,$T8),1)-2)*10)</f>
        <v>-38.299999999999997</v>
      </c>
      <c r="W8" s="55">
        <f>IF($T8="","",ROUND(($T8-$T$3)/1000,1)+(_xlfn.RANK.AVG($T8,($J8,$O8,$T8),1)-2)*10)</f>
        <v>54.7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6</v>
      </c>
      <c r="BT8" s="30" t="s">
        <v>204</v>
      </c>
      <c r="BU8" s="40" t="s">
        <v>82</v>
      </c>
      <c r="BV8" s="41" t="s">
        <v>92</v>
      </c>
      <c r="BW8" s="41" t="s">
        <v>197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195</v>
      </c>
      <c r="G9" s="9">
        <v>8000</v>
      </c>
      <c r="H9" s="9"/>
      <c r="I9" s="48">
        <v>0</v>
      </c>
      <c r="J9" s="21">
        <f t="shared" si="2"/>
        <v>26600</v>
      </c>
      <c r="K9" s="8"/>
      <c r="L9" s="9"/>
      <c r="M9" s="9"/>
      <c r="N9" s="48"/>
      <c r="O9" s="21">
        <f t="shared" si="3"/>
        <v>6700</v>
      </c>
      <c r="P9" s="8" t="s">
        <v>194</v>
      </c>
      <c r="Q9" s="9">
        <v>-8000</v>
      </c>
      <c r="R9" s="9"/>
      <c r="S9" s="48">
        <v>0</v>
      </c>
      <c r="T9" s="21">
        <f t="shared" si="4"/>
        <v>71700</v>
      </c>
      <c r="U9" s="53">
        <f>IF($J9="","",ROUND(($J9-$J$3)/1000,1)+(_xlfn.RANK.AVG($J9,($J9,$O9,$T9),1)-2)*10)</f>
        <v>-8.4</v>
      </c>
      <c r="V9" s="54">
        <f>IF($O9="","",ROUND(($O9-$O$3)/1000,1)+(_xlfn.RANK.AVG($O9,($J9,$O9,$T9),1)-2)*10)</f>
        <v>-38.299999999999997</v>
      </c>
      <c r="W9" s="55">
        <f>IF($T9="","",ROUND(($T9-$T$3)/1000,1)+(_xlfn.RANK.AVG($T9,($J9,$O9,$T9),1)-2)*10)</f>
        <v>46.7</v>
      </c>
      <c r="Y9" s="8"/>
      <c r="Z9" s="34"/>
      <c r="AA9" s="26">
        <v>1</v>
      </c>
      <c r="AB9" s="26"/>
      <c r="AC9" s="26">
        <v>4</v>
      </c>
      <c r="AD9" s="30">
        <v>40</v>
      </c>
      <c r="AE9" s="40" t="s">
        <v>196</v>
      </c>
      <c r="AF9" s="41" t="s">
        <v>203</v>
      </c>
      <c r="AG9" s="41" t="s">
        <v>79</v>
      </c>
      <c r="AH9" s="41" t="s">
        <v>80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207</v>
      </c>
      <c r="F10" s="8" t="s">
        <v>201</v>
      </c>
      <c r="G10" s="9">
        <v>1200</v>
      </c>
      <c r="H10" s="9"/>
      <c r="I10" s="48">
        <v>0</v>
      </c>
      <c r="J10" s="21">
        <f t="shared" si="2"/>
        <v>27800</v>
      </c>
      <c r="K10" s="8" t="s">
        <v>202</v>
      </c>
      <c r="L10" s="9">
        <v>-500</v>
      </c>
      <c r="M10" s="9"/>
      <c r="N10" s="48">
        <v>0</v>
      </c>
      <c r="O10" s="21">
        <f t="shared" si="3"/>
        <v>6200</v>
      </c>
      <c r="P10" s="8" t="s">
        <v>202</v>
      </c>
      <c r="Q10" s="9">
        <v>-700</v>
      </c>
      <c r="R10" s="9"/>
      <c r="S10" s="48">
        <v>0</v>
      </c>
      <c r="T10" s="21">
        <f t="shared" si="4"/>
        <v>71000</v>
      </c>
      <c r="U10" s="53">
        <f>IF($J10="","",ROUND(($J10-$J$3)/1000,1)+(_xlfn.RANK.AVG($J10,($J10,$O10,$T10),1)-2)*10)</f>
        <v>-7.2</v>
      </c>
      <c r="V10" s="54">
        <f>IF($O10="","",ROUND(($O10-$O$3)/1000,1)+(_xlfn.RANK.AVG($O10,($J10,$O10,$T10),1)-2)*10)</f>
        <v>-38.799999999999997</v>
      </c>
      <c r="W10" s="55">
        <f>IF($T10="","",ROUND(($T10-$T$3)/1000,1)+(_xlfn.RANK.AVG($T10,($J10,$O10,$T10),1)-2)*10)</f>
        <v>46</v>
      </c>
      <c r="Y10" s="8"/>
      <c r="Z10" s="34"/>
      <c r="AA10" s="26"/>
      <c r="AB10" s="26">
        <v>1</v>
      </c>
      <c r="AC10" s="26">
        <v>1</v>
      </c>
      <c r="AD10" s="30">
        <v>30</v>
      </c>
      <c r="AE10" s="40" t="s">
        <v>86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209</v>
      </c>
      <c r="F11" s="8"/>
      <c r="G11" s="9"/>
      <c r="H11" s="9"/>
      <c r="I11" s="48"/>
      <c r="J11" s="21">
        <f t="shared" si="2"/>
        <v>27800</v>
      </c>
      <c r="K11" s="8" t="s">
        <v>195</v>
      </c>
      <c r="L11" s="9">
        <v>3200</v>
      </c>
      <c r="M11" s="9"/>
      <c r="N11" s="48">
        <v>0</v>
      </c>
      <c r="O11" s="21">
        <f t="shared" si="3"/>
        <v>9400</v>
      </c>
      <c r="P11" s="8" t="s">
        <v>194</v>
      </c>
      <c r="Q11" s="9">
        <v>-3200</v>
      </c>
      <c r="R11" s="9"/>
      <c r="S11" s="48">
        <v>0</v>
      </c>
      <c r="T11" s="21">
        <f t="shared" si="4"/>
        <v>67800</v>
      </c>
      <c r="U11" s="53">
        <f>IF($J11="","",ROUND(($J11-$J$3)/1000,1)+(_xlfn.RANK.AVG($J11,($J11,$O11,$T11),1)-2)*10)</f>
        <v>-7.2</v>
      </c>
      <c r="V11" s="54">
        <f>IF($O11="","",ROUND(($O11-$O$3)/1000,1)+(_xlfn.RANK.AVG($O11,($J11,$O11,$T11),1)-2)*10)</f>
        <v>-35.6</v>
      </c>
      <c r="W11" s="55">
        <f>IF($T11="","",ROUND(($T11-$T$3)/1000,1)+(_xlfn.RANK.AVG($T11,($J11,$O11,$T11),1)-2)*10)</f>
        <v>42.8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25</v>
      </c>
      <c r="AZ11" s="40" t="s">
        <v>196</v>
      </c>
      <c r="BA11" s="41" t="s">
        <v>101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1423AAB4-6DE8-4373-A350-C7E19A5BD997}">
      <formula1>"ロン,ツモ,放銃,ツモ支払,流局,チョンボ"</formula1>
    </dataValidation>
    <dataValidation type="list" allowBlank="1" showInputMessage="1" showErrorMessage="1" sqref="E4:E30" xr:uid="{EC66E7CC-B2A1-4F9B-828C-603C038EC8B0}">
      <formula1>$U$2:$W$2</formula1>
    </dataValidation>
    <dataValidation type="list" allowBlank="1" showInputMessage="1" sqref="F1:T1" xr:uid="{64BCA875-E933-4841-B3A7-F1AC094F7CAA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4126B-E02B-49B1-848D-AAD6653536C4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296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212</v>
      </c>
      <c r="L1" s="72"/>
      <c r="M1" s="72"/>
      <c r="N1" s="73"/>
      <c r="O1" s="74"/>
      <c r="P1" s="71" t="s">
        <v>210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194</v>
      </c>
      <c r="G4" s="9">
        <v>-5200</v>
      </c>
      <c r="H4" s="9"/>
      <c r="I4" s="48">
        <v>0</v>
      </c>
      <c r="J4" s="21">
        <f>IF(COUNTA($F4,$K4,$P4)&gt;0,J3+SUM(G4:I4),"")</f>
        <v>29800</v>
      </c>
      <c r="K4" s="8" t="s">
        <v>195</v>
      </c>
      <c r="L4" s="9">
        <v>2600</v>
      </c>
      <c r="M4" s="9"/>
      <c r="N4" s="48">
        <v>0</v>
      </c>
      <c r="O4" s="21">
        <f>IF(COUNTA($F4,$K4,$P4)&gt;0,O3+SUM(L4:N4),"")</f>
        <v>37600</v>
      </c>
      <c r="P4" s="8" t="s">
        <v>195</v>
      </c>
      <c r="Q4" s="9">
        <v>2600</v>
      </c>
      <c r="R4" s="9"/>
      <c r="S4" s="48"/>
      <c r="T4" s="21">
        <f>IF(COUNTA($F4,$K4,$P4)&gt;0,T3+SUM(Q4:S4),"")</f>
        <v>37600</v>
      </c>
      <c r="U4" s="53">
        <f>IF($J4="","",ROUND(($J4-$J$3)/1000,1)+(_xlfn.RANK.AVG($J4,($J4,$O4,$T4),1)-2)*10)</f>
        <v>-15.2</v>
      </c>
      <c r="V4" s="54">
        <f>IF($O4="","",ROUND(($O4-$O$3)/1000,1)+(_xlfn.RANK.AVG($O4,($J4,$O4,$T4),1)-2)*10)</f>
        <v>7.6</v>
      </c>
      <c r="W4" s="55">
        <f>IF($T4="","",ROUND(($T4-$T$3)/1000,1)+(_xlfn.RANK.AVG($T4,($J4,$O4,$T4),1)-2)*10)</f>
        <v>7.6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40</v>
      </c>
      <c r="AZ4" s="40" t="s">
        <v>196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2</v>
      </c>
      <c r="BT4" s="30">
        <v>40</v>
      </c>
      <c r="BU4" s="40" t="s">
        <v>196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195</v>
      </c>
      <c r="G5" s="9">
        <v>16000</v>
      </c>
      <c r="H5" s="9"/>
      <c r="I5" s="48">
        <v>0</v>
      </c>
      <c r="J5" s="21">
        <f t="shared" ref="J5:J30" si="2">IF(COUNTA($F5,$K5,$P5)&gt;0,J4+SUM(G5:I5),"")</f>
        <v>45800</v>
      </c>
      <c r="K5" s="8" t="s">
        <v>194</v>
      </c>
      <c r="L5" s="9">
        <v>-16000</v>
      </c>
      <c r="M5" s="9"/>
      <c r="N5" s="48">
        <v>0</v>
      </c>
      <c r="O5" s="21">
        <f t="shared" ref="O5:O30" si="3">IF(COUNTA($F5,$K5,$P5)&gt;0,O4+SUM(L5:N5),"")</f>
        <v>21600</v>
      </c>
      <c r="P5" s="8"/>
      <c r="Q5" s="9"/>
      <c r="R5" s="9"/>
      <c r="S5" s="48"/>
      <c r="T5" s="21">
        <f t="shared" ref="T5:T30" si="4">IF(COUNTA($F5,$K5,$P5)&gt;0,T4+SUM(Q5:S5),"")</f>
        <v>37600</v>
      </c>
      <c r="U5" s="53">
        <f>IF($J5="","",ROUND(($J5-$J$3)/1000,1)+(_xlfn.RANK.AVG($J5,($J5,$O5,$T5),1)-2)*10)</f>
        <v>20.8</v>
      </c>
      <c r="V5" s="54">
        <f>IF($O5="","",ROUND(($O5-$O$3)/1000,1)+(_xlfn.RANK.AVG($O5,($J5,$O5,$T5),1)-2)*10)</f>
        <v>-23.4</v>
      </c>
      <c r="W5" s="55">
        <f>IF($T5="","",ROUND(($T5-$T$3)/1000,1)+(_xlfn.RANK.AVG($T5,($J5,$O5,$T5),1)-2)*10)</f>
        <v>2.6</v>
      </c>
      <c r="Y5" s="8"/>
      <c r="Z5" s="34"/>
      <c r="AA5" s="26">
        <v>1</v>
      </c>
      <c r="AB5" s="26"/>
      <c r="AC5" s="26">
        <v>9</v>
      </c>
      <c r="AD5" s="30" t="s">
        <v>204</v>
      </c>
      <c r="AE5" s="40" t="s">
        <v>196</v>
      </c>
      <c r="AF5" s="41" t="s">
        <v>197</v>
      </c>
      <c r="AG5" s="41" t="s">
        <v>79</v>
      </c>
      <c r="AH5" s="41" t="s">
        <v>79</v>
      </c>
      <c r="AI5" s="41" t="s">
        <v>79</v>
      </c>
      <c r="AJ5" s="41" t="s">
        <v>79</v>
      </c>
      <c r="AK5" s="41" t="s">
        <v>80</v>
      </c>
      <c r="AL5" s="41" t="s">
        <v>80</v>
      </c>
      <c r="AM5" s="41" t="s">
        <v>80</v>
      </c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209</v>
      </c>
      <c r="F6" s="8" t="s">
        <v>194</v>
      </c>
      <c r="G6" s="9">
        <v>-8000</v>
      </c>
      <c r="H6" s="9"/>
      <c r="I6" s="48">
        <v>0</v>
      </c>
      <c r="J6" s="21">
        <f t="shared" si="2"/>
        <v>37800</v>
      </c>
      <c r="K6" s="8" t="s">
        <v>195</v>
      </c>
      <c r="L6" s="9">
        <v>8000</v>
      </c>
      <c r="M6" s="9"/>
      <c r="N6" s="48">
        <v>0</v>
      </c>
      <c r="O6" s="21">
        <f t="shared" si="3"/>
        <v>29600</v>
      </c>
      <c r="P6" s="8"/>
      <c r="Q6" s="9"/>
      <c r="R6" s="9"/>
      <c r="S6" s="48"/>
      <c r="T6" s="21">
        <f t="shared" si="4"/>
        <v>37600</v>
      </c>
      <c r="U6" s="53">
        <f>IF($J6="","",ROUND(($J6-$J$3)/1000,1)+(_xlfn.RANK.AVG($J6,($J6,$O6,$T6),1)-2)*10)</f>
        <v>12.8</v>
      </c>
      <c r="V6" s="54">
        <f>IF($O6="","",ROUND(($O6-$O$3)/1000,1)+(_xlfn.RANK.AVG($O6,($J6,$O6,$T6),1)-2)*10)</f>
        <v>-15.4</v>
      </c>
      <c r="W6" s="55">
        <f>IF($T6="","",ROUND(($T6-$T$3)/1000,1)+(_xlfn.RANK.AVG($T6,($J6,$O6,$T6),1)-2)*10)</f>
        <v>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204</v>
      </c>
      <c r="AZ6" s="40" t="s">
        <v>196</v>
      </c>
      <c r="BA6" s="41" t="s">
        <v>84</v>
      </c>
      <c r="BB6" s="41" t="s">
        <v>104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205</v>
      </c>
      <c r="F7" s="8"/>
      <c r="G7" s="9"/>
      <c r="H7" s="9"/>
      <c r="I7" s="48"/>
      <c r="J7" s="21">
        <f t="shared" si="2"/>
        <v>37800</v>
      </c>
      <c r="K7" s="8" t="s">
        <v>195</v>
      </c>
      <c r="L7" s="9">
        <v>1300</v>
      </c>
      <c r="M7" s="9">
        <v>1000</v>
      </c>
      <c r="N7" s="48">
        <v>0</v>
      </c>
      <c r="O7" s="21">
        <f t="shared" si="3"/>
        <v>31900</v>
      </c>
      <c r="P7" s="8" t="s">
        <v>194</v>
      </c>
      <c r="Q7" s="9">
        <v>-1300</v>
      </c>
      <c r="R7" s="9">
        <v>-1000</v>
      </c>
      <c r="S7" s="48">
        <v>0</v>
      </c>
      <c r="T7" s="21">
        <f t="shared" si="4"/>
        <v>35300</v>
      </c>
      <c r="U7" s="53">
        <f>IF($J7="","",ROUND(($J7-$J$3)/1000,1)+(_xlfn.RANK.AVG($J7,($J7,$O7,$T7),1)-2)*10)</f>
        <v>12.8</v>
      </c>
      <c r="V7" s="54">
        <f>IF($O7="","",ROUND(($O7-$O$3)/1000,1)+(_xlfn.RANK.AVG($O7,($J7,$O7,$T7),1)-2)*10)</f>
        <v>-13.1</v>
      </c>
      <c r="W7" s="55">
        <f>IF($T7="","",ROUND(($T7-$T$3)/1000,1)+(_xlfn.RANK.AVG($T7,($J7,$O7,$T7),1)-2)*10)</f>
        <v>0.3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</v>
      </c>
      <c r="AY7" s="30">
        <v>40</v>
      </c>
      <c r="AZ7" s="40" t="s">
        <v>196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202</v>
      </c>
      <c r="G8" s="9">
        <v>-1500</v>
      </c>
      <c r="H8" s="9">
        <v>-1000</v>
      </c>
      <c r="I8" s="48">
        <v>0</v>
      </c>
      <c r="J8" s="21">
        <f t="shared" si="2"/>
        <v>35300</v>
      </c>
      <c r="K8" s="8" t="s">
        <v>201</v>
      </c>
      <c r="L8" s="9">
        <v>3000</v>
      </c>
      <c r="M8" s="9">
        <v>1000</v>
      </c>
      <c r="N8" s="48">
        <v>0</v>
      </c>
      <c r="O8" s="21">
        <f t="shared" si="3"/>
        <v>35900</v>
      </c>
      <c r="P8" s="8" t="s">
        <v>202</v>
      </c>
      <c r="Q8" s="9">
        <v>-1500</v>
      </c>
      <c r="R8" s="9"/>
      <c r="S8" s="48">
        <v>0</v>
      </c>
      <c r="T8" s="21">
        <f t="shared" si="4"/>
        <v>33800</v>
      </c>
      <c r="U8" s="53">
        <f>IF($J8="","",ROUND(($J8-$J$3)/1000,1)+(_xlfn.RANK.AVG($J8,($J8,$O8,$T8),1)-2)*10)</f>
        <v>0.3</v>
      </c>
      <c r="V8" s="54">
        <f>IF($O8="","",ROUND(($O8-$O$3)/1000,1)+(_xlfn.RANK.AVG($O8,($J8,$O8,$T8),1)-2)*10)</f>
        <v>10.9</v>
      </c>
      <c r="W8" s="55">
        <f>IF($T8="","",ROUND(($T8-$T$3)/1000,1)+(_xlfn.RANK.AVG($T8,($J8,$O8,$T8),1)-2)*10)</f>
        <v>-11.2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30</v>
      </c>
      <c r="AZ8" s="40" t="s">
        <v>196</v>
      </c>
      <c r="BA8" s="41" t="s">
        <v>82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202</v>
      </c>
      <c r="G9" s="9">
        <v>-4500</v>
      </c>
      <c r="H9" s="9"/>
      <c r="I9" s="48">
        <v>-500</v>
      </c>
      <c r="J9" s="21">
        <f t="shared" si="2"/>
        <v>30300</v>
      </c>
      <c r="K9" s="8" t="s">
        <v>202</v>
      </c>
      <c r="L9" s="9">
        <v>-7500</v>
      </c>
      <c r="M9" s="9">
        <v>-1000</v>
      </c>
      <c r="N9" s="48">
        <v>-500</v>
      </c>
      <c r="O9" s="21">
        <f t="shared" si="3"/>
        <v>26900</v>
      </c>
      <c r="P9" s="8" t="s">
        <v>201</v>
      </c>
      <c r="Q9" s="9">
        <v>12000</v>
      </c>
      <c r="R9" s="9">
        <v>1000</v>
      </c>
      <c r="S9" s="48">
        <v>1000</v>
      </c>
      <c r="T9" s="21">
        <f t="shared" si="4"/>
        <v>47800</v>
      </c>
      <c r="U9" s="53">
        <f>IF($J9="","",ROUND(($J9-$J$3)/1000,1)+(_xlfn.RANK.AVG($J9,($J9,$O9,$T9),1)-2)*10)</f>
        <v>-4.7</v>
      </c>
      <c r="V9" s="54">
        <f>IF($O9="","",ROUND(($O9-$O$3)/1000,1)+(_xlfn.RANK.AVG($O9,($J9,$O9,$T9),1)-2)*10)</f>
        <v>-18.100000000000001</v>
      </c>
      <c r="W9" s="55">
        <f>IF($T9="","",ROUND(($T9-$T$3)/1000,1)+(_xlfn.RANK.AVG($T9,($J9,$O9,$T9),1)-2)*10)</f>
        <v>22.8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204</v>
      </c>
      <c r="BU9" s="40" t="s">
        <v>196</v>
      </c>
      <c r="BV9" s="41" t="s">
        <v>82</v>
      </c>
      <c r="BW9" s="41" t="s">
        <v>96</v>
      </c>
      <c r="BX9" s="41" t="s">
        <v>80</v>
      </c>
      <c r="BY9" s="41" t="s">
        <v>80</v>
      </c>
      <c r="BZ9" s="41" t="s">
        <v>80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209</v>
      </c>
      <c r="F10" s="8" t="s">
        <v>194</v>
      </c>
      <c r="G10" s="9">
        <v>-12000</v>
      </c>
      <c r="H10" s="9"/>
      <c r="I10" s="48">
        <v>0</v>
      </c>
      <c r="J10" s="21">
        <f t="shared" si="2"/>
        <v>18300</v>
      </c>
      <c r="K10" s="8"/>
      <c r="L10" s="9"/>
      <c r="M10" s="9"/>
      <c r="N10" s="48"/>
      <c r="O10" s="21">
        <f t="shared" si="3"/>
        <v>26900</v>
      </c>
      <c r="P10" s="8" t="s">
        <v>195</v>
      </c>
      <c r="Q10" s="9">
        <v>12000</v>
      </c>
      <c r="R10" s="9"/>
      <c r="S10" s="48">
        <v>0</v>
      </c>
      <c r="T10" s="21">
        <f t="shared" si="4"/>
        <v>59800</v>
      </c>
      <c r="U10" s="53">
        <f>IF($J10="","",ROUND(($J10-$J$3)/1000,1)+(_xlfn.RANK.AVG($J10,($J10,$O10,$T10),1)-2)*10)</f>
        <v>-26.7</v>
      </c>
      <c r="V10" s="54">
        <f>IF($O10="","",ROUND(($O10-$O$3)/1000,1)+(_xlfn.RANK.AVG($O10,($J10,$O10,$T10),1)-2)*10)</f>
        <v>-8.1</v>
      </c>
      <c r="W10" s="55">
        <f>IF($T10="","",ROUND(($T10-$T$3)/1000,1)+(_xlfn.RANK.AVG($T10,($J10,$O10,$T10),1)-2)*10)</f>
        <v>34.799999999999997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196</v>
      </c>
      <c r="BV10" s="41" t="s">
        <v>79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209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904FE221-BCF8-4BBA-95E0-B9203DBDCEBD}">
      <formula1>"たかの,だいち,ただ,りくと,れんたろう,まっつん,のり,ぱぱ,ほたに,いっしー,ともき,たか,ゆう,"</formula1>
    </dataValidation>
    <dataValidation type="list" allowBlank="1" showInputMessage="1" showErrorMessage="1" sqref="E4:E30" xr:uid="{5B4DCF80-D25B-4D4A-B161-79749E84C043}">
      <formula1>$U$2:$W$2</formula1>
    </dataValidation>
    <dataValidation type="list" showInputMessage="1" showErrorMessage="1" sqref="K4:K30 P4:P30 F4:F30" xr:uid="{D84C79DE-5C84-49DB-9C69-7D635D0E120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296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2019-12-10T16:13:42Z</dcterms:modified>
</cp:coreProperties>
</file>