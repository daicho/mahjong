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F5755A7D-94A2-4757-B659-37C57D1B9DBA}" xr6:coauthVersionLast="41" xr6:coauthVersionMax="41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C12" i="21"/>
  <c r="D11" i="21"/>
  <c r="C11" i="21"/>
  <c r="D10" i="21"/>
  <c r="D7" i="21"/>
  <c r="D8" i="21" s="1"/>
  <c r="D9" i="21" s="1"/>
  <c r="D6" i="21"/>
  <c r="C6" i="21"/>
  <c r="C7" i="21" s="1"/>
  <c r="C8" i="21" s="1"/>
  <c r="C9" i="21" s="1"/>
  <c r="C10" i="21" s="1"/>
  <c r="D5" i="21"/>
  <c r="T4" i="21"/>
  <c r="T5" i="21" s="1"/>
  <c r="O4" i="21"/>
  <c r="J4" i="21"/>
  <c r="J5" i="21" s="1"/>
  <c r="E4" i="21"/>
  <c r="C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V11" i="20" s="1"/>
  <c r="J11" i="20"/>
  <c r="U11" i="20" s="1"/>
  <c r="D11" i="20"/>
  <c r="C11" i="20"/>
  <c r="B11" i="20"/>
  <c r="A11" i="20"/>
  <c r="D10" i="20"/>
  <c r="D9" i="20"/>
  <c r="D7" i="20"/>
  <c r="D8" i="20" s="1"/>
  <c r="C7" i="20"/>
  <c r="C8" i="20" s="1"/>
  <c r="C9" i="20" s="1"/>
  <c r="C10" i="20" s="1"/>
  <c r="D6" i="20"/>
  <c r="C6" i="20"/>
  <c r="T5" i="20"/>
  <c r="D5" i="20"/>
  <c r="C5" i="20"/>
  <c r="T4" i="20"/>
  <c r="O4" i="20"/>
  <c r="V4" i="20" s="1"/>
  <c r="J4" i="20"/>
  <c r="E4" i="20"/>
  <c r="B5" i="20" s="1"/>
  <c r="W3" i="20"/>
  <c r="V3" i="20"/>
  <c r="U3" i="20"/>
  <c r="W2" i="20"/>
  <c r="V2" i="20"/>
  <c r="U2" i="20"/>
  <c r="BO1" i="20"/>
  <c r="AT1" i="20"/>
  <c r="Y1" i="20"/>
  <c r="V4" i="21" l="1"/>
  <c r="U4" i="21"/>
  <c r="W4" i="21"/>
  <c r="J6" i="21"/>
  <c r="T6" i="21"/>
  <c r="O5" i="21"/>
  <c r="W5" i="21" s="1"/>
  <c r="B5" i="21"/>
  <c r="V13" i="20"/>
  <c r="W13" i="20"/>
  <c r="U13" i="20"/>
  <c r="U12" i="20"/>
  <c r="V12" i="20"/>
  <c r="W12" i="20"/>
  <c r="W11" i="20"/>
  <c r="W4" i="20"/>
  <c r="A5" i="20"/>
  <c r="B6" i="20"/>
  <c r="A6" i="20" s="1"/>
  <c r="J5" i="20"/>
  <c r="U4" i="20"/>
  <c r="O5" i="20"/>
  <c r="T6" i="20"/>
  <c r="E4" i="19"/>
  <c r="U5" i="21" l="1"/>
  <c r="T7" i="21"/>
  <c r="J7" i="21"/>
  <c r="A5" i="21"/>
  <c r="B6" i="21"/>
  <c r="V5" i="21"/>
  <c r="O6" i="21"/>
  <c r="W6" i="21" s="1"/>
  <c r="T7" i="20"/>
  <c r="B7" i="20"/>
  <c r="V5" i="20"/>
  <c r="O6" i="20"/>
  <c r="U5" i="20"/>
  <c r="J6" i="20"/>
  <c r="W5" i="20"/>
  <c r="W3" i="19"/>
  <c r="V3" i="19"/>
  <c r="U3" i="19"/>
  <c r="V6" i="21" l="1"/>
  <c r="O7" i="21"/>
  <c r="U7" i="21" s="1"/>
  <c r="W7" i="21"/>
  <c r="T8" i="21"/>
  <c r="B7" i="21"/>
  <c r="A7" i="21" s="1"/>
  <c r="A6" i="21"/>
  <c r="J8" i="21"/>
  <c r="U6" i="21"/>
  <c r="W6" i="20"/>
  <c r="B8" i="20"/>
  <c r="T8" i="20"/>
  <c r="U6" i="20"/>
  <c r="J7" i="20"/>
  <c r="O7" i="20"/>
  <c r="V6" i="20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9" i="21" l="1"/>
  <c r="B8" i="21"/>
  <c r="T9" i="21"/>
  <c r="O8" i="21"/>
  <c r="U8" i="21" s="1"/>
  <c r="V7" i="21"/>
  <c r="V7" i="20"/>
  <c r="O8" i="20"/>
  <c r="U7" i="20"/>
  <c r="J8" i="20"/>
  <c r="T9" i="20"/>
  <c r="W7" i="20"/>
  <c r="B9" i="20"/>
  <c r="A8" i="20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1" l="1"/>
  <c r="B9" i="21"/>
  <c r="A9" i="21" s="1"/>
  <c r="V8" i="21"/>
  <c r="O9" i="21"/>
  <c r="U9" i="21" s="1"/>
  <c r="W9" i="21"/>
  <c r="T10" i="21"/>
  <c r="W8" i="21"/>
  <c r="A8" i="21"/>
  <c r="V8" i="20"/>
  <c r="O9" i="20"/>
  <c r="B10" i="20"/>
  <c r="T10" i="20"/>
  <c r="W8" i="20"/>
  <c r="U8" i="20"/>
  <c r="J9" i="20"/>
  <c r="A9" i="20"/>
  <c r="W5" i="19"/>
  <c r="V5" i="19"/>
  <c r="U5" i="19"/>
  <c r="W10" i="21" l="1"/>
  <c r="T11" i="21"/>
  <c r="V9" i="21"/>
  <c r="O10" i="21"/>
  <c r="B10" i="21"/>
  <c r="A10" i="21" s="1"/>
  <c r="U10" i="21"/>
  <c r="J11" i="21"/>
  <c r="A10" i="20"/>
  <c r="U9" i="20"/>
  <c r="J10" i="20"/>
  <c r="W9" i="20"/>
  <c r="V9" i="20"/>
  <c r="O10" i="20"/>
  <c r="W10" i="20" s="1"/>
  <c r="T12" i="21" l="1"/>
  <c r="U11" i="21"/>
  <c r="J12" i="21"/>
  <c r="B11" i="21"/>
  <c r="A11" i="21" s="1"/>
  <c r="V10" i="21"/>
  <c r="O11" i="21"/>
  <c r="W11" i="21" s="1"/>
  <c r="V10" i="20"/>
  <c r="U10" i="20"/>
  <c r="T13" i="21" l="1"/>
  <c r="V11" i="21"/>
  <c r="O12" i="21"/>
  <c r="B12" i="21"/>
  <c r="A12" i="21" s="1"/>
  <c r="J13" i="21"/>
  <c r="W12" i="21" l="1"/>
  <c r="V12" i="21"/>
  <c r="O13" i="21"/>
  <c r="V13" i="21" s="1"/>
  <c r="U12" i="21"/>
  <c r="B13" i="21"/>
  <c r="A13" i="21"/>
  <c r="W13" i="21" l="1"/>
  <c r="U13" i="21"/>
</calcChain>
</file>

<file path=xl/sharedStrings.xml><?xml version="1.0" encoding="utf-8"?>
<sst xmlns="http://schemas.openxmlformats.org/spreadsheetml/2006/main" count="792" uniqueCount="209">
  <si>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</si>
  <si>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</si>
  <si>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</si>
  <si>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</si>
  <si>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</si>
  <si>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</si>
  <si>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</si>
  <si>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</si>
  <si>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</si>
  <si>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</si>
  <si>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</si>
  <si>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</si>
  <si>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</si>
  <si>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</si>
  <si>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</si>
  <si>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</si>
  <si>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</si>
  <si>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</si>
  <si>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</si>
  <si>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</si>
  <si>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</si>
  <si>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</si>
  <si>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</si>
  <si>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</si>
  <si>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</si>
  <si>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</si>
  <si>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</si>
  <si>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</si>
  <si>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</si>
  <si>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</si>
  <si>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</si>
  <si>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</si>
  <si>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</si>
  <si>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</si>
  <si>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</si>
  <si>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</si>
  <si>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</si>
  <si>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</si>
  <si>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</si>
  <si>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</si>
  <si>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</si>
  <si>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</si>
  <si>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</si>
  <si>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</si>
  <si>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</si>
  <si>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</si>
  <si>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</si>
  <si>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</si>
  <si>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</si>
  <si>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</si>
  <si>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</si>
  <si>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</si>
  <si>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</si>
  <si>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</si>
  <si>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</si>
  <si>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</si>
  <si>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</si>
  <si>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</si>
  <si>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</si>
  <si>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</si>
  <si>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</si>
  <si>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</si>
  <si>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</si>
  <si>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</si>
  <si>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</si>
  <si>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</si>
  <si>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</si>
  <si>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</si>
  <si>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</si>
  <si>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</si>
  <si>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</si>
  <si>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</si>
  <si>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</si>
  <si>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</si>
  <si>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</si>
  <si>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</si>
  <si>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</si>
  <si>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</si>
  <si>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</si>
  <si>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</si>
  <si>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</si>
  <si>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</si>
  <si>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</si>
  <si>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</si>
  <si>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</si>
  <si>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</si>
  <si>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</si>
  <si>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</si>
  <si>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</si>
  <si>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</si>
  <si>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</si>
  <si>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</si>
  <si>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</si>
  <si>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</si>
  <si>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</si>
  <si>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</si>
  <si>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</si>
  <si>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</si>
  <si>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</si>
  <si>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</si>
  <si>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</si>
  <si>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</si>
  <si>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</si>
  <si>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</si>
  <si>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</si>
  <si>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</si>
  <si>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</si>
  <si>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</si>
  <si>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</si>
  <si>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</si>
  <si>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</si>
  <si>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</si>
  <si>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</si>
  <si>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</si>
  <si>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</si>
  <si>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</si>
  <si>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</si>
  <si>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</si>
  <si>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</si>
  <si>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</si>
  <si>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</si>
  <si>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</si>
  <si>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</si>
  <si>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</si>
  <si>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</si>
  <si>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</si>
  <si>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</si>
  <si>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</si>
  <si>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</si>
  <si>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</si>
  <si>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</si>
  <si>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</si>
  <si>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</si>
  <si>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</si>
  <si>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</si>
  <si>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</si>
  <si>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</si>
  <si>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</si>
  <si>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</si>
  <si>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</si>
  <si>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</si>
  <si>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</si>
  <si>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</si>
  <si>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</si>
  <si>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</si>
  <si>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</si>
  <si>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</si>
  <si>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</si>
  <si>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</si>
  <si>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</si>
  <si>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</si>
  <si>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</si>
  <si>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</si>
  <si>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</si>
  <si>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</si>
  <si>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</si>
  <si>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</si>
  <si>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</si>
  <si>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</si>
  <si>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</si>
  <si>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</si>
  <si>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</si>
  <si>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</si>
  <si>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</si>
  <si>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</si>
  <si>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</si>
  <si>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</si>
  <si>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</si>
  <si>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</si>
  <si>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</si>
  <si>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</si>
  <si>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</si>
  <si>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</si>
  <si>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</si>
  <si>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</si>
  <si>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</si>
  <si>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</si>
  <si>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</si>
  <si>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</si>
  <si>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</si>
  <si>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</si>
  <si>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</si>
  <si>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</si>
  <si>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</si>
  <si>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</si>
  <si>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</si>
  <si>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</si>
  <si>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</si>
  <si>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</si>
  <si>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</si>
  <si>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</si>
  <si>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</si>
  <si>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</si>
  <si>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だいち</t>
  </si>
  <si>
    <t>だいち</t>
    <phoneticPr fontId="1"/>
  </si>
  <si>
    <t>ただ</t>
  </si>
  <si>
    <t>ただ</t>
    <phoneticPr fontId="1"/>
  </si>
  <si>
    <t>放銃</t>
  </si>
  <si>
    <t>ロン</t>
  </si>
  <si>
    <t>ツモ支払</t>
  </si>
  <si>
    <t>ツモ</t>
  </si>
  <si>
    <t>N</t>
  </si>
  <si>
    <t>T</t>
  </si>
  <si>
    <t>流局</t>
    <phoneticPr fontId="1"/>
  </si>
  <si>
    <t>52</t>
  </si>
  <si>
    <t>01</t>
  </si>
  <si>
    <t>流局</t>
    <phoneticPr fontId="1"/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</si>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</sst>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198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-13.9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-1100</v>
      </c>
      <c r="H5" s="9"/>
      <c r="I5" s="48">
        <v>0</v>
      </c>
      <c r="J5" s="21">
        <f t="shared" ref="J5:J30" si="2">IF(COUNTA($F5,$K5,$P5)&gt;0,J4+SUM(G5:I5),"")</f>
        <v>30000</v>
      </c>
      <c r="K5" s="8" t="s">
        <v>199</v>
      </c>
      <c r="L5" s="9">
        <v>-1700</v>
      </c>
      <c r="M5" s="9"/>
      <c r="N5" s="48">
        <v>0</v>
      </c>
      <c r="O5" s="21">
        <f t="shared" ref="O5:O30" si="3">IF(COUNTA($F5,$K5,$P5)&gt;0,O4+SUM(L5:N5),"")</f>
        <v>37200</v>
      </c>
      <c r="P5" s="8" t="s">
        <v>200</v>
      </c>
      <c r="Q5" s="9">
        <v>2800</v>
      </c>
      <c r="R5" s="9"/>
      <c r="S5" s="48">
        <v>0</v>
      </c>
      <c r="T5" s="21">
        <f t="shared" ref="T5:T30" si="4">IF(COUNTA($F5,$K5,$P5)&gt;0,T4+SUM(Q5:S5),"")</f>
        <v>37800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2.2000000000000002</v>
      </c>
      <c r="W5" s="55">
        <f>IF($T5="","",ROUND(($T5-$T$3)/1000,1)+(_xlfn.RANK.AVG($T5,($J5,$O5,$T5),1)-2)*10)</f>
        <v>12.8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40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199</v>
      </c>
      <c r="G6" s="9">
        <v>-2000</v>
      </c>
      <c r="H6" s="9"/>
      <c r="I6" s="48">
        <v>0</v>
      </c>
      <c r="J6" s="21">
        <f t="shared" si="2"/>
        <v>28000</v>
      </c>
      <c r="K6" s="8" t="s">
        <v>199</v>
      </c>
      <c r="L6" s="9">
        <v>-2000</v>
      </c>
      <c r="M6" s="9"/>
      <c r="N6" s="48">
        <v>0</v>
      </c>
      <c r="O6" s="21">
        <f t="shared" si="3"/>
        <v>35200</v>
      </c>
      <c r="P6" s="8" t="s">
        <v>200</v>
      </c>
      <c r="Q6" s="9">
        <v>4000</v>
      </c>
      <c r="R6" s="9"/>
      <c r="S6" s="48">
        <v>0</v>
      </c>
      <c r="T6" s="21">
        <f t="shared" si="4"/>
        <v>41800</v>
      </c>
      <c r="U6" s="53">
        <f>IF($J6="","",ROUND(($J6-$J$3)/1000,1)+(_xlfn.RANK.AVG($J6,($J6,$O6,$T6),1)-2)*10)</f>
        <v>-17</v>
      </c>
      <c r="V6" s="54">
        <f>IF($O6="","",ROUND(($O6-$O$3)/1000,1)+(_xlfn.RANK.AVG($O6,($J6,$O6,$T6),1)-2)*10)</f>
        <v>0.2</v>
      </c>
      <c r="W6" s="55">
        <f>IF($T6="","",ROUND(($T6-$T$3)/1000,1)+(_xlfn.RANK.AVG($T6,($J6,$O6,$T6),1)-2)*10)</f>
        <v>16.8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40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203</v>
      </c>
      <c r="G7" s="9">
        <v>-3000</v>
      </c>
      <c r="H7" s="9"/>
      <c r="I7" s="48"/>
      <c r="J7" s="21">
        <f t="shared" si="2"/>
        <v>25000</v>
      </c>
      <c r="K7" s="8" t="s">
        <v>203</v>
      </c>
      <c r="L7" s="9">
        <v>1500</v>
      </c>
      <c r="M7" s="9"/>
      <c r="N7" s="48"/>
      <c r="O7" s="21">
        <f t="shared" si="3"/>
        <v>36700</v>
      </c>
      <c r="P7" s="8" t="s">
        <v>203</v>
      </c>
      <c r="Q7" s="9">
        <v>1500</v>
      </c>
      <c r="R7" s="9"/>
      <c r="S7" s="48"/>
      <c r="T7" s="21">
        <f t="shared" si="4"/>
        <v>43300</v>
      </c>
      <c r="U7" s="53">
        <f>IF($J7="","",ROUND(($J7-$J$3)/1000,1)+(_xlfn.RANK.AVG($J7,($J7,$O7,$T7),1)-2)*10)</f>
        <v>-20</v>
      </c>
      <c r="V7" s="54">
        <f>IF($O7="","",ROUND(($O7-$O$3)/1000,1)+(_xlfn.RANK.AVG($O7,($J7,$O7,$T7),1)-2)*10)</f>
        <v>1.7</v>
      </c>
      <c r="W7" s="55">
        <f>IF($T7="","",ROUND(($T7-$T$3)/1000,1)+(_xlfn.RANK.AVG($T7,($J7,$O7,$T7),1)-2)*10)</f>
        <v>18.3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195</v>
      </c>
      <c r="F8" s="8" t="s">
        <v>199</v>
      </c>
      <c r="G8" s="9">
        <v>-6000</v>
      </c>
      <c r="H8" s="9"/>
      <c r="I8" s="48">
        <v>-1000</v>
      </c>
      <c r="J8" s="21">
        <f t="shared" si="2"/>
        <v>18000</v>
      </c>
      <c r="K8" s="8" t="s">
        <v>199</v>
      </c>
      <c r="L8" s="9">
        <v>-6000</v>
      </c>
      <c r="M8" s="9"/>
      <c r="N8" s="48">
        <v>-1000</v>
      </c>
      <c r="O8" s="21">
        <f t="shared" si="3"/>
        <v>29700</v>
      </c>
      <c r="P8" s="8" t="s">
        <v>200</v>
      </c>
      <c r="Q8" s="9">
        <v>12000</v>
      </c>
      <c r="R8" s="9"/>
      <c r="S8" s="48">
        <v>2000</v>
      </c>
      <c r="T8" s="21">
        <f t="shared" si="4"/>
        <v>57300</v>
      </c>
      <c r="U8" s="53">
        <f>IF($J8="","",ROUND(($J8-$J$3)/1000,1)+(_xlfn.RANK.AVG($J8,($J8,$O8,$T8),1)-2)*10)</f>
        <v>-27</v>
      </c>
      <c r="V8" s="54">
        <f>IF($O8="","",ROUND(($O8-$O$3)/1000,1)+(_xlfn.RANK.AVG($O8,($J8,$O8,$T8),1)-2)*10)</f>
        <v>-5.3</v>
      </c>
      <c r="W8" s="55">
        <f>IF($T8="","",ROUND(($T8-$T$3)/1000,1)+(_xlfn.RANK.AVG($T8,($J8,$O8,$T8),1)-2)*10)</f>
        <v>32.299999999999997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86</v>
      </c>
      <c r="BV8" s="41" t="s">
        <v>86</v>
      </c>
      <c r="BW8" s="41" t="s">
        <v>86</v>
      </c>
      <c r="BX8" s="41" t="s">
        <v>204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195</v>
      </c>
      <c r="F9" s="8" t="s">
        <v>197</v>
      </c>
      <c r="G9" s="9">
        <v>-12000</v>
      </c>
      <c r="H9" s="9"/>
      <c r="I9" s="48">
        <v>-3000</v>
      </c>
      <c r="J9" s="21">
        <f t="shared" si="2"/>
        <v>3000</v>
      </c>
      <c r="K9" s="8"/>
      <c r="L9" s="9"/>
      <c r="M9" s="9"/>
      <c r="N9" s="48"/>
      <c r="O9" s="21">
        <f t="shared" si="3"/>
        <v>29700</v>
      </c>
      <c r="P9" s="8" t="s">
        <v>198</v>
      </c>
      <c r="Q9" s="9">
        <v>12000</v>
      </c>
      <c r="R9" s="9"/>
      <c r="S9" s="48">
        <v>3000</v>
      </c>
      <c r="T9" s="21">
        <f t="shared" si="4"/>
        <v>72300</v>
      </c>
      <c r="U9" s="53">
        <f>IF($J9="","",ROUND(($J9-$J$3)/1000,1)+(_xlfn.RANK.AVG($J9,($J9,$O9,$T9),1)-2)*10)</f>
        <v>-42</v>
      </c>
      <c r="V9" s="54">
        <f>IF($O9="","",ROUND(($O9-$O$3)/1000,1)+(_xlfn.RANK.AVG($O9,($J9,$O9,$T9),1)-2)*10)</f>
        <v>-5.3</v>
      </c>
      <c r="W9" s="55">
        <f>IF($T9="","",ROUND(($T9-$T$3)/1000,1)+(_xlfn.RANK.AVG($T9,($J9,$O9,$T9),1)-2)*10)</f>
        <v>47.3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40</v>
      </c>
      <c r="BU9" s="40" t="s">
        <v>86</v>
      </c>
      <c r="BV9" s="41" t="s">
        <v>204</v>
      </c>
      <c r="BW9" s="41" t="s">
        <v>98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195</v>
      </c>
      <c r="F10" s="8" t="s">
        <v>197</v>
      </c>
      <c r="G10" s="9">
        <v>-1000</v>
      </c>
      <c r="H10" s="9"/>
      <c r="I10" s="48">
        <v>-4000</v>
      </c>
      <c r="J10" s="21">
        <f t="shared" si="2"/>
        <v>-2000</v>
      </c>
      <c r="K10" s="8" t="s">
        <v>198</v>
      </c>
      <c r="L10" s="9">
        <v>1000</v>
      </c>
      <c r="M10" s="9"/>
      <c r="N10" s="48">
        <v>4000</v>
      </c>
      <c r="O10" s="21">
        <f t="shared" si="3"/>
        <v>34700</v>
      </c>
      <c r="P10" s="8"/>
      <c r="Q10" s="9"/>
      <c r="R10" s="9"/>
      <c r="S10" s="48"/>
      <c r="T10" s="21">
        <f t="shared" si="4"/>
        <v>72300</v>
      </c>
      <c r="U10" s="53">
        <f>IF($J10="","",ROUND(($J10-$J$3)/1000,1)+(_xlfn.RANK.AVG($J10,($J10,$O10,$T10),1)-2)*10)</f>
        <v>-47</v>
      </c>
      <c r="V10" s="54">
        <f>IF($O10="","",ROUND(($O10-$O$3)/1000,1)+(_xlfn.RANK.AVG($O10,($J10,$O10,$T10),1)-2)*10)</f>
        <v>-0.3</v>
      </c>
      <c r="W10" s="55">
        <f>IF($T10="","",ROUND(($T10-$T$3)/1000,1)+(_xlfn.RANK.AVG($T10,($J10,$O10,$T10),1)-2)*10)</f>
        <v>47.3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B487BC3-D495-4DCE-9F5F-2AC763448B5A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F5E7-B0F8-4804-B9A4-FC96438C7A4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199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199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200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50</v>
      </c>
      <c r="BU4" s="40" t="s">
        <v>86</v>
      </c>
      <c r="BV4" s="41" t="s">
        <v>104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30000</v>
      </c>
      <c r="K5" s="8" t="s">
        <v>197</v>
      </c>
      <c r="L5" s="9">
        <v>-7700</v>
      </c>
      <c r="M5" s="9"/>
      <c r="N5" s="48">
        <v>0</v>
      </c>
      <c r="O5" s="21">
        <f t="shared" ref="O5:O30" si="3">IF(COUNTA($F5,$K5,$P5)&gt;0,O4+SUM(L5:N5),"")</f>
        <v>24300</v>
      </c>
      <c r="P5" s="8" t="s">
        <v>198</v>
      </c>
      <c r="Q5" s="9">
        <v>7700</v>
      </c>
      <c r="R5" s="9"/>
      <c r="S5" s="48">
        <v>0</v>
      </c>
      <c r="T5" s="21">
        <f t="shared" ref="T5:T30" si="4">IF(COUNTA($F5,$K5,$P5)&gt;0,T4+SUM(Q5:S5),"")</f>
        <v>50700</v>
      </c>
      <c r="U5" s="53">
        <f>IF($J5="","",ROUND(($J5-$J$3)/1000,1)+(_xlfn.RANK.AVG($J5,($J5,$O5,$T5),1)-2)*10)</f>
        <v>-5</v>
      </c>
      <c r="V5" s="54">
        <f>IF($O5="","",ROUND(($O5-$O$3)/1000,1)+(_xlfn.RANK.AVG($O5,($J5,$O5,$T5),1)-2)*10)</f>
        <v>-20.7</v>
      </c>
      <c r="W5" s="55">
        <f>IF($T5="","",ROUND(($T5-$T$3)/1000,1)+(_xlfn.RANK.AVG($T5,($J5,$O5,$T5),1)-2)*10)</f>
        <v>25.7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205</v>
      </c>
      <c r="BV5" s="41" t="s">
        <v>83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-5800</v>
      </c>
      <c r="H6" s="9"/>
      <c r="I6" s="48">
        <v>0</v>
      </c>
      <c r="J6" s="21">
        <f t="shared" si="2"/>
        <v>24200</v>
      </c>
      <c r="K6" s="8" t="s">
        <v>199</v>
      </c>
      <c r="L6" s="9">
        <v>-5800</v>
      </c>
      <c r="M6" s="9"/>
      <c r="N6" s="48">
        <v>0</v>
      </c>
      <c r="O6" s="21">
        <f t="shared" si="3"/>
        <v>18500</v>
      </c>
      <c r="P6" s="8" t="s">
        <v>200</v>
      </c>
      <c r="Q6" s="9">
        <v>11600</v>
      </c>
      <c r="R6" s="9"/>
      <c r="S6" s="48">
        <v>0</v>
      </c>
      <c r="T6" s="21">
        <f t="shared" si="4"/>
        <v>62300</v>
      </c>
      <c r="U6" s="53">
        <f>IF($J6="","",ROUND(($J6-$J$3)/1000,1)+(_xlfn.RANK.AVG($J6,($J6,$O6,$T6),1)-2)*10)</f>
        <v>-10.8</v>
      </c>
      <c r="V6" s="54">
        <f>IF($O6="","",ROUND(($O6-$O$3)/1000,1)+(_xlfn.RANK.AVG($O6,($J6,$O6,$T6),1)-2)*10)</f>
        <v>-26.5</v>
      </c>
      <c r="W6" s="55">
        <f>IF($T6="","",ROUND(($T6-$T$3)/1000,1)+(_xlfn.RANK.AVG($T6,($J6,$O6,$T6),1)-2)*10)</f>
        <v>37.299999999999997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205</v>
      </c>
      <c r="BV6" s="41" t="s">
        <v>82</v>
      </c>
      <c r="BW6" s="41" t="s">
        <v>79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206</v>
      </c>
      <c r="G7" s="9">
        <v>1500</v>
      </c>
      <c r="H7" s="9">
        <v>-1000</v>
      </c>
      <c r="I7" s="48"/>
      <c r="J7" s="21">
        <f t="shared" si="2"/>
        <v>24700</v>
      </c>
      <c r="K7" s="8" t="s">
        <v>206</v>
      </c>
      <c r="L7" s="9">
        <v>-3000</v>
      </c>
      <c r="M7" s="9"/>
      <c r="N7" s="48"/>
      <c r="O7" s="21">
        <f t="shared" si="3"/>
        <v>15500</v>
      </c>
      <c r="P7" s="8" t="s">
        <v>206</v>
      </c>
      <c r="Q7" s="9">
        <v>1500</v>
      </c>
      <c r="R7" s="9"/>
      <c r="S7" s="48"/>
      <c r="T7" s="21">
        <f t="shared" si="4"/>
        <v>63800</v>
      </c>
      <c r="U7" s="53">
        <f>IF($J7="","",ROUND(($J7-$J$3)/1000,1)+(_xlfn.RANK.AVG($J7,($J7,$O7,$T7),1)-2)*10)</f>
        <v>-10.3</v>
      </c>
      <c r="V7" s="54">
        <f>IF($O7="","",ROUND(($O7-$O$3)/1000,1)+(_xlfn.RANK.AVG($O7,($J7,$O7,$T7),1)-2)*10)</f>
        <v>-29.5</v>
      </c>
      <c r="W7" s="55">
        <f>IF($T7="","",ROUND(($T7-$T$3)/1000,1)+(_xlfn.RANK.AVG($T7,($J7,$O7,$T7),1)-2)*10)</f>
        <v>38.799999999999997</v>
      </c>
      <c r="Y7" s="8" t="s">
        <v>202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193</v>
      </c>
      <c r="F8" s="8" t="s">
        <v>206</v>
      </c>
      <c r="G8" s="9">
        <v>-1500</v>
      </c>
      <c r="H8" s="9"/>
      <c r="I8" s="48"/>
      <c r="J8" s="21">
        <f t="shared" si="2"/>
        <v>23200</v>
      </c>
      <c r="K8" s="8" t="s">
        <v>206</v>
      </c>
      <c r="L8" s="9">
        <v>-1500</v>
      </c>
      <c r="M8" s="9"/>
      <c r="N8" s="48"/>
      <c r="O8" s="21">
        <f t="shared" si="3"/>
        <v>14000</v>
      </c>
      <c r="P8" s="8" t="s">
        <v>206</v>
      </c>
      <c r="Q8" s="9">
        <v>3000</v>
      </c>
      <c r="R8" s="9">
        <v>-1000</v>
      </c>
      <c r="S8" s="48"/>
      <c r="T8" s="21">
        <f t="shared" si="4"/>
        <v>65800</v>
      </c>
      <c r="U8" s="53">
        <f>IF($J8="","",ROUND(($J8-$J$3)/1000,1)+(_xlfn.RANK.AVG($J8,($J8,$O8,$T8),1)-2)*10)</f>
        <v>-11.8</v>
      </c>
      <c r="V8" s="54">
        <f>IF($O8="","",ROUND(($O8-$O$3)/1000,1)+(_xlfn.RANK.AVG($O8,($J8,$O8,$T8),1)-2)*10)</f>
        <v>-31</v>
      </c>
      <c r="W8" s="55">
        <f>IF($T8="","",ROUND(($T8-$T$3)/1000,1)+(_xlfn.RANK.AVG($T8,($J8,$O8,$T8),1)-2)*10)</f>
        <v>40.799999999999997</v>
      </c>
      <c r="Y8" s="8" t="s">
        <v>201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201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2</v>
      </c>
      <c r="E9" s="4" t="s">
        <v>193</v>
      </c>
      <c r="F9" s="8"/>
      <c r="G9" s="9"/>
      <c r="H9" s="9"/>
      <c r="I9" s="48"/>
      <c r="J9" s="21">
        <f t="shared" si="2"/>
        <v>23200</v>
      </c>
      <c r="K9" s="8" t="s">
        <v>197</v>
      </c>
      <c r="L9" s="9">
        <v>-3900</v>
      </c>
      <c r="M9" s="9"/>
      <c r="N9" s="48">
        <v>-3000</v>
      </c>
      <c r="O9" s="21">
        <f t="shared" si="3"/>
        <v>7100</v>
      </c>
      <c r="P9" s="8" t="s">
        <v>198</v>
      </c>
      <c r="Q9" s="9">
        <v>3900</v>
      </c>
      <c r="R9" s="9">
        <v>2000</v>
      </c>
      <c r="S9" s="48">
        <v>3000</v>
      </c>
      <c r="T9" s="21">
        <f t="shared" si="4"/>
        <v>74700</v>
      </c>
      <c r="U9" s="53">
        <f>IF($J9="","",ROUND(($J9-$J$3)/1000,1)+(_xlfn.RANK.AVG($J9,($J9,$O9,$T9),1)-2)*10)</f>
        <v>-11.8</v>
      </c>
      <c r="V9" s="54">
        <f>IF($O9="","",ROUND(($O9-$O$3)/1000,1)+(_xlfn.RANK.AVG($O9,($J9,$O9,$T9),1)-2)*10)</f>
        <v>-37.9</v>
      </c>
      <c r="W9" s="55">
        <f>IF($T9="","",ROUND(($T9-$T$3)/1000,1)+(_xlfn.RANK.AVG($T9,($J9,$O9,$T9),1)-2)*10)</f>
        <v>49.7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40</v>
      </c>
      <c r="BU9" s="40" t="s">
        <v>86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23200</v>
      </c>
      <c r="K10" s="8" t="s">
        <v>198</v>
      </c>
      <c r="L10" s="9">
        <v>16000</v>
      </c>
      <c r="M10" s="9"/>
      <c r="N10" s="48">
        <v>4000</v>
      </c>
      <c r="O10" s="21">
        <f t="shared" si="3"/>
        <v>27100</v>
      </c>
      <c r="P10" s="8" t="s">
        <v>197</v>
      </c>
      <c r="Q10" s="9">
        <v>-16000</v>
      </c>
      <c r="R10" s="9"/>
      <c r="S10" s="48">
        <v>-4000</v>
      </c>
      <c r="T10" s="21">
        <f t="shared" si="4"/>
        <v>54700</v>
      </c>
      <c r="U10" s="53">
        <f>IF($J10="","",ROUND(($J10-$J$3)/1000,1)+(_xlfn.RANK.AVG($J10,($J10,$O10,$T10),1)-2)*10)</f>
        <v>-21.8</v>
      </c>
      <c r="V10" s="54">
        <f>IF($O10="","",ROUND(($O10-$O$3)/1000,1)+(_xlfn.RANK.AVG($O10,($J10,$O10,$T10),1)-2)*10)</f>
        <v>-7.9</v>
      </c>
      <c r="W10" s="55">
        <f>IF($T10="","",ROUND(($T10-$T$3)/1000,1)+(_xlfn.RANK.AVG($T10,($J10,$O10,$T10),1)-2)*10)</f>
        <v>29.7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9</v>
      </c>
      <c r="AY10" s="30" t="s">
        <v>207</v>
      </c>
      <c r="AZ10" s="40" t="s">
        <v>205</v>
      </c>
      <c r="BA10" s="41" t="s">
        <v>208</v>
      </c>
      <c r="BB10" s="41" t="s">
        <v>104</v>
      </c>
      <c r="BC10" s="41" t="s">
        <v>86</v>
      </c>
      <c r="BD10" s="41" t="s">
        <v>79</v>
      </c>
      <c r="BE10" s="41" t="s">
        <v>80</v>
      </c>
      <c r="BF10" s="41" t="s">
        <v>80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199</v>
      </c>
      <c r="G11" s="9">
        <v>-1700</v>
      </c>
      <c r="H11" s="9"/>
      <c r="I11" s="48">
        <v>0</v>
      </c>
      <c r="J11" s="21">
        <f t="shared" si="2"/>
        <v>21500</v>
      </c>
      <c r="K11" s="8" t="s">
        <v>199</v>
      </c>
      <c r="L11" s="9">
        <v>-1100</v>
      </c>
      <c r="M11" s="9">
        <v>-1000</v>
      </c>
      <c r="N11" s="48">
        <v>0</v>
      </c>
      <c r="O11" s="21">
        <f t="shared" si="3"/>
        <v>25000</v>
      </c>
      <c r="P11" s="8" t="s">
        <v>200</v>
      </c>
      <c r="Q11" s="9">
        <v>2800</v>
      </c>
      <c r="R11" s="9">
        <v>1000</v>
      </c>
      <c r="S11" s="48">
        <v>0</v>
      </c>
      <c r="T11" s="21">
        <f t="shared" si="4"/>
        <v>58500</v>
      </c>
      <c r="U11" s="53">
        <f>IF($J11="","",ROUND(($J11-$J$3)/1000,1)+(_xlfn.RANK.AVG($J11,($J11,$O11,$T11),1)-2)*10)</f>
        <v>-23.5</v>
      </c>
      <c r="V11" s="54">
        <f>IF($O11="","",ROUND(($O11-$O$3)/1000,1)+(_xlfn.RANK.AVG($O11,($J11,$O11,$T11),1)-2)*10)</f>
        <v>-10</v>
      </c>
      <c r="W11" s="55">
        <f>IF($T11="","",ROUND(($T11-$T$3)/1000,1)+(_xlfn.RANK.AVG($T11,($J11,$O11,$T11),1)-2)*10)</f>
        <v>33.5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20</v>
      </c>
      <c r="BU11" s="40" t="s">
        <v>205</v>
      </c>
      <c r="BV11" s="41" t="s">
        <v>82</v>
      </c>
      <c r="BW11" s="41" t="s">
        <v>83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197</v>
      </c>
      <c r="G12" s="9">
        <v>-8000</v>
      </c>
      <c r="H12" s="9"/>
      <c r="I12" s="48">
        <v>0</v>
      </c>
      <c r="J12" s="21">
        <f t="shared" si="2"/>
        <v>13500</v>
      </c>
      <c r="K12" s="8"/>
      <c r="L12" s="9"/>
      <c r="M12" s="9"/>
      <c r="N12" s="48"/>
      <c r="O12" s="21">
        <f t="shared" si="3"/>
        <v>25000</v>
      </c>
      <c r="P12" s="8" t="s">
        <v>198</v>
      </c>
      <c r="Q12" s="9">
        <v>8000</v>
      </c>
      <c r="R12" s="9"/>
      <c r="S12" s="48">
        <v>0</v>
      </c>
      <c r="T12" s="21">
        <f t="shared" si="4"/>
        <v>66500</v>
      </c>
      <c r="U12" s="53">
        <f>IF($J12="","",ROUND(($J12-$J$3)/1000,1)+(_xlfn.RANK.AVG($J12,($J12,$O12,$T12),1)-2)*10)</f>
        <v>-31.5</v>
      </c>
      <c r="V12" s="54">
        <f>IF($O12="","",ROUND(($O12-$O$3)/1000,1)+(_xlfn.RANK.AVG($O12,($J12,$O12,$T12),1)-2)*10)</f>
        <v>-10</v>
      </c>
      <c r="W12" s="55">
        <f>IF($T12="","",ROUND(($T12-$T$3)/1000,1)+(_xlfn.RANK.AVG($T12,($J12,$O12,$T12),1)-2)*10)</f>
        <v>41.5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5</v>
      </c>
      <c r="BT12" s="30" t="s">
        <v>207</v>
      </c>
      <c r="BU12" s="40" t="s">
        <v>86</v>
      </c>
      <c r="BV12" s="41" t="s">
        <v>79</v>
      </c>
      <c r="BW12" s="41" t="s">
        <v>79</v>
      </c>
      <c r="BX12" s="41" t="s">
        <v>79</v>
      </c>
      <c r="BY12" s="41" t="s">
        <v>79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199</v>
      </c>
      <c r="G13" s="9">
        <v>-3000</v>
      </c>
      <c r="H13" s="9"/>
      <c r="I13" s="48">
        <v>0</v>
      </c>
      <c r="J13" s="21">
        <f t="shared" si="2"/>
        <v>10500</v>
      </c>
      <c r="K13" s="8" t="s">
        <v>199</v>
      </c>
      <c r="L13" s="9">
        <v>-3000</v>
      </c>
      <c r="M13" s="9"/>
      <c r="N13" s="48">
        <v>0</v>
      </c>
      <c r="O13" s="21">
        <f t="shared" si="3"/>
        <v>22000</v>
      </c>
      <c r="P13" s="8" t="s">
        <v>200</v>
      </c>
      <c r="Q13" s="9">
        <v>6000</v>
      </c>
      <c r="R13" s="9"/>
      <c r="S13" s="48">
        <v>0</v>
      </c>
      <c r="T13" s="21">
        <f t="shared" si="4"/>
        <v>72500</v>
      </c>
      <c r="U13" s="53">
        <f>IF($J13="","",ROUND(($J13-$J$3)/1000,1)+(_xlfn.RANK.AVG($J13,($J13,$O13,$T13),1)-2)*10)</f>
        <v>-34.5</v>
      </c>
      <c r="V13" s="54">
        <f>IF($O13="","",ROUND(($O13-$O$3)/1000,1)+(_xlfn.RANK.AVG($O13,($J13,$O13,$T13),1)-2)*10)</f>
        <v>-13</v>
      </c>
      <c r="W13" s="55">
        <f>IF($T13="","",ROUND(($T13-$T$3)/1000,1)+(_xlfn.RANK.AVG($T13,($J13,$O13,$T13),1)-2)*10)</f>
        <v>47.5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86</v>
      </c>
      <c r="BV13" s="41" t="s">
        <v>79</v>
      </c>
      <c r="BW13" s="41" t="s">
        <v>204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disablePrompts="1" count="3">
    <dataValidation type="list" allowBlank="1" showInputMessage="1" sqref="F1:T1" xr:uid="{0F32BB51-2669-4890-877C-A93A76E35A71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F0BA2212-CD82-40E4-96BB-C4507C01BC81}">
      <formula1>"ロン,ツモ,放銃,ツモ支払,流局,チョンボ"</formula1>
    </dataValidation>
    <dataValidation type="list" allowBlank="1" showInputMessage="1" showErrorMessage="1" sqref="E4:E30" xr:uid="{4C2E4C96-423A-4DA6-AC0F-35E930FC6BE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A10D9-3CB1-4BE1-AE1E-DDCF5E07A0D3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199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200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199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205</v>
      </c>
      <c r="BA4" s="41" t="s">
        <v>82</v>
      </c>
      <c r="BB4" s="41" t="s">
        <v>86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30000</v>
      </c>
      <c r="K5" s="8" t="s">
        <v>198</v>
      </c>
      <c r="L5" s="9">
        <v>2400</v>
      </c>
      <c r="M5" s="9"/>
      <c r="N5" s="48">
        <v>0</v>
      </c>
      <c r="O5" s="21">
        <f t="shared" ref="O5:O30" si="3">IF(COUNTA($F5,$K5,$P5)&gt;0,O4+SUM(L5:N5),"")</f>
        <v>45400</v>
      </c>
      <c r="P5" s="8" t="s">
        <v>197</v>
      </c>
      <c r="Q5" s="9">
        <v>-2400</v>
      </c>
      <c r="R5" s="9"/>
      <c r="S5" s="48">
        <v>0</v>
      </c>
      <c r="T5" s="21">
        <f t="shared" ref="T5:T30" si="4">IF(COUNTA($F5,$K5,$P5)&gt;0,T4+SUM(Q5:S5),"")</f>
        <v>29600</v>
      </c>
      <c r="U5" s="53">
        <f>IF($J5="","",ROUND(($J5-$J$3)/1000,1)+(_xlfn.RANK.AVG($J5,($J5,$O5,$T5),1)-2)*10)</f>
        <v>-5</v>
      </c>
      <c r="V5" s="54">
        <f>IF($O5="","",ROUND(($O5-$O$3)/1000,1)+(_xlfn.RANK.AVG($O5,($J5,$O5,$T5),1)-2)*10)</f>
        <v>20.399999999999999</v>
      </c>
      <c r="W5" s="55">
        <f>IF($T5="","",ROUND(($T5-$T$3)/1000,1)+(_xlfn.RANK.AVG($T5,($J5,$O5,$T5),1)-2)*10)</f>
        <v>-15.4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25</v>
      </c>
      <c r="AZ5" s="40" t="s">
        <v>101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30000</v>
      </c>
      <c r="K6" s="8" t="s">
        <v>198</v>
      </c>
      <c r="L6" s="9">
        <v>7700</v>
      </c>
      <c r="M6" s="9"/>
      <c r="N6" s="48">
        <v>1000</v>
      </c>
      <c r="O6" s="21">
        <f t="shared" si="3"/>
        <v>54100</v>
      </c>
      <c r="P6" s="8" t="s">
        <v>197</v>
      </c>
      <c r="Q6" s="9">
        <v>-7700</v>
      </c>
      <c r="R6" s="9"/>
      <c r="S6" s="48">
        <v>-1000</v>
      </c>
      <c r="T6" s="21">
        <f t="shared" si="4"/>
        <v>20900</v>
      </c>
      <c r="U6" s="53">
        <f>IF($J6="","",ROUND(($J6-$J$3)/1000,1)+(_xlfn.RANK.AVG($J6,($J6,$O6,$T6),1)-2)*10)</f>
        <v>-5</v>
      </c>
      <c r="V6" s="54">
        <f>IF($O6="","",ROUND(($O6-$O$3)/1000,1)+(_xlfn.RANK.AVG($O6,($J6,$O6,$T6),1)-2)*10)</f>
        <v>29.1</v>
      </c>
      <c r="W6" s="55">
        <f>IF($T6="","",ROUND(($T6-$T$3)/1000,1)+(_xlfn.RANK.AVG($T6,($J6,$O6,$T6),1)-2)*10)</f>
        <v>-24.1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86</v>
      </c>
      <c r="BA6" s="41" t="s">
        <v>86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199</v>
      </c>
      <c r="G7" s="9">
        <v>-3000</v>
      </c>
      <c r="H7" s="9"/>
      <c r="I7" s="48">
        <v>-1000</v>
      </c>
      <c r="J7" s="21">
        <f t="shared" si="2"/>
        <v>26000</v>
      </c>
      <c r="K7" s="8" t="s">
        <v>199</v>
      </c>
      <c r="L7" s="9">
        <v>-5000</v>
      </c>
      <c r="M7" s="9"/>
      <c r="N7" s="48">
        <v>-1000</v>
      </c>
      <c r="O7" s="21">
        <f t="shared" si="3"/>
        <v>48100</v>
      </c>
      <c r="P7" s="8" t="s">
        <v>200</v>
      </c>
      <c r="Q7" s="9">
        <v>8000</v>
      </c>
      <c r="R7" s="9"/>
      <c r="S7" s="48">
        <v>2000</v>
      </c>
      <c r="T7" s="21">
        <f t="shared" si="4"/>
        <v>30900</v>
      </c>
      <c r="U7" s="53">
        <f>IF($J7="","",ROUND(($J7-$J$3)/1000,1)+(_xlfn.RANK.AVG($J7,($J7,$O7,$T7),1)-2)*10)</f>
        <v>-19</v>
      </c>
      <c r="V7" s="54">
        <f>IF($O7="","",ROUND(($O7-$O$3)/1000,1)+(_xlfn.RANK.AVG($O7,($J7,$O7,$T7),1)-2)*10)</f>
        <v>23.1</v>
      </c>
      <c r="W7" s="55">
        <f>IF($T7="","",ROUND(($T7-$T$3)/1000,1)+(_xlfn.RANK.AVG($T7,($J7,$O7,$T7),1)-2)*10)</f>
        <v>-4.0999999999999996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207</v>
      </c>
      <c r="BU7" s="40" t="s">
        <v>205</v>
      </c>
      <c r="BV7" s="41" t="s">
        <v>82</v>
      </c>
      <c r="BW7" s="41" t="s">
        <v>204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8000</v>
      </c>
      <c r="H8" s="9"/>
      <c r="I8" s="48">
        <v>0</v>
      </c>
      <c r="J8" s="21">
        <f t="shared" si="2"/>
        <v>34000</v>
      </c>
      <c r="K8" s="8" t="s">
        <v>199</v>
      </c>
      <c r="L8" s="9">
        <v>-3000</v>
      </c>
      <c r="M8" s="9"/>
      <c r="N8" s="48">
        <v>0</v>
      </c>
      <c r="O8" s="21">
        <f t="shared" si="3"/>
        <v>45100</v>
      </c>
      <c r="P8" s="8" t="s">
        <v>199</v>
      </c>
      <c r="Q8" s="9">
        <v>-5000</v>
      </c>
      <c r="R8" s="9"/>
      <c r="S8" s="48">
        <v>0</v>
      </c>
      <c r="T8" s="21">
        <f t="shared" si="4"/>
        <v>25900</v>
      </c>
      <c r="U8" s="53">
        <f>IF($J8="","",ROUND(($J8-$J$3)/1000,1)+(_xlfn.RANK.AVG($J8,($J8,$O8,$T8),1)-2)*10)</f>
        <v>-1</v>
      </c>
      <c r="V8" s="54">
        <f>IF($O8="","",ROUND(($O8-$O$3)/1000,1)+(_xlfn.RANK.AVG($O8,($J8,$O8,$T8),1)-2)*10)</f>
        <v>20.100000000000001</v>
      </c>
      <c r="W8" s="55">
        <f>IF($T8="","",ROUND(($T8-$T$3)/1000,1)+(_xlfn.RANK.AVG($T8,($J8,$O8,$T8),1)-2)*10)</f>
        <v>-19.100000000000001</v>
      </c>
      <c r="Y8" s="8"/>
      <c r="Z8" s="34"/>
      <c r="AA8" s="26">
        <v>1</v>
      </c>
      <c r="AB8" s="26"/>
      <c r="AC8" s="26">
        <v>5</v>
      </c>
      <c r="AD8" s="30" t="s">
        <v>207</v>
      </c>
      <c r="AE8" s="40" t="s">
        <v>205</v>
      </c>
      <c r="AF8" s="41" t="s">
        <v>82</v>
      </c>
      <c r="AG8" s="41" t="s">
        <v>101</v>
      </c>
      <c r="AH8" s="41" t="s">
        <v>208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199</v>
      </c>
      <c r="G9" s="9">
        <v>-20000</v>
      </c>
      <c r="H9" s="9"/>
      <c r="I9" s="48">
        <v>0</v>
      </c>
      <c r="J9" s="21">
        <f t="shared" si="2"/>
        <v>14000</v>
      </c>
      <c r="K9" s="8" t="s">
        <v>199</v>
      </c>
      <c r="L9" s="9">
        <v>-12000</v>
      </c>
      <c r="M9" s="9"/>
      <c r="N9" s="48">
        <v>0</v>
      </c>
      <c r="O9" s="21">
        <f t="shared" si="3"/>
        <v>33100</v>
      </c>
      <c r="P9" s="8" t="s">
        <v>200</v>
      </c>
      <c r="Q9" s="9">
        <v>32000</v>
      </c>
      <c r="R9" s="9"/>
      <c r="S9" s="48">
        <v>0</v>
      </c>
      <c r="T9" s="21">
        <f t="shared" si="4"/>
        <v>57900</v>
      </c>
      <c r="U9" s="53">
        <f>IF($J9="","",ROUND(($J9-$J$3)/1000,1)+(_xlfn.RANK.AVG($J9,($J9,$O9,$T9),1)-2)*10)</f>
        <v>-31</v>
      </c>
      <c r="V9" s="54">
        <f>IF($O9="","",ROUND(($O9-$O$3)/1000,1)+(_xlfn.RANK.AVG($O9,($J9,$O9,$T9),1)-2)*10)</f>
        <v>-1.9</v>
      </c>
      <c r="W9" s="55">
        <f>IF($T9="","",ROUND(($T9-$T$3)/1000,1)+(_xlfn.RANK.AVG($T9,($J9,$O9,$T9),1)-2)*10)</f>
        <v>32.9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13</v>
      </c>
      <c r="BT9" s="30" t="s">
        <v>207</v>
      </c>
      <c r="BU9" s="40" t="s">
        <v>107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>
        <v>-1000</v>
      </c>
      <c r="I10" s="48"/>
      <c r="J10" s="21">
        <f t="shared" si="2"/>
        <v>13000</v>
      </c>
      <c r="K10" s="8" t="s">
        <v>197</v>
      </c>
      <c r="L10" s="9">
        <v>-32000</v>
      </c>
      <c r="M10" s="9"/>
      <c r="N10" s="48">
        <v>0</v>
      </c>
      <c r="O10" s="21">
        <f t="shared" si="3"/>
        <v>1100</v>
      </c>
      <c r="P10" s="8" t="s">
        <v>198</v>
      </c>
      <c r="Q10" s="9">
        <v>32000</v>
      </c>
      <c r="R10" s="9">
        <v>1000</v>
      </c>
      <c r="S10" s="48">
        <v>0</v>
      </c>
      <c r="T10" s="21">
        <f t="shared" si="4"/>
        <v>90900</v>
      </c>
      <c r="U10" s="53">
        <f>IF($J10="","",ROUND(($J10-$J$3)/1000,1)+(_xlfn.RANK.AVG($J10,($J10,$O10,$T10),1)-2)*10)</f>
        <v>-22</v>
      </c>
      <c r="V10" s="54">
        <f>IF($O10="","",ROUND(($O10-$O$3)/1000,1)+(_xlfn.RANK.AVG($O10,($J10,$O10,$T10),1)-2)*10)</f>
        <v>-43.9</v>
      </c>
      <c r="W10" s="55">
        <f>IF($T10="","",ROUND(($T10-$T$3)/1000,1)+(_xlfn.RANK.AVG($T10,($J10,$O10,$T10),1)-2)*10)</f>
        <v>65.900000000000006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13</v>
      </c>
      <c r="BT10" s="30" t="s">
        <v>207</v>
      </c>
      <c r="BU10" s="40" t="s">
        <v>107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13000</v>
      </c>
      <c r="K11" s="8" t="s">
        <v>198</v>
      </c>
      <c r="L11" s="9">
        <v>5200</v>
      </c>
      <c r="M11" s="9"/>
      <c r="N11" s="48">
        <v>0</v>
      </c>
      <c r="O11" s="21">
        <f t="shared" si="3"/>
        <v>6300</v>
      </c>
      <c r="P11" s="8" t="s">
        <v>197</v>
      </c>
      <c r="Q11" s="9">
        <v>-5200</v>
      </c>
      <c r="R11" s="9"/>
      <c r="S11" s="48">
        <v>0</v>
      </c>
      <c r="T11" s="21">
        <f t="shared" si="4"/>
        <v>85700</v>
      </c>
      <c r="U11" s="53">
        <f>IF($J11="","",ROUND(($J11-$J$3)/1000,1)+(_xlfn.RANK.AVG($J11,($J11,$O11,$T11),1)-2)*10)</f>
        <v>-22</v>
      </c>
      <c r="V11" s="54">
        <f>IF($O11="","",ROUND(($O11-$O$3)/1000,1)+(_xlfn.RANK.AVG($O11,($J11,$O11,$T11),1)-2)*10)</f>
        <v>-38.700000000000003</v>
      </c>
      <c r="W11" s="55">
        <f>IF($T11="","",ROUND(($T11-$T$3)/1000,1)+(_xlfn.RANK.AVG($T11,($J11,$O11,$T11),1)-2)*10)</f>
        <v>60.7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205</v>
      </c>
      <c r="BA11" s="41" t="s">
        <v>86</v>
      </c>
      <c r="BB11" s="41" t="s">
        <v>84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F2BBFBB-8747-482A-B535-8049E5258358}">
      <formula1>$U$2:$W$2</formula1>
    </dataValidation>
    <dataValidation type="list" showInputMessage="1" showErrorMessage="1" sqref="K4:K30 P4:P30 F4:F30" xr:uid="{C0DB4385-A041-4D76-B880-B547630D297D}">
      <formula1>"ロン,ツモ,放銃,ツモ支払,流局,チョンボ"</formula1>
    </dataValidation>
    <dataValidation type="list" allowBlank="1" showInputMessage="1" sqref="F1:T1" xr:uid="{8A313C69-FD67-46EA-969F-831CB9F43EE9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2020-01-17T06:27:35Z</dcterms:modified>
</cp:coreProperties>
</file>