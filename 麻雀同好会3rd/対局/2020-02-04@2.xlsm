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AB33B223-D151-4089-99B6-662A11D80ACA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O16" i="20"/>
  <c r="J16" i="20"/>
  <c r="D16" i="20"/>
  <c r="C16" i="20"/>
  <c r="B16" i="20"/>
  <c r="A16" i="20" s="1"/>
  <c r="T15" i="20"/>
  <c r="O15" i="20"/>
  <c r="V15" i="20" s="1"/>
  <c r="J15" i="20"/>
  <c r="U15" i="20" s="1"/>
  <c r="D15" i="20"/>
  <c r="C15" i="20"/>
  <c r="B15" i="20"/>
  <c r="A15" i="20" s="1"/>
  <c r="T14" i="20"/>
  <c r="O14" i="20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W12" i="20" s="1"/>
  <c r="O12" i="20"/>
  <c r="V12" i="20" s="1"/>
  <c r="J12" i="20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T10" i="20"/>
  <c r="O10" i="20"/>
  <c r="J10" i="20"/>
  <c r="U10" i="20" s="1"/>
  <c r="D10" i="20"/>
  <c r="C10" i="20"/>
  <c r="B10" i="20"/>
  <c r="A10" i="20"/>
  <c r="D9" i="20"/>
  <c r="C9" i="20"/>
  <c r="D8" i="20"/>
  <c r="C8" i="20"/>
  <c r="D7" i="20"/>
  <c r="C7" i="20"/>
  <c r="D6" i="20"/>
  <c r="C6" i="20"/>
  <c r="T5" i="20"/>
  <c r="T6" i="20" s="1"/>
  <c r="O5" i="20"/>
  <c r="D5" i="20"/>
  <c r="T4" i="20"/>
  <c r="O4" i="20"/>
  <c r="V4" i="20" s="1"/>
  <c r="J4" i="20"/>
  <c r="E4" i="20"/>
  <c r="C5" i="20" s="1"/>
  <c r="W3" i="20"/>
  <c r="V3" i="20"/>
  <c r="U3" i="20"/>
  <c r="W2" i="20"/>
  <c r="V2" i="20"/>
  <c r="U2" i="20"/>
  <c r="BO1" i="20"/>
  <c r="AT1" i="20"/>
  <c r="Y1" i="20"/>
  <c r="U16" i="20" l="1"/>
  <c r="W16" i="20"/>
  <c r="V16" i="20"/>
  <c r="W15" i="20"/>
  <c r="V14" i="20"/>
  <c r="W14" i="20"/>
  <c r="U13" i="20"/>
  <c r="V13" i="20"/>
  <c r="W13" i="20"/>
  <c r="U12" i="20"/>
  <c r="V11" i="20"/>
  <c r="W11" i="20"/>
  <c r="V10" i="20"/>
  <c r="W10" i="20"/>
  <c r="W4" i="20"/>
  <c r="U4" i="20"/>
  <c r="T7" i="20"/>
  <c r="B5" i="20"/>
  <c r="J5" i="20"/>
  <c r="V5" i="20" s="1"/>
  <c r="O6" i="20"/>
  <c r="E4" i="19"/>
  <c r="T8" i="20" l="1"/>
  <c r="O7" i="20"/>
  <c r="W5" i="20"/>
  <c r="U5" i="20"/>
  <c r="J6" i="20"/>
  <c r="V6" i="20" s="1"/>
  <c r="A5" i="20"/>
  <c r="B6" i="20"/>
  <c r="A6" i="20" s="1"/>
  <c r="W3" i="19"/>
  <c r="V3" i="19"/>
  <c r="U3" i="19"/>
  <c r="T9" i="20" l="1"/>
  <c r="B7" i="20"/>
  <c r="U6" i="20"/>
  <c r="J7" i="20"/>
  <c r="V7" i="20" s="1"/>
  <c r="W6" i="20"/>
  <c r="O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O9" i="20" l="1"/>
  <c r="B8" i="20"/>
  <c r="J8" i="20"/>
  <c r="V8" i="20" s="1"/>
  <c r="U7" i="20"/>
  <c r="W7" i="20"/>
  <c r="A7" i="20"/>
  <c r="V9" i="19"/>
  <c r="U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8" i="20" l="1"/>
  <c r="U8" i="20"/>
  <c r="J9" i="20"/>
  <c r="W8" i="20"/>
  <c r="B9" i="20"/>
  <c r="A9" i="20" s="1"/>
  <c r="W5" i="19"/>
  <c r="V5" i="19"/>
  <c r="U5" i="19"/>
  <c r="U9" i="20" l="1"/>
  <c r="W9" i="20"/>
  <c r="V9" i="20"/>
</calcChain>
</file>

<file path=xl/sharedStrings.xml><?xml version="1.0" encoding="utf-8"?>
<sst xmlns="http://schemas.openxmlformats.org/spreadsheetml/2006/main" count="725" uniqueCount="206">
  <si>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</si>
  <si>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</si>
  <si>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</si>
  <si>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</si>
  <si>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</si>
  <si>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</si>
  <si>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</si>
  <si>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</si>
  <si>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</si>
  <si>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</si>
  <si>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</si>
  <si>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</si>
  <si>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</si>
  <si>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</si>
  <si>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</si>
  <si>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</si>
  <si>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</si>
  <si>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</si>
  <si>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</si>
  <si>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</si>
  <si>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</si>
  <si>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</si>
  <si>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</si>
  <si>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</si>
  <si>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</si>
  <si>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</si>
  <si>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</si>
  <si>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</si>
  <si>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</si>
  <si>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</si>
  <si>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</si>
  <si>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</si>
  <si>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</si>
  <si>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</si>
  <si>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</si>
  <si>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</si>
  <si>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</si>
  <si>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</si>
  <si>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</si>
  <si>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</si>
  <si>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</si>
  <si>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</si>
  <si>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</si>
  <si>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</si>
  <si>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</si>
  <si>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</si>
  <si>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</si>
  <si>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</si>
  <si>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</si>
  <si>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</si>
  <si>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</si>
  <si>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</si>
  <si>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</si>
  <si>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</si>
  <si>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</si>
  <si>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</si>
  <si>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</si>
  <si>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</si>
  <si>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</si>
  <si>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</si>
  <si>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</si>
  <si>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</si>
  <si>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</si>
  <si>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</si>
  <si>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</si>
  <si>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</si>
  <si>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</si>
  <si>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</si>
  <si>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</si>
  <si>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</si>
  <si>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</si>
  <si>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</si>
  <si>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</si>
  <si>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</si>
  <si>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</si>
  <si>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</si>
  <si>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</si>
  <si>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</si>
  <si>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</si>
  <si>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</si>
  <si>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</si>
  <si>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</si>
  <si>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</si>
  <si>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</si>
  <si>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</si>
  <si>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</si>
  <si>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</si>
  <si>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</si>
  <si>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</si>
  <si>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</si>
  <si>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</si>
  <si>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</si>
  <si>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</si>
  <si>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</si>
  <si>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</si>
  <si>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</si>
  <si>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</si>
  <si>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</si>
  <si>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</si>
  <si>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</si>
  <si>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</si>
  <si>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</si>
  <si>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</si>
  <si>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</si>
  <si>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</si>
  <si>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</si>
  <si>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</si>
  <si>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</si>
  <si>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</si>
  <si>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</si>
  <si>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</si>
  <si>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</si>
  <si>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</si>
  <si>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</si>
  <si>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</si>
  <si>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</si>
  <si>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</si>
  <si>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</si>
  <si>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</si>
  <si>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</si>
  <si>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</si>
  <si>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</si>
  <si>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</si>
  <si>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</si>
  <si>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</si>
  <si>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</si>
  <si>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</si>
  <si>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</si>
  <si>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</si>
  <si>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</si>
  <si>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</si>
  <si>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</si>
  <si>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</si>
  <si>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</si>
  <si>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</si>
  <si>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</si>
  <si>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</si>
  <si>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</si>
  <si>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</si>
  <si>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</si>
  <si>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</si>
  <si>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</si>
  <si>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</si>
  <si>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</si>
  <si>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</si>
  <si>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</si>
  <si>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</si>
  <si>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</si>
  <si>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</si>
  <si>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</si>
  <si>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</si>
  <si>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</si>
  <si>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</si>
  <si>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</si>
  <si>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</si>
  <si>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</si>
  <si>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</si>
  <si>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</si>
  <si>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</si>
  <si>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</si>
  <si>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</si>
  <si>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</si>
  <si>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</si>
  <si>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</si>
  <si>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</si>
  <si>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</si>
  <si>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</si>
  <si>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</si>
  <si>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</si>
  <si>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</si>
  <si>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</si>
  <si>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</si>
  <si>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</si>
  <si>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</si>
  <si>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</si>
  <si>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</si>
  <si>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</si>
  <si>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</si>
  <si>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</si>
  <si>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</si>
  <si>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</si>
  <si>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</si>
  <si>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</si>
  <si>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</si>
  <si>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</si>
  <si>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</si>
  <si>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</si>
  <si>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</si>
  <si>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</si>
  <si>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</si>
  <si>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</si>
  <si>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</si>
  <si>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のり</t>
    <phoneticPr fontId="1"/>
  </si>
  <si>
    <t>れんたろう</t>
  </si>
  <si>
    <t>れんたろう</t>
    <phoneticPr fontId="1"/>
  </si>
  <si>
    <t>だいち</t>
  </si>
  <si>
    <t>だいち</t>
    <phoneticPr fontId="1"/>
  </si>
  <si>
    <t>ツモ支払</t>
  </si>
  <si>
    <t>ツモ</t>
  </si>
  <si>
    <t>*</t>
  </si>
  <si>
    <t>放銃</t>
  </si>
  <si>
    <t>ロン</t>
  </si>
  <si>
    <t>01</t>
  </si>
  <si>
    <t>52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</si>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</sst>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のり</v>
      </c>
      <c r="F4" s="8" t="s">
        <v>197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198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197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26</v>
      </c>
      <c r="W4" s="55">
        <f>IF($T4="","",ROUND(($T4-$T$3)/1000,1)+(_xlfn.RANK.AVG($T4,($J4,$O4,$T4),1)-2)*10)</f>
        <v>-6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9</v>
      </c>
      <c r="AY4" s="30" t="s">
        <v>199</v>
      </c>
      <c r="AZ4" s="40" t="s">
        <v>82</v>
      </c>
      <c r="BA4" s="41" t="s">
        <v>86</v>
      </c>
      <c r="BB4" s="41" t="s">
        <v>84</v>
      </c>
      <c r="BC4" s="41" t="s">
        <v>79</v>
      </c>
      <c r="BD4" s="41" t="s">
        <v>79</v>
      </c>
      <c r="BE4" s="41" t="s">
        <v>79</v>
      </c>
      <c r="BF4" s="41" t="s">
        <v>79</v>
      </c>
      <c r="BG4" s="41" t="s">
        <v>79</v>
      </c>
      <c r="BH4" s="41" t="s">
        <v>79</v>
      </c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25000</v>
      </c>
      <c r="K5" s="8" t="s">
        <v>200</v>
      </c>
      <c r="L5" s="9">
        <v>-7700</v>
      </c>
      <c r="M5" s="9">
        <v>-1000</v>
      </c>
      <c r="N5" s="48">
        <v>0</v>
      </c>
      <c r="O5" s="21">
        <f t="shared" ref="O5:O30" si="3">IF(COUNTA($F5,$K5,$P5)&gt;0,O4+SUM(L5:N5),"")</f>
        <v>42300</v>
      </c>
      <c r="P5" s="8" t="s">
        <v>201</v>
      </c>
      <c r="Q5" s="9">
        <v>7700</v>
      </c>
      <c r="R5" s="9">
        <v>1000</v>
      </c>
      <c r="S5" s="48">
        <v>0</v>
      </c>
      <c r="T5" s="21">
        <f t="shared" ref="T5:T30" si="4">IF(COUNTA($F5,$K5,$P5)&gt;0,T4+SUM(Q5:S5),"")</f>
        <v>37700</v>
      </c>
      <c r="U5" s="53">
        <f>IF($J5="","",ROUND(($J5-$J$3)/1000,1)+(_xlfn.RANK.AVG($J5,($J5,$O5,$T5),1)-2)*10)</f>
        <v>-20</v>
      </c>
      <c r="V5" s="54">
        <f>IF($O5="","",ROUND(($O5-$O$3)/1000,1)+(_xlfn.RANK.AVG($O5,($J5,$O5,$T5),1)-2)*10)</f>
        <v>17.3</v>
      </c>
      <c r="W5" s="55">
        <f>IF($T5="","",ROUND(($T5-$T$3)/1000,1)+(_xlfn.RANK.AVG($T5,($J5,$O5,$T5),1)-2)*10)</f>
        <v>2.7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202</v>
      </c>
      <c r="BV5" s="41" t="s">
        <v>83</v>
      </c>
      <c r="BW5" s="41" t="s">
        <v>203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200</v>
      </c>
      <c r="G6" s="9">
        <v>-5800</v>
      </c>
      <c r="H6" s="9"/>
      <c r="I6" s="48">
        <v>0</v>
      </c>
      <c r="J6" s="21">
        <f t="shared" si="2"/>
        <v>19200</v>
      </c>
      <c r="K6" s="8"/>
      <c r="L6" s="9"/>
      <c r="M6" s="9"/>
      <c r="N6" s="48"/>
      <c r="O6" s="21">
        <f t="shared" si="3"/>
        <v>42300</v>
      </c>
      <c r="P6" s="8" t="s">
        <v>201</v>
      </c>
      <c r="Q6" s="9">
        <v>5800</v>
      </c>
      <c r="R6" s="9"/>
      <c r="S6" s="48">
        <v>0</v>
      </c>
      <c r="T6" s="21">
        <f t="shared" si="4"/>
        <v>43500</v>
      </c>
      <c r="U6" s="53">
        <f>IF($J6="","",ROUND(($J6-$J$3)/1000,1)+(_xlfn.RANK.AVG($J6,($J6,$O6,$T6),1)-2)*10)</f>
        <v>-25.8</v>
      </c>
      <c r="V6" s="54">
        <f>IF($O6="","",ROUND(($O6-$O$3)/1000,1)+(_xlfn.RANK.AVG($O6,($J6,$O6,$T6),1)-2)*10)</f>
        <v>7.3</v>
      </c>
      <c r="W6" s="55">
        <f>IF($T6="","",ROUND(($T6-$T$3)/1000,1)+(_xlfn.RANK.AVG($T6,($J6,$O6,$T6),1)-2)*10)</f>
        <v>18.5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30</v>
      </c>
      <c r="BU6" s="40" t="s">
        <v>83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197</v>
      </c>
      <c r="G7" s="9">
        <v>-2900</v>
      </c>
      <c r="H7" s="9"/>
      <c r="I7" s="48">
        <v>-500</v>
      </c>
      <c r="J7" s="21">
        <f t="shared" si="2"/>
        <v>15800</v>
      </c>
      <c r="K7" s="8" t="s">
        <v>198</v>
      </c>
      <c r="L7" s="9">
        <v>7700</v>
      </c>
      <c r="M7" s="9"/>
      <c r="N7" s="48">
        <v>1000</v>
      </c>
      <c r="O7" s="21">
        <f t="shared" si="3"/>
        <v>51000</v>
      </c>
      <c r="P7" s="8" t="s">
        <v>197</v>
      </c>
      <c r="Q7" s="9">
        <v>-4800</v>
      </c>
      <c r="R7" s="9"/>
      <c r="S7" s="48">
        <v>-500</v>
      </c>
      <c r="T7" s="21">
        <f t="shared" si="4"/>
        <v>38200</v>
      </c>
      <c r="U7" s="53">
        <f>IF($J7="","",ROUND(($J7-$J$3)/1000,1)+(_xlfn.RANK.AVG($J7,($J7,$O7,$T7),1)-2)*10)</f>
        <v>-29.2</v>
      </c>
      <c r="V7" s="54">
        <f>IF($O7="","",ROUND(($O7-$O$3)/1000,1)+(_xlfn.RANK.AVG($O7,($J7,$O7,$T7),1)-2)*10)</f>
        <v>26</v>
      </c>
      <c r="W7" s="55">
        <f>IF($T7="","",ROUND(($T7-$T$3)/1000,1)+(_xlfn.RANK.AVG($T7,($J7,$O7,$T7),1)-2)*10)</f>
        <v>3.2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86</v>
      </c>
      <c r="BA7" s="41" t="s">
        <v>86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200</v>
      </c>
      <c r="G8" s="9">
        <v>-8000</v>
      </c>
      <c r="H8" s="9"/>
      <c r="I8" s="48">
        <v>0</v>
      </c>
      <c r="J8" s="21">
        <f t="shared" si="2"/>
        <v>7800</v>
      </c>
      <c r="K8" s="8" t="s">
        <v>201</v>
      </c>
      <c r="L8" s="9">
        <v>8000</v>
      </c>
      <c r="M8" s="9"/>
      <c r="N8" s="48">
        <v>0</v>
      </c>
      <c r="O8" s="21">
        <f t="shared" si="3"/>
        <v>59000</v>
      </c>
      <c r="P8" s="8"/>
      <c r="Q8" s="9"/>
      <c r="R8" s="9"/>
      <c r="S8" s="48"/>
      <c r="T8" s="21">
        <f t="shared" si="4"/>
        <v>38200</v>
      </c>
      <c r="U8" s="53">
        <f>IF($J8="","",ROUND(($J8-$J$3)/1000,1)+(_xlfn.RANK.AVG($J8,($J8,$O8,$T8),1)-2)*10)</f>
        <v>-37.200000000000003</v>
      </c>
      <c r="V8" s="54">
        <f>IF($O8="","",ROUND(($O8-$O$3)/1000,1)+(_xlfn.RANK.AVG($O8,($J8,$O8,$T8),1)-2)*10)</f>
        <v>34</v>
      </c>
      <c r="W8" s="55">
        <f>IF($T8="","",ROUND(($T8-$T$3)/1000,1)+(_xlfn.RANK.AVG($T8,($J8,$O8,$T8),1)-2)*10)</f>
        <v>3.2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202</v>
      </c>
      <c r="BA8" s="41" t="s">
        <v>84</v>
      </c>
      <c r="BB8" s="41" t="s">
        <v>203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200</v>
      </c>
      <c r="G9" s="9">
        <v>-24000</v>
      </c>
      <c r="H9" s="9">
        <v>-1000</v>
      </c>
      <c r="I9" s="48">
        <v>0</v>
      </c>
      <c r="J9" s="21">
        <f t="shared" si="2"/>
        <v>-17200</v>
      </c>
      <c r="K9" s="8" t="s">
        <v>201</v>
      </c>
      <c r="L9" s="9">
        <v>24000</v>
      </c>
      <c r="M9" s="9">
        <v>1000</v>
      </c>
      <c r="N9" s="48">
        <v>0</v>
      </c>
      <c r="O9" s="21">
        <f t="shared" si="3"/>
        <v>84000</v>
      </c>
      <c r="P9" s="8"/>
      <c r="Q9" s="9"/>
      <c r="R9" s="9"/>
      <c r="S9" s="48"/>
      <c r="T9" s="21">
        <f t="shared" si="4"/>
        <v>38200</v>
      </c>
      <c r="U9" s="53">
        <f>IF($J9="","",ROUND(($J9-$J$3)/1000,1)+(_xlfn.RANK.AVG($J9,($J9,$O9,$T9),1)-2)*10)</f>
        <v>-62.2</v>
      </c>
      <c r="V9" s="54">
        <f>IF($O9="","",ROUND(($O9-$O$3)/1000,1)+(_xlfn.RANK.AVG($O9,($J9,$O9,$T9),1)-2)*10)</f>
        <v>59</v>
      </c>
      <c r="W9" s="55">
        <f>IF($T9="","",ROUND(($T9-$T$3)/1000,1)+(_xlfn.RANK.AVG($T9,($J9,$O9,$T9),1)-2)*10)</f>
        <v>3.2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9</v>
      </c>
      <c r="AY9" s="30" t="s">
        <v>199</v>
      </c>
      <c r="AZ9" s="40" t="s">
        <v>86</v>
      </c>
      <c r="BA9" s="41" t="s">
        <v>86</v>
      </c>
      <c r="BB9" s="41" t="s">
        <v>86</v>
      </c>
      <c r="BC9" s="41" t="s">
        <v>104</v>
      </c>
      <c r="BD9" s="41" t="s">
        <v>98</v>
      </c>
      <c r="BE9" s="41" t="s">
        <v>100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8DC78D6-689C-4542-823B-C6236F4145B4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C3D92-2C16-4477-AE71-3F529A4DE2A9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のり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のり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198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197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197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202</v>
      </c>
      <c r="AF4" s="41" t="s">
        <v>82</v>
      </c>
      <c r="AG4" s="41" t="s">
        <v>79</v>
      </c>
      <c r="AH4" s="41" t="s">
        <v>79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205</v>
      </c>
      <c r="G5" s="9">
        <v>0</v>
      </c>
      <c r="H5" s="9"/>
      <c r="I5" s="48"/>
      <c r="J5" s="21">
        <f t="shared" ref="J5:J30" si="2">IF(COUNTA($F5,$K5,$P5)&gt;0,J4+SUM(G5:I5),"")</f>
        <v>47000</v>
      </c>
      <c r="K5" s="8" t="s">
        <v>205</v>
      </c>
      <c r="L5" s="9">
        <v>0</v>
      </c>
      <c r="M5" s="9"/>
      <c r="N5" s="48"/>
      <c r="O5" s="21">
        <f t="shared" ref="O5:O30" si="3">IF(COUNTA($F5,$K5,$P5)&gt;0,O4+SUM(L5:N5),"")</f>
        <v>29000</v>
      </c>
      <c r="P5" s="8" t="s">
        <v>205</v>
      </c>
      <c r="Q5" s="9">
        <v>0</v>
      </c>
      <c r="R5" s="9"/>
      <c r="S5" s="48"/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22</v>
      </c>
      <c r="V5" s="54">
        <f>IF($O5="","",ROUND(($O5-$O$3)/1000,1)+(_xlfn.RANK.AVG($O5,($J5,$O5,$T5),1)-2)*10)</f>
        <v>-11</v>
      </c>
      <c r="W5" s="55">
        <f>IF($T5="","",ROUND(($T5-$T$3)/1000,1)+(_xlfn.RANK.AVG($T5,($J5,$O5,$T5),1)-2)*10)</f>
        <v>-11</v>
      </c>
      <c r="Y5" s="8" t="s">
        <v>204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198</v>
      </c>
      <c r="G6" s="9">
        <v>24000</v>
      </c>
      <c r="H6" s="9"/>
      <c r="I6" s="48">
        <v>2000</v>
      </c>
      <c r="J6" s="21">
        <f t="shared" si="2"/>
        <v>73000</v>
      </c>
      <c r="K6" s="8" t="s">
        <v>197</v>
      </c>
      <c r="L6" s="9">
        <v>-12000</v>
      </c>
      <c r="M6" s="9"/>
      <c r="N6" s="48">
        <v>-1000</v>
      </c>
      <c r="O6" s="21">
        <f t="shared" si="3"/>
        <v>16000</v>
      </c>
      <c r="P6" s="8" t="s">
        <v>197</v>
      </c>
      <c r="Q6" s="9">
        <v>-12000</v>
      </c>
      <c r="R6" s="9"/>
      <c r="S6" s="48">
        <v>-1000</v>
      </c>
      <c r="T6" s="21">
        <f t="shared" si="4"/>
        <v>16000</v>
      </c>
      <c r="U6" s="53">
        <f>IF($J6="","",ROUND(($J6-$J$3)/1000,1)+(_xlfn.RANK.AVG($J6,($J6,$O6,$T6),1)-2)*10)</f>
        <v>48</v>
      </c>
      <c r="V6" s="54">
        <f>IF($O6="","",ROUND(($O6-$O$3)/1000,1)+(_xlfn.RANK.AVG($O6,($J6,$O6,$T6),1)-2)*10)</f>
        <v>-24</v>
      </c>
      <c r="W6" s="55">
        <f>IF($T6="","",ROUND(($T6-$T$3)/1000,1)+(_xlfn.RANK.AVG($T6,($J6,$O6,$T6),1)-2)*10)</f>
        <v>-24</v>
      </c>
      <c r="Y6" s="8"/>
      <c r="Z6" s="34"/>
      <c r="AA6" s="26">
        <v>1</v>
      </c>
      <c r="AB6" s="26"/>
      <c r="AC6" s="26">
        <v>8</v>
      </c>
      <c r="AD6" s="30" t="s">
        <v>199</v>
      </c>
      <c r="AE6" s="40" t="s">
        <v>202</v>
      </c>
      <c r="AF6" s="41" t="s">
        <v>82</v>
      </c>
      <c r="AG6" s="41" t="s">
        <v>104</v>
      </c>
      <c r="AH6" s="41" t="s">
        <v>203</v>
      </c>
      <c r="AI6" s="41" t="s">
        <v>80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197</v>
      </c>
      <c r="G7" s="9">
        <v>-5000</v>
      </c>
      <c r="H7" s="9"/>
      <c r="I7" s="48">
        <v>-1500</v>
      </c>
      <c r="J7" s="21">
        <f t="shared" si="2"/>
        <v>66500</v>
      </c>
      <c r="K7" s="8" t="s">
        <v>198</v>
      </c>
      <c r="L7" s="9">
        <v>8000</v>
      </c>
      <c r="M7" s="9"/>
      <c r="N7" s="48">
        <v>3000</v>
      </c>
      <c r="O7" s="21">
        <f t="shared" si="3"/>
        <v>27000</v>
      </c>
      <c r="P7" s="8" t="s">
        <v>197</v>
      </c>
      <c r="Q7" s="9">
        <v>-3000</v>
      </c>
      <c r="R7" s="9"/>
      <c r="S7" s="48">
        <v>-1500</v>
      </c>
      <c r="T7" s="21">
        <f t="shared" si="4"/>
        <v>11500</v>
      </c>
      <c r="U7" s="53">
        <f>IF($J7="","",ROUND(($J7-$J$3)/1000,1)+(_xlfn.RANK.AVG($J7,($J7,$O7,$T7),1)-2)*10)</f>
        <v>41.5</v>
      </c>
      <c r="V7" s="54">
        <f>IF($O7="","",ROUND(($O7-$O$3)/1000,1)+(_xlfn.RANK.AVG($O7,($J7,$O7,$T7),1)-2)*10)</f>
        <v>-8</v>
      </c>
      <c r="W7" s="55">
        <f>IF($T7="","",ROUND(($T7-$T$3)/1000,1)+(_xlfn.RANK.AVG($T7,($J7,$O7,$T7),1)-2)*10)</f>
        <v>-33.5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199</v>
      </c>
      <c r="AZ7" s="40" t="s">
        <v>202</v>
      </c>
      <c r="BA7" s="41" t="s">
        <v>82</v>
      </c>
      <c r="BB7" s="41" t="s">
        <v>86</v>
      </c>
      <c r="BC7" s="41" t="s">
        <v>79</v>
      </c>
      <c r="BD7" s="41" t="s">
        <v>80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197</v>
      </c>
      <c r="G8" s="9">
        <v>-6000</v>
      </c>
      <c r="H8" s="9"/>
      <c r="I8" s="48">
        <v>0</v>
      </c>
      <c r="J8" s="21">
        <f t="shared" si="2"/>
        <v>60500</v>
      </c>
      <c r="K8" s="8" t="s">
        <v>198</v>
      </c>
      <c r="L8" s="9">
        <v>12000</v>
      </c>
      <c r="M8" s="9"/>
      <c r="N8" s="48">
        <v>0</v>
      </c>
      <c r="O8" s="21">
        <f t="shared" si="3"/>
        <v>39000</v>
      </c>
      <c r="P8" s="8" t="s">
        <v>197</v>
      </c>
      <c r="Q8" s="9">
        <v>-6000</v>
      </c>
      <c r="R8" s="9"/>
      <c r="S8" s="48">
        <v>0</v>
      </c>
      <c r="T8" s="21">
        <f t="shared" si="4"/>
        <v>5500</v>
      </c>
      <c r="U8" s="53">
        <f>IF($J8="","",ROUND(($J8-$J$3)/1000,1)+(_xlfn.RANK.AVG($J8,($J8,$O8,$T8),1)-2)*10)</f>
        <v>35.5</v>
      </c>
      <c r="V8" s="54">
        <f>IF($O8="","",ROUND(($O8-$O$3)/1000,1)+(_xlfn.RANK.AVG($O8,($J8,$O8,$T8),1)-2)*10)</f>
        <v>4</v>
      </c>
      <c r="W8" s="55">
        <f>IF($T8="","",ROUND(($T8-$T$3)/1000,1)+(_xlfn.RANK.AVG($T8,($J8,$O8,$T8),1)-2)*10)</f>
        <v>-39.5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202</v>
      </c>
      <c r="BA8" s="41" t="s">
        <v>82</v>
      </c>
      <c r="BB8" s="41" t="s">
        <v>86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200</v>
      </c>
      <c r="G9" s="9">
        <v>-12000</v>
      </c>
      <c r="H9" s="9"/>
      <c r="I9" s="48">
        <v>-1000</v>
      </c>
      <c r="J9" s="21">
        <f t="shared" si="2"/>
        <v>47500</v>
      </c>
      <c r="K9" s="8" t="s">
        <v>201</v>
      </c>
      <c r="L9" s="9">
        <v>12000</v>
      </c>
      <c r="M9" s="9"/>
      <c r="N9" s="48">
        <v>1000</v>
      </c>
      <c r="O9" s="21">
        <f t="shared" si="3"/>
        <v>52000</v>
      </c>
      <c r="P9" s="8"/>
      <c r="Q9" s="9"/>
      <c r="R9" s="9"/>
      <c r="S9" s="48"/>
      <c r="T9" s="21">
        <f t="shared" si="4"/>
        <v>5500</v>
      </c>
      <c r="U9" s="53">
        <f>IF($J9="","",ROUND(($J9-$J$3)/1000,1)+(_xlfn.RANK.AVG($J9,($J9,$O9,$T9),1)-2)*10)</f>
        <v>12.5</v>
      </c>
      <c r="V9" s="54">
        <f>IF($O9="","",ROUND(($O9-$O$3)/1000,1)+(_xlfn.RANK.AVG($O9,($J9,$O9,$T9),1)-2)*10)</f>
        <v>27</v>
      </c>
      <c r="W9" s="55">
        <f>IF($T9="","",ROUND(($T9-$T$3)/1000,1)+(_xlfn.RANK.AVG($T9,($J9,$O9,$T9),1)-2)*10)</f>
        <v>-39.5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40</v>
      </c>
      <c r="AZ9" s="40" t="s">
        <v>104</v>
      </c>
      <c r="BA9" s="41" t="s">
        <v>203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47500</v>
      </c>
      <c r="K10" s="8" t="s">
        <v>200</v>
      </c>
      <c r="L10" s="9">
        <v>-8000</v>
      </c>
      <c r="M10" s="9"/>
      <c r="N10" s="48">
        <v>-2000</v>
      </c>
      <c r="O10" s="21">
        <f t="shared" si="3"/>
        <v>42000</v>
      </c>
      <c r="P10" s="8" t="s">
        <v>201</v>
      </c>
      <c r="Q10" s="9">
        <v>8000</v>
      </c>
      <c r="R10" s="9"/>
      <c r="S10" s="48">
        <v>2000</v>
      </c>
      <c r="T10" s="21">
        <f t="shared" si="4"/>
        <v>15500</v>
      </c>
      <c r="U10" s="53">
        <f>IF($J10="","",ROUND(($J10-$J$3)/1000,1)+(_xlfn.RANK.AVG($J10,($J10,$O10,$T10),1)-2)*10)</f>
        <v>22.5</v>
      </c>
      <c r="V10" s="54">
        <f>IF($O10="","",ROUND(($O10-$O$3)/1000,1)+(_xlfn.RANK.AVG($O10,($J10,$O10,$T10),1)-2)*10)</f>
        <v>7</v>
      </c>
      <c r="W10" s="55">
        <f>IF($T10="","",ROUND(($T10-$T$3)/1000,1)+(_xlfn.RANK.AVG($T10,($J10,$O10,$T10),1)-2)*10)</f>
        <v>-29.5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202</v>
      </c>
      <c r="BV10" s="41" t="s">
        <v>80</v>
      </c>
      <c r="BW10" s="41" t="s">
        <v>80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205</v>
      </c>
      <c r="G11" s="9">
        <v>0</v>
      </c>
      <c r="H11" s="9"/>
      <c r="I11" s="48"/>
      <c r="J11" s="21">
        <f t="shared" si="2"/>
        <v>47500</v>
      </c>
      <c r="K11" s="8" t="s">
        <v>205</v>
      </c>
      <c r="L11" s="9">
        <v>0</v>
      </c>
      <c r="M11" s="9"/>
      <c r="N11" s="48"/>
      <c r="O11" s="21">
        <f t="shared" si="3"/>
        <v>42000</v>
      </c>
      <c r="P11" s="8" t="s">
        <v>205</v>
      </c>
      <c r="Q11" s="9">
        <v>0</v>
      </c>
      <c r="R11" s="9"/>
      <c r="S11" s="48"/>
      <c r="T11" s="21">
        <f t="shared" si="4"/>
        <v>15500</v>
      </c>
      <c r="U11" s="53">
        <f>IF($J11="","",ROUND(($J11-$J$3)/1000,1)+(_xlfn.RANK.AVG($J11,($J11,$O11,$T11),1)-2)*10)</f>
        <v>22.5</v>
      </c>
      <c r="V11" s="54">
        <f>IF($O11="","",ROUND(($O11-$O$3)/1000,1)+(_xlfn.RANK.AVG($O11,($J11,$O11,$T11),1)-2)*10)</f>
        <v>7</v>
      </c>
      <c r="W11" s="55">
        <f>IF($T11="","",ROUND(($T11-$T$3)/1000,1)+(_xlfn.RANK.AVG($T11,($J11,$O11,$T11),1)-2)*10)</f>
        <v>-29.5</v>
      </c>
      <c r="Y11" s="8" t="s">
        <v>204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>
        <f t="shared" si="2"/>
        <v>47500</v>
      </c>
      <c r="K12" s="8" t="s">
        <v>201</v>
      </c>
      <c r="L12" s="9">
        <v>1000</v>
      </c>
      <c r="M12" s="9"/>
      <c r="N12" s="48">
        <v>1000</v>
      </c>
      <c r="O12" s="21">
        <f t="shared" si="3"/>
        <v>44000</v>
      </c>
      <c r="P12" s="8" t="s">
        <v>200</v>
      </c>
      <c r="Q12" s="9">
        <v>-1000</v>
      </c>
      <c r="R12" s="9"/>
      <c r="S12" s="48">
        <v>-1000</v>
      </c>
      <c r="T12" s="21">
        <f t="shared" si="4"/>
        <v>13500</v>
      </c>
      <c r="U12" s="53">
        <f>IF($J12="","",ROUND(($J12-$J$3)/1000,1)+(_xlfn.RANK.AVG($J12,($J12,$O12,$T12),1)-2)*10)</f>
        <v>22.5</v>
      </c>
      <c r="V12" s="54">
        <f>IF($O12="","",ROUND(($O12-$O$3)/1000,1)+(_xlfn.RANK.AVG($O12,($J12,$O12,$T12),1)-2)*10)</f>
        <v>9</v>
      </c>
      <c r="W12" s="55">
        <f>IF($T12="","",ROUND(($T12-$T$3)/1000,1)+(_xlfn.RANK.AVG($T12,($J12,$O12,$T12),1)-2)*10)</f>
        <v>-31.5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1</v>
      </c>
      <c r="AY12" s="30">
        <v>30</v>
      </c>
      <c r="AZ12" s="40" t="s">
        <v>86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201</v>
      </c>
      <c r="G13" s="9">
        <v>7700</v>
      </c>
      <c r="H13" s="9"/>
      <c r="I13" s="48">
        <v>0</v>
      </c>
      <c r="J13" s="21">
        <f t="shared" si="2"/>
        <v>55200</v>
      </c>
      <c r="K13" s="8"/>
      <c r="L13" s="9"/>
      <c r="M13" s="9"/>
      <c r="N13" s="48"/>
      <c r="O13" s="21">
        <f t="shared" si="3"/>
        <v>44000</v>
      </c>
      <c r="P13" s="8" t="s">
        <v>200</v>
      </c>
      <c r="Q13" s="9">
        <v>-7700</v>
      </c>
      <c r="R13" s="9"/>
      <c r="S13" s="48">
        <v>0</v>
      </c>
      <c r="T13" s="21">
        <f t="shared" si="4"/>
        <v>5800</v>
      </c>
      <c r="U13" s="53">
        <f>IF($J13="","",ROUND(($J13-$J$3)/1000,1)+(_xlfn.RANK.AVG($J13,($J13,$O13,$T13),1)-2)*10)</f>
        <v>30.2</v>
      </c>
      <c r="V13" s="54">
        <f>IF($O13="","",ROUND(($O13-$O$3)/1000,1)+(_xlfn.RANK.AVG($O13,($J13,$O13,$T13),1)-2)*10)</f>
        <v>9</v>
      </c>
      <c r="W13" s="55">
        <f>IF($T13="","",ROUND(($T13-$T$3)/1000,1)+(_xlfn.RANK.AVG($T13,($J13,$O13,$T13),1)-2)*10)</f>
        <v>-39.200000000000003</v>
      </c>
      <c r="Y13" s="8"/>
      <c r="Z13" s="34"/>
      <c r="AA13" s="26"/>
      <c r="AB13" s="26"/>
      <c r="AC13" s="26">
        <v>3</v>
      </c>
      <c r="AD13" s="30">
        <v>40</v>
      </c>
      <c r="AE13" s="40" t="s">
        <v>85</v>
      </c>
      <c r="AF13" s="41" t="s">
        <v>203</v>
      </c>
      <c r="AG13" s="41" t="s">
        <v>203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">
        <v>193</v>
      </c>
      <c r="F14" s="8" t="s">
        <v>200</v>
      </c>
      <c r="G14" s="9">
        <v>-7700</v>
      </c>
      <c r="H14" s="9"/>
      <c r="I14" s="48">
        <v>-1000</v>
      </c>
      <c r="J14" s="21">
        <f t="shared" si="2"/>
        <v>46500</v>
      </c>
      <c r="K14" s="8" t="s">
        <v>201</v>
      </c>
      <c r="L14" s="9">
        <v>7700</v>
      </c>
      <c r="M14" s="9"/>
      <c r="N14" s="48">
        <v>1000</v>
      </c>
      <c r="O14" s="21">
        <f t="shared" si="3"/>
        <v>52700</v>
      </c>
      <c r="P14" s="8"/>
      <c r="Q14" s="9"/>
      <c r="R14" s="9"/>
      <c r="S14" s="48"/>
      <c r="T14" s="21">
        <f t="shared" si="4"/>
        <v>5800</v>
      </c>
      <c r="U14" s="53">
        <f>IF($J14="","",ROUND(($J14-$J$3)/1000,1)+(_xlfn.RANK.AVG($J14,($J14,$O14,$T14),1)-2)*10)</f>
        <v>11.5</v>
      </c>
      <c r="V14" s="54">
        <f>IF($O14="","",ROUND(($O14-$O$3)/1000,1)+(_xlfn.RANK.AVG($O14,($J14,$O14,$T14),1)-2)*10)</f>
        <v>27.7</v>
      </c>
      <c r="W14" s="55">
        <f>IF($T14="","",ROUND(($T14-$T$3)/1000,1)+(_xlfn.RANK.AVG($T14,($J14,$O14,$T14),1)-2)*10)</f>
        <v>-39.200000000000003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4</v>
      </c>
      <c r="AY14" s="30">
        <v>30</v>
      </c>
      <c r="AZ14" s="40" t="s">
        <v>86</v>
      </c>
      <c r="BA14" s="41" t="s">
        <v>203</v>
      </c>
      <c r="BB14" s="41" t="s">
        <v>79</v>
      </c>
      <c r="BC14" s="41" t="s">
        <v>79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195</v>
      </c>
      <c r="F15" s="8" t="s">
        <v>197</v>
      </c>
      <c r="G15" s="9">
        <v>-9000</v>
      </c>
      <c r="H15" s="9"/>
      <c r="I15" s="48">
        <v>0</v>
      </c>
      <c r="J15" s="21">
        <f t="shared" si="2"/>
        <v>37500</v>
      </c>
      <c r="K15" s="8" t="s">
        <v>197</v>
      </c>
      <c r="L15" s="9">
        <v>-15000</v>
      </c>
      <c r="M15" s="9"/>
      <c r="N15" s="48">
        <v>0</v>
      </c>
      <c r="O15" s="21">
        <f t="shared" si="3"/>
        <v>37700</v>
      </c>
      <c r="P15" s="8" t="s">
        <v>198</v>
      </c>
      <c r="Q15" s="9">
        <v>24000</v>
      </c>
      <c r="R15" s="9"/>
      <c r="S15" s="48">
        <v>0</v>
      </c>
      <c r="T15" s="21">
        <f t="shared" si="4"/>
        <v>29800</v>
      </c>
      <c r="U15" s="53">
        <f>IF($J15="","",ROUND(($J15-$J$3)/1000,1)+(_xlfn.RANK.AVG($J15,($J15,$O15,$T15),1)-2)*10)</f>
        <v>2.5</v>
      </c>
      <c r="V15" s="54">
        <f>IF($O15="","",ROUND(($O15-$O$3)/1000,1)+(_xlfn.RANK.AVG($O15,($J15,$O15,$T15),1)-2)*10)</f>
        <v>12.7</v>
      </c>
      <c r="W15" s="55">
        <f>IF($T15="","",ROUND(($T15-$T$3)/1000,1)+(_xlfn.RANK.AVG($T15,($J15,$O15,$T15),1)-2)*10)</f>
        <v>-15.2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11</v>
      </c>
      <c r="BT15" s="30" t="s">
        <v>199</v>
      </c>
      <c r="BU15" s="40" t="s">
        <v>202</v>
      </c>
      <c r="BV15" s="41" t="s">
        <v>82</v>
      </c>
      <c r="BW15" s="41" t="s">
        <v>106</v>
      </c>
      <c r="BX15" s="41" t="s">
        <v>96</v>
      </c>
      <c r="BY15" s="41" t="s">
        <v>203</v>
      </c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">
        <v>191</v>
      </c>
      <c r="F16" s="8" t="s">
        <v>201</v>
      </c>
      <c r="G16" s="9">
        <v>2000</v>
      </c>
      <c r="H16" s="9">
        <v>2000</v>
      </c>
      <c r="I16" s="48">
        <v>0</v>
      </c>
      <c r="J16" s="21">
        <f t="shared" si="2"/>
        <v>41500</v>
      </c>
      <c r="K16" s="8" t="s">
        <v>200</v>
      </c>
      <c r="L16" s="9">
        <v>-2000</v>
      </c>
      <c r="M16" s="9">
        <v>-1000</v>
      </c>
      <c r="N16" s="48">
        <v>0</v>
      </c>
      <c r="O16" s="21">
        <f t="shared" si="3"/>
        <v>34700</v>
      </c>
      <c r="P16" s="8"/>
      <c r="Q16" s="9"/>
      <c r="R16" s="9">
        <v>-1000</v>
      </c>
      <c r="S16" s="48"/>
      <c r="T16" s="21">
        <f t="shared" si="4"/>
        <v>28800</v>
      </c>
      <c r="U16" s="53">
        <f>IF($J16="","",ROUND(($J16-$J$3)/1000,1)+(_xlfn.RANK.AVG($J16,($J16,$O16,$T16),1)-2)*10)</f>
        <v>16.5</v>
      </c>
      <c r="V16" s="54">
        <f>IF($O16="","",ROUND(($O16-$O$3)/1000,1)+(_xlfn.RANK.AVG($O16,($J16,$O16,$T16),1)-2)*10)</f>
        <v>-0.3</v>
      </c>
      <c r="W16" s="55">
        <f>IF($T16="","",ROUND(($T16-$T$3)/1000,1)+(_xlfn.RANK.AVG($T16,($J16,$O16,$T16),1)-2)*10)</f>
        <v>-16.2</v>
      </c>
      <c r="Y16" s="8"/>
      <c r="Z16" s="34"/>
      <c r="AA16" s="26"/>
      <c r="AB16" s="26">
        <v>1</v>
      </c>
      <c r="AC16" s="26">
        <v>2</v>
      </c>
      <c r="AD16" s="30">
        <v>30</v>
      </c>
      <c r="AE16" s="40" t="s">
        <v>86</v>
      </c>
      <c r="AF16" s="41" t="s">
        <v>86</v>
      </c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">
        <v>193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D08EBEB5-4C7A-4974-977A-3BA03E891E15}">
      <formula1>"ロン,ツモ,放銃,ツモ支払,流局,チョンボ"</formula1>
    </dataValidation>
    <dataValidation type="list" allowBlank="1" showInputMessage="1" showErrorMessage="1" sqref="E4:E30" xr:uid="{A3C7A9AB-A54C-4DA4-B12A-DBC63F080A33}">
      <formula1>$U$2:$W$2</formula1>
    </dataValidation>
    <dataValidation type="list" allowBlank="1" showInputMessage="1" sqref="F1:T1" xr:uid="{D8C1F271-ED3E-4A41-8B0C-5F086B86072F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2020-02-04T14:44:26Z</dcterms:modified>
</cp:coreProperties>
</file>