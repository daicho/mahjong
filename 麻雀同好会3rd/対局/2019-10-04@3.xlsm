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対局\"/>
    </mc:Choice>
  </mc:AlternateContent>
  <xr:revisionPtr revIDLastSave="0" documentId="13_ncr:1_{4746DD77-90D9-4578-88E1-ACFD33262834}" xr6:coauthVersionLast="41" xr6:coauthVersionMax="41" xr10:uidLastSave="{00000000-0000-0000-0000-000000000000}"/>
  <bookViews>
    <workbookView xWindow="-110" yWindow="-110" windowWidth="18220" windowHeight="116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O15" i="20"/>
  <c r="J15" i="20"/>
  <c r="D15" i="20"/>
  <c r="C15" i="20"/>
  <c r="B15" i="20"/>
  <c r="A15" i="20"/>
  <c r="T14" i="20"/>
  <c r="W14" i="20" s="1"/>
  <c r="O14" i="20"/>
  <c r="J14" i="20"/>
  <c r="U14" i="20" s="1"/>
  <c r="D14" i="20"/>
  <c r="C14" i="20"/>
  <c r="B14" i="20"/>
  <c r="A14" i="20" s="1"/>
  <c r="D13" i="20"/>
  <c r="C13" i="20"/>
  <c r="D12" i="20"/>
  <c r="C12" i="20"/>
  <c r="D11" i="20"/>
  <c r="D10" i="20"/>
  <c r="C10" i="20"/>
  <c r="C11" i="20" s="1"/>
  <c r="D9" i="20"/>
  <c r="C9" i="20"/>
  <c r="D8" i="20"/>
  <c r="C8" i="20"/>
  <c r="D7" i="20"/>
  <c r="D6" i="20"/>
  <c r="C6" i="20"/>
  <c r="C7" i="20" s="1"/>
  <c r="J5" i="20"/>
  <c r="D5" i="20"/>
  <c r="C5" i="20"/>
  <c r="B5" i="20"/>
  <c r="B6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U15" i="20" l="1"/>
  <c r="V15" i="20"/>
  <c r="W15" i="20"/>
  <c r="V14" i="20"/>
  <c r="A5" i="20"/>
  <c r="W4" i="20"/>
  <c r="V4" i="20"/>
  <c r="O6" i="20"/>
  <c r="A6" i="20"/>
  <c r="B7" i="20"/>
  <c r="U4" i="20"/>
  <c r="T5" i="20"/>
  <c r="U5" i="20" s="1"/>
  <c r="J6" i="20"/>
  <c r="A7" i="20" l="1"/>
  <c r="W5" i="20"/>
  <c r="T6" i="20"/>
  <c r="U6" i="20" s="1"/>
  <c r="V5" i="20"/>
  <c r="J7" i="20"/>
  <c r="B8" i="20"/>
  <c r="A8" i="20" s="1"/>
  <c r="O7" i="20"/>
  <c r="V6" i="20" l="1"/>
  <c r="J8" i="20"/>
  <c r="B9" i="20"/>
  <c r="W6" i="20"/>
  <c r="T7" i="20"/>
  <c r="U7" i="20" s="1"/>
  <c r="O8" i="20"/>
  <c r="V7" i="20"/>
  <c r="B10" i="20" l="1"/>
  <c r="A10" i="20" s="1"/>
  <c r="O9" i="20"/>
  <c r="A9" i="20"/>
  <c r="T8" i="20"/>
  <c r="V8" i="20" s="1"/>
  <c r="W7" i="20"/>
  <c r="J9" i="20"/>
  <c r="U8" i="20"/>
  <c r="U9" i="20" l="1"/>
  <c r="J10" i="20"/>
  <c r="O10" i="20"/>
  <c r="V9" i="20"/>
  <c r="W8" i="20"/>
  <c r="T9" i="20"/>
  <c r="B11" i="20"/>
  <c r="A11" i="20" s="1"/>
  <c r="O11" i="20" l="1"/>
  <c r="B12" i="20"/>
  <c r="A12" i="20" s="1"/>
  <c r="T10" i="20"/>
  <c r="V10" i="20" s="1"/>
  <c r="W9" i="20"/>
  <c r="J11" i="20"/>
  <c r="U10" i="20" l="1"/>
  <c r="W10" i="20"/>
  <c r="T11" i="20"/>
  <c r="V11" i="20" s="1"/>
  <c r="U11" i="20"/>
  <c r="J12" i="20"/>
  <c r="B13" i="20"/>
  <c r="A13" i="20" s="1"/>
  <c r="O12" i="20"/>
  <c r="J13" i="20" l="1"/>
  <c r="O13" i="20"/>
  <c r="T12" i="20"/>
  <c r="V12" i="20" s="1"/>
  <c r="W11" i="20"/>
  <c r="V13" i="20" l="1"/>
  <c r="U13" i="20"/>
  <c r="W12" i="20"/>
  <c r="T13" i="20"/>
  <c r="W13" i="20" s="1"/>
  <c r="U12" i="20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W9" i="19" s="1"/>
  <c r="O9" i="19"/>
  <c r="V9" i="19" s="1"/>
  <c r="J9" i="19"/>
  <c r="D9" i="19"/>
  <c r="C9" i="19"/>
  <c r="B9" i="19"/>
  <c r="A9" i="19" s="1"/>
  <c r="T8" i="19"/>
  <c r="O8" i="19"/>
  <c r="V8" i="19" s="1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V6" i="19" s="1"/>
  <c r="J6" i="19"/>
  <c r="D6" i="19"/>
  <c r="C6" i="19"/>
  <c r="B6" i="19"/>
  <c r="A6" i="19"/>
  <c r="D5" i="19"/>
  <c r="C5" i="19"/>
  <c r="B5" i="19"/>
  <c r="A5" i="19" s="1"/>
  <c r="T4" i="19"/>
  <c r="O4" i="19"/>
  <c r="J4" i="19"/>
  <c r="U4" i="19" s="1"/>
  <c r="W2" i="19"/>
  <c r="V2" i="19"/>
  <c r="U2" i="19"/>
  <c r="BO1" i="19"/>
  <c r="AT1" i="19"/>
  <c r="Y1" i="19"/>
  <c r="W13" i="19" l="1"/>
  <c r="U13" i="19"/>
  <c r="V13" i="19"/>
  <c r="W12" i="19"/>
  <c r="U12" i="19"/>
  <c r="V11" i="19"/>
  <c r="W11" i="19"/>
  <c r="V10" i="19"/>
  <c r="U10" i="19"/>
  <c r="W10" i="19"/>
  <c r="U9" i="19"/>
  <c r="W8" i="19"/>
  <c r="U8" i="19"/>
  <c r="V7" i="19"/>
  <c r="W7" i="19"/>
  <c r="U6" i="19"/>
  <c r="W6" i="19"/>
  <c r="V4" i="19"/>
  <c r="T5" i="19"/>
  <c r="W5" i="19" s="1"/>
  <c r="W4" i="19"/>
  <c r="J5" i="19"/>
  <c r="U5" i="19" s="1"/>
  <c r="O5" i="19"/>
  <c r="V5" i="19" s="1"/>
</calcChain>
</file>

<file path=xl/sharedStrings.xml><?xml version="1.0" encoding="utf-8"?>
<sst xmlns="http://schemas.openxmlformats.org/spreadsheetml/2006/main" count="719" uniqueCount="206">
  <si>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</si>
  <si>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</si>
  <si>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</si>
  <si>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</si>
  <si>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</si>
  <si>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</si>
  <si>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</si>
  <si>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</si>
  <si>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</si>
  <si>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</si>
  <si>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</si>
  <si>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</si>
  <si>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</si>
  <si>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</si>
  <si>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</si>
  <si>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</si>
  <si>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</si>
  <si>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</si>
  <si>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</si>
  <si>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</si>
  <si>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</si>
  <si>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</si>
  <si>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</si>
  <si>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</si>
  <si>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</si>
  <si>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</si>
  <si>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</si>
  <si>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</si>
  <si>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</si>
  <si>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</si>
  <si>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</si>
  <si>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</si>
  <si>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</si>
  <si>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</si>
  <si>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</si>
  <si>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</si>
  <si>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</si>
  <si>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</si>
  <si>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</si>
  <si>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</si>
  <si>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</si>
  <si>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</si>
  <si>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</si>
  <si>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</si>
  <si>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</si>
  <si>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</si>
  <si>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</si>
  <si>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</si>
  <si>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</si>
  <si>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</si>
  <si>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</si>
  <si>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</si>
  <si>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</si>
  <si>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</si>
  <si>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</si>
  <si>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</si>
  <si>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</si>
  <si>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</si>
  <si>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</si>
  <si>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</si>
  <si>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</si>
  <si>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</si>
  <si>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</si>
  <si>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</si>
  <si>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</si>
  <si>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</si>
  <si>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</si>
  <si>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</si>
  <si>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</si>
  <si>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</si>
  <si>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</si>
  <si>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</si>
  <si>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</si>
  <si>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</si>
  <si>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</si>
  <si>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</si>
  <si>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</si>
  <si>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</si>
  <si>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</si>
  <si>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</si>
  <si>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</si>
  <si>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</si>
  <si>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</si>
  <si>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</si>
  <si>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</si>
  <si>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</si>
  <si>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</si>
  <si>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</si>
  <si>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</si>
  <si>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</si>
  <si>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</si>
  <si>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</si>
  <si>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</si>
  <si>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</si>
  <si>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</si>
  <si>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</si>
  <si>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</si>
  <si>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</si>
  <si>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</si>
  <si>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</si>
  <si>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</si>
  <si>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</si>
  <si>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</si>
  <si>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</si>
  <si>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</si>
  <si>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</si>
  <si>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</si>
  <si>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</si>
  <si>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</si>
  <si>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</si>
  <si>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</si>
  <si>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</si>
  <si>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</si>
  <si>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</si>
  <si>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</si>
  <si>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</si>
  <si>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</si>
  <si>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</si>
  <si>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</si>
  <si>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</si>
  <si>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</si>
  <si>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</si>
  <si>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</si>
  <si>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</si>
  <si>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</si>
  <si>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</si>
  <si>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</si>
  <si>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</si>
  <si>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</si>
  <si>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</si>
  <si>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</si>
  <si>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</si>
  <si>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</si>
  <si>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</si>
  <si>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</si>
  <si>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</si>
  <si>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</si>
  <si>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</si>
  <si>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</si>
  <si>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</si>
  <si>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</si>
  <si>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</si>
  <si>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</si>
  <si>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</si>
  <si>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</si>
  <si>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</si>
  <si>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</si>
  <si>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</si>
  <si>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</si>
  <si>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</si>
  <si>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</si>
  <si>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</si>
  <si>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</si>
  <si>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</si>
  <si>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</si>
  <si>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</si>
  <si>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</si>
  <si>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</si>
  <si>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</si>
  <si>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</si>
  <si>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</si>
  <si>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</si>
  <si>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</si>
  <si>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</si>
  <si>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</si>
  <si>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</si>
  <si>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</si>
  <si>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</si>
  <si>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</si>
  <si>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</si>
  <si>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</si>
  <si>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</si>
  <si>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</si>
  <si>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</si>
  <si>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</si>
  <si>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</si>
  <si>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</si>
  <si>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</si>
  <si>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</si>
  <si>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</si>
  <si>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</si>
  <si>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</si>
  <si>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</si>
  <si>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</si>
  <si>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</si>
  <si>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</si>
  <si>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</si>
  <si>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</si>
  <si>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</si>
  <si>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</si>
  <si>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</si>
  <si>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</si>
  <si>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ぱぱ</t>
  </si>
  <si>
    <t>たかの</t>
  </si>
  <si>
    <t>ツモ支払</t>
  </si>
  <si>
    <t>ツモ</t>
  </si>
  <si>
    <t>*</t>
  </si>
  <si>
    <t>01</t>
  </si>
  <si>
    <t>ロン</t>
  </si>
  <si>
    <t>放銃</t>
  </si>
  <si>
    <t>52</t>
  </si>
  <si>
    <t>流局</t>
  </si>
  <si>
    <t>N</t>
  </si>
  <si>
    <t>T</t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</si>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</sst>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\+0.0;\-0.0;\±0"/>
  </numFmts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64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64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64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64" fontId="0" fillId="0" borderId="2" xfId="0" applyNumberFormat="1" applyFill="1" applyBorder="1" applyAlignment="1">
      <alignment vertical="center" shrinkToFit="1"/>
    </xf>
    <xf numFmtId="164" fontId="0" fillId="0" borderId="1" xfId="0" applyNumberFormat="1" applyFill="1" applyBorder="1" applyAlignment="1">
      <alignment vertical="center" shrinkToFit="1"/>
    </xf>
    <xf numFmtId="164" fontId="0" fillId="0" borderId="3" xfId="0" applyNumberFormat="1" applyFill="1" applyBorder="1" applyAlignment="1">
      <alignment vertical="center" shrinkToFit="1"/>
    </xf>
    <xf numFmtId="165" fontId="0" fillId="3" borderId="8" xfId="0" applyNumberFormat="1" applyFill="1" applyBorder="1" applyAlignment="1">
      <alignment vertical="center" shrinkToFit="1"/>
    </xf>
    <xf numFmtId="165" fontId="0" fillId="3" borderId="2" xfId="0" applyNumberFormat="1" applyFill="1" applyBorder="1" applyAlignment="1">
      <alignment vertical="center" shrinkToFit="1"/>
    </xf>
    <xf numFmtId="165" fontId="0" fillId="3" borderId="9" xfId="0" applyNumberFormat="1" applyFill="1" applyBorder="1" applyAlignment="1">
      <alignment vertical="center" shrinkToFit="1"/>
    </xf>
    <xf numFmtId="165" fontId="0" fillId="3" borderId="4" xfId="0" applyNumberFormat="1" applyFill="1" applyBorder="1" applyAlignment="1">
      <alignment vertical="center" shrinkToFit="1"/>
    </xf>
    <xf numFmtId="165" fontId="0" fillId="3" borderId="1" xfId="0" applyNumberFormat="1" applyFill="1" applyBorder="1" applyAlignment="1">
      <alignment vertical="center" shrinkToFit="1"/>
    </xf>
    <xf numFmtId="165" fontId="0" fillId="3" borderId="5" xfId="0" applyNumberFormat="1" applyFill="1" applyBorder="1" applyAlignment="1">
      <alignment vertical="center" shrinkToFit="1"/>
    </xf>
    <xf numFmtId="165" fontId="0" fillId="3" borderId="6" xfId="0" applyNumberFormat="1" applyFill="1" applyBorder="1" applyAlignment="1">
      <alignment vertical="center" shrinkToFit="1"/>
    </xf>
    <xf numFmtId="165" fontId="0" fillId="3" borderId="3" xfId="0" applyNumberFormat="1" applyFill="1" applyBorder="1" applyAlignment="1">
      <alignment vertical="center" shrinkToFit="1"/>
    </xf>
    <xf numFmtId="165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opLeftCell="B1" zoomScaleNormal="100" workbookViewId="0">
      <selection sqref="A1:A2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ぱぱ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ぱぱ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195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194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196</v>
      </c>
      <c r="AZ4" s="40" t="s">
        <v>197</v>
      </c>
      <c r="BA4" s="41" t="s">
        <v>82</v>
      </c>
      <c r="BB4" s="41" t="s">
        <v>79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/>
      <c r="G5" s="9"/>
      <c r="H5" s="9"/>
      <c r="I5" s="48"/>
      <c r="J5" s="21">
        <f t="shared" ref="J5:J30" si="2">IF(COUNTA($F5,$K5,$P5)&gt;0,J4+SUM(G5:I5),"")</f>
        <v>30000</v>
      </c>
      <c r="K5" s="8" t="s">
        <v>198</v>
      </c>
      <c r="L5" s="9">
        <v>1500</v>
      </c>
      <c r="M5" s="9"/>
      <c r="N5" s="48">
        <v>0</v>
      </c>
      <c r="O5" s="21">
        <f t="shared" ref="O5:O30" si="3">IF(COUNTA($F5,$K5,$P5)&gt;0,O4+SUM(L5:N5),"")</f>
        <v>44500</v>
      </c>
      <c r="P5" s="8" t="s">
        <v>199</v>
      </c>
      <c r="Q5" s="9">
        <v>-1500</v>
      </c>
      <c r="R5" s="9"/>
      <c r="S5" s="48">
        <v>0</v>
      </c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-15</v>
      </c>
      <c r="V5" s="54">
        <f>IF($O5="","",ROUND(($O5-$O$3)/1000,1)+(_xlfn.RANK.AVG($O5,($J5,$O5,$T5),1)-2)*10)</f>
        <v>19.5</v>
      </c>
      <c r="W5" s="55">
        <f>IF($T5="","",ROUND(($T5-$T$3)/1000,1)+(_xlfn.RANK.AVG($T5,($J5,$O5,$T5),1)-2)*10)</f>
        <v>-4.5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30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192</v>
      </c>
      <c r="F6" s="8" t="s">
        <v>199</v>
      </c>
      <c r="G6" s="9">
        <v>-9600</v>
      </c>
      <c r="H6" s="9"/>
      <c r="I6" s="48">
        <v>-1000</v>
      </c>
      <c r="J6" s="21">
        <f t="shared" si="2"/>
        <v>19400</v>
      </c>
      <c r="K6" s="8" t="s">
        <v>198</v>
      </c>
      <c r="L6" s="9">
        <v>9600</v>
      </c>
      <c r="M6" s="9"/>
      <c r="N6" s="48">
        <v>1000</v>
      </c>
      <c r="O6" s="21">
        <f t="shared" si="3"/>
        <v>55100</v>
      </c>
      <c r="P6" s="8"/>
      <c r="Q6" s="9"/>
      <c r="R6" s="9"/>
      <c r="S6" s="48"/>
      <c r="T6" s="21">
        <f t="shared" si="4"/>
        <v>30500</v>
      </c>
      <c r="U6" s="53">
        <f>IF($J6="","",ROUND(($J6-$J$3)/1000,1)+(_xlfn.RANK.AVG($J6,($J6,$O6,$T6),1)-2)*10)</f>
        <v>-25.6</v>
      </c>
      <c r="V6" s="54">
        <f>IF($O6="","",ROUND(($O6-$O$3)/1000,1)+(_xlfn.RANK.AVG($O6,($J6,$O6,$T6),1)-2)*10)</f>
        <v>30.1</v>
      </c>
      <c r="W6" s="55">
        <f>IF($T6="","",ROUND(($T6-$T$3)/1000,1)+(_xlfn.RANK.AVG($T6,($J6,$O6,$T6),1)-2)*10)</f>
        <v>-4.5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25</v>
      </c>
      <c r="AZ6" s="40" t="s">
        <v>101</v>
      </c>
      <c r="BA6" s="41" t="s">
        <v>79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192</v>
      </c>
      <c r="F7" s="8" t="s">
        <v>194</v>
      </c>
      <c r="G7" s="9">
        <v>-600</v>
      </c>
      <c r="H7" s="9"/>
      <c r="I7" s="48">
        <v>-1000</v>
      </c>
      <c r="J7" s="21">
        <f t="shared" si="2"/>
        <v>17800</v>
      </c>
      <c r="K7" s="8" t="s">
        <v>194</v>
      </c>
      <c r="L7" s="9">
        <v>-900</v>
      </c>
      <c r="M7" s="9"/>
      <c r="N7" s="48">
        <v>-1000</v>
      </c>
      <c r="O7" s="21">
        <f t="shared" si="3"/>
        <v>53200</v>
      </c>
      <c r="P7" s="8" t="s">
        <v>195</v>
      </c>
      <c r="Q7" s="9">
        <v>1500</v>
      </c>
      <c r="R7" s="9"/>
      <c r="S7" s="48">
        <v>2000</v>
      </c>
      <c r="T7" s="21">
        <f t="shared" si="4"/>
        <v>34000</v>
      </c>
      <c r="U7" s="53">
        <f>IF($J7="","",ROUND(($J7-$J$3)/1000,1)+(_xlfn.RANK.AVG($J7,($J7,$O7,$T7),1)-2)*10)</f>
        <v>-27.2</v>
      </c>
      <c r="V7" s="54">
        <f>IF($O7="","",ROUND(($O7-$O$3)/1000,1)+(_xlfn.RANK.AVG($O7,($J7,$O7,$T7),1)-2)*10)</f>
        <v>28.2</v>
      </c>
      <c r="W7" s="55">
        <f>IF($T7="","",ROUND(($T7-$T$3)/1000,1)+(_xlfn.RANK.AVG($T7,($J7,$O7,$T7),1)-2)*10)</f>
        <v>-1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20</v>
      </c>
      <c r="BU7" s="40" t="s">
        <v>82</v>
      </c>
      <c r="BV7" s="41" t="s">
        <v>83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198</v>
      </c>
      <c r="G8" s="9">
        <v>2600</v>
      </c>
      <c r="H8" s="9"/>
      <c r="I8" s="48">
        <v>0</v>
      </c>
      <c r="J8" s="21">
        <f t="shared" si="2"/>
        <v>20400</v>
      </c>
      <c r="K8" s="8" t="s">
        <v>199</v>
      </c>
      <c r="L8" s="9">
        <v>-2600</v>
      </c>
      <c r="M8" s="9"/>
      <c r="N8" s="48">
        <v>0</v>
      </c>
      <c r="O8" s="21">
        <f t="shared" si="3"/>
        <v>50600</v>
      </c>
      <c r="P8" s="8"/>
      <c r="Q8" s="9"/>
      <c r="R8" s="9"/>
      <c r="S8" s="48"/>
      <c r="T8" s="21">
        <f t="shared" si="4"/>
        <v>34000</v>
      </c>
      <c r="U8" s="53">
        <f>IF($J8="","",ROUND(($J8-$J$3)/1000,1)+(_xlfn.RANK.AVG($J8,($J8,$O8,$T8),1)-2)*10)</f>
        <v>-24.6</v>
      </c>
      <c r="V8" s="54">
        <f>IF($O8="","",ROUND(($O8-$O$3)/1000,1)+(_xlfn.RANK.AVG($O8,($J8,$O8,$T8),1)-2)*10)</f>
        <v>25.6</v>
      </c>
      <c r="W8" s="55">
        <f>IF($T8="","",ROUND(($T8-$T$3)/1000,1)+(_xlfn.RANK.AVG($T8,($J8,$O8,$T8),1)-2)*10)</f>
        <v>-1</v>
      </c>
      <c r="Y8" s="8"/>
      <c r="Z8" s="34"/>
      <c r="AA8" s="26">
        <v>1</v>
      </c>
      <c r="AB8" s="26"/>
      <c r="AC8" s="26">
        <v>2</v>
      </c>
      <c r="AD8" s="30">
        <v>40</v>
      </c>
      <c r="AE8" s="40" t="s">
        <v>197</v>
      </c>
      <c r="AF8" s="41" t="s">
        <v>84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198</v>
      </c>
      <c r="G9" s="9">
        <v>12000</v>
      </c>
      <c r="H9" s="9"/>
      <c r="I9" s="48">
        <v>0</v>
      </c>
      <c r="J9" s="21">
        <f t="shared" si="2"/>
        <v>32400</v>
      </c>
      <c r="K9" s="8"/>
      <c r="L9" s="9"/>
      <c r="M9" s="9"/>
      <c r="N9" s="48"/>
      <c r="O9" s="21">
        <f t="shared" si="3"/>
        <v>50600</v>
      </c>
      <c r="P9" s="8" t="s">
        <v>199</v>
      </c>
      <c r="Q9" s="9">
        <v>-12000</v>
      </c>
      <c r="R9" s="9"/>
      <c r="S9" s="48">
        <v>0</v>
      </c>
      <c r="T9" s="21">
        <f t="shared" si="4"/>
        <v>22000</v>
      </c>
      <c r="U9" s="53">
        <f>IF($J9="","",ROUND(($J9-$J$3)/1000,1)+(_xlfn.RANK.AVG($J9,($J9,$O9,$T9),1)-2)*10)</f>
        <v>-2.6</v>
      </c>
      <c r="V9" s="54">
        <f>IF($O9="","",ROUND(($O9-$O$3)/1000,1)+(_xlfn.RANK.AVG($O9,($J9,$O9,$T9),1)-2)*10)</f>
        <v>25.6</v>
      </c>
      <c r="W9" s="55">
        <f>IF($T9="","",ROUND(($T9-$T$3)/1000,1)+(_xlfn.RANK.AVG($T9,($J9,$O9,$T9),1)-2)*10)</f>
        <v>-23</v>
      </c>
      <c r="Y9" s="8"/>
      <c r="Z9" s="34"/>
      <c r="AA9" s="26"/>
      <c r="AB9" s="26">
        <v>1</v>
      </c>
      <c r="AC9" s="26">
        <v>5</v>
      </c>
      <c r="AD9" s="30" t="s">
        <v>196</v>
      </c>
      <c r="AE9" s="40" t="s">
        <v>104</v>
      </c>
      <c r="AF9" s="41" t="s">
        <v>98</v>
      </c>
      <c r="AG9" s="41" t="s">
        <v>86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195</v>
      </c>
      <c r="G10" s="9">
        <v>6000</v>
      </c>
      <c r="H10" s="9"/>
      <c r="I10" s="48">
        <v>1000</v>
      </c>
      <c r="J10" s="21">
        <f t="shared" si="2"/>
        <v>39400</v>
      </c>
      <c r="K10" s="8" t="s">
        <v>194</v>
      </c>
      <c r="L10" s="9">
        <v>-3000</v>
      </c>
      <c r="M10" s="9"/>
      <c r="N10" s="48">
        <v>-500</v>
      </c>
      <c r="O10" s="21">
        <f t="shared" si="3"/>
        <v>47100</v>
      </c>
      <c r="P10" s="8" t="s">
        <v>194</v>
      </c>
      <c r="Q10" s="9">
        <v>-3000</v>
      </c>
      <c r="R10" s="9"/>
      <c r="S10" s="48">
        <v>-500</v>
      </c>
      <c r="T10" s="21">
        <f t="shared" si="4"/>
        <v>18500</v>
      </c>
      <c r="U10" s="53">
        <f>IF($J10="","",ROUND(($J10-$J$3)/1000,1)+(_xlfn.RANK.AVG($J10,($J10,$O10,$T10),1)-2)*10)</f>
        <v>4.4000000000000004</v>
      </c>
      <c r="V10" s="54">
        <f>IF($O10="","",ROUND(($O10-$O$3)/1000,1)+(_xlfn.RANK.AVG($O10,($J10,$O10,$T10),1)-2)*10)</f>
        <v>22.1</v>
      </c>
      <c r="W10" s="55">
        <f>IF($T10="","",ROUND(($T10-$T$3)/1000,1)+(_xlfn.RANK.AVG($T10,($J10,$O10,$T10),1)-2)*10)</f>
        <v>-26.5</v>
      </c>
      <c r="Y10" s="8"/>
      <c r="Z10" s="34"/>
      <c r="AA10" s="26">
        <v>1</v>
      </c>
      <c r="AB10" s="26"/>
      <c r="AC10" s="26">
        <v>3</v>
      </c>
      <c r="AD10" s="30">
        <v>30</v>
      </c>
      <c r="AE10" s="40" t="s">
        <v>197</v>
      </c>
      <c r="AF10" s="41" t="s">
        <v>82</v>
      </c>
      <c r="AG10" s="41" t="s">
        <v>84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191</v>
      </c>
      <c r="F11" s="8" t="s">
        <v>194</v>
      </c>
      <c r="G11" s="9">
        <v>-7500</v>
      </c>
      <c r="H11" s="9">
        <v>-1000</v>
      </c>
      <c r="I11" s="48">
        <v>-1000</v>
      </c>
      <c r="J11" s="21">
        <f t="shared" si="2"/>
        <v>29900</v>
      </c>
      <c r="K11" s="8" t="s">
        <v>194</v>
      </c>
      <c r="L11" s="9">
        <v>-4500</v>
      </c>
      <c r="M11" s="9"/>
      <c r="N11" s="48">
        <v>-1000</v>
      </c>
      <c r="O11" s="21">
        <f t="shared" si="3"/>
        <v>41600</v>
      </c>
      <c r="P11" s="8" t="s">
        <v>195</v>
      </c>
      <c r="Q11" s="9">
        <v>12000</v>
      </c>
      <c r="R11" s="9">
        <v>1000</v>
      </c>
      <c r="S11" s="48">
        <v>2000</v>
      </c>
      <c r="T11" s="21">
        <f t="shared" si="4"/>
        <v>33500</v>
      </c>
      <c r="U11" s="53">
        <f>IF($J11="","",ROUND(($J11-$J$3)/1000,1)+(_xlfn.RANK.AVG($J11,($J11,$O11,$T11),1)-2)*10)</f>
        <v>-15.1</v>
      </c>
      <c r="V11" s="54">
        <f>IF($O11="","",ROUND(($O11-$O$3)/1000,1)+(_xlfn.RANK.AVG($O11,($J11,$O11,$T11),1)-2)*10)</f>
        <v>16.600000000000001</v>
      </c>
      <c r="W11" s="55">
        <f>IF($T11="","",ROUND(($T11-$T$3)/1000,1)+(_xlfn.RANK.AVG($T11,($J11,$O11,$T11),1)-2)*10)</f>
        <v>-1.5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6</v>
      </c>
      <c r="BT11" s="30" t="s">
        <v>196</v>
      </c>
      <c r="BU11" s="40" t="s">
        <v>98</v>
      </c>
      <c r="BV11" s="41" t="s">
        <v>96</v>
      </c>
      <c r="BW11" s="41" t="s">
        <v>86</v>
      </c>
      <c r="BX11" s="41" t="s">
        <v>86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192</v>
      </c>
      <c r="F12" s="8" t="s">
        <v>195</v>
      </c>
      <c r="G12" s="9">
        <v>8000</v>
      </c>
      <c r="H12" s="9"/>
      <c r="I12" s="48">
        <v>0</v>
      </c>
      <c r="J12" s="21">
        <f t="shared" si="2"/>
        <v>37900</v>
      </c>
      <c r="K12" s="8" t="s">
        <v>194</v>
      </c>
      <c r="L12" s="9">
        <v>-5000</v>
      </c>
      <c r="M12" s="9"/>
      <c r="N12" s="48">
        <v>0</v>
      </c>
      <c r="O12" s="21">
        <f t="shared" si="3"/>
        <v>36600</v>
      </c>
      <c r="P12" s="8" t="s">
        <v>194</v>
      </c>
      <c r="Q12" s="9">
        <v>-3000</v>
      </c>
      <c r="R12" s="9"/>
      <c r="S12" s="48">
        <v>0</v>
      </c>
      <c r="T12" s="21">
        <f t="shared" si="4"/>
        <v>30500</v>
      </c>
      <c r="U12" s="53">
        <f>IF($J12="","",ROUND(($J12-$J$3)/1000,1)+(_xlfn.RANK.AVG($J12,($J12,$O12,$T12),1)-2)*10)</f>
        <v>12.9</v>
      </c>
      <c r="V12" s="54">
        <f>IF($O12="","",ROUND(($O12-$O$3)/1000,1)+(_xlfn.RANK.AVG($O12,($J12,$O12,$T12),1)-2)*10)</f>
        <v>1.6</v>
      </c>
      <c r="W12" s="55">
        <f>IF($T12="","",ROUND(($T12-$T$3)/1000,1)+(_xlfn.RANK.AVG($T12,($J12,$O12,$T12),1)-2)*10)</f>
        <v>-14.5</v>
      </c>
      <c r="Y12" s="8"/>
      <c r="Z12" s="34"/>
      <c r="AA12" s="26"/>
      <c r="AB12" s="26">
        <v>1</v>
      </c>
      <c r="AC12" s="26">
        <v>5</v>
      </c>
      <c r="AD12" s="30" t="s">
        <v>196</v>
      </c>
      <c r="AE12" s="40" t="s">
        <v>200</v>
      </c>
      <c r="AF12" s="41" t="s">
        <v>96</v>
      </c>
      <c r="AG12" s="41" t="s">
        <v>98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199</v>
      </c>
      <c r="G13" s="9">
        <v>-9600</v>
      </c>
      <c r="H13" s="9"/>
      <c r="I13" s="48">
        <v>0</v>
      </c>
      <c r="J13" s="21">
        <f t="shared" si="2"/>
        <v>28300</v>
      </c>
      <c r="K13" s="8"/>
      <c r="L13" s="9"/>
      <c r="M13" s="9"/>
      <c r="N13" s="48"/>
      <c r="O13" s="21">
        <f t="shared" si="3"/>
        <v>36600</v>
      </c>
      <c r="P13" s="8" t="s">
        <v>198</v>
      </c>
      <c r="Q13" s="9">
        <v>9600</v>
      </c>
      <c r="R13" s="9"/>
      <c r="S13" s="48">
        <v>0</v>
      </c>
      <c r="T13" s="21">
        <f t="shared" si="4"/>
        <v>40100</v>
      </c>
      <c r="U13" s="53">
        <f>IF($J13="","",ROUND(($J13-$J$3)/1000,1)+(_xlfn.RANK.AVG($J13,($J13,$O13,$T13),1)-2)*10)</f>
        <v>-16.7</v>
      </c>
      <c r="V13" s="54">
        <f>IF($O13="","",ROUND(($O13-$O$3)/1000,1)+(_xlfn.RANK.AVG($O13,($J13,$O13,$T13),1)-2)*10)</f>
        <v>1.6</v>
      </c>
      <c r="W13" s="55">
        <f>IF($T13="","",ROUND(($T13-$T$3)/1000,1)+(_xlfn.RANK.AVG($T13,($J13,$O13,$T13),1)-2)*10)</f>
        <v>15.1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3</v>
      </c>
      <c r="BT13" s="30">
        <v>50</v>
      </c>
      <c r="BU13" s="40" t="s">
        <v>86</v>
      </c>
      <c r="BV13" s="41" t="s">
        <v>79</v>
      </c>
      <c r="BW13" s="41" t="s">
        <v>200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5C615EE-1685-4836-8F75-D95F0DDE2777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C9F9-82AB-426A-B1AF-9C844799B257}">
  <sheetPr codeName="Sheet11">
    <pageSetUpPr fitToPage="1"/>
  </sheetPr>
  <dimension ref="A1:CI30"/>
  <sheetViews>
    <sheetView tabSelected="1" topLeftCell="A19" zoomScaleNormal="100" workbookViewId="0">
      <selection activeCell="E25" sqref="E25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ぱぱ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ぱぱ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199</v>
      </c>
      <c r="G4" s="9">
        <v>-5800</v>
      </c>
      <c r="H4" s="9"/>
      <c r="I4" s="48">
        <v>0</v>
      </c>
      <c r="J4" s="21">
        <f>IF(COUNTA($F4,$K4,$P4)&gt;0,J3+SUM(G4:I4),"")</f>
        <v>29200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5800</v>
      </c>
      <c r="R4" s="9"/>
      <c r="S4" s="48">
        <v>0</v>
      </c>
      <c r="T4" s="21">
        <f>IF(COUNTA($F4,$K4,$P4)&gt;0,T3+SUM(Q4:S4),"")</f>
        <v>40800</v>
      </c>
      <c r="U4" s="53">
        <f>IF($J4="","",ROUND(($J4-$J$3)/1000,1)+(_xlfn.RANK.AVG($J4,($J4,$O4,$T4),1)-2)*10)</f>
        <v>-15.8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15.8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200</v>
      </c>
      <c r="BW4" s="41" t="s">
        <v>200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-3000</v>
      </c>
      <c r="H5" s="9"/>
      <c r="I5" s="48"/>
      <c r="J5" s="21">
        <f t="shared" ref="J5:J30" si="2">IF(COUNTA($F5,$K5,$P5)&gt;0,J4+SUM(G5:I5),"")</f>
        <v>26200</v>
      </c>
      <c r="K5" s="8" t="s">
        <v>201</v>
      </c>
      <c r="L5" s="9">
        <v>1500</v>
      </c>
      <c r="M5" s="9"/>
      <c r="N5" s="48"/>
      <c r="O5" s="21">
        <f t="shared" ref="O5:O30" si="3">IF(COUNTA($F5,$K5,$P5)&gt;0,O4+SUM(L5:N5),"")</f>
        <v>36500</v>
      </c>
      <c r="P5" s="8" t="s">
        <v>201</v>
      </c>
      <c r="Q5" s="9">
        <v>1500</v>
      </c>
      <c r="R5" s="9"/>
      <c r="S5" s="48"/>
      <c r="T5" s="21">
        <f t="shared" ref="T5:T30" si="4">IF(COUNTA($F5,$K5,$P5)&gt;0,T4+SUM(Q5:S5),"")</f>
        <v>42300</v>
      </c>
      <c r="U5" s="53">
        <f>IF($J5="","",ROUND(($J5-$J$3)/1000,1)+(_xlfn.RANK.AVG($J5,($J5,$O5,$T5),1)-2)*10)</f>
        <v>-18.8</v>
      </c>
      <c r="V5" s="54">
        <f>IF($O5="","",ROUND(($O5-$O$3)/1000,1)+(_xlfn.RANK.AVG($O5,($J5,$O5,$T5),1)-2)*10)</f>
        <v>1.5</v>
      </c>
      <c r="W5" s="55">
        <f>IF($T5="","",ROUND(($T5-$T$3)/1000,1)+(_xlfn.RANK.AVG($T5,($J5,$O5,$T5),1)-2)*10)</f>
        <v>17.3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/>
      <c r="G6" s="9"/>
      <c r="H6" s="9">
        <v>-1000</v>
      </c>
      <c r="I6" s="48"/>
      <c r="J6" s="21">
        <f t="shared" si="2"/>
        <v>25200</v>
      </c>
      <c r="K6" s="8" t="s">
        <v>199</v>
      </c>
      <c r="L6" s="9">
        <v>-2000</v>
      </c>
      <c r="M6" s="9"/>
      <c r="N6" s="48">
        <v>-2000</v>
      </c>
      <c r="O6" s="21">
        <f t="shared" si="3"/>
        <v>32500</v>
      </c>
      <c r="P6" s="8" t="s">
        <v>198</v>
      </c>
      <c r="Q6" s="9">
        <v>2000</v>
      </c>
      <c r="R6" s="9">
        <v>1000</v>
      </c>
      <c r="S6" s="48">
        <v>2000</v>
      </c>
      <c r="T6" s="21">
        <f t="shared" si="4"/>
        <v>47300</v>
      </c>
      <c r="U6" s="53">
        <f>IF($J6="","",ROUND(($J6-$J$3)/1000,1)+(_xlfn.RANK.AVG($J6,($J6,$O6,$T6),1)-2)*10)</f>
        <v>-19.8</v>
      </c>
      <c r="V6" s="54">
        <f>IF($O6="","",ROUND(($O6-$O$3)/1000,1)+(_xlfn.RANK.AVG($O6,($J6,$O6,$T6),1)-2)*10)</f>
        <v>-2.5</v>
      </c>
      <c r="W6" s="55">
        <f>IF($T6="","",ROUND(($T6-$T$3)/1000,1)+(_xlfn.RANK.AVG($T6,($J6,$O6,$T6),1)-2)*10)</f>
        <v>22.3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</v>
      </c>
      <c r="BT6" s="30">
        <v>40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193</v>
      </c>
      <c r="F7" s="8" t="s">
        <v>194</v>
      </c>
      <c r="G7" s="9">
        <v>-3000</v>
      </c>
      <c r="H7" s="9"/>
      <c r="I7" s="48">
        <v>-1500</v>
      </c>
      <c r="J7" s="21">
        <f t="shared" si="2"/>
        <v>20700</v>
      </c>
      <c r="K7" s="8" t="s">
        <v>194</v>
      </c>
      <c r="L7" s="9">
        <v>-3000</v>
      </c>
      <c r="M7" s="9"/>
      <c r="N7" s="48">
        <v>-1500</v>
      </c>
      <c r="O7" s="21">
        <f t="shared" si="3"/>
        <v>28000</v>
      </c>
      <c r="P7" s="8" t="s">
        <v>195</v>
      </c>
      <c r="Q7" s="9">
        <v>6000</v>
      </c>
      <c r="R7" s="9"/>
      <c r="S7" s="48">
        <v>3000</v>
      </c>
      <c r="T7" s="21">
        <f t="shared" si="4"/>
        <v>56300</v>
      </c>
      <c r="U7" s="53">
        <f>IF($J7="","",ROUND(($J7-$J$3)/1000,1)+(_xlfn.RANK.AVG($J7,($J7,$O7,$T7),1)-2)*10)</f>
        <v>-24.3</v>
      </c>
      <c r="V7" s="54">
        <f>IF($O7="","",ROUND(($O7-$O$3)/1000,1)+(_xlfn.RANK.AVG($O7,($J7,$O7,$T7),1)-2)*10)</f>
        <v>-7</v>
      </c>
      <c r="W7" s="55">
        <f>IF($T7="","",ROUND(($T7-$T$3)/1000,1)+(_xlfn.RANK.AVG($T7,($J7,$O7,$T7),1)-2)*10)</f>
        <v>31.3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197</v>
      </c>
      <c r="BV7" s="41" t="s">
        <v>82</v>
      </c>
      <c r="BW7" s="41" t="s">
        <v>204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193</v>
      </c>
      <c r="F8" s="8" t="s">
        <v>198</v>
      </c>
      <c r="G8" s="9">
        <v>5200</v>
      </c>
      <c r="H8" s="9"/>
      <c r="I8" s="48">
        <v>4000</v>
      </c>
      <c r="J8" s="21">
        <f t="shared" si="2"/>
        <v>29900</v>
      </c>
      <c r="K8" s="8"/>
      <c r="L8" s="9"/>
      <c r="M8" s="9"/>
      <c r="N8" s="48"/>
      <c r="O8" s="21">
        <f t="shared" si="3"/>
        <v>28000</v>
      </c>
      <c r="P8" s="8" t="s">
        <v>199</v>
      </c>
      <c r="Q8" s="9">
        <v>-5200</v>
      </c>
      <c r="R8" s="9"/>
      <c r="S8" s="48">
        <v>-4000</v>
      </c>
      <c r="T8" s="21">
        <f t="shared" si="4"/>
        <v>47100</v>
      </c>
      <c r="U8" s="53">
        <f>IF($J8="","",ROUND(($J8-$J$3)/1000,1)+(_xlfn.RANK.AVG($J8,($J8,$O8,$T8),1)-2)*10)</f>
        <v>-5.0999999999999996</v>
      </c>
      <c r="V8" s="54">
        <f>IF($O8="","",ROUND(($O8-$O$3)/1000,1)+(_xlfn.RANK.AVG($O8,($J8,$O8,$T8),1)-2)*10)</f>
        <v>-17</v>
      </c>
      <c r="W8" s="55">
        <f>IF($T8="","",ROUND(($T8-$T$3)/1000,1)+(_xlfn.RANK.AVG($T8,($J8,$O8,$T8),1)-2)*10)</f>
        <v>22.1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197</v>
      </c>
      <c r="AF8" s="41" t="s">
        <v>86</v>
      </c>
      <c r="AG8" s="41" t="s">
        <v>80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198</v>
      </c>
      <c r="G9" s="9">
        <v>2400</v>
      </c>
      <c r="H9" s="9"/>
      <c r="I9" s="48">
        <v>0</v>
      </c>
      <c r="J9" s="21">
        <f t="shared" si="2"/>
        <v>32300</v>
      </c>
      <c r="K9" s="8"/>
      <c r="L9" s="9"/>
      <c r="M9" s="9"/>
      <c r="N9" s="48"/>
      <c r="O9" s="21">
        <f t="shared" si="3"/>
        <v>28000</v>
      </c>
      <c r="P9" s="8" t="s">
        <v>199</v>
      </c>
      <c r="Q9" s="9">
        <v>-2400</v>
      </c>
      <c r="R9" s="9"/>
      <c r="S9" s="48">
        <v>0</v>
      </c>
      <c r="T9" s="21">
        <f t="shared" si="4"/>
        <v>44700</v>
      </c>
      <c r="U9" s="53">
        <f>IF($J9="","",ROUND(($J9-$J$3)/1000,1)+(_xlfn.RANK.AVG($J9,($J9,$O9,$T9),1)-2)*10)</f>
        <v>-2.7</v>
      </c>
      <c r="V9" s="54">
        <f>IF($O9="","",ROUND(($O9-$O$3)/1000,1)+(_xlfn.RANK.AVG($O9,($J9,$O9,$T9),1)-2)*10)</f>
        <v>-17</v>
      </c>
      <c r="W9" s="55">
        <f>IF($T9="","",ROUND(($T9-$T$3)/1000,1)+(_xlfn.RANK.AVG($T9,($J9,$O9,$T9),1)-2)*10)</f>
        <v>19.7</v>
      </c>
      <c r="Y9" s="8"/>
      <c r="Z9" s="34"/>
      <c r="AA9" s="26"/>
      <c r="AB9" s="26"/>
      <c r="AC9" s="26">
        <v>2</v>
      </c>
      <c r="AD9" s="30">
        <v>25</v>
      </c>
      <c r="AE9" s="40" t="s">
        <v>101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東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194</v>
      </c>
      <c r="G10" s="9">
        <v>-1300</v>
      </c>
      <c r="H10" s="9"/>
      <c r="I10" s="48">
        <v>-500</v>
      </c>
      <c r="J10" s="21">
        <f t="shared" si="2"/>
        <v>30500</v>
      </c>
      <c r="K10" s="8" t="s">
        <v>195</v>
      </c>
      <c r="L10" s="9">
        <v>2100</v>
      </c>
      <c r="M10" s="9"/>
      <c r="N10" s="48">
        <v>1000</v>
      </c>
      <c r="O10" s="21">
        <f t="shared" si="3"/>
        <v>31100</v>
      </c>
      <c r="P10" s="8" t="s">
        <v>194</v>
      </c>
      <c r="Q10" s="9">
        <v>-800</v>
      </c>
      <c r="R10" s="9"/>
      <c r="S10" s="48">
        <v>-500</v>
      </c>
      <c r="T10" s="21">
        <f t="shared" si="4"/>
        <v>43400</v>
      </c>
      <c r="U10" s="53">
        <f>IF($J10="","",ROUND(($J10-$J$3)/1000,1)+(_xlfn.RANK.AVG($J10,($J10,$O10,$T10),1)-2)*10)</f>
        <v>-14.5</v>
      </c>
      <c r="V10" s="54">
        <f>IF($O10="","",ROUND(($O10-$O$3)/1000,1)+(_xlfn.RANK.AVG($O10,($J10,$O10,$T10),1)-2)*10)</f>
        <v>-3.9</v>
      </c>
      <c r="W10" s="55">
        <f>IF($T10="","",ROUND(($T10-$T$3)/1000,1)+(_xlfn.RANK.AVG($T10,($J10,$O10,$T10),1)-2)*10)</f>
        <v>18.399999999999999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30</v>
      </c>
      <c r="AZ10" s="40" t="s">
        <v>197</v>
      </c>
      <c r="BA10" s="41" t="s">
        <v>79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192</v>
      </c>
      <c r="F11" s="8" t="s">
        <v>194</v>
      </c>
      <c r="G11" s="9">
        <v>-3000</v>
      </c>
      <c r="H11" s="9"/>
      <c r="I11" s="48">
        <v>0</v>
      </c>
      <c r="J11" s="21">
        <f t="shared" si="2"/>
        <v>27500</v>
      </c>
      <c r="K11" s="8" t="s">
        <v>195</v>
      </c>
      <c r="L11" s="9">
        <v>6000</v>
      </c>
      <c r="M11" s="9"/>
      <c r="N11" s="48">
        <v>0</v>
      </c>
      <c r="O11" s="21">
        <f t="shared" si="3"/>
        <v>37100</v>
      </c>
      <c r="P11" s="8" t="s">
        <v>194</v>
      </c>
      <c r="Q11" s="9">
        <v>-3000</v>
      </c>
      <c r="R11" s="9"/>
      <c r="S11" s="48">
        <v>0</v>
      </c>
      <c r="T11" s="21">
        <f t="shared" si="4"/>
        <v>40400</v>
      </c>
      <c r="U11" s="53">
        <f>IF($J11="","",ROUND(($J11-$J$3)/1000,1)+(_xlfn.RANK.AVG($J11,($J11,$O11,$T11),1)-2)*10)</f>
        <v>-17.5</v>
      </c>
      <c r="V11" s="54">
        <f>IF($O11="","",ROUND(($O11-$O$3)/1000,1)+(_xlfn.RANK.AVG($O11,($J11,$O11,$T11),1)-2)*10)</f>
        <v>2.1</v>
      </c>
      <c r="W11" s="55">
        <f>IF($T11="","",ROUND(($T11-$T$3)/1000,1)+(_xlfn.RANK.AVG($T11,($J11,$O11,$T11),1)-2)*10)</f>
        <v>15.4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86</v>
      </c>
      <c r="BA11" s="41" t="s">
        <v>79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192</v>
      </c>
      <c r="F12" s="8" t="s">
        <v>195</v>
      </c>
      <c r="G12" s="9">
        <v>1200</v>
      </c>
      <c r="H12" s="9"/>
      <c r="I12" s="48">
        <v>1000</v>
      </c>
      <c r="J12" s="21">
        <f t="shared" si="2"/>
        <v>29700</v>
      </c>
      <c r="K12" s="8" t="s">
        <v>194</v>
      </c>
      <c r="L12" s="9">
        <v>-700</v>
      </c>
      <c r="M12" s="9"/>
      <c r="N12" s="48">
        <v>-500</v>
      </c>
      <c r="O12" s="21">
        <f t="shared" si="3"/>
        <v>35900</v>
      </c>
      <c r="P12" s="8" t="s">
        <v>194</v>
      </c>
      <c r="Q12" s="9">
        <v>-500</v>
      </c>
      <c r="R12" s="9"/>
      <c r="S12" s="48">
        <v>-500</v>
      </c>
      <c r="T12" s="21">
        <f t="shared" si="4"/>
        <v>39400</v>
      </c>
      <c r="U12" s="53">
        <f>IF($J12="","",ROUND(($J12-$J$3)/1000,1)+(_xlfn.RANK.AVG($J12,($J12,$O12,$T12),1)-2)*10)</f>
        <v>-15.3</v>
      </c>
      <c r="V12" s="54">
        <f>IF($O12="","",ROUND(($O12-$O$3)/1000,1)+(_xlfn.RANK.AVG($O12,($J12,$O12,$T12),1)-2)*10)</f>
        <v>0.9</v>
      </c>
      <c r="W12" s="55">
        <f>IF($T12="","",ROUND(($T12-$T$3)/1000,1)+(_xlfn.RANK.AVG($T12,($J12,$O12,$T12),1)-2)*10)</f>
        <v>14.4</v>
      </c>
      <c r="Y12" s="8"/>
      <c r="Z12" s="34"/>
      <c r="AA12" s="26"/>
      <c r="AB12" s="26">
        <v>1</v>
      </c>
      <c r="AC12" s="26">
        <v>1</v>
      </c>
      <c r="AD12" s="30">
        <v>30</v>
      </c>
      <c r="AE12" s="40" t="s">
        <v>86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198</v>
      </c>
      <c r="G13" s="9">
        <v>2000</v>
      </c>
      <c r="H13" s="9"/>
      <c r="I13" s="48">
        <v>0</v>
      </c>
      <c r="J13" s="21">
        <f t="shared" si="2"/>
        <v>31700</v>
      </c>
      <c r="K13" s="8" t="s">
        <v>199</v>
      </c>
      <c r="L13" s="9">
        <v>-2000</v>
      </c>
      <c r="M13" s="9"/>
      <c r="N13" s="48">
        <v>0</v>
      </c>
      <c r="O13" s="21">
        <f t="shared" si="3"/>
        <v>33900</v>
      </c>
      <c r="P13" s="8"/>
      <c r="Q13" s="9"/>
      <c r="R13" s="9"/>
      <c r="S13" s="48"/>
      <c r="T13" s="21">
        <f t="shared" si="4"/>
        <v>39400</v>
      </c>
      <c r="U13" s="53">
        <f>IF($J13="","",ROUND(($J13-$J$3)/1000,1)+(_xlfn.RANK.AVG($J13,($J13,$O13,$T13),1)-2)*10)</f>
        <v>-13.3</v>
      </c>
      <c r="V13" s="54">
        <f>IF($O13="","",ROUND(($O13-$O$3)/1000,1)+(_xlfn.RANK.AVG($O13,($J13,$O13,$T13),1)-2)*10)</f>
        <v>-1.1000000000000001</v>
      </c>
      <c r="W13" s="55">
        <f>IF($T13="","",ROUND(($T13-$T$3)/1000,1)+(_xlfn.RANK.AVG($T13,($J13,$O13,$T13),1)-2)*10)</f>
        <v>14.4</v>
      </c>
      <c r="Y13" s="8"/>
      <c r="Z13" s="34"/>
      <c r="AA13" s="26"/>
      <c r="AB13" s="26">
        <v>1</v>
      </c>
      <c r="AC13" s="26">
        <v>2</v>
      </c>
      <c r="AD13" s="30">
        <v>30</v>
      </c>
      <c r="AE13" s="40" t="s">
        <v>86</v>
      </c>
      <c r="AF13" s="41" t="s">
        <v>86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191</v>
      </c>
      <c r="F14" s="8" t="s">
        <v>194</v>
      </c>
      <c r="G14" s="9">
        <v>-7500</v>
      </c>
      <c r="H14" s="9"/>
      <c r="I14" s="48">
        <v>0</v>
      </c>
      <c r="J14" s="21">
        <f t="shared" si="2"/>
        <v>24200</v>
      </c>
      <c r="K14" s="8" t="s">
        <v>195</v>
      </c>
      <c r="L14" s="9">
        <v>12000</v>
      </c>
      <c r="M14" s="9">
        <v>1000</v>
      </c>
      <c r="N14" s="48">
        <v>0</v>
      </c>
      <c r="O14" s="21">
        <f t="shared" si="3"/>
        <v>46900</v>
      </c>
      <c r="P14" s="8" t="s">
        <v>194</v>
      </c>
      <c r="Q14" s="9">
        <v>-4500</v>
      </c>
      <c r="R14" s="9">
        <v>-1000</v>
      </c>
      <c r="S14" s="48">
        <v>0</v>
      </c>
      <c r="T14" s="21">
        <f t="shared" si="4"/>
        <v>33900</v>
      </c>
      <c r="U14" s="53">
        <f>IF($J14="","",ROUND(($J14-$J$3)/1000,1)+(_xlfn.RANK.AVG($J14,($J14,$O14,$T14),1)-2)*10)</f>
        <v>-20.8</v>
      </c>
      <c r="V14" s="54">
        <f>IF($O14="","",ROUND(($O14-$O$3)/1000,1)+(_xlfn.RANK.AVG($O14,($J14,$O14,$T14),1)-2)*10)</f>
        <v>21.9</v>
      </c>
      <c r="W14" s="55">
        <f>IF($T14="","",ROUND(($T14-$T$3)/1000,1)+(_xlfn.RANK.AVG($T14,($J14,$O14,$T14),1)-2)*10)</f>
        <v>-1.1000000000000001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6</v>
      </c>
      <c r="AY14" s="30" t="s">
        <v>196</v>
      </c>
      <c r="AZ14" s="40" t="s">
        <v>197</v>
      </c>
      <c r="BA14" s="41" t="s">
        <v>82</v>
      </c>
      <c r="BB14" s="41" t="s">
        <v>101</v>
      </c>
      <c r="BC14" s="41" t="s">
        <v>100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192</v>
      </c>
      <c r="F15" s="8" t="s">
        <v>195</v>
      </c>
      <c r="G15" s="9">
        <v>8000</v>
      </c>
      <c r="H15" s="9"/>
      <c r="I15" s="48">
        <v>0</v>
      </c>
      <c r="J15" s="21">
        <f t="shared" si="2"/>
        <v>32200</v>
      </c>
      <c r="K15" s="8" t="s">
        <v>194</v>
      </c>
      <c r="L15" s="9">
        <v>-5000</v>
      </c>
      <c r="M15" s="9"/>
      <c r="N15" s="48">
        <v>0</v>
      </c>
      <c r="O15" s="21">
        <f t="shared" si="3"/>
        <v>41900</v>
      </c>
      <c r="P15" s="8" t="s">
        <v>194</v>
      </c>
      <c r="Q15" s="9">
        <v>-3000</v>
      </c>
      <c r="R15" s="9"/>
      <c r="S15" s="48">
        <v>0</v>
      </c>
      <c r="T15" s="21">
        <f t="shared" si="4"/>
        <v>30900</v>
      </c>
      <c r="U15" s="53">
        <f>IF($J15="","",ROUND(($J15-$J$3)/1000,1)+(_xlfn.RANK.AVG($J15,($J15,$O15,$T15),1)-2)*10)</f>
        <v>-2.8</v>
      </c>
      <c r="V15" s="54">
        <f>IF($O15="","",ROUND(($O15-$O$3)/1000,1)+(_xlfn.RANK.AVG($O15,($J15,$O15,$T15),1)-2)*10)</f>
        <v>16.899999999999999</v>
      </c>
      <c r="W15" s="55">
        <f>IF($T15="","",ROUND(($T15-$T$3)/1000,1)+(_xlfn.RANK.AVG($T15,($J15,$O15,$T15),1)-2)*10)</f>
        <v>-14.1</v>
      </c>
      <c r="Y15" s="8"/>
      <c r="Z15" s="34"/>
      <c r="AA15" s="26">
        <v>1</v>
      </c>
      <c r="AB15" s="26"/>
      <c r="AC15" s="26">
        <v>5</v>
      </c>
      <c r="AD15" s="30" t="s">
        <v>196</v>
      </c>
      <c r="AE15" s="40" t="s">
        <v>205</v>
      </c>
      <c r="AF15" s="41" t="s">
        <v>82</v>
      </c>
      <c r="AG15" s="41" t="s">
        <v>84</v>
      </c>
      <c r="AH15" s="41" t="s">
        <v>83</v>
      </c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CDEF700D-67C1-4D93-BA5A-8886ED4D34AC}">
      <formula1>"たかの,だいち,ただ,りくと,れんたろう,まっつん,のり,ぱぱ,ほたに,"</formula1>
    </dataValidation>
    <dataValidation type="list" showInputMessage="1" showErrorMessage="1" sqref="K4:K30 P4:P30 F4:F30" xr:uid="{1CBB6A6E-171D-4C40-84C7-4E5B42D36E25}">
      <formula1>"ロン,ツモ,放銃,ツモ支払,流局,チョンボ"</formula1>
    </dataValidation>
    <dataValidation type="list" allowBlank="1" showInputMessage="1" showErrorMessage="1" sqref="E4:E30" xr:uid="{735053D4-530C-4320-BBE2-230983D9272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4.5"/>
  <cols>
    <col min="1" max="1" width="9" style="36" customWidth="1"/>
    <col min="2" max="2" width="6.453125" style="36" customWidth="1"/>
    <col min="3" max="3" width="19.26953125" style="15" bestFit="1" customWidth="1"/>
    <col min="4" max="5" width="6.453125" style="15" customWidth="1"/>
  </cols>
  <sheetData>
    <row r="1" spans="1: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>
      <c r="A2" s="36" t="s">
        <v>77</v>
      </c>
      <c r="B2" s="36" t="s">
        <v>139</v>
      </c>
      <c r="C2" s="15" t="s">
        <v>132</v>
      </c>
      <c r="D2" s="15">
        <v>1</v>
      </c>
    </row>
    <row r="3" spans="1:5">
      <c r="A3" s="36" t="s">
        <v>78</v>
      </c>
      <c r="B3" s="36" t="s">
        <v>148</v>
      </c>
      <c r="C3" s="15" t="s">
        <v>31</v>
      </c>
      <c r="D3" s="15">
        <v>1</v>
      </c>
    </row>
    <row r="4" spans="1: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>
      <c r="A5" s="36" t="s">
        <v>80</v>
      </c>
      <c r="B5" s="36" t="s">
        <v>142</v>
      </c>
      <c r="C5" s="15" t="s">
        <v>33</v>
      </c>
      <c r="D5" s="15">
        <v>1</v>
      </c>
    </row>
    <row r="6" spans="1:5">
      <c r="A6" s="36" t="s">
        <v>81</v>
      </c>
      <c r="C6" s="15" t="s">
        <v>34</v>
      </c>
      <c r="D6" s="15">
        <v>1</v>
      </c>
      <c r="E6" s="15">
        <v>1</v>
      </c>
    </row>
    <row r="7" spans="1:5">
      <c r="A7" s="36" t="s">
        <v>82</v>
      </c>
      <c r="B7" s="36" t="s">
        <v>140</v>
      </c>
      <c r="C7" s="15" t="s">
        <v>35</v>
      </c>
      <c r="D7" s="15">
        <v>1</v>
      </c>
    </row>
    <row r="8" spans="1:5">
      <c r="A8" s="36" t="s">
        <v>83</v>
      </c>
      <c r="B8" s="36" t="s">
        <v>144</v>
      </c>
      <c r="C8" s="15" t="s">
        <v>36</v>
      </c>
      <c r="D8" s="15">
        <v>1</v>
      </c>
    </row>
    <row r="9" spans="1:5">
      <c r="A9" s="36" t="s">
        <v>84</v>
      </c>
      <c r="B9" s="36" t="s">
        <v>146</v>
      </c>
      <c r="C9" s="15" t="s">
        <v>37</v>
      </c>
      <c r="D9" s="15">
        <v>1</v>
      </c>
    </row>
    <row r="10" spans="1: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>
      <c r="A16" s="36" t="s">
        <v>91</v>
      </c>
      <c r="B16" s="36" t="s">
        <v>157</v>
      </c>
      <c r="C16" s="15" t="s">
        <v>43</v>
      </c>
      <c r="D16" s="15">
        <v>2</v>
      </c>
    </row>
    <row r="17" spans="1: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>
      <c r="A19" s="36" t="s">
        <v>94</v>
      </c>
      <c r="C19" s="15" t="s">
        <v>45</v>
      </c>
      <c r="D19" s="15">
        <v>2</v>
      </c>
      <c r="E19" s="15">
        <v>1</v>
      </c>
    </row>
    <row r="20" spans="1: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>
      <c r="A26" s="36" t="s">
        <v>101</v>
      </c>
      <c r="B26" s="36" t="s">
        <v>154</v>
      </c>
      <c r="C26" s="15" t="s">
        <v>52</v>
      </c>
      <c r="D26" s="15">
        <v>2</v>
      </c>
    </row>
    <row r="27" spans="1:5">
      <c r="A27" s="36" t="s">
        <v>102</v>
      </c>
      <c r="B27" s="36" t="s">
        <v>164</v>
      </c>
      <c r="C27" s="15" t="s">
        <v>53</v>
      </c>
      <c r="D27" s="15">
        <v>3</v>
      </c>
    </row>
    <row r="28" spans="1: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>
      <c r="A32" s="36" t="s">
        <v>107</v>
      </c>
      <c r="B32" s="36" t="s">
        <v>169</v>
      </c>
      <c r="C32" s="15" t="s">
        <v>57</v>
      </c>
      <c r="D32" s="15">
        <v>13</v>
      </c>
    </row>
    <row r="33" spans="1:5">
      <c r="A33" s="36" t="s">
        <v>108</v>
      </c>
      <c r="B33" s="36" t="s">
        <v>170</v>
      </c>
      <c r="C33" s="15" t="s">
        <v>58</v>
      </c>
      <c r="D33" s="15">
        <v>13</v>
      </c>
    </row>
    <row r="34" spans="1: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>
      <c r="A41" s="36" t="s">
        <v>116</v>
      </c>
      <c r="B41" s="36" t="s">
        <v>178</v>
      </c>
      <c r="C41" s="15" t="s">
        <v>66</v>
      </c>
      <c r="D41" s="15">
        <v>13</v>
      </c>
    </row>
    <row r="42" spans="1:5">
      <c r="A42" s="36" t="s">
        <v>117</v>
      </c>
      <c r="B42" s="36" t="s">
        <v>179</v>
      </c>
      <c r="C42" s="15" t="s">
        <v>67</v>
      </c>
      <c r="D42" s="15">
        <v>13</v>
      </c>
    </row>
    <row r="43" spans="1:5">
      <c r="A43" s="36" t="s">
        <v>118</v>
      </c>
      <c r="B43" s="36" t="s">
        <v>180</v>
      </c>
      <c r="C43" s="15" t="s">
        <v>68</v>
      </c>
      <c r="D43" s="15">
        <v>13</v>
      </c>
    </row>
    <row r="44" spans="1:5">
      <c r="A44" s="36" t="s">
        <v>119</v>
      </c>
      <c r="B44" s="36" t="s">
        <v>181</v>
      </c>
      <c r="C44" s="15" t="s">
        <v>69</v>
      </c>
      <c r="D44" s="15">
        <v>13</v>
      </c>
    </row>
    <row r="45" spans="1:5">
      <c r="A45" s="36" t="s">
        <v>120</v>
      </c>
      <c r="B45" s="36" t="s">
        <v>182</v>
      </c>
      <c r="C45" s="15" t="s">
        <v>70</v>
      </c>
      <c r="D45" s="15">
        <v>26</v>
      </c>
    </row>
    <row r="46" spans="1:5">
      <c r="A46" s="36" t="s">
        <v>121</v>
      </c>
      <c r="B46" s="36" t="s">
        <v>183</v>
      </c>
      <c r="C46" s="15" t="s">
        <v>71</v>
      </c>
      <c r="D46" s="15">
        <v>26</v>
      </c>
    </row>
    <row r="47" spans="1:5">
      <c r="A47" s="36" t="s">
        <v>122</v>
      </c>
      <c r="B47" s="36" t="s">
        <v>184</v>
      </c>
      <c r="C47" s="15" t="s">
        <v>72</v>
      </c>
      <c r="D47" s="15">
        <v>26</v>
      </c>
    </row>
    <row r="48" spans="1:5">
      <c r="A48" s="36" t="s">
        <v>123</v>
      </c>
      <c r="B48" s="36" t="s">
        <v>185</v>
      </c>
      <c r="C48" s="15" t="s">
        <v>73</v>
      </c>
      <c r="D48" s="15">
        <v>13</v>
      </c>
    </row>
    <row r="49" spans="1:5">
      <c r="A49" s="36" t="s">
        <v>124</v>
      </c>
      <c r="B49" s="36" t="s">
        <v>186</v>
      </c>
      <c r="C49" s="15" t="s">
        <v>74</v>
      </c>
      <c r="D49" s="15">
        <v>13</v>
      </c>
    </row>
    <row r="50" spans="1:5">
      <c r="A50" s="36" t="s">
        <v>125</v>
      </c>
      <c r="C50" s="15" t="s">
        <v>75</v>
      </c>
      <c r="D50" s="15">
        <v>13</v>
      </c>
    </row>
    <row r="51" spans="1:5">
      <c r="A51" s="36" t="s">
        <v>126</v>
      </c>
      <c r="B51" s="36" t="s">
        <v>187</v>
      </c>
      <c r="C51" s="15" t="s">
        <v>76</v>
      </c>
      <c r="D51" s="15">
        <v>13</v>
      </c>
    </row>
    <row r="52" spans="1:5">
      <c r="A52" s="36" t="s">
        <v>134</v>
      </c>
      <c r="B52" s="36" t="s">
        <v>158</v>
      </c>
      <c r="C52" s="15" t="s">
        <v>135</v>
      </c>
      <c r="D52" s="15">
        <v>2</v>
      </c>
    </row>
    <row r="53" spans="1: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4.5"/>
  <cols>
    <col min="1" max="12" width="9" style="32"/>
    <col min="13" max="13" width="9" style="32" customWidth="1"/>
    <col min="14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E3" s="32">
        <v>3900</v>
      </c>
      <c r="F3" s="32">
        <v>7700</v>
      </c>
    </row>
    <row r="4" spans="1:13">
      <c r="A4" s="15">
        <v>25</v>
      </c>
      <c r="D4" s="32">
        <v>2400</v>
      </c>
      <c r="E4" s="32">
        <v>4800</v>
      </c>
      <c r="F4" s="32">
        <v>9600</v>
      </c>
    </row>
    <row r="5" spans="1:13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2019-10-04T16:40:04Z</dcterms:modified>
</cp:coreProperties>
</file>