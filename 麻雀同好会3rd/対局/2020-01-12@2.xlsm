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559B711-0647-4408-9670-9DCA89203672}" xr6:coauthVersionLast="41" xr6:coauthVersionMax="41" xr10:uidLastSave="{00000000-0000-0000-0000-000000000000}"/>
  <bookViews>
    <workbookView xWindow="-108" yWindow="-108" windowWidth="23256" windowHeight="1272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D11" i="25"/>
  <c r="C11" i="25"/>
  <c r="D10" i="25"/>
  <c r="D9" i="25"/>
  <c r="C9" i="25"/>
  <c r="C10" i="25" s="1"/>
  <c r="D8" i="25"/>
  <c r="C8" i="25"/>
  <c r="D7" i="25"/>
  <c r="C7" i="25"/>
  <c r="D6" i="25"/>
  <c r="T5" i="25"/>
  <c r="T6" i="25" s="1"/>
  <c r="O5" i="25"/>
  <c r="D5" i="25"/>
  <c r="C5" i="25"/>
  <c r="C6" i="25" s="1"/>
  <c r="B5" i="25"/>
  <c r="B6" i="25" s="1"/>
  <c r="T4" i="25"/>
  <c r="O4" i="25"/>
  <c r="J4" i="25"/>
  <c r="J5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O11" i="24"/>
  <c r="J11" i="24"/>
  <c r="U11" i="24" s="1"/>
  <c r="D11" i="24"/>
  <c r="C11" i="24"/>
  <c r="B11" i="24"/>
  <c r="A11" i="24"/>
  <c r="D10" i="24"/>
  <c r="C10" i="24"/>
  <c r="D9" i="24"/>
  <c r="C9" i="24"/>
  <c r="D8" i="24"/>
  <c r="C8" i="24"/>
  <c r="D7" i="24"/>
  <c r="C7" i="24"/>
  <c r="D6" i="24"/>
  <c r="C6" i="24"/>
  <c r="B6" i="24"/>
  <c r="B7" i="24" s="1"/>
  <c r="J5" i="24"/>
  <c r="J6" i="24" s="1"/>
  <c r="D5" i="24"/>
  <c r="C5" i="24"/>
  <c r="B5" i="24"/>
  <c r="A5" i="24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C11" i="23"/>
  <c r="D10" i="23"/>
  <c r="D9" i="23"/>
  <c r="C9" i="23"/>
  <c r="C10" i="23" s="1"/>
  <c r="D8" i="23"/>
  <c r="C8" i="23"/>
  <c r="D7" i="23"/>
  <c r="C7" i="23"/>
  <c r="D6" i="23"/>
  <c r="C6" i="23"/>
  <c r="T5" i="23"/>
  <c r="T6" i="23" s="1"/>
  <c r="O5" i="23"/>
  <c r="D5" i="23"/>
  <c r="C5" i="23"/>
  <c r="B5" i="23"/>
  <c r="A5" i="23" s="1"/>
  <c r="T4" i="23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C11" i="22"/>
  <c r="D10" i="22"/>
  <c r="D11" i="22" s="1"/>
  <c r="C10" i="22"/>
  <c r="D8" i="22"/>
  <c r="D9" i="22" s="1"/>
  <c r="D7" i="22"/>
  <c r="C7" i="22"/>
  <c r="C8" i="22" s="1"/>
  <c r="C9" i="22" s="1"/>
  <c r="D6" i="22"/>
  <c r="T5" i="22"/>
  <c r="T6" i="22" s="1"/>
  <c r="O5" i="22"/>
  <c r="D5" i="22"/>
  <c r="C5" i="22"/>
  <c r="C6" i="22" s="1"/>
  <c r="B5" i="22"/>
  <c r="T4" i="22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V11" i="21" s="1"/>
  <c r="J11" i="21"/>
  <c r="U11" i="21" s="1"/>
  <c r="D11" i="21"/>
  <c r="C11" i="21"/>
  <c r="B11" i="21"/>
  <c r="A11" i="21" s="1"/>
  <c r="T10" i="21"/>
  <c r="O10" i="21"/>
  <c r="J10" i="21"/>
  <c r="U10" i="21" s="1"/>
  <c r="D10" i="21"/>
  <c r="C10" i="21"/>
  <c r="B10" i="21"/>
  <c r="A10" i="21" s="1"/>
  <c r="D9" i="21"/>
  <c r="C9" i="21"/>
  <c r="D8" i="21"/>
  <c r="C8" i="21"/>
  <c r="D7" i="21"/>
  <c r="C7" i="21"/>
  <c r="D6" i="21"/>
  <c r="C6" i="21"/>
  <c r="B6" i="21"/>
  <c r="B7" i="21" s="1"/>
  <c r="T5" i="21"/>
  <c r="D5" i="21"/>
  <c r="C5" i="2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D9" i="20"/>
  <c r="D8" i="20"/>
  <c r="B7" i="20"/>
  <c r="B8" i="20" s="1"/>
  <c r="D6" i="20"/>
  <c r="D7" i="20" s="1"/>
  <c r="C6" i="20"/>
  <c r="C7" i="20" s="1"/>
  <c r="C8" i="20" s="1"/>
  <c r="C9" i="20" s="1"/>
  <c r="C10" i="20" s="1"/>
  <c r="B6" i="20"/>
  <c r="O5" i="20"/>
  <c r="J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4" i="25" l="1"/>
  <c r="W4" i="25"/>
  <c r="U4" i="25"/>
  <c r="B7" i="25"/>
  <c r="W5" i="25"/>
  <c r="U5" i="25"/>
  <c r="J6" i="25"/>
  <c r="W6" i="25" s="1"/>
  <c r="V5" i="25"/>
  <c r="T7" i="25"/>
  <c r="O6" i="25"/>
  <c r="A5" i="25"/>
  <c r="A6" i="25"/>
  <c r="A7" i="25" s="1"/>
  <c r="V11" i="24"/>
  <c r="W11" i="24"/>
  <c r="A6" i="24"/>
  <c r="V4" i="24"/>
  <c r="U4" i="24"/>
  <c r="W4" i="24"/>
  <c r="J7" i="24"/>
  <c r="B8" i="24"/>
  <c r="A8" i="24" s="1"/>
  <c r="W5" i="24"/>
  <c r="T6" i="24"/>
  <c r="A7" i="24"/>
  <c r="O5" i="24"/>
  <c r="W4" i="23"/>
  <c r="V5" i="23"/>
  <c r="T7" i="23"/>
  <c r="B6" i="23"/>
  <c r="J5" i="23"/>
  <c r="O6" i="23"/>
  <c r="W4" i="22"/>
  <c r="T7" i="22"/>
  <c r="B6" i="22"/>
  <c r="J5" i="22"/>
  <c r="V5" i="22" s="1"/>
  <c r="O6" i="22"/>
  <c r="A5" i="22"/>
  <c r="W11" i="21"/>
  <c r="V10" i="21"/>
  <c r="W10" i="21"/>
  <c r="A6" i="21"/>
  <c r="V4" i="21"/>
  <c r="W4" i="21"/>
  <c r="O6" i="21"/>
  <c r="B8" i="21"/>
  <c r="J5" i="21"/>
  <c r="W5" i="21" s="1"/>
  <c r="A7" i="21"/>
  <c r="U4" i="21"/>
  <c r="T6" i="21"/>
  <c r="A6" i="20"/>
  <c r="W4" i="20"/>
  <c r="V4" i="20"/>
  <c r="U4" i="20"/>
  <c r="U5" i="20"/>
  <c r="V5" i="20"/>
  <c r="B9" i="20"/>
  <c r="A7" i="20"/>
  <c r="T5" i="20"/>
  <c r="A8" i="20"/>
  <c r="J6" i="20"/>
  <c r="O6" i="20"/>
  <c r="T8" i="25" l="1"/>
  <c r="U6" i="25"/>
  <c r="J7" i="25"/>
  <c r="O7" i="25"/>
  <c r="V6" i="25"/>
  <c r="B8" i="25"/>
  <c r="A8" i="25" s="1"/>
  <c r="O6" i="24"/>
  <c r="W6" i="24" s="1"/>
  <c r="V5" i="24"/>
  <c r="U5" i="24"/>
  <c r="T7" i="24"/>
  <c r="B9" i="24"/>
  <c r="A9" i="24" s="1"/>
  <c r="J8" i="24"/>
  <c r="T8" i="23"/>
  <c r="B7" i="23"/>
  <c r="O7" i="23"/>
  <c r="W5" i="23"/>
  <c r="U5" i="23"/>
  <c r="J6" i="23"/>
  <c r="A6" i="23"/>
  <c r="O7" i="22"/>
  <c r="V6" i="22"/>
  <c r="W5" i="22"/>
  <c r="J6" i="22"/>
  <c r="U5" i="22"/>
  <c r="B7" i="22"/>
  <c r="A7" i="22" s="1"/>
  <c r="A6" i="22"/>
  <c r="T8" i="22"/>
  <c r="A8" i="21"/>
  <c r="V5" i="21"/>
  <c r="O7" i="21"/>
  <c r="T7" i="21"/>
  <c r="J6" i="21"/>
  <c r="V6" i="21" s="1"/>
  <c r="U5" i="21"/>
  <c r="B9" i="21"/>
  <c r="A9" i="21" s="1"/>
  <c r="B10" i="20"/>
  <c r="A10" i="20" s="1"/>
  <c r="J7" i="20"/>
  <c r="O7" i="20"/>
  <c r="W5" i="20"/>
  <c r="T6" i="20"/>
  <c r="U6" i="20" s="1"/>
  <c r="A9" i="20"/>
  <c r="O8" i="25" l="1"/>
  <c r="V7" i="25"/>
  <c r="B9" i="25"/>
  <c r="A9" i="25" s="1"/>
  <c r="U7" i="25"/>
  <c r="J8" i="25"/>
  <c r="W8" i="25"/>
  <c r="T9" i="25"/>
  <c r="W7" i="25"/>
  <c r="J9" i="24"/>
  <c r="B10" i="24"/>
  <c r="A10" i="24" s="1"/>
  <c r="T8" i="24"/>
  <c r="V6" i="24"/>
  <c r="O7" i="24"/>
  <c r="W7" i="24" s="1"/>
  <c r="U6" i="24"/>
  <c r="U6" i="23"/>
  <c r="J7" i="23"/>
  <c r="V7" i="23" s="1"/>
  <c r="W6" i="23"/>
  <c r="B8" i="23"/>
  <c r="T9" i="23"/>
  <c r="V6" i="23"/>
  <c r="O8" i="23"/>
  <c r="A7" i="23"/>
  <c r="O8" i="22"/>
  <c r="T9" i="22"/>
  <c r="B8" i="22"/>
  <c r="U6" i="22"/>
  <c r="J7" i="22"/>
  <c r="V7" i="22" s="1"/>
  <c r="W6" i="22"/>
  <c r="T8" i="21"/>
  <c r="U6" i="21"/>
  <c r="J7" i="21"/>
  <c r="W7" i="21" s="1"/>
  <c r="W6" i="21"/>
  <c r="V7" i="21"/>
  <c r="O8" i="21"/>
  <c r="V6" i="20"/>
  <c r="W6" i="20"/>
  <c r="T7" i="20"/>
  <c r="O8" i="20"/>
  <c r="J8" i="20"/>
  <c r="T10" i="25" l="1"/>
  <c r="U8" i="25"/>
  <c r="J9" i="25"/>
  <c r="B10" i="25"/>
  <c r="A10" i="25" s="1"/>
  <c r="O9" i="25"/>
  <c r="V8" i="25"/>
  <c r="V7" i="24"/>
  <c r="O8" i="24"/>
  <c r="U7" i="24"/>
  <c r="W8" i="24"/>
  <c r="T9" i="24"/>
  <c r="J10" i="24"/>
  <c r="A8" i="23"/>
  <c r="O9" i="23"/>
  <c r="U7" i="23"/>
  <c r="J8" i="23"/>
  <c r="V8" i="23" s="1"/>
  <c r="W7" i="23"/>
  <c r="T10" i="23"/>
  <c r="B9" i="23"/>
  <c r="A9" i="23" s="1"/>
  <c r="J8" i="22"/>
  <c r="U7" i="22"/>
  <c r="W7" i="22"/>
  <c r="B9" i="22"/>
  <c r="A8" i="22"/>
  <c r="T10" i="22"/>
  <c r="V8" i="22"/>
  <c r="O9" i="22"/>
  <c r="T9" i="21"/>
  <c r="O9" i="21"/>
  <c r="U7" i="21"/>
  <c r="J8" i="21"/>
  <c r="W8" i="21" s="1"/>
  <c r="O9" i="20"/>
  <c r="W7" i="20"/>
  <c r="T8" i="20"/>
  <c r="V8" i="20" s="1"/>
  <c r="U8" i="20"/>
  <c r="J9" i="20"/>
  <c r="U7" i="20"/>
  <c r="V7" i="20"/>
  <c r="T11" i="25" l="1"/>
  <c r="U9" i="25"/>
  <c r="J10" i="25"/>
  <c r="B11" i="25"/>
  <c r="A11" i="25" s="1"/>
  <c r="V9" i="25"/>
  <c r="O10" i="25"/>
  <c r="W10" i="25" s="1"/>
  <c r="W9" i="25"/>
  <c r="T10" i="24"/>
  <c r="V8" i="24"/>
  <c r="O9" i="24"/>
  <c r="U8" i="24"/>
  <c r="B10" i="23"/>
  <c r="A10" i="23" s="1"/>
  <c r="O10" i="23"/>
  <c r="T11" i="23"/>
  <c r="U8" i="23"/>
  <c r="J9" i="23"/>
  <c r="V9" i="23" s="1"/>
  <c r="W8" i="23"/>
  <c r="U8" i="22"/>
  <c r="J9" i="22"/>
  <c r="W8" i="22"/>
  <c r="T11" i="22"/>
  <c r="V9" i="22"/>
  <c r="O10" i="22"/>
  <c r="B10" i="22"/>
  <c r="A9" i="22"/>
  <c r="V8" i="21"/>
  <c r="U8" i="21"/>
  <c r="J9" i="21"/>
  <c r="U9" i="21" s="1"/>
  <c r="O10" i="20"/>
  <c r="J10" i="20"/>
  <c r="W8" i="20"/>
  <c r="T9" i="20"/>
  <c r="V9" i="20" s="1"/>
  <c r="O11" i="25" l="1"/>
  <c r="V10" i="25"/>
  <c r="U10" i="25"/>
  <c r="J11" i="25"/>
  <c r="O10" i="24"/>
  <c r="V9" i="24"/>
  <c r="U9" i="24"/>
  <c r="W9" i="24"/>
  <c r="B11" i="23"/>
  <c r="A11" i="23" s="1"/>
  <c r="U9" i="23"/>
  <c r="J10" i="23"/>
  <c r="W9" i="23"/>
  <c r="O11" i="23"/>
  <c r="V10" i="23"/>
  <c r="A10" i="22"/>
  <c r="B11" i="22"/>
  <c r="A11" i="22" s="1"/>
  <c r="O11" i="22"/>
  <c r="J10" i="22"/>
  <c r="U9" i="22"/>
  <c r="W9" i="22"/>
  <c r="W9" i="21"/>
  <c r="V9" i="21"/>
  <c r="U9" i="20"/>
  <c r="V10" i="20"/>
  <c r="W9" i="20"/>
  <c r="T10" i="20"/>
  <c r="W10" i="20" s="1"/>
  <c r="V11" i="25" l="1"/>
  <c r="U11" i="25"/>
  <c r="W11" i="25"/>
  <c r="V10" i="24"/>
  <c r="U10" i="24"/>
  <c r="W10" i="24"/>
  <c r="V11" i="23"/>
  <c r="U10" i="23"/>
  <c r="J11" i="23"/>
  <c r="W10" i="23"/>
  <c r="U10" i="22"/>
  <c r="J11" i="22"/>
  <c r="W10" i="22"/>
  <c r="V10" i="22"/>
  <c r="V11" i="22"/>
  <c r="U10" i="20"/>
  <c r="U11" i="23" l="1"/>
  <c r="W11" i="23"/>
  <c r="U11" i="22"/>
  <c r="W11" i="22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<sst xmlns="http://schemas.openxmlformats.org/spreadsheetml/2006/main" count="1179" uniqueCount="213">
  <si>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</si>
  <si>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</si>
  <si>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</si>
  <si>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</si>
  <si>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</si>
  <si>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</si>
  <si>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</si>
  <si>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</si>
  <si>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</si>
  <si>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</si>
  <si>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</si>
  <si>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</si>
  <si>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</si>
  <si>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</si>
  <si>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</si>
  <si>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</si>
  <si>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</si>
  <si>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</si>
  <si>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</si>
  <si>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</si>
  <si>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</si>
  <si>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</si>
  <si>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</si>
  <si>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</si>
  <si>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</si>
  <si>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</si>
  <si>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</si>
  <si>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</si>
  <si>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</si>
  <si>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</si>
  <si>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</si>
  <si>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</si>
  <si>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</si>
  <si>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</si>
  <si>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</si>
  <si>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</si>
  <si>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</si>
  <si>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</si>
  <si>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</si>
  <si>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</si>
  <si>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</si>
  <si>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</si>
  <si>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</si>
  <si>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</si>
  <si>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</si>
  <si>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</si>
  <si>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</si>
  <si>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</si>
  <si>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</si>
  <si>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</si>
  <si>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</si>
  <si>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</si>
  <si>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</si>
  <si>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</si>
  <si>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</si>
  <si>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</si>
  <si>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</si>
  <si>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</si>
  <si>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</si>
  <si>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</si>
  <si>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</si>
  <si>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</si>
  <si>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</si>
  <si>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</si>
  <si>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</si>
  <si>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</si>
  <si>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</si>
  <si>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</si>
  <si>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</si>
  <si>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</si>
  <si>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</si>
  <si>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</si>
  <si>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</si>
  <si>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</si>
  <si>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</si>
  <si>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</si>
  <si>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</si>
  <si>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</si>
  <si>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</si>
  <si>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</si>
  <si>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</si>
  <si>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</si>
  <si>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</si>
  <si>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</si>
  <si>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</si>
  <si>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</si>
  <si>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</si>
  <si>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</si>
  <si>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</si>
  <si>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</si>
  <si>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</si>
  <si>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</si>
  <si>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</si>
  <si>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</si>
  <si>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</si>
  <si>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</si>
  <si>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</si>
  <si>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</si>
  <si>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</si>
  <si>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</si>
  <si>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</si>
  <si>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</si>
  <si>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</si>
  <si>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</si>
  <si>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</si>
  <si>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</si>
  <si>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</si>
  <si>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</si>
  <si>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</si>
  <si>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</si>
  <si>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</si>
  <si>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</si>
  <si>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</si>
  <si>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</si>
  <si>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</si>
  <si>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</si>
  <si>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</si>
  <si>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</si>
  <si>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</si>
  <si>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</si>
  <si>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</si>
  <si>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</si>
  <si>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</si>
  <si>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</si>
  <si>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</si>
  <si>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</si>
  <si>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</si>
  <si>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</si>
  <si>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</si>
  <si>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</si>
  <si>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</si>
  <si>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</si>
  <si>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</si>
  <si>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</si>
  <si>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</si>
  <si>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</si>
  <si>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</si>
  <si>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</si>
  <si>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</si>
  <si>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</si>
  <si>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</si>
  <si>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</si>
  <si>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</si>
  <si>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</si>
  <si>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</si>
  <si>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</si>
  <si>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</si>
  <si>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</si>
  <si>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</si>
  <si>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</si>
  <si>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</si>
  <si>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</si>
  <si>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</si>
  <si>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</si>
  <si>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</si>
  <si>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</si>
  <si>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</si>
  <si>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</si>
  <si>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</si>
  <si>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</si>
  <si>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</si>
  <si>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</si>
  <si>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</si>
  <si>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</si>
  <si>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</si>
  <si>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</si>
  <si>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</si>
  <si>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</si>
  <si>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</si>
  <si>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</si>
  <si>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</si>
  <si>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</si>
  <si>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</si>
  <si>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</si>
  <si>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</si>
  <si>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</si>
  <si>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</si>
  <si>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</si>
  <si>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</si>
  <si>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</si>
  <si>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</si>
  <si>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</si>
  <si>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</si>
  <si>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</si>
  <si>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</si>
  <si>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</si>
  <si>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</si>
  <si>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</si>
  <si>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</si>
  <si>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</si>
  <si>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</si>
  <si>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</si>
  <si>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</si>
  <si>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  <phoneticPr fontId="1"/>
  </si>
  <si>
    <t>まっつん</t>
  </si>
  <si>
    <t>まっつん</t>
    <phoneticPr fontId="1"/>
  </si>
  <si>
    <t>ツモ支払</t>
  </si>
  <si>
    <t>ツモ</t>
  </si>
  <si>
    <t>*</t>
  </si>
  <si>
    <t>01</t>
  </si>
  <si>
    <t>02</t>
  </si>
  <si>
    <t>T</t>
  </si>
  <si>
    <t>流局</t>
    <phoneticPr fontId="1"/>
  </si>
  <si>
    <t>N</t>
  </si>
  <si>
    <t>ロン</t>
  </si>
  <si>
    <t>放銃</t>
  </si>
  <si>
    <t>りくと</t>
  </si>
  <si>
    <t>りくと</t>
    <phoneticPr fontId="1"/>
  </si>
  <si>
    <t>52</t>
  </si>
  <si>
    <t>流局</t>
    <phoneticPr fontId="1"/>
  </si>
  <si>
    <t>ただ</t>
  </si>
  <si>
    <t>ただ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</si>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</sst>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196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197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198</v>
      </c>
      <c r="BU4" s="40" t="s">
        <v>199</v>
      </c>
      <c r="BV4" s="41" t="s">
        <v>82</v>
      </c>
      <c r="BW4" s="41" t="s">
        <v>200</v>
      </c>
      <c r="BX4" s="41" t="s">
        <v>79</v>
      </c>
      <c r="BY4" s="41" t="s">
        <v>80</v>
      </c>
      <c r="BZ4" s="41" t="s">
        <v>86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202</v>
      </c>
      <c r="G5" s="9">
        <v>0</v>
      </c>
      <c r="H5" s="9">
        <v>-1000</v>
      </c>
      <c r="I5" s="48"/>
      <c r="J5" s="21">
        <f t="shared" ref="J5:J30" si="2">IF(COUNTA($F5,$K5,$P5)&gt;0,J4+SUM(G5:I5),"")</f>
        <v>25000</v>
      </c>
      <c r="K5" s="8" t="s">
        <v>202</v>
      </c>
      <c r="L5" s="9">
        <v>0</v>
      </c>
      <c r="M5" s="9">
        <v>-1000</v>
      </c>
      <c r="N5" s="48"/>
      <c r="O5" s="21">
        <f t="shared" ref="O5:O30" si="3">IF(COUNTA($F5,$K5,$P5)&gt;0,O4+SUM(L5:N5),"")</f>
        <v>25000</v>
      </c>
      <c r="P5" s="8" t="s">
        <v>202</v>
      </c>
      <c r="Q5" s="9">
        <v>0</v>
      </c>
      <c r="R5" s="9"/>
      <c r="S5" s="48"/>
      <c r="T5" s="21">
        <f t="shared" ref="T5:T30" si="4">IF(COUNTA($F5,$K5,$P5)&gt;0,T4+SUM(Q5:S5),"")</f>
        <v>53000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-15</v>
      </c>
      <c r="W5" s="55">
        <f>IF($T5="","",ROUND(($T5-$T$3)/1000,1)+(_xlfn.RANK.AVG($T5,($J5,$O5,$T5),1)-2)*10)</f>
        <v>28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194</v>
      </c>
      <c r="F6" s="8" t="s">
        <v>202</v>
      </c>
      <c r="G6" s="9">
        <v>1500</v>
      </c>
      <c r="H6" s="9">
        <v>-1000</v>
      </c>
      <c r="I6" s="48"/>
      <c r="J6" s="21">
        <f t="shared" si="2"/>
        <v>25500</v>
      </c>
      <c r="K6" s="8" t="s">
        <v>202</v>
      </c>
      <c r="L6" s="9">
        <v>1500</v>
      </c>
      <c r="M6" s="9">
        <v>-1000</v>
      </c>
      <c r="N6" s="48"/>
      <c r="O6" s="21">
        <f t="shared" si="3"/>
        <v>25500</v>
      </c>
      <c r="P6" s="8" t="s">
        <v>202</v>
      </c>
      <c r="Q6" s="9">
        <v>-3000</v>
      </c>
      <c r="R6" s="9"/>
      <c r="S6" s="48"/>
      <c r="T6" s="21">
        <f t="shared" si="4"/>
        <v>50000</v>
      </c>
      <c r="U6" s="53">
        <f>IF($J6="","",ROUND(($J6-$J$3)/1000,1)+(_xlfn.RANK.AVG($J6,($J6,$O6,$T6),1)-2)*10)</f>
        <v>-14.5</v>
      </c>
      <c r="V6" s="54">
        <f>IF($O6="","",ROUND(($O6-$O$3)/1000,1)+(_xlfn.RANK.AVG($O6,($J6,$O6,$T6),1)-2)*10)</f>
        <v>-14.5</v>
      </c>
      <c r="W6" s="55">
        <f>IF($T6="","",ROUND(($T6-$T$3)/1000,1)+(_xlfn.RANK.AVG($T6,($J6,$O6,$T6),1)-2)*10)</f>
        <v>25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4</v>
      </c>
      <c r="E7" s="4" t="s">
        <v>191</v>
      </c>
      <c r="F7" s="8" t="s">
        <v>197</v>
      </c>
      <c r="G7" s="9">
        <v>11600</v>
      </c>
      <c r="H7" s="9">
        <v>4000</v>
      </c>
      <c r="I7" s="48">
        <v>3000</v>
      </c>
      <c r="J7" s="21">
        <f t="shared" si="2"/>
        <v>44100</v>
      </c>
      <c r="K7" s="8" t="s">
        <v>196</v>
      </c>
      <c r="L7" s="9">
        <v>-5800</v>
      </c>
      <c r="M7" s="9"/>
      <c r="N7" s="48">
        <v>-1500</v>
      </c>
      <c r="O7" s="21">
        <f t="shared" si="3"/>
        <v>18200</v>
      </c>
      <c r="P7" s="8" t="s">
        <v>196</v>
      </c>
      <c r="Q7" s="9">
        <v>-5800</v>
      </c>
      <c r="R7" s="9"/>
      <c r="S7" s="48">
        <v>-1500</v>
      </c>
      <c r="T7" s="21">
        <f t="shared" si="4"/>
        <v>42700</v>
      </c>
      <c r="U7" s="53">
        <f>IF($J7="","",ROUND(($J7-$J$3)/1000,1)+(_xlfn.RANK.AVG($J7,($J7,$O7,$T7),1)-2)*10)</f>
        <v>19.100000000000001</v>
      </c>
      <c r="V7" s="54">
        <f>IF($O7="","",ROUND(($O7-$O$3)/1000,1)+(_xlfn.RANK.AVG($O7,($J7,$O7,$T7),1)-2)*10)</f>
        <v>-26.8</v>
      </c>
      <c r="W7" s="55">
        <f>IF($T7="","",ROUND(($T7-$T$3)/1000,1)+(_xlfn.RANK.AVG($T7,($J7,$O7,$T7),1)-2)*10)</f>
        <v>7.7</v>
      </c>
      <c r="Y7" s="8"/>
      <c r="Z7" s="34"/>
      <c r="AA7" s="26"/>
      <c r="AB7" s="26"/>
      <c r="AC7" s="26">
        <v>4</v>
      </c>
      <c r="AD7" s="30">
        <v>30</v>
      </c>
      <c r="AE7" s="40" t="s">
        <v>82</v>
      </c>
      <c r="AF7" s="41" t="s">
        <v>84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191</v>
      </c>
      <c r="F8" s="8" t="s">
        <v>204</v>
      </c>
      <c r="G8" s="9">
        <v>7700</v>
      </c>
      <c r="H8" s="9"/>
      <c r="I8" s="48">
        <v>4000</v>
      </c>
      <c r="J8" s="21">
        <f t="shared" si="2"/>
        <v>55800</v>
      </c>
      <c r="K8" s="8" t="s">
        <v>205</v>
      </c>
      <c r="L8" s="9">
        <v>-7700</v>
      </c>
      <c r="M8" s="9"/>
      <c r="N8" s="48">
        <v>-4000</v>
      </c>
      <c r="O8" s="21">
        <f t="shared" si="3"/>
        <v>6500</v>
      </c>
      <c r="P8" s="8"/>
      <c r="Q8" s="9"/>
      <c r="R8" s="9"/>
      <c r="S8" s="48"/>
      <c r="T8" s="21">
        <f t="shared" si="4"/>
        <v>42700</v>
      </c>
      <c r="U8" s="53">
        <f>IF($J8="","",ROUND(($J8-$J$3)/1000,1)+(_xlfn.RANK.AVG($J8,($J8,$O8,$T8),1)-2)*10)</f>
        <v>30.8</v>
      </c>
      <c r="V8" s="54">
        <f>IF($O8="","",ROUND(($O8-$O$3)/1000,1)+(_xlfn.RANK.AVG($O8,($J8,$O8,$T8),1)-2)*10)</f>
        <v>-38.5</v>
      </c>
      <c r="W8" s="55">
        <f>IF($T8="","",ROUND(($T8-$T$3)/1000,1)+(_xlfn.RANK.AVG($T8,($J8,$O8,$T8),1)-2)*10)</f>
        <v>7.7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199</v>
      </c>
      <c r="AF8" s="41" t="s">
        <v>79</v>
      </c>
      <c r="AG8" s="41" t="s">
        <v>200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">
        <v>191</v>
      </c>
      <c r="F9" s="8" t="s">
        <v>197</v>
      </c>
      <c r="G9" s="9">
        <v>3000</v>
      </c>
      <c r="H9" s="9">
        <v>1000</v>
      </c>
      <c r="I9" s="48">
        <v>5000</v>
      </c>
      <c r="J9" s="21">
        <f t="shared" si="2"/>
        <v>64800</v>
      </c>
      <c r="K9" s="8" t="s">
        <v>196</v>
      </c>
      <c r="L9" s="9">
        <v>-1500</v>
      </c>
      <c r="M9" s="9"/>
      <c r="N9" s="48">
        <v>-2500</v>
      </c>
      <c r="O9" s="21">
        <f t="shared" si="3"/>
        <v>2500</v>
      </c>
      <c r="P9" s="8" t="s">
        <v>196</v>
      </c>
      <c r="Q9" s="9">
        <v>-1500</v>
      </c>
      <c r="R9" s="9">
        <v>-1000</v>
      </c>
      <c r="S9" s="48">
        <v>-2500</v>
      </c>
      <c r="T9" s="21">
        <f t="shared" si="4"/>
        <v>37700</v>
      </c>
      <c r="U9" s="53">
        <f>IF($J9="","",ROUND(($J9-$J$3)/1000,1)+(_xlfn.RANK.AVG($J9,($J9,$O9,$T9),1)-2)*10)</f>
        <v>39.799999999999997</v>
      </c>
      <c r="V9" s="54">
        <f>IF($O9="","",ROUND(($O9-$O$3)/1000,1)+(_xlfn.RANK.AVG($O9,($J9,$O9,$T9),1)-2)*10)</f>
        <v>-42.5</v>
      </c>
      <c r="W9" s="55">
        <f>IF($T9="","",ROUND(($T9-$T$3)/1000,1)+(_xlfn.RANK.AVG($T9,($J9,$O9,$T9),1)-2)*10)</f>
        <v>2.7</v>
      </c>
      <c r="Y9" s="8"/>
      <c r="Z9" s="34"/>
      <c r="AA9" s="26">
        <v>1</v>
      </c>
      <c r="AB9" s="26"/>
      <c r="AC9" s="26">
        <v>2</v>
      </c>
      <c r="AD9" s="30">
        <v>30</v>
      </c>
      <c r="AE9" s="40" t="s">
        <v>199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6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64800</v>
      </c>
      <c r="K10" s="8" t="s">
        <v>205</v>
      </c>
      <c r="L10" s="9">
        <v>-2000</v>
      </c>
      <c r="M10" s="9"/>
      <c r="N10" s="48">
        <v>-6000</v>
      </c>
      <c r="O10" s="21">
        <f t="shared" si="3"/>
        <v>-5500</v>
      </c>
      <c r="P10" s="8" t="s">
        <v>204</v>
      </c>
      <c r="Q10" s="9">
        <v>2000</v>
      </c>
      <c r="R10" s="9"/>
      <c r="S10" s="48">
        <v>6000</v>
      </c>
      <c r="T10" s="21">
        <f t="shared" si="4"/>
        <v>45700</v>
      </c>
      <c r="U10" s="53">
        <f>IF($J10="","",ROUND(($J10-$J$3)/1000,1)+(_xlfn.RANK.AVG($J10,($J10,$O10,$T10),1)-2)*10)</f>
        <v>39.799999999999997</v>
      </c>
      <c r="V10" s="54">
        <f>IF($O10="","",ROUND(($O10-$O$3)/1000,1)+(_xlfn.RANK.AVG($O10,($J10,$O10,$T10),1)-2)*10)</f>
        <v>-50.5</v>
      </c>
      <c r="W10" s="55">
        <f>IF($T10="","",ROUND(($T10-$T$3)/1000,1)+(_xlfn.RANK.AVG($T10,($J10,$O10,$T10),1)-2)*10)</f>
        <v>10.7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79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F1319F4-C81D-4E64-B20D-3F9B053A893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1DD39-673C-4A64-ABC3-8C0CAAC7A77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-4500</v>
      </c>
      <c r="H4" s="9">
        <v>-1000</v>
      </c>
      <c r="I4" s="48">
        <v>0</v>
      </c>
      <c r="J4" s="21">
        <f>IF(COUNTA($F4,$K4,$P4)&gt;0,J3+SUM(G4:I4),"")</f>
        <v>29500</v>
      </c>
      <c r="K4" s="8" t="s">
        <v>197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196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-5.5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-17.5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198</v>
      </c>
      <c r="AZ4" s="40" t="s">
        <v>199</v>
      </c>
      <c r="BA4" s="41" t="s">
        <v>82</v>
      </c>
      <c r="BB4" s="41" t="s">
        <v>83</v>
      </c>
      <c r="BC4" s="41" t="s">
        <v>79</v>
      </c>
      <c r="BD4" s="41" t="s">
        <v>79</v>
      </c>
      <c r="BE4" s="41" t="s">
        <v>92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205</v>
      </c>
      <c r="G5" s="9">
        <v>-2000</v>
      </c>
      <c r="H5" s="9"/>
      <c r="I5" s="48">
        <v>0</v>
      </c>
      <c r="J5" s="21">
        <f t="shared" ref="J5:J30" si="2">IF(COUNTA($F5,$K5,$P5)&gt;0,J4+SUM(G5:I5),"")</f>
        <v>27500</v>
      </c>
      <c r="K5" s="8" t="s">
        <v>204</v>
      </c>
      <c r="L5" s="9">
        <v>2000</v>
      </c>
      <c r="M5" s="9"/>
      <c r="N5" s="48">
        <v>0</v>
      </c>
      <c r="O5" s="21">
        <f t="shared" ref="O5:O30" si="3">IF(COUNTA($F5,$K5,$P5)&gt;0,O4+SUM(L5:N5),"")</f>
        <v>50000</v>
      </c>
      <c r="P5" s="8"/>
      <c r="Q5" s="9"/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25</v>
      </c>
      <c r="W5" s="55">
        <f>IF($T5="","",ROUND(($T5-$T$3)/1000,1)+(_xlfn.RANK.AVG($T5,($J5,$O5,$T5),1)-2)*10)</f>
        <v>-12.5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98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205</v>
      </c>
      <c r="G6" s="9">
        <v>-12000</v>
      </c>
      <c r="H6" s="9"/>
      <c r="I6" s="48">
        <v>0</v>
      </c>
      <c r="J6" s="21">
        <f t="shared" si="2"/>
        <v>15500</v>
      </c>
      <c r="K6" s="8"/>
      <c r="L6" s="9"/>
      <c r="M6" s="9"/>
      <c r="N6" s="48"/>
      <c r="O6" s="21">
        <f t="shared" si="3"/>
        <v>50000</v>
      </c>
      <c r="P6" s="8" t="s">
        <v>204</v>
      </c>
      <c r="Q6" s="9">
        <v>12000</v>
      </c>
      <c r="R6" s="9"/>
      <c r="S6" s="48">
        <v>0</v>
      </c>
      <c r="T6" s="21">
        <f t="shared" si="4"/>
        <v>39500</v>
      </c>
      <c r="U6" s="53">
        <f>IF($J6="","",ROUND(($J6-$J$3)/1000,1)+(_xlfn.RANK.AVG($J6,($J6,$O6,$T6),1)-2)*10)</f>
        <v>-29.5</v>
      </c>
      <c r="V6" s="54">
        <f>IF($O6="","",ROUND(($O6-$O$3)/1000,1)+(_xlfn.RANK.AVG($O6,($J6,$O6,$T6),1)-2)*10)</f>
        <v>25</v>
      </c>
      <c r="W6" s="55">
        <f>IF($T6="","",ROUND(($T6-$T$3)/1000,1)+(_xlfn.RANK.AVG($T6,($J6,$O6,$T6),1)-2)*10)</f>
        <v>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198</v>
      </c>
      <c r="BU6" s="40" t="s">
        <v>86</v>
      </c>
      <c r="BV6" s="41" t="s">
        <v>86</v>
      </c>
      <c r="BW6" s="41" t="s">
        <v>104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15500</v>
      </c>
      <c r="K7" s="8" t="s">
        <v>204</v>
      </c>
      <c r="L7" s="9">
        <v>1000</v>
      </c>
      <c r="M7" s="9"/>
      <c r="N7" s="48">
        <v>0</v>
      </c>
      <c r="O7" s="21">
        <f t="shared" si="3"/>
        <v>51000</v>
      </c>
      <c r="P7" s="8" t="s">
        <v>205</v>
      </c>
      <c r="Q7" s="9">
        <v>-1000</v>
      </c>
      <c r="R7" s="9"/>
      <c r="S7" s="48">
        <v>0</v>
      </c>
      <c r="T7" s="21">
        <f t="shared" si="4"/>
        <v>38500</v>
      </c>
      <c r="U7" s="53">
        <f>IF($J7="","",ROUND(($J7-$J$3)/1000,1)+(_xlfn.RANK.AVG($J7,($J7,$O7,$T7),1)-2)*10)</f>
        <v>-29.5</v>
      </c>
      <c r="V7" s="54">
        <f>IF($O7="","",ROUND(($O7-$O$3)/1000,1)+(_xlfn.RANK.AVG($O7,($J7,$O7,$T7),1)-2)*10)</f>
        <v>26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196</v>
      </c>
      <c r="G8" s="9">
        <v>-2500</v>
      </c>
      <c r="H8" s="9"/>
      <c r="I8" s="48">
        <v>0</v>
      </c>
      <c r="J8" s="21">
        <f t="shared" si="2"/>
        <v>13000</v>
      </c>
      <c r="K8" s="8" t="s">
        <v>197</v>
      </c>
      <c r="L8" s="9">
        <v>4000</v>
      </c>
      <c r="M8" s="9"/>
      <c r="N8" s="48">
        <v>0</v>
      </c>
      <c r="O8" s="21">
        <f t="shared" si="3"/>
        <v>55000</v>
      </c>
      <c r="P8" s="8" t="s">
        <v>196</v>
      </c>
      <c r="Q8" s="9">
        <v>-1500</v>
      </c>
      <c r="R8" s="9"/>
      <c r="S8" s="48">
        <v>0</v>
      </c>
      <c r="T8" s="21">
        <f t="shared" si="4"/>
        <v>37000</v>
      </c>
      <c r="U8" s="53">
        <f>IF($J8="","",ROUND(($J8-$J$3)/1000,1)+(_xlfn.RANK.AVG($J8,($J8,$O8,$T8),1)-2)*10)</f>
        <v>-32</v>
      </c>
      <c r="V8" s="54">
        <f>IF($O8="","",ROUND(($O8-$O$3)/1000,1)+(_xlfn.RANK.AVG($O8,($J8,$O8,$T8),1)-2)*10)</f>
        <v>30</v>
      </c>
      <c r="W8" s="55">
        <f>IF($T8="","",ROUND(($T8-$T$3)/1000,1)+(_xlfn.RANK.AVG($T8,($J8,$O8,$T8),1)-2)*10)</f>
        <v>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194</v>
      </c>
      <c r="F9" s="8"/>
      <c r="G9" s="9"/>
      <c r="H9" s="9"/>
      <c r="I9" s="48"/>
      <c r="J9" s="21">
        <f t="shared" si="2"/>
        <v>13000</v>
      </c>
      <c r="K9" s="8" t="s">
        <v>204</v>
      </c>
      <c r="L9" s="9">
        <v>3900</v>
      </c>
      <c r="M9" s="9"/>
      <c r="N9" s="48">
        <v>0</v>
      </c>
      <c r="O9" s="21">
        <f t="shared" si="3"/>
        <v>58900</v>
      </c>
      <c r="P9" s="8" t="s">
        <v>205</v>
      </c>
      <c r="Q9" s="9">
        <v>-3900</v>
      </c>
      <c r="R9" s="9"/>
      <c r="S9" s="48">
        <v>0</v>
      </c>
      <c r="T9" s="21">
        <f t="shared" si="4"/>
        <v>33100</v>
      </c>
      <c r="U9" s="53">
        <f>IF($J9="","",ROUND(($J9-$J$3)/1000,1)+(_xlfn.RANK.AVG($J9,($J9,$O9,$T9),1)-2)*10)</f>
        <v>-32</v>
      </c>
      <c r="V9" s="54">
        <f>IF($O9="","",ROUND(($O9-$O$3)/1000,1)+(_xlfn.RANK.AVG($O9,($J9,$O9,$T9),1)-2)*10)</f>
        <v>33.9</v>
      </c>
      <c r="W9" s="55">
        <f>IF($T9="","",ROUND(($T9-$T$3)/1000,1)+(_xlfn.RANK.AVG($T9,($J9,$O9,$T9),1)-2)*10)</f>
        <v>-1.9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199</v>
      </c>
      <c r="BA9" s="41" t="s">
        <v>208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F5803F51-B952-4156-8369-1BD68DAFE437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693430D1-AA7E-45EE-8BFB-2491C1FE00DF}">
      <formula1>"ロン,ツモ,放銃,ツモ支払,流局,チョンボ"</formula1>
    </dataValidation>
    <dataValidation type="list" allowBlank="1" showInputMessage="1" showErrorMessage="1" sqref="E4:E30" xr:uid="{2BA0D035-9486-4268-8F63-DADDBB3499D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276FF-EC45-46A5-9D92-11105D4B2D9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209</v>
      </c>
      <c r="G4" s="9">
        <v>-1500</v>
      </c>
      <c r="H4" s="9"/>
      <c r="I4" s="48"/>
      <c r="J4" s="21">
        <f>IF(COUNTA($F4,$K4,$P4)&gt;0,J3+SUM(G4:I4),"")</f>
        <v>33500</v>
      </c>
      <c r="K4" s="8" t="s">
        <v>209</v>
      </c>
      <c r="L4" s="9">
        <v>-1500</v>
      </c>
      <c r="M4" s="9"/>
      <c r="N4" s="48"/>
      <c r="O4" s="21">
        <f>IF(COUNTA($F4,$K4,$P4)&gt;0,O3+SUM(L4:N4),"")</f>
        <v>33500</v>
      </c>
      <c r="P4" s="8" t="s">
        <v>209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201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194</v>
      </c>
      <c r="F5" s="8" t="s">
        <v>209</v>
      </c>
      <c r="G5" s="9">
        <v>1500</v>
      </c>
      <c r="H5" s="9">
        <v>-1000</v>
      </c>
      <c r="I5" s="48"/>
      <c r="J5" s="21">
        <f t="shared" ref="J5:J30" si="2">IF(COUNTA($F5,$K5,$P5)&gt;0,J4+SUM(G5:I5),"")</f>
        <v>34000</v>
      </c>
      <c r="K5" s="8" t="s">
        <v>209</v>
      </c>
      <c r="L5" s="9">
        <v>-3000</v>
      </c>
      <c r="M5" s="9"/>
      <c r="N5" s="48"/>
      <c r="O5" s="21">
        <f t="shared" ref="O5:O30" si="3">IF(COUNTA($F5,$K5,$P5)&gt;0,O4+SUM(L5:N5),"")</f>
        <v>30500</v>
      </c>
      <c r="P5" s="8" t="s">
        <v>209</v>
      </c>
      <c r="Q5" s="9">
        <v>1500</v>
      </c>
      <c r="R5" s="9">
        <v>-1000</v>
      </c>
      <c r="S5" s="48"/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12.5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2</v>
      </c>
      <c r="D6" s="18">
        <f t="shared" si="1"/>
        <v>3</v>
      </c>
      <c r="E6" s="4" t="s">
        <v>191</v>
      </c>
      <c r="F6" s="8" t="s">
        <v>197</v>
      </c>
      <c r="G6" s="9">
        <v>4000</v>
      </c>
      <c r="H6" s="9">
        <v>3000</v>
      </c>
      <c r="I6" s="48">
        <v>2000</v>
      </c>
      <c r="J6" s="21">
        <f t="shared" si="2"/>
        <v>43000</v>
      </c>
      <c r="K6" s="8" t="s">
        <v>196</v>
      </c>
      <c r="L6" s="9">
        <v>-1500</v>
      </c>
      <c r="M6" s="9"/>
      <c r="N6" s="48">
        <v>-1000</v>
      </c>
      <c r="O6" s="21">
        <f t="shared" si="3"/>
        <v>28000</v>
      </c>
      <c r="P6" s="8" t="s">
        <v>196</v>
      </c>
      <c r="Q6" s="9">
        <v>-2500</v>
      </c>
      <c r="R6" s="9"/>
      <c r="S6" s="48">
        <v>-1000</v>
      </c>
      <c r="T6" s="21">
        <f t="shared" si="4"/>
        <v>34000</v>
      </c>
      <c r="U6" s="53">
        <f>IF($J6="","",ROUND(($J6-$J$3)/1000,1)+(_xlfn.RANK.AVG($J6,($J6,$O6,$T6),1)-2)*10)</f>
        <v>18</v>
      </c>
      <c r="V6" s="54">
        <f>IF($O6="","",ROUND(($O6-$O$3)/1000,1)+(_xlfn.RANK.AVG($O6,($J6,$O6,$T6),1)-2)*10)</f>
        <v>-17</v>
      </c>
      <c r="W6" s="55">
        <f>IF($T6="","",ROUND(($T6-$T$3)/1000,1)+(_xlfn.RANK.AVG($T6,($J6,$O6,$T6),1)-2)*10)</f>
        <v>-1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197</v>
      </c>
      <c r="G7" s="9">
        <v>12000</v>
      </c>
      <c r="H7" s="9"/>
      <c r="I7" s="48">
        <v>0</v>
      </c>
      <c r="J7" s="21">
        <f t="shared" si="2"/>
        <v>55000</v>
      </c>
      <c r="K7" s="8" t="s">
        <v>196</v>
      </c>
      <c r="L7" s="9">
        <v>-6000</v>
      </c>
      <c r="M7" s="9"/>
      <c r="N7" s="48">
        <v>0</v>
      </c>
      <c r="O7" s="21">
        <f t="shared" si="3"/>
        <v>22000</v>
      </c>
      <c r="P7" s="8" t="s">
        <v>196</v>
      </c>
      <c r="Q7" s="9">
        <v>-6000</v>
      </c>
      <c r="R7" s="9"/>
      <c r="S7" s="48">
        <v>0</v>
      </c>
      <c r="T7" s="21">
        <f t="shared" si="4"/>
        <v>28000</v>
      </c>
      <c r="U7" s="53">
        <f>IF($J7="","",ROUND(($J7-$J$3)/1000,1)+(_xlfn.RANK.AVG($J7,($J7,$O7,$T7),1)-2)*10)</f>
        <v>30</v>
      </c>
      <c r="V7" s="54">
        <f>IF($O7="","",ROUND(($O7-$O$3)/1000,1)+(_xlfn.RANK.AVG($O7,($J7,$O7,$T7),1)-2)*10)</f>
        <v>-23</v>
      </c>
      <c r="W7" s="55">
        <f>IF($T7="","",ROUND(($T7-$T$3)/1000,1)+(_xlfn.RANK.AVG($T7,($J7,$O7,$T7),1)-2)*10)</f>
        <v>-7</v>
      </c>
      <c r="Y7" s="8"/>
      <c r="Z7" s="34"/>
      <c r="AA7" s="26">
        <v>1</v>
      </c>
      <c r="AB7" s="26"/>
      <c r="AC7" s="26">
        <v>5</v>
      </c>
      <c r="AD7" s="30" t="s">
        <v>198</v>
      </c>
      <c r="AE7" s="40" t="s">
        <v>199</v>
      </c>
      <c r="AF7" s="41" t="s">
        <v>82</v>
      </c>
      <c r="AG7" s="41" t="s">
        <v>208</v>
      </c>
      <c r="AH7" s="41" t="s">
        <v>92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209</v>
      </c>
      <c r="G8" s="9">
        <v>0</v>
      </c>
      <c r="H8" s="9">
        <v>-1000</v>
      </c>
      <c r="I8" s="48"/>
      <c r="J8" s="21">
        <f t="shared" si="2"/>
        <v>54000</v>
      </c>
      <c r="K8" s="8" t="s">
        <v>209</v>
      </c>
      <c r="L8" s="9">
        <v>0</v>
      </c>
      <c r="M8" s="9">
        <v>-1000</v>
      </c>
      <c r="N8" s="48"/>
      <c r="O8" s="21">
        <f t="shared" si="3"/>
        <v>21000</v>
      </c>
      <c r="P8" s="8" t="s">
        <v>209</v>
      </c>
      <c r="Q8" s="9">
        <v>0</v>
      </c>
      <c r="R8" s="9"/>
      <c r="S8" s="48"/>
      <c r="T8" s="21">
        <f t="shared" si="4"/>
        <v>28000</v>
      </c>
      <c r="U8" s="53">
        <f>IF($J8="","",ROUND(($J8-$J$3)/1000,1)+(_xlfn.RANK.AVG($J8,($J8,$O8,$T8),1)-2)*10)</f>
        <v>29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-7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206</v>
      </c>
      <c r="F9" s="8" t="s">
        <v>196</v>
      </c>
      <c r="G9" s="9">
        <v>-3300</v>
      </c>
      <c r="H9" s="9"/>
      <c r="I9" s="48">
        <v>-1000</v>
      </c>
      <c r="J9" s="21">
        <f t="shared" si="2"/>
        <v>49700</v>
      </c>
      <c r="K9" s="8" t="s">
        <v>196</v>
      </c>
      <c r="L9" s="9">
        <v>-2000</v>
      </c>
      <c r="M9" s="9"/>
      <c r="N9" s="48">
        <v>-1000</v>
      </c>
      <c r="O9" s="21">
        <f t="shared" si="3"/>
        <v>18000</v>
      </c>
      <c r="P9" s="8" t="s">
        <v>197</v>
      </c>
      <c r="Q9" s="9">
        <v>5300</v>
      </c>
      <c r="R9" s="9">
        <v>2000</v>
      </c>
      <c r="S9" s="48">
        <v>2000</v>
      </c>
      <c r="T9" s="21">
        <f t="shared" si="4"/>
        <v>37300</v>
      </c>
      <c r="U9" s="53">
        <f>IF($J9="","",ROUND(($J9-$J$3)/1000,1)+(_xlfn.RANK.AVG($J9,($J9,$O9,$T9),1)-2)*10)</f>
        <v>24.7</v>
      </c>
      <c r="V9" s="54">
        <f>IF($O9="","",ROUND(($O9-$O$3)/1000,1)+(_xlfn.RANK.AVG($O9,($J9,$O9,$T9),1)-2)*10)</f>
        <v>-27</v>
      </c>
      <c r="W9" s="55">
        <f>IF($T9="","",ROUND(($T9-$T$3)/1000,1)+(_xlfn.RANK.AVG($T9,($J9,$O9,$T9),1)-2)*10)</f>
        <v>2.2999999999999998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20</v>
      </c>
      <c r="BU9" s="40" t="s">
        <v>199</v>
      </c>
      <c r="BV9" s="41" t="s">
        <v>82</v>
      </c>
      <c r="BW9" s="41" t="s">
        <v>83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209</v>
      </c>
      <c r="G10" s="9">
        <v>3000</v>
      </c>
      <c r="H10" s="9"/>
      <c r="I10" s="48"/>
      <c r="J10" s="21">
        <f t="shared" si="2"/>
        <v>52700</v>
      </c>
      <c r="K10" s="8" t="s">
        <v>209</v>
      </c>
      <c r="L10" s="9">
        <v>-1500</v>
      </c>
      <c r="M10" s="9"/>
      <c r="N10" s="48"/>
      <c r="O10" s="21">
        <f t="shared" si="3"/>
        <v>16500</v>
      </c>
      <c r="P10" s="8" t="s">
        <v>209</v>
      </c>
      <c r="Q10" s="9">
        <v>-1500</v>
      </c>
      <c r="R10" s="9"/>
      <c r="S10" s="48"/>
      <c r="T10" s="21">
        <f t="shared" si="4"/>
        <v>35800</v>
      </c>
      <c r="U10" s="53">
        <f>IF($J10="","",ROUND(($J10-$J$3)/1000,1)+(_xlfn.RANK.AVG($J10,($J10,$O10,$T10),1)-2)*10)</f>
        <v>27.7</v>
      </c>
      <c r="V10" s="54">
        <f>IF($O10="","",ROUND(($O10-$O$3)/1000,1)+(_xlfn.RANK.AVG($O10,($J10,$O10,$T10),1)-2)*10)</f>
        <v>-28.5</v>
      </c>
      <c r="W10" s="55">
        <f>IF($T10="","",ROUND(($T10-$T$3)/1000,1)+(_xlfn.RANK.AVG($T10,($J10,$O10,$T10),1)-2)*10)</f>
        <v>0.8</v>
      </c>
      <c r="Y10" s="8" t="s">
        <v>201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205</v>
      </c>
      <c r="G11" s="9">
        <v>-48000</v>
      </c>
      <c r="H11" s="9">
        <v>-1000</v>
      </c>
      <c r="I11" s="48">
        <v>-1000</v>
      </c>
      <c r="J11" s="21">
        <f t="shared" si="2"/>
        <v>2700</v>
      </c>
      <c r="K11" s="8"/>
      <c r="L11" s="9"/>
      <c r="M11" s="9"/>
      <c r="N11" s="48"/>
      <c r="O11" s="21">
        <f t="shared" si="3"/>
        <v>16500</v>
      </c>
      <c r="P11" s="8" t="s">
        <v>204</v>
      </c>
      <c r="Q11" s="9">
        <v>48000</v>
      </c>
      <c r="R11" s="9">
        <v>1000</v>
      </c>
      <c r="S11" s="48">
        <v>1000</v>
      </c>
      <c r="T11" s="21">
        <f t="shared" si="4"/>
        <v>85800</v>
      </c>
      <c r="U11" s="53">
        <f>IF($J11="","",ROUND(($J11-$J$3)/1000,1)+(_xlfn.RANK.AVG($J11,($J11,$O11,$T11),1)-2)*10)</f>
        <v>-42.3</v>
      </c>
      <c r="V11" s="54">
        <f>IF($O11="","",ROUND(($O11-$O$3)/1000,1)+(_xlfn.RANK.AVG($O11,($J11,$O11,$T11),1)-2)*10)</f>
        <v>-18.5</v>
      </c>
      <c r="W11" s="55">
        <f>IF($T11="","",ROUND(($T11-$T$3)/1000,1)+(_xlfn.RANK.AVG($T11,($J11,$O11,$T11),1)-2)*10)</f>
        <v>60.8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13</v>
      </c>
      <c r="BT11" s="30" t="s">
        <v>198</v>
      </c>
      <c r="BU11" s="40" t="s">
        <v>107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2E1C75FD-A825-49FB-8F26-1009251AF689}">
      <formula1>$U$2:$W$2</formula1>
    </dataValidation>
    <dataValidation type="list" showInputMessage="1" showErrorMessage="1" sqref="K4:K30 P4:P30 F4:F30" xr:uid="{D3E15376-C12D-40B4-ABAF-2BFB214C38C5}">
      <formula1>"ロン,ツモ,放銃,ツモ支払,流局,チョンボ"</formula1>
    </dataValidation>
    <dataValidation type="list" allowBlank="1" showInputMessage="1" sqref="F1:T1" xr:uid="{9660493E-3ACC-4A15-968A-F43E153F77C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3CE8-43DB-4F93-9BB1-8257E3BE6F7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196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196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-17.5</v>
      </c>
      <c r="Y4" s="8"/>
      <c r="Z4" s="34"/>
      <c r="AA4" s="26">
        <v>1</v>
      </c>
      <c r="AB4" s="26"/>
      <c r="AC4" s="26">
        <v>6</v>
      </c>
      <c r="AD4" s="30" t="s">
        <v>198</v>
      </c>
      <c r="AE4" s="40" t="s">
        <v>199</v>
      </c>
      <c r="AF4" s="41" t="s">
        <v>82</v>
      </c>
      <c r="AG4" s="41" t="s">
        <v>83</v>
      </c>
      <c r="AH4" s="41" t="s">
        <v>85</v>
      </c>
      <c r="AI4" s="41" t="s">
        <v>79</v>
      </c>
      <c r="AJ4" s="41" t="s">
        <v>208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205</v>
      </c>
      <c r="G5" s="9">
        <v>-12000</v>
      </c>
      <c r="H5" s="9"/>
      <c r="I5" s="48">
        <v>0</v>
      </c>
      <c r="J5" s="21">
        <f t="shared" ref="J5:J30" si="2">IF(COUNTA($F5,$K5,$P5)&gt;0,J4+SUM(G5:I5),"")</f>
        <v>35000</v>
      </c>
      <c r="K5" s="8"/>
      <c r="L5" s="9"/>
      <c r="M5" s="9"/>
      <c r="N5" s="48"/>
      <c r="O5" s="21">
        <f t="shared" ref="O5:O30" si="3">IF(COUNTA($F5,$K5,$P5)&gt;0,O4+SUM(L5:N5),"")</f>
        <v>30500</v>
      </c>
      <c r="P5" s="8" t="s">
        <v>204</v>
      </c>
      <c r="Q5" s="9">
        <v>12000</v>
      </c>
      <c r="R5" s="9"/>
      <c r="S5" s="48">
        <v>0</v>
      </c>
      <c r="T5" s="21">
        <f t="shared" ref="T5:T30" si="4">IF(COUNTA($F5,$K5,$P5)&gt;0,T4+SUM(Q5:S5),"")</f>
        <v>39500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198</v>
      </c>
      <c r="BU5" s="40" t="s">
        <v>86</v>
      </c>
      <c r="BV5" s="41" t="s">
        <v>79</v>
      </c>
      <c r="BW5" s="41" t="s">
        <v>79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196</v>
      </c>
      <c r="G6" s="9">
        <v>-3000</v>
      </c>
      <c r="H6" s="9"/>
      <c r="I6" s="48">
        <v>0</v>
      </c>
      <c r="J6" s="21">
        <f t="shared" si="2"/>
        <v>32000</v>
      </c>
      <c r="K6" s="8" t="s">
        <v>196</v>
      </c>
      <c r="L6" s="9">
        <v>-5000</v>
      </c>
      <c r="M6" s="9"/>
      <c r="N6" s="48">
        <v>0</v>
      </c>
      <c r="O6" s="21">
        <f t="shared" si="3"/>
        <v>25500</v>
      </c>
      <c r="P6" s="8" t="s">
        <v>197</v>
      </c>
      <c r="Q6" s="9">
        <v>8000</v>
      </c>
      <c r="R6" s="9"/>
      <c r="S6" s="48">
        <v>0</v>
      </c>
      <c r="T6" s="21">
        <f t="shared" si="4"/>
        <v>47500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22.5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82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204</v>
      </c>
      <c r="G7" s="9">
        <v>8000</v>
      </c>
      <c r="H7" s="9"/>
      <c r="I7" s="48">
        <v>0</v>
      </c>
      <c r="J7" s="21">
        <f t="shared" si="2"/>
        <v>40000</v>
      </c>
      <c r="K7" s="8" t="s">
        <v>205</v>
      </c>
      <c r="L7" s="9">
        <v>-8000</v>
      </c>
      <c r="M7" s="9"/>
      <c r="N7" s="48">
        <v>0</v>
      </c>
      <c r="O7" s="21">
        <f t="shared" si="3"/>
        <v>17500</v>
      </c>
      <c r="P7" s="8"/>
      <c r="Q7" s="9"/>
      <c r="R7" s="9"/>
      <c r="S7" s="48"/>
      <c r="T7" s="21">
        <f t="shared" si="4"/>
        <v>47500</v>
      </c>
      <c r="U7" s="53">
        <f>IF($J7="","",ROUND(($J7-$J$3)/1000,1)+(_xlfn.RANK.AVG($J7,($J7,$O7,$T7),1)-2)*10)</f>
        <v>5</v>
      </c>
      <c r="V7" s="54">
        <f>IF($O7="","",ROUND(($O7-$O$3)/1000,1)+(_xlfn.RANK.AVG($O7,($J7,$O7,$T7),1)-2)*10)</f>
        <v>-27.5</v>
      </c>
      <c r="W7" s="55">
        <f>IF($T7="","",ROUND(($T7-$T$3)/1000,1)+(_xlfn.RANK.AVG($T7,($J7,$O7,$T7),1)-2)*10)</f>
        <v>22.5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104</v>
      </c>
      <c r="AF7" s="41" t="s">
        <v>86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204</v>
      </c>
      <c r="G8" s="9">
        <v>12000</v>
      </c>
      <c r="H8" s="9">
        <v>1000</v>
      </c>
      <c r="I8" s="48">
        <v>0</v>
      </c>
      <c r="J8" s="21">
        <f t="shared" si="2"/>
        <v>53000</v>
      </c>
      <c r="K8" s="8"/>
      <c r="L8" s="9"/>
      <c r="M8" s="9"/>
      <c r="N8" s="48"/>
      <c r="O8" s="21">
        <f t="shared" si="3"/>
        <v>17500</v>
      </c>
      <c r="P8" s="8" t="s">
        <v>205</v>
      </c>
      <c r="Q8" s="9">
        <v>-12000</v>
      </c>
      <c r="R8" s="9">
        <v>-1000</v>
      </c>
      <c r="S8" s="48">
        <v>0</v>
      </c>
      <c r="T8" s="21">
        <f t="shared" si="4"/>
        <v>34500</v>
      </c>
      <c r="U8" s="53">
        <f>IF($J8="","",ROUND(($J8-$J$3)/1000,1)+(_xlfn.RANK.AVG($J8,($J8,$O8,$T8),1)-2)*10)</f>
        <v>28</v>
      </c>
      <c r="V8" s="54">
        <f>IF($O8="","",ROUND(($O8-$O$3)/1000,1)+(_xlfn.RANK.AVG($O8,($J8,$O8,$T8),1)-2)*10)</f>
        <v>-27.5</v>
      </c>
      <c r="W8" s="55">
        <f>IF($T8="","",ROUND(($T8-$T$3)/1000,1)+(_xlfn.RANK.AVG($T8,($J8,$O8,$T8),1)-2)*10)</f>
        <v>-0.5</v>
      </c>
      <c r="Y8" s="8"/>
      <c r="Z8" s="34"/>
      <c r="AA8" s="26"/>
      <c r="AB8" s="26">
        <v>1</v>
      </c>
      <c r="AC8" s="26">
        <v>5</v>
      </c>
      <c r="AD8" s="30" t="s">
        <v>198</v>
      </c>
      <c r="AE8" s="40" t="s">
        <v>86</v>
      </c>
      <c r="AF8" s="41" t="s">
        <v>104</v>
      </c>
      <c r="AG8" s="41" t="s">
        <v>92</v>
      </c>
      <c r="AH8" s="41" t="s">
        <v>208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197</v>
      </c>
      <c r="G9" s="9">
        <v>3000</v>
      </c>
      <c r="H9" s="9"/>
      <c r="I9" s="48">
        <v>1000</v>
      </c>
      <c r="J9" s="21">
        <f t="shared" si="2"/>
        <v>57000</v>
      </c>
      <c r="K9" s="8" t="s">
        <v>196</v>
      </c>
      <c r="L9" s="9">
        <v>-1500</v>
      </c>
      <c r="M9" s="9"/>
      <c r="N9" s="48">
        <v>-500</v>
      </c>
      <c r="O9" s="21">
        <f t="shared" si="3"/>
        <v>15500</v>
      </c>
      <c r="P9" s="8" t="s">
        <v>196</v>
      </c>
      <c r="Q9" s="9">
        <v>-1500</v>
      </c>
      <c r="R9" s="9"/>
      <c r="S9" s="48">
        <v>-500</v>
      </c>
      <c r="T9" s="21">
        <f t="shared" si="4"/>
        <v>32500</v>
      </c>
      <c r="U9" s="53">
        <f>IF($J9="","",ROUND(($J9-$J$3)/1000,1)+(_xlfn.RANK.AVG($J9,($J9,$O9,$T9),1)-2)*10)</f>
        <v>32</v>
      </c>
      <c r="V9" s="54">
        <f>IF($O9="","",ROUND(($O9-$O$3)/1000,1)+(_xlfn.RANK.AVG($O9,($J9,$O9,$T9),1)-2)*10)</f>
        <v>-29.5</v>
      </c>
      <c r="W9" s="55">
        <f>IF($T9="","",ROUND(($T9-$T$3)/1000,1)+(_xlfn.RANK.AVG($T9,($J9,$O9,$T9),1)-2)*10)</f>
        <v>-2.5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104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194</v>
      </c>
      <c r="F10" s="8" t="s">
        <v>196</v>
      </c>
      <c r="G10" s="9">
        <v>-900</v>
      </c>
      <c r="H10" s="9">
        <v>-1000</v>
      </c>
      <c r="I10" s="48">
        <v>-1000</v>
      </c>
      <c r="J10" s="21">
        <f t="shared" si="2"/>
        <v>54100</v>
      </c>
      <c r="K10" s="8" t="s">
        <v>196</v>
      </c>
      <c r="L10" s="9">
        <v>-600</v>
      </c>
      <c r="M10" s="9"/>
      <c r="N10" s="48">
        <v>-1000</v>
      </c>
      <c r="O10" s="21">
        <f t="shared" si="3"/>
        <v>13900</v>
      </c>
      <c r="P10" s="8" t="s">
        <v>197</v>
      </c>
      <c r="Q10" s="9">
        <v>1500</v>
      </c>
      <c r="R10" s="9">
        <v>1000</v>
      </c>
      <c r="S10" s="48">
        <v>2000</v>
      </c>
      <c r="T10" s="21">
        <f t="shared" si="4"/>
        <v>37000</v>
      </c>
      <c r="U10" s="53">
        <f>IF($J10="","",ROUND(($J10-$J$3)/1000,1)+(_xlfn.RANK.AVG($J10,($J10,$O10,$T10),1)-2)*10)</f>
        <v>29.1</v>
      </c>
      <c r="V10" s="54">
        <f>IF($O10="","",ROUND(($O10-$O$3)/1000,1)+(_xlfn.RANK.AVG($O10,($J10,$O10,$T10),1)-2)*10)</f>
        <v>-31.1</v>
      </c>
      <c r="W10" s="55">
        <f>IF($T10="","",ROUND(($T10-$T$3)/1000,1)+(_xlfn.RANK.AVG($T10,($J10,$O10,$T10),1)-2)*10)</f>
        <v>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40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210</v>
      </c>
      <c r="F11" s="8" t="s">
        <v>204</v>
      </c>
      <c r="G11" s="9">
        <v>3900</v>
      </c>
      <c r="H11" s="9"/>
      <c r="I11" s="48">
        <v>0</v>
      </c>
      <c r="J11" s="21">
        <f t="shared" si="2"/>
        <v>58000</v>
      </c>
      <c r="K11" s="8" t="s">
        <v>205</v>
      </c>
      <c r="L11" s="9">
        <v>-3900</v>
      </c>
      <c r="M11" s="9"/>
      <c r="N11" s="48">
        <v>0</v>
      </c>
      <c r="O11" s="21">
        <f t="shared" si="3"/>
        <v>10000</v>
      </c>
      <c r="P11" s="8"/>
      <c r="Q11" s="9"/>
      <c r="R11" s="9"/>
      <c r="S11" s="48"/>
      <c r="T11" s="21">
        <f t="shared" si="4"/>
        <v>37000</v>
      </c>
      <c r="U11" s="53">
        <f>IF($J11="","",ROUND(($J11-$J$3)/1000,1)+(_xlfn.RANK.AVG($J11,($J11,$O11,$T11),1)-2)*10)</f>
        <v>33</v>
      </c>
      <c r="V11" s="54">
        <f>IF($O11="","",ROUND(($O11-$O$3)/1000,1)+(_xlfn.RANK.AVG($O11,($J11,$O11,$T11),1)-2)*10)</f>
        <v>-35</v>
      </c>
      <c r="W11" s="55">
        <f>IF($T11="","",ROUND(($T11-$T$3)/1000,1)+(_xlfn.RANK.AVG($T11,($J11,$O11,$T11),1)-2)*10)</f>
        <v>2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86</v>
      </c>
      <c r="AG11" s="41" t="s">
        <v>208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CC8F3569-BBA1-4D4B-BC40-AAABE970F618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2010C79C-6909-45FB-AA40-E0A29C8D020A}">
      <formula1>"ロン,ツモ,放銃,ツモ支払,流局,チョンボ"</formula1>
    </dataValidation>
    <dataValidation type="list" allowBlank="1" showInputMessage="1" showErrorMessage="1" sqref="E4:E30" xr:uid="{F3A04944-9C7B-498E-8120-872D2C009B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9B10-515E-40B2-94F0-429E801060A8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204</v>
      </c>
      <c r="L4" s="9">
        <v>12000</v>
      </c>
      <c r="M4" s="9">
        <v>2000</v>
      </c>
      <c r="N4" s="48">
        <v>0</v>
      </c>
      <c r="O4" s="21">
        <f>IF(COUNTA($F4,$K4,$P4)&gt;0,O3+SUM(L4:N4),"")</f>
        <v>49000</v>
      </c>
      <c r="P4" s="8" t="s">
        <v>205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24</v>
      </c>
      <c r="W4" s="55">
        <f>IF($T4="","",ROUND(($T4-$T$3)/1000,1)+(_xlfn.RANK.AVG($T4,($J4,$O4,$T4),1)-2)*10)</f>
        <v>-23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198</v>
      </c>
      <c r="AZ4" s="40" t="s">
        <v>92</v>
      </c>
      <c r="BA4" s="41" t="s">
        <v>208</v>
      </c>
      <c r="BB4" s="41" t="s">
        <v>208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205</v>
      </c>
      <c r="G5" s="9">
        <v>-1300</v>
      </c>
      <c r="H5" s="9"/>
      <c r="I5" s="48">
        <v>-1000</v>
      </c>
      <c r="J5" s="21">
        <f t="shared" ref="J5:J30" si="2">IF(COUNTA($F5,$K5,$P5)&gt;0,J4+SUM(G5:I5),"")</f>
        <v>31700</v>
      </c>
      <c r="K5" s="8"/>
      <c r="L5" s="9"/>
      <c r="M5" s="9"/>
      <c r="N5" s="48"/>
      <c r="O5" s="21">
        <f t="shared" ref="O5:O30" si="3">IF(COUNTA($F5,$K5,$P5)&gt;0,O4+SUM(L5:N5),"")</f>
        <v>49000</v>
      </c>
      <c r="P5" s="8" t="s">
        <v>204</v>
      </c>
      <c r="Q5" s="9">
        <v>1300</v>
      </c>
      <c r="R5" s="9"/>
      <c r="S5" s="48">
        <v>1000</v>
      </c>
      <c r="T5" s="21">
        <f t="shared" ref="T5:T30" si="4">IF(COUNTA($F5,$K5,$P5)&gt;0,T4+SUM(Q5:S5),"")</f>
        <v>24300</v>
      </c>
      <c r="U5" s="53">
        <f>IF($J5="","",ROUND(($J5-$J$3)/1000,1)+(_xlfn.RANK.AVG($J5,($J5,$O5,$T5),1)-2)*10)</f>
        <v>-3.3</v>
      </c>
      <c r="V5" s="54">
        <f>IF($O5="","",ROUND(($O5-$O$3)/1000,1)+(_xlfn.RANK.AVG($O5,($J5,$O5,$T5),1)-2)*10)</f>
        <v>24</v>
      </c>
      <c r="W5" s="55">
        <f>IF($T5="","",ROUND(($T5-$T$3)/1000,1)+(_xlfn.RANK.AVG($T5,($J5,$O5,$T5),1)-2)*10)</f>
        <v>-20.7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40</v>
      </c>
      <c r="BU5" s="40" t="s">
        <v>199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2600</v>
      </c>
      <c r="H6" s="9"/>
      <c r="I6" s="48">
        <v>0</v>
      </c>
      <c r="J6" s="21">
        <f t="shared" si="2"/>
        <v>34300</v>
      </c>
      <c r="K6" s="8" t="s">
        <v>205</v>
      </c>
      <c r="L6" s="9">
        <v>-2600</v>
      </c>
      <c r="M6" s="9"/>
      <c r="N6" s="48">
        <v>0</v>
      </c>
      <c r="O6" s="21">
        <f t="shared" si="3"/>
        <v>46400</v>
      </c>
      <c r="P6" s="8"/>
      <c r="Q6" s="9"/>
      <c r="R6" s="9"/>
      <c r="S6" s="48"/>
      <c r="T6" s="21">
        <f t="shared" si="4"/>
        <v>24300</v>
      </c>
      <c r="U6" s="53">
        <f>IF($J6="","",ROUND(($J6-$J$3)/1000,1)+(_xlfn.RANK.AVG($J6,($J6,$O6,$T6),1)-2)*10)</f>
        <v>-0.7</v>
      </c>
      <c r="V6" s="54">
        <f>IF($O6="","",ROUND(($O6-$O$3)/1000,1)+(_xlfn.RANK.AVG($O6,($J6,$O6,$T6),1)-2)*10)</f>
        <v>21.4</v>
      </c>
      <c r="W6" s="55">
        <f>IF($T6="","",ROUND(($T6-$T$3)/1000,1)+(_xlfn.RANK.AVG($T6,($J6,$O6,$T6),1)-2)*10)</f>
        <v>-20.7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208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196</v>
      </c>
      <c r="G7" s="9">
        <v>-7500</v>
      </c>
      <c r="H7" s="9"/>
      <c r="I7" s="48">
        <v>0</v>
      </c>
      <c r="J7" s="21">
        <f t="shared" si="2"/>
        <v>26800</v>
      </c>
      <c r="K7" s="8" t="s">
        <v>196</v>
      </c>
      <c r="L7" s="9">
        <v>-4500</v>
      </c>
      <c r="M7" s="9"/>
      <c r="N7" s="48">
        <v>0</v>
      </c>
      <c r="O7" s="21">
        <f t="shared" si="3"/>
        <v>41900</v>
      </c>
      <c r="P7" s="8" t="s">
        <v>197</v>
      </c>
      <c r="Q7" s="9">
        <v>12000</v>
      </c>
      <c r="R7" s="9"/>
      <c r="S7" s="48">
        <v>0</v>
      </c>
      <c r="T7" s="21">
        <f t="shared" si="4"/>
        <v>36300</v>
      </c>
      <c r="U7" s="53">
        <f>IF($J7="","",ROUND(($J7-$J$3)/1000,1)+(_xlfn.RANK.AVG($J7,($J7,$O7,$T7),1)-2)*10)</f>
        <v>-18.2</v>
      </c>
      <c r="V7" s="54">
        <f>IF($O7="","",ROUND(($O7-$O$3)/1000,1)+(_xlfn.RANK.AVG($O7,($J7,$O7,$T7),1)-2)*10)</f>
        <v>16.899999999999999</v>
      </c>
      <c r="W7" s="55">
        <f>IF($T7="","",ROUND(($T7-$T$3)/1000,1)+(_xlfn.RANK.AVG($T7,($J7,$O7,$T7),1)-2)*10)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198</v>
      </c>
      <c r="BU7" s="40" t="s">
        <v>199</v>
      </c>
      <c r="BV7" s="41" t="s">
        <v>82</v>
      </c>
      <c r="BW7" s="41" t="s">
        <v>83</v>
      </c>
      <c r="BX7" s="41" t="s">
        <v>79</v>
      </c>
      <c r="BY7" s="41" t="s">
        <v>80</v>
      </c>
      <c r="BZ7" s="41" t="s">
        <v>208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204</v>
      </c>
      <c r="G8" s="9">
        <v>12000</v>
      </c>
      <c r="H8" s="9">
        <v>1000</v>
      </c>
      <c r="I8" s="48">
        <v>0</v>
      </c>
      <c r="J8" s="21">
        <f t="shared" si="2"/>
        <v>39800</v>
      </c>
      <c r="K8" s="8"/>
      <c r="L8" s="9"/>
      <c r="M8" s="9"/>
      <c r="N8" s="48"/>
      <c r="O8" s="21">
        <f t="shared" si="3"/>
        <v>41900</v>
      </c>
      <c r="P8" s="8" t="s">
        <v>205</v>
      </c>
      <c r="Q8" s="9">
        <v>-12000</v>
      </c>
      <c r="R8" s="9">
        <v>-1000</v>
      </c>
      <c r="S8" s="48">
        <v>0</v>
      </c>
      <c r="T8" s="21">
        <f t="shared" si="4"/>
        <v>23300</v>
      </c>
      <c r="U8" s="53">
        <f>IF($J8="","",ROUND(($J8-$J$3)/1000,1)+(_xlfn.RANK.AVG($J8,($J8,$O8,$T8),1)-2)*10)</f>
        <v>4.8</v>
      </c>
      <c r="V8" s="54">
        <f>IF($O8="","",ROUND(($O8-$O$3)/1000,1)+(_xlfn.RANK.AVG($O8,($J8,$O8,$T8),1)-2)*10)</f>
        <v>16.899999999999999</v>
      </c>
      <c r="W8" s="55">
        <f>IF($T8="","",ROUND(($T8-$T$3)/1000,1)+(_xlfn.RANK.AVG($T8,($J8,$O8,$T8),1)-2)*10)</f>
        <v>-21.7</v>
      </c>
      <c r="Y8" s="8"/>
      <c r="Z8" s="34"/>
      <c r="AA8" s="26">
        <v>1</v>
      </c>
      <c r="AB8" s="26"/>
      <c r="AC8" s="26">
        <v>6</v>
      </c>
      <c r="AD8" s="30" t="s">
        <v>198</v>
      </c>
      <c r="AE8" s="40" t="s">
        <v>199</v>
      </c>
      <c r="AF8" s="41" t="s">
        <v>104</v>
      </c>
      <c r="AG8" s="41" t="s">
        <v>80</v>
      </c>
      <c r="AH8" s="41" t="s">
        <v>208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204</v>
      </c>
      <c r="G9" s="9">
        <v>8000</v>
      </c>
      <c r="H9" s="9"/>
      <c r="I9" s="48">
        <v>0</v>
      </c>
      <c r="J9" s="21">
        <f t="shared" si="2"/>
        <v>47800</v>
      </c>
      <c r="K9" s="8"/>
      <c r="L9" s="9"/>
      <c r="M9" s="9"/>
      <c r="N9" s="48"/>
      <c r="O9" s="21">
        <f t="shared" si="3"/>
        <v>41900</v>
      </c>
      <c r="P9" s="8" t="s">
        <v>205</v>
      </c>
      <c r="Q9" s="9">
        <v>-8000</v>
      </c>
      <c r="R9" s="9"/>
      <c r="S9" s="48">
        <v>0</v>
      </c>
      <c r="T9" s="21">
        <f t="shared" si="4"/>
        <v>15300</v>
      </c>
      <c r="U9" s="53">
        <f>IF($J9="","",ROUND(($J9-$J$3)/1000,1)+(_xlfn.RANK.AVG($J9,($J9,$O9,$T9),1)-2)*10)</f>
        <v>22.8</v>
      </c>
      <c r="V9" s="54">
        <f>IF($O9="","",ROUND(($O9-$O$3)/1000,1)+(_xlfn.RANK.AVG($O9,($J9,$O9,$T9),1)-2)*10)</f>
        <v>6.9</v>
      </c>
      <c r="W9" s="55">
        <f>IF($T9="","",ROUND(($T9-$T$3)/1000,1)+(_xlfn.RANK.AVG($T9,($J9,$O9,$T9),1)-2)*10)</f>
        <v>-29.7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104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197</v>
      </c>
      <c r="G10" s="9">
        <v>3000</v>
      </c>
      <c r="H10" s="9">
        <v>1000</v>
      </c>
      <c r="I10" s="48">
        <v>0</v>
      </c>
      <c r="J10" s="21">
        <f t="shared" si="2"/>
        <v>51800</v>
      </c>
      <c r="K10" s="8" t="s">
        <v>196</v>
      </c>
      <c r="L10" s="9">
        <v>-1500</v>
      </c>
      <c r="M10" s="9"/>
      <c r="N10" s="48">
        <v>0</v>
      </c>
      <c r="O10" s="21">
        <f t="shared" si="3"/>
        <v>40400</v>
      </c>
      <c r="P10" s="8" t="s">
        <v>196</v>
      </c>
      <c r="Q10" s="9">
        <v>-1500</v>
      </c>
      <c r="R10" s="9">
        <v>-1000</v>
      </c>
      <c r="S10" s="48">
        <v>0</v>
      </c>
      <c r="T10" s="21">
        <f t="shared" si="4"/>
        <v>12800</v>
      </c>
      <c r="U10" s="53">
        <f>IF($J10="","",ROUND(($J10-$J$3)/1000,1)+(_xlfn.RANK.AVG($J10,($J10,$O10,$T10),1)-2)*10)</f>
        <v>26.8</v>
      </c>
      <c r="V10" s="54">
        <f>IF($O10="","",ROUND(($O10-$O$3)/1000,1)+(_xlfn.RANK.AVG($O10,($J10,$O10,$T10),1)-2)*10)</f>
        <v>5.4</v>
      </c>
      <c r="W10" s="55">
        <f>IF($T10="","",ROUND(($T10-$T$3)/1000,1)+(_xlfn.RANK.AVG($T10,($J10,$O10,$T10),1)-2)*10)</f>
        <v>-32.200000000000003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199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22877D88-CB09-4DD8-B430-968657A8F5ED}">
      <formula1>$U$2:$W$2</formula1>
    </dataValidation>
    <dataValidation type="list" showInputMessage="1" showErrorMessage="1" sqref="K4:K30 P4:P30 F4:F30" xr:uid="{7FB1B2BA-8543-42CC-8F52-C8DC9C3AB8FB}">
      <formula1>"ロン,ツモ,放銃,ツモ支払,流局,チョンボ"</formula1>
    </dataValidation>
    <dataValidation type="list" allowBlank="1" showInputMessage="1" sqref="F1:T1" xr:uid="{ACF048F1-520C-4ED8-BAED-82245DFC195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41AE-EC91-4E7C-BEBA-A93F25D2C6E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196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96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204</v>
      </c>
      <c r="G5" s="9">
        <v>12000</v>
      </c>
      <c r="H5" s="9"/>
      <c r="I5" s="48">
        <v>1000</v>
      </c>
      <c r="J5" s="21">
        <f t="shared" ref="J5:J30" si="2">IF(COUNTA($F5,$K5,$P5)&gt;0,J4+SUM(G5:I5),"")</f>
        <v>60000</v>
      </c>
      <c r="K5" s="8" t="s">
        <v>205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16000</v>
      </c>
      <c r="P5" s="8"/>
      <c r="Q5" s="9"/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-29</v>
      </c>
      <c r="W5" s="55">
        <f>IF($T5="","",ROUND(($T5-$T$3)/1000,1)+(_xlfn.RANK.AVG($T5,($J5,$O5,$T5),1)-2)*10)</f>
        <v>-6</v>
      </c>
      <c r="Y5" s="8"/>
      <c r="Z5" s="34"/>
      <c r="AA5" s="26"/>
      <c r="AB5" s="26"/>
      <c r="AC5" s="26">
        <v>5</v>
      </c>
      <c r="AD5" s="30" t="s">
        <v>198</v>
      </c>
      <c r="AE5" s="40" t="s">
        <v>79</v>
      </c>
      <c r="AF5" s="41" t="s">
        <v>84</v>
      </c>
      <c r="AG5" s="41" t="s">
        <v>104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196</v>
      </c>
      <c r="G6" s="9">
        <v>-5000</v>
      </c>
      <c r="H6" s="9"/>
      <c r="I6" s="48">
        <v>-1000</v>
      </c>
      <c r="J6" s="21">
        <f t="shared" si="2"/>
        <v>54000</v>
      </c>
      <c r="K6" s="8" t="s">
        <v>197</v>
      </c>
      <c r="L6" s="9">
        <v>8000</v>
      </c>
      <c r="M6" s="9"/>
      <c r="N6" s="48">
        <v>2000</v>
      </c>
      <c r="O6" s="21">
        <f t="shared" si="3"/>
        <v>26000</v>
      </c>
      <c r="P6" s="8" t="s">
        <v>196</v>
      </c>
      <c r="Q6" s="9">
        <v>-3000</v>
      </c>
      <c r="R6" s="9"/>
      <c r="S6" s="48">
        <v>-1000</v>
      </c>
      <c r="T6" s="21">
        <f t="shared" si="4"/>
        <v>25000</v>
      </c>
      <c r="U6" s="53">
        <f>IF($J6="","",ROUND(($J6-$J$3)/1000,1)+(_xlfn.RANK.AVG($J6,($J6,$O6,$T6),1)-2)*10)</f>
        <v>29</v>
      </c>
      <c r="V6" s="54">
        <f>IF($O6="","",ROUND(($O6-$O$3)/1000,1)+(_xlfn.RANK.AVG($O6,($J6,$O6,$T6),1)-2)*10)</f>
        <v>-9</v>
      </c>
      <c r="W6" s="55">
        <f>IF($T6="","",ROUND(($T6-$T$3)/1000,1)+(_xlfn.RANK.AVG($T6,($J6,$O6,$T6),1)-2)*10)</f>
        <v>-20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198</v>
      </c>
      <c r="AZ6" s="40" t="s">
        <v>199</v>
      </c>
      <c r="BA6" s="41" t="s">
        <v>82</v>
      </c>
      <c r="BB6" s="41" t="s">
        <v>86</v>
      </c>
      <c r="BC6" s="41" t="s">
        <v>86</v>
      </c>
      <c r="BD6" s="41" t="s">
        <v>208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210</v>
      </c>
      <c r="F7" s="8" t="s">
        <v>197</v>
      </c>
      <c r="G7" s="9">
        <v>8000</v>
      </c>
      <c r="H7" s="9"/>
      <c r="I7" s="48">
        <v>0</v>
      </c>
      <c r="J7" s="21">
        <f t="shared" si="2"/>
        <v>62000</v>
      </c>
      <c r="K7" s="8" t="s">
        <v>196</v>
      </c>
      <c r="L7" s="9">
        <v>-5000</v>
      </c>
      <c r="M7" s="9"/>
      <c r="N7" s="48">
        <v>0</v>
      </c>
      <c r="O7" s="21">
        <f t="shared" si="3"/>
        <v>21000</v>
      </c>
      <c r="P7" s="8" t="s">
        <v>196</v>
      </c>
      <c r="Q7" s="9">
        <v>-3000</v>
      </c>
      <c r="R7" s="9"/>
      <c r="S7" s="48">
        <v>0</v>
      </c>
      <c r="T7" s="21">
        <f t="shared" si="4"/>
        <v>22000</v>
      </c>
      <c r="U7" s="53">
        <f>IF($J7="","",ROUND(($J7-$J$3)/1000,1)+(_xlfn.RANK.AVG($J7,($J7,$O7,$T7),1)-2)*10)</f>
        <v>37</v>
      </c>
      <c r="V7" s="54">
        <f>IF($O7="","",ROUND(($O7-$O$3)/1000,1)+(_xlfn.RANK.AVG($O7,($J7,$O7,$T7),1)-2)*10)</f>
        <v>-24</v>
      </c>
      <c r="W7" s="55">
        <f>IF($T7="","",ROUND(($T7-$T$3)/1000,1)+(_xlfn.RANK.AVG($T7,($J7,$O7,$T7),1)-2)*10)</f>
        <v>-13</v>
      </c>
      <c r="Y7" s="8"/>
      <c r="Z7" s="34"/>
      <c r="AA7" s="26">
        <v>1</v>
      </c>
      <c r="AB7" s="26"/>
      <c r="AC7" s="26">
        <v>5</v>
      </c>
      <c r="AD7" s="30" t="s">
        <v>198</v>
      </c>
      <c r="AE7" s="40" t="s">
        <v>82</v>
      </c>
      <c r="AF7" s="41" t="s">
        <v>199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197</v>
      </c>
      <c r="G8" s="9">
        <v>8000</v>
      </c>
      <c r="H8" s="9"/>
      <c r="I8" s="48">
        <v>0</v>
      </c>
      <c r="J8" s="21">
        <f t="shared" si="2"/>
        <v>70000</v>
      </c>
      <c r="K8" s="8" t="s">
        <v>196</v>
      </c>
      <c r="L8" s="9">
        <v>-3000</v>
      </c>
      <c r="M8" s="9"/>
      <c r="N8" s="48">
        <v>0</v>
      </c>
      <c r="O8" s="21">
        <f t="shared" si="3"/>
        <v>18000</v>
      </c>
      <c r="P8" s="8" t="s">
        <v>196</v>
      </c>
      <c r="Q8" s="9">
        <v>-5000</v>
      </c>
      <c r="R8" s="9"/>
      <c r="S8" s="48">
        <v>0</v>
      </c>
      <c r="T8" s="21">
        <f t="shared" si="4"/>
        <v>17000</v>
      </c>
      <c r="U8" s="53">
        <f>IF($J8="","",ROUND(($J8-$J$3)/1000,1)+(_xlfn.RANK.AVG($J8,($J8,$O8,$T8),1)-2)*10)</f>
        <v>45</v>
      </c>
      <c r="V8" s="54">
        <f>IF($O8="","",ROUND(($O8-$O$3)/1000,1)+(_xlfn.RANK.AVG($O8,($J8,$O8,$T8),1)-2)*10)</f>
        <v>-17</v>
      </c>
      <c r="W8" s="55">
        <f>IF($T8="","",ROUND(($T8-$T$3)/1000,1)+(_xlfn.RANK.AVG($T8,($J8,$O8,$T8),1)-2)*10)</f>
        <v>-28</v>
      </c>
      <c r="Y8" s="8"/>
      <c r="Z8" s="34"/>
      <c r="AA8" s="26"/>
      <c r="AB8" s="26">
        <v>1</v>
      </c>
      <c r="AC8" s="26">
        <v>5</v>
      </c>
      <c r="AD8" s="30" t="s">
        <v>198</v>
      </c>
      <c r="AE8" s="40" t="s">
        <v>86</v>
      </c>
      <c r="AF8" s="41" t="s">
        <v>79</v>
      </c>
      <c r="AG8" s="41" t="s">
        <v>79</v>
      </c>
      <c r="AH8" s="41" t="s">
        <v>79</v>
      </c>
      <c r="AI8" s="41" t="s">
        <v>208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209</v>
      </c>
      <c r="G9" s="9">
        <v>-1500</v>
      </c>
      <c r="H9" s="9"/>
      <c r="I9" s="48"/>
      <c r="J9" s="21">
        <f t="shared" si="2"/>
        <v>68500</v>
      </c>
      <c r="K9" s="8" t="s">
        <v>209</v>
      </c>
      <c r="L9" s="9">
        <v>3000</v>
      </c>
      <c r="M9" s="9">
        <v>-1000</v>
      </c>
      <c r="N9" s="48"/>
      <c r="O9" s="21">
        <f t="shared" si="3"/>
        <v>20000</v>
      </c>
      <c r="P9" s="8" t="s">
        <v>209</v>
      </c>
      <c r="Q9" s="9">
        <v>-1500</v>
      </c>
      <c r="R9" s="9"/>
      <c r="S9" s="48"/>
      <c r="T9" s="21">
        <f t="shared" si="4"/>
        <v>15500</v>
      </c>
      <c r="U9" s="53">
        <f>IF($J9="","",ROUND(($J9-$J$3)/1000,1)+(_xlfn.RANK.AVG($J9,($J9,$O9,$T9),1)-2)*10)</f>
        <v>43.5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-29.5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210</v>
      </c>
      <c r="F10" s="8" t="s">
        <v>196</v>
      </c>
      <c r="G10" s="9">
        <v>-2000</v>
      </c>
      <c r="H10" s="9">
        <v>-1000</v>
      </c>
      <c r="I10" s="48">
        <v>-500</v>
      </c>
      <c r="J10" s="21">
        <f t="shared" si="2"/>
        <v>65000</v>
      </c>
      <c r="K10" s="8" t="s">
        <v>196</v>
      </c>
      <c r="L10" s="9">
        <v>-3300</v>
      </c>
      <c r="M10" s="9">
        <v>-1000</v>
      </c>
      <c r="N10" s="48">
        <v>-500</v>
      </c>
      <c r="O10" s="21">
        <f t="shared" si="3"/>
        <v>15200</v>
      </c>
      <c r="P10" s="8" t="s">
        <v>197</v>
      </c>
      <c r="Q10" s="9">
        <v>5300</v>
      </c>
      <c r="R10" s="9">
        <v>3000</v>
      </c>
      <c r="S10" s="48">
        <v>1000</v>
      </c>
      <c r="T10" s="21">
        <f t="shared" si="4"/>
        <v>24800</v>
      </c>
      <c r="U10" s="53">
        <f>IF($J10="","",ROUND(($J10-$J$3)/1000,1)+(_xlfn.RANK.AVG($J10,($J10,$O10,$T10),1)-2)*10)</f>
        <v>40</v>
      </c>
      <c r="V10" s="54">
        <f>IF($O10="","",ROUND(($O10-$O$3)/1000,1)+(_xlfn.RANK.AVG($O10,($J10,$O10,$T10),1)-2)*10)</f>
        <v>-29.8</v>
      </c>
      <c r="W10" s="55">
        <f>IF($T10="","",ROUND(($T10-$T$3)/1000,1)+(_xlfn.RANK.AVG($T10,($J10,$O10,$T10),1)-2)*10)</f>
        <v>-10.199999999999999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20</v>
      </c>
      <c r="BU10" s="40" t="s">
        <v>199</v>
      </c>
      <c r="BV10" s="41" t="s">
        <v>82</v>
      </c>
      <c r="BW10" s="41" t="s">
        <v>83</v>
      </c>
      <c r="BX10" s="41" t="s">
        <v>208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194</v>
      </c>
      <c r="F11" s="8" t="s">
        <v>204</v>
      </c>
      <c r="G11" s="9">
        <v>5200</v>
      </c>
      <c r="H11" s="9"/>
      <c r="I11" s="48">
        <v>0</v>
      </c>
      <c r="J11" s="21">
        <f t="shared" si="2"/>
        <v>70200</v>
      </c>
      <c r="K11" s="8" t="s">
        <v>205</v>
      </c>
      <c r="L11" s="9">
        <v>-5200</v>
      </c>
      <c r="M11" s="9"/>
      <c r="N11" s="48">
        <v>0</v>
      </c>
      <c r="O11" s="21">
        <f t="shared" si="3"/>
        <v>10000</v>
      </c>
      <c r="P11" s="8"/>
      <c r="Q11" s="9"/>
      <c r="R11" s="9"/>
      <c r="S11" s="48"/>
      <c r="T11" s="21">
        <f t="shared" si="4"/>
        <v>24800</v>
      </c>
      <c r="U11" s="53">
        <f>IF($J11="","",ROUND(($J11-$J$3)/1000,1)+(_xlfn.RANK.AVG($J11,($J11,$O11,$T11),1)-2)*10)</f>
        <v>45.2</v>
      </c>
      <c r="V11" s="54">
        <f>IF($O11="","",ROUND(($O11-$O$3)/1000,1)+(_xlfn.RANK.AVG($O11,($J11,$O11,$T11),1)-2)*10)</f>
        <v>-35</v>
      </c>
      <c r="W11" s="55">
        <f>IF($T11="","",ROUND(($T11-$T$3)/1000,1)+(_xlfn.RANK.AVG($T11,($J11,$O11,$T11),1)-2)*10)</f>
        <v>-10.199999999999999</v>
      </c>
      <c r="Y11" s="8"/>
      <c r="Z11" s="34"/>
      <c r="AA11" s="26"/>
      <c r="AB11" s="26"/>
      <c r="AC11" s="26">
        <v>3</v>
      </c>
      <c r="AD11" s="30">
        <v>40</v>
      </c>
      <c r="AE11" s="40" t="s">
        <v>92</v>
      </c>
      <c r="AF11" s="41" t="s">
        <v>208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D0B6321-4CC9-490C-BFDD-86C396F37AF5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690134CA-F04A-4343-BA4F-291A240E9C99}">
      <formula1>"ロン,ツモ,放銃,ツモ支払,流局,チョンボ"</formula1>
    </dataValidation>
    <dataValidation type="list" allowBlank="1" showInputMessage="1" showErrorMessage="1" sqref="E4:E30" xr:uid="{FE748F5C-AEA9-4A45-A306-4EE6886C451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56FB-944A-4564-9752-7D244F7BF687}">
  <sheetPr codeName="Sheet16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209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209</v>
      </c>
      <c r="L4" s="9">
        <v>-3000</v>
      </c>
      <c r="M4" s="9"/>
      <c r="N4" s="48"/>
      <c r="O4" s="21">
        <f>IF(COUNTA($F4,$K4,$P4)&gt;0,O3+SUM(L4:N4),"")</f>
        <v>32000</v>
      </c>
      <c r="P4" s="8" t="s">
        <v>209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201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201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194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204</v>
      </c>
      <c r="L5" s="9">
        <v>8000</v>
      </c>
      <c r="M5" s="9">
        <v>1000</v>
      </c>
      <c r="N5" s="48">
        <v>1000</v>
      </c>
      <c r="O5" s="21">
        <f t="shared" ref="O5:O30" si="3">IF(COUNTA($F5,$K5,$P5)&gt;0,O4+SUM(L5:N5),"")</f>
        <v>42000</v>
      </c>
      <c r="P5" s="8" t="s">
        <v>205</v>
      </c>
      <c r="Q5" s="9">
        <v>-8000</v>
      </c>
      <c r="R5" s="9"/>
      <c r="S5" s="48">
        <v>-1000</v>
      </c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-17.5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198</v>
      </c>
      <c r="AZ5" s="40" t="s">
        <v>86</v>
      </c>
      <c r="BA5" s="41" t="s">
        <v>86</v>
      </c>
      <c r="BB5" s="41" t="s">
        <v>104</v>
      </c>
      <c r="BC5" s="41" t="s">
        <v>208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3900</v>
      </c>
      <c r="H6" s="9"/>
      <c r="I6" s="48">
        <v>0</v>
      </c>
      <c r="J6" s="21">
        <f t="shared" si="2"/>
        <v>39400</v>
      </c>
      <c r="K6" s="8" t="s">
        <v>205</v>
      </c>
      <c r="L6" s="9">
        <v>-3900</v>
      </c>
      <c r="M6" s="9"/>
      <c r="N6" s="48">
        <v>0</v>
      </c>
      <c r="O6" s="21">
        <f t="shared" si="3"/>
        <v>38100</v>
      </c>
      <c r="P6" s="8"/>
      <c r="Q6" s="9"/>
      <c r="R6" s="9"/>
      <c r="S6" s="48"/>
      <c r="T6" s="21">
        <f t="shared" si="4"/>
        <v>27500</v>
      </c>
      <c r="U6" s="53">
        <f>IF($J6="","",ROUND(($J6-$J$3)/1000,1)+(_xlfn.RANK.AVG($J6,($J6,$O6,$T6),1)-2)*10)</f>
        <v>14.4</v>
      </c>
      <c r="V6" s="54">
        <f>IF($O6="","",ROUND(($O6-$O$3)/1000,1)+(_xlfn.RANK.AVG($O6,($J6,$O6,$T6),1)-2)*10)</f>
        <v>3.1</v>
      </c>
      <c r="W6" s="55">
        <f>IF($T6="","",ROUND(($T6-$T$3)/1000,1)+(_xlfn.RANK.AVG($T6,($J6,$O6,$T6),1)-2)*10)</f>
        <v>-17.5</v>
      </c>
      <c r="Y6" s="8"/>
      <c r="Z6" s="34"/>
      <c r="AA6" s="26"/>
      <c r="AB6" s="26"/>
      <c r="AC6" s="26">
        <v>2</v>
      </c>
      <c r="AD6" s="30">
        <v>40</v>
      </c>
      <c r="AE6" s="40" t="s">
        <v>85</v>
      </c>
      <c r="AF6" s="41" t="s">
        <v>208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205</v>
      </c>
      <c r="G7" s="9">
        <v>-12000</v>
      </c>
      <c r="H7" s="9"/>
      <c r="I7" s="48">
        <v>-1000</v>
      </c>
      <c r="J7" s="21">
        <f t="shared" si="2"/>
        <v>26400</v>
      </c>
      <c r="K7" s="8"/>
      <c r="L7" s="9"/>
      <c r="M7" s="9"/>
      <c r="N7" s="48"/>
      <c r="O7" s="21">
        <f t="shared" si="3"/>
        <v>38100</v>
      </c>
      <c r="P7" s="8" t="s">
        <v>204</v>
      </c>
      <c r="Q7" s="9">
        <v>12000</v>
      </c>
      <c r="R7" s="9"/>
      <c r="S7" s="48">
        <v>1000</v>
      </c>
      <c r="T7" s="21">
        <f t="shared" si="4"/>
        <v>40500</v>
      </c>
      <c r="U7" s="53">
        <f>IF($J7="","",ROUND(($J7-$J$3)/1000,1)+(_xlfn.RANK.AVG($J7,($J7,$O7,$T7),1)-2)*10)</f>
        <v>-18.600000000000001</v>
      </c>
      <c r="V7" s="54">
        <f>IF($O7="","",ROUND(($O7-$O$3)/1000,1)+(_xlfn.RANK.AVG($O7,($J7,$O7,$T7),1)-2)*10)</f>
        <v>3.1</v>
      </c>
      <c r="W7" s="55">
        <f>IF($T7="","",ROUND(($T7-$T$3)/1000,1)+(_xlfn.RANK.AVG($T7,($J7,$O7,$T7),1)-2)*10)</f>
        <v>15.5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198</v>
      </c>
      <c r="BU7" s="40" t="s">
        <v>106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196</v>
      </c>
      <c r="G8" s="9">
        <v>-3000</v>
      </c>
      <c r="H8" s="9"/>
      <c r="I8" s="48">
        <v>0</v>
      </c>
      <c r="J8" s="21">
        <f t="shared" si="2"/>
        <v>23400</v>
      </c>
      <c r="K8" s="8" t="s">
        <v>196</v>
      </c>
      <c r="L8" s="9">
        <v>-5000</v>
      </c>
      <c r="M8" s="9"/>
      <c r="N8" s="48">
        <v>0</v>
      </c>
      <c r="O8" s="21">
        <f t="shared" si="3"/>
        <v>33100</v>
      </c>
      <c r="P8" s="8" t="s">
        <v>197</v>
      </c>
      <c r="Q8" s="9">
        <v>8000</v>
      </c>
      <c r="R8" s="9"/>
      <c r="S8" s="48">
        <v>0</v>
      </c>
      <c r="T8" s="21">
        <f t="shared" si="4"/>
        <v>48500</v>
      </c>
      <c r="U8" s="53">
        <f>IF($J8="","",ROUND(($J8-$J$3)/1000,1)+(_xlfn.RANK.AVG($J8,($J8,$O8,$T8),1)-2)*10)</f>
        <v>-21.6</v>
      </c>
      <c r="V8" s="54">
        <f>IF($O8="","",ROUND(($O8-$O$3)/1000,1)+(_xlfn.RANK.AVG($O8,($J8,$O8,$T8),1)-2)*10)</f>
        <v>-1.9</v>
      </c>
      <c r="W8" s="55">
        <f>IF($T8="","",ROUND(($T8-$T$3)/1000,1)+(_xlfn.RANK.AVG($T8,($J8,$O8,$T8),1)-2)*10)</f>
        <v>23.5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198</v>
      </c>
      <c r="BU8" s="40" t="s">
        <v>199</v>
      </c>
      <c r="BV8" s="41" t="s">
        <v>82</v>
      </c>
      <c r="BW8" s="41" t="s">
        <v>83</v>
      </c>
      <c r="BX8" s="41" t="s">
        <v>208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196</v>
      </c>
      <c r="G9" s="9">
        <v>-2900</v>
      </c>
      <c r="H9" s="9">
        <v>-1000</v>
      </c>
      <c r="I9" s="48">
        <v>0</v>
      </c>
      <c r="J9" s="21">
        <f t="shared" si="2"/>
        <v>19500</v>
      </c>
      <c r="K9" s="8" t="s">
        <v>197</v>
      </c>
      <c r="L9" s="9">
        <v>7700</v>
      </c>
      <c r="M9" s="9">
        <v>1000</v>
      </c>
      <c r="N9" s="48">
        <v>0</v>
      </c>
      <c r="O9" s="21">
        <f t="shared" si="3"/>
        <v>41800</v>
      </c>
      <c r="P9" s="8" t="s">
        <v>196</v>
      </c>
      <c r="Q9" s="9">
        <v>-4800</v>
      </c>
      <c r="R9" s="9"/>
      <c r="S9" s="48">
        <v>0</v>
      </c>
      <c r="T9" s="21">
        <f t="shared" si="4"/>
        <v>43700</v>
      </c>
      <c r="U9" s="53">
        <f>IF($J9="","",ROUND(($J9-$J$3)/1000,1)+(_xlfn.RANK.AVG($J9,($J9,$O9,$T9),1)-2)*10)</f>
        <v>-25.5</v>
      </c>
      <c r="V9" s="54">
        <f>IF($O9="","",ROUND(($O9-$O$3)/1000,1)+(_xlfn.RANK.AVG($O9,($J9,$O9,$T9),1)-2)*10)</f>
        <v>6.8</v>
      </c>
      <c r="W9" s="55">
        <f>IF($T9="","",ROUND(($T9-$T$3)/1000,1)+(_xlfn.RANK.AVG($T9,($J9,$O9,$T9),1)-2)*10)</f>
        <v>18.7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60</v>
      </c>
      <c r="AZ9" s="40" t="s">
        <v>199</v>
      </c>
      <c r="BA9" s="41" t="s">
        <v>82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19500</v>
      </c>
      <c r="K10" s="8" t="s">
        <v>204</v>
      </c>
      <c r="L10" s="9">
        <v>2000</v>
      </c>
      <c r="M10" s="9"/>
      <c r="N10" s="48">
        <v>0</v>
      </c>
      <c r="O10" s="21">
        <f t="shared" si="3"/>
        <v>43800</v>
      </c>
      <c r="P10" s="8" t="s">
        <v>205</v>
      </c>
      <c r="Q10" s="9">
        <v>-2000</v>
      </c>
      <c r="R10" s="9"/>
      <c r="S10" s="48">
        <v>0</v>
      </c>
      <c r="T10" s="21">
        <f t="shared" si="4"/>
        <v>41700</v>
      </c>
      <c r="U10" s="53">
        <f>IF($J10="","",ROUND(($J10-$J$3)/1000,1)+(_xlfn.RANK.AVG($J10,($J10,$O10,$T10),1)-2)*10)</f>
        <v>-25.5</v>
      </c>
      <c r="V10" s="54">
        <f>IF($O10="","",ROUND(($O10-$O$3)/1000,1)+(_xlfn.RANK.AVG($O10,($J10,$O10,$T10),1)-2)*10)</f>
        <v>18.8</v>
      </c>
      <c r="W10" s="55">
        <f>IF($T10="","",ROUND(($T10-$T$3)/1000,1)+(_xlfn.RANK.AVG($T10,($J10,$O10,$T10),1)-2)*10)</f>
        <v>6.7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208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210</v>
      </c>
      <c r="F11" s="8" t="s">
        <v>197</v>
      </c>
      <c r="G11" s="9">
        <v>12000</v>
      </c>
      <c r="H11" s="9">
        <v>1000</v>
      </c>
      <c r="I11" s="48">
        <v>0</v>
      </c>
      <c r="J11" s="21">
        <f t="shared" si="2"/>
        <v>32500</v>
      </c>
      <c r="K11" s="8" t="s">
        <v>196</v>
      </c>
      <c r="L11" s="9">
        <v>-7500</v>
      </c>
      <c r="M11" s="9">
        <v>-1000</v>
      </c>
      <c r="N11" s="48">
        <v>0</v>
      </c>
      <c r="O11" s="21">
        <f t="shared" si="3"/>
        <v>35300</v>
      </c>
      <c r="P11" s="8" t="s">
        <v>196</v>
      </c>
      <c r="Q11" s="9">
        <v>-4500</v>
      </c>
      <c r="R11" s="9"/>
      <c r="S11" s="48">
        <v>0</v>
      </c>
      <c r="T11" s="21">
        <f t="shared" si="4"/>
        <v>37200</v>
      </c>
      <c r="U11" s="53">
        <f>IF($J11="","",ROUND(($J11-$J$3)/1000,1)+(_xlfn.RANK.AVG($J11,($J11,$O11,$T11),1)-2)*10)</f>
        <v>-12.5</v>
      </c>
      <c r="V11" s="54">
        <f>IF($O11="","",ROUND(($O11-$O$3)/1000,1)+(_xlfn.RANK.AVG($O11,($J11,$O11,$T11),1)-2)*10)</f>
        <v>0.3</v>
      </c>
      <c r="W11" s="55">
        <f>IF($T11="","",ROUND(($T11-$T$3)/1000,1)+(_xlfn.RANK.AVG($T11,($J11,$O11,$T11),1)-2)*10)</f>
        <v>12.2</v>
      </c>
      <c r="Y11" s="8"/>
      <c r="Z11" s="34"/>
      <c r="AA11" s="26">
        <v>1</v>
      </c>
      <c r="AB11" s="26"/>
      <c r="AC11" s="26">
        <v>6</v>
      </c>
      <c r="AD11" s="30" t="s">
        <v>198</v>
      </c>
      <c r="AE11" s="40" t="s">
        <v>212</v>
      </c>
      <c r="AF11" s="41" t="s">
        <v>82</v>
      </c>
      <c r="AG11" s="41" t="s">
        <v>84</v>
      </c>
      <c r="AH11" s="41" t="s">
        <v>208</v>
      </c>
      <c r="AI11" s="41" t="s">
        <v>208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194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D1060D0-54F5-4279-A6BC-1FCDCFBC213F}">
      <formula1>$U$2:$W$2</formula1>
    </dataValidation>
    <dataValidation type="list" showInputMessage="1" showErrorMessage="1" sqref="K4:K30 P4:P30 F4:F30" xr:uid="{6EE8BAB2-A064-425F-A2CF-A0534875931C}">
      <formula1>"ロン,ツモ,放銃,ツモ支払,流局,チョンボ"</formula1>
    </dataValidation>
    <dataValidation type="list" allowBlank="1" showInputMessage="1" sqref="F1:T1" xr:uid="{60300EA9-7D82-417E-8A62-EEB12057F69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2020-01-12T15:39:26Z</dcterms:modified>
</cp:coreProperties>
</file>