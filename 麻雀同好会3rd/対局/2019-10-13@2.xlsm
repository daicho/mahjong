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2899D365-51D6-4B1A-886F-A30762E7B758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O14" i="24"/>
  <c r="J14" i="24"/>
  <c r="D14" i="24"/>
  <c r="C14" i="24"/>
  <c r="B14" i="24"/>
  <c r="A14" i="24" s="1"/>
  <c r="T13" i="24"/>
  <c r="O13" i="24"/>
  <c r="J13" i="24"/>
  <c r="D13" i="24"/>
  <c r="C13" i="24"/>
  <c r="B13" i="24"/>
  <c r="A13" i="24" s="1"/>
  <c r="T12" i="24"/>
  <c r="W12" i="24" s="1"/>
  <c r="O12" i="24"/>
  <c r="J12" i="24"/>
  <c r="D12" i="24"/>
  <c r="C12" i="24"/>
  <c r="B12" i="24"/>
  <c r="A12" i="24"/>
  <c r="T11" i="24"/>
  <c r="O11" i="24"/>
  <c r="J11" i="24"/>
  <c r="U11" i="24" s="1"/>
  <c r="D11" i="24"/>
  <c r="C11" i="24"/>
  <c r="B11" i="24"/>
  <c r="A11" i="24"/>
  <c r="T10" i="24"/>
  <c r="O10" i="24"/>
  <c r="J10" i="24"/>
  <c r="D10" i="24"/>
  <c r="C10" i="24"/>
  <c r="B10" i="24"/>
  <c r="A10" i="24"/>
  <c r="T9" i="24"/>
  <c r="O9" i="24"/>
  <c r="J9" i="24"/>
  <c r="D9" i="24"/>
  <c r="C9" i="24"/>
  <c r="B9" i="24"/>
  <c r="A9" i="24" s="1"/>
  <c r="T8" i="24"/>
  <c r="O8" i="24"/>
  <c r="J8" i="24"/>
  <c r="U8" i="24" s="1"/>
  <c r="D8" i="24"/>
  <c r="C8" i="24"/>
  <c r="B8" i="24"/>
  <c r="A8" i="24" s="1"/>
  <c r="D7" i="24"/>
  <c r="D6" i="24"/>
  <c r="C6" i="24"/>
  <c r="C7" i="24" s="1"/>
  <c r="B6" i="24"/>
  <c r="A6" i="24" s="1"/>
  <c r="J5" i="24"/>
  <c r="D5" i="24"/>
  <c r="C5" i="24"/>
  <c r="B5" i="24"/>
  <c r="A5" i="24" s="1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C11" i="23"/>
  <c r="D10" i="23"/>
  <c r="C10" i="23"/>
  <c r="D9" i="23"/>
  <c r="C9" i="23"/>
  <c r="D8" i="23"/>
  <c r="D7" i="23"/>
  <c r="C7" i="23"/>
  <c r="C8" i="23" s="1"/>
  <c r="D6" i="23"/>
  <c r="T5" i="23"/>
  <c r="T6" i="23" s="1"/>
  <c r="O5" i="23"/>
  <c r="D5" i="23"/>
  <c r="C5" i="23"/>
  <c r="C6" i="23" s="1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T9" i="22"/>
  <c r="O9" i="22"/>
  <c r="J9" i="22"/>
  <c r="D9" i="22"/>
  <c r="C9" i="22"/>
  <c r="B9" i="22"/>
  <c r="A9" i="22" s="1"/>
  <c r="D8" i="22"/>
  <c r="D7" i="22"/>
  <c r="D6" i="22"/>
  <c r="C6" i="22"/>
  <c r="C7" i="22" s="1"/>
  <c r="C8" i="22" s="1"/>
  <c r="O5" i="22"/>
  <c r="J5" i="22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7" i="21"/>
  <c r="C8" i="21" s="1"/>
  <c r="C9" i="21" s="1"/>
  <c r="D6" i="21"/>
  <c r="D7" i="21" s="1"/>
  <c r="D8" i="21" s="1"/>
  <c r="C6" i="21"/>
  <c r="T5" i="21"/>
  <c r="T6" i="21" s="1"/>
  <c r="O5" i="21"/>
  <c r="D5" i="21"/>
  <c r="C5" i="21"/>
  <c r="B5" i="2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U14" i="24" l="1"/>
  <c r="W14" i="24"/>
  <c r="V14" i="24"/>
  <c r="V13" i="24"/>
  <c r="W13" i="24"/>
  <c r="U13" i="24"/>
  <c r="V12" i="24"/>
  <c r="U12" i="24"/>
  <c r="V11" i="24"/>
  <c r="W11" i="24"/>
  <c r="V10" i="24"/>
  <c r="U10" i="24"/>
  <c r="W10" i="24"/>
  <c r="W9" i="24"/>
  <c r="U9" i="24"/>
  <c r="V9" i="24"/>
  <c r="V8" i="24"/>
  <c r="W8" i="24"/>
  <c r="V4" i="24"/>
  <c r="W4" i="24"/>
  <c r="U4" i="24"/>
  <c r="O5" i="24"/>
  <c r="B7" i="24"/>
  <c r="T5" i="24"/>
  <c r="J6" i="24"/>
  <c r="A7" i="24"/>
  <c r="V4" i="23"/>
  <c r="W4" i="23"/>
  <c r="U4" i="23"/>
  <c r="T7" i="23"/>
  <c r="B7" i="23"/>
  <c r="J5" i="23"/>
  <c r="V5" i="23" s="1"/>
  <c r="O6" i="23"/>
  <c r="A5" i="23"/>
  <c r="A6" i="23" s="1"/>
  <c r="A7" i="23" s="1"/>
  <c r="W11" i="22"/>
  <c r="V11" i="22"/>
  <c r="V10" i="22"/>
  <c r="U10" i="22"/>
  <c r="W10" i="22"/>
  <c r="V9" i="22"/>
  <c r="U9" i="22"/>
  <c r="W9" i="22"/>
  <c r="W4" i="22"/>
  <c r="V4" i="22"/>
  <c r="B7" i="22"/>
  <c r="T5" i="22"/>
  <c r="U5" i="22" s="1"/>
  <c r="J6" i="22"/>
  <c r="U4" i="22"/>
  <c r="O6" i="22"/>
  <c r="A5" i="22"/>
  <c r="A6" i="22"/>
  <c r="U4" i="21"/>
  <c r="W4" i="21"/>
  <c r="T7" i="21"/>
  <c r="B6" i="21"/>
  <c r="A6" i="21" s="1"/>
  <c r="J5" i="21"/>
  <c r="V5" i="21" s="1"/>
  <c r="O6" i="21"/>
  <c r="A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 s="1"/>
  <c r="T9" i="20"/>
  <c r="O9" i="20"/>
  <c r="J9" i="20"/>
  <c r="D9" i="20"/>
  <c r="C9" i="20"/>
  <c r="B9" i="20"/>
  <c r="A9" i="20"/>
  <c r="T8" i="20"/>
  <c r="O8" i="20"/>
  <c r="J8" i="20"/>
  <c r="D8" i="20"/>
  <c r="C8" i="20"/>
  <c r="B8" i="20"/>
  <c r="A8" i="20" s="1"/>
  <c r="T7" i="20"/>
  <c r="O7" i="20"/>
  <c r="J7" i="20"/>
  <c r="U7" i="20" s="1"/>
  <c r="D7" i="20"/>
  <c r="C7" i="20"/>
  <c r="B7" i="20"/>
  <c r="A7" i="20" s="1"/>
  <c r="D6" i="20"/>
  <c r="T5" i="20"/>
  <c r="T6" i="20" s="1"/>
  <c r="O5" i="20"/>
  <c r="D5" i="20"/>
  <c r="C5" i="20"/>
  <c r="C6" i="20" s="1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6" i="24" l="1"/>
  <c r="J7" i="24"/>
  <c r="W5" i="24"/>
  <c r="T6" i="24"/>
  <c r="V5" i="24"/>
  <c r="O6" i="24"/>
  <c r="U5" i="24"/>
  <c r="O7" i="23"/>
  <c r="T8" i="23"/>
  <c r="U5" i="23"/>
  <c r="J6" i="23"/>
  <c r="V6" i="23" s="1"/>
  <c r="W5" i="23"/>
  <c r="B8" i="23"/>
  <c r="A8" i="23"/>
  <c r="A7" i="22"/>
  <c r="B8" i="22"/>
  <c r="A8" i="22" s="1"/>
  <c r="O7" i="22"/>
  <c r="J7" i="22"/>
  <c r="W5" i="22"/>
  <c r="T6" i="22"/>
  <c r="V5" i="22"/>
  <c r="B7" i="21"/>
  <c r="A7" i="21" s="1"/>
  <c r="O7" i="21"/>
  <c r="W5" i="21"/>
  <c r="U5" i="21"/>
  <c r="J6" i="21"/>
  <c r="V6" i="21" s="1"/>
  <c r="T8" i="21"/>
  <c r="W11" i="20"/>
  <c r="V11" i="20"/>
  <c r="U10" i="20"/>
  <c r="W10" i="20"/>
  <c r="V10" i="20"/>
  <c r="V9" i="20"/>
  <c r="U9" i="20"/>
  <c r="W9" i="20"/>
  <c r="W8" i="20"/>
  <c r="U8" i="20"/>
  <c r="V8" i="20"/>
  <c r="W7" i="20"/>
  <c r="V7" i="20"/>
  <c r="V4" i="20"/>
  <c r="W4" i="20"/>
  <c r="U4" i="20"/>
  <c r="J5" i="20"/>
  <c r="O6" i="20"/>
  <c r="A5" i="20"/>
  <c r="A6" i="20"/>
  <c r="V6" i="24" l="1"/>
  <c r="O7" i="24"/>
  <c r="T7" i="24"/>
  <c r="W7" i="24" s="1"/>
  <c r="W6" i="24"/>
  <c r="O8" i="23"/>
  <c r="B9" i="23"/>
  <c r="A9" i="23" s="1"/>
  <c r="U6" i="23"/>
  <c r="J7" i="23"/>
  <c r="W6" i="23"/>
  <c r="T9" i="23"/>
  <c r="W6" i="22"/>
  <c r="T7" i="22"/>
  <c r="V7" i="22" s="1"/>
  <c r="J8" i="22"/>
  <c r="U6" i="22"/>
  <c r="V6" i="22"/>
  <c r="O8" i="22"/>
  <c r="T9" i="21"/>
  <c r="B8" i="21"/>
  <c r="U6" i="21"/>
  <c r="J7" i="21"/>
  <c r="V7" i="21" s="1"/>
  <c r="W6" i="21"/>
  <c r="O8" i="21"/>
  <c r="W5" i="20"/>
  <c r="U5" i="20"/>
  <c r="J6" i="20"/>
  <c r="V5" i="20"/>
  <c r="U7" i="24" l="1"/>
  <c r="V7" i="24"/>
  <c r="O9" i="23"/>
  <c r="T10" i="23"/>
  <c r="U7" i="23"/>
  <c r="J8" i="23"/>
  <c r="V8" i="23" s="1"/>
  <c r="W7" i="23"/>
  <c r="B10" i="23"/>
  <c r="A10" i="23"/>
  <c r="V7" i="23"/>
  <c r="W7" i="22"/>
  <c r="T8" i="22"/>
  <c r="V8" i="22" s="1"/>
  <c r="U7" i="22"/>
  <c r="B9" i="21"/>
  <c r="T10" i="21"/>
  <c r="O9" i="21"/>
  <c r="J8" i="21"/>
  <c r="U7" i="21"/>
  <c r="W7" i="21"/>
  <c r="A8" i="21"/>
  <c r="U6" i="20"/>
  <c r="W6" i="20"/>
  <c r="V6" i="20"/>
  <c r="B11" i="23" l="1"/>
  <c r="A11" i="23"/>
  <c r="V9" i="23"/>
  <c r="O10" i="23"/>
  <c r="U8" i="23"/>
  <c r="J9" i="23"/>
  <c r="W8" i="23"/>
  <c r="T11" i="23"/>
  <c r="W8" i="22"/>
  <c r="U8" i="22"/>
  <c r="B10" i="21"/>
  <c r="A9" i="21"/>
  <c r="U8" i="21"/>
  <c r="J9" i="21"/>
  <c r="W8" i="21"/>
  <c r="V9" i="21"/>
  <c r="O10" i="21"/>
  <c r="V8" i="21"/>
  <c r="T11" i="21"/>
  <c r="U9" i="23" l="1"/>
  <c r="J10" i="23"/>
  <c r="W9" i="23"/>
  <c r="V10" i="23"/>
  <c r="O11" i="23"/>
  <c r="A10" i="21"/>
  <c r="B11" i="21"/>
  <c r="A11" i="21" s="1"/>
  <c r="O11" i="21"/>
  <c r="U9" i="21"/>
  <c r="J10" i="21"/>
  <c r="W9" i="21"/>
  <c r="V11" i="23" l="1"/>
  <c r="U10" i="23"/>
  <c r="J11" i="23"/>
  <c r="W10" i="23"/>
  <c r="U10" i="21"/>
  <c r="J11" i="21"/>
  <c r="W10" i="21"/>
  <c r="V10" i="21"/>
  <c r="U11" i="23" l="1"/>
  <c r="W11" i="23"/>
  <c r="U11" i="21"/>
  <c r="W11" i="21"/>
  <c r="V11" i="2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19" l="1"/>
  <c r="W6" i="19"/>
  <c r="V6" i="19"/>
  <c r="U4" i="19"/>
  <c r="T5" i="19"/>
  <c r="W4" i="19"/>
  <c r="V4" i="19"/>
  <c r="J5" i="19"/>
  <c r="O5" i="19"/>
  <c r="U5" i="19" l="1"/>
  <c r="W5" i="19"/>
  <c r="V5" i="19"/>
</calcChain>
</file>

<file path=xl/sharedStrings.xml><?xml version="1.0" encoding="utf-8"?>
<sst xmlns="http://schemas.openxmlformats.org/spreadsheetml/2006/main" count="1052" uniqueCount="215">
  <si>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</si>
  <si>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</si>
  <si>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</si>
  <si>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</si>
  <si>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</si>
  <si>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</si>
  <si>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</si>
  <si>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</si>
  <si>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</si>
  <si>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</si>
  <si>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</si>
  <si>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</si>
  <si>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</si>
  <si>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</si>
  <si>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</si>
  <si>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</si>
  <si>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</si>
  <si>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</si>
  <si>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</si>
  <si>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</si>
  <si>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</si>
  <si>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</si>
  <si>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</si>
  <si>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</si>
  <si>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</si>
  <si>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</si>
  <si>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</si>
  <si>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</si>
  <si>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</si>
  <si>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</si>
  <si>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</si>
  <si>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</si>
  <si>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</si>
  <si>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</si>
  <si>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</si>
  <si>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</si>
  <si>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</si>
  <si>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</si>
  <si>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</si>
  <si>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</si>
  <si>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</si>
  <si>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</si>
  <si>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</si>
  <si>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</si>
  <si>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</si>
  <si>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</si>
  <si>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</si>
  <si>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</si>
  <si>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</si>
  <si>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</si>
  <si>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</si>
  <si>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</si>
  <si>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</si>
  <si>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</si>
  <si>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</si>
  <si>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</si>
  <si>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</si>
  <si>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</si>
  <si>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</si>
  <si>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</si>
  <si>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</si>
  <si>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</si>
  <si>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</si>
  <si>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</si>
  <si>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</si>
  <si>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</si>
  <si>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</si>
  <si>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</si>
  <si>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</si>
  <si>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</si>
  <si>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</si>
  <si>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</si>
  <si>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</si>
  <si>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</si>
  <si>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</si>
  <si>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</si>
  <si>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</si>
  <si>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</si>
  <si>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</si>
  <si>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</si>
  <si>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</si>
  <si>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</si>
  <si>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</si>
  <si>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</si>
  <si>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</si>
  <si>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</si>
  <si>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</si>
  <si>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</si>
  <si>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</si>
  <si>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</si>
  <si>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</si>
  <si>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</si>
  <si>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</si>
  <si>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</si>
  <si>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</si>
  <si>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</si>
  <si>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</si>
  <si>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</si>
  <si>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</si>
  <si>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</si>
  <si>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</si>
  <si>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</si>
  <si>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</si>
  <si>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</si>
  <si>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</si>
  <si>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</si>
  <si>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</si>
  <si>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</si>
  <si>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</si>
  <si>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</si>
  <si>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</si>
  <si>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</si>
  <si>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</si>
  <si>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</si>
  <si>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</si>
  <si>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</si>
  <si>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</si>
  <si>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</si>
  <si>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</si>
  <si>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</si>
  <si>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</si>
  <si>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</si>
  <si>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</si>
  <si>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</si>
  <si>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</si>
  <si>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</si>
  <si>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</si>
  <si>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</si>
  <si>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</si>
  <si>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</si>
  <si>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</si>
  <si>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</si>
  <si>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</si>
  <si>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</si>
  <si>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</si>
  <si>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</si>
  <si>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</si>
  <si>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</si>
  <si>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</si>
  <si>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</si>
  <si>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</si>
  <si>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</si>
  <si>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</si>
  <si>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</si>
  <si>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</si>
  <si>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</si>
  <si>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</si>
  <si>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</si>
  <si>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</si>
  <si>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</si>
  <si>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</si>
  <si>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</si>
  <si>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</si>
  <si>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</si>
  <si>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</si>
  <si>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</si>
  <si>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</si>
  <si>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</si>
  <si>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</si>
  <si>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</si>
  <si>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</si>
  <si>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</si>
  <si>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</si>
  <si>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</si>
  <si>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</si>
  <si>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</si>
  <si>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</si>
  <si>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</si>
  <si>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</si>
  <si>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</si>
  <si>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</si>
  <si>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</si>
  <si>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</si>
  <si>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</si>
  <si>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</si>
  <si>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</si>
  <si>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</si>
  <si>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</si>
  <si>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</si>
  <si>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</si>
  <si>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</si>
  <si>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</si>
  <si>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</si>
  <si>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</si>
  <si>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</si>
  <si>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</si>
  <si>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</si>
  <si>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</si>
  <si>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</si>
  <si>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</si>
  <si>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</si>
  <si>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</si>
  <si>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</si>
  <si>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</si>
  <si>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</si>
  <si>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</si>
  <si>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</si>
  <si>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</si>
  <si>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</si>
  <si>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ツモ</t>
  </si>
  <si>
    <t>ツモ支払</t>
  </si>
  <si>
    <t>*</t>
  </si>
  <si>
    <t>りくと</t>
  </si>
  <si>
    <t>01</t>
  </si>
  <si>
    <t>52</t>
  </si>
  <si>
    <t>N</t>
  </si>
  <si>
    <t>T</t>
  </si>
  <si>
    <t>流局</t>
    <phoneticPr fontId="1"/>
  </si>
  <si>
    <t>チョンボ</t>
  </si>
  <si>
    <t>02</t>
  </si>
  <si>
    <t>ただ</t>
  </si>
  <si>
    <t>ただ</t>
    <phoneticPr fontId="1"/>
  </si>
  <si>
    <t>りくと</t>
    <phoneticPr fontId="1"/>
  </si>
  <si>
    <t>まっつん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</si>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</sst>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 t="s">
        <v>198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-12.9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48000</v>
      </c>
      <c r="H5" s="9"/>
      <c r="I5" s="48">
        <v>1000</v>
      </c>
      <c r="J5" s="21">
        <f t="shared" ref="J5:J30" si="2">IF(COUNTA($F5,$K5,$P5)&gt;0,J4+SUM(G5:I5),"")</f>
        <v>86900</v>
      </c>
      <c r="K5" s="8" t="s">
        <v>200</v>
      </c>
      <c r="L5" s="9">
        <v>-24000</v>
      </c>
      <c r="M5" s="9"/>
      <c r="N5" s="48">
        <v>-500</v>
      </c>
      <c r="O5" s="21">
        <f t="shared" ref="O5:O30" si="3">IF(COUNTA($F5,$K5,$P5)&gt;0,O4+SUM(L5:N5),"")</f>
        <v>7600</v>
      </c>
      <c r="P5" s="8" t="s">
        <v>200</v>
      </c>
      <c r="Q5" s="9">
        <v>-24000</v>
      </c>
      <c r="R5" s="9"/>
      <c r="S5" s="48">
        <v>-500</v>
      </c>
      <c r="T5" s="21">
        <f t="shared" ref="T5:T30" si="4">IF(COUNTA($F5,$K5,$P5)&gt;0,T4+SUM(Q5:S5),"")</f>
        <v>10500</v>
      </c>
      <c r="U5" s="53">
        <f>IF($J5="","",ROUND(($J5-$J$3)/1000,1)+(_xlfn.RANK.AVG($J5,($J5,$O5,$T5),1)-2)*10)</f>
        <v>61.9</v>
      </c>
      <c r="V5" s="54">
        <f>IF($O5="","",ROUND(($O5-$O$3)/1000,1)+(_xlfn.RANK.AVG($O5,($J5,$O5,$T5),1)-2)*10)</f>
        <v>-37.4</v>
      </c>
      <c r="W5" s="55">
        <f>IF($T5="","",ROUND(($T5-$T$3)/1000,1)+(_xlfn.RANK.AVG($T5,($J5,$O5,$T5),1)-2)*10)</f>
        <v>-24.5</v>
      </c>
      <c r="Y5" s="8"/>
      <c r="Z5" s="34"/>
      <c r="AA5" s="26"/>
      <c r="AB5" s="26"/>
      <c r="AC5" s="26">
        <v>13</v>
      </c>
      <c r="AD5" s="30" t="s">
        <v>201</v>
      </c>
      <c r="AE5" s="40" t="s">
        <v>108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86900</v>
      </c>
      <c r="K6" s="8" t="s">
        <v>198</v>
      </c>
      <c r="L6" s="9">
        <v>-6400</v>
      </c>
      <c r="M6" s="9"/>
      <c r="N6" s="48">
        <v>-2000</v>
      </c>
      <c r="O6" s="21">
        <f t="shared" si="3"/>
        <v>-800</v>
      </c>
      <c r="P6" s="8" t="s">
        <v>197</v>
      </c>
      <c r="Q6" s="9">
        <v>6400</v>
      </c>
      <c r="R6" s="9"/>
      <c r="S6" s="48">
        <v>2000</v>
      </c>
      <c r="T6" s="21">
        <f t="shared" si="4"/>
        <v>18900</v>
      </c>
      <c r="U6" s="53">
        <f>IF($J6="","",ROUND(($J6-$J$3)/1000,1)+(_xlfn.RANK.AVG($J6,($J6,$O6,$T6),1)-2)*10)</f>
        <v>61.9</v>
      </c>
      <c r="V6" s="54">
        <f>IF($O6="","",ROUND(($O6-$O$3)/1000,1)+(_xlfn.RANK.AVG($O6,($J6,$O6,$T6),1)-2)*10)</f>
        <v>-45.8</v>
      </c>
      <c r="W6" s="55">
        <f>IF($T6="","",ROUND(($T6-$T$3)/1000,1)+(_xlfn.RANK.AVG($T6,($J6,$O6,$T6),1)-2)*10)</f>
        <v>-16.100000000000001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79</v>
      </c>
      <c r="BV6" s="41" t="s">
        <v>79</v>
      </c>
      <c r="BW6" s="41" t="s">
        <v>101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0A3F41A-689B-4C7C-A268-42B5E8BE66A7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3A694-D252-4939-BD02-9BDDEF6C999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201</v>
      </c>
      <c r="AZ4" s="40" t="s">
        <v>203</v>
      </c>
      <c r="BA4" s="41" t="s">
        <v>82</v>
      </c>
      <c r="BB4" s="41" t="s">
        <v>80</v>
      </c>
      <c r="BC4" s="41" t="s">
        <v>80</v>
      </c>
      <c r="BD4" s="41" t="s">
        <v>80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200</v>
      </c>
      <c r="G5" s="9">
        <v>-2900</v>
      </c>
      <c r="H5" s="9"/>
      <c r="I5" s="48">
        <v>0</v>
      </c>
      <c r="J5" s="21">
        <f t="shared" ref="J5:J30" si="2">IF(COUNTA($F5,$K5,$P5)&gt;0,J4+SUM(G5:I5),"")</f>
        <v>24600</v>
      </c>
      <c r="K5" s="8" t="s">
        <v>200</v>
      </c>
      <c r="L5" s="9">
        <v>-4800</v>
      </c>
      <c r="M5" s="9"/>
      <c r="N5" s="48">
        <v>0</v>
      </c>
      <c r="O5" s="21">
        <f t="shared" ref="O5:O30" si="3">IF(COUNTA($F5,$K5,$P5)&gt;0,O4+SUM(L5:N5),"")</f>
        <v>42200</v>
      </c>
      <c r="P5" s="8" t="s">
        <v>199</v>
      </c>
      <c r="Q5" s="9">
        <v>7700</v>
      </c>
      <c r="R5" s="9"/>
      <c r="S5" s="48">
        <v>0</v>
      </c>
      <c r="T5" s="21">
        <f t="shared" ref="T5:T30" si="4">IF(COUNTA($F5,$K5,$P5)&gt;0,T4+SUM(Q5:S5),"")</f>
        <v>38200</v>
      </c>
      <c r="U5" s="53">
        <f>IF($J5="","",ROUND(($J5-$J$3)/1000,1)+(_xlfn.RANK.AVG($J5,($J5,$O5,$T5),1)-2)*10)</f>
        <v>-20.399999999999999</v>
      </c>
      <c r="V5" s="54">
        <f>IF($O5="","",ROUND(($O5-$O$3)/1000,1)+(_xlfn.RANK.AVG($O5,($J5,$O5,$T5),1)-2)*10)</f>
        <v>17.2</v>
      </c>
      <c r="W5" s="55">
        <f>IF($T5="","",ROUND(($T5-$T$3)/1000,1)+(_xlfn.RANK.AVG($T5,($J5,$O5,$T5),1)-2)*10)</f>
        <v>3.2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203</v>
      </c>
      <c r="BV5" s="41" t="s">
        <v>82</v>
      </c>
      <c r="BW5" s="41" t="s">
        <v>204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207</v>
      </c>
      <c r="G6" s="9">
        <v>-1500</v>
      </c>
      <c r="H6" s="9"/>
      <c r="I6" s="48"/>
      <c r="J6" s="21">
        <f t="shared" si="2"/>
        <v>23100</v>
      </c>
      <c r="K6" s="8" t="s">
        <v>207</v>
      </c>
      <c r="L6" s="9">
        <v>-1500</v>
      </c>
      <c r="M6" s="9"/>
      <c r="N6" s="48"/>
      <c r="O6" s="21">
        <f t="shared" si="3"/>
        <v>40700</v>
      </c>
      <c r="P6" s="8" t="s">
        <v>207</v>
      </c>
      <c r="Q6" s="9">
        <v>3000</v>
      </c>
      <c r="R6" s="9">
        <v>-1000</v>
      </c>
      <c r="S6" s="48"/>
      <c r="T6" s="21">
        <f t="shared" si="4"/>
        <v>40200</v>
      </c>
      <c r="U6" s="53">
        <f>IF($J6="","",ROUND(($J6-$J$3)/1000,1)+(_xlfn.RANK.AVG($J6,($J6,$O6,$T6),1)-2)*10)</f>
        <v>-21.9</v>
      </c>
      <c r="V6" s="54">
        <f>IF($O6="","",ROUND(($O6-$O$3)/1000,1)+(_xlfn.RANK.AVG($O6,($J6,$O6,$T6),1)-2)*10)</f>
        <v>15.7</v>
      </c>
      <c r="W6" s="55">
        <f>IF($T6="","",ROUND(($T6-$T$3)/1000,1)+(_xlfn.RANK.AVG($T6,($J6,$O6,$T6),1)-2)*10)</f>
        <v>5.2</v>
      </c>
      <c r="Y6" s="8" t="s">
        <v>205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208</v>
      </c>
      <c r="G7" s="9">
        <v>6000</v>
      </c>
      <c r="H7" s="9">
        <v>-1000</v>
      </c>
      <c r="I7" s="48"/>
      <c r="J7" s="21">
        <f t="shared" si="2"/>
        <v>28100</v>
      </c>
      <c r="K7" s="8" t="s">
        <v>208</v>
      </c>
      <c r="L7" s="9">
        <v>6000</v>
      </c>
      <c r="M7" s="9"/>
      <c r="N7" s="48"/>
      <c r="O7" s="21">
        <f t="shared" si="3"/>
        <v>46700</v>
      </c>
      <c r="P7" s="8" t="s">
        <v>208</v>
      </c>
      <c r="Q7" s="9">
        <v>-12000</v>
      </c>
      <c r="R7" s="9"/>
      <c r="S7" s="48"/>
      <c r="T7" s="21">
        <f t="shared" si="4"/>
        <v>28200</v>
      </c>
      <c r="U7" s="53">
        <f>IF($J7="","",ROUND(($J7-$J$3)/1000,1)+(_xlfn.RANK.AVG($J7,($J7,$O7,$T7),1)-2)*10)</f>
        <v>-16.899999999999999</v>
      </c>
      <c r="V7" s="54">
        <f>IF($O7="","",ROUND(($O7-$O$3)/1000,1)+(_xlfn.RANK.AVG($O7,($J7,$O7,$T7),1)-2)*10)</f>
        <v>21.7</v>
      </c>
      <c r="W7" s="55">
        <f>IF($T7="","",ROUND(($T7-$T$3)/1000,1)+(_xlfn.RANK.AVG($T7,($J7,$O7,$T7),1)-2)*10)</f>
        <v>-6.8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>
        <v>1</v>
      </c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2</v>
      </c>
      <c r="E8" s="4" t="s">
        <v>191</v>
      </c>
      <c r="F8" s="8" t="s">
        <v>197</v>
      </c>
      <c r="G8" s="9">
        <v>2000</v>
      </c>
      <c r="H8" s="9">
        <v>2000</v>
      </c>
      <c r="I8" s="48">
        <v>1000</v>
      </c>
      <c r="J8" s="21">
        <f t="shared" si="2"/>
        <v>33100</v>
      </c>
      <c r="K8" s="8" t="s">
        <v>198</v>
      </c>
      <c r="L8" s="9">
        <v>-2000</v>
      </c>
      <c r="M8" s="9"/>
      <c r="N8" s="48">
        <v>-1000</v>
      </c>
      <c r="O8" s="21">
        <f t="shared" si="3"/>
        <v>43700</v>
      </c>
      <c r="P8" s="8"/>
      <c r="Q8" s="9"/>
      <c r="R8" s="9"/>
      <c r="S8" s="48"/>
      <c r="T8" s="21">
        <f t="shared" si="4"/>
        <v>28200</v>
      </c>
      <c r="U8" s="53">
        <f>IF($J8="","",ROUND(($J8-$J$3)/1000,1)+(_xlfn.RANK.AVG($J8,($J8,$O8,$T8),1)-2)*10)</f>
        <v>-1.9</v>
      </c>
      <c r="V8" s="54">
        <f>IF($O8="","",ROUND(($O8-$O$3)/1000,1)+(_xlfn.RANK.AVG($O8,($J8,$O8,$T8),1)-2)*10)</f>
        <v>18.7</v>
      </c>
      <c r="W8" s="55">
        <f>IF($T8="","",ROUND(($T8-$T$3)/1000,1)+(_xlfn.RANK.AVG($T8,($J8,$O8,$T8),1)-2)*10)</f>
        <v>-16.8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191</v>
      </c>
      <c r="F9" s="8" t="s">
        <v>200</v>
      </c>
      <c r="G9" s="9">
        <v>-4800</v>
      </c>
      <c r="H9" s="9"/>
      <c r="I9" s="48">
        <v>-1000</v>
      </c>
      <c r="J9" s="21">
        <f t="shared" si="2"/>
        <v>27300</v>
      </c>
      <c r="K9" s="8" t="s">
        <v>200</v>
      </c>
      <c r="L9" s="9">
        <v>-2900</v>
      </c>
      <c r="M9" s="9"/>
      <c r="N9" s="48">
        <v>-1000</v>
      </c>
      <c r="O9" s="21">
        <f t="shared" si="3"/>
        <v>39800</v>
      </c>
      <c r="P9" s="8" t="s">
        <v>199</v>
      </c>
      <c r="Q9" s="9">
        <v>7700</v>
      </c>
      <c r="R9" s="9"/>
      <c r="S9" s="48">
        <v>2000</v>
      </c>
      <c r="T9" s="21">
        <f t="shared" si="4"/>
        <v>37900</v>
      </c>
      <c r="U9" s="53">
        <f>IF($J9="","",ROUND(($J9-$J$3)/1000,1)+(_xlfn.RANK.AVG($J9,($J9,$O9,$T9),1)-2)*10)</f>
        <v>-17.7</v>
      </c>
      <c r="V9" s="54">
        <f>IF($O9="","",ROUND(($O9-$O$3)/1000,1)+(_xlfn.RANK.AVG($O9,($J9,$O9,$T9),1)-2)*10)</f>
        <v>14.8</v>
      </c>
      <c r="W9" s="55">
        <f>IF($T9="","",ROUND(($T9-$T$3)/1000,1)+(_xlfn.RANK.AVG($T9,($J9,$O9,$T9),1)-2)*10)</f>
        <v>2.9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203</v>
      </c>
      <c r="BV9" s="41" t="s">
        <v>82</v>
      </c>
      <c r="BW9" s="41" t="s">
        <v>79</v>
      </c>
      <c r="BX9" s="41" t="s">
        <v>86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202</v>
      </c>
      <c r="F10" s="8" t="s">
        <v>200</v>
      </c>
      <c r="G10" s="9">
        <v>-6000</v>
      </c>
      <c r="H10" s="9"/>
      <c r="I10" s="48">
        <v>0</v>
      </c>
      <c r="J10" s="21">
        <f t="shared" si="2"/>
        <v>21300</v>
      </c>
      <c r="K10" s="8" t="s">
        <v>200</v>
      </c>
      <c r="L10" s="9">
        <v>-10000</v>
      </c>
      <c r="M10" s="9"/>
      <c r="N10" s="48">
        <v>0</v>
      </c>
      <c r="O10" s="21">
        <f t="shared" si="3"/>
        <v>29800</v>
      </c>
      <c r="P10" s="8" t="s">
        <v>199</v>
      </c>
      <c r="Q10" s="9">
        <v>16000</v>
      </c>
      <c r="R10" s="9"/>
      <c r="S10" s="48">
        <v>0</v>
      </c>
      <c r="T10" s="21">
        <f t="shared" si="4"/>
        <v>53900</v>
      </c>
      <c r="U10" s="53">
        <f>IF($J10="","",ROUND(($J10-$J$3)/1000,1)+(_xlfn.RANK.AVG($J10,($J10,$O10,$T10),1)-2)*10)</f>
        <v>-23.7</v>
      </c>
      <c r="V10" s="54">
        <f>IF($O10="","",ROUND(($O10-$O$3)/1000,1)+(_xlfn.RANK.AVG($O10,($J10,$O10,$T10),1)-2)*10)</f>
        <v>-5.2</v>
      </c>
      <c r="W10" s="55">
        <f>IF($T10="","",ROUND(($T10-$T$3)/1000,1)+(_xlfn.RANK.AVG($T10,($J10,$O10,$T10),1)-2)*10)</f>
        <v>28.9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201</v>
      </c>
      <c r="BU10" s="40" t="s">
        <v>82</v>
      </c>
      <c r="BV10" s="41" t="s">
        <v>203</v>
      </c>
      <c r="BW10" s="41" t="s">
        <v>209</v>
      </c>
      <c r="BX10" s="41" t="s">
        <v>86</v>
      </c>
      <c r="BY10" s="41" t="s">
        <v>86</v>
      </c>
      <c r="BZ10" s="41" t="s">
        <v>79</v>
      </c>
      <c r="CA10" s="41" t="s">
        <v>204</v>
      </c>
      <c r="CB10" s="41" t="s">
        <v>80</v>
      </c>
      <c r="CC10" s="41" t="s">
        <v>80</v>
      </c>
      <c r="CD10" s="41" t="s">
        <v>80</v>
      </c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200</v>
      </c>
      <c r="G11" s="9">
        <v>-6000</v>
      </c>
      <c r="H11" s="9">
        <v>-1000</v>
      </c>
      <c r="I11" s="48">
        <v>0</v>
      </c>
      <c r="J11" s="21">
        <f t="shared" si="2"/>
        <v>14300</v>
      </c>
      <c r="K11" s="8" t="s">
        <v>199</v>
      </c>
      <c r="L11" s="9">
        <v>16000</v>
      </c>
      <c r="M11" s="9">
        <v>1000</v>
      </c>
      <c r="N11" s="48">
        <v>0</v>
      </c>
      <c r="O11" s="21">
        <f t="shared" si="3"/>
        <v>46800</v>
      </c>
      <c r="P11" s="8" t="s">
        <v>200</v>
      </c>
      <c r="Q11" s="9">
        <v>-10000</v>
      </c>
      <c r="R11" s="9"/>
      <c r="S11" s="48">
        <v>0</v>
      </c>
      <c r="T11" s="21">
        <f t="shared" si="4"/>
        <v>43900</v>
      </c>
      <c r="U11" s="53">
        <f>IF($J11="","",ROUND(($J11-$J$3)/1000,1)+(_xlfn.RANK.AVG($J11,($J11,$O11,$T11),1)-2)*10)</f>
        <v>-30.7</v>
      </c>
      <c r="V11" s="54">
        <f>IF($O11="","",ROUND(($O11-$O$3)/1000,1)+(_xlfn.RANK.AVG($O11,($J11,$O11,$T11),1)-2)*10)</f>
        <v>21.8</v>
      </c>
      <c r="W11" s="55">
        <f>IF($T11="","",ROUND(($T11-$T$3)/1000,1)+(_xlfn.RANK.AVG($T11,($J11,$O11,$T11),1)-2)*10)</f>
        <v>8.9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8</v>
      </c>
      <c r="AY11" s="30" t="s">
        <v>201</v>
      </c>
      <c r="AZ11" s="40" t="s">
        <v>203</v>
      </c>
      <c r="BA11" s="41" t="s">
        <v>82</v>
      </c>
      <c r="BB11" s="41" t="s">
        <v>84</v>
      </c>
      <c r="BC11" s="41" t="s">
        <v>104</v>
      </c>
      <c r="BD11" s="41" t="s">
        <v>204</v>
      </c>
      <c r="BE11" s="41" t="s">
        <v>80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1E51D4CF-9B4C-46E5-96E5-83B21D2CC166}">
      <formula1>"たかの,だいち,ただ,りくと,れんたろう,まっつん,のり,ぱぱ,ほたに,"</formula1>
    </dataValidation>
    <dataValidation type="list" showInputMessage="1" showErrorMessage="1" sqref="K4:K30 P4:P30 F4:F30" xr:uid="{9EDDE436-8274-4BDD-8282-89D8F7227BA1}">
      <formula1>"ロン,ツモ,放銃,ツモ支払,流局,チョンボ"</formula1>
    </dataValidation>
    <dataValidation type="list" allowBlank="1" showInputMessage="1" showErrorMessage="1" sqref="E4:E30" xr:uid="{302BE344-F382-4F2F-9E0F-F5B84F1947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EDE4-F9FC-4B88-864E-BCDFD3A5842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211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201</v>
      </c>
      <c r="BU4" s="40" t="s">
        <v>82</v>
      </c>
      <c r="BV4" s="41" t="s">
        <v>85</v>
      </c>
      <c r="BW4" s="41" t="s">
        <v>79</v>
      </c>
      <c r="BX4" s="41" t="s">
        <v>96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43000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198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-15</v>
      </c>
      <c r="Y5" s="8"/>
      <c r="Z5" s="34"/>
      <c r="AA5" s="26"/>
      <c r="AB5" s="26">
        <v>1</v>
      </c>
      <c r="AC5" s="26">
        <v>7</v>
      </c>
      <c r="AD5" s="30" t="s">
        <v>201</v>
      </c>
      <c r="AE5" s="40" t="s">
        <v>86</v>
      </c>
      <c r="AF5" s="41" t="s">
        <v>86</v>
      </c>
      <c r="AG5" s="41" t="s">
        <v>104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/>
      <c r="G6" s="9"/>
      <c r="H6" s="9"/>
      <c r="I6" s="48"/>
      <c r="J6" s="21">
        <f t="shared" si="2"/>
        <v>43000</v>
      </c>
      <c r="K6" s="8" t="s">
        <v>198</v>
      </c>
      <c r="L6" s="9">
        <v>-18000</v>
      </c>
      <c r="M6" s="9"/>
      <c r="N6" s="48">
        <v>0</v>
      </c>
      <c r="O6" s="21">
        <f t="shared" si="3"/>
        <v>14000</v>
      </c>
      <c r="P6" s="8" t="s">
        <v>197</v>
      </c>
      <c r="Q6" s="9">
        <v>18000</v>
      </c>
      <c r="R6" s="9"/>
      <c r="S6" s="48">
        <v>0</v>
      </c>
      <c r="T6" s="21">
        <f t="shared" si="4"/>
        <v>48000</v>
      </c>
      <c r="U6" s="53">
        <f>IF($J6="","",ROUND(($J6-$J$3)/1000,1)+(_xlfn.RANK.AVG($J6,($J6,$O6,$T6),1)-2)*10)</f>
        <v>8</v>
      </c>
      <c r="V6" s="54">
        <f>IF($O6="","",ROUND(($O6-$O$3)/1000,1)+(_xlfn.RANK.AVG($O6,($J6,$O6,$T6),1)-2)*10)</f>
        <v>-31</v>
      </c>
      <c r="W6" s="55">
        <f>IF($T6="","",ROUND(($T6-$T$3)/1000,1)+(_xlfn.RANK.AVG($T6,($J6,$O6,$T6),1)-2)*10)</f>
        <v>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201</v>
      </c>
      <c r="BU6" s="40" t="s">
        <v>203</v>
      </c>
      <c r="BV6" s="41" t="s">
        <v>84</v>
      </c>
      <c r="BW6" s="41" t="s">
        <v>86</v>
      </c>
      <c r="BX6" s="41" t="s">
        <v>80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210</v>
      </c>
      <c r="F7" s="8"/>
      <c r="G7" s="9"/>
      <c r="H7" s="9"/>
      <c r="I7" s="48"/>
      <c r="J7" s="21">
        <f t="shared" si="2"/>
        <v>43000</v>
      </c>
      <c r="K7" s="8" t="s">
        <v>198</v>
      </c>
      <c r="L7" s="9">
        <v>-12000</v>
      </c>
      <c r="M7" s="9">
        <v>-1000</v>
      </c>
      <c r="N7" s="48">
        <v>-1000</v>
      </c>
      <c r="O7" s="21">
        <f t="shared" si="3"/>
        <v>0</v>
      </c>
      <c r="P7" s="8" t="s">
        <v>197</v>
      </c>
      <c r="Q7" s="9">
        <v>12000</v>
      </c>
      <c r="R7" s="9">
        <v>1000</v>
      </c>
      <c r="S7" s="48">
        <v>1000</v>
      </c>
      <c r="T7" s="21">
        <f t="shared" si="4"/>
        <v>62000</v>
      </c>
      <c r="U7" s="53">
        <f>IF($J7="","",ROUND(($J7-$J$3)/1000,1)+(_xlfn.RANK.AVG($J7,($J7,$O7,$T7),1)-2)*10)</f>
        <v>8</v>
      </c>
      <c r="V7" s="54">
        <f>IF($O7="","",ROUND(($O7-$O$3)/1000,1)+(_xlfn.RANK.AVG($O7,($J7,$O7,$T7),1)-2)*10)</f>
        <v>-45</v>
      </c>
      <c r="W7" s="55">
        <f>IF($T7="","",ROUND(($T7-$T$3)/1000,1)+(_xlfn.RANK.AVG($T7,($J7,$O7,$T7),1)-2)*10)</f>
        <v>37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201</v>
      </c>
      <c r="BU7" s="40" t="s">
        <v>203</v>
      </c>
      <c r="BV7" s="41" t="s">
        <v>84</v>
      </c>
      <c r="BW7" s="41" t="s">
        <v>79</v>
      </c>
      <c r="BX7" s="41" t="s">
        <v>204</v>
      </c>
      <c r="BY7" s="41" t="s">
        <v>209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210</v>
      </c>
      <c r="F8" s="8" t="s">
        <v>200</v>
      </c>
      <c r="G8" s="9">
        <v>-2400</v>
      </c>
      <c r="H8" s="9"/>
      <c r="I8" s="48">
        <v>-1000</v>
      </c>
      <c r="J8" s="21">
        <f t="shared" si="2"/>
        <v>39600</v>
      </c>
      <c r="K8" s="8" t="s">
        <v>200</v>
      </c>
      <c r="L8" s="9">
        <v>-2400</v>
      </c>
      <c r="M8" s="9"/>
      <c r="N8" s="48">
        <v>-1000</v>
      </c>
      <c r="O8" s="21">
        <f t="shared" si="3"/>
        <v>-3400</v>
      </c>
      <c r="P8" s="8" t="s">
        <v>199</v>
      </c>
      <c r="Q8" s="9">
        <v>4800</v>
      </c>
      <c r="R8" s="9"/>
      <c r="S8" s="48">
        <v>2000</v>
      </c>
      <c r="T8" s="21">
        <f t="shared" si="4"/>
        <v>68800</v>
      </c>
      <c r="U8" s="53">
        <f>IF($J8="","",ROUND(($J8-$J$3)/1000,1)+(_xlfn.RANK.AVG($J8,($J8,$O8,$T8),1)-2)*10)</f>
        <v>4.5999999999999996</v>
      </c>
      <c r="V8" s="54">
        <f>IF($O8="","",ROUND(($O8-$O$3)/1000,1)+(_xlfn.RANK.AVG($O8,($J8,$O8,$T8),1)-2)*10)</f>
        <v>-48.4</v>
      </c>
      <c r="W8" s="55">
        <f>IF($T8="","",ROUND(($T8-$T$3)/1000,1)+(_xlfn.RANK.AVG($T8,($J8,$O8,$T8),1)-2)*10)</f>
        <v>43.8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25</v>
      </c>
      <c r="BU8" s="40" t="s">
        <v>82</v>
      </c>
      <c r="BV8" s="41" t="s">
        <v>101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00A3DEFB-52AC-4876-AA69-8EBA0BE58BBB}">
      <formula1>$U$2:$W$2</formula1>
    </dataValidation>
    <dataValidation type="list" showInputMessage="1" showErrorMessage="1" sqref="K4:K30 P4:P30 F4:F30" xr:uid="{7C31CFA8-62DB-4C69-B9A9-02788D10CE07}">
      <formula1>"ロン,ツモ,放銃,ツモ支払,流局,チョンボ"</formula1>
    </dataValidation>
    <dataValidation type="list" allowBlank="1" showInputMessage="1" sqref="F1:T1" xr:uid="{7200BA09-E69E-47B5-A0E6-0C592E30427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5DE4-D56D-48B9-87EF-BD236BEC9731}">
  <sheetPr codeName="Sheet13">
    <pageSetUpPr fitToPage="1"/>
  </sheetPr>
  <dimension ref="A1:CI30"/>
  <sheetViews>
    <sheetView topLeftCell="I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212</v>
      </c>
      <c r="L1" s="73"/>
      <c r="M1" s="73"/>
      <c r="N1" s="74"/>
      <c r="O1" s="75"/>
      <c r="P1" s="72" t="s">
        <v>211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 t="s">
        <v>197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14.9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40</v>
      </c>
      <c r="BU4" s="40" t="s">
        <v>85</v>
      </c>
      <c r="BV4" s="41" t="s">
        <v>204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207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207</v>
      </c>
      <c r="L5" s="9">
        <v>3000</v>
      </c>
      <c r="M5" s="9">
        <v>-1000</v>
      </c>
      <c r="N5" s="48"/>
      <c r="O5" s="21">
        <f t="shared" ref="O5:O30" si="3">IF(COUNTA($F5,$K5,$P5)&gt;0,O4+SUM(L5:N5),"")</f>
        <v>32100</v>
      </c>
      <c r="P5" s="8" t="s">
        <v>207</v>
      </c>
      <c r="Q5" s="9">
        <v>-1500</v>
      </c>
      <c r="R5" s="9"/>
      <c r="S5" s="48"/>
      <c r="T5" s="21">
        <f t="shared" ref="T5:T30" si="4">IF(COUNTA($F5,$K5,$P5)&gt;0,T4+SUM(Q5:S5),"")</f>
        <v>38400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-12.9</v>
      </c>
      <c r="W5" s="55">
        <f>IF($T5="","",ROUND(($T5-$T$3)/1000,1)+(_xlfn.RANK.AVG($T5,($J5,$O5,$T5),1)-2)*10)</f>
        <v>13.4</v>
      </c>
      <c r="Y5" s="8" t="s">
        <v>205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193</v>
      </c>
      <c r="F6" s="8" t="s">
        <v>200</v>
      </c>
      <c r="G6" s="9">
        <v>-10000</v>
      </c>
      <c r="H6" s="9"/>
      <c r="I6" s="48">
        <v>-1000</v>
      </c>
      <c r="J6" s="21">
        <f t="shared" si="2"/>
        <v>22500</v>
      </c>
      <c r="K6" s="8" t="s">
        <v>200</v>
      </c>
      <c r="L6" s="9">
        <v>-6000</v>
      </c>
      <c r="M6" s="9"/>
      <c r="N6" s="48">
        <v>-1000</v>
      </c>
      <c r="O6" s="21">
        <f t="shared" si="3"/>
        <v>25100</v>
      </c>
      <c r="P6" s="8" t="s">
        <v>199</v>
      </c>
      <c r="Q6" s="9">
        <v>16000</v>
      </c>
      <c r="R6" s="9">
        <v>1000</v>
      </c>
      <c r="S6" s="48">
        <v>2000</v>
      </c>
      <c r="T6" s="21">
        <f t="shared" si="4"/>
        <v>57400</v>
      </c>
      <c r="U6" s="53">
        <f>IF($J6="","",ROUND(($J6-$J$3)/1000,1)+(_xlfn.RANK.AVG($J6,($J6,$O6,$T6),1)-2)*10)</f>
        <v>-22.5</v>
      </c>
      <c r="V6" s="54">
        <f>IF($O6="","",ROUND(($O6-$O$3)/1000,1)+(_xlfn.RANK.AVG($O6,($J6,$O6,$T6),1)-2)*10)</f>
        <v>-9.9</v>
      </c>
      <c r="W6" s="55">
        <f>IF($T6="","",ROUND(($T6-$T$3)/1000,1)+(_xlfn.RANK.AVG($T6,($J6,$O6,$T6),1)-2)*10)</f>
        <v>32.4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201</v>
      </c>
      <c r="BU6" s="40" t="s">
        <v>203</v>
      </c>
      <c r="BV6" s="41" t="s">
        <v>82</v>
      </c>
      <c r="BW6" s="41" t="s">
        <v>83</v>
      </c>
      <c r="BX6" s="41" t="s">
        <v>85</v>
      </c>
      <c r="BY6" s="41" t="s">
        <v>80</v>
      </c>
      <c r="BZ6" s="41" t="s">
        <v>204</v>
      </c>
      <c r="CA6" s="41" t="s">
        <v>204</v>
      </c>
      <c r="CB6" s="41" t="s">
        <v>84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198</v>
      </c>
      <c r="G7" s="9">
        <v>-7700</v>
      </c>
      <c r="H7" s="9">
        <v>-1000</v>
      </c>
      <c r="I7" s="48">
        <v>0</v>
      </c>
      <c r="J7" s="21">
        <f t="shared" si="2"/>
        <v>13800</v>
      </c>
      <c r="K7" s="8" t="s">
        <v>197</v>
      </c>
      <c r="L7" s="9">
        <v>7700</v>
      </c>
      <c r="M7" s="9">
        <v>1000</v>
      </c>
      <c r="N7" s="48">
        <v>0</v>
      </c>
      <c r="O7" s="21">
        <f t="shared" si="3"/>
        <v>33800</v>
      </c>
      <c r="P7" s="8"/>
      <c r="Q7" s="9"/>
      <c r="R7" s="9"/>
      <c r="S7" s="48"/>
      <c r="T7" s="21">
        <f t="shared" si="4"/>
        <v>57400</v>
      </c>
      <c r="U7" s="53">
        <f>IF($J7="","",ROUND(($J7-$J$3)/1000,1)+(_xlfn.RANK.AVG($J7,($J7,$O7,$T7),1)-2)*10)</f>
        <v>-31.2</v>
      </c>
      <c r="V7" s="54">
        <f>IF($O7="","",ROUND(($O7-$O$3)/1000,1)+(_xlfn.RANK.AVG($O7,($J7,$O7,$T7),1)-2)*10)</f>
        <v>-1.2</v>
      </c>
      <c r="W7" s="55">
        <f>IF($T7="","",ROUND(($T7-$T$3)/1000,1)+(_xlfn.RANK.AVG($T7,($J7,$O7,$T7),1)-2)*10)</f>
        <v>32.4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203</v>
      </c>
      <c r="BA7" s="41" t="s">
        <v>209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202</v>
      </c>
      <c r="F8" s="8" t="s">
        <v>199</v>
      </c>
      <c r="G8" s="9">
        <v>8000</v>
      </c>
      <c r="H8" s="9"/>
      <c r="I8" s="48">
        <v>1000</v>
      </c>
      <c r="J8" s="21">
        <f t="shared" si="2"/>
        <v>22800</v>
      </c>
      <c r="K8" s="8" t="s">
        <v>200</v>
      </c>
      <c r="L8" s="9">
        <v>-5000</v>
      </c>
      <c r="M8" s="9"/>
      <c r="N8" s="48">
        <v>-500</v>
      </c>
      <c r="O8" s="21">
        <f t="shared" si="3"/>
        <v>28300</v>
      </c>
      <c r="P8" s="8" t="s">
        <v>200</v>
      </c>
      <c r="Q8" s="9">
        <v>-3000</v>
      </c>
      <c r="R8" s="9"/>
      <c r="S8" s="48">
        <v>-500</v>
      </c>
      <c r="T8" s="21">
        <f t="shared" si="4"/>
        <v>53900</v>
      </c>
      <c r="U8" s="53">
        <f>IF($J8="","",ROUND(($J8-$J$3)/1000,1)+(_xlfn.RANK.AVG($J8,($J8,$O8,$T8),1)-2)*10)</f>
        <v>-22.2</v>
      </c>
      <c r="V8" s="54">
        <f>IF($O8="","",ROUND(($O8-$O$3)/1000,1)+(_xlfn.RANK.AVG($O8,($J8,$O8,$T8),1)-2)*10)</f>
        <v>-6.7</v>
      </c>
      <c r="W8" s="55">
        <f>IF($T8="","",ROUND(($T8-$T$3)/1000,1)+(_xlfn.RANK.AVG($T8,($J8,$O8,$T8),1)-2)*10)</f>
        <v>28.9</v>
      </c>
      <c r="Y8" s="8"/>
      <c r="Z8" s="34"/>
      <c r="AA8" s="26"/>
      <c r="AB8" s="26">
        <v>1</v>
      </c>
      <c r="AC8" s="26">
        <v>5</v>
      </c>
      <c r="AD8" s="30" t="s">
        <v>201</v>
      </c>
      <c r="AE8" s="40" t="s">
        <v>86</v>
      </c>
      <c r="AF8" s="41" t="s">
        <v>104</v>
      </c>
      <c r="AG8" s="41" t="s">
        <v>204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197</v>
      </c>
      <c r="G9" s="9">
        <v>16000</v>
      </c>
      <c r="H9" s="9">
        <v>1000</v>
      </c>
      <c r="I9" s="48">
        <v>0</v>
      </c>
      <c r="J9" s="21">
        <f t="shared" si="2"/>
        <v>39800</v>
      </c>
      <c r="K9" s="8"/>
      <c r="L9" s="9"/>
      <c r="M9" s="9"/>
      <c r="N9" s="48"/>
      <c r="O9" s="21">
        <f t="shared" si="3"/>
        <v>28300</v>
      </c>
      <c r="P9" s="8" t="s">
        <v>198</v>
      </c>
      <c r="Q9" s="9">
        <v>-16000</v>
      </c>
      <c r="R9" s="9">
        <v>-1000</v>
      </c>
      <c r="S9" s="48">
        <v>0</v>
      </c>
      <c r="T9" s="21">
        <f t="shared" si="4"/>
        <v>36900</v>
      </c>
      <c r="U9" s="53">
        <f>IF($J9="","",ROUND(($J9-$J$3)/1000,1)+(_xlfn.RANK.AVG($J9,($J9,$O9,$T9),1)-2)*10)</f>
        <v>14.8</v>
      </c>
      <c r="V9" s="54">
        <f>IF($O9="","",ROUND(($O9-$O$3)/1000,1)+(_xlfn.RANK.AVG($O9,($J9,$O9,$T9),1)-2)*10)</f>
        <v>-16.7</v>
      </c>
      <c r="W9" s="55">
        <f>IF($T9="","",ROUND(($T9-$T$3)/1000,1)+(_xlfn.RANK.AVG($T9,($J9,$O9,$T9),1)-2)*10)</f>
        <v>1.9</v>
      </c>
      <c r="Y9" s="8"/>
      <c r="Z9" s="34"/>
      <c r="AA9" s="26"/>
      <c r="AB9" s="26">
        <v>1</v>
      </c>
      <c r="AC9" s="26">
        <v>9</v>
      </c>
      <c r="AD9" s="30" t="s">
        <v>201</v>
      </c>
      <c r="AE9" s="40" t="s">
        <v>104</v>
      </c>
      <c r="AF9" s="41" t="s">
        <v>86</v>
      </c>
      <c r="AG9" s="41" t="s">
        <v>86</v>
      </c>
      <c r="AH9" s="41" t="s">
        <v>79</v>
      </c>
      <c r="AI9" s="41" t="s">
        <v>79</v>
      </c>
      <c r="AJ9" s="41" t="s">
        <v>79</v>
      </c>
      <c r="AK9" s="41" t="s">
        <v>99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-2000</v>
      </c>
      <c r="H10" s="9"/>
      <c r="I10" s="48">
        <v>0</v>
      </c>
      <c r="J10" s="21">
        <f t="shared" si="2"/>
        <v>37800</v>
      </c>
      <c r="K10" s="8" t="s">
        <v>197</v>
      </c>
      <c r="L10" s="9">
        <v>2000</v>
      </c>
      <c r="M10" s="9"/>
      <c r="N10" s="48">
        <v>0</v>
      </c>
      <c r="O10" s="21">
        <f t="shared" si="3"/>
        <v>30300</v>
      </c>
      <c r="P10" s="8"/>
      <c r="Q10" s="9"/>
      <c r="R10" s="9"/>
      <c r="S10" s="48"/>
      <c r="T10" s="21">
        <f t="shared" si="4"/>
        <v>36900</v>
      </c>
      <c r="U10" s="53">
        <f>IF($J10="","",ROUND(($J10-$J$3)/1000,1)+(_xlfn.RANK.AVG($J10,($J10,$O10,$T10),1)-2)*10)</f>
        <v>12.8</v>
      </c>
      <c r="V10" s="54">
        <f>IF($O10="","",ROUND(($O10-$O$3)/1000,1)+(_xlfn.RANK.AVG($O10,($J10,$O10,$T10),1)-2)*10)</f>
        <v>-14.7</v>
      </c>
      <c r="W10" s="55">
        <f>IF($T10="","",ROUND(($T10-$T$3)/1000,1)+(_xlfn.RANK.AVG($T10,($J10,$O10,$T10),1)-2)*10)</f>
        <v>1.9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202</v>
      </c>
      <c r="F11" s="8"/>
      <c r="G11" s="9"/>
      <c r="H11" s="9"/>
      <c r="I11" s="48"/>
      <c r="J11" s="21">
        <f t="shared" si="2"/>
        <v>37800</v>
      </c>
      <c r="K11" s="8" t="s">
        <v>198</v>
      </c>
      <c r="L11" s="9">
        <v>-1000</v>
      </c>
      <c r="M11" s="9"/>
      <c r="N11" s="48">
        <v>0</v>
      </c>
      <c r="O11" s="21">
        <f t="shared" si="3"/>
        <v>29300</v>
      </c>
      <c r="P11" s="8" t="s">
        <v>197</v>
      </c>
      <c r="Q11" s="9">
        <v>1000</v>
      </c>
      <c r="R11" s="9"/>
      <c r="S11" s="48">
        <v>0</v>
      </c>
      <c r="T11" s="21">
        <f t="shared" si="4"/>
        <v>37900</v>
      </c>
      <c r="U11" s="53">
        <f>IF($J11="","",ROUND(($J11-$J$3)/1000,1)+(_xlfn.RANK.AVG($J11,($J11,$O11,$T11),1)-2)*10)</f>
        <v>2.8</v>
      </c>
      <c r="V11" s="54">
        <f>IF($O11="","",ROUND(($O11-$O$3)/1000,1)+(_xlfn.RANK.AVG($O11,($J11,$O11,$T11),1)-2)*10)</f>
        <v>-15.7</v>
      </c>
      <c r="W11" s="55">
        <f>IF($T11="","",ROUND(($T11-$T$3)/1000,1)+(_xlfn.RANK.AVG($T11,($J11,$O11,$T11),1)-2)*10)</f>
        <v>12.9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AB17CEC-BE0D-4302-8B1B-C826C0740937}">
      <formula1>"たかの,だいち,ただ,りくと,れんたろう,まっつん,のり,ぱぱ,ほたに,"</formula1>
    </dataValidation>
    <dataValidation type="list" showInputMessage="1" showErrorMessage="1" sqref="K4:K30 P4:P30 F4:F30" xr:uid="{29A07498-42CC-489E-B5ED-6AB209EBB864}">
      <formula1>"ロン,ツモ,放銃,ツモ支払,流局,チョンボ"</formula1>
    </dataValidation>
    <dataValidation type="list" allowBlank="1" showInputMessage="1" showErrorMessage="1" sqref="E4:E30" xr:uid="{DE8E706B-C96D-4F91-89F6-1484053521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EE44A-01D4-4245-8141-C4CC051294BB}">
  <sheetPr codeName="Sheet14">
    <pageSetUpPr fitToPage="1"/>
  </sheetPr>
  <dimension ref="A1:CI30"/>
  <sheetViews>
    <sheetView topLeftCell="J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213</v>
      </c>
      <c r="L1" s="73"/>
      <c r="M1" s="73"/>
      <c r="N1" s="74"/>
      <c r="O1" s="75"/>
      <c r="P1" s="72" t="s">
        <v>211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-13.9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203</v>
      </c>
      <c r="AF4" s="41" t="s">
        <v>204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18000</v>
      </c>
      <c r="H5" s="9"/>
      <c r="I5" s="48">
        <v>1000</v>
      </c>
      <c r="J5" s="21">
        <f t="shared" ref="J5:J30" si="2">IF(COUNTA($F5,$K5,$P5)&gt;0,J4+SUM(G5:I5),"")</f>
        <v>57900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198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12100</v>
      </c>
      <c r="U5" s="53">
        <f>IF($J5="","",ROUND(($J5-$J$3)/1000,1)+(_xlfn.RANK.AVG($J5,($J5,$O5,$T5),1)-2)*10)</f>
        <v>32.9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-32.9</v>
      </c>
      <c r="Y5" s="8"/>
      <c r="Z5" s="34"/>
      <c r="AA5" s="26">
        <v>1</v>
      </c>
      <c r="AB5" s="26"/>
      <c r="AC5" s="26">
        <v>6</v>
      </c>
      <c r="AD5" s="30" t="s">
        <v>201</v>
      </c>
      <c r="AE5" s="40" t="s">
        <v>203</v>
      </c>
      <c r="AF5" s="41" t="s">
        <v>209</v>
      </c>
      <c r="AG5" s="41" t="s">
        <v>86</v>
      </c>
      <c r="AH5" s="41" t="s">
        <v>204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199</v>
      </c>
      <c r="G6" s="9">
        <v>12000</v>
      </c>
      <c r="H6" s="9"/>
      <c r="I6" s="48">
        <v>2000</v>
      </c>
      <c r="J6" s="21">
        <f t="shared" si="2"/>
        <v>71900</v>
      </c>
      <c r="K6" s="8" t="s">
        <v>200</v>
      </c>
      <c r="L6" s="9">
        <v>-6000</v>
      </c>
      <c r="M6" s="9"/>
      <c r="N6" s="48">
        <v>-1000</v>
      </c>
      <c r="O6" s="21">
        <f t="shared" si="3"/>
        <v>28000</v>
      </c>
      <c r="P6" s="8" t="s">
        <v>200</v>
      </c>
      <c r="Q6" s="9">
        <v>-6000</v>
      </c>
      <c r="R6" s="9"/>
      <c r="S6" s="48">
        <v>-1000</v>
      </c>
      <c r="T6" s="21">
        <f t="shared" si="4"/>
        <v>5100</v>
      </c>
      <c r="U6" s="53">
        <f>IF($J6="","",ROUND(($J6-$J$3)/1000,1)+(_xlfn.RANK.AVG($J6,($J6,$O6,$T6),1)-2)*10)</f>
        <v>46.9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-39.9</v>
      </c>
      <c r="Y6" s="8"/>
      <c r="Z6" s="34"/>
      <c r="AA6" s="26">
        <v>1</v>
      </c>
      <c r="AB6" s="26"/>
      <c r="AC6" s="26">
        <v>5</v>
      </c>
      <c r="AD6" s="30" t="s">
        <v>201</v>
      </c>
      <c r="AE6" s="40" t="s">
        <v>203</v>
      </c>
      <c r="AF6" s="41" t="s">
        <v>82</v>
      </c>
      <c r="AG6" s="41" t="s">
        <v>209</v>
      </c>
      <c r="AH6" s="41" t="s">
        <v>85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71900</v>
      </c>
      <c r="K7" s="8" t="s">
        <v>197</v>
      </c>
      <c r="L7" s="9">
        <v>6400</v>
      </c>
      <c r="M7" s="9"/>
      <c r="N7" s="48">
        <v>3000</v>
      </c>
      <c r="O7" s="21">
        <f t="shared" si="3"/>
        <v>37400</v>
      </c>
      <c r="P7" s="8" t="s">
        <v>198</v>
      </c>
      <c r="Q7" s="9">
        <v>-6400</v>
      </c>
      <c r="R7" s="9"/>
      <c r="S7" s="48">
        <v>-3000</v>
      </c>
      <c r="T7" s="21">
        <f t="shared" si="4"/>
        <v>-4300</v>
      </c>
      <c r="U7" s="53">
        <f>IF($J7="","",ROUND(($J7-$J$3)/1000,1)+(_xlfn.RANK.AVG($J7,($J7,$O7,$T7),1)-2)*10)</f>
        <v>46.9</v>
      </c>
      <c r="V7" s="54">
        <f>IF($O7="","",ROUND(($O7-$O$3)/1000,1)+(_xlfn.RANK.AVG($O7,($J7,$O7,$T7),1)-2)*10)</f>
        <v>2.4</v>
      </c>
      <c r="W7" s="55">
        <f>IF($T7="","",ROUND(($T7-$T$3)/1000,1)+(_xlfn.RANK.AVG($T7,($J7,$O7,$T7),1)-2)*10)</f>
        <v>-49.3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50</v>
      </c>
      <c r="AZ7" s="40" t="s">
        <v>86</v>
      </c>
      <c r="BA7" s="41" t="s">
        <v>204</v>
      </c>
      <c r="BB7" s="41" t="s">
        <v>204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DDA6F626-D29E-43BD-88F1-E559E1225815}">
      <formula1>$U$2:$W$2</formula1>
    </dataValidation>
    <dataValidation type="list" showInputMessage="1" showErrorMessage="1" sqref="K4:K30 P4:P30 F4:F30" xr:uid="{79975F5D-371A-445B-83B9-CBCDE057E2DD}">
      <formula1>"ロン,ツモ,放銃,ツモ支払,流局,チョンボ"</formula1>
    </dataValidation>
    <dataValidation type="list" allowBlank="1" showInputMessage="1" sqref="F1:T1" xr:uid="{D184D8BC-3D7A-4437-9035-F58133F3A29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EFFC-30D8-4B1E-8208-60246007E9D4}">
  <sheetPr codeName="Sheet15">
    <pageSetUpPr fitToPage="1"/>
  </sheetPr>
  <dimension ref="A1:CI30"/>
  <sheetViews>
    <sheetView topLeftCell="I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214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201</v>
      </c>
      <c r="AZ4" s="40" t="s">
        <v>104</v>
      </c>
      <c r="BA4" s="41" t="s">
        <v>86</v>
      </c>
      <c r="BB4" s="41" t="s">
        <v>98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12000</v>
      </c>
      <c r="M5" s="9"/>
      <c r="N5" s="48">
        <v>1000</v>
      </c>
      <c r="O5" s="21">
        <f t="shared" ref="O5:O30" si="3">IF(COUNTA($F5,$K5,$P5)&gt;0,O4+SUM(L5:N5),"")</f>
        <v>60000</v>
      </c>
      <c r="P5" s="8" t="s">
        <v>198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10000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35</v>
      </c>
      <c r="W5" s="55">
        <f>IF($T5="","",ROUND(($T5-$T$3)/1000,1)+(_xlfn.RANK.AVG($T5,($J5,$O5,$T5),1)-2)*10)</f>
        <v>-35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203</v>
      </c>
      <c r="BA5" s="41" t="s">
        <v>79</v>
      </c>
      <c r="BB5" s="41" t="s">
        <v>80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2600</v>
      </c>
      <c r="H6" s="9">
        <v>1000</v>
      </c>
      <c r="I6" s="48">
        <v>2000</v>
      </c>
      <c r="J6" s="21">
        <f t="shared" si="2"/>
        <v>40600</v>
      </c>
      <c r="K6" s="8"/>
      <c r="L6" s="9"/>
      <c r="M6" s="9">
        <v>-1000</v>
      </c>
      <c r="N6" s="48"/>
      <c r="O6" s="21">
        <f t="shared" si="3"/>
        <v>59000</v>
      </c>
      <c r="P6" s="8" t="s">
        <v>198</v>
      </c>
      <c r="Q6" s="9">
        <v>-2600</v>
      </c>
      <c r="R6" s="9"/>
      <c r="S6" s="48">
        <v>-2000</v>
      </c>
      <c r="T6" s="21">
        <f t="shared" si="4"/>
        <v>5400</v>
      </c>
      <c r="U6" s="53">
        <f>IF($J6="","",ROUND(($J6-$J$3)/1000,1)+(_xlfn.RANK.AVG($J6,($J6,$O6,$T6),1)-2)*10)</f>
        <v>5.6</v>
      </c>
      <c r="V6" s="54">
        <f>IF($O6="","",ROUND(($O6-$O$3)/1000,1)+(_xlfn.RANK.AVG($O6,($J6,$O6,$T6),1)-2)*10)</f>
        <v>34</v>
      </c>
      <c r="W6" s="55">
        <f>IF($T6="","",ROUND(($T6-$T$3)/1000,1)+(_xlfn.RANK.AVG($T6,($J6,$O6,$T6),1)-2)*10)</f>
        <v>-39.6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203</v>
      </c>
      <c r="AF6" s="41" t="s">
        <v>80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197</v>
      </c>
      <c r="G7" s="9">
        <v>1000</v>
      </c>
      <c r="H7" s="9"/>
      <c r="I7" s="48">
        <v>0</v>
      </c>
      <c r="J7" s="21">
        <f t="shared" si="2"/>
        <v>41600</v>
      </c>
      <c r="K7" s="8" t="s">
        <v>198</v>
      </c>
      <c r="L7" s="9">
        <v>-1000</v>
      </c>
      <c r="M7" s="9"/>
      <c r="N7" s="48">
        <v>0</v>
      </c>
      <c r="O7" s="21">
        <f t="shared" si="3"/>
        <v>58000</v>
      </c>
      <c r="P7" s="8"/>
      <c r="Q7" s="9"/>
      <c r="R7" s="9"/>
      <c r="S7" s="48"/>
      <c r="T7" s="21">
        <f t="shared" si="4"/>
        <v>5400</v>
      </c>
      <c r="U7" s="53">
        <f>IF($J7="","",ROUND(($J7-$J$3)/1000,1)+(_xlfn.RANK.AVG($J7,($J7,$O7,$T7),1)-2)*10)</f>
        <v>6.6</v>
      </c>
      <c r="V7" s="54">
        <f>IF($O7="","",ROUND(($O7-$O$3)/1000,1)+(_xlfn.RANK.AVG($O7,($J7,$O7,$T7),1)-2)*10)</f>
        <v>33</v>
      </c>
      <c r="W7" s="55">
        <f>IF($T7="","",ROUND(($T7-$T$3)/1000,1)+(_xlfn.RANK.AVG($T7,($J7,$O7,$T7),1)-2)*10)</f>
        <v>-39.6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2900</v>
      </c>
      <c r="H8" s="9"/>
      <c r="I8" s="48">
        <v>0</v>
      </c>
      <c r="J8" s="21">
        <f t="shared" si="2"/>
        <v>44500</v>
      </c>
      <c r="K8" s="8" t="s">
        <v>198</v>
      </c>
      <c r="L8" s="9">
        <v>-2900</v>
      </c>
      <c r="M8" s="9"/>
      <c r="N8" s="48">
        <v>0</v>
      </c>
      <c r="O8" s="21">
        <f t="shared" si="3"/>
        <v>55100</v>
      </c>
      <c r="P8" s="8"/>
      <c r="Q8" s="9"/>
      <c r="R8" s="9"/>
      <c r="S8" s="48"/>
      <c r="T8" s="21">
        <f t="shared" si="4"/>
        <v>5400</v>
      </c>
      <c r="U8" s="53">
        <f>IF($J8="","",ROUND(($J8-$J$3)/1000,1)+(_xlfn.RANK.AVG($J8,($J8,$O8,$T8),1)-2)*10)</f>
        <v>9.5</v>
      </c>
      <c r="V8" s="54">
        <f>IF($O8="","",ROUND(($O8-$O$3)/1000,1)+(_xlfn.RANK.AVG($O8,($J8,$O8,$T8),1)-2)*10)</f>
        <v>30.1</v>
      </c>
      <c r="W8" s="55">
        <f>IF($T8="","",ROUND(($T8-$T$3)/1000,1)+(_xlfn.RANK.AVG($T8,($J8,$O8,$T8),1)-2)*10)</f>
        <v>-39.6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198</v>
      </c>
      <c r="G9" s="9">
        <v>-8000</v>
      </c>
      <c r="H9" s="9"/>
      <c r="I9" s="48">
        <v>-1000</v>
      </c>
      <c r="J9" s="21">
        <f t="shared" si="2"/>
        <v>35500</v>
      </c>
      <c r="K9" s="8"/>
      <c r="L9" s="9"/>
      <c r="M9" s="9"/>
      <c r="N9" s="48"/>
      <c r="O9" s="21">
        <f t="shared" si="3"/>
        <v>55100</v>
      </c>
      <c r="P9" s="8" t="s">
        <v>197</v>
      </c>
      <c r="Q9" s="9">
        <v>8000</v>
      </c>
      <c r="R9" s="9"/>
      <c r="S9" s="48">
        <v>1000</v>
      </c>
      <c r="T9" s="21">
        <f t="shared" si="4"/>
        <v>14400</v>
      </c>
      <c r="U9" s="53">
        <f>IF($J9="","",ROUND(($J9-$J$3)/1000,1)+(_xlfn.RANK.AVG($J9,($J9,$O9,$T9),1)-2)*10)</f>
        <v>0.5</v>
      </c>
      <c r="V9" s="54">
        <f>IF($O9="","",ROUND(($O9-$O$3)/1000,1)+(_xlfn.RANK.AVG($O9,($J9,$O9,$T9),1)-2)*10)</f>
        <v>30.1</v>
      </c>
      <c r="W9" s="55">
        <f>IF($T9="","",ROUND(($T9-$T$3)/1000,1)+(_xlfn.RANK.AVG($T9,($J9,$O9,$T9),1)-2)*10)</f>
        <v>-30.6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203</v>
      </c>
      <c r="BV9" s="41" t="s">
        <v>79</v>
      </c>
      <c r="BW9" s="41" t="s">
        <v>79</v>
      </c>
      <c r="BX9" s="41" t="s">
        <v>204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200</v>
      </c>
      <c r="G10" s="9">
        <v>-500</v>
      </c>
      <c r="H10" s="9"/>
      <c r="I10" s="48">
        <v>0</v>
      </c>
      <c r="J10" s="21">
        <f t="shared" si="2"/>
        <v>35000</v>
      </c>
      <c r="K10" s="8" t="s">
        <v>200</v>
      </c>
      <c r="L10" s="9">
        <v>-700</v>
      </c>
      <c r="M10" s="9"/>
      <c r="N10" s="48">
        <v>0</v>
      </c>
      <c r="O10" s="21">
        <f t="shared" si="3"/>
        <v>54400</v>
      </c>
      <c r="P10" s="8" t="s">
        <v>199</v>
      </c>
      <c r="Q10" s="9">
        <v>1200</v>
      </c>
      <c r="R10" s="9"/>
      <c r="S10" s="48">
        <v>0</v>
      </c>
      <c r="T10" s="21">
        <f t="shared" si="4"/>
        <v>15600</v>
      </c>
      <c r="U10" s="53">
        <f>IF($J10="","",ROUND(($J10-$J$3)/1000,1)+(_xlfn.RANK.AVG($J10,($J10,$O10,$T10),1)-2)*10)</f>
        <v>0</v>
      </c>
      <c r="V10" s="54">
        <f>IF($O10="","",ROUND(($O10-$O$3)/1000,1)+(_xlfn.RANK.AVG($O10,($J10,$O10,$T10),1)-2)*10)</f>
        <v>29.4</v>
      </c>
      <c r="W10" s="55">
        <f>IF($T10="","",ROUND(($T10-$T$3)/1000,1)+(_xlfn.RANK.AVG($T10,($J10,$O10,$T10),1)-2)*10)</f>
        <v>-29.4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198</v>
      </c>
      <c r="G11" s="9">
        <v>-12000</v>
      </c>
      <c r="H11" s="9"/>
      <c r="I11" s="48">
        <v>0</v>
      </c>
      <c r="J11" s="21">
        <f t="shared" si="2"/>
        <v>23000</v>
      </c>
      <c r="K11" s="8"/>
      <c r="L11" s="9"/>
      <c r="M11" s="9"/>
      <c r="N11" s="48"/>
      <c r="O11" s="21">
        <f t="shared" si="3"/>
        <v>54400</v>
      </c>
      <c r="P11" s="8" t="s">
        <v>197</v>
      </c>
      <c r="Q11" s="9">
        <v>12000</v>
      </c>
      <c r="R11" s="9"/>
      <c r="S11" s="48">
        <v>0</v>
      </c>
      <c r="T11" s="21">
        <f t="shared" si="4"/>
        <v>27600</v>
      </c>
      <c r="U11" s="53">
        <f>IF($J11="","",ROUND(($J11-$J$3)/1000,1)+(_xlfn.RANK.AVG($J11,($J11,$O11,$T11),1)-2)*10)</f>
        <v>-22</v>
      </c>
      <c r="V11" s="54">
        <f>IF($O11="","",ROUND(($O11-$O$3)/1000,1)+(_xlfn.RANK.AVG($O11,($J11,$O11,$T11),1)-2)*10)</f>
        <v>29.4</v>
      </c>
      <c r="W11" s="55">
        <f>IF($T11="","",ROUND(($T11-$T$3)/1000,1)+(_xlfn.RANK.AVG($T11,($J11,$O11,$T11),1)-2)*10)</f>
        <v>-7.4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203</v>
      </c>
      <c r="BV11" s="41" t="s">
        <v>79</v>
      </c>
      <c r="BW11" s="41" t="s">
        <v>80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207</v>
      </c>
      <c r="G12" s="9">
        <v>1500</v>
      </c>
      <c r="H12" s="9"/>
      <c r="I12" s="48"/>
      <c r="J12" s="21">
        <f t="shared" si="2"/>
        <v>24500</v>
      </c>
      <c r="K12" s="8" t="s">
        <v>207</v>
      </c>
      <c r="L12" s="9">
        <v>1500</v>
      </c>
      <c r="M12" s="9"/>
      <c r="N12" s="48"/>
      <c r="O12" s="21">
        <f t="shared" si="3"/>
        <v>55900</v>
      </c>
      <c r="P12" s="8" t="s">
        <v>207</v>
      </c>
      <c r="Q12" s="9">
        <v>-3000</v>
      </c>
      <c r="R12" s="9"/>
      <c r="S12" s="48"/>
      <c r="T12" s="21">
        <f t="shared" si="4"/>
        <v>24600</v>
      </c>
      <c r="U12" s="53">
        <f>IF($J12="","",ROUND(($J12-$J$3)/1000,1)+(_xlfn.RANK.AVG($J12,($J12,$O12,$T12),1)-2)*10)</f>
        <v>-20.5</v>
      </c>
      <c r="V12" s="54">
        <f>IF($O12="","",ROUND(($O12-$O$3)/1000,1)+(_xlfn.RANK.AVG($O12,($J12,$O12,$T12),1)-2)*10)</f>
        <v>30.9</v>
      </c>
      <c r="W12" s="55">
        <f>IF($T12="","",ROUND(($T12-$T$3)/1000,1)+(_xlfn.RANK.AVG($T12,($J12,$O12,$T12),1)-2)*10)</f>
        <v>-10.4</v>
      </c>
      <c r="Y12" s="8" t="s">
        <v>206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206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199</v>
      </c>
      <c r="G13" s="9">
        <v>18000</v>
      </c>
      <c r="H13" s="9">
        <v>1000</v>
      </c>
      <c r="I13" s="48">
        <v>2000</v>
      </c>
      <c r="J13" s="21">
        <f t="shared" si="2"/>
        <v>45500</v>
      </c>
      <c r="K13" s="8" t="s">
        <v>200</v>
      </c>
      <c r="L13" s="9">
        <v>-9000</v>
      </c>
      <c r="M13" s="9"/>
      <c r="N13" s="48">
        <v>-1000</v>
      </c>
      <c r="O13" s="21">
        <f t="shared" si="3"/>
        <v>45900</v>
      </c>
      <c r="P13" s="8" t="s">
        <v>200</v>
      </c>
      <c r="Q13" s="9">
        <v>-9000</v>
      </c>
      <c r="R13" s="9">
        <v>-1000</v>
      </c>
      <c r="S13" s="48">
        <v>-1000</v>
      </c>
      <c r="T13" s="21">
        <f t="shared" si="4"/>
        <v>13600</v>
      </c>
      <c r="U13" s="53">
        <f>IF($J13="","",ROUND(($J13-$J$3)/1000,1)+(_xlfn.RANK.AVG($J13,($J13,$O13,$T13),1)-2)*10)</f>
        <v>10.5</v>
      </c>
      <c r="V13" s="54">
        <f>IF($O13="","",ROUND(($O13-$O$3)/1000,1)+(_xlfn.RANK.AVG($O13,($J13,$O13,$T13),1)-2)*10)</f>
        <v>20.9</v>
      </c>
      <c r="W13" s="55">
        <f>IF($T13="","",ROUND(($T13-$T$3)/1000,1)+(_xlfn.RANK.AVG($T13,($J13,$O13,$T13),1)-2)*10)</f>
        <v>-31.4</v>
      </c>
      <c r="Y13" s="8"/>
      <c r="Z13" s="34"/>
      <c r="AA13" s="26">
        <v>1</v>
      </c>
      <c r="AB13" s="26"/>
      <c r="AC13" s="26">
        <v>7</v>
      </c>
      <c r="AD13" s="30" t="s">
        <v>201</v>
      </c>
      <c r="AE13" s="40" t="s">
        <v>203</v>
      </c>
      <c r="AF13" s="41" t="s">
        <v>82</v>
      </c>
      <c r="AG13" s="41" t="s">
        <v>85</v>
      </c>
      <c r="AH13" s="41" t="s">
        <v>79</v>
      </c>
      <c r="AI13" s="41" t="s">
        <v>80</v>
      </c>
      <c r="AJ13" s="41" t="s">
        <v>80</v>
      </c>
      <c r="AK13" s="41" t="s">
        <v>80</v>
      </c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45500</v>
      </c>
      <c r="K14" s="8" t="s">
        <v>197</v>
      </c>
      <c r="L14" s="9">
        <v>2600</v>
      </c>
      <c r="M14" s="9"/>
      <c r="N14" s="48">
        <v>3000</v>
      </c>
      <c r="O14" s="21">
        <f t="shared" si="3"/>
        <v>51500</v>
      </c>
      <c r="P14" s="8" t="s">
        <v>198</v>
      </c>
      <c r="Q14" s="9">
        <v>-2600</v>
      </c>
      <c r="R14" s="9"/>
      <c r="S14" s="48">
        <v>-3000</v>
      </c>
      <c r="T14" s="21">
        <f t="shared" si="4"/>
        <v>8000</v>
      </c>
      <c r="U14" s="53">
        <f>IF($J14="","",ROUND(($J14-$J$3)/1000,1)+(_xlfn.RANK.AVG($J14,($J14,$O14,$T14),1)-2)*10)</f>
        <v>10.5</v>
      </c>
      <c r="V14" s="54">
        <f>IF($O14="","",ROUND(($O14-$O$3)/1000,1)+(_xlfn.RANK.AVG($O14,($J14,$O14,$T14),1)-2)*10)</f>
        <v>26.5</v>
      </c>
      <c r="W14" s="55">
        <f>IF($T14="","",ROUND(($T14-$T$3)/1000,1)+(_xlfn.RANK.AVG($T14,($J14,$O14,$T14),1)-2)*10)</f>
        <v>-37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85</v>
      </c>
      <c r="BA14" s="41" t="s">
        <v>84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4ACD60E9-EC52-4E2C-99A0-26C831F096AA}">
      <formula1>"ロン,ツモ,放銃,ツモ支払,流局,チョンボ"</formula1>
    </dataValidation>
    <dataValidation type="list" allowBlank="1" showInputMessage="1" showErrorMessage="1" sqref="E4:E30" xr:uid="{99CB054F-6527-426A-834C-C49EE40CE783}">
      <formula1>$U$2:$W$2</formula1>
    </dataValidation>
    <dataValidation type="list" allowBlank="1" showInputMessage="1" sqref="F1:T1" xr:uid="{C24B4D9D-E390-48BB-9EBB-0578B0FDF20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2019-10-13T17:27:54Z</dcterms:modified>
</cp:coreProperties>
</file>