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CDBBD247-8224-4DF2-90E6-0BECDCE167D9}" xr6:coauthVersionLast="44" xr6:coauthVersionMax="44" xr10:uidLastSave="{00000000-0000-0000-0000-000000000000}"/>
  <bookViews>
    <workbookView xWindow="-108" yWindow="-108" windowWidth="23256" windowHeight="12720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 s="1"/>
  <c r="T15" i="21"/>
  <c r="O15" i="21"/>
  <c r="V15" i="21" s="1"/>
  <c r="J15" i="21"/>
  <c r="U15" i="21" s="1"/>
  <c r="D15" i="21"/>
  <c r="C15" i="21"/>
  <c r="B15" i="21"/>
  <c r="A15" i="21" s="1"/>
  <c r="T14" i="21"/>
  <c r="O14" i="21"/>
  <c r="J14" i="21"/>
  <c r="U14" i="21" s="1"/>
  <c r="D14" i="21"/>
  <c r="C14" i="21"/>
  <c r="B14" i="21"/>
  <c r="A14" i="21"/>
  <c r="T13" i="21"/>
  <c r="W13" i="21" s="1"/>
  <c r="O13" i="21"/>
  <c r="J13" i="21"/>
  <c r="D13" i="21"/>
  <c r="C13" i="21"/>
  <c r="B13" i="21"/>
  <c r="A13" i="21"/>
  <c r="T12" i="21"/>
  <c r="W12" i="21" s="1"/>
  <c r="O12" i="21"/>
  <c r="J12" i="21"/>
  <c r="D12" i="21"/>
  <c r="C12" i="21"/>
  <c r="B12" i="21"/>
  <c r="A12" i="21"/>
  <c r="T11" i="21"/>
  <c r="O11" i="21"/>
  <c r="J11" i="21"/>
  <c r="U11" i="21" s="1"/>
  <c r="D11" i="21"/>
  <c r="C11" i="21"/>
  <c r="B11" i="21"/>
  <c r="A11" i="21"/>
  <c r="D10" i="21"/>
  <c r="D8" i="21"/>
  <c r="D9" i="21" s="1"/>
  <c r="D7" i="21"/>
  <c r="C7" i="21"/>
  <c r="C8" i="21" s="1"/>
  <c r="C9" i="21" s="1"/>
  <c r="C10" i="21" s="1"/>
  <c r="D6" i="21"/>
  <c r="T5" i="21"/>
  <c r="T6" i="21" s="1"/>
  <c r="O5" i="21"/>
  <c r="D5" i="21"/>
  <c r="T4" i="21"/>
  <c r="O4" i="21"/>
  <c r="J4" i="21"/>
  <c r="U4" i="21" s="1"/>
  <c r="E4" i="21"/>
  <c r="B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/>
  <c r="D10" i="20"/>
  <c r="C10" i="20"/>
  <c r="D9" i="20"/>
  <c r="C9" i="20"/>
  <c r="D8" i="20"/>
  <c r="C8" i="20"/>
  <c r="D7" i="20"/>
  <c r="C7" i="20"/>
  <c r="D6" i="20"/>
  <c r="T5" i="20"/>
  <c r="T6" i="20" s="1"/>
  <c r="O5" i="20"/>
  <c r="D5" i="20"/>
  <c r="T4" i="20"/>
  <c r="O4" i="20"/>
  <c r="J4" i="20"/>
  <c r="E4" i="20"/>
  <c r="C5" i="20" s="1"/>
  <c r="C6" i="20" s="1"/>
  <c r="W3" i="20"/>
  <c r="V3" i="20"/>
  <c r="U3" i="20"/>
  <c r="W2" i="20"/>
  <c r="V2" i="20"/>
  <c r="U2" i="20"/>
  <c r="BO1" i="20"/>
  <c r="AT1" i="20"/>
  <c r="Y1" i="20"/>
  <c r="W15" i="21" l="1"/>
  <c r="V14" i="21"/>
  <c r="W14" i="21"/>
  <c r="U13" i="21"/>
  <c r="V13" i="21"/>
  <c r="V12" i="21"/>
  <c r="U12" i="21"/>
  <c r="V11" i="21"/>
  <c r="W11" i="21"/>
  <c r="W4" i="21"/>
  <c r="A5" i="21"/>
  <c r="B6" i="21"/>
  <c r="A6" i="21" s="1"/>
  <c r="T7" i="21"/>
  <c r="C5" i="21"/>
  <c r="C6" i="21" s="1"/>
  <c r="J5" i="21"/>
  <c r="V4" i="21"/>
  <c r="O6" i="21"/>
  <c r="V4" i="20"/>
  <c r="W4" i="20"/>
  <c r="U4" i="20"/>
  <c r="T7" i="20"/>
  <c r="B5" i="20"/>
  <c r="J5" i="20"/>
  <c r="V5" i="20" s="1"/>
  <c r="O6" i="20"/>
  <c r="B7" i="21" l="1"/>
  <c r="A7" i="21" s="1"/>
  <c r="W5" i="21"/>
  <c r="J6" i="21"/>
  <c r="U5" i="21"/>
  <c r="O7" i="21"/>
  <c r="V6" i="21"/>
  <c r="T8" i="21"/>
  <c r="V5" i="21"/>
  <c r="T8" i="20"/>
  <c r="O7" i="20"/>
  <c r="W5" i="20"/>
  <c r="U5" i="20"/>
  <c r="J6" i="20"/>
  <c r="V6" i="20" s="1"/>
  <c r="A5" i="20"/>
  <c r="B6" i="20"/>
  <c r="A6" i="20" s="1"/>
  <c r="B8" i="21" l="1"/>
  <c r="A8" i="21" s="1"/>
  <c r="T9" i="21"/>
  <c r="O8" i="21"/>
  <c r="U6" i="21"/>
  <c r="J7" i="21"/>
  <c r="V7" i="21" s="1"/>
  <c r="W6" i="21"/>
  <c r="B7" i="20"/>
  <c r="T9" i="20"/>
  <c r="U6" i="20"/>
  <c r="J7" i="20"/>
  <c r="W6" i="20"/>
  <c r="V7" i="20"/>
  <c r="O8" i="20"/>
  <c r="B9" i="21" l="1"/>
  <c r="A9" i="21" s="1"/>
  <c r="U7" i="21"/>
  <c r="J8" i="21"/>
  <c r="W7" i="21"/>
  <c r="V8" i="21"/>
  <c r="O9" i="21"/>
  <c r="T10" i="21"/>
  <c r="O9" i="20"/>
  <c r="B8" i="20"/>
  <c r="A8" i="20" s="1"/>
  <c r="J8" i="20"/>
  <c r="V8" i="20" s="1"/>
  <c r="U7" i="20"/>
  <c r="W7" i="20"/>
  <c r="A7" i="20"/>
  <c r="T10" i="20"/>
  <c r="B10" i="21" l="1"/>
  <c r="A10" i="21" s="1"/>
  <c r="O10" i="21"/>
  <c r="U8" i="21"/>
  <c r="J9" i="21"/>
  <c r="V9" i="21" s="1"/>
  <c r="W8" i="21"/>
  <c r="U8" i="20"/>
  <c r="J9" i="20"/>
  <c r="W8" i="20"/>
  <c r="B9" i="20"/>
  <c r="A9" i="20" s="1"/>
  <c r="V9" i="20"/>
  <c r="O10" i="20"/>
  <c r="U9" i="21" l="1"/>
  <c r="J10" i="21"/>
  <c r="W9" i="21"/>
  <c r="V10" i="21"/>
  <c r="B10" i="20"/>
  <c r="A10" i="20" s="1"/>
  <c r="U9" i="20"/>
  <c r="J10" i="20"/>
  <c r="V10" i="20" s="1"/>
  <c r="W9" i="20"/>
  <c r="U10" i="21" l="1"/>
  <c r="W10" i="21"/>
  <c r="U10" i="20"/>
  <c r="W10" i="20"/>
  <c r="E4" i="19" l="1"/>
  <c r="W3" i="19" l="1"/>
  <c r="V3" i="19"/>
  <c r="U3" i="19"/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D10" i="19"/>
  <c r="C10" i="19"/>
  <c r="B10" i="19"/>
  <c r="A10" i="19" s="1"/>
  <c r="T9" i="19"/>
  <c r="O9" i="19"/>
  <c r="V9" i="19" s="1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U10" i="19" l="1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W5" i="19" l="1"/>
  <c r="V5" i="19"/>
  <c r="U5" i="19"/>
</calcChain>
</file>

<file path=xl/sharedStrings.xml><?xml version="1.0" encoding="utf-8"?>
<sst xmlns="http://schemas.openxmlformats.org/spreadsheetml/2006/main" count="813" uniqueCount="210">
  <si>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</si>
  <si>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</si>
  <si>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</si>
  <si>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</si>
  <si>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</si>
  <si>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</si>
  <si>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</si>
  <si>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</si>
  <si>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</si>
  <si>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</si>
  <si>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</si>
  <si>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</si>
  <si>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</si>
  <si>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</si>
  <si>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</si>
  <si>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</si>
  <si>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</si>
  <si>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</si>
  <si>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</si>
  <si>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</si>
  <si>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</si>
  <si>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</si>
  <si>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</si>
  <si>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</si>
  <si>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</si>
  <si>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</si>
  <si>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</si>
  <si>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</si>
  <si>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</si>
  <si>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</si>
  <si>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</si>
  <si>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</si>
  <si>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</si>
  <si>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</si>
  <si>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</si>
  <si>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</si>
  <si>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</si>
  <si>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</si>
  <si>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</si>
  <si>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</si>
  <si>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</si>
  <si>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</si>
  <si>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</si>
  <si>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</si>
  <si>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</si>
  <si>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</si>
  <si>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</si>
  <si>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</si>
  <si>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</si>
  <si>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</si>
  <si>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</si>
  <si>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</si>
  <si>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</si>
  <si>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</si>
  <si>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</si>
  <si>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</si>
  <si>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</si>
  <si>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</si>
  <si>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</si>
  <si>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</si>
  <si>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</si>
  <si>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</si>
  <si>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</si>
  <si>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</si>
  <si>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</si>
  <si>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</si>
  <si>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</si>
  <si>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</si>
  <si>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</si>
  <si>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</si>
  <si>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</si>
  <si>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</si>
  <si>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</si>
  <si>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</si>
  <si>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</si>
  <si>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</si>
  <si>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</si>
  <si>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</si>
  <si>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</si>
  <si>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</si>
  <si>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</si>
  <si>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</si>
  <si>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</si>
  <si>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</si>
  <si>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</si>
  <si>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</si>
  <si>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</si>
  <si>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</si>
  <si>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</si>
  <si>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</si>
  <si>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</si>
  <si>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</si>
  <si>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</si>
  <si>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</si>
  <si>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</si>
  <si>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</si>
  <si>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</si>
  <si>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</si>
  <si>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</si>
  <si>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</si>
  <si>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</si>
  <si>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</si>
  <si>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</si>
  <si>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</si>
  <si>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</si>
  <si>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</si>
  <si>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</si>
  <si>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</si>
  <si>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</si>
  <si>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</si>
  <si>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</si>
  <si>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</si>
  <si>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</si>
  <si>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</si>
  <si>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</si>
  <si>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</si>
  <si>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</si>
  <si>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</si>
  <si>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</si>
  <si>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</si>
  <si>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</si>
  <si>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</si>
  <si>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</si>
  <si>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</si>
  <si>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</si>
  <si>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</si>
  <si>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</si>
  <si>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</si>
  <si>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</si>
  <si>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</si>
  <si>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</si>
  <si>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</si>
  <si>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</si>
  <si>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</si>
  <si>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</si>
  <si>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</si>
  <si>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</si>
  <si>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</si>
  <si>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</si>
  <si>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</si>
  <si>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</si>
  <si>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</si>
  <si>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</si>
  <si>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</si>
  <si>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</si>
  <si>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</si>
  <si>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</si>
  <si>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</si>
  <si>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</si>
  <si>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</si>
  <si>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</si>
  <si>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</si>
  <si>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</si>
  <si>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</si>
  <si>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</si>
  <si>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</si>
  <si>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</si>
  <si>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</si>
  <si>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</si>
  <si>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</si>
  <si>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</si>
  <si>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</si>
  <si>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</si>
  <si>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</si>
  <si>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</si>
  <si>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</si>
  <si>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</si>
  <si>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</si>
  <si>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</si>
  <si>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</si>
  <si>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</si>
  <si>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</si>
  <si>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</si>
  <si>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</si>
  <si>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</si>
  <si>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</si>
  <si>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</si>
  <si>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</si>
  <si>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</si>
  <si>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</si>
  <si>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</si>
  <si>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</si>
  <si>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</si>
  <si>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</si>
  <si>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</si>
  <si>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</si>
  <si>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</si>
  <si>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</si>
  <si>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</si>
  <si>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</si>
  <si>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</si>
  <si>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れんたろう</t>
  </si>
  <si>
    <t>れんたろう</t>
    <phoneticPr fontId="1"/>
  </si>
  <si>
    <t>まっつん</t>
  </si>
  <si>
    <t>まっつん</t>
    <phoneticPr fontId="1"/>
  </si>
  <si>
    <t>だいち</t>
  </si>
  <si>
    <t>だいち</t>
    <phoneticPr fontId="1"/>
  </si>
  <si>
    <t>ツモ支払</t>
  </si>
  <si>
    <t>ツモ</t>
  </si>
  <si>
    <t>*</t>
  </si>
  <si>
    <t>01</t>
  </si>
  <si>
    <t>52</t>
  </si>
  <si>
    <t>ロン</t>
  </si>
  <si>
    <t>放銃</t>
  </si>
  <si>
    <t>02</t>
  </si>
  <si>
    <t>N</t>
  </si>
  <si>
    <t>T</t>
  </si>
  <si>
    <t>流局</t>
    <phoneticPr fontId="1"/>
  </si>
  <si>
    <t>ただ</t>
  </si>
  <si>
    <t>ただ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</si>
</sst>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197</v>
      </c>
      <c r="G4" s="9">
        <v>-5000</v>
      </c>
      <c r="H4" s="9">
        <v>-1000</v>
      </c>
      <c r="I4" s="48">
        <v>0</v>
      </c>
      <c r="J4" s="21">
        <f>IF(COUNTA($F4,$K4,$P4)&gt;0,J3+SUM(G4:I4),"")</f>
        <v>29000</v>
      </c>
      <c r="K4" s="8" t="s">
        <v>197</v>
      </c>
      <c r="L4" s="9">
        <v>-3000</v>
      </c>
      <c r="M4" s="9">
        <v>-1000</v>
      </c>
      <c r="N4" s="48">
        <v>0</v>
      </c>
      <c r="O4" s="21">
        <f>IF(COUNTA($F4,$K4,$P4)&gt;0,O3+SUM(L4:N4),"")</f>
        <v>31000</v>
      </c>
      <c r="P4" s="8" t="s">
        <v>198</v>
      </c>
      <c r="Q4" s="9">
        <v>8000</v>
      </c>
      <c r="R4" s="9">
        <v>2000</v>
      </c>
      <c r="S4" s="48">
        <v>0</v>
      </c>
      <c r="T4" s="21">
        <f>IF(COUNTA($F4,$K4,$P4)&gt;0,T3+SUM(Q4:S4),"")</f>
        <v>45000</v>
      </c>
      <c r="U4" s="53">
        <f>IF($J4="","",ROUND(($J4-$J$3)/1000,1)+(_xlfn.RANK.AVG($J4,($J4,$O4,$T4),1)-2)*10)</f>
        <v>-16</v>
      </c>
      <c r="V4" s="54">
        <f>IF($O4="","",ROUND(($O4-$O$3)/1000,1)+(_xlfn.RANK.AVG($O4,($J4,$O4,$T4),1)-2)*10)</f>
        <v>-4</v>
      </c>
      <c r="W4" s="55">
        <f>IF($T4="","",ROUND(($T4-$T$3)/1000,1)+(_xlfn.RANK.AVG($T4,($J4,$O4,$T4),1)-2)*10)</f>
        <v>20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200</v>
      </c>
      <c r="BV4" s="41" t="s">
        <v>82</v>
      </c>
      <c r="BW4" s="41" t="s">
        <v>104</v>
      </c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-6000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198</v>
      </c>
      <c r="L5" s="9">
        <v>12000</v>
      </c>
      <c r="M5" s="9"/>
      <c r="N5" s="48">
        <v>0</v>
      </c>
      <c r="O5" s="21">
        <f t="shared" ref="O5:O30" si="3">IF(COUNTA($F5,$K5,$P5)&gt;0,O4+SUM(L5:N5),"")</f>
        <v>43000</v>
      </c>
      <c r="P5" s="8" t="s">
        <v>197</v>
      </c>
      <c r="Q5" s="9">
        <v>-6000</v>
      </c>
      <c r="R5" s="9"/>
      <c r="S5" s="48">
        <v>0</v>
      </c>
      <c r="T5" s="21">
        <f t="shared" ref="T5:T30" si="4">IF(COUNTA($F5,$K5,$P5)&gt;0,T4+SUM(Q5:S5),"")</f>
        <v>39000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18</v>
      </c>
      <c r="W5" s="55">
        <f>IF($T5="","",ROUND(($T5-$T$3)/1000,1)+(_xlfn.RANK.AVG($T5,($J5,$O5,$T5),1)-2)*10)</f>
        <v>4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40</v>
      </c>
      <c r="AZ5" s="40" t="s">
        <v>200</v>
      </c>
      <c r="BA5" s="41" t="s">
        <v>82</v>
      </c>
      <c r="BB5" s="41" t="s">
        <v>201</v>
      </c>
      <c r="BC5" s="41" t="s">
        <v>201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202</v>
      </c>
      <c r="G6" s="9">
        <v>12000</v>
      </c>
      <c r="H6" s="9">
        <v>1000</v>
      </c>
      <c r="I6" s="48">
        <v>1000</v>
      </c>
      <c r="J6" s="21">
        <f t="shared" si="2"/>
        <v>37000</v>
      </c>
      <c r="K6" s="8"/>
      <c r="L6" s="9"/>
      <c r="M6" s="9"/>
      <c r="N6" s="48"/>
      <c r="O6" s="21">
        <f t="shared" si="3"/>
        <v>43000</v>
      </c>
      <c r="P6" s="8" t="s">
        <v>203</v>
      </c>
      <c r="Q6" s="9">
        <v>-12000</v>
      </c>
      <c r="R6" s="9">
        <v>-1000</v>
      </c>
      <c r="S6" s="48">
        <v>-1000</v>
      </c>
      <c r="T6" s="21">
        <f t="shared" si="4"/>
        <v>25000</v>
      </c>
      <c r="U6" s="53">
        <f>IF($J6="","",ROUND(($J6-$J$3)/1000,1)+(_xlfn.RANK.AVG($J6,($J6,$O6,$T6),1)-2)*10)</f>
        <v>2</v>
      </c>
      <c r="V6" s="54">
        <f>IF($O6="","",ROUND(($O6-$O$3)/1000,1)+(_xlfn.RANK.AVG($O6,($J6,$O6,$T6),1)-2)*10)</f>
        <v>18</v>
      </c>
      <c r="W6" s="55">
        <f>IF($T6="","",ROUND(($T6-$T$3)/1000,1)+(_xlfn.RANK.AVG($T6,($J6,$O6,$T6),1)-2)*10)</f>
        <v>-20</v>
      </c>
      <c r="Y6" s="8"/>
      <c r="Z6" s="34"/>
      <c r="AA6" s="26">
        <v>1</v>
      </c>
      <c r="AB6" s="26"/>
      <c r="AC6" s="26">
        <v>6</v>
      </c>
      <c r="AD6" s="30" t="s">
        <v>199</v>
      </c>
      <c r="AE6" s="40" t="s">
        <v>200</v>
      </c>
      <c r="AF6" s="41" t="s">
        <v>83</v>
      </c>
      <c r="AG6" s="41" t="s">
        <v>85</v>
      </c>
      <c r="AH6" s="41" t="s">
        <v>84</v>
      </c>
      <c r="AI6" s="41" t="s">
        <v>79</v>
      </c>
      <c r="AJ6" s="41" t="s">
        <v>79</v>
      </c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2100</v>
      </c>
      <c r="H7" s="9"/>
      <c r="I7" s="48">
        <v>0</v>
      </c>
      <c r="J7" s="21">
        <f t="shared" si="2"/>
        <v>39100</v>
      </c>
      <c r="K7" s="8" t="s">
        <v>197</v>
      </c>
      <c r="L7" s="9">
        <v>-800</v>
      </c>
      <c r="M7" s="9"/>
      <c r="N7" s="48">
        <v>0</v>
      </c>
      <c r="O7" s="21">
        <f t="shared" si="3"/>
        <v>42200</v>
      </c>
      <c r="P7" s="8" t="s">
        <v>197</v>
      </c>
      <c r="Q7" s="9">
        <v>-1300</v>
      </c>
      <c r="R7" s="9"/>
      <c r="S7" s="48">
        <v>0</v>
      </c>
      <c r="T7" s="21">
        <f t="shared" si="4"/>
        <v>23700</v>
      </c>
      <c r="U7" s="53">
        <f>IF($J7="","",ROUND(($J7-$J$3)/1000,1)+(_xlfn.RANK.AVG($J7,($J7,$O7,$T7),1)-2)*10)</f>
        <v>4.0999999999999996</v>
      </c>
      <c r="V7" s="54">
        <f>IF($O7="","",ROUND(($O7-$O$3)/1000,1)+(_xlfn.RANK.AVG($O7,($J7,$O7,$T7),1)-2)*10)</f>
        <v>17.2</v>
      </c>
      <c r="W7" s="55">
        <f>IF($T7="","",ROUND(($T7-$T$3)/1000,1)+(_xlfn.RANK.AVG($T7,($J7,$O7,$T7),1)-2)*10)</f>
        <v>-21.3</v>
      </c>
      <c r="Y7" s="8"/>
      <c r="Z7" s="34"/>
      <c r="AA7" s="26"/>
      <c r="AB7" s="26">
        <v>1</v>
      </c>
      <c r="AC7" s="26">
        <v>2</v>
      </c>
      <c r="AD7" s="30">
        <v>30</v>
      </c>
      <c r="AE7" s="40" t="s">
        <v>104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-1300</v>
      </c>
      <c r="H8" s="9"/>
      <c r="I8" s="48">
        <v>0</v>
      </c>
      <c r="J8" s="21">
        <f t="shared" si="2"/>
        <v>37800</v>
      </c>
      <c r="K8" s="8" t="s">
        <v>198</v>
      </c>
      <c r="L8" s="9">
        <v>2100</v>
      </c>
      <c r="M8" s="9">
        <v>1000</v>
      </c>
      <c r="N8" s="48">
        <v>0</v>
      </c>
      <c r="O8" s="21">
        <f t="shared" si="3"/>
        <v>45300</v>
      </c>
      <c r="P8" s="8" t="s">
        <v>197</v>
      </c>
      <c r="Q8" s="9">
        <v>-800</v>
      </c>
      <c r="R8" s="9">
        <v>-1000</v>
      </c>
      <c r="S8" s="48">
        <v>0</v>
      </c>
      <c r="T8" s="21">
        <f t="shared" si="4"/>
        <v>21900</v>
      </c>
      <c r="U8" s="53">
        <f>IF($J8="","",ROUND(($J8-$J$3)/1000,1)+(_xlfn.RANK.AVG($J8,($J8,$O8,$T8),1)-2)*10)</f>
        <v>2.8</v>
      </c>
      <c r="V8" s="54">
        <f>IF($O8="","",ROUND(($O8-$O$3)/1000,1)+(_xlfn.RANK.AVG($O8,($J8,$O8,$T8),1)-2)*10)</f>
        <v>20.3</v>
      </c>
      <c r="W8" s="55">
        <f>IF($T8="","",ROUND(($T8-$T$3)/1000,1)+(_xlfn.RANK.AVG($T8,($J8,$O8,$T8),1)-2)*10)</f>
        <v>-23.1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86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197</v>
      </c>
      <c r="G9" s="9">
        <v>-6000</v>
      </c>
      <c r="H9" s="9">
        <v>-1000</v>
      </c>
      <c r="I9" s="48">
        <v>0</v>
      </c>
      <c r="J9" s="21">
        <f t="shared" si="2"/>
        <v>30800</v>
      </c>
      <c r="K9" s="8" t="s">
        <v>197</v>
      </c>
      <c r="L9" s="9">
        <v>-10000</v>
      </c>
      <c r="M9" s="9"/>
      <c r="N9" s="48">
        <v>0</v>
      </c>
      <c r="O9" s="21">
        <f t="shared" si="3"/>
        <v>35300</v>
      </c>
      <c r="P9" s="8" t="s">
        <v>198</v>
      </c>
      <c r="Q9" s="9">
        <v>16000</v>
      </c>
      <c r="R9" s="9">
        <v>1000</v>
      </c>
      <c r="S9" s="48">
        <v>0</v>
      </c>
      <c r="T9" s="21">
        <f t="shared" si="4"/>
        <v>38900</v>
      </c>
      <c r="U9" s="53">
        <f>IF($J9="","",ROUND(($J9-$J$3)/1000,1)+(_xlfn.RANK.AVG($J9,($J9,$O9,$T9),1)-2)*10)</f>
        <v>-14.2</v>
      </c>
      <c r="V9" s="54">
        <f>IF($O9="","",ROUND(($O9-$O$3)/1000,1)+(_xlfn.RANK.AVG($O9,($J9,$O9,$T9),1)-2)*10)</f>
        <v>0.3</v>
      </c>
      <c r="W9" s="55">
        <f>IF($T9="","",ROUND(($T9-$T$3)/1000,1)+(_xlfn.RANK.AVG($T9,($J9,$O9,$T9),1)-2)*10)</f>
        <v>13.9</v>
      </c>
      <c r="Y9" s="8"/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10</v>
      </c>
      <c r="BT9" s="30" t="s">
        <v>199</v>
      </c>
      <c r="BU9" s="40" t="s">
        <v>200</v>
      </c>
      <c r="BV9" s="41" t="s">
        <v>82</v>
      </c>
      <c r="BW9" s="41" t="s">
        <v>204</v>
      </c>
      <c r="BX9" s="41" t="s">
        <v>101</v>
      </c>
      <c r="BY9" s="41" t="s">
        <v>79</v>
      </c>
      <c r="BZ9" s="41" t="s">
        <v>79</v>
      </c>
      <c r="CA9" s="41" t="s">
        <v>80</v>
      </c>
      <c r="CB9" s="41" t="s">
        <v>80</v>
      </c>
      <c r="CC9" s="41" t="s">
        <v>201</v>
      </c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197</v>
      </c>
      <c r="G10" s="9">
        <v>-9000</v>
      </c>
      <c r="H10" s="9"/>
      <c r="I10" s="48">
        <v>0</v>
      </c>
      <c r="J10" s="21">
        <f t="shared" si="2"/>
        <v>21800</v>
      </c>
      <c r="K10" s="8" t="s">
        <v>197</v>
      </c>
      <c r="L10" s="9">
        <v>-9000</v>
      </c>
      <c r="M10" s="9"/>
      <c r="N10" s="48">
        <v>0</v>
      </c>
      <c r="O10" s="21">
        <f t="shared" si="3"/>
        <v>26300</v>
      </c>
      <c r="P10" s="8" t="s">
        <v>198</v>
      </c>
      <c r="Q10" s="9">
        <v>18000</v>
      </c>
      <c r="R10" s="9"/>
      <c r="S10" s="48">
        <v>0</v>
      </c>
      <c r="T10" s="21">
        <f t="shared" si="4"/>
        <v>56900</v>
      </c>
      <c r="U10" s="53">
        <f>IF($J10="","",ROUND(($J10-$J$3)/1000,1)+(_xlfn.RANK.AVG($J10,($J10,$O10,$T10),1)-2)*10)</f>
        <v>-23.2</v>
      </c>
      <c r="V10" s="54">
        <f>IF($O10="","",ROUND(($O10-$O$3)/1000,1)+(_xlfn.RANK.AVG($O10,($J10,$O10,$T10),1)-2)*10)</f>
        <v>-8.6999999999999993</v>
      </c>
      <c r="W10" s="55">
        <f>IF($T10="","",ROUND(($T10-$T$3)/1000,1)+(_xlfn.RANK.AVG($T10,($J10,$O10,$T10),1)-2)*10)</f>
        <v>31.9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6</v>
      </c>
      <c r="BT10" s="30" t="s">
        <v>199</v>
      </c>
      <c r="BU10" s="40" t="s">
        <v>200</v>
      </c>
      <c r="BV10" s="41" t="s">
        <v>104</v>
      </c>
      <c r="BW10" s="41" t="s">
        <v>84</v>
      </c>
      <c r="BX10" s="41" t="s">
        <v>201</v>
      </c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0499A7B0-F173-446F-9FAE-C5DD7FAE9F8B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814B9-CEE7-4132-A9DD-1AB613568947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れんたろう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れんたろう</v>
      </c>
      <c r="V2" s="69" t="str">
        <f>$K$1</f>
        <v>まっつん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202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203</v>
      </c>
      <c r="L4" s="9">
        <v>-12000</v>
      </c>
      <c r="M4" s="9"/>
      <c r="N4" s="48">
        <v>0</v>
      </c>
      <c r="O4" s="21">
        <f>IF(COUNTA($F4,$K4,$P4)&gt;0,O3+SUM(L4:N4),"")</f>
        <v>23000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-22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4</v>
      </c>
      <c r="AD4" s="30">
        <v>40</v>
      </c>
      <c r="AE4" s="40" t="s">
        <v>84</v>
      </c>
      <c r="AF4" s="41" t="s">
        <v>79</v>
      </c>
      <c r="AG4" s="41" t="s">
        <v>79</v>
      </c>
      <c r="AH4" s="41" t="s">
        <v>86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 t="s">
        <v>202</v>
      </c>
      <c r="G5" s="9">
        <v>11600</v>
      </c>
      <c r="H5" s="9">
        <v>1000</v>
      </c>
      <c r="I5" s="48">
        <v>1000</v>
      </c>
      <c r="J5" s="21">
        <f t="shared" ref="J5:J30" si="2">IF(COUNTA($F5,$K5,$P5)&gt;0,J4+SUM(G5:I5),"")</f>
        <v>60600</v>
      </c>
      <c r="K5" s="8"/>
      <c r="L5" s="9"/>
      <c r="M5" s="9"/>
      <c r="N5" s="48"/>
      <c r="O5" s="21">
        <f t="shared" ref="O5:O30" si="3">IF(COUNTA($F5,$K5,$P5)&gt;0,O4+SUM(L5:N5),"")</f>
        <v>23000</v>
      </c>
      <c r="P5" s="8" t="s">
        <v>203</v>
      </c>
      <c r="Q5" s="9">
        <v>-11600</v>
      </c>
      <c r="R5" s="9">
        <v>-1000</v>
      </c>
      <c r="S5" s="48">
        <v>-1000</v>
      </c>
      <c r="T5" s="21">
        <f t="shared" ref="T5:T30" si="4">IF(COUNTA($F5,$K5,$P5)&gt;0,T4+SUM(Q5:S5),"")</f>
        <v>21400</v>
      </c>
      <c r="U5" s="53">
        <f>IF($J5="","",ROUND(($J5-$J$3)/1000,1)+(_xlfn.RANK.AVG($J5,($J5,$O5,$T5),1)-2)*10)</f>
        <v>35.6</v>
      </c>
      <c r="V5" s="54">
        <f>IF($O5="","",ROUND(($O5-$O$3)/1000,1)+(_xlfn.RANK.AVG($O5,($J5,$O5,$T5),1)-2)*10)</f>
        <v>-12</v>
      </c>
      <c r="W5" s="55">
        <f>IF($T5="","",ROUND(($T5-$T$3)/1000,1)+(_xlfn.RANK.AVG($T5,($J5,$O5,$T5),1)-2)*10)</f>
        <v>-23.6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86</v>
      </c>
      <c r="AG5" s="41" t="s">
        <v>104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60600</v>
      </c>
      <c r="K6" s="8" t="s">
        <v>203</v>
      </c>
      <c r="L6" s="9">
        <v>-2600</v>
      </c>
      <c r="M6" s="9"/>
      <c r="N6" s="48">
        <v>-2000</v>
      </c>
      <c r="O6" s="21">
        <f t="shared" si="3"/>
        <v>18400</v>
      </c>
      <c r="P6" s="8" t="s">
        <v>202</v>
      </c>
      <c r="Q6" s="9">
        <v>2600</v>
      </c>
      <c r="R6" s="9"/>
      <c r="S6" s="48">
        <v>2000</v>
      </c>
      <c r="T6" s="21">
        <f t="shared" si="4"/>
        <v>26000</v>
      </c>
      <c r="U6" s="53">
        <f>IF($J6="","",ROUND(($J6-$J$3)/1000,1)+(_xlfn.RANK.AVG($J6,($J6,$O6,$T6),1)-2)*10)</f>
        <v>35.6</v>
      </c>
      <c r="V6" s="54">
        <f>IF($O6="","",ROUND(($O6-$O$3)/1000,1)+(_xlfn.RANK.AVG($O6,($J6,$O6,$T6),1)-2)*10)</f>
        <v>-26.6</v>
      </c>
      <c r="W6" s="55">
        <f>IF($T6="","",ROUND(($T6-$T$3)/1000,1)+(_xlfn.RANK.AVG($T6,($J6,$O6,$T6),1)-2)*10)</f>
        <v>-9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2</v>
      </c>
      <c r="BT6" s="30">
        <v>40</v>
      </c>
      <c r="BU6" s="40" t="s">
        <v>85</v>
      </c>
      <c r="BV6" s="41" t="s">
        <v>201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197</v>
      </c>
      <c r="G7" s="9">
        <v>-6000</v>
      </c>
      <c r="H7" s="9">
        <v>-1000</v>
      </c>
      <c r="I7" s="48">
        <v>0</v>
      </c>
      <c r="J7" s="21">
        <f t="shared" si="2"/>
        <v>53600</v>
      </c>
      <c r="K7" s="8" t="s">
        <v>198</v>
      </c>
      <c r="L7" s="9">
        <v>12000</v>
      </c>
      <c r="M7" s="9">
        <v>1000</v>
      </c>
      <c r="N7" s="48">
        <v>0</v>
      </c>
      <c r="O7" s="21">
        <f t="shared" si="3"/>
        <v>31400</v>
      </c>
      <c r="P7" s="8" t="s">
        <v>197</v>
      </c>
      <c r="Q7" s="9">
        <v>-6000</v>
      </c>
      <c r="R7" s="9"/>
      <c r="S7" s="48">
        <v>0</v>
      </c>
      <c r="T7" s="21">
        <f t="shared" si="4"/>
        <v>20000</v>
      </c>
      <c r="U7" s="53">
        <f>IF($J7="","",ROUND(($J7-$J$3)/1000,1)+(_xlfn.RANK.AVG($J7,($J7,$O7,$T7),1)-2)*10)</f>
        <v>28.6</v>
      </c>
      <c r="V7" s="54">
        <f>IF($O7="","",ROUND(($O7-$O$3)/1000,1)+(_xlfn.RANK.AVG($O7,($J7,$O7,$T7),1)-2)*10)</f>
        <v>-3.6</v>
      </c>
      <c r="W7" s="55">
        <f>IF($T7="","",ROUND(($T7-$T$3)/1000,1)+(_xlfn.RANK.AVG($T7,($J7,$O7,$T7),1)-2)*10)</f>
        <v>-25</v>
      </c>
      <c r="Y7" s="8"/>
      <c r="Z7" s="34"/>
      <c r="AA7" s="26">
        <v>1</v>
      </c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4</v>
      </c>
      <c r="AY7" s="30">
        <v>40</v>
      </c>
      <c r="AZ7" s="40" t="s">
        <v>86</v>
      </c>
      <c r="BA7" s="41" t="s">
        <v>86</v>
      </c>
      <c r="BB7" s="41" t="s">
        <v>86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207</v>
      </c>
      <c r="G8" s="9">
        <v>-1500</v>
      </c>
      <c r="H8" s="9"/>
      <c r="I8" s="48"/>
      <c r="J8" s="21">
        <f t="shared" si="2"/>
        <v>52100</v>
      </c>
      <c r="K8" s="8" t="s">
        <v>207</v>
      </c>
      <c r="L8" s="9">
        <v>-1500</v>
      </c>
      <c r="M8" s="9"/>
      <c r="N8" s="48"/>
      <c r="O8" s="21">
        <f t="shared" si="3"/>
        <v>29900</v>
      </c>
      <c r="P8" s="8" t="s">
        <v>207</v>
      </c>
      <c r="Q8" s="9">
        <v>3000</v>
      </c>
      <c r="R8" s="9"/>
      <c r="S8" s="48"/>
      <c r="T8" s="21">
        <f t="shared" si="4"/>
        <v>23000</v>
      </c>
      <c r="U8" s="53">
        <f>IF($J8="","",ROUND(($J8-$J$3)/1000,1)+(_xlfn.RANK.AVG($J8,($J8,$O8,$T8),1)-2)*10)</f>
        <v>27.1</v>
      </c>
      <c r="V8" s="54">
        <f>IF($O8="","",ROUND(($O8-$O$3)/1000,1)+(_xlfn.RANK.AVG($O8,($J8,$O8,$T8),1)-2)*10)</f>
        <v>-5.0999999999999996</v>
      </c>
      <c r="W8" s="55">
        <f>IF($T8="","",ROUND(($T8-$T$3)/1000,1)+(_xlfn.RANK.AVG($T8,($J8,$O8,$T8),1)-2)*10)</f>
        <v>-22</v>
      </c>
      <c r="Y8" s="8" t="s">
        <v>205</v>
      </c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0</v>
      </c>
      <c r="E9" s="4" t="s">
        <v>195</v>
      </c>
      <c r="F9" s="8" t="s">
        <v>203</v>
      </c>
      <c r="G9" s="9">
        <v>-48000</v>
      </c>
      <c r="H9" s="9"/>
      <c r="I9" s="48">
        <v>-2000</v>
      </c>
      <c r="J9" s="21">
        <f t="shared" si="2"/>
        <v>2100</v>
      </c>
      <c r="K9" s="8"/>
      <c r="L9" s="9"/>
      <c r="M9" s="9"/>
      <c r="N9" s="48"/>
      <c r="O9" s="21">
        <f t="shared" si="3"/>
        <v>29900</v>
      </c>
      <c r="P9" s="8" t="s">
        <v>202</v>
      </c>
      <c r="Q9" s="9">
        <v>48000</v>
      </c>
      <c r="R9" s="9"/>
      <c r="S9" s="48">
        <v>2000</v>
      </c>
      <c r="T9" s="21">
        <f t="shared" si="4"/>
        <v>73000</v>
      </c>
      <c r="U9" s="53">
        <f>IF($J9="","",ROUND(($J9-$J$3)/1000,1)+(_xlfn.RANK.AVG($J9,($J9,$O9,$T9),1)-2)*10)</f>
        <v>-42.9</v>
      </c>
      <c r="V9" s="54">
        <f>IF($O9="","",ROUND(($O9-$O$3)/1000,1)+(_xlfn.RANK.AVG($O9,($J9,$O9,$T9),1)-2)*10)</f>
        <v>-5.0999999999999996</v>
      </c>
      <c r="W9" s="55">
        <f>IF($T9="","",ROUND(($T9-$T$3)/1000,1)+(_xlfn.RANK.AVG($T9,($J9,$O9,$T9),1)-2)*10)</f>
        <v>48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>
        <v>13</v>
      </c>
      <c r="BT9" s="30" t="s">
        <v>199</v>
      </c>
      <c r="BU9" s="40" t="s">
        <v>107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3</v>
      </c>
      <c r="D10" s="18">
        <f t="shared" si="1"/>
        <v>0</v>
      </c>
      <c r="E10" s="4" t="s">
        <v>195</v>
      </c>
      <c r="F10" s="8" t="s">
        <v>197</v>
      </c>
      <c r="G10" s="9">
        <v>-3000</v>
      </c>
      <c r="H10" s="9"/>
      <c r="I10" s="48">
        <v>-1500</v>
      </c>
      <c r="J10" s="21">
        <f t="shared" si="2"/>
        <v>-2400</v>
      </c>
      <c r="K10" s="8" t="s">
        <v>198</v>
      </c>
      <c r="L10" s="9">
        <v>8000</v>
      </c>
      <c r="M10" s="9"/>
      <c r="N10" s="48">
        <v>3000</v>
      </c>
      <c r="O10" s="21">
        <f t="shared" si="3"/>
        <v>40900</v>
      </c>
      <c r="P10" s="8" t="s">
        <v>197</v>
      </c>
      <c r="Q10" s="9">
        <v>-5000</v>
      </c>
      <c r="R10" s="9"/>
      <c r="S10" s="48">
        <v>-1500</v>
      </c>
      <c r="T10" s="21">
        <f t="shared" si="4"/>
        <v>66500</v>
      </c>
      <c r="U10" s="53">
        <f>IF($J10="","",ROUND(($J10-$J$3)/1000,1)+(_xlfn.RANK.AVG($J10,($J10,$O10,$T10),1)-2)*10)</f>
        <v>-47.4</v>
      </c>
      <c r="V10" s="54">
        <f>IF($O10="","",ROUND(($O10-$O$3)/1000,1)+(_xlfn.RANK.AVG($O10,($J10,$O10,$T10),1)-2)*10)</f>
        <v>5.9</v>
      </c>
      <c r="W10" s="55">
        <f>IF($T10="","",ROUND(($T10-$T$3)/1000,1)+(_xlfn.RANK.AVG($T10,($J10,$O10,$T10),1)-2)*10)</f>
        <v>41.5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200</v>
      </c>
      <c r="BA10" s="41" t="s">
        <v>82</v>
      </c>
      <c r="BB10" s="41" t="s">
        <v>85</v>
      </c>
      <c r="BC10" s="41" t="s">
        <v>79</v>
      </c>
      <c r="BD10" s="41" t="s">
        <v>80</v>
      </c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DF63B0FB-3E5B-45EA-8B3F-72041D66A19C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E1E9AF5B-C645-4717-8E80-FB5571C1422A}">
      <formula1>"ロン,ツモ,放銃,ツモ支払,流局,チョンボ"</formula1>
    </dataValidation>
    <dataValidation type="list" allowBlank="1" showInputMessage="1" showErrorMessage="1" sqref="E4:E30" xr:uid="{84DE29FE-53F1-4003-AE6B-BA7E64EF0E9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9218A9-F1A6-448E-92B9-C44C6493623B}">
  <sheetPr codeName="Sheet12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209</v>
      </c>
      <c r="G1" s="73"/>
      <c r="H1" s="73"/>
      <c r="I1" s="74"/>
      <c r="J1" s="75"/>
      <c r="K1" s="72" t="s">
        <v>196</v>
      </c>
      <c r="L1" s="73"/>
      <c r="M1" s="73"/>
      <c r="N1" s="74"/>
      <c r="O1" s="75"/>
      <c r="P1" s="72" t="s">
        <v>194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5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だいち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207</v>
      </c>
      <c r="G4" s="9">
        <v>3000</v>
      </c>
      <c r="H4" s="9"/>
      <c r="I4" s="48"/>
      <c r="J4" s="21">
        <f>IF(COUNTA($F4,$K4,$P4)&gt;0,J3+SUM(G4:I4),"")</f>
        <v>38000</v>
      </c>
      <c r="K4" s="8" t="s">
        <v>207</v>
      </c>
      <c r="L4" s="9">
        <v>-1500</v>
      </c>
      <c r="M4" s="9"/>
      <c r="N4" s="48"/>
      <c r="O4" s="21">
        <f>IF(COUNTA($F4,$K4,$P4)&gt;0,O3+SUM(L4:N4),"")</f>
        <v>33500</v>
      </c>
      <c r="P4" s="8" t="s">
        <v>207</v>
      </c>
      <c r="Q4" s="9">
        <v>-1500</v>
      </c>
      <c r="R4" s="9"/>
      <c r="S4" s="48"/>
      <c r="T4" s="21">
        <f>IF(COUNTA($F4,$K4,$P4)&gt;0,T3+SUM(Q4:S4),"")</f>
        <v>33500</v>
      </c>
      <c r="U4" s="53">
        <f>IF($J4="","",ROUND(($J4-$J$3)/1000,1)+(_xlfn.RANK.AVG($J4,($J4,$O4,$T4),1)-2)*10)</f>
        <v>13</v>
      </c>
      <c r="V4" s="54">
        <f>IF($O4="","",ROUND(($O4-$O$3)/1000,1)+(_xlfn.RANK.AVG($O4,($J4,$O4,$T4),1)-2)*10)</f>
        <v>-6.5</v>
      </c>
      <c r="W4" s="55">
        <f>IF($T4="","",ROUND(($T4-$T$3)/1000,1)+(_xlfn.RANK.AVG($T4,($J4,$O4,$T4),1)-2)*10)</f>
        <v>-6.5</v>
      </c>
      <c r="Y4" s="8" t="s">
        <v>206</v>
      </c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 t="s">
        <v>205</v>
      </c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 t="s">
        <v>205</v>
      </c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208</v>
      </c>
      <c r="F5" s="8" t="s">
        <v>197</v>
      </c>
      <c r="G5" s="9">
        <v>-4800</v>
      </c>
      <c r="H5" s="9"/>
      <c r="I5" s="48">
        <v>-500</v>
      </c>
      <c r="J5" s="21">
        <f t="shared" ref="J5:J30" si="2">IF(COUNTA($F5,$K5,$P5)&gt;0,J4+SUM(G5:I5),"")</f>
        <v>32700</v>
      </c>
      <c r="K5" s="8" t="s">
        <v>197</v>
      </c>
      <c r="L5" s="9">
        <v>-2900</v>
      </c>
      <c r="M5" s="9"/>
      <c r="N5" s="48">
        <v>-500</v>
      </c>
      <c r="O5" s="21">
        <f t="shared" ref="O5:O30" si="3">IF(COUNTA($F5,$K5,$P5)&gt;0,O4+SUM(L5:N5),"")</f>
        <v>30100</v>
      </c>
      <c r="P5" s="8" t="s">
        <v>198</v>
      </c>
      <c r="Q5" s="9">
        <v>7700</v>
      </c>
      <c r="R5" s="9"/>
      <c r="S5" s="48">
        <v>1000</v>
      </c>
      <c r="T5" s="21">
        <f t="shared" ref="T5:T30" si="4">IF(COUNTA($F5,$K5,$P5)&gt;0,T4+SUM(Q5:S5),"")</f>
        <v>42200</v>
      </c>
      <c r="U5" s="53">
        <f>IF($J5="","",ROUND(($J5-$J$3)/1000,1)+(_xlfn.RANK.AVG($J5,($J5,$O5,$T5),1)-2)*10)</f>
        <v>-2.2999999999999998</v>
      </c>
      <c r="V5" s="54">
        <f>IF($O5="","",ROUND(($O5-$O$3)/1000,1)+(_xlfn.RANK.AVG($O5,($J5,$O5,$T5),1)-2)*10)</f>
        <v>-14.9</v>
      </c>
      <c r="W5" s="55">
        <f>IF($T5="","",ROUND(($T5-$T$3)/1000,1)+(_xlfn.RANK.AVG($T5,($J5,$O5,$T5),1)-2)*10)</f>
        <v>17.2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4</v>
      </c>
      <c r="BT5" s="30">
        <v>30</v>
      </c>
      <c r="BU5" s="40" t="s">
        <v>85</v>
      </c>
      <c r="BV5" s="41" t="s">
        <v>84</v>
      </c>
      <c r="BW5" s="41" t="s">
        <v>201</v>
      </c>
      <c r="BX5" s="41" t="s">
        <v>82</v>
      </c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1300</v>
      </c>
      <c r="H6" s="9"/>
      <c r="I6" s="48">
        <v>0</v>
      </c>
      <c r="J6" s="21">
        <f t="shared" si="2"/>
        <v>34000</v>
      </c>
      <c r="K6" s="8" t="s">
        <v>203</v>
      </c>
      <c r="L6" s="9">
        <v>-1300</v>
      </c>
      <c r="M6" s="9"/>
      <c r="N6" s="48">
        <v>0</v>
      </c>
      <c r="O6" s="21">
        <f t="shared" si="3"/>
        <v>28800</v>
      </c>
      <c r="P6" s="8"/>
      <c r="Q6" s="9"/>
      <c r="R6" s="9"/>
      <c r="S6" s="48"/>
      <c r="T6" s="21">
        <f t="shared" si="4"/>
        <v>42200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-16.2</v>
      </c>
      <c r="W6" s="55">
        <f>IF($T6="","",ROUND(($T6-$T$3)/1000,1)+(_xlfn.RANK.AVG($T6,($J6,$O6,$T6),1)-2)*10)</f>
        <v>17.2</v>
      </c>
      <c r="Y6" s="8"/>
      <c r="Z6" s="34"/>
      <c r="AA6" s="26"/>
      <c r="AB6" s="26"/>
      <c r="AC6" s="26">
        <v>1</v>
      </c>
      <c r="AD6" s="30">
        <v>40</v>
      </c>
      <c r="AE6" s="40" t="s">
        <v>86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193</v>
      </c>
      <c r="F7" s="8" t="s">
        <v>197</v>
      </c>
      <c r="G7" s="9">
        <v>-12000</v>
      </c>
      <c r="H7" s="9"/>
      <c r="I7" s="48">
        <v>0</v>
      </c>
      <c r="J7" s="21">
        <f t="shared" si="2"/>
        <v>22000</v>
      </c>
      <c r="K7" s="8" t="s">
        <v>197</v>
      </c>
      <c r="L7" s="9">
        <v>-12000</v>
      </c>
      <c r="M7" s="9"/>
      <c r="N7" s="48">
        <v>0</v>
      </c>
      <c r="O7" s="21">
        <f t="shared" si="3"/>
        <v>16800</v>
      </c>
      <c r="P7" s="8" t="s">
        <v>198</v>
      </c>
      <c r="Q7" s="9">
        <v>24000</v>
      </c>
      <c r="R7" s="9"/>
      <c r="S7" s="48">
        <v>0</v>
      </c>
      <c r="T7" s="21">
        <f t="shared" si="4"/>
        <v>66200</v>
      </c>
      <c r="U7" s="53">
        <f>IF($J7="","",ROUND(($J7-$J$3)/1000,1)+(_xlfn.RANK.AVG($J7,($J7,$O7,$T7),1)-2)*10)</f>
        <v>-13</v>
      </c>
      <c r="V7" s="54">
        <f>IF($O7="","",ROUND(($O7-$O$3)/1000,1)+(_xlfn.RANK.AVG($O7,($J7,$O7,$T7),1)-2)*10)</f>
        <v>-28.2</v>
      </c>
      <c r="W7" s="55">
        <f>IF($T7="","",ROUND(($T7-$T$3)/1000,1)+(_xlfn.RANK.AVG($T7,($J7,$O7,$T7),1)-2)*10)</f>
        <v>41.2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8</v>
      </c>
      <c r="BT7" s="30" t="s">
        <v>199</v>
      </c>
      <c r="BU7" s="40" t="s">
        <v>200</v>
      </c>
      <c r="BV7" s="41" t="s">
        <v>82</v>
      </c>
      <c r="BW7" s="41" t="s">
        <v>106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193</v>
      </c>
      <c r="F8" s="8" t="s">
        <v>207</v>
      </c>
      <c r="G8" s="9">
        <v>-1500</v>
      </c>
      <c r="H8" s="9"/>
      <c r="I8" s="48"/>
      <c r="J8" s="21">
        <f t="shared" si="2"/>
        <v>20500</v>
      </c>
      <c r="K8" s="8" t="s">
        <v>207</v>
      </c>
      <c r="L8" s="9">
        <v>-1500</v>
      </c>
      <c r="M8" s="9"/>
      <c r="N8" s="48"/>
      <c r="O8" s="21">
        <f t="shared" si="3"/>
        <v>15300</v>
      </c>
      <c r="P8" s="8" t="s">
        <v>207</v>
      </c>
      <c r="Q8" s="9">
        <v>3000</v>
      </c>
      <c r="R8" s="9">
        <v>-1000</v>
      </c>
      <c r="S8" s="48"/>
      <c r="T8" s="21">
        <f t="shared" si="4"/>
        <v>68200</v>
      </c>
      <c r="U8" s="53">
        <f>IF($J8="","",ROUND(($J8-$J$3)/1000,1)+(_xlfn.RANK.AVG($J8,($J8,$O8,$T8),1)-2)*10)</f>
        <v>-14.5</v>
      </c>
      <c r="V8" s="54">
        <f>IF($O8="","",ROUND(($O8-$O$3)/1000,1)+(_xlfn.RANK.AVG($O8,($J8,$O8,$T8),1)-2)*10)</f>
        <v>-29.7</v>
      </c>
      <c r="W8" s="55">
        <f>IF($T8="","",ROUND(($T8-$T$3)/1000,1)+(_xlfn.RANK.AVG($T8,($J8,$O8,$T8),1)-2)*10)</f>
        <v>43.2</v>
      </c>
      <c r="Y8" s="8" t="s">
        <v>205</v>
      </c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 t="s">
        <v>205</v>
      </c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 t="s">
        <v>206</v>
      </c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1"/>
        <v>1</v>
      </c>
      <c r="E9" s="4" t="s">
        <v>193</v>
      </c>
      <c r="F9" s="8" t="s">
        <v>198</v>
      </c>
      <c r="G9" s="9">
        <v>2800</v>
      </c>
      <c r="H9" s="9">
        <v>1000</v>
      </c>
      <c r="I9" s="48">
        <v>2000</v>
      </c>
      <c r="J9" s="21">
        <f t="shared" si="2"/>
        <v>26300</v>
      </c>
      <c r="K9" s="8" t="s">
        <v>197</v>
      </c>
      <c r="L9" s="9">
        <v>-1100</v>
      </c>
      <c r="M9" s="9"/>
      <c r="N9" s="48">
        <v>-1000</v>
      </c>
      <c r="O9" s="21">
        <f t="shared" si="3"/>
        <v>13200</v>
      </c>
      <c r="P9" s="8" t="s">
        <v>197</v>
      </c>
      <c r="Q9" s="9">
        <v>-1700</v>
      </c>
      <c r="R9" s="9"/>
      <c r="S9" s="48">
        <v>-1000</v>
      </c>
      <c r="T9" s="21">
        <f t="shared" si="4"/>
        <v>65500</v>
      </c>
      <c r="U9" s="53">
        <f>IF($J9="","",ROUND(($J9-$J$3)/1000,1)+(_xlfn.RANK.AVG($J9,($J9,$O9,$T9),1)-2)*10)</f>
        <v>-8.6999999999999993</v>
      </c>
      <c r="V9" s="54">
        <f>IF($O9="","",ROUND(($O9-$O$3)/1000,1)+(_xlfn.RANK.AVG($O9,($J9,$O9,$T9),1)-2)*10)</f>
        <v>-31.8</v>
      </c>
      <c r="W9" s="55">
        <f>IF($T9="","",ROUND(($T9-$T$3)/1000,1)+(_xlfn.RANK.AVG($T9,($J9,$O9,$T9),1)-2)*10)</f>
        <v>40.5</v>
      </c>
      <c r="Y9" s="8"/>
      <c r="Z9" s="34"/>
      <c r="AA9" s="26"/>
      <c r="AB9" s="26">
        <v>1</v>
      </c>
      <c r="AC9" s="26">
        <v>2</v>
      </c>
      <c r="AD9" s="30">
        <v>40</v>
      </c>
      <c r="AE9" s="40" t="s">
        <v>86</v>
      </c>
      <c r="AF9" s="41" t="s">
        <v>201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208</v>
      </c>
      <c r="F10" s="8" t="s">
        <v>198</v>
      </c>
      <c r="G10" s="9">
        <v>7800</v>
      </c>
      <c r="H10" s="9"/>
      <c r="I10" s="48">
        <v>0</v>
      </c>
      <c r="J10" s="21">
        <f t="shared" si="2"/>
        <v>34100</v>
      </c>
      <c r="K10" s="8" t="s">
        <v>197</v>
      </c>
      <c r="L10" s="9">
        <v>-3900</v>
      </c>
      <c r="M10" s="9"/>
      <c r="N10" s="48">
        <v>0</v>
      </c>
      <c r="O10" s="21">
        <f t="shared" si="3"/>
        <v>9300</v>
      </c>
      <c r="P10" s="8" t="s">
        <v>197</v>
      </c>
      <c r="Q10" s="9">
        <v>-3900</v>
      </c>
      <c r="R10" s="9"/>
      <c r="S10" s="48">
        <v>0</v>
      </c>
      <c r="T10" s="21">
        <f t="shared" si="4"/>
        <v>61600</v>
      </c>
      <c r="U10" s="53">
        <f>IF($J10="","",ROUND(($J10-$J$3)/1000,1)+(_xlfn.RANK.AVG($J10,($J10,$O10,$T10),1)-2)*10)</f>
        <v>-0.9</v>
      </c>
      <c r="V10" s="54">
        <f>IF($O10="","",ROUND(($O10-$O$3)/1000,1)+(_xlfn.RANK.AVG($O10,($J10,$O10,$T10),1)-2)*10)</f>
        <v>-35.700000000000003</v>
      </c>
      <c r="W10" s="55">
        <f>IF($T10="","",ROUND(($T10-$T$3)/1000,1)+(_xlfn.RANK.AVG($T10,($J10,$O10,$T10),1)-2)*10)</f>
        <v>36.6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104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208</v>
      </c>
      <c r="F11" s="8" t="s">
        <v>207</v>
      </c>
      <c r="G11" s="9">
        <v>1500</v>
      </c>
      <c r="H11" s="9">
        <v>-1000</v>
      </c>
      <c r="I11" s="48"/>
      <c r="J11" s="21">
        <f t="shared" si="2"/>
        <v>34600</v>
      </c>
      <c r="K11" s="8" t="s">
        <v>207</v>
      </c>
      <c r="L11" s="9">
        <v>1500</v>
      </c>
      <c r="M11" s="9"/>
      <c r="N11" s="48"/>
      <c r="O11" s="21">
        <f t="shared" si="3"/>
        <v>10800</v>
      </c>
      <c r="P11" s="8" t="s">
        <v>207</v>
      </c>
      <c r="Q11" s="9">
        <v>-3000</v>
      </c>
      <c r="R11" s="9"/>
      <c r="S11" s="48"/>
      <c r="T11" s="21">
        <f t="shared" si="4"/>
        <v>58600</v>
      </c>
      <c r="U11" s="53">
        <f>IF($J11="","",ROUND(($J11-$J$3)/1000,1)+(_xlfn.RANK.AVG($J11,($J11,$O11,$T11),1)-2)*10)</f>
        <v>-0.4</v>
      </c>
      <c r="V11" s="54">
        <f>IF($O11="","",ROUND(($O11-$O$3)/1000,1)+(_xlfn.RANK.AVG($O11,($J11,$O11,$T11),1)-2)*10)</f>
        <v>-34.200000000000003</v>
      </c>
      <c r="W11" s="55">
        <f>IF($T11="","",ROUND(($T11-$T$3)/1000,1)+(_xlfn.RANK.AVG($T11,($J11,$O11,$T11),1)-2)*10)</f>
        <v>33.6</v>
      </c>
      <c r="Y11" s="8" t="s">
        <v>206</v>
      </c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1</v>
      </c>
      <c r="E12" s="4" t="s">
        <v>208</v>
      </c>
      <c r="F12" s="8" t="s">
        <v>207</v>
      </c>
      <c r="G12" s="9">
        <v>1500</v>
      </c>
      <c r="H12" s="9">
        <v>-1000</v>
      </c>
      <c r="I12" s="48"/>
      <c r="J12" s="21">
        <f t="shared" si="2"/>
        <v>35100</v>
      </c>
      <c r="K12" s="8" t="s">
        <v>207</v>
      </c>
      <c r="L12" s="9">
        <v>1500</v>
      </c>
      <c r="M12" s="9">
        <v>-1000</v>
      </c>
      <c r="N12" s="48"/>
      <c r="O12" s="21">
        <f t="shared" si="3"/>
        <v>11300</v>
      </c>
      <c r="P12" s="8" t="s">
        <v>207</v>
      </c>
      <c r="Q12" s="9">
        <v>-3000</v>
      </c>
      <c r="R12" s="9"/>
      <c r="S12" s="48"/>
      <c r="T12" s="21">
        <f t="shared" si="4"/>
        <v>55600</v>
      </c>
      <c r="U12" s="53">
        <f>IF($J12="","",ROUND(($J12-$J$3)/1000,1)+(_xlfn.RANK.AVG($J12,($J12,$O12,$T12),1)-2)*10)</f>
        <v>0.1</v>
      </c>
      <c r="V12" s="54">
        <f>IF($O12="","",ROUND(($O12-$O$3)/1000,1)+(_xlfn.RANK.AVG($O12,($J12,$O12,$T12),1)-2)*10)</f>
        <v>-33.700000000000003</v>
      </c>
      <c r="W12" s="55">
        <f>IF($T12="","",ROUND(($T12-$T$3)/1000,1)+(_xlfn.RANK.AVG($T12,($J12,$O12,$T12),1)-2)*10)</f>
        <v>30.6</v>
      </c>
      <c r="Y12" s="8" t="s">
        <v>206</v>
      </c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206</v>
      </c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205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1</v>
      </c>
      <c r="C13" s="18">
        <f t="shared" si="6"/>
        <v>3</v>
      </c>
      <c r="D13" s="18">
        <f t="shared" si="1"/>
        <v>3</v>
      </c>
      <c r="E13" s="4" t="s">
        <v>208</v>
      </c>
      <c r="F13" s="8" t="s">
        <v>207</v>
      </c>
      <c r="G13" s="9">
        <v>-3000</v>
      </c>
      <c r="H13" s="9"/>
      <c r="I13" s="48"/>
      <c r="J13" s="21">
        <f t="shared" si="2"/>
        <v>32100</v>
      </c>
      <c r="K13" s="8" t="s">
        <v>207</v>
      </c>
      <c r="L13" s="9">
        <v>1500</v>
      </c>
      <c r="M13" s="9">
        <v>-1000</v>
      </c>
      <c r="N13" s="48"/>
      <c r="O13" s="21">
        <f t="shared" si="3"/>
        <v>11800</v>
      </c>
      <c r="P13" s="8" t="s">
        <v>207</v>
      </c>
      <c r="Q13" s="9">
        <v>1500</v>
      </c>
      <c r="R13" s="9">
        <v>-1000</v>
      </c>
      <c r="S13" s="48"/>
      <c r="T13" s="21">
        <f t="shared" si="4"/>
        <v>56100</v>
      </c>
      <c r="U13" s="53">
        <f>IF($J13="","",ROUND(($J13-$J$3)/1000,1)+(_xlfn.RANK.AVG($J13,($J13,$O13,$T13),1)-2)*10)</f>
        <v>-2.9</v>
      </c>
      <c r="V13" s="54">
        <f>IF($O13="","",ROUND(($O13-$O$3)/1000,1)+(_xlfn.RANK.AVG($O13,($J13,$O13,$T13),1)-2)*10)</f>
        <v>-33.200000000000003</v>
      </c>
      <c r="W13" s="55">
        <f>IF($T13="","",ROUND(($T13-$T$3)/1000,1)+(_xlfn.RANK.AVG($T13,($J13,$O13,$T13),1)-2)*10)</f>
        <v>31.1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2</v>
      </c>
      <c r="C14" s="18">
        <f t="shared" si="6"/>
        <v>4</v>
      </c>
      <c r="D14" s="18">
        <f t="shared" si="1"/>
        <v>5</v>
      </c>
      <c r="E14" s="4" t="s">
        <v>195</v>
      </c>
      <c r="F14" s="8" t="s">
        <v>197</v>
      </c>
      <c r="G14" s="9">
        <v>-4500</v>
      </c>
      <c r="H14" s="9"/>
      <c r="I14" s="48">
        <v>-2000</v>
      </c>
      <c r="J14" s="21">
        <f t="shared" si="2"/>
        <v>25600</v>
      </c>
      <c r="K14" s="8" t="s">
        <v>197</v>
      </c>
      <c r="L14" s="9">
        <v>-7500</v>
      </c>
      <c r="M14" s="9"/>
      <c r="N14" s="48">
        <v>-2000</v>
      </c>
      <c r="O14" s="21">
        <f t="shared" si="3"/>
        <v>2300</v>
      </c>
      <c r="P14" s="8" t="s">
        <v>198</v>
      </c>
      <c r="Q14" s="9">
        <v>12000</v>
      </c>
      <c r="R14" s="9">
        <v>5000</v>
      </c>
      <c r="S14" s="48">
        <v>4000</v>
      </c>
      <c r="T14" s="21">
        <f t="shared" si="4"/>
        <v>77100</v>
      </c>
      <c r="U14" s="53">
        <f>IF($J14="","",ROUND(($J14-$J$3)/1000,1)+(_xlfn.RANK.AVG($J14,($J14,$O14,$T14),1)-2)*10)</f>
        <v>-9.4</v>
      </c>
      <c r="V14" s="54">
        <f>IF($O14="","",ROUND(($O14-$O$3)/1000,1)+(_xlfn.RANK.AVG($O14,($J14,$O14,$T14),1)-2)*10)</f>
        <v>-42.7</v>
      </c>
      <c r="W14" s="55">
        <f>IF($T14="","",ROUND(($T14-$T$3)/1000,1)+(_xlfn.RANK.AVG($T14,($J14,$O14,$T14),1)-2)*10)</f>
        <v>52.1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6</v>
      </c>
      <c r="BT14" s="30" t="s">
        <v>199</v>
      </c>
      <c r="BU14" s="40" t="s">
        <v>85</v>
      </c>
      <c r="BV14" s="41" t="s">
        <v>83</v>
      </c>
      <c r="BW14" s="41" t="s">
        <v>201</v>
      </c>
      <c r="BX14" s="41" t="s">
        <v>79</v>
      </c>
      <c r="BY14" s="41" t="s">
        <v>79</v>
      </c>
      <c r="BZ14" s="41" t="s">
        <v>82</v>
      </c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0</v>
      </c>
      <c r="D15" s="18">
        <f t="shared" si="1"/>
        <v>0</v>
      </c>
      <c r="E15" s="4" t="s">
        <v>193</v>
      </c>
      <c r="F15" s="8" t="s">
        <v>197</v>
      </c>
      <c r="G15" s="9">
        <v>-1500</v>
      </c>
      <c r="H15" s="9"/>
      <c r="I15" s="48">
        <v>0</v>
      </c>
      <c r="J15" s="21">
        <f t="shared" si="2"/>
        <v>24100</v>
      </c>
      <c r="K15" s="8" t="s">
        <v>198</v>
      </c>
      <c r="L15" s="9">
        <v>4000</v>
      </c>
      <c r="M15" s="9"/>
      <c r="N15" s="48">
        <v>0</v>
      </c>
      <c r="O15" s="21">
        <f t="shared" si="3"/>
        <v>6300</v>
      </c>
      <c r="P15" s="8" t="s">
        <v>197</v>
      </c>
      <c r="Q15" s="9">
        <v>-2500</v>
      </c>
      <c r="R15" s="9"/>
      <c r="S15" s="48">
        <v>0</v>
      </c>
      <c r="T15" s="21">
        <f t="shared" si="4"/>
        <v>74600</v>
      </c>
      <c r="U15" s="53">
        <f>IF($J15="","",ROUND(($J15-$J$3)/1000,1)+(_xlfn.RANK.AVG($J15,($J15,$O15,$T15),1)-2)*10)</f>
        <v>-10.9</v>
      </c>
      <c r="V15" s="54">
        <f>IF($O15="","",ROUND(($O15-$O$3)/1000,1)+(_xlfn.RANK.AVG($O15,($J15,$O15,$T15),1)-2)*10)</f>
        <v>-38.700000000000003</v>
      </c>
      <c r="W15" s="55">
        <f>IF($T15="","",ROUND(($T15-$T$3)/1000,1)+(_xlfn.RANK.AVG($T15,($J15,$O15,$T15),1)-2)*10)</f>
        <v>49.6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3</v>
      </c>
      <c r="AY15" s="30">
        <v>30</v>
      </c>
      <c r="AZ15" s="40" t="s">
        <v>200</v>
      </c>
      <c r="BA15" s="41" t="s">
        <v>82</v>
      </c>
      <c r="BB15" s="41" t="s">
        <v>80</v>
      </c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>西</v>
      </c>
      <c r="B16" s="18">
        <f t="shared" si="5"/>
        <v>1</v>
      </c>
      <c r="C16" s="18">
        <f t="shared" si="6"/>
        <v>0</v>
      </c>
      <c r="D16" s="18">
        <f t="shared" si="1"/>
        <v>0</v>
      </c>
      <c r="E16" s="4" t="s">
        <v>208</v>
      </c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D96D424-6C86-4F40-9241-EA16829DAE89}">
      <formula1>$U$2:$W$2</formula1>
    </dataValidation>
    <dataValidation type="list" showInputMessage="1" showErrorMessage="1" sqref="K4:K30 P4:P30 F4:F30" xr:uid="{5879BCD0-498A-40BF-BD28-7F67D1578E4D}">
      <formula1>"ロン,ツモ,放銃,ツモ支払,流局,チョンボ"</formula1>
    </dataValidation>
    <dataValidation type="list" allowBlank="1" showInputMessage="1" sqref="F1:T1" xr:uid="{7A6AE86E-7F2D-43C7-BED0-C0D117B39D75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2020-01-27T15:29:03Z</dcterms:modified>
</cp:coreProperties>
</file>