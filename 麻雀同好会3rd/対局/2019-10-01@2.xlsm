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対局\"/>
    </mc:Choice>
  </mc:AlternateContent>
  <xr:revisionPtr revIDLastSave="0" documentId="13_ncr:1_{1CE90FC6-C602-414D-88EC-24302F86EA46}" xr6:coauthVersionLast="41" xr6:coauthVersionMax="41" xr10:uidLastSave="{00000000-0000-0000-0000-000000000000}"/>
  <bookViews>
    <workbookView xWindow="-120" yWindow="-120" windowWidth="29040" windowHeight="16440" activeTab="5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役一覧" sheetId="15" state="hidden" r:id="rId7"/>
    <sheet name="点数表(親ロン)" sheetId="4" state="hidden" r:id="rId8"/>
    <sheet name="点数表(親ツモ)" sheetId="9" state="hidden" r:id="rId9"/>
    <sheet name="点数表(子→親)" sheetId="7" state="hidden" r:id="rId10"/>
    <sheet name="点数表(子ロン)" sheetId="3" state="hidden" r:id="rId11"/>
    <sheet name="点数表(子ツモ)" sheetId="10" state="hidden" r:id="rId12"/>
    <sheet name="点数表(子→子)" sheetId="5" state="hidden" r:id="rId13"/>
    <sheet name="点数表(親→子)" sheetId="6" state="hidden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4" l="1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T13" i="24"/>
  <c r="W13" i="24" s="1"/>
  <c r="O13" i="24"/>
  <c r="V13" i="24" s="1"/>
  <c r="J13" i="24"/>
  <c r="U13" i="24" s="1"/>
  <c r="D13" i="24"/>
  <c r="C13" i="24"/>
  <c r="B13" i="24"/>
  <c r="A13" i="24"/>
  <c r="T12" i="24"/>
  <c r="W12" i="24" s="1"/>
  <c r="O12" i="24"/>
  <c r="V12" i="24" s="1"/>
  <c r="J12" i="24"/>
  <c r="U12" i="24" s="1"/>
  <c r="D12" i="24"/>
  <c r="C12" i="24"/>
  <c r="B12" i="24"/>
  <c r="A12" i="24"/>
  <c r="D11" i="24"/>
  <c r="C11" i="24"/>
  <c r="D10" i="24"/>
  <c r="C10" i="24"/>
  <c r="D9" i="24"/>
  <c r="C9" i="24"/>
  <c r="D8" i="24"/>
  <c r="D7" i="24"/>
  <c r="C7" i="24"/>
  <c r="C8" i="24" s="1"/>
  <c r="D6" i="24"/>
  <c r="C6" i="24"/>
  <c r="O5" i="24"/>
  <c r="J5" i="24"/>
  <c r="D5" i="24"/>
  <c r="C5" i="24"/>
  <c r="B5" i="24"/>
  <c r="B6" i="24" s="1"/>
  <c r="A5" i="24"/>
  <c r="T4" i="24"/>
  <c r="O4" i="24"/>
  <c r="J4" i="24"/>
  <c r="W3" i="24"/>
  <c r="V3" i="24"/>
  <c r="U3" i="24"/>
  <c r="W2" i="24"/>
  <c r="V2" i="24"/>
  <c r="U2" i="24"/>
  <c r="BO1" i="24"/>
  <c r="AT1" i="24"/>
  <c r="Y1" i="24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T12" i="23"/>
  <c r="W12" i="23" s="1"/>
  <c r="O12" i="23"/>
  <c r="V12" i="23" s="1"/>
  <c r="J12" i="23"/>
  <c r="U12" i="23" s="1"/>
  <c r="D12" i="23"/>
  <c r="C12" i="23"/>
  <c r="B12" i="23"/>
  <c r="A12" i="23" s="1"/>
  <c r="T11" i="23"/>
  <c r="O11" i="23"/>
  <c r="J11" i="23"/>
  <c r="U11" i="23" s="1"/>
  <c r="D11" i="23"/>
  <c r="C11" i="23"/>
  <c r="B11" i="23"/>
  <c r="A11" i="23" s="1"/>
  <c r="D10" i="23"/>
  <c r="C10" i="23"/>
  <c r="D9" i="23"/>
  <c r="C9" i="23"/>
  <c r="D8" i="23"/>
  <c r="C8" i="23"/>
  <c r="D7" i="23"/>
  <c r="C7" i="23"/>
  <c r="D6" i="23"/>
  <c r="C6" i="23"/>
  <c r="B6" i="23"/>
  <c r="B7" i="23" s="1"/>
  <c r="D5" i="23"/>
  <c r="C5" i="23"/>
  <c r="B5" i="23"/>
  <c r="A5" i="23" s="1"/>
  <c r="T4" i="23"/>
  <c r="O4" i="23"/>
  <c r="J4" i="23"/>
  <c r="W3" i="23"/>
  <c r="V3" i="23"/>
  <c r="U3" i="23"/>
  <c r="W2" i="23"/>
  <c r="V2" i="23"/>
  <c r="U2" i="23"/>
  <c r="BO1" i="23"/>
  <c r="AT1" i="23"/>
  <c r="Y1" i="23"/>
  <c r="U4" i="24" l="1"/>
  <c r="V4" i="24"/>
  <c r="A6" i="24"/>
  <c r="B7" i="24"/>
  <c r="T5" i="24"/>
  <c r="V5" i="24" s="1"/>
  <c r="J6" i="24"/>
  <c r="W4" i="24"/>
  <c r="O6" i="24"/>
  <c r="V11" i="23"/>
  <c r="W11" i="23"/>
  <c r="A6" i="23"/>
  <c r="V4" i="23"/>
  <c r="U4" i="23"/>
  <c r="W4" i="23"/>
  <c r="B8" i="23"/>
  <c r="A7" i="23"/>
  <c r="J5" i="23"/>
  <c r="O5" i="23"/>
  <c r="T5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/>
  <c r="T11" i="22"/>
  <c r="W11" i="22" s="1"/>
  <c r="O11" i="22"/>
  <c r="V11" i="22" s="1"/>
  <c r="J11" i="22"/>
  <c r="U11" i="22" s="1"/>
  <c r="D11" i="22"/>
  <c r="C11" i="22"/>
  <c r="B11" i="22"/>
  <c r="A11" i="22" s="1"/>
  <c r="T10" i="22"/>
  <c r="O10" i="22"/>
  <c r="V10" i="22" s="1"/>
  <c r="J10" i="22"/>
  <c r="D10" i="22"/>
  <c r="C10" i="22"/>
  <c r="B10" i="22"/>
  <c r="A10" i="22" s="1"/>
  <c r="T9" i="22"/>
  <c r="O9" i="22"/>
  <c r="J9" i="22"/>
  <c r="D9" i="22"/>
  <c r="C9" i="22"/>
  <c r="B9" i="22"/>
  <c r="A9" i="22" s="1"/>
  <c r="T8" i="22"/>
  <c r="O8" i="22"/>
  <c r="J8" i="22"/>
  <c r="D8" i="22"/>
  <c r="C8" i="22"/>
  <c r="B8" i="22"/>
  <c r="A8" i="22" s="1"/>
  <c r="T7" i="22"/>
  <c r="W7" i="22" s="1"/>
  <c r="O7" i="22"/>
  <c r="V7" i="22" s="1"/>
  <c r="J7" i="22"/>
  <c r="U7" i="22" s="1"/>
  <c r="D7" i="22"/>
  <c r="C7" i="22"/>
  <c r="B7" i="22"/>
  <c r="A7" i="22" s="1"/>
  <c r="T6" i="22"/>
  <c r="O6" i="22"/>
  <c r="J6" i="22"/>
  <c r="D6" i="22"/>
  <c r="C6" i="22"/>
  <c r="B6" i="22"/>
  <c r="A6" i="22"/>
  <c r="T5" i="22"/>
  <c r="O5" i="22"/>
  <c r="J5" i="22"/>
  <c r="U5" i="22" s="1"/>
  <c r="D5" i="22"/>
  <c r="C5" i="22"/>
  <c r="B5" i="22"/>
  <c r="A5" i="22" s="1"/>
  <c r="T4" i="22"/>
  <c r="W4" i="22" s="1"/>
  <c r="O4" i="22"/>
  <c r="V4" i="22" s="1"/>
  <c r="J4" i="22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D12" i="21"/>
  <c r="C12" i="21"/>
  <c r="D11" i="21"/>
  <c r="C11" i="21"/>
  <c r="D10" i="21"/>
  <c r="C10" i="21"/>
  <c r="D9" i="21"/>
  <c r="C9" i="21"/>
  <c r="D8" i="21"/>
  <c r="C8" i="21"/>
  <c r="D7" i="21"/>
  <c r="C7" i="21"/>
  <c r="D6" i="21"/>
  <c r="D5" i="21"/>
  <c r="C5" i="21"/>
  <c r="C6" i="21" s="1"/>
  <c r="B5" i="21"/>
  <c r="A5" i="21" s="1"/>
  <c r="T4" i="21"/>
  <c r="T5" i="21" s="1"/>
  <c r="O4" i="21"/>
  <c r="V4" i="21" s="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D14" i="20"/>
  <c r="C14" i="20"/>
  <c r="D13" i="20"/>
  <c r="D12" i="20"/>
  <c r="D11" i="20"/>
  <c r="C11" i="20"/>
  <c r="C12" i="20" s="1"/>
  <c r="C13" i="20" s="1"/>
  <c r="D10" i="20"/>
  <c r="C10" i="20"/>
  <c r="C9" i="20"/>
  <c r="D8" i="20"/>
  <c r="D9" i="20" s="1"/>
  <c r="C8" i="20"/>
  <c r="D7" i="20"/>
  <c r="D6" i="20"/>
  <c r="C6" i="20"/>
  <c r="C7" i="20" s="1"/>
  <c r="D5" i="20"/>
  <c r="C5" i="20"/>
  <c r="B5" i="20"/>
  <c r="B6" i="20" s="1"/>
  <c r="T4" i="20"/>
  <c r="T5" i="20" s="1"/>
  <c r="O4" i="20"/>
  <c r="V4" i="20" s="1"/>
  <c r="J4" i="20"/>
  <c r="U4" i="20" s="1"/>
  <c r="W3" i="20"/>
  <c r="V3" i="20"/>
  <c r="U3" i="20"/>
  <c r="W2" i="20"/>
  <c r="V2" i="20"/>
  <c r="U2" i="20"/>
  <c r="BO1" i="20"/>
  <c r="AT1" i="20"/>
  <c r="Y1" i="20"/>
  <c r="A7" i="24" l="1"/>
  <c r="J7" i="24"/>
  <c r="W5" i="24"/>
  <c r="T6" i="24"/>
  <c r="V6" i="24" s="1"/>
  <c r="U5" i="24"/>
  <c r="B8" i="24"/>
  <c r="A8" i="24" s="1"/>
  <c r="O7" i="24"/>
  <c r="U5" i="23"/>
  <c r="J6" i="23"/>
  <c r="B9" i="23"/>
  <c r="W5" i="23"/>
  <c r="T6" i="23"/>
  <c r="V5" i="23"/>
  <c r="O6" i="23"/>
  <c r="A8" i="23"/>
  <c r="U10" i="22"/>
  <c r="W10" i="22"/>
  <c r="U9" i="22"/>
  <c r="W9" i="22"/>
  <c r="V9" i="22"/>
  <c r="U8" i="22"/>
  <c r="V8" i="22"/>
  <c r="W8" i="22"/>
  <c r="V6" i="22"/>
  <c r="W6" i="22"/>
  <c r="U6" i="22"/>
  <c r="W5" i="22"/>
  <c r="V5" i="22"/>
  <c r="U4" i="22"/>
  <c r="U4" i="21"/>
  <c r="W4" i="21"/>
  <c r="T6" i="21"/>
  <c r="W5" i="21"/>
  <c r="J5" i="21"/>
  <c r="B6" i="21"/>
  <c r="A6" i="21" s="1"/>
  <c r="O5" i="21"/>
  <c r="W4" i="20"/>
  <c r="B7" i="20"/>
  <c r="T6" i="20"/>
  <c r="J5" i="20"/>
  <c r="W5" i="20" s="1"/>
  <c r="O5" i="20"/>
  <c r="A5" i="20"/>
  <c r="A6" i="20"/>
  <c r="W3" i="19"/>
  <c r="V3" i="19"/>
  <c r="U3" i="19"/>
  <c r="U6" i="24" l="1"/>
  <c r="B9" i="24"/>
  <c r="O8" i="24"/>
  <c r="V7" i="24"/>
  <c r="W6" i="24"/>
  <c r="T7" i="24"/>
  <c r="U7" i="24"/>
  <c r="J8" i="24"/>
  <c r="W6" i="23"/>
  <c r="T7" i="23"/>
  <c r="B10" i="23"/>
  <c r="A10" i="23" s="1"/>
  <c r="U6" i="23"/>
  <c r="J7" i="23"/>
  <c r="O7" i="23"/>
  <c r="V6" i="23"/>
  <c r="A9" i="23"/>
  <c r="V5" i="21"/>
  <c r="O6" i="21"/>
  <c r="B7" i="21"/>
  <c r="A7" i="21"/>
  <c r="U5" i="21"/>
  <c r="J6" i="21"/>
  <c r="W6" i="21" s="1"/>
  <c r="T7" i="21"/>
  <c r="T7" i="20"/>
  <c r="B8" i="20"/>
  <c r="V5" i="20"/>
  <c r="O6" i="20"/>
  <c r="U5" i="20"/>
  <c r="J6" i="20"/>
  <c r="A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 s="1"/>
  <c r="T14" i="19"/>
  <c r="W14" i="19" s="1"/>
  <c r="O14" i="19"/>
  <c r="J14" i="19"/>
  <c r="D14" i="19"/>
  <c r="C14" i="19"/>
  <c r="B14" i="19"/>
  <c r="A14" i="19"/>
  <c r="T13" i="19"/>
  <c r="O13" i="19"/>
  <c r="J13" i="19"/>
  <c r="D13" i="19"/>
  <c r="C13" i="19"/>
  <c r="B13" i="19"/>
  <c r="A13" i="19" s="1"/>
  <c r="T12" i="19"/>
  <c r="W12" i="19" s="1"/>
  <c r="O12" i="19"/>
  <c r="V12" i="19" s="1"/>
  <c r="J12" i="19"/>
  <c r="U12" i="19" s="1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/>
  <c r="T9" i="19"/>
  <c r="O9" i="19"/>
  <c r="J9" i="19"/>
  <c r="U9" i="19" s="1"/>
  <c r="D9" i="19"/>
  <c r="C9" i="19"/>
  <c r="B9" i="19"/>
  <c r="A9" i="19"/>
  <c r="T8" i="19"/>
  <c r="O8" i="19"/>
  <c r="J8" i="19"/>
  <c r="D8" i="19"/>
  <c r="C8" i="19"/>
  <c r="B8" i="19"/>
  <c r="A8" i="19"/>
  <c r="T7" i="19"/>
  <c r="O7" i="19"/>
  <c r="J7" i="19"/>
  <c r="U7" i="19" s="1"/>
  <c r="D7" i="19"/>
  <c r="C7" i="19"/>
  <c r="B7" i="19"/>
  <c r="A7" i="19"/>
  <c r="T6" i="19"/>
  <c r="O6" i="19"/>
  <c r="J6" i="19"/>
  <c r="U6" i="19" s="1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J9" i="24" l="1"/>
  <c r="T8" i="24"/>
  <c r="V8" i="24" s="1"/>
  <c r="W7" i="24"/>
  <c r="B10" i="24"/>
  <c r="A10" i="24" s="1"/>
  <c r="O9" i="24"/>
  <c r="A9" i="24"/>
  <c r="U7" i="23"/>
  <c r="J8" i="23"/>
  <c r="W7" i="23"/>
  <c r="T8" i="23"/>
  <c r="O8" i="23"/>
  <c r="V7" i="23"/>
  <c r="T8" i="21"/>
  <c r="V6" i="21"/>
  <c r="O7" i="21"/>
  <c r="J7" i="21"/>
  <c r="U6" i="21"/>
  <c r="B8" i="21"/>
  <c r="A8" i="21"/>
  <c r="A8" i="20"/>
  <c r="U6" i="20"/>
  <c r="J7" i="20"/>
  <c r="V6" i="20"/>
  <c r="O7" i="20"/>
  <c r="B9" i="20"/>
  <c r="A9" i="20" s="1"/>
  <c r="T8" i="20"/>
  <c r="W6" i="20"/>
  <c r="U14" i="19"/>
  <c r="V14" i="19"/>
  <c r="V13" i="19"/>
  <c r="U13" i="19"/>
  <c r="W13" i="19"/>
  <c r="V11" i="19"/>
  <c r="W11" i="19"/>
  <c r="W10" i="19"/>
  <c r="V10" i="19"/>
  <c r="W9" i="19"/>
  <c r="V9" i="19"/>
  <c r="V8" i="19"/>
  <c r="U8" i="19"/>
  <c r="W8" i="19"/>
  <c r="V7" i="19"/>
  <c r="W7" i="19"/>
  <c r="V6" i="19"/>
  <c r="W6" i="19"/>
  <c r="V4" i="19"/>
  <c r="U4" i="19"/>
  <c r="T5" i="19"/>
  <c r="W4" i="19"/>
  <c r="J5" i="19"/>
  <c r="U5" i="19" s="1"/>
  <c r="O5" i="19"/>
  <c r="V5" i="19" s="1"/>
  <c r="O10" i="24" l="1"/>
  <c r="B11" i="24"/>
  <c r="A11" i="24" s="1"/>
  <c r="W8" i="24"/>
  <c r="T9" i="24"/>
  <c r="U8" i="24"/>
  <c r="U9" i="24"/>
  <c r="J10" i="24"/>
  <c r="U8" i="23"/>
  <c r="J9" i="23"/>
  <c r="V8" i="23"/>
  <c r="O9" i="23"/>
  <c r="W8" i="23"/>
  <c r="T9" i="23"/>
  <c r="B9" i="21"/>
  <c r="A9" i="21"/>
  <c r="J8" i="21"/>
  <c r="U7" i="21"/>
  <c r="V7" i="21"/>
  <c r="O8" i="21"/>
  <c r="W8" i="21"/>
  <c r="T9" i="21"/>
  <c r="W7" i="21"/>
  <c r="T9" i="20"/>
  <c r="U7" i="20"/>
  <c r="J8" i="20"/>
  <c r="B10" i="20"/>
  <c r="A10" i="20" s="1"/>
  <c r="W7" i="20"/>
  <c r="O8" i="20"/>
  <c r="W8" i="20" s="1"/>
  <c r="V7" i="20"/>
  <c r="W5" i="19"/>
  <c r="W9" i="24" l="1"/>
  <c r="T10" i="24"/>
  <c r="O11" i="24"/>
  <c r="J11" i="24"/>
  <c r="V9" i="24"/>
  <c r="U9" i="23"/>
  <c r="J10" i="23"/>
  <c r="W9" i="23"/>
  <c r="T10" i="23"/>
  <c r="V9" i="23"/>
  <c r="O10" i="23"/>
  <c r="V10" i="23" s="1"/>
  <c r="T10" i="21"/>
  <c r="W9" i="21"/>
  <c r="V8" i="21"/>
  <c r="O9" i="21"/>
  <c r="U8" i="21"/>
  <c r="J9" i="21"/>
  <c r="B10" i="21"/>
  <c r="A10" i="21" s="1"/>
  <c r="V8" i="20"/>
  <c r="O9" i="20"/>
  <c r="U8" i="20"/>
  <c r="J9" i="20"/>
  <c r="B11" i="20"/>
  <c r="A11" i="20" s="1"/>
  <c r="W9" i="20"/>
  <c r="T10" i="20"/>
  <c r="W10" i="24" l="1"/>
  <c r="T11" i="24"/>
  <c r="U10" i="24"/>
  <c r="V10" i="24"/>
  <c r="U10" i="23"/>
  <c r="W10" i="23"/>
  <c r="B11" i="21"/>
  <c r="A11" i="21" s="1"/>
  <c r="V9" i="21"/>
  <c r="O10" i="21"/>
  <c r="U9" i="21"/>
  <c r="J10" i="21"/>
  <c r="T11" i="21"/>
  <c r="T11" i="20"/>
  <c r="B12" i="20"/>
  <c r="A12" i="20" s="1"/>
  <c r="U9" i="20"/>
  <c r="J10" i="20"/>
  <c r="V9" i="20"/>
  <c r="O10" i="20"/>
  <c r="W11" i="24" l="1"/>
  <c r="V11" i="24"/>
  <c r="U11" i="24"/>
  <c r="U10" i="21"/>
  <c r="J11" i="21"/>
  <c r="V10" i="21"/>
  <c r="O11" i="21"/>
  <c r="W11" i="21"/>
  <c r="T12" i="21"/>
  <c r="W10" i="21"/>
  <c r="B12" i="21"/>
  <c r="A12" i="21"/>
  <c r="V10" i="20"/>
  <c r="O11" i="20"/>
  <c r="U10" i="20"/>
  <c r="J11" i="20"/>
  <c r="B13" i="20"/>
  <c r="W11" i="20"/>
  <c r="T12" i="20"/>
  <c r="W10" i="20"/>
  <c r="W12" i="21" l="1"/>
  <c r="O12" i="21"/>
  <c r="V12" i="21" s="1"/>
  <c r="V11" i="21"/>
  <c r="J12" i="21"/>
  <c r="U12" i="21" s="1"/>
  <c r="U11" i="21"/>
  <c r="T13" i="20"/>
  <c r="B14" i="20"/>
  <c r="A14" i="20" s="1"/>
  <c r="A13" i="20"/>
  <c r="U11" i="20"/>
  <c r="J12" i="20"/>
  <c r="W12" i="20" s="1"/>
  <c r="O12" i="20"/>
  <c r="V11" i="20"/>
  <c r="V12" i="20" l="1"/>
  <c r="O13" i="20"/>
  <c r="U12" i="20"/>
  <c r="J13" i="20"/>
  <c r="W13" i="20"/>
  <c r="T14" i="20"/>
  <c r="U13" i="20" l="1"/>
  <c r="J14" i="20"/>
  <c r="U14" i="20" s="1"/>
  <c r="O14" i="20"/>
  <c r="V14" i="20" s="1"/>
  <c r="V13" i="20"/>
  <c r="W14" i="20" l="1"/>
</calcChain>
</file>

<file path=xl/sharedStrings.xml><?xml version="1.0" encoding="utf-8"?>
<sst xmlns="http://schemas.openxmlformats.org/spreadsheetml/2006/main" count="1074" uniqueCount="215">
  <si>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</si>
  <si>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</si>
  <si>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</si>
  <si>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</si>
  <si>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</si>
  <si>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</si>
  <si>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</si>
  <si>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</si>
  <si>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</si>
  <si>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</si>
  <si>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</si>
  <si>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</si>
  <si>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</si>
  <si>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</si>
  <si>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</si>
  <si>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</si>
  <si>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</si>
  <si>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</si>
  <si>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</si>
  <si>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</si>
  <si>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</si>
  <si>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</si>
  <si>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</si>
  <si>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</si>
  <si>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</si>
  <si>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</si>
  <si>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</si>
  <si>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</si>
  <si>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</si>
  <si>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</si>
  <si>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</si>
  <si>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</si>
  <si>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</si>
  <si>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</si>
  <si>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</si>
  <si>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</si>
  <si>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</si>
  <si>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</si>
  <si>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</si>
  <si>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</si>
  <si>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</si>
  <si>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</si>
  <si>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</si>
  <si>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</si>
  <si>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</si>
  <si>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</si>
  <si>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</si>
  <si>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</si>
  <si>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</si>
  <si>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</si>
  <si>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</si>
  <si>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</si>
  <si>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</si>
  <si>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</si>
  <si>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</si>
  <si>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</si>
  <si>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</si>
  <si>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</si>
  <si>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</si>
  <si>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</si>
  <si>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</si>
  <si>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</si>
  <si>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</si>
  <si>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</si>
  <si>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</si>
  <si>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</si>
  <si>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</si>
  <si>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</si>
  <si>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</si>
  <si>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</si>
  <si>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</si>
  <si>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</si>
  <si>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</si>
  <si>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</si>
  <si>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</si>
  <si>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</si>
  <si>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</si>
  <si>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</si>
  <si>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</si>
  <si>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</si>
  <si>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</si>
  <si>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</si>
  <si>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</si>
  <si>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</si>
  <si>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</si>
  <si>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</si>
  <si>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</si>
  <si>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</si>
  <si>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</si>
  <si>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</si>
  <si>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</si>
  <si>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</si>
  <si>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</si>
  <si>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</si>
  <si>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</si>
  <si>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</si>
  <si>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</si>
  <si>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</si>
  <si>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</si>
  <si>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</si>
  <si>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</si>
  <si>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</si>
  <si>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</si>
  <si>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</si>
  <si>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</si>
  <si>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</si>
  <si>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</si>
  <si>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</si>
  <si>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</si>
  <si>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</si>
  <si>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</si>
  <si>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</si>
  <si>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</si>
  <si>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</si>
  <si>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</si>
  <si>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</si>
  <si>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</si>
  <si>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</si>
  <si>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</si>
  <si>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</si>
  <si>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</si>
  <si>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</si>
  <si>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</si>
  <si>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</si>
  <si>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</si>
  <si>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</si>
  <si>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</si>
  <si>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</si>
  <si>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</si>
  <si>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</si>
  <si>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</si>
  <si>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</si>
  <si>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</si>
  <si>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</si>
  <si>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</si>
  <si>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</si>
  <si>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</si>
  <si>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</si>
  <si>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</si>
  <si>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</si>
  <si>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</si>
  <si>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</si>
  <si>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</si>
  <si>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</si>
  <si>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</si>
  <si>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</si>
  <si>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</si>
  <si>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</si>
  <si>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</si>
  <si>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</si>
  <si>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</si>
  <si>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</si>
  <si>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</si>
  <si>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</si>
  <si>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</si>
  <si>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</si>
  <si>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</si>
  <si>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</si>
  <si>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</si>
  <si>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</si>
  <si>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</si>
  <si>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</si>
  <si>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</si>
  <si>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</si>
  <si>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</si>
  <si>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</si>
  <si>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</si>
  <si>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</si>
  <si>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</si>
  <si>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</si>
  <si>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</si>
  <si>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</si>
  <si>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</si>
  <si>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</si>
  <si>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</si>
  <si>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</si>
  <si>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</si>
  <si>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</si>
  <si>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</si>
  <si>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</si>
  <si>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</si>
  <si>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</si>
  <si>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</si>
  <si>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</si>
  <si>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</si>
  <si>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</si>
  <si>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</si>
  <si>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</si>
  <si>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</si>
  <si>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</si>
  <si>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</si>
  <si>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</si>
  <si>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まっつん</t>
    <phoneticPr fontId="1"/>
  </si>
  <si>
    <t>ほたに</t>
  </si>
  <si>
    <t>ほたに</t>
    <phoneticPr fontId="1"/>
  </si>
  <si>
    <t>ただ</t>
  </si>
  <si>
    <t>ただ</t>
    <phoneticPr fontId="1"/>
  </si>
  <si>
    <t>ツモ</t>
  </si>
  <si>
    <t>ツモ支払</t>
  </si>
  <si>
    <t>*</t>
  </si>
  <si>
    <t>01</t>
  </si>
  <si>
    <t>52</t>
  </si>
  <si>
    <t>ロン</t>
  </si>
  <si>
    <t>放銃</t>
  </si>
  <si>
    <t>T</t>
  </si>
  <si>
    <t>N</t>
  </si>
  <si>
    <t>流局</t>
    <phoneticPr fontId="1"/>
  </si>
  <si>
    <t>02</t>
  </si>
  <si>
    <t>だいち</t>
  </si>
  <si>
    <t>だいち</t>
    <phoneticPr fontId="1"/>
  </si>
  <si>
    <t>れんたろう</t>
  </si>
  <si>
    <t>れんたろう</t>
    <phoneticPr fontId="1"/>
  </si>
  <si>
    <t>51</t>
  </si>
  <si>
    <t>たかの</t>
  </si>
  <si>
    <t>たかの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</si>
</sst>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3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opLeftCell="D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194</v>
      </c>
      <c r="L1" s="78"/>
      <c r="M1" s="78"/>
      <c r="N1" s="79"/>
      <c r="O1" s="80"/>
      <c r="P1" s="77" t="s">
        <v>196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まっつん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ほたに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ただ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ほたに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12000</v>
      </c>
      <c r="H4" s="9">
        <v>1000</v>
      </c>
      <c r="I4" s="48">
        <v>0</v>
      </c>
      <c r="J4" s="21">
        <f>IF(COUNTA($F4,$K4,$P4)&gt;0,J3+SUM(G4:I4),"")</f>
        <v>48000</v>
      </c>
      <c r="K4" s="8" t="s">
        <v>198</v>
      </c>
      <c r="L4" s="9">
        <v>-6000</v>
      </c>
      <c r="M4" s="9">
        <v>-1000</v>
      </c>
      <c r="N4" s="48">
        <v>0</v>
      </c>
      <c r="O4" s="21">
        <f>IF(COUNTA($F4,$K4,$P4)&gt;0,O3+SUM(L4:N4),"")</f>
        <v>28000</v>
      </c>
      <c r="P4" s="8" t="s">
        <v>198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IF($J4="","",ROUND(($J4-$J$3)/1000,1)+(_xlfn.RANK.AVG($J4,($J4,$O4,$T4),1)-2)*10)</f>
        <v>23</v>
      </c>
      <c r="V4" s="54">
        <f>IF($O4="","",ROUND(($O4-$O$3)/1000,1)+(_xlfn.RANK.AVG($O4,($J4,$O4,$T4),1)-2)*10)</f>
        <v>-17</v>
      </c>
      <c r="W4" s="55">
        <f>IF($T4="","",ROUND(($T4-$T$3)/1000,1)+(_xlfn.RANK.AVG($T4,($J4,$O4,$T4),1)-2)*10)</f>
        <v>-6</v>
      </c>
      <c r="Y4" s="8"/>
      <c r="Z4" s="34"/>
      <c r="AA4" s="26">
        <v>1</v>
      </c>
      <c r="AB4" s="26"/>
      <c r="AC4" s="26">
        <v>5</v>
      </c>
      <c r="AD4" s="30" t="s">
        <v>199</v>
      </c>
      <c r="AE4" s="40" t="s">
        <v>200</v>
      </c>
      <c r="AF4" s="41" t="s">
        <v>82</v>
      </c>
      <c r="AG4" s="41" t="s">
        <v>201</v>
      </c>
      <c r="AH4" s="41" t="s">
        <v>80</v>
      </c>
      <c r="AI4" s="41" t="s">
        <v>80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202</v>
      </c>
      <c r="G5" s="9">
        <v>7700</v>
      </c>
      <c r="H5" s="9"/>
      <c r="I5" s="48">
        <v>1000</v>
      </c>
      <c r="J5" s="21">
        <f t="shared" ref="J5:J30" si="2">IF(COUNTA($F5,$K5,$P5)&gt;0,J4+SUM(G5:I5),"")</f>
        <v>56700</v>
      </c>
      <c r="K5" s="8"/>
      <c r="L5" s="9"/>
      <c r="M5" s="9"/>
      <c r="N5" s="48"/>
      <c r="O5" s="21">
        <f t="shared" ref="O5:O30" si="3">IF(COUNTA($F5,$K5,$P5)&gt;0,O4+SUM(L5:N5),"")</f>
        <v>28000</v>
      </c>
      <c r="P5" s="8" t="s">
        <v>203</v>
      </c>
      <c r="Q5" s="9">
        <v>-7700</v>
      </c>
      <c r="R5" s="9"/>
      <c r="S5" s="48">
        <v>-1000</v>
      </c>
      <c r="T5" s="21">
        <f t="shared" ref="T5:T30" si="4">IF(COUNTA($F5,$K5,$P5)&gt;0,T4+SUM(Q5:S5),"")</f>
        <v>20300</v>
      </c>
      <c r="U5" s="53">
        <f>IF($J5="","",ROUND(($J5-$J$3)/1000,1)+(_xlfn.RANK.AVG($J5,($J5,$O5,$T5),1)-2)*10)</f>
        <v>31.7</v>
      </c>
      <c r="V5" s="54">
        <f>IF($O5="","",ROUND(($O5-$O$3)/1000,1)+(_xlfn.RANK.AVG($O5,($J5,$O5,$T5),1)-2)*10)</f>
        <v>-7</v>
      </c>
      <c r="W5" s="55">
        <f>IF($T5="","",ROUND(($T5-$T$3)/1000,1)+(_xlfn.RANK.AVG($T5,($J5,$O5,$T5),1)-2)*10)</f>
        <v>-24.7</v>
      </c>
      <c r="Y5" s="8"/>
      <c r="Z5" s="34"/>
      <c r="AA5" s="26"/>
      <c r="AB5" s="26"/>
      <c r="AC5" s="26">
        <v>3</v>
      </c>
      <c r="AD5" s="30">
        <v>40</v>
      </c>
      <c r="AE5" s="40" t="s">
        <v>79</v>
      </c>
      <c r="AF5" s="41" t="s">
        <v>86</v>
      </c>
      <c r="AG5" s="41" t="s">
        <v>86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191</v>
      </c>
      <c r="F6" s="8" t="s">
        <v>206</v>
      </c>
      <c r="G6" s="9">
        <v>1500</v>
      </c>
      <c r="H6" s="9"/>
      <c r="I6" s="48"/>
      <c r="J6" s="21">
        <f t="shared" si="2"/>
        <v>58200</v>
      </c>
      <c r="K6" s="8" t="s">
        <v>206</v>
      </c>
      <c r="L6" s="9">
        <v>-3000</v>
      </c>
      <c r="M6" s="9"/>
      <c r="N6" s="48"/>
      <c r="O6" s="21">
        <f t="shared" si="3"/>
        <v>25000</v>
      </c>
      <c r="P6" s="8" t="s">
        <v>206</v>
      </c>
      <c r="Q6" s="9">
        <v>1500</v>
      </c>
      <c r="R6" s="9"/>
      <c r="S6" s="48"/>
      <c r="T6" s="21">
        <f t="shared" si="4"/>
        <v>21800</v>
      </c>
      <c r="U6" s="53">
        <f>IF($J6="","",ROUND(($J6-$J$3)/1000,1)+(_xlfn.RANK.AVG($J6,($J6,$O6,$T6),1)-2)*10)</f>
        <v>33.200000000000003</v>
      </c>
      <c r="V6" s="54">
        <f>IF($O6="","",ROUND(($O6-$O$3)/1000,1)+(_xlfn.RANK.AVG($O6,($J6,$O6,$T6),1)-2)*10)</f>
        <v>-10</v>
      </c>
      <c r="W6" s="55">
        <f>IF($T6="","",ROUND(($T6-$T$3)/1000,1)+(_xlfn.RANK.AVG($T6,($J6,$O6,$T6),1)-2)*10)</f>
        <v>-23.2</v>
      </c>
      <c r="Y6" s="8" t="s">
        <v>204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205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204</v>
      </c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191</v>
      </c>
      <c r="F7" s="8" t="s">
        <v>203</v>
      </c>
      <c r="G7" s="9">
        <v>-8000</v>
      </c>
      <c r="H7" s="9"/>
      <c r="I7" s="48">
        <v>-3000</v>
      </c>
      <c r="J7" s="21">
        <f t="shared" si="2"/>
        <v>47200</v>
      </c>
      <c r="K7" s="8"/>
      <c r="L7" s="9"/>
      <c r="M7" s="9"/>
      <c r="N7" s="48"/>
      <c r="O7" s="21">
        <f t="shared" si="3"/>
        <v>25000</v>
      </c>
      <c r="P7" s="8" t="s">
        <v>202</v>
      </c>
      <c r="Q7" s="9">
        <v>8000</v>
      </c>
      <c r="R7" s="9"/>
      <c r="S7" s="48">
        <v>3000</v>
      </c>
      <c r="T7" s="21">
        <f t="shared" si="4"/>
        <v>32800</v>
      </c>
      <c r="U7" s="53">
        <f>IF($J7="","",ROUND(($J7-$J$3)/1000,1)+(_xlfn.RANK.AVG($J7,($J7,$O7,$T7),1)-2)*10)</f>
        <v>22.2</v>
      </c>
      <c r="V7" s="54">
        <f>IF($O7="","",ROUND(($O7-$O$3)/1000,1)+(_xlfn.RANK.AVG($O7,($J7,$O7,$T7),1)-2)*10)</f>
        <v>-20</v>
      </c>
      <c r="W7" s="55">
        <f>IF($T7="","",ROUND(($T7-$T$3)/1000,1)+(_xlfn.RANK.AVG($T7,($J7,$O7,$T7),1)-2)*10)</f>
        <v>-2.2000000000000002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4</v>
      </c>
      <c r="BT7" s="30">
        <v>40</v>
      </c>
      <c r="BU7" s="40" t="s">
        <v>98</v>
      </c>
      <c r="BV7" s="41" t="s">
        <v>86</v>
      </c>
      <c r="BW7" s="41" t="s">
        <v>201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206</v>
      </c>
      <c r="G8" s="9">
        <v>-3000</v>
      </c>
      <c r="H8" s="9"/>
      <c r="I8" s="48"/>
      <c r="J8" s="21">
        <f t="shared" si="2"/>
        <v>44200</v>
      </c>
      <c r="K8" s="8" t="s">
        <v>206</v>
      </c>
      <c r="L8" s="9">
        <v>1500</v>
      </c>
      <c r="M8" s="9">
        <v>-1000</v>
      </c>
      <c r="N8" s="48"/>
      <c r="O8" s="21">
        <f t="shared" si="3"/>
        <v>25500</v>
      </c>
      <c r="P8" s="8" t="s">
        <v>206</v>
      </c>
      <c r="Q8" s="9">
        <v>1500</v>
      </c>
      <c r="R8" s="9"/>
      <c r="S8" s="48"/>
      <c r="T8" s="21">
        <f t="shared" si="4"/>
        <v>34300</v>
      </c>
      <c r="U8" s="53">
        <f>IF($J8="","",ROUND(($J8-$J$3)/1000,1)+(_xlfn.RANK.AVG($J8,($J8,$O8,$T8),1)-2)*10)</f>
        <v>19.2</v>
      </c>
      <c r="V8" s="54">
        <f>IF($O8="","",ROUND(($O8-$O$3)/1000,1)+(_xlfn.RANK.AVG($O8,($J8,$O8,$T8),1)-2)*10)</f>
        <v>-19.5</v>
      </c>
      <c r="W8" s="55">
        <f>IF($T8="","",ROUND(($T8-$T$3)/1000,1)+(_xlfn.RANK.AVG($T8,($J8,$O8,$T8),1)-2)*10)</f>
        <v>-0.7</v>
      </c>
      <c r="Y8" s="8" t="s">
        <v>205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204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204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1</v>
      </c>
      <c r="D9" s="18">
        <f t="shared" si="1"/>
        <v>1</v>
      </c>
      <c r="E9" s="4" t="s">
        <v>193</v>
      </c>
      <c r="F9" s="8" t="s">
        <v>198</v>
      </c>
      <c r="G9" s="9">
        <v>-6000</v>
      </c>
      <c r="H9" s="9"/>
      <c r="I9" s="48">
        <v>-500</v>
      </c>
      <c r="J9" s="21">
        <f t="shared" si="2"/>
        <v>37700</v>
      </c>
      <c r="K9" s="8" t="s">
        <v>197</v>
      </c>
      <c r="L9" s="9">
        <v>12000</v>
      </c>
      <c r="M9" s="9">
        <v>1000</v>
      </c>
      <c r="N9" s="48">
        <v>1000</v>
      </c>
      <c r="O9" s="21">
        <f t="shared" si="3"/>
        <v>39500</v>
      </c>
      <c r="P9" s="8" t="s">
        <v>198</v>
      </c>
      <c r="Q9" s="9">
        <v>-6000</v>
      </c>
      <c r="R9" s="9"/>
      <c r="S9" s="48">
        <v>-500</v>
      </c>
      <c r="T9" s="21">
        <f t="shared" si="4"/>
        <v>27800</v>
      </c>
      <c r="U9" s="53">
        <f>IF($J9="","",ROUND(($J9-$J$3)/1000,1)+(_xlfn.RANK.AVG($J9,($J9,$O9,$T9),1)-2)*10)</f>
        <v>2.7</v>
      </c>
      <c r="V9" s="54">
        <f>IF($O9="","",ROUND(($O9-$O$3)/1000,1)+(_xlfn.RANK.AVG($O9,($J9,$O9,$T9),1)-2)*10)</f>
        <v>14.5</v>
      </c>
      <c r="W9" s="55">
        <f>IF($T9="","",ROUND(($T9-$T$3)/1000,1)+(_xlfn.RANK.AVG($T9,($J9,$O9,$T9),1)-2)*10)</f>
        <v>-17.2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199</v>
      </c>
      <c r="AZ9" s="40" t="s">
        <v>200</v>
      </c>
      <c r="BA9" s="41" t="s">
        <v>82</v>
      </c>
      <c r="BB9" s="41" t="s">
        <v>207</v>
      </c>
      <c r="BC9" s="41" t="s">
        <v>79</v>
      </c>
      <c r="BD9" s="41" t="s">
        <v>80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2</v>
      </c>
      <c r="C10" s="18">
        <f t="shared" si="6"/>
        <v>2</v>
      </c>
      <c r="D10" s="18">
        <f t="shared" si="1"/>
        <v>0</v>
      </c>
      <c r="E10" s="4" t="s">
        <v>193</v>
      </c>
      <c r="F10" s="8" t="s">
        <v>202</v>
      </c>
      <c r="G10" s="9">
        <v>8000</v>
      </c>
      <c r="H10" s="9">
        <v>1000</v>
      </c>
      <c r="I10" s="48">
        <v>2000</v>
      </c>
      <c r="J10" s="21">
        <f t="shared" si="2"/>
        <v>48700</v>
      </c>
      <c r="K10" s="8" t="s">
        <v>203</v>
      </c>
      <c r="L10" s="9">
        <v>-8000</v>
      </c>
      <c r="M10" s="9"/>
      <c r="N10" s="48">
        <v>-2000</v>
      </c>
      <c r="O10" s="21">
        <f t="shared" si="3"/>
        <v>29500</v>
      </c>
      <c r="P10" s="8"/>
      <c r="Q10" s="9"/>
      <c r="R10" s="9">
        <v>-1000</v>
      </c>
      <c r="S10" s="48"/>
      <c r="T10" s="21">
        <f t="shared" si="4"/>
        <v>26800</v>
      </c>
      <c r="U10" s="53">
        <f>IF($J10="","",ROUND(($J10-$J$3)/1000,1)+(_xlfn.RANK.AVG($J10,($J10,$O10,$T10),1)-2)*10)</f>
        <v>23.7</v>
      </c>
      <c r="V10" s="54">
        <f>IF($O10="","",ROUND(($O10-$O$3)/1000,1)+(_xlfn.RANK.AVG($O10,($J10,$O10,$T10),1)-2)*10)</f>
        <v>-5.5</v>
      </c>
      <c r="W10" s="55">
        <f>IF($T10="","",ROUND(($T10-$T$3)/1000,1)+(_xlfn.RANK.AVG($T10,($J10,$O10,$T10),1)-2)*10)</f>
        <v>-18.2</v>
      </c>
      <c r="Y10" s="8"/>
      <c r="Z10" s="34"/>
      <c r="AA10" s="26"/>
      <c r="AB10" s="26">
        <v>1</v>
      </c>
      <c r="AC10" s="26">
        <v>4</v>
      </c>
      <c r="AD10" s="30">
        <v>40</v>
      </c>
      <c r="AE10" s="40" t="s">
        <v>86</v>
      </c>
      <c r="AF10" s="41" t="s">
        <v>104</v>
      </c>
      <c r="AG10" s="41" t="s">
        <v>201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195</v>
      </c>
      <c r="F11" s="8" t="s">
        <v>198</v>
      </c>
      <c r="G11" s="9">
        <v>-6000</v>
      </c>
      <c r="H11" s="9"/>
      <c r="I11" s="48">
        <v>0</v>
      </c>
      <c r="J11" s="21">
        <f t="shared" si="2"/>
        <v>42700</v>
      </c>
      <c r="K11" s="8" t="s">
        <v>198</v>
      </c>
      <c r="L11" s="9">
        <v>-6000</v>
      </c>
      <c r="M11" s="9"/>
      <c r="N11" s="48">
        <v>0</v>
      </c>
      <c r="O11" s="21">
        <f t="shared" si="3"/>
        <v>23500</v>
      </c>
      <c r="P11" s="8" t="s">
        <v>197</v>
      </c>
      <c r="Q11" s="9">
        <v>12000</v>
      </c>
      <c r="R11" s="9"/>
      <c r="S11" s="48">
        <v>0</v>
      </c>
      <c r="T11" s="21">
        <f t="shared" si="4"/>
        <v>38800</v>
      </c>
      <c r="U11" s="53">
        <f>IF($J11="","",ROUND(($J11-$J$3)/1000,1)+(_xlfn.RANK.AVG($J11,($J11,$O11,$T11),1)-2)*10)</f>
        <v>17.7</v>
      </c>
      <c r="V11" s="54">
        <f>IF($O11="","",ROUND(($O11-$O$3)/1000,1)+(_xlfn.RANK.AVG($O11,($J11,$O11,$T11),1)-2)*10)</f>
        <v>-21.5</v>
      </c>
      <c r="W11" s="55">
        <f>IF($T11="","",ROUND(($T11-$T$3)/1000,1)+(_xlfn.RANK.AVG($T11,($J11,$O11,$T11),1)-2)*10)</f>
        <v>3.8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5</v>
      </c>
      <c r="BT11" s="30" t="s">
        <v>199</v>
      </c>
      <c r="BU11" s="40" t="s">
        <v>92</v>
      </c>
      <c r="BV11" s="41" t="s">
        <v>79</v>
      </c>
      <c r="BW11" s="41" t="s">
        <v>79</v>
      </c>
      <c r="BX11" s="41" t="s">
        <v>82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東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">
        <v>195</v>
      </c>
      <c r="F12" s="8"/>
      <c r="G12" s="9"/>
      <c r="H12" s="9"/>
      <c r="I12" s="48"/>
      <c r="J12" s="21">
        <f t="shared" si="2"/>
        <v>42700</v>
      </c>
      <c r="K12" s="8" t="s">
        <v>203</v>
      </c>
      <c r="L12" s="9">
        <v>-12000</v>
      </c>
      <c r="M12" s="9"/>
      <c r="N12" s="48">
        <v>-1000</v>
      </c>
      <c r="O12" s="21">
        <f t="shared" si="3"/>
        <v>10500</v>
      </c>
      <c r="P12" s="8" t="s">
        <v>202</v>
      </c>
      <c r="Q12" s="9">
        <v>12000</v>
      </c>
      <c r="R12" s="9"/>
      <c r="S12" s="48">
        <v>1000</v>
      </c>
      <c r="T12" s="21">
        <f t="shared" si="4"/>
        <v>51800</v>
      </c>
      <c r="U12" s="53">
        <f>IF($J12="","",ROUND(($J12-$J$3)/1000,1)+(_xlfn.RANK.AVG($J12,($J12,$O12,$T12),1)-2)*10)</f>
        <v>7.7</v>
      </c>
      <c r="V12" s="54">
        <f>IF($O12="","",ROUND(($O12-$O$3)/1000,1)+(_xlfn.RANK.AVG($O12,($J12,$O12,$T12),1)-2)*10)</f>
        <v>-34.5</v>
      </c>
      <c r="W12" s="55">
        <f>IF($T12="","",ROUND(($T12-$T$3)/1000,1)+(_xlfn.RANK.AVG($T12,($J12,$O12,$T12),1)-2)*10)</f>
        <v>26.8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4</v>
      </c>
      <c r="BT12" s="30">
        <v>40</v>
      </c>
      <c r="BU12" s="40" t="s">
        <v>86</v>
      </c>
      <c r="BV12" s="41" t="s">
        <v>104</v>
      </c>
      <c r="BW12" s="41" t="s">
        <v>86</v>
      </c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東</v>
      </c>
      <c r="B13" s="18">
        <f t="shared" si="5"/>
        <v>3</v>
      </c>
      <c r="C13" s="18">
        <f t="shared" si="6"/>
        <v>2</v>
      </c>
      <c r="D13" s="18">
        <f t="shared" si="1"/>
        <v>0</v>
      </c>
      <c r="E13" s="4" t="s">
        <v>195</v>
      </c>
      <c r="F13" s="8" t="s">
        <v>197</v>
      </c>
      <c r="G13" s="9">
        <v>8000</v>
      </c>
      <c r="H13" s="9"/>
      <c r="I13" s="48">
        <v>2000</v>
      </c>
      <c r="J13" s="21">
        <f t="shared" si="2"/>
        <v>52700</v>
      </c>
      <c r="K13" s="8" t="s">
        <v>198</v>
      </c>
      <c r="L13" s="9">
        <v>-3000</v>
      </c>
      <c r="M13" s="9"/>
      <c r="N13" s="48">
        <v>-1000</v>
      </c>
      <c r="O13" s="21">
        <f t="shared" si="3"/>
        <v>6500</v>
      </c>
      <c r="P13" s="8" t="s">
        <v>198</v>
      </c>
      <c r="Q13" s="9">
        <v>-5000</v>
      </c>
      <c r="R13" s="9"/>
      <c r="S13" s="48">
        <v>-1000</v>
      </c>
      <c r="T13" s="21">
        <f t="shared" si="4"/>
        <v>45800</v>
      </c>
      <c r="U13" s="53">
        <f>IF($J13="","",ROUND(($J13-$J$3)/1000,1)+(_xlfn.RANK.AVG($J13,($J13,$O13,$T13),1)-2)*10)</f>
        <v>27.7</v>
      </c>
      <c r="V13" s="54">
        <f>IF($O13="","",ROUND(($O13-$O$3)/1000,1)+(_xlfn.RANK.AVG($O13,($J13,$O13,$T13),1)-2)*10)</f>
        <v>-38.5</v>
      </c>
      <c r="W13" s="55">
        <f>IF($T13="","",ROUND(($T13-$T$3)/1000,1)+(_xlfn.RANK.AVG($T13,($J13,$O13,$T13),1)-2)*10)</f>
        <v>10.8</v>
      </c>
      <c r="Y13" s="8"/>
      <c r="Z13" s="34"/>
      <c r="AA13" s="26">
        <v>1</v>
      </c>
      <c r="AB13" s="26"/>
      <c r="AC13" s="26">
        <v>5</v>
      </c>
      <c r="AD13" s="30" t="s">
        <v>199</v>
      </c>
      <c r="AE13" s="40" t="s">
        <v>200</v>
      </c>
      <c r="AF13" s="41" t="s">
        <v>82</v>
      </c>
      <c r="AG13" s="41" t="s">
        <v>92</v>
      </c>
      <c r="AH13" s="41" t="s">
        <v>79</v>
      </c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1</v>
      </c>
      <c r="C14" s="18">
        <f t="shared" si="6"/>
        <v>0</v>
      </c>
      <c r="D14" s="18">
        <f t="shared" si="1"/>
        <v>0</v>
      </c>
      <c r="E14" s="4" t="s">
        <v>191</v>
      </c>
      <c r="F14" s="8"/>
      <c r="G14" s="9"/>
      <c r="H14" s="9"/>
      <c r="I14" s="48"/>
      <c r="J14" s="21">
        <f t="shared" si="2"/>
        <v>52700</v>
      </c>
      <c r="K14" s="8" t="s">
        <v>203</v>
      </c>
      <c r="L14" s="9">
        <v>-8000</v>
      </c>
      <c r="M14" s="9"/>
      <c r="N14" s="48">
        <v>0</v>
      </c>
      <c r="O14" s="21">
        <f t="shared" si="3"/>
        <v>-1500</v>
      </c>
      <c r="P14" s="8" t="s">
        <v>202</v>
      </c>
      <c r="Q14" s="9">
        <v>8000</v>
      </c>
      <c r="R14" s="9"/>
      <c r="S14" s="48">
        <v>0</v>
      </c>
      <c r="T14" s="21">
        <f t="shared" si="4"/>
        <v>53800</v>
      </c>
      <c r="U14" s="53">
        <f>IF($J14="","",ROUND(($J14-$J$3)/1000,1)+(_xlfn.RANK.AVG($J14,($J14,$O14,$T14),1)-2)*10)</f>
        <v>17.7</v>
      </c>
      <c r="V14" s="54">
        <f>IF($O14="","",ROUND(($O14-$O$3)/1000,1)+(_xlfn.RANK.AVG($O14,($J14,$O14,$T14),1)-2)*10)</f>
        <v>-46.5</v>
      </c>
      <c r="W14" s="55">
        <f>IF($T14="","",ROUND(($T14-$T$3)/1000,1)+(_xlfn.RANK.AVG($T14,($J14,$O14,$T14),1)-2)*10)</f>
        <v>28.8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>
        <v>5</v>
      </c>
      <c r="BT14" s="30" t="s">
        <v>199</v>
      </c>
      <c r="BU14" s="40" t="s">
        <v>86</v>
      </c>
      <c r="BV14" s="41" t="s">
        <v>86</v>
      </c>
      <c r="BW14" s="41" t="s">
        <v>79</v>
      </c>
      <c r="BX14" s="41" t="s">
        <v>201</v>
      </c>
      <c r="BY14" s="41" t="s">
        <v>201</v>
      </c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9B270934-3856-4CFF-9501-D1535AFE7C8B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D93F5-5FDA-419F-B688-83B02C4719B7}">
  <sheetPr codeName="Sheet11">
    <pageSetUpPr fitToPage="1"/>
  </sheetPr>
  <dimension ref="A1:CI30"/>
  <sheetViews>
    <sheetView topLeftCell="D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209</v>
      </c>
      <c r="G1" s="78"/>
      <c r="H1" s="78"/>
      <c r="I1" s="79"/>
      <c r="J1" s="80"/>
      <c r="K1" s="77" t="s">
        <v>211</v>
      </c>
      <c r="L1" s="78"/>
      <c r="M1" s="78"/>
      <c r="N1" s="79"/>
      <c r="O1" s="80"/>
      <c r="P1" s="77" t="s">
        <v>196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れんたろう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ただ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れんたろう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208</v>
      </c>
      <c r="F4" s="8" t="s">
        <v>202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 t="s">
        <v>203</v>
      </c>
      <c r="L4" s="9">
        <v>-12000</v>
      </c>
      <c r="M4" s="9"/>
      <c r="N4" s="48">
        <v>0</v>
      </c>
      <c r="O4" s="21">
        <f>IF(COUNTA($F4,$K4,$P4)&gt;0,O3+SUM(L4:N4),"")</f>
        <v>23000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22</v>
      </c>
      <c r="V4" s="54">
        <f>IF($O4="","",ROUND(($O4-$O$3)/1000,1)+(_xlfn.RANK.AVG($O4,($J4,$O4,$T4),1)-2)*10)</f>
        <v>-22</v>
      </c>
      <c r="W4" s="55">
        <f>IF($T4="","",ROUND(($T4-$T$3)/1000,1)+(_xlfn.RANK.AVG($T4,($J4,$O4,$T4),1)-2)*10)</f>
        <v>0</v>
      </c>
      <c r="Y4" s="8"/>
      <c r="Z4" s="34"/>
      <c r="AA4" s="26"/>
      <c r="AB4" s="26">
        <v>1</v>
      </c>
      <c r="AC4" s="26">
        <v>5</v>
      </c>
      <c r="AD4" s="30" t="s">
        <v>199</v>
      </c>
      <c r="AE4" s="40" t="s">
        <v>86</v>
      </c>
      <c r="AF4" s="41" t="s">
        <v>104</v>
      </c>
      <c r="AG4" s="41" t="s">
        <v>79</v>
      </c>
      <c r="AH4" s="41" t="s">
        <v>86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208</v>
      </c>
      <c r="F5" s="8" t="s">
        <v>202</v>
      </c>
      <c r="G5" s="9">
        <v>2900</v>
      </c>
      <c r="H5" s="9"/>
      <c r="I5" s="48">
        <v>1000</v>
      </c>
      <c r="J5" s="21">
        <f t="shared" ref="J5:J30" si="2">IF(COUNTA($F5,$K5,$P5)&gt;0,J4+SUM(G5:I5),"")</f>
        <v>50900</v>
      </c>
      <c r="K5" s="8" t="s">
        <v>203</v>
      </c>
      <c r="L5" s="9">
        <v>-2900</v>
      </c>
      <c r="M5" s="9"/>
      <c r="N5" s="48">
        <v>-1000</v>
      </c>
      <c r="O5" s="21">
        <f t="shared" ref="O5:O30" si="3">IF(COUNTA($F5,$K5,$P5)&gt;0,O4+SUM(L5:N5),"")</f>
        <v>19100</v>
      </c>
      <c r="P5" s="8"/>
      <c r="Q5" s="9"/>
      <c r="R5" s="9"/>
      <c r="S5" s="48"/>
      <c r="T5" s="21">
        <f t="shared" ref="T5:T30" si="4">IF(COUNTA($F5,$K5,$P5)&gt;0,T4+SUM(Q5:S5),"")</f>
        <v>35000</v>
      </c>
      <c r="U5" s="53">
        <f>IF($J5="","",ROUND(($J5-$J$3)/1000,1)+(_xlfn.RANK.AVG($J5,($J5,$O5,$T5),1)-2)*10)</f>
        <v>25.9</v>
      </c>
      <c r="V5" s="54">
        <f>IF($O5="","",ROUND(($O5-$O$3)/1000,1)+(_xlfn.RANK.AVG($O5,($J5,$O5,$T5),1)-2)*10)</f>
        <v>-25.9</v>
      </c>
      <c r="W5" s="55">
        <f>IF($T5="","",ROUND(($T5-$T$3)/1000,1)+(_xlfn.RANK.AVG($T5,($J5,$O5,$T5),1)-2)*10)</f>
        <v>0</v>
      </c>
      <c r="Y5" s="8"/>
      <c r="Z5" s="34"/>
      <c r="AA5" s="26"/>
      <c r="AB5" s="26">
        <v>1</v>
      </c>
      <c r="AC5" s="26">
        <v>2</v>
      </c>
      <c r="AD5" s="30">
        <v>30</v>
      </c>
      <c r="AE5" s="40" t="s">
        <v>86</v>
      </c>
      <c r="AF5" s="41" t="s">
        <v>201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208</v>
      </c>
      <c r="F6" s="8" t="s">
        <v>203</v>
      </c>
      <c r="G6" s="9">
        <v>-2000</v>
      </c>
      <c r="H6" s="9"/>
      <c r="I6" s="48">
        <v>-2000</v>
      </c>
      <c r="J6" s="21">
        <f t="shared" si="2"/>
        <v>46900</v>
      </c>
      <c r="K6" s="8" t="s">
        <v>202</v>
      </c>
      <c r="L6" s="9">
        <v>2000</v>
      </c>
      <c r="M6" s="9"/>
      <c r="N6" s="48">
        <v>2000</v>
      </c>
      <c r="O6" s="21">
        <f t="shared" si="3"/>
        <v>23100</v>
      </c>
      <c r="P6" s="8"/>
      <c r="Q6" s="9"/>
      <c r="R6" s="9"/>
      <c r="S6" s="48"/>
      <c r="T6" s="21">
        <f t="shared" si="4"/>
        <v>35000</v>
      </c>
      <c r="U6" s="53">
        <f>IF($J6="","",ROUND(($J6-$J$3)/1000,1)+(_xlfn.RANK.AVG($J6,($J6,$O6,$T6),1)-2)*10)</f>
        <v>21.9</v>
      </c>
      <c r="V6" s="54">
        <f>IF($O6="","",ROUND(($O6-$O$3)/1000,1)+(_xlfn.RANK.AVG($O6,($J6,$O6,$T6),1)-2)*10)</f>
        <v>-21.9</v>
      </c>
      <c r="W6" s="55">
        <f>IF($T6="","",ROUND(($T6-$T$3)/1000,1)+(_xlfn.RANK.AVG($T6,($J6,$O6,$T6),1)-2)*10)</f>
        <v>0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2</v>
      </c>
      <c r="AY6" s="30">
        <v>30</v>
      </c>
      <c r="AZ6" s="40" t="s">
        <v>86</v>
      </c>
      <c r="BA6" s="41" t="s">
        <v>86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210</v>
      </c>
      <c r="F7" s="8" t="s">
        <v>206</v>
      </c>
      <c r="G7" s="9">
        <v>-3000</v>
      </c>
      <c r="H7" s="9"/>
      <c r="I7" s="48"/>
      <c r="J7" s="21">
        <f t="shared" si="2"/>
        <v>43900</v>
      </c>
      <c r="K7" s="8" t="s">
        <v>206</v>
      </c>
      <c r="L7" s="9">
        <v>1500</v>
      </c>
      <c r="M7" s="9"/>
      <c r="N7" s="48"/>
      <c r="O7" s="21">
        <f t="shared" si="3"/>
        <v>24600</v>
      </c>
      <c r="P7" s="8" t="s">
        <v>206</v>
      </c>
      <c r="Q7" s="9">
        <v>1500</v>
      </c>
      <c r="R7" s="9"/>
      <c r="S7" s="48"/>
      <c r="T7" s="21">
        <f t="shared" si="4"/>
        <v>36500</v>
      </c>
      <c r="U7" s="53">
        <f>IF($J7="","",ROUND(($J7-$J$3)/1000,1)+(_xlfn.RANK.AVG($J7,($J7,$O7,$T7),1)-2)*10)</f>
        <v>18.899999999999999</v>
      </c>
      <c r="V7" s="54">
        <f>IF($O7="","",ROUND(($O7-$O$3)/1000,1)+(_xlfn.RANK.AVG($O7,($J7,$O7,$T7),1)-2)*10)</f>
        <v>-20.399999999999999</v>
      </c>
      <c r="W7" s="55">
        <f>IF($T7="","",ROUND(($T7-$T$3)/1000,1)+(_xlfn.RANK.AVG($T7,($J7,$O7,$T7),1)-2)*10)</f>
        <v>1.5</v>
      </c>
      <c r="Y7" s="8" t="s">
        <v>205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204</v>
      </c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204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">
        <v>210</v>
      </c>
      <c r="F8" s="8" t="s">
        <v>197</v>
      </c>
      <c r="G8" s="9">
        <v>7700</v>
      </c>
      <c r="H8" s="9"/>
      <c r="I8" s="48">
        <v>1000</v>
      </c>
      <c r="J8" s="21">
        <f t="shared" si="2"/>
        <v>52600</v>
      </c>
      <c r="K8" s="8" t="s">
        <v>198</v>
      </c>
      <c r="L8" s="9">
        <v>-4800</v>
      </c>
      <c r="M8" s="9"/>
      <c r="N8" s="48">
        <v>-500</v>
      </c>
      <c r="O8" s="21">
        <f t="shared" si="3"/>
        <v>19300</v>
      </c>
      <c r="P8" s="8" t="s">
        <v>198</v>
      </c>
      <c r="Q8" s="9">
        <v>-2900</v>
      </c>
      <c r="R8" s="9"/>
      <c r="S8" s="48">
        <v>-500</v>
      </c>
      <c r="T8" s="21">
        <f t="shared" si="4"/>
        <v>33100</v>
      </c>
      <c r="U8" s="53">
        <f>IF($J8="","",ROUND(($J8-$J$3)/1000,1)+(_xlfn.RANK.AVG($J8,($J8,$O8,$T8),1)-2)*10)</f>
        <v>27.6</v>
      </c>
      <c r="V8" s="54">
        <f>IF($O8="","",ROUND(($O8-$O$3)/1000,1)+(_xlfn.RANK.AVG($O8,($J8,$O8,$T8),1)-2)*10)</f>
        <v>-25.7</v>
      </c>
      <c r="W8" s="55">
        <f>IF($T8="","",ROUND(($T8-$T$3)/1000,1)+(_xlfn.RANK.AVG($T8,($J8,$O8,$T8),1)-2)*10)</f>
        <v>-1.9</v>
      </c>
      <c r="Y8" s="8"/>
      <c r="Z8" s="34"/>
      <c r="AA8" s="26">
        <v>1</v>
      </c>
      <c r="AB8" s="26"/>
      <c r="AC8" s="26">
        <v>4</v>
      </c>
      <c r="AD8" s="30">
        <v>30</v>
      </c>
      <c r="AE8" s="40" t="s">
        <v>200</v>
      </c>
      <c r="AF8" s="41" t="s">
        <v>82</v>
      </c>
      <c r="AG8" s="41" t="s">
        <v>79</v>
      </c>
      <c r="AH8" s="41" t="s">
        <v>80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197</v>
      </c>
      <c r="G9" s="9">
        <v>5300</v>
      </c>
      <c r="H9" s="9"/>
      <c r="I9" s="48">
        <v>0</v>
      </c>
      <c r="J9" s="21">
        <f t="shared" si="2"/>
        <v>57900</v>
      </c>
      <c r="K9" s="8" t="s">
        <v>198</v>
      </c>
      <c r="L9" s="9">
        <v>-2000</v>
      </c>
      <c r="M9" s="9"/>
      <c r="N9" s="48">
        <v>0</v>
      </c>
      <c r="O9" s="21">
        <f t="shared" si="3"/>
        <v>17300</v>
      </c>
      <c r="P9" s="8" t="s">
        <v>198</v>
      </c>
      <c r="Q9" s="9">
        <v>-3300</v>
      </c>
      <c r="R9" s="9"/>
      <c r="S9" s="48">
        <v>0</v>
      </c>
      <c r="T9" s="21">
        <f t="shared" si="4"/>
        <v>29800</v>
      </c>
      <c r="U9" s="53">
        <f>IF($J9="","",ROUND(($J9-$J$3)/1000,1)+(_xlfn.RANK.AVG($J9,($J9,$O9,$T9),1)-2)*10)</f>
        <v>32.9</v>
      </c>
      <c r="V9" s="54">
        <f>IF($O9="","",ROUND(($O9-$O$3)/1000,1)+(_xlfn.RANK.AVG($O9,($J9,$O9,$T9),1)-2)*10)</f>
        <v>-27.7</v>
      </c>
      <c r="W9" s="55">
        <f>IF($T9="","",ROUND(($T9-$T$3)/1000,1)+(_xlfn.RANK.AVG($T9,($J9,$O9,$T9),1)-2)*10)</f>
        <v>-5.2</v>
      </c>
      <c r="Y9" s="8"/>
      <c r="Z9" s="34"/>
      <c r="AA9" s="26">
        <v>1</v>
      </c>
      <c r="AB9" s="26"/>
      <c r="AC9" s="26">
        <v>3</v>
      </c>
      <c r="AD9" s="30">
        <v>40</v>
      </c>
      <c r="AE9" s="40" t="s">
        <v>200</v>
      </c>
      <c r="AF9" s="41" t="s">
        <v>82</v>
      </c>
      <c r="AG9" s="41" t="s">
        <v>201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208</v>
      </c>
      <c r="F10" s="8"/>
      <c r="G10" s="9"/>
      <c r="H10" s="9"/>
      <c r="I10" s="48"/>
      <c r="J10" s="21">
        <f t="shared" si="2"/>
        <v>57900</v>
      </c>
      <c r="K10" s="8" t="s">
        <v>203</v>
      </c>
      <c r="L10" s="9">
        <v>-8000</v>
      </c>
      <c r="M10" s="9"/>
      <c r="N10" s="48">
        <v>0</v>
      </c>
      <c r="O10" s="21">
        <f t="shared" si="3"/>
        <v>9300</v>
      </c>
      <c r="P10" s="8" t="s">
        <v>202</v>
      </c>
      <c r="Q10" s="9">
        <v>8000</v>
      </c>
      <c r="R10" s="9"/>
      <c r="S10" s="48">
        <v>0</v>
      </c>
      <c r="T10" s="21">
        <f t="shared" si="4"/>
        <v>37800</v>
      </c>
      <c r="U10" s="53">
        <f>IF($J10="","",ROUND(($J10-$J$3)/1000,1)+(_xlfn.RANK.AVG($J10,($J10,$O10,$T10),1)-2)*10)</f>
        <v>32.9</v>
      </c>
      <c r="V10" s="54">
        <f>IF($O10="","",ROUND(($O10-$O$3)/1000,1)+(_xlfn.RANK.AVG($O10,($J10,$O10,$T10),1)-2)*10)</f>
        <v>-35.700000000000003</v>
      </c>
      <c r="W10" s="55">
        <f>IF($T10="","",ROUND(($T10-$T$3)/1000,1)+(_xlfn.RANK.AVG($T10,($J10,$O10,$T10),1)-2)*10)</f>
        <v>2.8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5</v>
      </c>
      <c r="BT10" s="30" t="s">
        <v>199</v>
      </c>
      <c r="BU10" s="40" t="s">
        <v>200</v>
      </c>
      <c r="BV10" s="41" t="s">
        <v>207</v>
      </c>
      <c r="BW10" s="41" t="s">
        <v>104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210</v>
      </c>
      <c r="F11" s="8" t="s">
        <v>202</v>
      </c>
      <c r="G11" s="9">
        <v>8000</v>
      </c>
      <c r="H11" s="9"/>
      <c r="I11" s="48">
        <v>0</v>
      </c>
      <c r="J11" s="21">
        <f t="shared" si="2"/>
        <v>65900</v>
      </c>
      <c r="K11" s="8" t="s">
        <v>203</v>
      </c>
      <c r="L11" s="9">
        <v>-8000</v>
      </c>
      <c r="M11" s="9"/>
      <c r="N11" s="48">
        <v>0</v>
      </c>
      <c r="O11" s="21">
        <f t="shared" si="3"/>
        <v>1300</v>
      </c>
      <c r="P11" s="8"/>
      <c r="Q11" s="9"/>
      <c r="R11" s="9"/>
      <c r="S11" s="48"/>
      <c r="T11" s="21">
        <f t="shared" si="4"/>
        <v>37800</v>
      </c>
      <c r="U11" s="53">
        <f>IF($J11="","",ROUND(($J11-$J$3)/1000,1)+(_xlfn.RANK.AVG($J11,($J11,$O11,$T11),1)-2)*10)</f>
        <v>40.9</v>
      </c>
      <c r="V11" s="54">
        <f>IF($O11="","",ROUND(($O11-$O$3)/1000,1)+(_xlfn.RANK.AVG($O11,($J11,$O11,$T11),1)-2)*10)</f>
        <v>-43.7</v>
      </c>
      <c r="W11" s="55">
        <f>IF($T11="","",ROUND(($T11-$T$3)/1000,1)+(_xlfn.RANK.AVG($T11,($J11,$O11,$T11),1)-2)*10)</f>
        <v>2.8</v>
      </c>
      <c r="Y11" s="8"/>
      <c r="Z11" s="34"/>
      <c r="AA11" s="26">
        <v>1</v>
      </c>
      <c r="AB11" s="26"/>
      <c r="AC11" s="26">
        <v>4</v>
      </c>
      <c r="AD11" s="30">
        <v>40</v>
      </c>
      <c r="AE11" s="40" t="s">
        <v>200</v>
      </c>
      <c r="AF11" s="41" t="s">
        <v>79</v>
      </c>
      <c r="AG11" s="41" t="s">
        <v>79</v>
      </c>
      <c r="AH11" s="41" t="s">
        <v>79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195</v>
      </c>
      <c r="F12" s="8" t="s">
        <v>202</v>
      </c>
      <c r="G12" s="9">
        <v>2000</v>
      </c>
      <c r="H12" s="9"/>
      <c r="I12" s="48">
        <v>0</v>
      </c>
      <c r="J12" s="21">
        <f t="shared" si="2"/>
        <v>67900</v>
      </c>
      <c r="K12" s="8"/>
      <c r="L12" s="9"/>
      <c r="M12" s="9"/>
      <c r="N12" s="48"/>
      <c r="O12" s="21">
        <f t="shared" si="3"/>
        <v>1300</v>
      </c>
      <c r="P12" s="8" t="s">
        <v>203</v>
      </c>
      <c r="Q12" s="9">
        <v>-2000</v>
      </c>
      <c r="R12" s="9"/>
      <c r="S12" s="48">
        <v>0</v>
      </c>
      <c r="T12" s="21">
        <f t="shared" si="4"/>
        <v>35800</v>
      </c>
      <c r="U12" s="53">
        <f>IF($J12="","",ROUND(($J12-$J$3)/1000,1)+(_xlfn.RANK.AVG($J12,($J12,$O12,$T12),1)-2)*10)</f>
        <v>42.9</v>
      </c>
      <c r="V12" s="54">
        <f>IF($O12="","",ROUND(($O12-$O$3)/1000,1)+(_xlfn.RANK.AVG($O12,($J12,$O12,$T12),1)-2)*10)</f>
        <v>-43.7</v>
      </c>
      <c r="W12" s="55">
        <f>IF($T12="","",ROUND(($T12-$T$3)/1000,1)+(_xlfn.RANK.AVG($T12,($J12,$O12,$T12),1)-2)*10)</f>
        <v>0.8</v>
      </c>
      <c r="Y12" s="8"/>
      <c r="Z12" s="34"/>
      <c r="AA12" s="26"/>
      <c r="AB12" s="26">
        <v>1</v>
      </c>
      <c r="AC12" s="26">
        <v>2</v>
      </c>
      <c r="AD12" s="30">
        <v>30</v>
      </c>
      <c r="AE12" s="40" t="s">
        <v>86</v>
      </c>
      <c r="AF12" s="41" t="s">
        <v>201</v>
      </c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qref="F1:T1" xr:uid="{879570D9-BABF-4CDA-A2CD-E7A2E9C9AEC6}">
      <formula1>"たかの,だいち,ただ,りくと,れんたろう,まっつん,のり,ぱぱ,ほたに,"</formula1>
    </dataValidation>
    <dataValidation type="list" showInputMessage="1" showErrorMessage="1" sqref="K4:K30 P4:P30 F4:F30" xr:uid="{D502C053-7E2A-48BC-91AC-3533CBEB438D}">
      <formula1>"ロン,ツモ,放銃,ツモ支払,流局,チョンボ"</formula1>
    </dataValidation>
    <dataValidation type="list" allowBlank="1" showInputMessage="1" showErrorMessage="1" sqref="E4:E30" xr:uid="{D19CB4A0-FC64-48CB-BBF0-A74EEF8F8D43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D5C2F-661E-485C-BB6F-10EC1A2EE505}">
  <sheetPr codeName="Sheet12">
    <pageSetUpPr fitToPage="1"/>
  </sheetPr>
  <dimension ref="A1:CI30"/>
  <sheetViews>
    <sheetView topLeftCell="D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209</v>
      </c>
      <c r="G1" s="78"/>
      <c r="H1" s="78"/>
      <c r="I1" s="79"/>
      <c r="J1" s="80"/>
      <c r="K1" s="77" t="s">
        <v>211</v>
      </c>
      <c r="L1" s="78"/>
      <c r="M1" s="78"/>
      <c r="N1" s="79"/>
      <c r="O1" s="80"/>
      <c r="P1" s="77" t="s">
        <v>196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れんたろう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ただ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れんたろう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210</v>
      </c>
      <c r="F4" s="8" t="s">
        <v>203</v>
      </c>
      <c r="G4" s="9">
        <v>-48000</v>
      </c>
      <c r="H4" s="9"/>
      <c r="I4" s="48">
        <v>0</v>
      </c>
      <c r="J4" s="21">
        <f>IF(COUNTA($F4,$K4,$P4)&gt;0,J3+SUM(G4:I4),"")</f>
        <v>-13000</v>
      </c>
      <c r="K4" s="8" t="s">
        <v>202</v>
      </c>
      <c r="L4" s="9">
        <v>48000</v>
      </c>
      <c r="M4" s="9"/>
      <c r="N4" s="48">
        <v>0</v>
      </c>
      <c r="O4" s="21">
        <f>IF(COUNTA($F4,$K4,$P4)&gt;0,O3+SUM(L4:N4),"")</f>
        <v>83000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-58</v>
      </c>
      <c r="V4" s="54">
        <f>IF($O4="","",ROUND(($O4-$O$3)/1000,1)+(_xlfn.RANK.AVG($O4,($J4,$O4,$T4),1)-2)*10)</f>
        <v>58</v>
      </c>
      <c r="W4" s="55">
        <f>IF($T4="","",ROUND(($T4-$T$3)/1000,1)+(_xlfn.RANK.AVG($T4,($J4,$O4,$T4),1)-2)*10)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13</v>
      </c>
      <c r="AY4" s="30" t="s">
        <v>199</v>
      </c>
      <c r="AZ4" s="40" t="s">
        <v>107</v>
      </c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IF($J5="","",ROUND(($J5-$J$3)/1000,1)+(_xlfn.RANK.AVG($J5,($J5,$O5,$T5),1)-2)*10)</f>
        <v/>
      </c>
      <c r="V5" s="54" t="str">
        <f>IF($O5="","",ROUND(($O5-$O$3)/1000,1)+(_xlfn.RANK.AVG($O5,($J5,$O5,$T5),1)-2)*10)</f>
        <v/>
      </c>
      <c r="W5" s="55" t="str">
        <f>IF($T5="","",ROUND(($T5-$T$3)/1000,1)+(_xlfn.RANK.AVG($T5,($J5,$O5,$T5),1)-2)*10)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IF($J6="","",ROUND(($J6-$J$3)/1000,1)+(_xlfn.RANK.AVG($J6,($J6,$O6,$T6),1)-2)*10)</f>
        <v/>
      </c>
      <c r="V6" s="54" t="str">
        <f>IF($O6="","",ROUND(($O6-$O$3)/1000,1)+(_xlfn.RANK.AVG($O6,($J6,$O6,$T6),1)-2)*10)</f>
        <v/>
      </c>
      <c r="W6" s="55" t="str">
        <f>IF($T6="","",ROUND(($T6-$T$3)/1000,1)+(_xlfn.RANK.AVG($T6,($J6,$O6,$T6),1)-2)*10)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IF($J7="","",ROUND(($J7-$J$3)/1000,1)+(_xlfn.RANK.AVG($J7,($J7,$O7,$T7),1)-2)*10)</f>
        <v/>
      </c>
      <c r="V7" s="54" t="str">
        <f>IF($O7="","",ROUND(($O7-$O$3)/1000,1)+(_xlfn.RANK.AVG($O7,($J7,$O7,$T7),1)-2)*10)</f>
        <v/>
      </c>
      <c r="W7" s="55" t="str">
        <f>IF($T7="","",ROUND(($T7-$T$3)/1000,1)+(_xlfn.RANK.AVG($T7,($J7,$O7,$T7),1)-2)*10)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28711262-B932-480F-8314-FD35F83F90AA}">
      <formula1>$U$2:$W$2</formula1>
    </dataValidation>
    <dataValidation type="list" showInputMessage="1" showErrorMessage="1" sqref="K4:K30 P4:P30 F4:F30" xr:uid="{C2C7D7CB-987D-418A-8063-A9908F9CD02A}">
      <formula1>"ロン,ツモ,放銃,ツモ支払,流局,チョンボ"</formula1>
    </dataValidation>
    <dataValidation type="list" allowBlank="1" showInputMessage="1" sqref="F1:T1" xr:uid="{A2C0C5DB-81B2-48F9-96F4-F0C9568168AF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24162-2046-4162-9EB5-81EDE18317DB}">
  <sheetPr codeName="Sheet13">
    <pageSetUpPr fitToPage="1"/>
  </sheetPr>
  <dimension ref="A1:CI30"/>
  <sheetViews>
    <sheetView topLeftCell="D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209</v>
      </c>
      <c r="G1" s="78"/>
      <c r="H1" s="78"/>
      <c r="I1" s="79"/>
      <c r="J1" s="80"/>
      <c r="K1" s="77" t="s">
        <v>211</v>
      </c>
      <c r="L1" s="78"/>
      <c r="M1" s="78"/>
      <c r="N1" s="79"/>
      <c r="O1" s="80"/>
      <c r="P1" s="77" t="s">
        <v>196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れんたろう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ただ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れんたろう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198</v>
      </c>
      <c r="G4" s="9">
        <v>-4500</v>
      </c>
      <c r="H4" s="9"/>
      <c r="I4" s="48">
        <v>0</v>
      </c>
      <c r="J4" s="21">
        <f>IF(COUNTA($F4,$K4,$P4)&gt;0,J3+SUM(G4:I4),"")</f>
        <v>30500</v>
      </c>
      <c r="K4" s="8" t="s">
        <v>197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198</v>
      </c>
      <c r="Q4" s="9">
        <v>-7500</v>
      </c>
      <c r="R4" s="9"/>
      <c r="S4" s="48">
        <v>0</v>
      </c>
      <c r="T4" s="21">
        <f>IF(COUNTA($F4,$K4,$P4)&gt;0,T3+SUM(Q4:S4),"")</f>
        <v>27500</v>
      </c>
      <c r="U4" s="53">
        <f>IF($J4="","",ROUND(($J4-$J$3)/1000,1)+(_xlfn.RANK.AVG($J4,($J4,$O4,$T4),1)-2)*10)</f>
        <v>-4.5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-17.5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6</v>
      </c>
      <c r="AY4" s="30" t="s">
        <v>199</v>
      </c>
      <c r="AZ4" s="40" t="s">
        <v>86</v>
      </c>
      <c r="BA4" s="41" t="s">
        <v>86</v>
      </c>
      <c r="BB4" s="41" t="s">
        <v>104</v>
      </c>
      <c r="BC4" s="41" t="s">
        <v>98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208</v>
      </c>
      <c r="F5" s="8" t="s">
        <v>203</v>
      </c>
      <c r="G5" s="9">
        <v>-3900</v>
      </c>
      <c r="H5" s="9">
        <v>-1000</v>
      </c>
      <c r="I5" s="48">
        <v>0</v>
      </c>
      <c r="J5" s="21">
        <f t="shared" ref="J5:J30" si="2">IF(COUNTA($F5,$K5,$P5)&gt;0,J4+SUM(G5:I5),"")</f>
        <v>25600</v>
      </c>
      <c r="K5" s="8"/>
      <c r="L5" s="9"/>
      <c r="M5" s="9"/>
      <c r="N5" s="48"/>
      <c r="O5" s="21">
        <f t="shared" ref="O5:O30" si="3">IF(COUNTA($F5,$K5,$P5)&gt;0,O4+SUM(L5:N5),"")</f>
        <v>47000</v>
      </c>
      <c r="P5" s="8" t="s">
        <v>202</v>
      </c>
      <c r="Q5" s="9">
        <v>3900</v>
      </c>
      <c r="R5" s="9">
        <v>1000</v>
      </c>
      <c r="S5" s="48">
        <v>0</v>
      </c>
      <c r="T5" s="21">
        <f t="shared" ref="T5:T30" si="4">IF(COUNTA($F5,$K5,$P5)&gt;0,T4+SUM(Q5:S5),"")</f>
        <v>32400</v>
      </c>
      <c r="U5" s="53">
        <f>IF($J5="","",ROUND(($J5-$J$3)/1000,1)+(_xlfn.RANK.AVG($J5,($J5,$O5,$T5),1)-2)*10)</f>
        <v>-19.399999999999999</v>
      </c>
      <c r="V5" s="54">
        <f>IF($O5="","",ROUND(($O5-$O$3)/1000,1)+(_xlfn.RANK.AVG($O5,($J5,$O5,$T5),1)-2)*10)</f>
        <v>22</v>
      </c>
      <c r="W5" s="55">
        <f>IF($T5="","",ROUND(($T5-$T$3)/1000,1)+(_xlfn.RANK.AVG($T5,($J5,$O5,$T5),1)-2)*10)</f>
        <v>-2.6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3</v>
      </c>
      <c r="BT5" s="30">
        <v>30</v>
      </c>
      <c r="BU5" s="40" t="s">
        <v>86</v>
      </c>
      <c r="BV5" s="41" t="s">
        <v>86</v>
      </c>
      <c r="BW5" s="41" t="s">
        <v>93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210</v>
      </c>
      <c r="F6" s="8" t="s">
        <v>198</v>
      </c>
      <c r="G6" s="9">
        <v>-4500</v>
      </c>
      <c r="H6" s="9"/>
      <c r="I6" s="48">
        <v>0</v>
      </c>
      <c r="J6" s="21">
        <f t="shared" si="2"/>
        <v>21100</v>
      </c>
      <c r="K6" s="8" t="s">
        <v>198</v>
      </c>
      <c r="L6" s="9">
        <v>-7500</v>
      </c>
      <c r="M6" s="9"/>
      <c r="N6" s="48">
        <v>0</v>
      </c>
      <c r="O6" s="21">
        <f t="shared" si="3"/>
        <v>39500</v>
      </c>
      <c r="P6" s="8" t="s">
        <v>197</v>
      </c>
      <c r="Q6" s="9">
        <v>12000</v>
      </c>
      <c r="R6" s="9"/>
      <c r="S6" s="48">
        <v>0</v>
      </c>
      <c r="T6" s="21">
        <f t="shared" si="4"/>
        <v>44400</v>
      </c>
      <c r="U6" s="53">
        <f>IF($J6="","",ROUND(($J6-$J$3)/1000,1)+(_xlfn.RANK.AVG($J6,($J6,$O6,$T6),1)-2)*10)</f>
        <v>-23.9</v>
      </c>
      <c r="V6" s="54">
        <f>IF($O6="","",ROUND(($O6-$O$3)/1000,1)+(_xlfn.RANK.AVG($O6,($J6,$O6,$T6),1)-2)*10)</f>
        <v>4.5</v>
      </c>
      <c r="W6" s="55">
        <f>IF($T6="","",ROUND(($T6-$T$3)/1000,1)+(_xlfn.RANK.AVG($T6,($J6,$O6,$T6),1)-2)*10)</f>
        <v>19.399999999999999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6</v>
      </c>
      <c r="BT6" s="30" t="s">
        <v>199</v>
      </c>
      <c r="BU6" s="40" t="s">
        <v>200</v>
      </c>
      <c r="BV6" s="41" t="s">
        <v>82</v>
      </c>
      <c r="BW6" s="41" t="s">
        <v>79</v>
      </c>
      <c r="BX6" s="41" t="s">
        <v>79</v>
      </c>
      <c r="BY6" s="41" t="s">
        <v>79</v>
      </c>
      <c r="BZ6" s="41" t="s">
        <v>80</v>
      </c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195</v>
      </c>
      <c r="F7" s="8"/>
      <c r="G7" s="9"/>
      <c r="H7" s="9"/>
      <c r="I7" s="48"/>
      <c r="J7" s="21">
        <f t="shared" si="2"/>
        <v>21100</v>
      </c>
      <c r="K7" s="8" t="s">
        <v>202</v>
      </c>
      <c r="L7" s="9">
        <v>1000</v>
      </c>
      <c r="M7" s="9"/>
      <c r="N7" s="48">
        <v>0</v>
      </c>
      <c r="O7" s="21">
        <f t="shared" si="3"/>
        <v>40500</v>
      </c>
      <c r="P7" s="8" t="s">
        <v>203</v>
      </c>
      <c r="Q7" s="9">
        <v>-1000</v>
      </c>
      <c r="R7" s="9"/>
      <c r="S7" s="48">
        <v>0</v>
      </c>
      <c r="T7" s="21">
        <f t="shared" si="4"/>
        <v>43400</v>
      </c>
      <c r="U7" s="53">
        <f>IF($J7="","",ROUND(($J7-$J$3)/1000,1)+(_xlfn.RANK.AVG($J7,($J7,$O7,$T7),1)-2)*10)</f>
        <v>-23.9</v>
      </c>
      <c r="V7" s="54">
        <f>IF($O7="","",ROUND(($O7-$O$3)/1000,1)+(_xlfn.RANK.AVG($O7,($J7,$O7,$T7),1)-2)*10)</f>
        <v>5.5</v>
      </c>
      <c r="W7" s="55">
        <f>IF($T7="","",ROUND(($T7-$T$3)/1000,1)+(_xlfn.RANK.AVG($T7,($J7,$O7,$T7),1)-2)*10)</f>
        <v>18.399999999999999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1</v>
      </c>
      <c r="AY7" s="30">
        <v>30</v>
      </c>
      <c r="AZ7" s="40" t="s">
        <v>86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208</v>
      </c>
      <c r="F8" s="8" t="s">
        <v>197</v>
      </c>
      <c r="G8" s="9">
        <v>18000</v>
      </c>
      <c r="H8" s="9"/>
      <c r="I8" s="48">
        <v>0</v>
      </c>
      <c r="J8" s="21">
        <f t="shared" si="2"/>
        <v>39100</v>
      </c>
      <c r="K8" s="8" t="s">
        <v>198</v>
      </c>
      <c r="L8" s="9">
        <v>-9000</v>
      </c>
      <c r="M8" s="9"/>
      <c r="N8" s="48">
        <v>0</v>
      </c>
      <c r="O8" s="21">
        <f t="shared" si="3"/>
        <v>31500</v>
      </c>
      <c r="P8" s="8" t="s">
        <v>198</v>
      </c>
      <c r="Q8" s="9">
        <v>-9000</v>
      </c>
      <c r="R8" s="9"/>
      <c r="S8" s="48">
        <v>0</v>
      </c>
      <c r="T8" s="21">
        <f t="shared" si="4"/>
        <v>34400</v>
      </c>
      <c r="U8" s="53">
        <f>IF($J8="","",ROUND(($J8-$J$3)/1000,1)+(_xlfn.RANK.AVG($J8,($J8,$O8,$T8),1)-2)*10)</f>
        <v>14.1</v>
      </c>
      <c r="V8" s="54">
        <f>IF($O8="","",ROUND(($O8-$O$3)/1000,1)+(_xlfn.RANK.AVG($O8,($J8,$O8,$T8),1)-2)*10)</f>
        <v>-13.5</v>
      </c>
      <c r="W8" s="55">
        <f>IF($T8="","",ROUND(($T8-$T$3)/1000,1)+(_xlfn.RANK.AVG($T8,($J8,$O8,$T8),1)-2)*10)</f>
        <v>-0.6</v>
      </c>
      <c r="Y8" s="8"/>
      <c r="Z8" s="34"/>
      <c r="AA8" s="26">
        <v>1</v>
      </c>
      <c r="AB8" s="26"/>
      <c r="AC8" s="26">
        <v>6</v>
      </c>
      <c r="AD8" s="30" t="s">
        <v>199</v>
      </c>
      <c r="AE8" s="40" t="s">
        <v>82</v>
      </c>
      <c r="AF8" s="41" t="s">
        <v>83</v>
      </c>
      <c r="AG8" s="41" t="s">
        <v>201</v>
      </c>
      <c r="AH8" s="41" t="s">
        <v>212</v>
      </c>
      <c r="AI8" s="41" t="s">
        <v>80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208</v>
      </c>
      <c r="F9" s="8" t="s">
        <v>198</v>
      </c>
      <c r="G9" s="9">
        <v>-10000</v>
      </c>
      <c r="H9" s="9">
        <v>-1000</v>
      </c>
      <c r="I9" s="48">
        <v>-500</v>
      </c>
      <c r="J9" s="21">
        <f t="shared" si="2"/>
        <v>27600</v>
      </c>
      <c r="K9" s="8" t="s">
        <v>197</v>
      </c>
      <c r="L9" s="9">
        <v>16000</v>
      </c>
      <c r="M9" s="9">
        <v>1000</v>
      </c>
      <c r="N9" s="48">
        <v>1000</v>
      </c>
      <c r="O9" s="21">
        <f t="shared" si="3"/>
        <v>49500</v>
      </c>
      <c r="P9" s="8" t="s">
        <v>198</v>
      </c>
      <c r="Q9" s="9">
        <v>-6000</v>
      </c>
      <c r="R9" s="9"/>
      <c r="S9" s="48">
        <v>-500</v>
      </c>
      <c r="T9" s="21">
        <f t="shared" si="4"/>
        <v>27900</v>
      </c>
      <c r="U9" s="53">
        <f>IF($J9="","",ROUND(($J9-$J$3)/1000,1)+(_xlfn.RANK.AVG($J9,($J9,$O9,$T9),1)-2)*10)</f>
        <v>-17.399999999999999</v>
      </c>
      <c r="V9" s="54">
        <f>IF($O9="","",ROUND(($O9-$O$3)/1000,1)+(_xlfn.RANK.AVG($O9,($J9,$O9,$T9),1)-2)*10)</f>
        <v>24.5</v>
      </c>
      <c r="W9" s="55">
        <f>IF($T9="","",ROUND(($T9-$T$3)/1000,1)+(_xlfn.RANK.AVG($T9,($J9,$O9,$T9),1)-2)*10)</f>
        <v>-7.1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8</v>
      </c>
      <c r="AY9" s="30" t="s">
        <v>199</v>
      </c>
      <c r="AZ9" s="40" t="s">
        <v>79</v>
      </c>
      <c r="BA9" s="41" t="s">
        <v>79</v>
      </c>
      <c r="BB9" s="41" t="s">
        <v>79</v>
      </c>
      <c r="BC9" s="41" t="s">
        <v>79</v>
      </c>
      <c r="BD9" s="41" t="s">
        <v>79</v>
      </c>
      <c r="BE9" s="41" t="s">
        <v>79</v>
      </c>
      <c r="BF9" s="41" t="s">
        <v>104</v>
      </c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210</v>
      </c>
      <c r="F10" s="8" t="s">
        <v>198</v>
      </c>
      <c r="G10" s="9">
        <v>-9000</v>
      </c>
      <c r="H10" s="9"/>
      <c r="I10" s="48">
        <v>0</v>
      </c>
      <c r="J10" s="21">
        <f t="shared" si="2"/>
        <v>18600</v>
      </c>
      <c r="K10" s="8" t="s">
        <v>198</v>
      </c>
      <c r="L10" s="9">
        <v>-15000</v>
      </c>
      <c r="M10" s="9"/>
      <c r="N10" s="48">
        <v>0</v>
      </c>
      <c r="O10" s="21">
        <f t="shared" si="3"/>
        <v>34500</v>
      </c>
      <c r="P10" s="8" t="s">
        <v>197</v>
      </c>
      <c r="Q10" s="9">
        <v>24000</v>
      </c>
      <c r="R10" s="9"/>
      <c r="S10" s="48">
        <v>0</v>
      </c>
      <c r="T10" s="21">
        <f t="shared" si="4"/>
        <v>51900</v>
      </c>
      <c r="U10" s="53">
        <f>IF($J10="","",ROUND(($J10-$J$3)/1000,1)+(_xlfn.RANK.AVG($J10,($J10,$O10,$T10),1)-2)*10)</f>
        <v>-26.4</v>
      </c>
      <c r="V10" s="54">
        <f>IF($O10="","",ROUND(($O10-$O$3)/1000,1)+(_xlfn.RANK.AVG($O10,($J10,$O10,$T10),1)-2)*10)</f>
        <v>-0.5</v>
      </c>
      <c r="W10" s="55">
        <f>IF($T10="","",ROUND(($T10-$T$3)/1000,1)+(_xlfn.RANK.AVG($T10,($J10,$O10,$T10),1)-2)*10)</f>
        <v>26.9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11</v>
      </c>
      <c r="BT10" s="30" t="s">
        <v>199</v>
      </c>
      <c r="BU10" s="40" t="s">
        <v>200</v>
      </c>
      <c r="BV10" s="41" t="s">
        <v>82</v>
      </c>
      <c r="BW10" s="41" t="s">
        <v>79</v>
      </c>
      <c r="BX10" s="41" t="s">
        <v>79</v>
      </c>
      <c r="BY10" s="41" t="s">
        <v>80</v>
      </c>
      <c r="BZ10" s="41" t="s">
        <v>80</v>
      </c>
      <c r="CA10" s="41" t="s">
        <v>201</v>
      </c>
      <c r="CB10" s="41" t="s">
        <v>86</v>
      </c>
      <c r="CC10" s="41" t="s">
        <v>104</v>
      </c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showInputMessage="1" showErrorMessage="1" sqref="K4:K30 P4:P30 F4:F30" xr:uid="{1775C8E3-12C3-4359-ACAC-651A68B4F9F0}">
      <formula1>"ロン,ツモ,放銃,ツモ支払,流局,チョンボ"</formula1>
    </dataValidation>
    <dataValidation type="list" allowBlank="1" showInputMessage="1" showErrorMessage="1" sqref="E4:E30" xr:uid="{17953234-634F-4F92-8C43-113D1919B05B}">
      <formula1>$U$2:$W$2</formula1>
    </dataValidation>
    <dataValidation type="list" allowBlank="1" showInputMessage="1" sqref="F1:T1" xr:uid="{B9EF7493-AF4B-4411-A348-E80168ADAD49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F457B-11F7-4D95-ADB7-BE5BB1D9BFFD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209</v>
      </c>
      <c r="G1" s="78"/>
      <c r="H1" s="78"/>
      <c r="I1" s="79"/>
      <c r="J1" s="80"/>
      <c r="K1" s="77" t="s">
        <v>214</v>
      </c>
      <c r="L1" s="78"/>
      <c r="M1" s="78"/>
      <c r="N1" s="79"/>
      <c r="O1" s="80"/>
      <c r="P1" s="77" t="s">
        <v>196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たかの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ただ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だいち</v>
      </c>
      <c r="V2" s="76" t="str">
        <f>$K$1</f>
        <v>たかの</v>
      </c>
      <c r="W2" s="16" t="str">
        <f>$P$1</f>
        <v>ただ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198</v>
      </c>
      <c r="G4" s="9">
        <v>-4500</v>
      </c>
      <c r="H4" s="9"/>
      <c r="I4" s="48">
        <v>0</v>
      </c>
      <c r="J4" s="21">
        <f>IF(COUNTA($F4,$K4,$P4)&gt;0,J3+SUM(G4:I4),"")</f>
        <v>30500</v>
      </c>
      <c r="K4" s="8" t="s">
        <v>197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198</v>
      </c>
      <c r="Q4" s="9">
        <v>-7500</v>
      </c>
      <c r="R4" s="9"/>
      <c r="S4" s="48">
        <v>0</v>
      </c>
      <c r="T4" s="21">
        <f>IF(COUNTA($F4,$K4,$P4)&gt;0,T3+SUM(Q4:S4),"")</f>
        <v>27500</v>
      </c>
      <c r="U4" s="53">
        <f>IF($J4="","",ROUND(($J4-$J$3)/1000,1)+(_xlfn.RANK.AVG($J4,($J4,$O4,$T4),1)-2)*10)</f>
        <v>-4.5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-17.5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7</v>
      </c>
      <c r="AY4" s="30" t="s">
        <v>199</v>
      </c>
      <c r="AZ4" s="40" t="s">
        <v>82</v>
      </c>
      <c r="BA4" s="41" t="s">
        <v>103</v>
      </c>
      <c r="BB4" s="41" t="s">
        <v>84</v>
      </c>
      <c r="BC4" s="41" t="s">
        <v>79</v>
      </c>
      <c r="BD4" s="41" t="s">
        <v>79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208</v>
      </c>
      <c r="F5" s="8" t="s">
        <v>203</v>
      </c>
      <c r="G5" s="9">
        <v>-5200</v>
      </c>
      <c r="H5" s="9"/>
      <c r="I5" s="48">
        <v>0</v>
      </c>
      <c r="J5" s="21">
        <f t="shared" ref="J5:J30" si="2">IF(COUNTA($F5,$K5,$P5)&gt;0,J4+SUM(G5:I5),"")</f>
        <v>25300</v>
      </c>
      <c r="K5" s="8" t="s">
        <v>202</v>
      </c>
      <c r="L5" s="9">
        <v>5200</v>
      </c>
      <c r="M5" s="9"/>
      <c r="N5" s="48">
        <v>0</v>
      </c>
      <c r="O5" s="21">
        <f t="shared" ref="O5:O30" si="3">IF(COUNTA($F5,$K5,$P5)&gt;0,O4+SUM(L5:N5),"")</f>
        <v>52200</v>
      </c>
      <c r="P5" s="8"/>
      <c r="Q5" s="9"/>
      <c r="R5" s="9"/>
      <c r="S5" s="48"/>
      <c r="T5" s="21">
        <f t="shared" ref="T5:T30" si="4">IF(COUNTA($F5,$K5,$P5)&gt;0,T4+SUM(Q5:S5),"")</f>
        <v>27500</v>
      </c>
      <c r="U5" s="53">
        <f>IF($J5="","",ROUND(($J5-$J$3)/1000,1)+(_xlfn.RANK.AVG($J5,($J5,$O5,$T5),1)-2)*10)</f>
        <v>-19.7</v>
      </c>
      <c r="V5" s="54">
        <f>IF($O5="","",ROUND(($O5-$O$3)/1000,1)+(_xlfn.RANK.AVG($O5,($J5,$O5,$T5),1)-2)*10)</f>
        <v>27.2</v>
      </c>
      <c r="W5" s="55">
        <f>IF($T5="","",ROUND(($T5-$T$3)/1000,1)+(_xlfn.RANK.AVG($T5,($J5,$O5,$T5),1)-2)*10)</f>
        <v>-7.5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40</v>
      </c>
      <c r="AZ5" s="40" t="s">
        <v>200</v>
      </c>
      <c r="BA5" s="41" t="s">
        <v>79</v>
      </c>
      <c r="BB5" s="41" t="s">
        <v>79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213</v>
      </c>
      <c r="F6" s="8" t="s">
        <v>203</v>
      </c>
      <c r="G6" s="9">
        <v>-5200</v>
      </c>
      <c r="H6" s="9"/>
      <c r="I6" s="48">
        <v>0</v>
      </c>
      <c r="J6" s="21">
        <f t="shared" si="2"/>
        <v>20100</v>
      </c>
      <c r="K6" s="8"/>
      <c r="L6" s="9"/>
      <c r="M6" s="9"/>
      <c r="N6" s="48"/>
      <c r="O6" s="21">
        <f t="shared" si="3"/>
        <v>52200</v>
      </c>
      <c r="P6" s="8" t="s">
        <v>202</v>
      </c>
      <c r="Q6" s="9">
        <v>5200</v>
      </c>
      <c r="R6" s="9"/>
      <c r="S6" s="48">
        <v>0</v>
      </c>
      <c r="T6" s="21">
        <f t="shared" si="4"/>
        <v>32700</v>
      </c>
      <c r="U6" s="53">
        <f>IF($J6="","",ROUND(($J6-$J$3)/1000,1)+(_xlfn.RANK.AVG($J6,($J6,$O6,$T6),1)-2)*10)</f>
        <v>-24.9</v>
      </c>
      <c r="V6" s="54">
        <f>IF($O6="","",ROUND(($O6-$O$3)/1000,1)+(_xlfn.RANK.AVG($O6,($J6,$O6,$T6),1)-2)*10)</f>
        <v>27.2</v>
      </c>
      <c r="W6" s="55">
        <f>IF($T6="","",ROUND(($T6-$T$3)/1000,1)+(_xlfn.RANK.AVG($T6,($J6,$O6,$T6),1)-2)*10)</f>
        <v>-2.2999999999999998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3</v>
      </c>
      <c r="BT6" s="30">
        <v>40</v>
      </c>
      <c r="BU6" s="40" t="s">
        <v>200</v>
      </c>
      <c r="BV6" s="41" t="s">
        <v>207</v>
      </c>
      <c r="BW6" s="41" t="s">
        <v>201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203</v>
      </c>
      <c r="G7" s="9">
        <v>-12000</v>
      </c>
      <c r="H7" s="9">
        <v>-1000</v>
      </c>
      <c r="I7" s="48">
        <v>0</v>
      </c>
      <c r="J7" s="21">
        <f t="shared" si="2"/>
        <v>7100</v>
      </c>
      <c r="K7" s="8"/>
      <c r="L7" s="9"/>
      <c r="M7" s="9"/>
      <c r="N7" s="48"/>
      <c r="O7" s="21">
        <f t="shared" si="3"/>
        <v>52200</v>
      </c>
      <c r="P7" s="8" t="s">
        <v>202</v>
      </c>
      <c r="Q7" s="9">
        <v>12000</v>
      </c>
      <c r="R7" s="9">
        <v>1000</v>
      </c>
      <c r="S7" s="48">
        <v>0</v>
      </c>
      <c r="T7" s="21">
        <f t="shared" si="4"/>
        <v>45700</v>
      </c>
      <c r="U7" s="53">
        <f>IF($J7="","",ROUND(($J7-$J$3)/1000,1)+(_xlfn.RANK.AVG($J7,($J7,$O7,$T7),1)-2)*10)</f>
        <v>-37.9</v>
      </c>
      <c r="V7" s="54">
        <f>IF($O7="","",ROUND(($O7-$O$3)/1000,1)+(_xlfn.RANK.AVG($O7,($J7,$O7,$T7),1)-2)*10)</f>
        <v>27.2</v>
      </c>
      <c r="W7" s="55">
        <f>IF($T7="","",ROUND(($T7-$T$3)/1000,1)+(_xlfn.RANK.AVG($T7,($J7,$O7,$T7),1)-2)*10)</f>
        <v>10.7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4</v>
      </c>
      <c r="BT7" s="30">
        <v>40</v>
      </c>
      <c r="BU7" s="40" t="s">
        <v>85</v>
      </c>
      <c r="BV7" s="41" t="s">
        <v>79</v>
      </c>
      <c r="BW7" s="41" t="s">
        <v>79</v>
      </c>
      <c r="BX7" s="41" t="s">
        <v>79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195</v>
      </c>
      <c r="F8" s="8"/>
      <c r="G8" s="9"/>
      <c r="H8" s="9"/>
      <c r="I8" s="48"/>
      <c r="J8" s="21">
        <f t="shared" si="2"/>
        <v>7100</v>
      </c>
      <c r="K8" s="8" t="s">
        <v>202</v>
      </c>
      <c r="L8" s="9">
        <v>5200</v>
      </c>
      <c r="M8" s="9"/>
      <c r="N8" s="48">
        <v>1000</v>
      </c>
      <c r="O8" s="21">
        <f t="shared" si="3"/>
        <v>58400</v>
      </c>
      <c r="P8" s="8" t="s">
        <v>203</v>
      </c>
      <c r="Q8" s="9">
        <v>-5200</v>
      </c>
      <c r="R8" s="9"/>
      <c r="S8" s="48">
        <v>-1000</v>
      </c>
      <c r="T8" s="21">
        <f t="shared" si="4"/>
        <v>39500</v>
      </c>
      <c r="U8" s="53">
        <f>IF($J8="","",ROUND(($J8-$J$3)/1000,1)+(_xlfn.RANK.AVG($J8,($J8,$O8,$T8),1)-2)*10)</f>
        <v>-37.9</v>
      </c>
      <c r="V8" s="54">
        <f>IF($O8="","",ROUND(($O8-$O$3)/1000,1)+(_xlfn.RANK.AVG($O8,($J8,$O8,$T8),1)-2)*10)</f>
        <v>33.4</v>
      </c>
      <c r="W8" s="55">
        <f>IF($T8="","",ROUND(($T8-$T$3)/1000,1)+(_xlfn.RANK.AVG($T8,($J8,$O8,$T8),1)-2)*10)</f>
        <v>4.5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3</v>
      </c>
      <c r="AY8" s="30">
        <v>40</v>
      </c>
      <c r="AZ8" s="40" t="s">
        <v>200</v>
      </c>
      <c r="BA8" s="41" t="s">
        <v>207</v>
      </c>
      <c r="BB8" s="41" t="s">
        <v>86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208</v>
      </c>
      <c r="F9" s="8" t="s">
        <v>202</v>
      </c>
      <c r="G9" s="9">
        <v>1500</v>
      </c>
      <c r="H9" s="9"/>
      <c r="I9" s="48">
        <v>0</v>
      </c>
      <c r="J9" s="21">
        <f t="shared" si="2"/>
        <v>8600</v>
      </c>
      <c r="K9" s="8"/>
      <c r="L9" s="9"/>
      <c r="M9" s="9"/>
      <c r="N9" s="48"/>
      <c r="O9" s="21">
        <f t="shared" si="3"/>
        <v>58400</v>
      </c>
      <c r="P9" s="8" t="s">
        <v>203</v>
      </c>
      <c r="Q9" s="9">
        <v>-1500</v>
      </c>
      <c r="R9" s="9"/>
      <c r="S9" s="48">
        <v>0</v>
      </c>
      <c r="T9" s="21">
        <f t="shared" si="4"/>
        <v>38000</v>
      </c>
      <c r="U9" s="53">
        <f>IF($J9="","",ROUND(($J9-$J$3)/1000,1)+(_xlfn.RANK.AVG($J9,($J9,$O9,$T9),1)-2)*10)</f>
        <v>-36.4</v>
      </c>
      <c r="V9" s="54">
        <f>IF($O9="","",ROUND(($O9-$O$3)/1000,1)+(_xlfn.RANK.AVG($O9,($J9,$O9,$T9),1)-2)*10)</f>
        <v>33.4</v>
      </c>
      <c r="W9" s="55">
        <f>IF($T9="","",ROUND(($T9-$T$3)/1000,1)+(_xlfn.RANK.AVG($T9,($J9,$O9,$T9),1)-2)*10)</f>
        <v>3</v>
      </c>
      <c r="Y9" s="8"/>
      <c r="Z9" s="34"/>
      <c r="AA9" s="26"/>
      <c r="AB9" s="26">
        <v>1</v>
      </c>
      <c r="AC9" s="26">
        <v>1</v>
      </c>
      <c r="AD9" s="30">
        <v>30</v>
      </c>
      <c r="AE9" s="40" t="s">
        <v>86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208</v>
      </c>
      <c r="F10" s="8"/>
      <c r="G10" s="9"/>
      <c r="H10" s="9"/>
      <c r="I10" s="48"/>
      <c r="J10" s="21">
        <f t="shared" si="2"/>
        <v>8600</v>
      </c>
      <c r="K10" s="8" t="s">
        <v>203</v>
      </c>
      <c r="L10" s="9">
        <v>-2600</v>
      </c>
      <c r="M10" s="9"/>
      <c r="N10" s="48">
        <v>-1000</v>
      </c>
      <c r="O10" s="21">
        <f t="shared" si="3"/>
        <v>54800</v>
      </c>
      <c r="P10" s="8" t="s">
        <v>202</v>
      </c>
      <c r="Q10" s="9">
        <v>2600</v>
      </c>
      <c r="R10" s="9"/>
      <c r="S10" s="48">
        <v>1000</v>
      </c>
      <c r="T10" s="21">
        <f t="shared" si="4"/>
        <v>41600</v>
      </c>
      <c r="U10" s="53">
        <f>IF($J10="","",ROUND(($J10-$J$3)/1000,1)+(_xlfn.RANK.AVG($J10,($J10,$O10,$T10),1)-2)*10)</f>
        <v>-36.4</v>
      </c>
      <c r="V10" s="54">
        <f>IF($O10="","",ROUND(($O10-$O$3)/1000,1)+(_xlfn.RANK.AVG($O10,($J10,$O10,$T10),1)-2)*10)</f>
        <v>29.8</v>
      </c>
      <c r="W10" s="55">
        <f>IF($T10="","",ROUND(($T10-$T$3)/1000,1)+(_xlfn.RANK.AVG($T10,($J10,$O10,$T10),1)-2)*10)</f>
        <v>6.6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2</v>
      </c>
      <c r="BT10" s="30">
        <v>40</v>
      </c>
      <c r="BU10" s="40" t="s">
        <v>201</v>
      </c>
      <c r="BV10" s="41" t="s">
        <v>86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213</v>
      </c>
      <c r="F11" s="8" t="s">
        <v>206</v>
      </c>
      <c r="G11" s="9">
        <v>1500</v>
      </c>
      <c r="H11" s="9"/>
      <c r="I11" s="48"/>
      <c r="J11" s="21">
        <f t="shared" si="2"/>
        <v>10100</v>
      </c>
      <c r="K11" s="8" t="s">
        <v>206</v>
      </c>
      <c r="L11" s="9">
        <v>-3000</v>
      </c>
      <c r="M11" s="9"/>
      <c r="N11" s="48"/>
      <c r="O11" s="21">
        <f t="shared" si="3"/>
        <v>51800</v>
      </c>
      <c r="P11" s="8" t="s">
        <v>206</v>
      </c>
      <c r="Q11" s="9">
        <v>1500</v>
      </c>
      <c r="R11" s="9"/>
      <c r="S11" s="48"/>
      <c r="T11" s="21">
        <f t="shared" si="4"/>
        <v>43100</v>
      </c>
      <c r="U11" s="53">
        <f>IF($J11="","",ROUND(($J11-$J$3)/1000,1)+(_xlfn.RANK.AVG($J11,($J11,$O11,$T11),1)-2)*10)</f>
        <v>-34.9</v>
      </c>
      <c r="V11" s="54">
        <f>IF($O11="","",ROUND(($O11-$O$3)/1000,1)+(_xlfn.RANK.AVG($O11,($J11,$O11,$T11),1)-2)*10)</f>
        <v>26.8</v>
      </c>
      <c r="W11" s="55">
        <f>IF($T11="","",ROUND(($T11-$T$3)/1000,1)+(_xlfn.RANK.AVG($T11,($J11,$O11,$T11),1)-2)*10)</f>
        <v>8.1</v>
      </c>
      <c r="Y11" s="8" t="s">
        <v>204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205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204</v>
      </c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97BC0ADB-90E2-4B06-A90B-141336F76528}">
      <formula1>"たかの,だいち,ただ,りくと,れんたろう,まっつん,のり,ぱぱ,ほたに,"</formula1>
    </dataValidation>
    <dataValidation type="list" allowBlank="1" showInputMessage="1" showErrorMessage="1" sqref="E4:E30" xr:uid="{4F8CC378-5694-447A-9DF0-964C28E5D361}">
      <formula1>$U$2:$W$2</formula1>
    </dataValidation>
    <dataValidation type="list" showInputMessage="1" showErrorMessage="1" sqref="K4:K30 P4:P30 F4:F30" xr:uid="{38006E48-7D89-41FD-B4CA-55D6FED56D37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C789C-E9A1-4BDC-8B8B-6960DD78A3D1}">
  <sheetPr codeName="Sheet15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209</v>
      </c>
      <c r="G1" s="78"/>
      <c r="H1" s="78"/>
      <c r="I1" s="79"/>
      <c r="J1" s="80"/>
      <c r="K1" s="77" t="s">
        <v>214</v>
      </c>
      <c r="L1" s="78"/>
      <c r="M1" s="78"/>
      <c r="N1" s="79"/>
      <c r="O1" s="80"/>
      <c r="P1" s="77" t="s">
        <v>196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たかの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ただ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だいち</v>
      </c>
      <c r="V2" s="76" t="str">
        <f>$K$1</f>
        <v>たかの</v>
      </c>
      <c r="W2" s="16" t="str">
        <f>$P$1</f>
        <v>ただ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213</v>
      </c>
      <c r="F4" s="8" t="s">
        <v>198</v>
      </c>
      <c r="G4" s="9">
        <v>-1500</v>
      </c>
      <c r="H4" s="9"/>
      <c r="I4" s="48">
        <v>0</v>
      </c>
      <c r="J4" s="21">
        <f>IF(COUNTA($F4,$K4,$P4)&gt;0,J3+SUM(G4:I4),"")</f>
        <v>33500</v>
      </c>
      <c r="K4" s="8" t="s">
        <v>198</v>
      </c>
      <c r="L4" s="9">
        <v>-2500</v>
      </c>
      <c r="M4" s="9"/>
      <c r="N4" s="48">
        <v>0</v>
      </c>
      <c r="O4" s="21">
        <f>IF(COUNTA($F4,$K4,$P4)&gt;0,O3+SUM(L4:N4),"")</f>
        <v>32500</v>
      </c>
      <c r="P4" s="8" t="s">
        <v>197</v>
      </c>
      <c r="Q4" s="9">
        <v>4000</v>
      </c>
      <c r="R4" s="9"/>
      <c r="S4" s="48">
        <v>0</v>
      </c>
      <c r="T4" s="21">
        <f>IF(COUNTA($F4,$K4,$P4)&gt;0,T3+SUM(Q4:S4),"")</f>
        <v>39000</v>
      </c>
      <c r="U4" s="53">
        <f>IF($J4="","",ROUND(($J4-$J$3)/1000,1)+(_xlfn.RANK.AVG($J4,($J4,$O4,$T4),1)-2)*10)</f>
        <v>-1.5</v>
      </c>
      <c r="V4" s="54">
        <f>IF($O4="","",ROUND(($O4-$O$3)/1000,1)+(_xlfn.RANK.AVG($O4,($J4,$O4,$T4),1)-2)*10)</f>
        <v>-12.5</v>
      </c>
      <c r="W4" s="55">
        <f>IF($T4="","",ROUND(($T4-$T$3)/1000,1)+(_xlfn.RANK.AVG($T4,($J4,$O4,$T4),1)-2)*10)</f>
        <v>14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30</v>
      </c>
      <c r="BU4" s="40" t="s">
        <v>200</v>
      </c>
      <c r="BV4" s="41" t="s">
        <v>82</v>
      </c>
      <c r="BW4" s="41" t="s">
        <v>79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197</v>
      </c>
      <c r="G5" s="9">
        <v>12000</v>
      </c>
      <c r="H5" s="9"/>
      <c r="I5" s="48">
        <v>0</v>
      </c>
      <c r="J5" s="21">
        <f t="shared" ref="J5:J30" si="2">IF(COUNTA($F5,$K5,$P5)&gt;0,J4+SUM(G5:I5),"")</f>
        <v>45500</v>
      </c>
      <c r="K5" s="8" t="s">
        <v>198</v>
      </c>
      <c r="L5" s="9">
        <v>-4500</v>
      </c>
      <c r="M5" s="9"/>
      <c r="N5" s="48">
        <v>0</v>
      </c>
      <c r="O5" s="21">
        <f t="shared" ref="O5:O30" si="3">IF(COUNTA($F5,$K5,$P5)&gt;0,O4+SUM(L5:N5),"")</f>
        <v>28000</v>
      </c>
      <c r="P5" s="8" t="s">
        <v>198</v>
      </c>
      <c r="Q5" s="9">
        <v>-7500</v>
      </c>
      <c r="R5" s="9"/>
      <c r="S5" s="48">
        <v>0</v>
      </c>
      <c r="T5" s="21">
        <f t="shared" ref="T5:T30" si="4">IF(COUNTA($F5,$K5,$P5)&gt;0,T4+SUM(Q5:S5),"")</f>
        <v>31500</v>
      </c>
      <c r="U5" s="53">
        <f>IF($J5="","",ROUND(($J5-$J$3)/1000,1)+(_xlfn.RANK.AVG($J5,($J5,$O5,$T5),1)-2)*10)</f>
        <v>20.5</v>
      </c>
      <c r="V5" s="54">
        <f>IF($O5="","",ROUND(($O5-$O$3)/1000,1)+(_xlfn.RANK.AVG($O5,($J5,$O5,$T5),1)-2)*10)</f>
        <v>-17</v>
      </c>
      <c r="W5" s="55">
        <f>IF($T5="","",ROUND(($T5-$T$3)/1000,1)+(_xlfn.RANK.AVG($T5,($J5,$O5,$T5),1)-2)*10)</f>
        <v>-3.5</v>
      </c>
      <c r="Y5" s="8"/>
      <c r="Z5" s="34"/>
      <c r="AA5" s="26">
        <v>1</v>
      </c>
      <c r="AB5" s="26"/>
      <c r="AC5" s="26">
        <v>6</v>
      </c>
      <c r="AD5" s="30" t="s">
        <v>199</v>
      </c>
      <c r="AE5" s="40" t="s">
        <v>212</v>
      </c>
      <c r="AF5" s="41" t="s">
        <v>82</v>
      </c>
      <c r="AG5" s="41" t="s">
        <v>92</v>
      </c>
      <c r="AH5" s="41" t="s">
        <v>83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208</v>
      </c>
      <c r="F6" s="8" t="s">
        <v>206</v>
      </c>
      <c r="G6" s="9">
        <v>1500</v>
      </c>
      <c r="H6" s="9"/>
      <c r="I6" s="48"/>
      <c r="J6" s="21">
        <f t="shared" si="2"/>
        <v>47000</v>
      </c>
      <c r="K6" s="8" t="s">
        <v>206</v>
      </c>
      <c r="L6" s="9">
        <v>1500</v>
      </c>
      <c r="M6" s="9"/>
      <c r="N6" s="48"/>
      <c r="O6" s="21">
        <f t="shared" si="3"/>
        <v>29500</v>
      </c>
      <c r="P6" s="8" t="s">
        <v>206</v>
      </c>
      <c r="Q6" s="9">
        <v>-3000</v>
      </c>
      <c r="R6" s="9"/>
      <c r="S6" s="48"/>
      <c r="T6" s="21">
        <f t="shared" si="4"/>
        <v>28500</v>
      </c>
      <c r="U6" s="53">
        <f>IF($J6="","",ROUND(($J6-$J$3)/1000,1)+(_xlfn.RANK.AVG($J6,($J6,$O6,$T6),1)-2)*10)</f>
        <v>22</v>
      </c>
      <c r="V6" s="54">
        <f>IF($O6="","",ROUND(($O6-$O$3)/1000,1)+(_xlfn.RANK.AVG($O6,($J6,$O6,$T6),1)-2)*10)</f>
        <v>-5.5</v>
      </c>
      <c r="W6" s="55">
        <f>IF($T6="","",ROUND(($T6-$T$3)/1000,1)+(_xlfn.RANK.AVG($T6,($J6,$O6,$T6),1)-2)*10)</f>
        <v>-16.5</v>
      </c>
      <c r="Y6" s="8" t="s">
        <v>204</v>
      </c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204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205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208</v>
      </c>
      <c r="F7" s="8" t="s">
        <v>203</v>
      </c>
      <c r="G7" s="9">
        <v>-7700</v>
      </c>
      <c r="H7" s="9"/>
      <c r="I7" s="48">
        <v>-1000</v>
      </c>
      <c r="J7" s="21">
        <f t="shared" si="2"/>
        <v>38300</v>
      </c>
      <c r="K7" s="8" t="s">
        <v>202</v>
      </c>
      <c r="L7" s="9">
        <v>7700</v>
      </c>
      <c r="M7" s="9"/>
      <c r="N7" s="48">
        <v>1000</v>
      </c>
      <c r="O7" s="21">
        <f t="shared" si="3"/>
        <v>38200</v>
      </c>
      <c r="P7" s="8"/>
      <c r="Q7" s="9"/>
      <c r="R7" s="9"/>
      <c r="S7" s="48"/>
      <c r="T7" s="21">
        <f t="shared" si="4"/>
        <v>28500</v>
      </c>
      <c r="U7" s="53">
        <f>IF($J7="","",ROUND(($J7-$J$3)/1000,1)+(_xlfn.RANK.AVG($J7,($J7,$O7,$T7),1)-2)*10)</f>
        <v>13.3</v>
      </c>
      <c r="V7" s="54">
        <f>IF($O7="","",ROUND(($O7-$O$3)/1000,1)+(_xlfn.RANK.AVG($O7,($J7,$O7,$T7),1)-2)*10)</f>
        <v>3.2</v>
      </c>
      <c r="W7" s="55">
        <f>IF($T7="","",ROUND(($T7-$T$3)/1000,1)+(_xlfn.RANK.AVG($T7,($J7,$O7,$T7),1)-2)*10)</f>
        <v>-16.5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4</v>
      </c>
      <c r="AY7" s="30">
        <v>30</v>
      </c>
      <c r="AZ7" s="40" t="s">
        <v>85</v>
      </c>
      <c r="BA7" s="41" t="s">
        <v>201</v>
      </c>
      <c r="BB7" s="41" t="s">
        <v>79</v>
      </c>
      <c r="BC7" s="41" t="s">
        <v>79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213</v>
      </c>
      <c r="F8" s="8" t="s">
        <v>202</v>
      </c>
      <c r="G8" s="9">
        <v>1000</v>
      </c>
      <c r="H8" s="9"/>
      <c r="I8" s="48">
        <v>0</v>
      </c>
      <c r="J8" s="21">
        <f t="shared" si="2"/>
        <v>39300</v>
      </c>
      <c r="K8" s="8"/>
      <c r="L8" s="9"/>
      <c r="M8" s="9"/>
      <c r="N8" s="48"/>
      <c r="O8" s="21">
        <f t="shared" si="3"/>
        <v>38200</v>
      </c>
      <c r="P8" s="8" t="s">
        <v>203</v>
      </c>
      <c r="Q8" s="9">
        <v>-1000</v>
      </c>
      <c r="R8" s="9"/>
      <c r="S8" s="48">
        <v>0</v>
      </c>
      <c r="T8" s="21">
        <f t="shared" si="4"/>
        <v>27500</v>
      </c>
      <c r="U8" s="53">
        <f>IF($J8="","",ROUND(($J8-$J$3)/1000,1)+(_xlfn.RANK.AVG($J8,($J8,$O8,$T8),1)-2)*10)</f>
        <v>14.3</v>
      </c>
      <c r="V8" s="54">
        <f>IF($O8="","",ROUND(($O8-$O$3)/1000,1)+(_xlfn.RANK.AVG($O8,($J8,$O8,$T8),1)-2)*10)</f>
        <v>3.2</v>
      </c>
      <c r="W8" s="55">
        <f>IF($T8="","",ROUND(($T8-$T$3)/1000,1)+(_xlfn.RANK.AVG($T8,($J8,$O8,$T8),1)-2)*10)</f>
        <v>-17.5</v>
      </c>
      <c r="Y8" s="8"/>
      <c r="Z8" s="34"/>
      <c r="AA8" s="26"/>
      <c r="AB8" s="26">
        <v>1</v>
      </c>
      <c r="AC8" s="26">
        <v>1</v>
      </c>
      <c r="AD8" s="30">
        <v>30</v>
      </c>
      <c r="AE8" s="40" t="s">
        <v>86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202</v>
      </c>
      <c r="G9" s="9">
        <v>8000</v>
      </c>
      <c r="H9" s="9"/>
      <c r="I9" s="48">
        <v>0</v>
      </c>
      <c r="J9" s="21">
        <f t="shared" si="2"/>
        <v>47300</v>
      </c>
      <c r="K9" s="8"/>
      <c r="L9" s="9"/>
      <c r="M9" s="9"/>
      <c r="N9" s="48"/>
      <c r="O9" s="21">
        <f t="shared" si="3"/>
        <v>38200</v>
      </c>
      <c r="P9" s="8" t="s">
        <v>203</v>
      </c>
      <c r="Q9" s="9">
        <v>-8000</v>
      </c>
      <c r="R9" s="9"/>
      <c r="S9" s="48">
        <v>0</v>
      </c>
      <c r="T9" s="21">
        <f t="shared" si="4"/>
        <v>19500</v>
      </c>
      <c r="U9" s="53">
        <f>IF($J9="","",ROUND(($J9-$J$3)/1000,1)+(_xlfn.RANK.AVG($J9,($J9,$O9,$T9),1)-2)*10)</f>
        <v>22.3</v>
      </c>
      <c r="V9" s="54">
        <f>IF($O9="","",ROUND(($O9-$O$3)/1000,1)+(_xlfn.RANK.AVG($O9,($J9,$O9,$T9),1)-2)*10)</f>
        <v>3.2</v>
      </c>
      <c r="W9" s="55">
        <f>IF($T9="","",ROUND(($T9-$T$3)/1000,1)+(_xlfn.RANK.AVG($T9,($J9,$O9,$T9),1)-2)*10)</f>
        <v>-25.5</v>
      </c>
      <c r="Y9" s="8"/>
      <c r="Z9" s="34"/>
      <c r="AA9" s="26">
        <v>1</v>
      </c>
      <c r="AB9" s="26"/>
      <c r="AC9" s="26">
        <v>4</v>
      </c>
      <c r="AD9" s="30">
        <v>40</v>
      </c>
      <c r="AE9" s="40" t="s">
        <v>200</v>
      </c>
      <c r="AF9" s="41" t="s">
        <v>84</v>
      </c>
      <c r="AG9" s="41" t="s">
        <v>80</v>
      </c>
      <c r="AH9" s="41" t="s">
        <v>80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208</v>
      </c>
      <c r="F10" s="8" t="s">
        <v>197</v>
      </c>
      <c r="G10" s="9">
        <v>12000</v>
      </c>
      <c r="H10" s="9"/>
      <c r="I10" s="48">
        <v>0</v>
      </c>
      <c r="J10" s="21">
        <f t="shared" si="2"/>
        <v>59300</v>
      </c>
      <c r="K10" s="8" t="s">
        <v>198</v>
      </c>
      <c r="L10" s="9">
        <v>-6000</v>
      </c>
      <c r="M10" s="9"/>
      <c r="N10" s="48">
        <v>0</v>
      </c>
      <c r="O10" s="21">
        <f t="shared" si="3"/>
        <v>32200</v>
      </c>
      <c r="P10" s="8" t="s">
        <v>198</v>
      </c>
      <c r="Q10" s="9">
        <v>-6000</v>
      </c>
      <c r="R10" s="9"/>
      <c r="S10" s="48">
        <v>0</v>
      </c>
      <c r="T10" s="21">
        <f t="shared" si="4"/>
        <v>13500</v>
      </c>
      <c r="U10" s="53">
        <f>IF($J10="","",ROUND(($J10-$J$3)/1000,1)+(_xlfn.RANK.AVG($J10,($J10,$O10,$T10),1)-2)*10)</f>
        <v>34.299999999999997</v>
      </c>
      <c r="V10" s="54">
        <f>IF($O10="","",ROUND(($O10-$O$3)/1000,1)+(_xlfn.RANK.AVG($O10,($J10,$O10,$T10),1)-2)*10)</f>
        <v>-2.8</v>
      </c>
      <c r="W10" s="55">
        <f>IF($T10="","",ROUND(($T10-$T$3)/1000,1)+(_xlfn.RANK.AVG($T10,($J10,$O10,$T10),1)-2)*10)</f>
        <v>-31.5</v>
      </c>
      <c r="Y10" s="8"/>
      <c r="Z10" s="34"/>
      <c r="AA10" s="26"/>
      <c r="AB10" s="26"/>
      <c r="AC10" s="26">
        <v>5</v>
      </c>
      <c r="AD10" s="30" t="s">
        <v>199</v>
      </c>
      <c r="AE10" s="40" t="s">
        <v>105</v>
      </c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">
        <v>208</v>
      </c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FCAEC55F-6FB1-47FF-8755-D7F4F854F944}">
      <formula1>"ロン,ツモ,放銃,ツモ支払,流局,チョンボ"</formula1>
    </dataValidation>
    <dataValidation type="list" allowBlank="1" showInputMessage="1" showErrorMessage="1" sqref="E4:E30" xr:uid="{54A3E4A9-B9CB-4A75-9417-16A27E301162}">
      <formula1>$U$2:$W$2</formula1>
    </dataValidation>
    <dataValidation type="list" allowBlank="1" showInputMessage="1" sqref="F1:T1" xr:uid="{633973B0-3BCA-4E9D-8DC3-39A1217F7987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Sheet1</vt:lpstr>
      <vt:lpstr>Sheet2</vt:lpstr>
      <vt:lpstr>Sheet3</vt:lpstr>
      <vt:lpstr>Sheet4</vt:lpstr>
      <vt:lpstr>Sheet5</vt:lpstr>
      <vt:lpstr>Sheet6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2019-10-01T15:31:34Z</dcterms:modified>
</cp:coreProperties>
</file>