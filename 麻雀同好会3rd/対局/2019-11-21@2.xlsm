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5D248DE-18F8-4CB6-A31C-5DC08A60F9C1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9" i="19" l="1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<sst xmlns="http://schemas.openxmlformats.org/spreadsheetml/2006/main" count="585" uniqueCount="205">
  <si>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</si>
  <si>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</si>
  <si>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</si>
  <si>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</si>
  <si>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</si>
  <si>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</si>
  <si>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</si>
  <si>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</si>
  <si>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</si>
  <si>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</si>
  <si>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</si>
  <si>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</si>
  <si>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</si>
  <si>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</si>
  <si>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</si>
  <si>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</si>
  <si>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</si>
  <si>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</si>
  <si>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</si>
  <si>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</si>
  <si>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</si>
  <si>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</si>
  <si>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</si>
  <si>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</si>
  <si>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</si>
  <si>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</si>
  <si>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</si>
  <si>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</si>
  <si>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</si>
  <si>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</si>
  <si>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</si>
  <si>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</si>
  <si>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</si>
  <si>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</si>
  <si>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</si>
  <si>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</si>
  <si>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</si>
  <si>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</si>
  <si>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</si>
  <si>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</si>
  <si>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</si>
  <si>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</si>
  <si>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</si>
  <si>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</si>
  <si>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</si>
  <si>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</si>
  <si>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</si>
  <si>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</si>
  <si>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</si>
  <si>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</si>
  <si>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</si>
  <si>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</si>
  <si>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</si>
  <si>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</si>
  <si>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</si>
  <si>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</si>
  <si>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</si>
  <si>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</si>
  <si>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</si>
  <si>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</si>
  <si>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</si>
  <si>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</si>
  <si>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</si>
  <si>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</si>
  <si>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</si>
  <si>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</si>
  <si>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</si>
  <si>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</si>
  <si>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</si>
  <si>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</si>
  <si>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</si>
  <si>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</si>
  <si>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</si>
  <si>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</si>
  <si>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</si>
  <si>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</si>
  <si>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</si>
  <si>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</si>
  <si>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</si>
  <si>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</si>
  <si>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</si>
  <si>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</si>
  <si>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</si>
  <si>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</si>
  <si>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</si>
  <si>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</si>
  <si>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</si>
  <si>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</si>
  <si>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</si>
  <si>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</si>
  <si>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</si>
  <si>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</si>
  <si>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</si>
  <si>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</si>
  <si>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</si>
  <si>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</si>
  <si>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</si>
  <si>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</si>
  <si>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</si>
  <si>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</si>
  <si>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</si>
  <si>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</si>
  <si>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</si>
  <si>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</si>
  <si>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</si>
  <si>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</si>
  <si>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</si>
  <si>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</si>
  <si>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</si>
  <si>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</si>
  <si>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</si>
  <si>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</si>
  <si>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</si>
  <si>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</si>
  <si>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</si>
  <si>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</si>
  <si>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</si>
  <si>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</si>
  <si>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</si>
  <si>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</si>
  <si>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</si>
  <si>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</si>
  <si>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</si>
  <si>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</si>
  <si>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</si>
  <si>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</si>
  <si>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</si>
  <si>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</si>
  <si>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</si>
  <si>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</si>
  <si>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</si>
  <si>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</si>
  <si>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</si>
  <si>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</si>
  <si>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</si>
  <si>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</si>
  <si>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</si>
  <si>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</si>
  <si>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</si>
  <si>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</si>
  <si>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</si>
  <si>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</si>
  <si>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</si>
  <si>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</si>
  <si>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</si>
  <si>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</si>
  <si>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</si>
  <si>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</si>
  <si>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</si>
  <si>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</si>
  <si>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</si>
  <si>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</si>
  <si>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</si>
  <si>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</si>
  <si>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</si>
  <si>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</si>
  <si>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</si>
  <si>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</si>
  <si>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</si>
  <si>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</si>
  <si>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</si>
  <si>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</si>
  <si>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</si>
  <si>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</si>
  <si>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</si>
  <si>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</si>
  <si>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</si>
  <si>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</si>
  <si>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</si>
  <si>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</si>
  <si>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</si>
  <si>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</si>
  <si>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</si>
  <si>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</si>
  <si>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</si>
  <si>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</si>
  <si>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</si>
  <si>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</si>
  <si>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</si>
  <si>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</si>
  <si>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</si>
  <si>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</si>
  <si>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</si>
  <si>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</si>
  <si>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</si>
  <si>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</si>
  <si>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</si>
  <si>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</si>
  <si>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</si>
  <si>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</si>
  <si>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</si>
  <si>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</si>
  <si>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</si>
  <si>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だいち</t>
  </si>
  <si>
    <t>だいち</t>
    <phoneticPr fontId="1"/>
  </si>
  <si>
    <t>ただ</t>
  </si>
  <si>
    <t>ただ</t>
    <phoneticPr fontId="1"/>
  </si>
  <si>
    <t>ツモ</t>
  </si>
  <si>
    <t>ツモ支払</t>
  </si>
  <si>
    <t>*</t>
  </si>
  <si>
    <t>01</t>
  </si>
  <si>
    <t>52</t>
  </si>
  <si>
    <t>02</t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</si>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</sst>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れんたろう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だいち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ただ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198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198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-4.5</v>
      </c>
      <c r="W4" s="55">
        <f>IF($T4="","",ROUND(($T4-$T$3)/1000,1)+(_xlfn.RANK.AVG($T4,($J4,$O4,$T4),1)-2)*10)</f>
        <v>-17.5</v>
      </c>
      <c r="Y4" s="8"/>
      <c r="Z4" s="34"/>
      <c r="AA4" s="26">
        <v>1</v>
      </c>
      <c r="AB4" s="26"/>
      <c r="AC4" s="26">
        <v>7</v>
      </c>
      <c r="AD4" s="30" t="s">
        <v>199</v>
      </c>
      <c r="AE4" s="40" t="s">
        <v>200</v>
      </c>
      <c r="AF4" s="41" t="s">
        <v>82</v>
      </c>
      <c r="AG4" s="41" t="s">
        <v>86</v>
      </c>
      <c r="AH4" s="41" t="s">
        <v>201</v>
      </c>
      <c r="AI4" s="41" t="s">
        <v>80</v>
      </c>
      <c r="AJ4" s="41" t="s">
        <v>80</v>
      </c>
      <c r="AK4" s="41" t="s">
        <v>80</v>
      </c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12000</v>
      </c>
      <c r="H5" s="9"/>
      <c r="I5" s="48">
        <v>0</v>
      </c>
      <c r="J5" s="21">
        <f t="shared" ref="J5:J30" si="2">IF(COUNTA($F5,$K5,$P5)&gt;0,J4+SUM(G5:I5),"")</f>
        <v>59000</v>
      </c>
      <c r="K5" s="8" t="s">
        <v>198</v>
      </c>
      <c r="L5" s="9">
        <v>-6000</v>
      </c>
      <c r="M5" s="9"/>
      <c r="N5" s="48">
        <v>0</v>
      </c>
      <c r="O5" s="21">
        <f t="shared" ref="O5:O30" si="3">IF(COUNTA($F5,$K5,$P5)&gt;0,O4+SUM(L5:N5),"")</f>
        <v>24500</v>
      </c>
      <c r="P5" s="8" t="s">
        <v>198</v>
      </c>
      <c r="Q5" s="9">
        <v>-6000</v>
      </c>
      <c r="R5" s="9"/>
      <c r="S5" s="48">
        <v>0</v>
      </c>
      <c r="T5" s="21">
        <f t="shared" ref="T5:T30" si="4">IF(COUNTA($F5,$K5,$P5)&gt;0,T4+SUM(Q5:S5),"")</f>
        <v>21500</v>
      </c>
      <c r="U5" s="53">
        <f>IF($J5="","",ROUND(($J5-$J$3)/1000,1)+(_xlfn.RANK.AVG($J5,($J5,$O5,$T5),1)-2)*10)</f>
        <v>34</v>
      </c>
      <c r="V5" s="54">
        <f>IF($O5="","",ROUND(($O5-$O$3)/1000,1)+(_xlfn.RANK.AVG($O5,($J5,$O5,$T5),1)-2)*10)</f>
        <v>-10.5</v>
      </c>
      <c r="W5" s="55">
        <f>IF($T5="","",ROUND(($T5-$T$3)/1000,1)+(_xlfn.RANK.AVG($T5,($J5,$O5,$T5),1)-2)*10)</f>
        <v>-23.5</v>
      </c>
      <c r="Y5" s="8"/>
      <c r="Z5" s="34"/>
      <c r="AA5" s="26">
        <v>1</v>
      </c>
      <c r="AB5" s="26"/>
      <c r="AC5" s="26">
        <v>5</v>
      </c>
      <c r="AD5" s="30" t="s">
        <v>199</v>
      </c>
      <c r="AE5" s="40" t="s">
        <v>200</v>
      </c>
      <c r="AF5" s="41" t="s">
        <v>82</v>
      </c>
      <c r="AG5" s="41" t="s">
        <v>79</v>
      </c>
      <c r="AH5" s="41" t="s">
        <v>79</v>
      </c>
      <c r="AI5" s="41" t="s">
        <v>202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203</v>
      </c>
      <c r="G6" s="9">
        <v>18000</v>
      </c>
      <c r="H6" s="9">
        <v>1000</v>
      </c>
      <c r="I6" s="48">
        <v>1000</v>
      </c>
      <c r="J6" s="21">
        <f t="shared" si="2"/>
        <v>79000</v>
      </c>
      <c r="K6" s="8" t="s">
        <v>204</v>
      </c>
      <c r="L6" s="9">
        <v>-18000</v>
      </c>
      <c r="M6" s="9">
        <v>-1000</v>
      </c>
      <c r="N6" s="48">
        <v>-1000</v>
      </c>
      <c r="O6" s="21">
        <f t="shared" si="3"/>
        <v>4500</v>
      </c>
      <c r="P6" s="8"/>
      <c r="Q6" s="9"/>
      <c r="R6" s="9"/>
      <c r="S6" s="48"/>
      <c r="T6" s="21">
        <f t="shared" si="4"/>
        <v>21500</v>
      </c>
      <c r="U6" s="53">
        <f>IF($J6="","",ROUND(($J6-$J$3)/1000,1)+(_xlfn.RANK.AVG($J6,($J6,$O6,$T6),1)-2)*10)</f>
        <v>54</v>
      </c>
      <c r="V6" s="54">
        <f>IF($O6="","",ROUND(($O6-$O$3)/1000,1)+(_xlfn.RANK.AVG($O6,($J6,$O6,$T6),1)-2)*10)</f>
        <v>-40.5</v>
      </c>
      <c r="W6" s="55">
        <f>IF($T6="","",ROUND(($T6-$T$3)/1000,1)+(_xlfn.RANK.AVG($T6,($J6,$O6,$T6),1)-2)*10)</f>
        <v>-13.5</v>
      </c>
      <c r="Y6" s="8"/>
      <c r="Z6" s="34"/>
      <c r="AA6" s="26">
        <v>1</v>
      </c>
      <c r="AB6" s="26"/>
      <c r="AC6" s="26">
        <v>6</v>
      </c>
      <c r="AD6" s="30" t="s">
        <v>199</v>
      </c>
      <c r="AE6" s="40" t="s">
        <v>200</v>
      </c>
      <c r="AF6" s="41" t="s">
        <v>82</v>
      </c>
      <c r="AG6" s="41" t="s">
        <v>84</v>
      </c>
      <c r="AH6" s="41" t="s">
        <v>79</v>
      </c>
      <c r="AI6" s="41" t="s">
        <v>201</v>
      </c>
      <c r="AJ6" s="41" t="s">
        <v>80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191</v>
      </c>
      <c r="F7" s="8" t="s">
        <v>198</v>
      </c>
      <c r="G7" s="9">
        <v>-700</v>
      </c>
      <c r="H7" s="9"/>
      <c r="I7" s="48">
        <v>-1000</v>
      </c>
      <c r="J7" s="21">
        <f t="shared" si="2"/>
        <v>77300</v>
      </c>
      <c r="K7" s="8" t="s">
        <v>197</v>
      </c>
      <c r="L7" s="9">
        <v>1200</v>
      </c>
      <c r="M7" s="9"/>
      <c r="N7" s="48">
        <v>2000</v>
      </c>
      <c r="O7" s="21">
        <f t="shared" si="3"/>
        <v>7700</v>
      </c>
      <c r="P7" s="8" t="s">
        <v>198</v>
      </c>
      <c r="Q7" s="9">
        <v>-500</v>
      </c>
      <c r="R7" s="9"/>
      <c r="S7" s="48">
        <v>-1000</v>
      </c>
      <c r="T7" s="21">
        <f t="shared" si="4"/>
        <v>20000</v>
      </c>
      <c r="U7" s="53">
        <f>IF($J7="","",ROUND(($J7-$J$3)/1000,1)+(_xlfn.RANK.AVG($J7,($J7,$O7,$T7),1)-2)*10)</f>
        <v>52.3</v>
      </c>
      <c r="V7" s="54">
        <f>IF($O7="","",ROUND(($O7-$O$3)/1000,1)+(_xlfn.RANK.AVG($O7,($J7,$O7,$T7),1)-2)*10)</f>
        <v>-37.299999999999997</v>
      </c>
      <c r="W7" s="55">
        <f>IF($T7="","",ROUND(($T7-$T$3)/1000,1)+(_xlfn.RANK.AVG($T7,($J7,$O7,$T7),1)-2)*10)</f>
        <v>-15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198</v>
      </c>
      <c r="G8" s="9">
        <v>-9000</v>
      </c>
      <c r="H8" s="9"/>
      <c r="I8" s="48">
        <v>0</v>
      </c>
      <c r="J8" s="21">
        <f t="shared" si="2"/>
        <v>68300</v>
      </c>
      <c r="K8" s="8" t="s">
        <v>197</v>
      </c>
      <c r="L8" s="9">
        <v>18000</v>
      </c>
      <c r="M8" s="9"/>
      <c r="N8" s="48">
        <v>0</v>
      </c>
      <c r="O8" s="21">
        <f t="shared" si="3"/>
        <v>25700</v>
      </c>
      <c r="P8" s="8" t="s">
        <v>198</v>
      </c>
      <c r="Q8" s="9">
        <v>-9000</v>
      </c>
      <c r="R8" s="9"/>
      <c r="S8" s="48">
        <v>0</v>
      </c>
      <c r="T8" s="21">
        <f t="shared" si="4"/>
        <v>11000</v>
      </c>
      <c r="U8" s="53">
        <f>IF($J8="","",ROUND(($J8-$J$3)/1000,1)+(_xlfn.RANK.AVG($J8,($J8,$O8,$T8),1)-2)*10)</f>
        <v>43.3</v>
      </c>
      <c r="V8" s="54">
        <f>IF($O8="","",ROUND(($O8-$O$3)/1000,1)+(_xlfn.RANK.AVG($O8,($J8,$O8,$T8),1)-2)*10)</f>
        <v>-9.3000000000000007</v>
      </c>
      <c r="W8" s="55">
        <f>IF($T8="","",ROUND(($T8-$T$3)/1000,1)+(_xlfn.RANK.AVG($T8,($J8,$O8,$T8),1)-2)*10)</f>
        <v>-34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199</v>
      </c>
      <c r="AZ8" s="40" t="s">
        <v>200</v>
      </c>
      <c r="BA8" s="41" t="s">
        <v>82</v>
      </c>
      <c r="BB8" s="41" t="s">
        <v>101</v>
      </c>
      <c r="BC8" s="41" t="s">
        <v>80</v>
      </c>
      <c r="BD8" s="41" t="s">
        <v>80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193</v>
      </c>
      <c r="F9" s="8"/>
      <c r="G9" s="9"/>
      <c r="H9" s="9">
        <v>-1000</v>
      </c>
      <c r="I9" s="48"/>
      <c r="J9" s="21">
        <f t="shared" si="2"/>
        <v>67300</v>
      </c>
      <c r="K9" s="8" t="s">
        <v>203</v>
      </c>
      <c r="L9" s="9">
        <v>12000</v>
      </c>
      <c r="M9" s="9">
        <v>1000</v>
      </c>
      <c r="N9" s="48">
        <v>1000</v>
      </c>
      <c r="O9" s="21">
        <f t="shared" si="3"/>
        <v>39700</v>
      </c>
      <c r="P9" s="8" t="s">
        <v>204</v>
      </c>
      <c r="Q9" s="9">
        <v>-12000</v>
      </c>
      <c r="R9" s="9"/>
      <c r="S9" s="48">
        <v>-1000</v>
      </c>
      <c r="T9" s="21">
        <f t="shared" si="4"/>
        <v>-2000</v>
      </c>
      <c r="U9" s="53">
        <f>IF($J9="","",ROUND(($J9-$J$3)/1000,1)+(_xlfn.RANK.AVG($J9,($J9,$O9,$T9),1)-2)*10)</f>
        <v>42.3</v>
      </c>
      <c r="V9" s="54">
        <f>IF($O9="","",ROUND(($O9-$O$3)/1000,1)+(_xlfn.RANK.AVG($O9,($J9,$O9,$T9),1)-2)*10)</f>
        <v>4.7</v>
      </c>
      <c r="W9" s="55">
        <f>IF($T9="","",ROUND(($T9-$T$3)/1000,1)+(_xlfn.RANK.AVG($T9,($J9,$O9,$T9),1)-2)*10)</f>
        <v>-47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4</v>
      </c>
      <c r="AY9" s="30">
        <v>40</v>
      </c>
      <c r="AZ9" s="40" t="s">
        <v>86</v>
      </c>
      <c r="BA9" s="41" t="s">
        <v>201</v>
      </c>
      <c r="BB9" s="41" t="s">
        <v>79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CC79E81-FC51-4037-A299-9F4A84275438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2019-11-21T14:22:36Z</dcterms:modified>
</cp:coreProperties>
</file>