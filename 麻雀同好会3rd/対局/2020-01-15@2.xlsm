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050F07EE-3448-494A-8CA0-B3F7C4957942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 s="1"/>
  <c r="T18" i="19"/>
  <c r="O18" i="19"/>
  <c r="J18" i="19"/>
  <c r="D18" i="19"/>
  <c r="C18" i="19"/>
  <c r="B18" i="19"/>
  <c r="A18" i="19" s="1"/>
  <c r="T17" i="19"/>
  <c r="O17" i="19"/>
  <c r="J17" i="19"/>
  <c r="D17" i="19"/>
  <c r="C17" i="19"/>
  <c r="B17" i="19"/>
  <c r="A17" i="19"/>
  <c r="T16" i="19"/>
  <c r="W16" i="19" s="1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 s="1"/>
  <c r="T13" i="19"/>
  <c r="O13" i="19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8" i="19" l="1"/>
  <c r="V18" i="19"/>
  <c r="W18" i="19"/>
  <c r="V17" i="19"/>
  <c r="U17" i="19"/>
  <c r="W17" i="19"/>
  <c r="U16" i="19"/>
  <c r="V16" i="19"/>
  <c r="V15" i="19"/>
  <c r="W15" i="19"/>
  <c r="U15" i="19"/>
  <c r="V14" i="19"/>
  <c r="W14" i="19"/>
  <c r="U14" i="19"/>
  <c r="V13" i="19"/>
  <c r="W13" i="19"/>
  <c r="W12" i="19"/>
  <c r="V12" i="19"/>
  <c r="V11" i="19"/>
  <c r="W11" i="19"/>
  <c r="U10" i="19"/>
  <c r="U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<sst xmlns="http://schemas.openxmlformats.org/spreadsheetml/2006/main" count="637" uniqueCount="208">
  <si>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</si>
  <si>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</si>
  <si>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</si>
  <si>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</si>
  <si>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</si>
  <si>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</si>
  <si>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</si>
  <si>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</si>
  <si>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</si>
  <si>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</si>
  <si>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</si>
  <si>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</si>
  <si>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</si>
  <si>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</si>
  <si>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</si>
  <si>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</si>
  <si>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</si>
  <si>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</si>
  <si>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</si>
  <si>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</si>
  <si>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</si>
  <si>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</si>
  <si>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</si>
  <si>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</si>
  <si>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</si>
  <si>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</si>
  <si>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</si>
  <si>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</si>
  <si>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</si>
  <si>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</si>
  <si>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</si>
  <si>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</si>
  <si>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</si>
  <si>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</si>
  <si>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</si>
  <si>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</si>
  <si>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</si>
  <si>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</si>
  <si>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</si>
  <si>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</si>
  <si>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</si>
  <si>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</si>
  <si>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</si>
  <si>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</si>
  <si>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</si>
  <si>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</si>
  <si>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</si>
  <si>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</si>
  <si>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</si>
  <si>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</si>
  <si>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</si>
  <si>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</si>
  <si>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</si>
  <si>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</si>
  <si>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</si>
  <si>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</si>
  <si>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</si>
  <si>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</si>
  <si>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</si>
  <si>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</si>
  <si>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</si>
  <si>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</si>
  <si>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</si>
  <si>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</si>
  <si>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</si>
  <si>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</si>
  <si>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</si>
  <si>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</si>
  <si>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</si>
  <si>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</si>
  <si>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</si>
  <si>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</si>
  <si>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</si>
  <si>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</si>
  <si>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</si>
  <si>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</si>
  <si>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</si>
  <si>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</si>
  <si>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</si>
  <si>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</si>
  <si>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</si>
  <si>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</si>
  <si>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</si>
  <si>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</si>
  <si>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</si>
  <si>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</si>
  <si>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</si>
  <si>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</si>
  <si>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</si>
  <si>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</si>
  <si>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</si>
  <si>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</si>
  <si>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</si>
  <si>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</si>
  <si>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</si>
  <si>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</si>
  <si>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</si>
  <si>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</si>
  <si>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</si>
  <si>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</si>
  <si>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</si>
  <si>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</si>
  <si>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</si>
  <si>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</si>
  <si>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</si>
  <si>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</si>
  <si>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</si>
  <si>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</si>
  <si>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</si>
  <si>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</si>
  <si>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</si>
  <si>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</si>
  <si>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</si>
  <si>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</si>
  <si>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</si>
  <si>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</si>
  <si>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</si>
  <si>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</si>
  <si>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</si>
  <si>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</si>
  <si>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</si>
  <si>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</si>
  <si>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</si>
  <si>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</si>
  <si>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</si>
  <si>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</si>
  <si>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</si>
  <si>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</si>
  <si>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</si>
  <si>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</si>
  <si>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</si>
  <si>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</si>
  <si>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</si>
  <si>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</si>
  <si>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</si>
  <si>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</si>
  <si>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</si>
  <si>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</si>
  <si>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</si>
  <si>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</si>
  <si>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</si>
  <si>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</si>
  <si>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</si>
  <si>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</si>
  <si>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</si>
  <si>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</si>
  <si>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</si>
  <si>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</si>
  <si>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</si>
  <si>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</si>
  <si>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</si>
  <si>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</si>
  <si>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</si>
  <si>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</si>
  <si>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</si>
  <si>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</si>
  <si>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</si>
  <si>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</si>
  <si>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</si>
  <si>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</si>
  <si>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</si>
  <si>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</si>
  <si>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</si>
  <si>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</si>
  <si>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</si>
  <si>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</si>
  <si>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</si>
  <si>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</si>
  <si>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</si>
  <si>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</si>
  <si>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</si>
  <si>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</si>
  <si>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</si>
  <si>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</si>
  <si>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</si>
  <si>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</si>
  <si>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</si>
  <si>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</si>
  <si>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</si>
  <si>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</si>
  <si>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</si>
  <si>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</si>
  <si>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</si>
  <si>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</si>
  <si>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</si>
  <si>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</si>
  <si>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</si>
  <si>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</si>
  <si>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</si>
  <si>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</si>
  <si>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</si>
  <si>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</si>
  <si>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</si>
  <si>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</si>
  <si>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</si>
  <si>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</si>
  <si>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</si>
  <si>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ロン</t>
  </si>
  <si>
    <t>放銃</t>
  </si>
  <si>
    <t>01</t>
  </si>
  <si>
    <t>02</t>
  </si>
  <si>
    <t>52</t>
  </si>
  <si>
    <t>T</t>
  </si>
  <si>
    <t>N</t>
  </si>
  <si>
    <t>流局</t>
    <phoneticPr fontId="1"/>
  </si>
  <si>
    <t>ツモ支払</t>
  </si>
  <si>
    <t>ツモ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</si>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</sst>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ただ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りくと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199</v>
      </c>
      <c r="AF4" s="41" t="s">
        <v>200</v>
      </c>
      <c r="AG4" s="41" t="s">
        <v>85</v>
      </c>
      <c r="AH4" s="41" t="s">
        <v>201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204</v>
      </c>
      <c r="G5" s="9">
        <v>1500</v>
      </c>
      <c r="H5" s="9">
        <v>-1000</v>
      </c>
      <c r="I5" s="48"/>
      <c r="J5" s="21">
        <f t="shared" ref="J5:J30" si="2">IF(COUNTA($F5,$K5,$P5)&gt;0,J4+SUM(G5:I5),"")</f>
        <v>47500</v>
      </c>
      <c r="K5" s="8" t="s">
        <v>204</v>
      </c>
      <c r="L5" s="9">
        <v>1500</v>
      </c>
      <c r="M5" s="9"/>
      <c r="N5" s="48"/>
      <c r="O5" s="21">
        <f t="shared" ref="O5:O30" si="3">IF(COUNTA($F5,$K5,$P5)&gt;0,O4+SUM(L5:N5),"")</f>
        <v>24500</v>
      </c>
      <c r="P5" s="8" t="s">
        <v>204</v>
      </c>
      <c r="Q5" s="9">
        <v>-3000</v>
      </c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22.5</v>
      </c>
      <c r="V5" s="54">
        <f>IF($O5="","",ROUND(($O5-$O$3)/1000,1)+(_xlfn.RANK.AVG($O5,($J5,$O5,$T5),1)-2)*10)</f>
        <v>-20.5</v>
      </c>
      <c r="W5" s="55">
        <f>IF($T5="","",ROUND(($T5-$T$3)/1000,1)+(_xlfn.RANK.AVG($T5,($J5,$O5,$T5),1)-2)*10)</f>
        <v>-3</v>
      </c>
      <c r="Y5" s="8" t="s">
        <v>202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191</v>
      </c>
      <c r="F6" s="8"/>
      <c r="G6" s="9"/>
      <c r="H6" s="9">
        <v>-1000</v>
      </c>
      <c r="I6" s="48"/>
      <c r="J6" s="21">
        <f t="shared" si="2"/>
        <v>46500</v>
      </c>
      <c r="K6" s="8" t="s">
        <v>197</v>
      </c>
      <c r="L6" s="9">
        <v>2600</v>
      </c>
      <c r="M6" s="9">
        <v>2000</v>
      </c>
      <c r="N6" s="48">
        <v>2000</v>
      </c>
      <c r="O6" s="21">
        <f t="shared" si="3"/>
        <v>31100</v>
      </c>
      <c r="P6" s="8" t="s">
        <v>198</v>
      </c>
      <c r="Q6" s="9">
        <v>-2600</v>
      </c>
      <c r="R6" s="9"/>
      <c r="S6" s="48">
        <v>-2000</v>
      </c>
      <c r="T6" s="21">
        <f t="shared" si="4"/>
        <v>27400</v>
      </c>
      <c r="U6" s="53">
        <f>IF($J6="","",ROUND(($J6-$J$3)/1000,1)+(_xlfn.RANK.AVG($J6,($J6,$O6,$T6),1)-2)*10)</f>
        <v>21.5</v>
      </c>
      <c r="V6" s="54">
        <f>IF($O6="","",ROUND(($O6-$O$3)/1000,1)+(_xlfn.RANK.AVG($O6,($J6,$O6,$T6),1)-2)*10)</f>
        <v>-3.9</v>
      </c>
      <c r="W6" s="55">
        <f>IF($T6="","",ROUND(($T6-$T$3)/1000,1)+(_xlfn.RANK.AVG($T6,($J6,$O6,$T6),1)-2)*10)</f>
        <v>-17.600000000000001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40</v>
      </c>
      <c r="AZ6" s="40" t="s">
        <v>86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205</v>
      </c>
      <c r="G7" s="9">
        <v>-3000</v>
      </c>
      <c r="H7" s="9"/>
      <c r="I7" s="48">
        <v>0</v>
      </c>
      <c r="J7" s="21">
        <f t="shared" si="2"/>
        <v>43500</v>
      </c>
      <c r="K7" s="8" t="s">
        <v>206</v>
      </c>
      <c r="L7" s="9">
        <v>6000</v>
      </c>
      <c r="M7" s="9"/>
      <c r="N7" s="48">
        <v>0</v>
      </c>
      <c r="O7" s="21">
        <f t="shared" si="3"/>
        <v>37100</v>
      </c>
      <c r="P7" s="8" t="s">
        <v>205</v>
      </c>
      <c r="Q7" s="9">
        <v>-3000</v>
      </c>
      <c r="R7" s="9"/>
      <c r="S7" s="48">
        <v>0</v>
      </c>
      <c r="T7" s="21">
        <f t="shared" si="4"/>
        <v>24400</v>
      </c>
      <c r="U7" s="53">
        <f>IF($J7="","",ROUND(($J7-$J$3)/1000,1)+(_xlfn.RANK.AVG($J7,($J7,$O7,$T7),1)-2)*10)</f>
        <v>18.5</v>
      </c>
      <c r="V7" s="54">
        <f>IF($O7="","",ROUND(($O7-$O$3)/1000,1)+(_xlfn.RANK.AVG($O7,($J7,$O7,$T7),1)-2)*10)</f>
        <v>2.1</v>
      </c>
      <c r="W7" s="55">
        <f>IF($T7="","",ROUND(($T7-$T$3)/1000,1)+(_xlfn.RANK.AVG($T7,($J7,$O7,$T7),1)-2)*10)</f>
        <v>-20.6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199</v>
      </c>
      <c r="BA7" s="41" t="s">
        <v>82</v>
      </c>
      <c r="BB7" s="41" t="s">
        <v>84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204</v>
      </c>
      <c r="G8" s="9">
        <v>-3000</v>
      </c>
      <c r="H8" s="9"/>
      <c r="I8" s="48"/>
      <c r="J8" s="21">
        <f t="shared" si="2"/>
        <v>40500</v>
      </c>
      <c r="K8" s="8" t="s">
        <v>204</v>
      </c>
      <c r="L8" s="9">
        <v>1500</v>
      </c>
      <c r="M8" s="9"/>
      <c r="N8" s="48"/>
      <c r="O8" s="21">
        <f t="shared" si="3"/>
        <v>38600</v>
      </c>
      <c r="P8" s="8" t="s">
        <v>204</v>
      </c>
      <c r="Q8" s="9">
        <v>1500</v>
      </c>
      <c r="R8" s="9"/>
      <c r="S8" s="48"/>
      <c r="T8" s="21">
        <f t="shared" si="4"/>
        <v>25900</v>
      </c>
      <c r="U8" s="53">
        <f>IF($J8="","",ROUND(($J8-$J$3)/1000,1)+(_xlfn.RANK.AVG($J8,($J8,$O8,$T8),1)-2)*10)</f>
        <v>15.5</v>
      </c>
      <c r="V8" s="54">
        <f>IF($O8="","",ROUND(($O8-$O$3)/1000,1)+(_xlfn.RANK.AVG($O8,($J8,$O8,$T8),1)-2)*10)</f>
        <v>3.6</v>
      </c>
      <c r="W8" s="55">
        <f>IF($T8="","",ROUND(($T8-$T$3)/1000,1)+(_xlfn.RANK.AVG($T8,($J8,$O8,$T8),1)-2)*10)</f>
        <v>-19.100000000000001</v>
      </c>
      <c r="Y8" s="8" t="s">
        <v>203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204</v>
      </c>
      <c r="G9" s="9">
        <v>1500</v>
      </c>
      <c r="H9" s="9"/>
      <c r="I9" s="48"/>
      <c r="J9" s="21">
        <f t="shared" si="2"/>
        <v>42000</v>
      </c>
      <c r="K9" s="8" t="s">
        <v>204</v>
      </c>
      <c r="L9" s="9">
        <v>1500</v>
      </c>
      <c r="M9" s="9"/>
      <c r="N9" s="48"/>
      <c r="O9" s="21">
        <f t="shared" si="3"/>
        <v>40100</v>
      </c>
      <c r="P9" s="8" t="s">
        <v>204</v>
      </c>
      <c r="Q9" s="9">
        <v>-3000</v>
      </c>
      <c r="R9" s="9"/>
      <c r="S9" s="48"/>
      <c r="T9" s="21">
        <f t="shared" si="4"/>
        <v>22900</v>
      </c>
      <c r="U9" s="53">
        <f>IF($J9="","",ROUND(($J9-$J$3)/1000,1)+(_xlfn.RANK.AVG($J9,($J9,$O9,$T9),1)-2)*10)</f>
        <v>17</v>
      </c>
      <c r="V9" s="54">
        <f>IF($O9="","",ROUND(($O9-$O$3)/1000,1)+(_xlfn.RANK.AVG($O9,($J9,$O9,$T9),1)-2)*10)</f>
        <v>5.0999999999999996</v>
      </c>
      <c r="W9" s="55">
        <f>IF($T9="","",ROUND(($T9-$T$3)/1000,1)+(_xlfn.RANK.AVG($T9,($J9,$O9,$T9),1)-2)*10)</f>
        <v>-22.1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193</v>
      </c>
      <c r="F10" s="8" t="s">
        <v>197</v>
      </c>
      <c r="G10" s="9">
        <v>8000</v>
      </c>
      <c r="H10" s="9"/>
      <c r="I10" s="48">
        <v>3000</v>
      </c>
      <c r="J10" s="21">
        <f t="shared" si="2"/>
        <v>53000</v>
      </c>
      <c r="K10" s="8"/>
      <c r="L10" s="9"/>
      <c r="M10" s="9"/>
      <c r="N10" s="48"/>
      <c r="O10" s="21">
        <f t="shared" si="3"/>
        <v>40100</v>
      </c>
      <c r="P10" s="8" t="s">
        <v>198</v>
      </c>
      <c r="Q10" s="9">
        <v>-8000</v>
      </c>
      <c r="R10" s="9"/>
      <c r="S10" s="48">
        <v>-3000</v>
      </c>
      <c r="T10" s="21">
        <f t="shared" si="4"/>
        <v>11900</v>
      </c>
      <c r="U10" s="53">
        <f>IF($J10="","",ROUND(($J10-$J$3)/1000,1)+(_xlfn.RANK.AVG($J10,($J10,$O10,$T10),1)-2)*10)</f>
        <v>28</v>
      </c>
      <c r="V10" s="54">
        <f>IF($O10="","",ROUND(($O10-$O$3)/1000,1)+(_xlfn.RANK.AVG($O10,($J10,$O10,$T10),1)-2)*10)</f>
        <v>5.0999999999999996</v>
      </c>
      <c r="W10" s="55">
        <f>IF($T10="","",ROUND(($T10-$T$3)/1000,1)+(_xlfn.RANK.AVG($T10,($J10,$O10,$T10),1)-2)*10)</f>
        <v>-33.1</v>
      </c>
      <c r="Y10" s="8"/>
      <c r="Z10" s="34"/>
      <c r="AA10" s="26"/>
      <c r="AB10" s="26">
        <v>1</v>
      </c>
      <c r="AC10" s="26">
        <v>5</v>
      </c>
      <c r="AD10" s="30" t="s">
        <v>207</v>
      </c>
      <c r="AE10" s="40" t="s">
        <v>86</v>
      </c>
      <c r="AF10" s="41" t="s">
        <v>86</v>
      </c>
      <c r="AG10" s="41" t="s">
        <v>201</v>
      </c>
      <c r="AH10" s="41" t="s">
        <v>79</v>
      </c>
      <c r="AI10" s="41" t="s">
        <v>79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-12000</v>
      </c>
      <c r="H11" s="9"/>
      <c r="I11" s="48">
        <v>0</v>
      </c>
      <c r="J11" s="21">
        <f t="shared" si="2"/>
        <v>41000</v>
      </c>
      <c r="K11" s="8"/>
      <c r="L11" s="9"/>
      <c r="M11" s="9"/>
      <c r="N11" s="48"/>
      <c r="O11" s="21">
        <f t="shared" si="3"/>
        <v>40100</v>
      </c>
      <c r="P11" s="8" t="s">
        <v>197</v>
      </c>
      <c r="Q11" s="9">
        <v>12000</v>
      </c>
      <c r="R11" s="9"/>
      <c r="S11" s="48">
        <v>0</v>
      </c>
      <c r="T11" s="21">
        <f t="shared" si="4"/>
        <v>23900</v>
      </c>
      <c r="U11" s="53">
        <f>IF($J11="","",ROUND(($J11-$J$3)/1000,1)+(_xlfn.RANK.AVG($J11,($J11,$O11,$T11),1)-2)*10)</f>
        <v>16</v>
      </c>
      <c r="V11" s="54">
        <f>IF($O11="","",ROUND(($O11-$O$3)/1000,1)+(_xlfn.RANK.AVG($O11,($J11,$O11,$T11),1)-2)*10)</f>
        <v>5.0999999999999996</v>
      </c>
      <c r="W11" s="55">
        <f>IF($T11="","",ROUND(($T11-$T$3)/1000,1)+(_xlfn.RANK.AVG($T11,($J11,$O11,$T11),1)-2)*10)</f>
        <v>-21.1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207</v>
      </c>
      <c r="BU11" s="40" t="s">
        <v>199</v>
      </c>
      <c r="BV11" s="41" t="s">
        <v>83</v>
      </c>
      <c r="BW11" s="41" t="s">
        <v>200</v>
      </c>
      <c r="BX11" s="41" t="s">
        <v>80</v>
      </c>
      <c r="BY11" s="41" t="s">
        <v>80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205</v>
      </c>
      <c r="G12" s="9">
        <v>-3000</v>
      </c>
      <c r="H12" s="9"/>
      <c r="I12" s="48">
        <v>-500</v>
      </c>
      <c r="J12" s="21">
        <f t="shared" si="2"/>
        <v>37500</v>
      </c>
      <c r="K12" s="8" t="s">
        <v>205</v>
      </c>
      <c r="L12" s="9">
        <v>-3000</v>
      </c>
      <c r="M12" s="9">
        <v>-1000</v>
      </c>
      <c r="N12" s="48">
        <v>-500</v>
      </c>
      <c r="O12" s="21">
        <f t="shared" si="3"/>
        <v>35600</v>
      </c>
      <c r="P12" s="8" t="s">
        <v>206</v>
      </c>
      <c r="Q12" s="9">
        <v>6000</v>
      </c>
      <c r="R12" s="9">
        <v>1000</v>
      </c>
      <c r="S12" s="48">
        <v>1000</v>
      </c>
      <c r="T12" s="21">
        <f t="shared" si="4"/>
        <v>31900</v>
      </c>
      <c r="U12" s="53">
        <f>IF($J12="","",ROUND(($J12-$J$3)/1000,1)+(_xlfn.RANK.AVG($J12,($J12,$O12,$T12),1)-2)*10)</f>
        <v>12.5</v>
      </c>
      <c r="V12" s="54">
        <f>IF($O12="","",ROUND(($O12-$O$3)/1000,1)+(_xlfn.RANK.AVG($O12,($J12,$O12,$T12),1)-2)*10)</f>
        <v>0.6</v>
      </c>
      <c r="W12" s="55">
        <f>IF($T12="","",ROUND(($T12-$T$3)/1000,1)+(_xlfn.RANK.AVG($T12,($J12,$O12,$T12),1)-2)*10)</f>
        <v>-13.1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30</v>
      </c>
      <c r="BU12" s="40" t="s">
        <v>199</v>
      </c>
      <c r="BV12" s="41" t="s">
        <v>82</v>
      </c>
      <c r="BW12" s="41" t="s">
        <v>201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東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>
        <f t="shared" si="2"/>
        <v>37500</v>
      </c>
      <c r="K13" s="8" t="s">
        <v>197</v>
      </c>
      <c r="L13" s="9">
        <v>12000</v>
      </c>
      <c r="M13" s="9"/>
      <c r="N13" s="48">
        <v>2000</v>
      </c>
      <c r="O13" s="21">
        <f t="shared" si="3"/>
        <v>49600</v>
      </c>
      <c r="P13" s="8" t="s">
        <v>198</v>
      </c>
      <c r="Q13" s="9">
        <v>-12000</v>
      </c>
      <c r="R13" s="9"/>
      <c r="S13" s="48">
        <v>-2000</v>
      </c>
      <c r="T13" s="21">
        <f t="shared" si="4"/>
        <v>17900</v>
      </c>
      <c r="U13" s="53">
        <f>IF($J13="","",ROUND(($J13-$J$3)/1000,1)+(_xlfn.RANK.AVG($J13,($J13,$O13,$T13),1)-2)*10)</f>
        <v>2.5</v>
      </c>
      <c r="V13" s="54">
        <f>IF($O13="","",ROUND(($O13-$O$3)/1000,1)+(_xlfn.RANK.AVG($O13,($J13,$O13,$T13),1)-2)*10)</f>
        <v>24.6</v>
      </c>
      <c r="W13" s="55">
        <f>IF($T13="","",ROUND(($T13-$T$3)/1000,1)+(_xlfn.RANK.AVG($T13,($J13,$O13,$T13),1)-2)*10)</f>
        <v>-27.1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7</v>
      </c>
      <c r="AY13" s="30" t="s">
        <v>207</v>
      </c>
      <c r="AZ13" s="40" t="s">
        <v>199</v>
      </c>
      <c r="BA13" s="41" t="s">
        <v>200</v>
      </c>
      <c r="BB13" s="41" t="s">
        <v>84</v>
      </c>
      <c r="BC13" s="41" t="s">
        <v>79</v>
      </c>
      <c r="BD13" s="41" t="s">
        <v>80</v>
      </c>
      <c r="BE13" s="41" t="s">
        <v>80</v>
      </c>
      <c r="BF13" s="41" t="s">
        <v>201</v>
      </c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>
        <f t="shared" si="2"/>
        <v>37500</v>
      </c>
      <c r="K14" s="8" t="s">
        <v>197</v>
      </c>
      <c r="L14" s="9">
        <v>2600</v>
      </c>
      <c r="M14" s="9"/>
      <c r="N14" s="48">
        <v>0</v>
      </c>
      <c r="O14" s="21">
        <f t="shared" si="3"/>
        <v>52200</v>
      </c>
      <c r="P14" s="8" t="s">
        <v>198</v>
      </c>
      <c r="Q14" s="9">
        <v>-2600</v>
      </c>
      <c r="R14" s="9"/>
      <c r="S14" s="48">
        <v>0</v>
      </c>
      <c r="T14" s="21">
        <f t="shared" si="4"/>
        <v>15300</v>
      </c>
      <c r="U14" s="53">
        <f>IF($J14="","",ROUND(($J14-$J$3)/1000,1)+(_xlfn.RANK.AVG($J14,($J14,$O14,$T14),1)-2)*10)</f>
        <v>2.5</v>
      </c>
      <c r="V14" s="54">
        <f>IF($O14="","",ROUND(($O14-$O$3)/1000,1)+(_xlfn.RANK.AVG($O14,($J14,$O14,$T14),1)-2)*10)</f>
        <v>27.2</v>
      </c>
      <c r="W14" s="55">
        <f>IF($T14="","",ROUND(($T14-$T$3)/1000,1)+(_xlfn.RANK.AVG($T14,($J14,$O14,$T14),1)-2)*10)</f>
        <v>-29.7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40</v>
      </c>
      <c r="AZ14" s="40" t="s">
        <v>84</v>
      </c>
      <c r="BA14" s="41" t="s">
        <v>201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193</v>
      </c>
      <c r="F15" s="8" t="s">
        <v>205</v>
      </c>
      <c r="G15" s="9">
        <v>-1500</v>
      </c>
      <c r="H15" s="9"/>
      <c r="I15" s="48">
        <v>0</v>
      </c>
      <c r="J15" s="21">
        <f t="shared" si="2"/>
        <v>36000</v>
      </c>
      <c r="K15" s="8" t="s">
        <v>206</v>
      </c>
      <c r="L15" s="9">
        <v>3000</v>
      </c>
      <c r="M15" s="9"/>
      <c r="N15" s="48">
        <v>0</v>
      </c>
      <c r="O15" s="21">
        <f t="shared" si="3"/>
        <v>55200</v>
      </c>
      <c r="P15" s="8" t="s">
        <v>205</v>
      </c>
      <c r="Q15" s="9">
        <v>-1500</v>
      </c>
      <c r="R15" s="9"/>
      <c r="S15" s="48">
        <v>0</v>
      </c>
      <c r="T15" s="21">
        <f t="shared" si="4"/>
        <v>13800</v>
      </c>
      <c r="U15" s="53">
        <f>IF($J15="","",ROUND(($J15-$J$3)/1000,1)+(_xlfn.RANK.AVG($J15,($J15,$O15,$T15),1)-2)*10)</f>
        <v>1</v>
      </c>
      <c r="V15" s="54">
        <f>IF($O15="","",ROUND(($O15-$O$3)/1000,1)+(_xlfn.RANK.AVG($O15,($J15,$O15,$T15),1)-2)*10)</f>
        <v>30.2</v>
      </c>
      <c r="W15" s="55">
        <f>IF($T15="","",ROUND(($T15-$T$3)/1000,1)+(_xlfn.RANK.AVG($T15,($J15,$O15,$T15),1)-2)*10)</f>
        <v>-31.2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2</v>
      </c>
      <c r="AY15" s="30">
        <v>30</v>
      </c>
      <c r="AZ15" s="40" t="s">
        <v>86</v>
      </c>
      <c r="BA15" s="41" t="s">
        <v>201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193</v>
      </c>
      <c r="F16" s="8" t="s">
        <v>204</v>
      </c>
      <c r="G16" s="9">
        <v>0</v>
      </c>
      <c r="H16" s="9"/>
      <c r="I16" s="48"/>
      <c r="J16" s="21">
        <f t="shared" si="2"/>
        <v>36000</v>
      </c>
      <c r="K16" s="8" t="s">
        <v>204</v>
      </c>
      <c r="L16" s="9">
        <v>0</v>
      </c>
      <c r="M16" s="9"/>
      <c r="N16" s="48"/>
      <c r="O16" s="21">
        <f t="shared" si="3"/>
        <v>55200</v>
      </c>
      <c r="P16" s="8" t="s">
        <v>204</v>
      </c>
      <c r="Q16" s="9">
        <v>0</v>
      </c>
      <c r="R16" s="9"/>
      <c r="S16" s="48"/>
      <c r="T16" s="21">
        <f t="shared" si="4"/>
        <v>13800</v>
      </c>
      <c r="U16" s="53">
        <f>IF($J16="","",ROUND(($J16-$J$3)/1000,1)+(_xlfn.RANK.AVG($J16,($J16,$O16,$T16),1)-2)*10)</f>
        <v>1</v>
      </c>
      <c r="V16" s="54">
        <f>IF($O16="","",ROUND(($O16-$O$3)/1000,1)+(_xlfn.RANK.AVG($O16,($J16,$O16,$T16),1)-2)*10)</f>
        <v>30.2</v>
      </c>
      <c r="W16" s="55">
        <f>IF($T16="","",ROUND(($T16-$T$3)/1000,1)+(_xlfn.RANK.AVG($T16,($J16,$O16,$T16),1)-2)*10)</f>
        <v>-31.2</v>
      </c>
      <c r="Y16" s="8" t="s">
        <v>203</v>
      </c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203</v>
      </c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203</v>
      </c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">
        <v>195</v>
      </c>
      <c r="F17" s="8"/>
      <c r="G17" s="9"/>
      <c r="H17" s="9"/>
      <c r="I17" s="48"/>
      <c r="J17" s="21">
        <f t="shared" si="2"/>
        <v>36000</v>
      </c>
      <c r="K17" s="8" t="s">
        <v>198</v>
      </c>
      <c r="L17" s="9">
        <v>-2000</v>
      </c>
      <c r="M17" s="9"/>
      <c r="N17" s="48">
        <v>-2000</v>
      </c>
      <c r="O17" s="21">
        <f t="shared" si="3"/>
        <v>51200</v>
      </c>
      <c r="P17" s="8" t="s">
        <v>197</v>
      </c>
      <c r="Q17" s="9">
        <v>2000</v>
      </c>
      <c r="R17" s="9"/>
      <c r="S17" s="48">
        <v>2000</v>
      </c>
      <c r="T17" s="21">
        <f t="shared" si="4"/>
        <v>17800</v>
      </c>
      <c r="U17" s="53">
        <f>IF($J17="","",ROUND(($J17-$J$3)/1000,1)+(_xlfn.RANK.AVG($J17,($J17,$O17,$T17),1)-2)*10)</f>
        <v>1</v>
      </c>
      <c r="V17" s="54">
        <f>IF($O17="","",ROUND(($O17-$O$3)/1000,1)+(_xlfn.RANK.AVG($O17,($J17,$O17,$T17),1)-2)*10)</f>
        <v>26.2</v>
      </c>
      <c r="W17" s="55">
        <f>IF($T17="","",ROUND(($T17-$T$3)/1000,1)+(_xlfn.RANK.AVG($T17,($J17,$O17,$T17),1)-2)*10)</f>
        <v>-27.2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>
        <v>1</v>
      </c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>
        <v>1</v>
      </c>
      <c r="BT17" s="30">
        <v>40</v>
      </c>
      <c r="BU17" s="40" t="s">
        <v>84</v>
      </c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南</v>
      </c>
      <c r="B18" s="18">
        <f t="shared" si="5"/>
        <v>3</v>
      </c>
      <c r="C18" s="18">
        <f t="shared" si="6"/>
        <v>3</v>
      </c>
      <c r="D18" s="18">
        <f t="shared" si="1"/>
        <v>0</v>
      </c>
      <c r="E18" s="4" t="s">
        <v>195</v>
      </c>
      <c r="F18" s="8" t="s">
        <v>198</v>
      </c>
      <c r="G18" s="9">
        <v>-8000</v>
      </c>
      <c r="H18" s="9">
        <v>-1000</v>
      </c>
      <c r="I18" s="48">
        <v>-3000</v>
      </c>
      <c r="J18" s="21">
        <f t="shared" si="2"/>
        <v>24000</v>
      </c>
      <c r="K18" s="8" t="s">
        <v>197</v>
      </c>
      <c r="L18" s="9">
        <v>8000</v>
      </c>
      <c r="M18" s="9">
        <v>1000</v>
      </c>
      <c r="N18" s="48">
        <v>3000</v>
      </c>
      <c r="O18" s="21">
        <f t="shared" si="3"/>
        <v>63200</v>
      </c>
      <c r="P18" s="8"/>
      <c r="Q18" s="9"/>
      <c r="R18" s="9"/>
      <c r="S18" s="48"/>
      <c r="T18" s="21">
        <f t="shared" si="4"/>
        <v>17800</v>
      </c>
      <c r="U18" s="53">
        <f>IF($J18="","",ROUND(($J18-$J$3)/1000,1)+(_xlfn.RANK.AVG($J18,($J18,$O18,$T18),1)-2)*10)</f>
        <v>-11</v>
      </c>
      <c r="V18" s="54">
        <f>IF($O18="","",ROUND(($O18-$O$3)/1000,1)+(_xlfn.RANK.AVG($O18,($J18,$O18,$T18),1)-2)*10)</f>
        <v>38.200000000000003</v>
      </c>
      <c r="W18" s="55">
        <f>IF($T18="","",ROUND(($T18-$T$3)/1000,1)+(_xlfn.RANK.AVG($T18,($J18,$O18,$T18),1)-2)*10)</f>
        <v>-27.2</v>
      </c>
      <c r="Y18" s="8"/>
      <c r="Z18" s="34"/>
      <c r="AA18" s="26">
        <v>1</v>
      </c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>
        <v>1</v>
      </c>
      <c r="AW18" s="26"/>
      <c r="AX18" s="26">
        <v>5</v>
      </c>
      <c r="AY18" s="30" t="s">
        <v>207</v>
      </c>
      <c r="AZ18" s="40" t="s">
        <v>199</v>
      </c>
      <c r="BA18" s="41" t="s">
        <v>79</v>
      </c>
      <c r="BB18" s="41" t="s">
        <v>79</v>
      </c>
      <c r="BC18" s="41" t="s">
        <v>79</v>
      </c>
      <c r="BD18" s="41" t="s">
        <v>201</v>
      </c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>西</v>
      </c>
      <c r="B19" s="18">
        <f t="shared" si="5"/>
        <v>1</v>
      </c>
      <c r="C19" s="18">
        <f t="shared" si="6"/>
        <v>0</v>
      </c>
      <c r="D19" s="18">
        <f t="shared" si="1"/>
        <v>0</v>
      </c>
      <c r="E19" s="4" t="s">
        <v>191</v>
      </c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EB80C8D-B9CB-4C41-B28E-89FAC1E0F18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2020-01-15T15:06:41Z</dcterms:modified>
</cp:coreProperties>
</file>