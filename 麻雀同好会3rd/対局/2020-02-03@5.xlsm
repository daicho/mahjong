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85F0B238-4EB3-4B0F-A35B-4B56579A7392}" xr6:coauthVersionLast="44" xr6:coauthVersionMax="44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V13" i="19" s="1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W13" i="19"/>
  <c r="W12" i="19"/>
  <c r="V12" i="19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<sst xmlns="http://schemas.openxmlformats.org/spreadsheetml/2006/main" count="599" uniqueCount="204">
  <si>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</si>
  <si>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</si>
  <si>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</si>
  <si>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</si>
  <si>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</si>
  <si>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</si>
  <si>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</si>
  <si>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</si>
  <si>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</si>
  <si>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</si>
  <si>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</si>
  <si>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</si>
  <si>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</si>
  <si>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</si>
  <si>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</si>
  <si>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</si>
  <si>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</si>
  <si>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</si>
  <si>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</si>
  <si>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</si>
  <si>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</si>
  <si>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</si>
  <si>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</si>
  <si>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</si>
  <si>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</si>
  <si>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</si>
  <si>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</si>
  <si>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</si>
  <si>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</si>
  <si>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</si>
  <si>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</si>
  <si>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</si>
  <si>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</si>
  <si>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</si>
  <si>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</si>
  <si>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</si>
  <si>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</si>
  <si>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</si>
  <si>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</si>
  <si>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</si>
  <si>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</si>
  <si>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</si>
  <si>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</si>
  <si>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</si>
  <si>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</si>
  <si>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</si>
  <si>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</si>
  <si>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</si>
  <si>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</si>
  <si>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</si>
  <si>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</si>
  <si>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</si>
  <si>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</si>
  <si>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</si>
  <si>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</si>
  <si>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</si>
  <si>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</si>
  <si>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</si>
  <si>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</si>
  <si>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</si>
  <si>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</si>
  <si>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</si>
  <si>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</si>
  <si>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</si>
  <si>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</si>
  <si>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</si>
  <si>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</si>
  <si>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</si>
  <si>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</si>
  <si>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</si>
  <si>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</si>
  <si>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</si>
  <si>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</si>
  <si>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</si>
  <si>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</si>
  <si>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</si>
  <si>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</si>
  <si>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</si>
  <si>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</si>
  <si>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</si>
  <si>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</si>
  <si>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</si>
  <si>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</si>
  <si>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</si>
  <si>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</si>
  <si>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</si>
  <si>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</si>
  <si>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</si>
  <si>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</si>
  <si>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</si>
  <si>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</si>
  <si>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</si>
  <si>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</si>
  <si>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</si>
  <si>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</si>
  <si>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</si>
  <si>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</si>
  <si>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</si>
  <si>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</si>
  <si>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</si>
  <si>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</si>
  <si>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</si>
  <si>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</si>
  <si>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</si>
  <si>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</si>
  <si>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</si>
  <si>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</si>
  <si>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</si>
  <si>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</si>
  <si>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</si>
  <si>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</si>
  <si>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</si>
  <si>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</si>
  <si>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</si>
  <si>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</si>
  <si>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</si>
  <si>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</si>
  <si>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</si>
  <si>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</si>
  <si>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</si>
  <si>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</si>
  <si>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</si>
  <si>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</si>
  <si>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</si>
  <si>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</si>
  <si>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</si>
  <si>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</si>
  <si>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</si>
  <si>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</si>
  <si>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</si>
  <si>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</si>
  <si>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</si>
  <si>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</si>
  <si>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</si>
  <si>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</si>
  <si>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</si>
  <si>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</si>
  <si>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</si>
  <si>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</si>
  <si>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</si>
  <si>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</si>
  <si>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</si>
  <si>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</si>
  <si>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</si>
  <si>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</si>
  <si>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</si>
  <si>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</si>
  <si>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</si>
  <si>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</si>
  <si>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</si>
  <si>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</si>
  <si>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</si>
  <si>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</si>
  <si>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</si>
  <si>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</si>
  <si>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</si>
  <si>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</si>
  <si>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</si>
  <si>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</si>
  <si>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</si>
  <si>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</si>
  <si>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</si>
  <si>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</si>
  <si>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</si>
  <si>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</si>
  <si>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</si>
  <si>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</si>
  <si>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</si>
  <si>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</si>
  <si>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</si>
  <si>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</si>
  <si>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</si>
  <si>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</si>
  <si>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</si>
  <si>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</si>
  <si>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</si>
  <si>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</si>
  <si>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</si>
  <si>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</si>
  <si>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</si>
  <si>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</si>
  <si>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</si>
  <si>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</si>
  <si>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</si>
  <si>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</si>
  <si>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</si>
  <si>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</si>
  <si>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</si>
  <si>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</si>
  <si>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</si>
  <si>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</si>
  <si>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</si>
  <si>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れんたろう</t>
  </si>
  <si>
    <t>のり</t>
  </si>
  <si>
    <t>ロン</t>
  </si>
  <si>
    <t>放銃</t>
  </si>
  <si>
    <t>52</t>
  </si>
  <si>
    <t>ツモ</t>
  </si>
  <si>
    <t>ツモ支払</t>
  </si>
  <si>
    <t>*</t>
  </si>
  <si>
    <t>01</t>
  </si>
  <si>
    <t>流局</t>
  </si>
  <si>
    <t>T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</si>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</sst>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C1" zoomScaleNormal="100" workbookViewId="0">
      <selection activeCell="P1" sqref="P1:T1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のり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194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85</v>
      </c>
      <c r="AF4" s="41" t="s">
        <v>196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/>
      <c r="I5" s="48">
        <v>1000</v>
      </c>
      <c r="J5" s="21">
        <f t="shared" ref="J5:J30" si="2">IF(COUNTA($F5,$K5,$P5)&gt;0,J4+SUM(G5:I5),"")</f>
        <v>56900</v>
      </c>
      <c r="K5" s="8" t="s">
        <v>198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-9000</v>
      </c>
      <c r="R5" s="9"/>
      <c r="S5" s="48">
        <v>-500</v>
      </c>
      <c r="T5" s="21">
        <f t="shared" ref="T5:T30" si="4">IF(COUNTA($F5,$K5,$P5)&gt;0,T4+SUM(Q5:S5),"")</f>
        <v>22600</v>
      </c>
      <c r="U5" s="53">
        <f>IF($J5="","",ROUND(($J5-$J$3)/1000,1)+(_xlfn.RANK.AVG($J5,($J5,$O5,$T5),1)-2)*10)</f>
        <v>31.9</v>
      </c>
      <c r="V5" s="54">
        <f>IF($O5="","",ROUND(($O5-$O$3)/1000,1)+(_xlfn.RANK.AVG($O5,($J5,$O5,$T5),1)-2)*10)</f>
        <v>-9.5</v>
      </c>
      <c r="W5" s="55">
        <f>IF($T5="","",ROUND(($T5-$T$3)/1000,1)+(_xlfn.RANK.AVG($T5,($J5,$O5,$T5),1)-2)*10)</f>
        <v>-22.4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200</v>
      </c>
      <c r="AF5" s="41" t="s">
        <v>82</v>
      </c>
      <c r="AG5" s="41" t="s">
        <v>196</v>
      </c>
      <c r="AH5" s="41" t="s">
        <v>80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194</v>
      </c>
      <c r="G6" s="9">
        <v>11600</v>
      </c>
      <c r="H6" s="9"/>
      <c r="I6" s="48">
        <v>2000</v>
      </c>
      <c r="J6" s="21">
        <f t="shared" si="2"/>
        <v>70500</v>
      </c>
      <c r="K6" s="8"/>
      <c r="L6" s="9"/>
      <c r="M6" s="9"/>
      <c r="N6" s="48"/>
      <c r="O6" s="21">
        <f t="shared" si="3"/>
        <v>25500</v>
      </c>
      <c r="P6" s="8" t="s">
        <v>195</v>
      </c>
      <c r="Q6" s="9">
        <v>-11600</v>
      </c>
      <c r="R6" s="9"/>
      <c r="S6" s="48">
        <v>-2000</v>
      </c>
      <c r="T6" s="21">
        <f t="shared" si="4"/>
        <v>9000</v>
      </c>
      <c r="U6" s="53">
        <f>IF($J6="","",ROUND(($J6-$J$3)/1000,1)+(_xlfn.RANK.AVG($J6,($J6,$O6,$T6),1)-2)*10)</f>
        <v>45.5</v>
      </c>
      <c r="V6" s="54">
        <f>IF($O6="","",ROUND(($O6-$O$3)/1000,1)+(_xlfn.RANK.AVG($O6,($J6,$O6,$T6),1)-2)*10)</f>
        <v>-9.5</v>
      </c>
      <c r="W6" s="55">
        <f>IF($T6="","",ROUND(($T6-$T$3)/1000,1)+(_xlfn.RANK.AVG($T6,($J6,$O6,$T6),1)-2)*10)</f>
        <v>-36</v>
      </c>
      <c r="Y6" s="8"/>
      <c r="Z6" s="34"/>
      <c r="AA6" s="26"/>
      <c r="AB6" s="26"/>
      <c r="AC6" s="26">
        <v>4</v>
      </c>
      <c r="AD6" s="30">
        <v>30</v>
      </c>
      <c r="AE6" s="40" t="s">
        <v>83</v>
      </c>
      <c r="AF6" s="41" t="s">
        <v>85</v>
      </c>
      <c r="AG6" s="41" t="s">
        <v>196</v>
      </c>
      <c r="AH6" s="41" t="s">
        <v>196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201</v>
      </c>
      <c r="G7" s="9">
        <v>0</v>
      </c>
      <c r="H7" s="9"/>
      <c r="I7" s="48"/>
      <c r="J7" s="21">
        <f t="shared" si="2"/>
        <v>70500</v>
      </c>
      <c r="K7" s="8" t="s">
        <v>201</v>
      </c>
      <c r="L7" s="9">
        <v>0</v>
      </c>
      <c r="M7" s="9"/>
      <c r="N7" s="48"/>
      <c r="O7" s="21">
        <f t="shared" si="3"/>
        <v>25500</v>
      </c>
      <c r="P7" s="8" t="s">
        <v>201</v>
      </c>
      <c r="Q7" s="9">
        <v>0</v>
      </c>
      <c r="R7" s="9"/>
      <c r="S7" s="48"/>
      <c r="T7" s="21">
        <f t="shared" si="4"/>
        <v>9000</v>
      </c>
      <c r="U7" s="53">
        <f>IF($J7="","",ROUND(($J7-$J$3)/1000,1)+(_xlfn.RANK.AVG($J7,($J7,$O7,$T7),1)-2)*10)</f>
        <v>45.5</v>
      </c>
      <c r="V7" s="54">
        <f>IF($O7="","",ROUND(($O7-$O$3)/1000,1)+(_xlfn.RANK.AVG($O7,($J7,$O7,$T7),1)-2)*10)</f>
        <v>-9.5</v>
      </c>
      <c r="W7" s="55">
        <f>IF($T7="","",ROUND(($T7-$T$3)/1000,1)+(_xlfn.RANK.AVG($T7,($J7,$O7,$T7),1)-2)*10)</f>
        <v>-36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191</v>
      </c>
      <c r="F8" s="8" t="s">
        <v>201</v>
      </c>
      <c r="G8" s="9">
        <v>0</v>
      </c>
      <c r="H8" s="9">
        <v>-1000</v>
      </c>
      <c r="I8" s="48"/>
      <c r="J8" s="21">
        <f t="shared" si="2"/>
        <v>69500</v>
      </c>
      <c r="K8" s="8" t="s">
        <v>201</v>
      </c>
      <c r="L8" s="9">
        <v>0</v>
      </c>
      <c r="M8" s="9"/>
      <c r="N8" s="48"/>
      <c r="O8" s="21">
        <f t="shared" si="3"/>
        <v>25500</v>
      </c>
      <c r="P8" s="8" t="s">
        <v>201</v>
      </c>
      <c r="Q8" s="9">
        <v>0</v>
      </c>
      <c r="R8" s="9"/>
      <c r="S8" s="48"/>
      <c r="T8" s="21">
        <f t="shared" si="4"/>
        <v>9000</v>
      </c>
      <c r="U8" s="53">
        <f>IF($J8="","",ROUND(($J8-$J$3)/1000,1)+(_xlfn.RANK.AVG($J8,($J8,$O8,$T8),1)-2)*10)</f>
        <v>44.5</v>
      </c>
      <c r="V8" s="54">
        <f>IF($O8="","",ROUND(($O8-$O$3)/1000,1)+(_xlfn.RANK.AVG($O8,($J8,$O8,$T8),1)-2)*10)</f>
        <v>-9.5</v>
      </c>
      <c r="W8" s="55">
        <f>IF($T8="","",ROUND(($T8-$T$3)/1000,1)+(_xlfn.RANK.AVG($T8,($J8,$O8,$T8),1)-2)*10)</f>
        <v>-36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1</v>
      </c>
      <c r="E9" s="4" t="s">
        <v>191</v>
      </c>
      <c r="F9" s="8"/>
      <c r="G9" s="9"/>
      <c r="H9" s="9"/>
      <c r="I9" s="48"/>
      <c r="J9" s="21">
        <f t="shared" si="2"/>
        <v>69500</v>
      </c>
      <c r="K9" s="8" t="s">
        <v>195</v>
      </c>
      <c r="L9" s="9">
        <v>-2600</v>
      </c>
      <c r="M9" s="9"/>
      <c r="N9" s="48">
        <v>-5000</v>
      </c>
      <c r="O9" s="21">
        <f t="shared" si="3"/>
        <v>17900</v>
      </c>
      <c r="P9" s="8" t="s">
        <v>194</v>
      </c>
      <c r="Q9" s="9">
        <v>2600</v>
      </c>
      <c r="R9" s="9">
        <v>1000</v>
      </c>
      <c r="S9" s="48">
        <v>5000</v>
      </c>
      <c r="T9" s="21">
        <f t="shared" si="4"/>
        <v>17600</v>
      </c>
      <c r="U9" s="53">
        <f>IF($J9="","",ROUND(($J9-$J$3)/1000,1)+(_xlfn.RANK.AVG($J9,($J9,$O9,$T9),1)-2)*10)</f>
        <v>44.5</v>
      </c>
      <c r="V9" s="54">
        <f>IF($O9="","",ROUND(($O9-$O$3)/1000,1)+(_xlfn.RANK.AVG($O9,($J9,$O9,$T9),1)-2)*10)</f>
        <v>-17.100000000000001</v>
      </c>
      <c r="W9" s="55">
        <f>IF($T9="","",ROUND(($T9-$T$3)/1000,1)+(_xlfn.RANK.AVG($T9,($J9,$O9,$T9),1)-2)*10)</f>
        <v>-27.4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200</v>
      </c>
      <c r="BV9" s="41" t="s">
        <v>80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198</v>
      </c>
      <c r="G10" s="9">
        <v>-9000</v>
      </c>
      <c r="H10" s="9"/>
      <c r="I10" s="48">
        <v>0</v>
      </c>
      <c r="J10" s="21">
        <f t="shared" si="2"/>
        <v>60500</v>
      </c>
      <c r="K10" s="8" t="s">
        <v>197</v>
      </c>
      <c r="L10" s="9">
        <v>18000</v>
      </c>
      <c r="M10" s="9"/>
      <c r="N10" s="48">
        <v>0</v>
      </c>
      <c r="O10" s="21">
        <f t="shared" si="3"/>
        <v>35900</v>
      </c>
      <c r="P10" s="8" t="s">
        <v>198</v>
      </c>
      <c r="Q10" s="9">
        <v>-9000</v>
      </c>
      <c r="R10" s="9"/>
      <c r="S10" s="48">
        <v>0</v>
      </c>
      <c r="T10" s="21">
        <f t="shared" si="4"/>
        <v>8600</v>
      </c>
      <c r="U10" s="53">
        <f>IF($J10="","",ROUND(($J10-$J$3)/1000,1)+(_xlfn.RANK.AVG($J10,($J10,$O10,$T10),1)-2)*10)</f>
        <v>35.5</v>
      </c>
      <c r="V10" s="54">
        <f>IF($O10="","",ROUND(($O10-$O$3)/1000,1)+(_xlfn.RANK.AVG($O10,($J10,$O10,$T10),1)-2)*10)</f>
        <v>0.9</v>
      </c>
      <c r="W10" s="55">
        <f>IF($T10="","",ROUND(($T10-$T$3)/1000,1)+(_xlfn.RANK.AVG($T10,($J10,$O10,$T10),1)-2)*10)</f>
        <v>-36.4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199</v>
      </c>
      <c r="AZ10" s="40" t="s">
        <v>86</v>
      </c>
      <c r="BA10" s="41" t="s">
        <v>86</v>
      </c>
      <c r="BB10" s="41" t="s">
        <v>98</v>
      </c>
      <c r="BC10" s="41" t="s">
        <v>104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192</v>
      </c>
      <c r="F11" s="8" t="s">
        <v>195</v>
      </c>
      <c r="G11" s="9">
        <v>-2000</v>
      </c>
      <c r="H11" s="9"/>
      <c r="I11" s="48">
        <v>-1000</v>
      </c>
      <c r="J11" s="21">
        <f t="shared" si="2"/>
        <v>57500</v>
      </c>
      <c r="K11" s="8" t="s">
        <v>194</v>
      </c>
      <c r="L11" s="9">
        <v>2000</v>
      </c>
      <c r="M11" s="9"/>
      <c r="N11" s="48">
        <v>1000</v>
      </c>
      <c r="O11" s="21">
        <f t="shared" si="3"/>
        <v>38900</v>
      </c>
      <c r="P11" s="8"/>
      <c r="Q11" s="9"/>
      <c r="R11" s="9"/>
      <c r="S11" s="48"/>
      <c r="T11" s="21">
        <f t="shared" si="4"/>
        <v>8600</v>
      </c>
      <c r="U11" s="53">
        <f>IF($J11="","",ROUND(($J11-$J$3)/1000,1)+(_xlfn.RANK.AVG($J11,($J11,$O11,$T11),1)-2)*10)</f>
        <v>32.5</v>
      </c>
      <c r="V11" s="54">
        <f>IF($O11="","",ROUND(($O11-$O$3)/1000,1)+(_xlfn.RANK.AVG($O11,($J11,$O11,$T11),1)-2)*10)</f>
        <v>3.9</v>
      </c>
      <c r="W11" s="55">
        <f>IF($T11="","",ROUND(($T11-$T$3)/1000,1)+(_xlfn.RANK.AVG($T11,($J11,$O11,$T11),1)-2)*10)</f>
        <v>-36.4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</v>
      </c>
      <c r="AY11" s="30">
        <v>40</v>
      </c>
      <c r="AZ11" s="40" t="s">
        <v>200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東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192</v>
      </c>
      <c r="F12" s="8" t="s">
        <v>201</v>
      </c>
      <c r="G12" s="9">
        <v>1500</v>
      </c>
      <c r="H12" s="9"/>
      <c r="I12" s="48"/>
      <c r="J12" s="21">
        <f t="shared" si="2"/>
        <v>59000</v>
      </c>
      <c r="K12" s="8" t="s">
        <v>201</v>
      </c>
      <c r="L12" s="9">
        <v>1500</v>
      </c>
      <c r="M12" s="9">
        <v>-1000</v>
      </c>
      <c r="N12" s="48"/>
      <c r="O12" s="21">
        <f t="shared" si="3"/>
        <v>39400</v>
      </c>
      <c r="P12" s="8" t="s">
        <v>201</v>
      </c>
      <c r="Q12" s="9">
        <v>-3000</v>
      </c>
      <c r="R12" s="9"/>
      <c r="S12" s="48"/>
      <c r="T12" s="21">
        <f t="shared" si="4"/>
        <v>5600</v>
      </c>
      <c r="U12" s="53">
        <f>IF($J12="","",ROUND(($J12-$J$3)/1000,1)+(_xlfn.RANK.AVG($J12,($J12,$O12,$T12),1)-2)*10)</f>
        <v>34</v>
      </c>
      <c r="V12" s="54">
        <f>IF($O12="","",ROUND(($O12-$O$3)/1000,1)+(_xlfn.RANK.AVG($O12,($J12,$O12,$T12),1)-2)*10)</f>
        <v>4.4000000000000004</v>
      </c>
      <c r="W12" s="55">
        <f>IF($T12="","",ROUND(($T12-$T$3)/1000,1)+(_xlfn.RANK.AVG($T12,($J12,$O12,$T12),1)-2)*10)</f>
        <v>-39.4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東</v>
      </c>
      <c r="B13" s="18">
        <f t="shared" si="5"/>
        <v>2</v>
      </c>
      <c r="C13" s="18">
        <f t="shared" si="6"/>
        <v>3</v>
      </c>
      <c r="D13" s="18">
        <f t="shared" si="1"/>
        <v>1</v>
      </c>
      <c r="E13" s="4" t="s">
        <v>192</v>
      </c>
      <c r="F13" s="8" t="s">
        <v>198</v>
      </c>
      <c r="G13" s="9">
        <v>-5800</v>
      </c>
      <c r="H13" s="9"/>
      <c r="I13" s="48">
        <v>-1500</v>
      </c>
      <c r="J13" s="21">
        <f t="shared" si="2"/>
        <v>51700</v>
      </c>
      <c r="K13" s="8" t="s">
        <v>197</v>
      </c>
      <c r="L13" s="9">
        <v>11600</v>
      </c>
      <c r="M13" s="9">
        <v>1000</v>
      </c>
      <c r="N13" s="48">
        <v>3000</v>
      </c>
      <c r="O13" s="21">
        <f t="shared" si="3"/>
        <v>55000</v>
      </c>
      <c r="P13" s="8" t="s">
        <v>198</v>
      </c>
      <c r="Q13" s="9">
        <v>-5800</v>
      </c>
      <c r="R13" s="9"/>
      <c r="S13" s="48">
        <v>-1500</v>
      </c>
      <c r="T13" s="21">
        <f t="shared" si="4"/>
        <v>-1700</v>
      </c>
      <c r="U13" s="53">
        <f>IF($J13="","",ROUND(($J13-$J$3)/1000,1)+(_xlfn.RANK.AVG($J13,($J13,$O13,$T13),1)-2)*10)</f>
        <v>16.7</v>
      </c>
      <c r="V13" s="54">
        <f>IF($O13="","",ROUND(($O13-$O$3)/1000,1)+(_xlfn.RANK.AVG($O13,($J13,$O13,$T13),1)-2)*10)</f>
        <v>30</v>
      </c>
      <c r="W13" s="55">
        <f>IF($T13="","",ROUND(($T13-$T$3)/1000,1)+(_xlfn.RANK.AVG($T13,($J13,$O13,$T13),1)-2)*10)</f>
        <v>-46.7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30</v>
      </c>
      <c r="AZ13" s="40" t="s">
        <v>91</v>
      </c>
      <c r="BA13" s="41" t="s">
        <v>82</v>
      </c>
      <c r="BB13" s="41" t="s">
        <v>80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>東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192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A80A535-5243-4DB9-B18E-B9E232FD055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2020-02-03T14:14:49Z</dcterms:modified>
</cp:coreProperties>
</file>