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2917CE60-8DB8-4233-A9F1-C291F01E3D52}" xr6:coauthVersionLast="41" xr6:coauthVersionMax="41" xr10:uidLastSave="{00000000-0000-0000-0000-000000000000}"/>
  <bookViews>
    <workbookView xWindow="-120" yWindow="-120" windowWidth="16440" windowHeight="2904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 s="1"/>
  <c r="D10" i="23"/>
  <c r="D9" i="23"/>
  <c r="D8" i="23"/>
  <c r="B6" i="23"/>
  <c r="B7" i="23" s="1"/>
  <c r="A6" i="23"/>
  <c r="D5" i="23"/>
  <c r="D6" i="23" s="1"/>
  <c r="D7" i="23" s="1"/>
  <c r="C5" i="23"/>
  <c r="C6" i="23" s="1"/>
  <c r="C7" i="23" s="1"/>
  <c r="C8" i="23" s="1"/>
  <c r="C9" i="23" s="1"/>
  <c r="C10" i="23" s="1"/>
  <c r="B5" i="23"/>
  <c r="A5" i="23"/>
  <c r="T4" i="23"/>
  <c r="O4" i="23"/>
  <c r="V4" i="23" s="1"/>
  <c r="J4" i="23"/>
  <c r="J5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 s="1"/>
  <c r="D10" i="22"/>
  <c r="C10" i="22"/>
  <c r="D8" i="22"/>
  <c r="D9" i="22" s="1"/>
  <c r="C8" i="22"/>
  <c r="C9" i="22" s="1"/>
  <c r="D7" i="22"/>
  <c r="C7" i="22"/>
  <c r="O6" i="22"/>
  <c r="D6" i="22"/>
  <c r="C6" i="22"/>
  <c r="O5" i="22"/>
  <c r="J5" i="22"/>
  <c r="D5" i="22"/>
  <c r="C5" i="22"/>
  <c r="B5" i="22"/>
  <c r="B6" i="22" s="1"/>
  <c r="T4" i="22"/>
  <c r="W4" i="22" s="1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D9" i="21"/>
  <c r="C9" i="21"/>
  <c r="C10" i="21" s="1"/>
  <c r="D8" i="21"/>
  <c r="C8" i="21"/>
  <c r="D7" i="21"/>
  <c r="C7" i="21"/>
  <c r="D6" i="21"/>
  <c r="C6" i="21"/>
  <c r="B6" i="21"/>
  <c r="A6" i="21" s="1"/>
  <c r="D5" i="21"/>
  <c r="C5" i="21"/>
  <c r="B5" i="21"/>
  <c r="A5" i="21"/>
  <c r="T4" i="2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V11" i="20" s="1"/>
  <c r="J11" i="20"/>
  <c r="U11" i="20" s="1"/>
  <c r="D11" i="20"/>
  <c r="C11" i="20"/>
  <c r="B11" i="20"/>
  <c r="A11" i="20" s="1"/>
  <c r="T10" i="20"/>
  <c r="O10" i="20"/>
  <c r="J10" i="20"/>
  <c r="D10" i="20"/>
  <c r="C10" i="20"/>
  <c r="B10" i="20"/>
  <c r="A10" i="20"/>
  <c r="D9" i="20"/>
  <c r="C9" i="20"/>
  <c r="D8" i="20"/>
  <c r="C8" i="20"/>
  <c r="D7" i="20"/>
  <c r="C7" i="20"/>
  <c r="D6" i="20"/>
  <c r="C6" i="20"/>
  <c r="B6" i="20"/>
  <c r="B7" i="20" s="1"/>
  <c r="D5" i="20"/>
  <c r="C5" i="20"/>
  <c r="B5" i="20"/>
  <c r="A5" i="20" s="1"/>
  <c r="A6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W4" i="23" l="1"/>
  <c r="J6" i="23"/>
  <c r="B8" i="23"/>
  <c r="A7" i="23"/>
  <c r="U4" i="23"/>
  <c r="O5" i="23"/>
  <c r="T5" i="23"/>
  <c r="U5" i="23" s="1"/>
  <c r="V4" i="22"/>
  <c r="B7" i="22"/>
  <c r="U4" i="22"/>
  <c r="T5" i="22"/>
  <c r="V5" i="22" s="1"/>
  <c r="J6" i="22"/>
  <c r="A5" i="22"/>
  <c r="O7" i="22"/>
  <c r="A6" i="22"/>
  <c r="W4" i="21"/>
  <c r="U5" i="21"/>
  <c r="J6" i="21"/>
  <c r="U4" i="21"/>
  <c r="O5" i="21"/>
  <c r="B7" i="21"/>
  <c r="A7" i="21" s="1"/>
  <c r="T5" i="21"/>
  <c r="W11" i="20"/>
  <c r="U10" i="20"/>
  <c r="V10" i="20"/>
  <c r="W10" i="20"/>
  <c r="W4" i="20"/>
  <c r="V4" i="20"/>
  <c r="B8" i="20"/>
  <c r="A8" i="20" s="1"/>
  <c r="J5" i="20"/>
  <c r="A7" i="20"/>
  <c r="O5" i="20"/>
  <c r="T5" i="20"/>
  <c r="W3" i="19"/>
  <c r="V3" i="19"/>
  <c r="U3" i="19"/>
  <c r="O6" i="23" l="1"/>
  <c r="V5" i="23"/>
  <c r="J7" i="23"/>
  <c r="B9" i="23"/>
  <c r="W5" i="23"/>
  <c r="T6" i="23"/>
  <c r="A8" i="23"/>
  <c r="W5" i="22"/>
  <c r="T6" i="22"/>
  <c r="U5" i="22"/>
  <c r="O8" i="22"/>
  <c r="B8" i="22"/>
  <c r="J7" i="22"/>
  <c r="A7" i="22"/>
  <c r="B8" i="21"/>
  <c r="A8" i="21" s="1"/>
  <c r="V5" i="21"/>
  <c r="O6" i="21"/>
  <c r="W5" i="21"/>
  <c r="T6" i="21"/>
  <c r="J7" i="21"/>
  <c r="W5" i="20"/>
  <c r="T6" i="20"/>
  <c r="U5" i="20"/>
  <c r="J6" i="20"/>
  <c r="V5" i="20"/>
  <c r="O6" i="20"/>
  <c r="B9" i="20"/>
  <c r="A9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9" i="23" l="1"/>
  <c r="V6" i="23"/>
  <c r="O7" i="23"/>
  <c r="U7" i="23" s="1"/>
  <c r="B10" i="23"/>
  <c r="A10" i="23" s="1"/>
  <c r="J8" i="23"/>
  <c r="W6" i="23"/>
  <c r="T7" i="23"/>
  <c r="U6" i="23"/>
  <c r="A8" i="22"/>
  <c r="W6" i="22"/>
  <c r="T7" i="22"/>
  <c r="U7" i="22" s="1"/>
  <c r="J8" i="22"/>
  <c r="U6" i="22"/>
  <c r="V6" i="22"/>
  <c r="B9" i="22"/>
  <c r="A9" i="22" s="1"/>
  <c r="O9" i="22"/>
  <c r="U6" i="21"/>
  <c r="J8" i="21"/>
  <c r="W6" i="21"/>
  <c r="T7" i="21"/>
  <c r="V6" i="21"/>
  <c r="O7" i="21"/>
  <c r="U7" i="21" s="1"/>
  <c r="B9" i="21"/>
  <c r="A9" i="21" s="1"/>
  <c r="U6" i="20"/>
  <c r="J7" i="20"/>
  <c r="W6" i="20"/>
  <c r="T7" i="20"/>
  <c r="O7" i="20"/>
  <c r="V6" i="20"/>
  <c r="U9" i="19"/>
  <c r="W9" i="19"/>
  <c r="U8" i="19"/>
  <c r="V8" i="19"/>
  <c r="W8" i="19"/>
  <c r="W7" i="19"/>
  <c r="V7" i="19"/>
  <c r="U6" i="19"/>
  <c r="V6" i="19"/>
  <c r="W6" i="19"/>
  <c r="U4" i="19"/>
  <c r="V4" i="19"/>
  <c r="T5" i="19"/>
  <c r="W4" i="19"/>
  <c r="J5" i="19"/>
  <c r="O5" i="19"/>
  <c r="V5" i="19" s="1"/>
  <c r="J9" i="23" l="1"/>
  <c r="W7" i="23"/>
  <c r="T8" i="23"/>
  <c r="O8" i="23"/>
  <c r="V7" i="23"/>
  <c r="O10" i="22"/>
  <c r="J9" i="22"/>
  <c r="B10" i="22"/>
  <c r="A10" i="22"/>
  <c r="T8" i="22"/>
  <c r="W7" i="22"/>
  <c r="V7" i="22"/>
  <c r="J9" i="21"/>
  <c r="O8" i="21"/>
  <c r="V7" i="21"/>
  <c r="B10" i="21"/>
  <c r="T8" i="21"/>
  <c r="W7" i="21"/>
  <c r="V7" i="20"/>
  <c r="O8" i="20"/>
  <c r="J8" i="20"/>
  <c r="U7" i="20"/>
  <c r="W7" i="20"/>
  <c r="T8" i="20"/>
  <c r="U5" i="19"/>
  <c r="W5" i="19"/>
  <c r="V8" i="23" l="1"/>
  <c r="O9" i="23"/>
  <c r="T9" i="23"/>
  <c r="W8" i="23"/>
  <c r="U9" i="23"/>
  <c r="J10" i="23"/>
  <c r="U8" i="23"/>
  <c r="W8" i="22"/>
  <c r="T9" i="22"/>
  <c r="V8" i="22"/>
  <c r="U8" i="22"/>
  <c r="J10" i="22"/>
  <c r="B11" i="21"/>
  <c r="A11" i="21" s="1"/>
  <c r="W8" i="21"/>
  <c r="T9" i="21"/>
  <c r="V8" i="21"/>
  <c r="O9" i="21"/>
  <c r="U9" i="21" s="1"/>
  <c r="A10" i="21"/>
  <c r="U8" i="21"/>
  <c r="J10" i="21"/>
  <c r="U8" i="20"/>
  <c r="J9" i="20"/>
  <c r="W8" i="20"/>
  <c r="T9" i="20"/>
  <c r="V8" i="20"/>
  <c r="O9" i="20"/>
  <c r="W9" i="23" l="1"/>
  <c r="T10" i="23"/>
  <c r="V9" i="23"/>
  <c r="O10" i="23"/>
  <c r="V10" i="23" s="1"/>
  <c r="W9" i="22"/>
  <c r="T10" i="22"/>
  <c r="W10" i="22" s="1"/>
  <c r="V9" i="22"/>
  <c r="U9" i="22"/>
  <c r="V9" i="21"/>
  <c r="O10" i="21"/>
  <c r="W9" i="21"/>
  <c r="T10" i="21"/>
  <c r="J11" i="21"/>
  <c r="U9" i="20"/>
  <c r="W9" i="20"/>
  <c r="V9" i="20"/>
  <c r="U10" i="23" l="1"/>
  <c r="W10" i="23"/>
  <c r="V10" i="22"/>
  <c r="U10" i="22"/>
  <c r="V10" i="21"/>
  <c r="O11" i="21"/>
  <c r="U10" i="21"/>
  <c r="W10" i="21"/>
  <c r="T11" i="21"/>
  <c r="V11" i="21" l="1"/>
  <c r="U11" i="21"/>
  <c r="W11" i="21"/>
</calcChain>
</file>

<file path=xl/sharedStrings.xml><?xml version="1.0" encoding="utf-8"?>
<sst xmlns="http://schemas.openxmlformats.org/spreadsheetml/2006/main" count="954" uniqueCount="211">
  <si>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</si>
  <si>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</si>
  <si>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</si>
  <si>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</si>
  <si>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</si>
  <si>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</si>
  <si>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</si>
  <si>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</si>
  <si>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</si>
  <si>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</si>
  <si>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</si>
  <si>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</si>
  <si>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</si>
  <si>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</si>
  <si>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</si>
  <si>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</si>
  <si>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</si>
  <si>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</si>
  <si>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</si>
  <si>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</si>
  <si>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</si>
  <si>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</si>
  <si>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</si>
  <si>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</si>
  <si>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</si>
  <si>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</si>
  <si>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</si>
  <si>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</si>
  <si>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</si>
  <si>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</si>
  <si>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</si>
  <si>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</si>
  <si>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</si>
  <si>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</si>
  <si>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</si>
  <si>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</si>
  <si>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</si>
  <si>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</si>
  <si>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</si>
  <si>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</si>
  <si>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</si>
  <si>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</si>
  <si>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</si>
  <si>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</si>
  <si>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</si>
  <si>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</si>
  <si>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</si>
  <si>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</si>
  <si>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</si>
  <si>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</si>
  <si>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</si>
  <si>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</si>
  <si>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</si>
  <si>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</si>
  <si>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</si>
  <si>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</si>
  <si>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</si>
  <si>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</si>
  <si>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</si>
  <si>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</si>
  <si>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</si>
  <si>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</si>
  <si>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</si>
  <si>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</si>
  <si>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</si>
  <si>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</si>
  <si>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</si>
  <si>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</si>
  <si>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</si>
  <si>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</si>
  <si>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</si>
  <si>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</si>
  <si>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</si>
  <si>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</si>
  <si>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</si>
  <si>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</si>
  <si>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</si>
  <si>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</si>
  <si>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</si>
  <si>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</si>
  <si>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</si>
  <si>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</si>
  <si>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</si>
  <si>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</si>
  <si>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</si>
  <si>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</si>
  <si>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</si>
  <si>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</si>
  <si>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</si>
  <si>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</si>
  <si>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</si>
  <si>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</si>
  <si>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</si>
  <si>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</si>
  <si>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</si>
  <si>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</si>
  <si>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</si>
  <si>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</si>
  <si>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</si>
  <si>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</si>
  <si>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</si>
  <si>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</si>
  <si>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</si>
  <si>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</si>
  <si>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</si>
  <si>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</si>
  <si>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</si>
  <si>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</si>
  <si>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</si>
  <si>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</si>
  <si>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</si>
  <si>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</si>
  <si>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</si>
  <si>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</si>
  <si>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</si>
  <si>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</si>
  <si>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</si>
  <si>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</si>
  <si>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</si>
  <si>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</si>
  <si>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</si>
  <si>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</si>
  <si>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</si>
  <si>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</si>
  <si>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</si>
  <si>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</si>
  <si>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</si>
  <si>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</si>
  <si>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</si>
  <si>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</si>
  <si>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</si>
  <si>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</si>
  <si>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</si>
  <si>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</si>
  <si>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</si>
  <si>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</si>
  <si>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</si>
  <si>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</si>
  <si>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</si>
  <si>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</si>
  <si>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</si>
  <si>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</si>
  <si>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</si>
  <si>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</si>
  <si>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</si>
  <si>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</si>
  <si>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</si>
  <si>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</si>
  <si>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</si>
  <si>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</si>
  <si>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</si>
  <si>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</si>
  <si>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</si>
  <si>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</si>
  <si>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</si>
  <si>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</si>
  <si>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</si>
  <si>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</si>
  <si>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</si>
  <si>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</si>
  <si>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</si>
  <si>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</si>
  <si>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</si>
  <si>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</si>
  <si>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</si>
  <si>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</si>
  <si>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</si>
  <si>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</si>
  <si>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</si>
  <si>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</si>
  <si>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</si>
  <si>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</si>
  <si>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</si>
  <si>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</si>
  <si>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</si>
  <si>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</si>
  <si>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</si>
  <si>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</si>
  <si>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</si>
  <si>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</si>
  <si>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</si>
  <si>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</si>
  <si>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</si>
  <si>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</si>
  <si>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</si>
  <si>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</si>
  <si>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</si>
  <si>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</si>
  <si>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</si>
  <si>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</si>
  <si>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</si>
  <si>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</si>
  <si>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れんたろう</t>
  </si>
  <si>
    <t>のり</t>
  </si>
  <si>
    <t>T</t>
  </si>
  <si>
    <t>N</t>
  </si>
  <si>
    <t>流局</t>
    <phoneticPr fontId="1"/>
  </si>
  <si>
    <t>ツモ支払</t>
  </si>
  <si>
    <t>ツモ</t>
  </si>
  <si>
    <t>01</t>
  </si>
  <si>
    <t>ロン</t>
  </si>
  <si>
    <t>放銃</t>
  </si>
  <si>
    <t>02</t>
  </si>
  <si>
    <t>*</t>
  </si>
  <si>
    <t>52</t>
  </si>
  <si>
    <t>りくと</t>
  </si>
  <si>
    <t>だいち</t>
  </si>
  <si>
    <t>ほたに</t>
  </si>
  <si>
    <t>まっつん</t>
  </si>
  <si>
    <t>51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</si>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</sst>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-1500</v>
      </c>
      <c r="H4" s="9"/>
      <c r="I4" s="48"/>
      <c r="J4" s="21">
        <f>IF(COUNTA($F4,$K4,$P4)&gt;0,J3+SUM(G4:I4),"")</f>
        <v>33500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195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192</v>
      </c>
      <c r="F5" s="8" t="s">
        <v>197</v>
      </c>
      <c r="G5" s="9">
        <v>-2000</v>
      </c>
      <c r="H5" s="9"/>
      <c r="I5" s="48">
        <v>-500</v>
      </c>
      <c r="J5" s="21">
        <f t="shared" ref="J5:J30" si="2">IF(COUNTA($F5,$K5,$P5)&gt;0,J4+SUM(G5:I5),"")</f>
        <v>31000</v>
      </c>
      <c r="K5" s="8" t="s">
        <v>197</v>
      </c>
      <c r="L5" s="9">
        <v>-3300</v>
      </c>
      <c r="M5" s="9"/>
      <c r="N5" s="48">
        <v>-500</v>
      </c>
      <c r="O5" s="21">
        <f t="shared" ref="O5:O30" si="3">IF(COUNTA($F5,$K5,$P5)&gt;0,O4+SUM(L5:N5),"")</f>
        <v>29700</v>
      </c>
      <c r="P5" s="8" t="s">
        <v>198</v>
      </c>
      <c r="Q5" s="9">
        <v>5300</v>
      </c>
      <c r="R5" s="9">
        <v>1000</v>
      </c>
      <c r="S5" s="48">
        <v>1000</v>
      </c>
      <c r="T5" s="21">
        <f t="shared" ref="T5:T30" si="4">IF(COUNTA($F5,$K5,$P5)&gt;0,T4+SUM(Q5:S5),"")</f>
        <v>44300</v>
      </c>
      <c r="U5" s="53">
        <f>IF($J5="","",ROUND(($J5-$J$3)/1000,1)+(_xlfn.RANK.AVG($J5,($J5,$O5,$T5),1)-2)*10)</f>
        <v>-4</v>
      </c>
      <c r="V5" s="54">
        <f>IF($O5="","",ROUND(($O5-$O$3)/1000,1)+(_xlfn.RANK.AVG($O5,($J5,$O5,$T5),1)-2)*10)</f>
        <v>-15.3</v>
      </c>
      <c r="W5" s="55">
        <f>IF($T5="","",ROUND(($T5-$T$3)/1000,1)+(_xlfn.RANK.AVG($T5,($J5,$O5,$T5),1)-2)*10)</f>
        <v>19.3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20</v>
      </c>
      <c r="BU5" s="40" t="s">
        <v>199</v>
      </c>
      <c r="BV5" s="41" t="s">
        <v>82</v>
      </c>
      <c r="BW5" s="41" t="s">
        <v>83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200</v>
      </c>
      <c r="G6" s="9">
        <v>3900</v>
      </c>
      <c r="H6" s="9">
        <v>2000</v>
      </c>
      <c r="I6" s="48">
        <v>0</v>
      </c>
      <c r="J6" s="21">
        <f t="shared" si="2"/>
        <v>36900</v>
      </c>
      <c r="K6" s="8"/>
      <c r="L6" s="9"/>
      <c r="M6" s="9">
        <v>-1000</v>
      </c>
      <c r="N6" s="48"/>
      <c r="O6" s="21">
        <f t="shared" si="3"/>
        <v>28700</v>
      </c>
      <c r="P6" s="8" t="s">
        <v>201</v>
      </c>
      <c r="Q6" s="9">
        <v>-3900</v>
      </c>
      <c r="R6" s="9">
        <v>-1000</v>
      </c>
      <c r="S6" s="48">
        <v>0</v>
      </c>
      <c r="T6" s="21">
        <f t="shared" si="4"/>
        <v>39400</v>
      </c>
      <c r="U6" s="53">
        <f>IF($J6="","",ROUND(($J6-$J$3)/1000,1)+(_xlfn.RANK.AVG($J6,($J6,$O6,$T6),1)-2)*10)</f>
        <v>1.9</v>
      </c>
      <c r="V6" s="54">
        <f>IF($O6="","",ROUND(($O6-$O$3)/1000,1)+(_xlfn.RANK.AVG($O6,($J6,$O6,$T6),1)-2)*10)</f>
        <v>-16.3</v>
      </c>
      <c r="W6" s="55">
        <f>IF($T6="","",ROUND(($T6-$T$3)/1000,1)+(_xlfn.RANK.AVG($T6,($J6,$O6,$T6),1)-2)*10)</f>
        <v>14.4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98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36900</v>
      </c>
      <c r="K7" s="8" t="s">
        <v>200</v>
      </c>
      <c r="L7" s="9">
        <v>5200</v>
      </c>
      <c r="M7" s="9"/>
      <c r="N7" s="48">
        <v>0</v>
      </c>
      <c r="O7" s="21">
        <f t="shared" si="3"/>
        <v>33900</v>
      </c>
      <c r="P7" s="8" t="s">
        <v>201</v>
      </c>
      <c r="Q7" s="9">
        <v>-5200</v>
      </c>
      <c r="R7" s="9"/>
      <c r="S7" s="48">
        <v>0</v>
      </c>
      <c r="T7" s="21">
        <f t="shared" si="4"/>
        <v>34200</v>
      </c>
      <c r="U7" s="53">
        <f>IF($J7="","",ROUND(($J7-$J$3)/1000,1)+(_xlfn.RANK.AVG($J7,($J7,$O7,$T7),1)-2)*10)</f>
        <v>11.9</v>
      </c>
      <c r="V7" s="54">
        <f>IF($O7="","",ROUND(($O7-$O$3)/1000,1)+(_xlfn.RANK.AVG($O7,($J7,$O7,$T7),1)-2)*10)</f>
        <v>-11.1</v>
      </c>
      <c r="W7" s="55">
        <f>IF($T7="","",ROUND(($T7-$T$3)/1000,1)+(_xlfn.RANK.AVG($T7,($J7,$O7,$T7),1)-2)*10)</f>
        <v>-0.8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199</v>
      </c>
      <c r="BA7" s="41" t="s">
        <v>79</v>
      </c>
      <c r="BB7" s="41" t="s">
        <v>202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197</v>
      </c>
      <c r="G8" s="9">
        <v>-4500</v>
      </c>
      <c r="H8" s="9"/>
      <c r="I8" s="48">
        <v>0</v>
      </c>
      <c r="J8" s="21">
        <f t="shared" si="2"/>
        <v>32400</v>
      </c>
      <c r="K8" s="8" t="s">
        <v>197</v>
      </c>
      <c r="L8" s="9">
        <v>-7500</v>
      </c>
      <c r="M8" s="9"/>
      <c r="N8" s="48">
        <v>0</v>
      </c>
      <c r="O8" s="21">
        <f t="shared" si="3"/>
        <v>26400</v>
      </c>
      <c r="P8" s="8" t="s">
        <v>198</v>
      </c>
      <c r="Q8" s="9">
        <v>12000</v>
      </c>
      <c r="R8" s="9"/>
      <c r="S8" s="48">
        <v>0</v>
      </c>
      <c r="T8" s="21">
        <f t="shared" si="4"/>
        <v>46200</v>
      </c>
      <c r="U8" s="53">
        <f>IF($J8="","",ROUND(($J8-$J$3)/1000,1)+(_xlfn.RANK.AVG($J8,($J8,$O8,$T8),1)-2)*10)</f>
        <v>-2.6</v>
      </c>
      <c r="V8" s="54">
        <f>IF($O8="","",ROUND(($O8-$O$3)/1000,1)+(_xlfn.RANK.AVG($O8,($J8,$O8,$T8),1)-2)*10)</f>
        <v>-18.600000000000001</v>
      </c>
      <c r="W8" s="55">
        <f>IF($T8="","",ROUND(($T8-$T$3)/1000,1)+(_xlfn.RANK.AVG($T8,($J8,$O8,$T8),1)-2)*10)</f>
        <v>21.2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203</v>
      </c>
      <c r="BU8" s="40" t="s">
        <v>199</v>
      </c>
      <c r="BV8" s="41" t="s">
        <v>82</v>
      </c>
      <c r="BW8" s="41" t="s">
        <v>83</v>
      </c>
      <c r="BX8" s="41" t="s">
        <v>85</v>
      </c>
      <c r="BY8" s="41" t="s">
        <v>79</v>
      </c>
      <c r="BZ8" s="41" t="s">
        <v>80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-3000</v>
      </c>
      <c r="H9" s="9"/>
      <c r="I9" s="48">
        <v>0</v>
      </c>
      <c r="J9" s="21">
        <f t="shared" si="2"/>
        <v>29400</v>
      </c>
      <c r="K9" s="8" t="s">
        <v>197</v>
      </c>
      <c r="L9" s="9">
        <v>-3000</v>
      </c>
      <c r="M9" s="9">
        <v>-1000</v>
      </c>
      <c r="N9" s="48">
        <v>0</v>
      </c>
      <c r="O9" s="21">
        <f t="shared" si="3"/>
        <v>22400</v>
      </c>
      <c r="P9" s="8" t="s">
        <v>198</v>
      </c>
      <c r="Q9" s="9">
        <v>6000</v>
      </c>
      <c r="R9" s="9">
        <v>1000</v>
      </c>
      <c r="S9" s="48">
        <v>0</v>
      </c>
      <c r="T9" s="21">
        <f t="shared" si="4"/>
        <v>53200</v>
      </c>
      <c r="U9" s="53">
        <f>IF($J9="","",ROUND(($J9-$J$3)/1000,1)+(_xlfn.RANK.AVG($J9,($J9,$O9,$T9),1)-2)*10)</f>
        <v>-5.6</v>
      </c>
      <c r="V9" s="54">
        <f>IF($O9="","",ROUND(($O9-$O$3)/1000,1)+(_xlfn.RANK.AVG($O9,($J9,$O9,$T9),1)-2)*10)</f>
        <v>-22.6</v>
      </c>
      <c r="W9" s="55">
        <f>IF($T9="","",ROUND(($T9-$T$3)/1000,1)+(_xlfn.RANK.AVG($T9,($J9,$O9,$T9),1)-2)*10)</f>
        <v>28.2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82</v>
      </c>
      <c r="BV9" s="41" t="s">
        <v>204</v>
      </c>
      <c r="BW9" s="41" t="s">
        <v>204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1220A3A-56A9-43B4-9D6F-7F4588CCB27F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A30F1-ABA0-445F-A304-70F64A990739}">
  <sheetPr codeName="Sheet11">
    <pageSetUpPr fitToPage="1"/>
  </sheetPr>
  <dimension ref="A1:CI30"/>
  <sheetViews>
    <sheetView topLeftCell="H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197</v>
      </c>
      <c r="G4" s="9">
        <v>-4000</v>
      </c>
      <c r="H4" s="9">
        <v>-1000</v>
      </c>
      <c r="I4" s="48">
        <v>0</v>
      </c>
      <c r="J4" s="21">
        <f>IF(COUNTA($F4,$K4,$P4)&gt;0,J3+SUM(G4:I4),"")</f>
        <v>30000</v>
      </c>
      <c r="K4" s="8" t="s">
        <v>198</v>
      </c>
      <c r="L4" s="9">
        <v>6400</v>
      </c>
      <c r="M4" s="9">
        <v>1000</v>
      </c>
      <c r="N4" s="48">
        <v>0</v>
      </c>
      <c r="O4" s="21">
        <f>IF(COUNTA($F4,$K4,$P4)&gt;0,O3+SUM(L4:N4),"")</f>
        <v>42400</v>
      </c>
      <c r="P4" s="8" t="s">
        <v>197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17.399999999999999</v>
      </c>
      <c r="W4" s="55">
        <f>IF($T4="","",ROUND(($T4-$T$3)/1000,1)+(_xlfn.RANK.AVG($T4,($J4,$O4,$T4),1)-2)*10)</f>
        <v>-2.4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25</v>
      </c>
      <c r="AZ4" s="40" t="s">
        <v>82</v>
      </c>
      <c r="BA4" s="41" t="s">
        <v>101</v>
      </c>
      <c r="BB4" s="41" t="s">
        <v>204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201</v>
      </c>
      <c r="G5" s="9">
        <v>-5200</v>
      </c>
      <c r="H5" s="9">
        <v>-1000</v>
      </c>
      <c r="I5" s="48">
        <v>0</v>
      </c>
      <c r="J5" s="21">
        <f t="shared" ref="J5:J30" si="2">IF(COUNTA($F5,$K5,$P5)&gt;0,J4+SUM(G5:I5),"")</f>
        <v>23800</v>
      </c>
      <c r="K5" s="8"/>
      <c r="L5" s="9"/>
      <c r="M5" s="9"/>
      <c r="N5" s="48"/>
      <c r="O5" s="21">
        <f t="shared" ref="O5:O30" si="3">IF(COUNTA($F5,$K5,$P5)&gt;0,O4+SUM(L5:N5),"")</f>
        <v>42400</v>
      </c>
      <c r="P5" s="8" t="s">
        <v>200</v>
      </c>
      <c r="Q5" s="9">
        <v>5200</v>
      </c>
      <c r="R5" s="9">
        <v>1000</v>
      </c>
      <c r="S5" s="48">
        <v>0</v>
      </c>
      <c r="T5" s="21">
        <f t="shared" ref="T5:T30" si="4">IF(COUNTA($F5,$K5,$P5)&gt;0,T4+SUM(Q5:S5),"")</f>
        <v>38800</v>
      </c>
      <c r="U5" s="53">
        <f>IF($J5="","",ROUND(($J5-$J$3)/1000,1)+(_xlfn.RANK.AVG($J5,($J5,$O5,$T5),1)-2)*10)</f>
        <v>-21.2</v>
      </c>
      <c r="V5" s="54">
        <f>IF($O5="","",ROUND(($O5-$O$3)/1000,1)+(_xlfn.RANK.AVG($O5,($J5,$O5,$T5),1)-2)*10)</f>
        <v>17.399999999999999</v>
      </c>
      <c r="W5" s="55">
        <f>IF($T5="","",ROUND(($T5-$T$3)/1000,1)+(_xlfn.RANK.AVG($T5,($J5,$O5,$T5),1)-2)*10)</f>
        <v>3.8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199</v>
      </c>
      <c r="BV5" s="41" t="s">
        <v>85</v>
      </c>
      <c r="BW5" s="41" t="s">
        <v>202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8000</v>
      </c>
      <c r="H6" s="9">
        <v>1000</v>
      </c>
      <c r="I6" s="48">
        <v>0</v>
      </c>
      <c r="J6" s="21">
        <f t="shared" si="2"/>
        <v>32800</v>
      </c>
      <c r="K6" s="8" t="s">
        <v>197</v>
      </c>
      <c r="L6" s="9">
        <v>-3000</v>
      </c>
      <c r="M6" s="9"/>
      <c r="N6" s="48">
        <v>0</v>
      </c>
      <c r="O6" s="21">
        <f t="shared" si="3"/>
        <v>39400</v>
      </c>
      <c r="P6" s="8" t="s">
        <v>197</v>
      </c>
      <c r="Q6" s="9">
        <v>-5000</v>
      </c>
      <c r="R6" s="9">
        <v>-1000</v>
      </c>
      <c r="S6" s="48">
        <v>0</v>
      </c>
      <c r="T6" s="21">
        <f t="shared" si="4"/>
        <v>32800</v>
      </c>
      <c r="U6" s="53">
        <f>IF($J6="","",ROUND(($J6-$J$3)/1000,1)+(_xlfn.RANK.AVG($J6,($J6,$O6,$T6),1)-2)*10)</f>
        <v>-7.2</v>
      </c>
      <c r="V6" s="54">
        <f>IF($O6="","",ROUND(($O6-$O$3)/1000,1)+(_xlfn.RANK.AVG($O6,($J6,$O6,$T6),1)-2)*10)</f>
        <v>14.4</v>
      </c>
      <c r="W6" s="55">
        <f>IF($T6="","",ROUND(($T6-$T$3)/1000,1)+(_xlfn.RANK.AVG($T6,($J6,$O6,$T6),1)-2)*10)</f>
        <v>-7.2</v>
      </c>
      <c r="Y6" s="8"/>
      <c r="Z6" s="34"/>
      <c r="AA6" s="26">
        <v>1</v>
      </c>
      <c r="AB6" s="26"/>
      <c r="AC6" s="26">
        <v>5</v>
      </c>
      <c r="AD6" s="30" t="s">
        <v>203</v>
      </c>
      <c r="AE6" s="40" t="s">
        <v>199</v>
      </c>
      <c r="AF6" s="41" t="s">
        <v>82</v>
      </c>
      <c r="AG6" s="41" t="s">
        <v>79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205</v>
      </c>
      <c r="F7" s="8" t="s">
        <v>200</v>
      </c>
      <c r="G7" s="9">
        <v>3900</v>
      </c>
      <c r="H7" s="9"/>
      <c r="I7" s="48">
        <v>0</v>
      </c>
      <c r="J7" s="21">
        <f t="shared" si="2"/>
        <v>36700</v>
      </c>
      <c r="K7" s="8" t="s">
        <v>201</v>
      </c>
      <c r="L7" s="9">
        <v>-3900</v>
      </c>
      <c r="M7" s="9"/>
      <c r="N7" s="48">
        <v>0</v>
      </c>
      <c r="O7" s="21">
        <f t="shared" si="3"/>
        <v>35500</v>
      </c>
      <c r="P7" s="8"/>
      <c r="Q7" s="9"/>
      <c r="R7" s="9"/>
      <c r="S7" s="48"/>
      <c r="T7" s="21">
        <f t="shared" si="4"/>
        <v>32800</v>
      </c>
      <c r="U7" s="53">
        <f>IF($J7="","",ROUND(($J7-$J$3)/1000,1)+(_xlfn.RANK.AVG($J7,($J7,$O7,$T7),1)-2)*10)</f>
        <v>11.7</v>
      </c>
      <c r="V7" s="54">
        <f>IF($O7="","",ROUND(($O7-$O$3)/1000,1)+(_xlfn.RANK.AVG($O7,($J7,$O7,$T7),1)-2)*10)</f>
        <v>0.5</v>
      </c>
      <c r="W7" s="55">
        <f>IF($T7="","",ROUND(($T7-$T$3)/1000,1)+(_xlfn.RANK.AVG($T7,($J7,$O7,$T7),1)-2)*10)</f>
        <v>-12.2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199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205</v>
      </c>
      <c r="F8" s="8" t="s">
        <v>201</v>
      </c>
      <c r="G8" s="9">
        <v>-2000</v>
      </c>
      <c r="H8" s="9">
        <v>-1000</v>
      </c>
      <c r="I8" s="48">
        <v>-1000</v>
      </c>
      <c r="J8" s="21">
        <f t="shared" si="2"/>
        <v>32700</v>
      </c>
      <c r="K8" s="8"/>
      <c r="L8" s="9"/>
      <c r="M8" s="9"/>
      <c r="N8" s="48"/>
      <c r="O8" s="21">
        <f t="shared" si="3"/>
        <v>35500</v>
      </c>
      <c r="P8" s="8" t="s">
        <v>200</v>
      </c>
      <c r="Q8" s="9">
        <v>2000</v>
      </c>
      <c r="R8" s="9">
        <v>1000</v>
      </c>
      <c r="S8" s="48">
        <v>1000</v>
      </c>
      <c r="T8" s="21">
        <f t="shared" si="4"/>
        <v>36800</v>
      </c>
      <c r="U8" s="53">
        <f>IF($J8="","",ROUND(($J8-$J$3)/1000,1)+(_xlfn.RANK.AVG($J8,($J8,$O8,$T8),1)-2)*10)</f>
        <v>-12.3</v>
      </c>
      <c r="V8" s="54">
        <f>IF($O8="","",ROUND(($O8-$O$3)/1000,1)+(_xlfn.RANK.AVG($O8,($J8,$O8,$T8),1)-2)*10)</f>
        <v>0.5</v>
      </c>
      <c r="W8" s="55">
        <f>IF($T8="","",ROUND(($T8-$T$3)/1000,1)+(_xlfn.RANK.AVG($T8,($J8,$O8,$T8),1)-2)*10)</f>
        <v>11.8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93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197</v>
      </c>
      <c r="G9" s="9">
        <v>-3900</v>
      </c>
      <c r="H9" s="9"/>
      <c r="I9" s="48">
        <v>0</v>
      </c>
      <c r="J9" s="21">
        <f t="shared" si="2"/>
        <v>28800</v>
      </c>
      <c r="K9" s="8" t="s">
        <v>198</v>
      </c>
      <c r="L9" s="9">
        <v>7800</v>
      </c>
      <c r="M9" s="9"/>
      <c r="N9" s="48">
        <v>0</v>
      </c>
      <c r="O9" s="21">
        <f t="shared" si="3"/>
        <v>43300</v>
      </c>
      <c r="P9" s="8" t="s">
        <v>197</v>
      </c>
      <c r="Q9" s="9">
        <v>-3900</v>
      </c>
      <c r="R9" s="9"/>
      <c r="S9" s="48">
        <v>0</v>
      </c>
      <c r="T9" s="21">
        <f t="shared" si="4"/>
        <v>32900</v>
      </c>
      <c r="U9" s="53">
        <f>IF($J9="","",ROUND(($J9-$J$3)/1000,1)+(_xlfn.RANK.AVG($J9,($J9,$O9,$T9),1)-2)*10)</f>
        <v>-16.2</v>
      </c>
      <c r="V9" s="54">
        <f>IF($O9="","",ROUND(($O9-$O$3)/1000,1)+(_xlfn.RANK.AVG($O9,($J9,$O9,$T9),1)-2)*10)</f>
        <v>18.3</v>
      </c>
      <c r="W9" s="55">
        <f>IF($T9="","",ROUND(($T9-$T$3)/1000,1)+(_xlfn.RANK.AVG($T9,($J9,$O9,$T9),1)-2)*10)</f>
        <v>-2.1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20</v>
      </c>
      <c r="AZ9" s="40" t="s">
        <v>199</v>
      </c>
      <c r="BA9" s="41" t="s">
        <v>82</v>
      </c>
      <c r="BB9" s="41" t="s">
        <v>80</v>
      </c>
      <c r="BC9" s="41" t="s">
        <v>83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206</v>
      </c>
      <c r="F10" s="8"/>
      <c r="G10" s="9"/>
      <c r="H10" s="9"/>
      <c r="I10" s="48"/>
      <c r="J10" s="21">
        <f t="shared" si="2"/>
        <v>28800</v>
      </c>
      <c r="K10" s="8" t="s">
        <v>201</v>
      </c>
      <c r="L10" s="9">
        <v>-5200</v>
      </c>
      <c r="M10" s="9"/>
      <c r="N10" s="48">
        <v>-1000</v>
      </c>
      <c r="O10" s="21">
        <f t="shared" si="3"/>
        <v>37100</v>
      </c>
      <c r="P10" s="8" t="s">
        <v>200</v>
      </c>
      <c r="Q10" s="9">
        <v>5200</v>
      </c>
      <c r="R10" s="9"/>
      <c r="S10" s="48">
        <v>1000</v>
      </c>
      <c r="T10" s="21">
        <f t="shared" si="4"/>
        <v>39100</v>
      </c>
      <c r="U10" s="53">
        <f>IF($J10="","",ROUND(($J10-$J$3)/1000,1)+(_xlfn.RANK.AVG($J10,($J10,$O10,$T10),1)-2)*10)</f>
        <v>-16.2</v>
      </c>
      <c r="V10" s="54">
        <f>IF($O10="","",ROUND(($O10-$O$3)/1000,1)+(_xlfn.RANK.AVG($O10,($J10,$O10,$T10),1)-2)*10)</f>
        <v>2.1</v>
      </c>
      <c r="W10" s="55">
        <f>IF($T10="","",ROUND(($T10-$T$3)/1000,1)+(_xlfn.RANK.AVG($T10,($J10,$O10,$T10),1)-2)*10)</f>
        <v>14.1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199</v>
      </c>
      <c r="BV10" s="41" t="s">
        <v>84</v>
      </c>
      <c r="BW10" s="41" t="s">
        <v>85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201</v>
      </c>
      <c r="G11" s="9">
        <v>-4800</v>
      </c>
      <c r="H11" s="9">
        <v>-1000</v>
      </c>
      <c r="I11" s="48">
        <v>0</v>
      </c>
      <c r="J11" s="21">
        <f t="shared" si="2"/>
        <v>23000</v>
      </c>
      <c r="K11" s="8"/>
      <c r="L11" s="9"/>
      <c r="M11" s="9">
        <v>-1000</v>
      </c>
      <c r="N11" s="48"/>
      <c r="O11" s="21">
        <f t="shared" si="3"/>
        <v>36100</v>
      </c>
      <c r="P11" s="8" t="s">
        <v>200</v>
      </c>
      <c r="Q11" s="9">
        <v>4800</v>
      </c>
      <c r="R11" s="9">
        <v>2000</v>
      </c>
      <c r="S11" s="48">
        <v>0</v>
      </c>
      <c r="T11" s="21">
        <f t="shared" si="4"/>
        <v>45900</v>
      </c>
      <c r="U11" s="53">
        <f>IF($J11="","",ROUND(($J11-$J$3)/1000,1)+(_xlfn.RANK.AVG($J11,($J11,$O11,$T11),1)-2)*10)</f>
        <v>-22</v>
      </c>
      <c r="V11" s="54">
        <f>IF($O11="","",ROUND(($O11-$O$3)/1000,1)+(_xlfn.RANK.AVG($O11,($J11,$O11,$T11),1)-2)*10)</f>
        <v>1.1000000000000001</v>
      </c>
      <c r="W11" s="55">
        <f>IF($T11="","",ROUND(($T11-$T$3)/1000,1)+(_xlfn.RANK.AVG($T11,($J11,$O11,$T11),1)-2)*10)</f>
        <v>20.9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25</v>
      </c>
      <c r="BU11" s="40" t="s">
        <v>101</v>
      </c>
      <c r="BV11" s="41" t="s">
        <v>204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F9DDD2E0-C621-4B15-8CAF-092B32F030C5}">
      <formula1>"たかの,だいち,ただ,りくと,れんたろう,まっつん,のり,ぱぱ,ほたに,"</formula1>
    </dataValidation>
    <dataValidation type="list" showInputMessage="1" showErrorMessage="1" sqref="K4:K30 P4:P30 F4:F30" xr:uid="{F6FD1341-849F-40DB-B909-5899F6012D13}">
      <formula1>"ロン,ツモ,放銃,ツモ支払,流局,チョンボ"</formula1>
    </dataValidation>
    <dataValidation type="list" allowBlank="1" showInputMessage="1" showErrorMessage="1" sqref="E4:E30" xr:uid="{19F4D3EE-0683-41FD-9A4B-6244D5FE493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524-6262-4B4D-B081-AFB0675431E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5.5</v>
      </c>
      <c r="Y4" s="8" t="s">
        <v>194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200</v>
      </c>
      <c r="L5" s="9">
        <v>1300</v>
      </c>
      <c r="M5" s="9">
        <v>2000</v>
      </c>
      <c r="N5" s="48">
        <v>1000</v>
      </c>
      <c r="O5" s="21">
        <f t="shared" ref="O5:O30" si="3">IF(COUNTA($F5,$K5,$P5)&gt;0,O4+SUM(L5:N5),"")</f>
        <v>36300</v>
      </c>
      <c r="P5" s="8" t="s">
        <v>201</v>
      </c>
      <c r="Q5" s="9">
        <v>-1300</v>
      </c>
      <c r="R5" s="9"/>
      <c r="S5" s="48">
        <v>-1000</v>
      </c>
      <c r="T5" s="21">
        <f t="shared" ref="T5:T30" si="4">IF(COUNTA($F5,$K5,$P5)&gt;0,T4+SUM(Q5:S5),"")</f>
        <v>33200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11.3</v>
      </c>
      <c r="W5" s="55">
        <f>IF($T5="","",ROUND(($T5-$T$3)/1000,1)+(_xlfn.RANK.AVG($T5,($J5,$O5,$T5),1)-2)*10)</f>
        <v>-11.8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</v>
      </c>
      <c r="AY5" s="30">
        <v>40</v>
      </c>
      <c r="AZ5" s="40" t="s">
        <v>199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205</v>
      </c>
      <c r="F6" s="8"/>
      <c r="G6" s="9"/>
      <c r="H6" s="9"/>
      <c r="I6" s="48"/>
      <c r="J6" s="21">
        <f t="shared" si="2"/>
        <v>35500</v>
      </c>
      <c r="K6" s="8" t="s">
        <v>200</v>
      </c>
      <c r="L6" s="9">
        <v>8000</v>
      </c>
      <c r="M6" s="9"/>
      <c r="N6" s="48">
        <v>0</v>
      </c>
      <c r="O6" s="21">
        <f t="shared" si="3"/>
        <v>44300</v>
      </c>
      <c r="P6" s="8" t="s">
        <v>201</v>
      </c>
      <c r="Q6" s="9">
        <v>-8000</v>
      </c>
      <c r="R6" s="9"/>
      <c r="S6" s="48">
        <v>0</v>
      </c>
      <c r="T6" s="21">
        <f t="shared" si="4"/>
        <v>25200</v>
      </c>
      <c r="U6" s="53">
        <f>IF($J6="","",ROUND(($J6-$J$3)/1000,1)+(_xlfn.RANK.AVG($J6,($J6,$O6,$T6),1)-2)*10)</f>
        <v>0.5</v>
      </c>
      <c r="V6" s="54">
        <f>IF($O6="","",ROUND(($O6-$O$3)/1000,1)+(_xlfn.RANK.AVG($O6,($J6,$O6,$T6),1)-2)*10)</f>
        <v>19.3</v>
      </c>
      <c r="W6" s="55">
        <f>IF($T6="","",ROUND(($T6-$T$3)/1000,1)+(_xlfn.RANK.AVG($T6,($J6,$O6,$T6),1)-2)*10)</f>
        <v>-19.8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199</v>
      </c>
      <c r="BA6" s="41" t="s">
        <v>92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206</v>
      </c>
      <c r="F7" s="8"/>
      <c r="G7" s="9"/>
      <c r="H7" s="9"/>
      <c r="I7" s="48"/>
      <c r="J7" s="21">
        <f t="shared" si="2"/>
        <v>35500</v>
      </c>
      <c r="K7" s="8" t="s">
        <v>201</v>
      </c>
      <c r="L7" s="9">
        <v>-8000</v>
      </c>
      <c r="M7" s="9">
        <v>-1000</v>
      </c>
      <c r="N7" s="48">
        <v>0</v>
      </c>
      <c r="O7" s="21">
        <f t="shared" si="3"/>
        <v>35300</v>
      </c>
      <c r="P7" s="8" t="s">
        <v>200</v>
      </c>
      <c r="Q7" s="9">
        <v>8000</v>
      </c>
      <c r="R7" s="9">
        <v>1000</v>
      </c>
      <c r="S7" s="48">
        <v>0</v>
      </c>
      <c r="T7" s="21">
        <f t="shared" si="4"/>
        <v>34200</v>
      </c>
      <c r="U7" s="53">
        <f>IF($J7="","",ROUND(($J7-$J$3)/1000,1)+(_xlfn.RANK.AVG($J7,($J7,$O7,$T7),1)-2)*10)</f>
        <v>10.5</v>
      </c>
      <c r="V7" s="54">
        <f>IF($O7="","",ROUND(($O7-$O$3)/1000,1)+(_xlfn.RANK.AVG($O7,($J7,$O7,$T7),1)-2)*10)</f>
        <v>0.3</v>
      </c>
      <c r="W7" s="55">
        <f>IF($T7="","",ROUND(($T7-$T$3)/1000,1)+(_xlfn.RANK.AVG($T7,($J7,$O7,$T7),1)-2)*10)</f>
        <v>-10.8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203</v>
      </c>
      <c r="BU7" s="40" t="s">
        <v>204</v>
      </c>
      <c r="BV7" s="41" t="s">
        <v>86</v>
      </c>
      <c r="BW7" s="41" t="s">
        <v>104</v>
      </c>
      <c r="BX7" s="41" t="s">
        <v>88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196</v>
      </c>
      <c r="G8" s="9">
        <v>-1500</v>
      </c>
      <c r="H8" s="9"/>
      <c r="I8" s="48"/>
      <c r="J8" s="21">
        <f t="shared" si="2"/>
        <v>34000</v>
      </c>
      <c r="K8" s="8" t="s">
        <v>196</v>
      </c>
      <c r="L8" s="9">
        <v>3000</v>
      </c>
      <c r="M8" s="9">
        <v>-1000</v>
      </c>
      <c r="N8" s="48"/>
      <c r="O8" s="21">
        <f t="shared" si="3"/>
        <v>37300</v>
      </c>
      <c r="P8" s="8" t="s">
        <v>196</v>
      </c>
      <c r="Q8" s="9">
        <v>-1500</v>
      </c>
      <c r="R8" s="9"/>
      <c r="S8" s="48"/>
      <c r="T8" s="21">
        <f t="shared" si="4"/>
        <v>32700</v>
      </c>
      <c r="U8" s="53">
        <f>IF($J8="","",ROUND(($J8-$J$3)/1000,1)+(_xlfn.RANK.AVG($J8,($J8,$O8,$T8),1)-2)*10)</f>
        <v>-1</v>
      </c>
      <c r="V8" s="54">
        <f>IF($O8="","",ROUND(($O8-$O$3)/1000,1)+(_xlfn.RANK.AVG($O8,($J8,$O8,$T8),1)-2)*10)</f>
        <v>12.3</v>
      </c>
      <c r="W8" s="55">
        <f>IF($T8="","",ROUND(($T8-$T$3)/1000,1)+(_xlfn.RANK.AVG($T8,($J8,$O8,$T8),1)-2)*10)</f>
        <v>-12.3</v>
      </c>
      <c r="Y8" s="8" t="s">
        <v>195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205</v>
      </c>
      <c r="F9" s="8"/>
      <c r="G9" s="9"/>
      <c r="H9" s="9"/>
      <c r="I9" s="48"/>
      <c r="J9" s="21">
        <f t="shared" si="2"/>
        <v>34000</v>
      </c>
      <c r="K9" s="8" t="s">
        <v>200</v>
      </c>
      <c r="L9" s="9">
        <v>2600</v>
      </c>
      <c r="M9" s="9">
        <v>2000</v>
      </c>
      <c r="N9" s="48">
        <v>1000</v>
      </c>
      <c r="O9" s="21">
        <f t="shared" si="3"/>
        <v>42900</v>
      </c>
      <c r="P9" s="8" t="s">
        <v>201</v>
      </c>
      <c r="Q9" s="9">
        <v>-2600</v>
      </c>
      <c r="R9" s="9">
        <v>-1000</v>
      </c>
      <c r="S9" s="48">
        <v>-1000</v>
      </c>
      <c r="T9" s="21">
        <f t="shared" si="4"/>
        <v>28100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17.899999999999999</v>
      </c>
      <c r="W9" s="55">
        <f>IF($T9="","",ROUND(($T9-$T$3)/1000,1)+(_xlfn.RANK.AVG($T9,($J9,$O9,$T9),1)-2)*10)</f>
        <v>-16.899999999999999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79</v>
      </c>
      <c r="BA9" s="41" t="s">
        <v>84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206</v>
      </c>
      <c r="F10" s="8"/>
      <c r="G10" s="9"/>
      <c r="H10" s="9"/>
      <c r="I10" s="48"/>
      <c r="J10" s="21">
        <f t="shared" si="2"/>
        <v>34000</v>
      </c>
      <c r="K10" s="8" t="s">
        <v>200</v>
      </c>
      <c r="L10" s="9">
        <v>1500</v>
      </c>
      <c r="M10" s="9"/>
      <c r="N10" s="48">
        <v>0</v>
      </c>
      <c r="O10" s="21">
        <f t="shared" si="3"/>
        <v>44400</v>
      </c>
      <c r="P10" s="8" t="s">
        <v>201</v>
      </c>
      <c r="Q10" s="9">
        <v>-1500</v>
      </c>
      <c r="R10" s="9"/>
      <c r="S10" s="48">
        <v>0</v>
      </c>
      <c r="T10" s="21">
        <f t="shared" si="4"/>
        <v>26600</v>
      </c>
      <c r="U10" s="53">
        <f>IF($J10="","",ROUND(($J10-$J$3)/1000,1)+(_xlfn.RANK.AVG($J10,($J10,$O10,$T10),1)-2)*10)</f>
        <v>-1</v>
      </c>
      <c r="V10" s="54">
        <f>IF($O10="","",ROUND(($O10-$O$3)/1000,1)+(_xlfn.RANK.AVG($O10,($J10,$O10,$T10),1)-2)*10)</f>
        <v>19.399999999999999</v>
      </c>
      <c r="W10" s="55">
        <f>IF($T10="","",ROUND(($T10-$T$3)/1000,1)+(_xlfn.RANK.AVG($T10,($J10,$O10,$T10),1)-2)*10)</f>
        <v>-18.399999999999999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D332D13D-812B-45FD-AF6F-185542E65364}">
      <formula1>$U$2:$W$2</formula1>
    </dataValidation>
    <dataValidation type="list" showInputMessage="1" showErrorMessage="1" sqref="K4:K30 P4:P30 F4:F30" xr:uid="{BEDEF100-D07E-4775-8E89-A2EBAB155BE9}">
      <formula1>"ロン,ツモ,放銃,ツモ支払,流局,チョンボ"</formula1>
    </dataValidation>
    <dataValidation type="list" allowBlank="1" showInputMessage="1" sqref="F1:T1" xr:uid="{E0161789-4EAF-40D6-8FC0-518235BD8BDF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FFBC9-03CB-4C37-AE1B-E467F32BF81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ほたに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ほたに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196</v>
      </c>
      <c r="G4" s="9">
        <v>1500</v>
      </c>
      <c r="H4" s="9"/>
      <c r="I4" s="48"/>
      <c r="J4" s="21">
        <f>IF(COUNTA($F4,$K4,$P4)&gt;0,J3+SUM(G4:I4),"")</f>
        <v>36500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196</v>
      </c>
      <c r="G5" s="9">
        <v>-1500</v>
      </c>
      <c r="H5" s="9"/>
      <c r="I5" s="48"/>
      <c r="J5" s="21">
        <f t="shared" ref="J5:J30" si="2">IF(COUNTA($F5,$K5,$P5)&gt;0,J4+SUM(G5:I5),"")</f>
        <v>35000</v>
      </c>
      <c r="K5" s="8" t="s">
        <v>196</v>
      </c>
      <c r="L5" s="9">
        <v>-1500</v>
      </c>
      <c r="M5" s="9"/>
      <c r="N5" s="48"/>
      <c r="O5" s="21">
        <f t="shared" ref="O5:O30" si="3">IF(COUNTA($F5,$K5,$P5)&gt;0,O4+SUM(L5:N5),"")</f>
        <v>30500</v>
      </c>
      <c r="P5" s="8" t="s">
        <v>196</v>
      </c>
      <c r="Q5" s="9">
        <v>3000</v>
      </c>
      <c r="R5" s="9"/>
      <c r="S5" s="48"/>
      <c r="T5" s="21">
        <f t="shared" ref="T5:T30" si="4">IF(COUNTA($F5,$K5,$P5)&gt;0,T4+SUM(Q5:S5),"")</f>
        <v>39500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14.5</v>
      </c>
      <c r="Y5" s="8" t="s">
        <v>195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208</v>
      </c>
      <c r="F6" s="8" t="s">
        <v>196</v>
      </c>
      <c r="G6" s="9">
        <v>-3000</v>
      </c>
      <c r="H6" s="9"/>
      <c r="I6" s="48"/>
      <c r="J6" s="21">
        <f t="shared" si="2"/>
        <v>32000</v>
      </c>
      <c r="K6" s="8" t="s">
        <v>196</v>
      </c>
      <c r="L6" s="9">
        <v>1500</v>
      </c>
      <c r="M6" s="9">
        <v>-1000</v>
      </c>
      <c r="N6" s="48"/>
      <c r="O6" s="21">
        <f t="shared" si="3"/>
        <v>31000</v>
      </c>
      <c r="P6" s="8" t="s">
        <v>196</v>
      </c>
      <c r="Q6" s="9">
        <v>1500</v>
      </c>
      <c r="R6" s="9">
        <v>-1000</v>
      </c>
      <c r="S6" s="48"/>
      <c r="T6" s="21">
        <f t="shared" si="4"/>
        <v>40000</v>
      </c>
      <c r="U6" s="53">
        <f>IF($J6="","",ROUND(($J6-$J$3)/1000,1)+(_xlfn.RANK.AVG($J6,($J6,$O6,$T6),1)-2)*10)</f>
        <v>-3</v>
      </c>
      <c r="V6" s="54">
        <f>IF($O6="","",ROUND(($O6-$O$3)/1000,1)+(_xlfn.RANK.AVG($O6,($J6,$O6,$T6),1)-2)*10)</f>
        <v>-14</v>
      </c>
      <c r="W6" s="55">
        <f>IF($T6="","",ROUND(($T6-$T$3)/1000,1)+(_xlfn.RANK.AVG($T6,($J6,$O6,$T6),1)-2)*10)</f>
        <v>15</v>
      </c>
      <c r="Y6" s="8" t="s">
        <v>195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194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194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2</v>
      </c>
      <c r="E7" s="4" t="s">
        <v>208</v>
      </c>
      <c r="F7" s="8" t="s">
        <v>197</v>
      </c>
      <c r="G7" s="9">
        <v>-1500</v>
      </c>
      <c r="H7" s="9"/>
      <c r="I7" s="48">
        <v>-1500</v>
      </c>
      <c r="J7" s="21">
        <f t="shared" si="2"/>
        <v>29000</v>
      </c>
      <c r="K7" s="8" t="s">
        <v>197</v>
      </c>
      <c r="L7" s="9">
        <v>-1500</v>
      </c>
      <c r="M7" s="9"/>
      <c r="N7" s="48">
        <v>-1500</v>
      </c>
      <c r="O7" s="21">
        <f t="shared" si="3"/>
        <v>28000</v>
      </c>
      <c r="P7" s="8" t="s">
        <v>198</v>
      </c>
      <c r="Q7" s="9">
        <v>3000</v>
      </c>
      <c r="R7" s="9">
        <v>2000</v>
      </c>
      <c r="S7" s="48">
        <v>3000</v>
      </c>
      <c r="T7" s="21">
        <f t="shared" si="4"/>
        <v>48000</v>
      </c>
      <c r="U7" s="53">
        <f>IF($J7="","",ROUND(($J7-$J$3)/1000,1)+(_xlfn.RANK.AVG($J7,($J7,$O7,$T7),1)-2)*10)</f>
        <v>-6</v>
      </c>
      <c r="V7" s="54">
        <f>IF($O7="","",ROUND(($O7-$O$3)/1000,1)+(_xlfn.RANK.AVG($O7,($J7,$O7,$T7),1)-2)*10)</f>
        <v>-17</v>
      </c>
      <c r="W7" s="55">
        <f>IF($T7="","",ROUND(($T7-$T$3)/1000,1)+(_xlfn.RANK.AVG($T7,($J7,$O7,$T7),1)-2)*10)</f>
        <v>23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208</v>
      </c>
      <c r="F8" s="8" t="s">
        <v>201</v>
      </c>
      <c r="G8" s="9">
        <v>-7700</v>
      </c>
      <c r="H8" s="9"/>
      <c r="I8" s="48">
        <v>-4000</v>
      </c>
      <c r="J8" s="21">
        <f t="shared" si="2"/>
        <v>17300</v>
      </c>
      <c r="K8" s="8"/>
      <c r="L8" s="9"/>
      <c r="M8" s="9"/>
      <c r="N8" s="48"/>
      <c r="O8" s="21">
        <f t="shared" si="3"/>
        <v>28000</v>
      </c>
      <c r="P8" s="8" t="s">
        <v>200</v>
      </c>
      <c r="Q8" s="9">
        <v>7700</v>
      </c>
      <c r="R8" s="9"/>
      <c r="S8" s="48">
        <v>4000</v>
      </c>
      <c r="T8" s="21">
        <f t="shared" si="4"/>
        <v>59700</v>
      </c>
      <c r="U8" s="53">
        <f>IF($J8="","",ROUND(($J8-$J$3)/1000,1)+(_xlfn.RANK.AVG($J8,($J8,$O8,$T8),1)-2)*10)</f>
        <v>-27.7</v>
      </c>
      <c r="V8" s="54">
        <f>IF($O8="","",ROUND(($O8-$O$3)/1000,1)+(_xlfn.RANK.AVG($O8,($J8,$O8,$T8),1)-2)*10)</f>
        <v>-7</v>
      </c>
      <c r="W8" s="55">
        <f>IF($T8="","",ROUND(($T8-$T$3)/1000,1)+(_xlfn.RANK.AVG($T8,($J8,$O8,$T8),1)-2)*10)</f>
        <v>34.700000000000003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40</v>
      </c>
      <c r="BU8" s="40" t="s">
        <v>86</v>
      </c>
      <c r="BV8" s="41" t="s">
        <v>93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">
        <v>208</v>
      </c>
      <c r="F9" s="8" t="s">
        <v>197</v>
      </c>
      <c r="G9" s="9">
        <v>-9000</v>
      </c>
      <c r="H9" s="9"/>
      <c r="I9" s="48">
        <v>-2500</v>
      </c>
      <c r="J9" s="21">
        <f t="shared" si="2"/>
        <v>5800</v>
      </c>
      <c r="K9" s="8" t="s">
        <v>197</v>
      </c>
      <c r="L9" s="9">
        <v>-9000</v>
      </c>
      <c r="M9" s="9"/>
      <c r="N9" s="48">
        <v>-2500</v>
      </c>
      <c r="O9" s="21">
        <f t="shared" si="3"/>
        <v>16500</v>
      </c>
      <c r="P9" s="8" t="s">
        <v>198</v>
      </c>
      <c r="Q9" s="9">
        <v>18000</v>
      </c>
      <c r="R9" s="9"/>
      <c r="S9" s="48">
        <v>5000</v>
      </c>
      <c r="T9" s="21">
        <f t="shared" si="4"/>
        <v>82700</v>
      </c>
      <c r="U9" s="53">
        <f>IF($J9="","",ROUND(($J9-$J$3)/1000,1)+(_xlfn.RANK.AVG($J9,($J9,$O9,$T9),1)-2)*10)</f>
        <v>-39.200000000000003</v>
      </c>
      <c r="V9" s="54">
        <f>IF($O9="","",ROUND(($O9-$O$3)/1000,1)+(_xlfn.RANK.AVG($O9,($J9,$O9,$T9),1)-2)*10)</f>
        <v>-18.5</v>
      </c>
      <c r="W9" s="55">
        <f>IF($T9="","",ROUND(($T9-$T$3)/1000,1)+(_xlfn.RANK.AVG($T9,($J9,$O9,$T9),1)-2)*10)</f>
        <v>57.7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203</v>
      </c>
      <c r="BU9" s="40" t="s">
        <v>83</v>
      </c>
      <c r="BV9" s="41" t="s">
        <v>204</v>
      </c>
      <c r="BW9" s="41" t="s">
        <v>80</v>
      </c>
      <c r="BX9" s="41" t="s">
        <v>82</v>
      </c>
      <c r="BY9" s="41" t="s">
        <v>209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1</v>
      </c>
      <c r="C10" s="18">
        <f t="shared" si="6"/>
        <v>6</v>
      </c>
      <c r="D10" s="18">
        <f t="shared" si="1"/>
        <v>0</v>
      </c>
      <c r="E10" s="4" t="s">
        <v>208</v>
      </c>
      <c r="F10" s="8" t="s">
        <v>201</v>
      </c>
      <c r="G10" s="9">
        <v>-2000</v>
      </c>
      <c r="H10" s="9"/>
      <c r="I10" s="48">
        <v>-6000</v>
      </c>
      <c r="J10" s="21">
        <f t="shared" si="2"/>
        <v>-2200</v>
      </c>
      <c r="K10" s="8" t="s">
        <v>200</v>
      </c>
      <c r="L10" s="9">
        <v>2000</v>
      </c>
      <c r="M10" s="9">
        <v>1000</v>
      </c>
      <c r="N10" s="48">
        <v>6000</v>
      </c>
      <c r="O10" s="21">
        <f t="shared" si="3"/>
        <v>25500</v>
      </c>
      <c r="P10" s="8"/>
      <c r="Q10" s="9"/>
      <c r="R10" s="9">
        <v>-1000</v>
      </c>
      <c r="S10" s="48"/>
      <c r="T10" s="21">
        <f t="shared" si="4"/>
        <v>81700</v>
      </c>
      <c r="U10" s="53">
        <f>IF($J10="","",ROUND(($J10-$J$3)/1000,1)+(_xlfn.RANK.AVG($J10,($J10,$O10,$T10),1)-2)*10)</f>
        <v>-47.2</v>
      </c>
      <c r="V10" s="54">
        <f>IF($O10="","",ROUND(($O10-$O$3)/1000,1)+(_xlfn.RANK.AVG($O10,($J10,$O10,$T10),1)-2)*10)</f>
        <v>-9.5</v>
      </c>
      <c r="W10" s="55">
        <f>IF($T10="","",ROUND(($T10-$T$3)/1000,1)+(_xlfn.RANK.AVG($T10,($J10,$O10,$T10),1)-2)*10)</f>
        <v>56.7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7104964-316B-40D7-8234-C9444E2B3BC0}">
      <formula1>"たかの,だいち,ただ,りくと,れんたろう,まっつん,のり,ぱぱ,ほたに,"</formula1>
    </dataValidation>
    <dataValidation type="list" showInputMessage="1" showErrorMessage="1" sqref="K4:K30 P4:P30 F4:F30" xr:uid="{0B23B8C2-B5D2-42E8-8510-BC58C0D5D17A}">
      <formula1>"ロン,ツモ,放銃,ツモ支払,流局,チョンボ"</formula1>
    </dataValidation>
    <dataValidation type="list" allowBlank="1" showInputMessage="1" showErrorMessage="1" sqref="E4:E30" xr:uid="{FC1AC03A-A296-41A8-A132-A7E90BCEA39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6059D-6EB0-4672-A39F-3AB775CE0F1A}">
  <sheetPr codeName="Sheet14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ほたに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ほたに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2900</v>
      </c>
      <c r="M4" s="9">
        <v>1000</v>
      </c>
      <c r="N4" s="48">
        <v>0</v>
      </c>
      <c r="O4" s="21">
        <f>IF(COUNTA($F4,$K4,$P4)&gt;0,O3+SUM(L4:N4),"")</f>
        <v>38900</v>
      </c>
      <c r="P4" s="8" t="s">
        <v>201</v>
      </c>
      <c r="Q4" s="9">
        <v>-2900</v>
      </c>
      <c r="R4" s="9">
        <v>-1000</v>
      </c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200</v>
      </c>
      <c r="G5" s="9">
        <v>1300</v>
      </c>
      <c r="H5" s="9">
        <v>1000</v>
      </c>
      <c r="I5" s="48">
        <v>1000</v>
      </c>
      <c r="J5" s="21">
        <f t="shared" ref="J5:J30" si="2">IF(COUNTA($F5,$K5,$P5)&gt;0,J4+SUM(G5:I5),"")</f>
        <v>38300</v>
      </c>
      <c r="K5" s="8" t="s">
        <v>201</v>
      </c>
      <c r="L5" s="9">
        <v>-1300</v>
      </c>
      <c r="M5" s="9"/>
      <c r="N5" s="48">
        <v>-1000</v>
      </c>
      <c r="O5" s="21">
        <f t="shared" ref="O5:O30" si="3">IF(COUNTA($F5,$K5,$P5)&gt;0,O4+SUM(L5:N5),"")</f>
        <v>36600</v>
      </c>
      <c r="P5" s="8"/>
      <c r="Q5" s="9"/>
      <c r="R5" s="9">
        <v>-1000</v>
      </c>
      <c r="S5" s="48"/>
      <c r="T5" s="21">
        <f t="shared" ref="T5:T30" si="4">IF(COUNTA($F5,$K5,$P5)&gt;0,T4+SUM(Q5:S5),"")</f>
        <v>30100</v>
      </c>
      <c r="U5" s="53">
        <f>IF($J5="","",ROUND(($J5-$J$3)/1000,1)+(_xlfn.RANK.AVG($J5,($J5,$O5,$T5),1)-2)*10)</f>
        <v>13.3</v>
      </c>
      <c r="V5" s="54">
        <f>IF($O5="","",ROUND(($O5-$O$3)/1000,1)+(_xlfn.RANK.AVG($O5,($J5,$O5,$T5),1)-2)*10)</f>
        <v>1.6</v>
      </c>
      <c r="W5" s="55">
        <f>IF($T5="","",ROUND(($T5-$T$3)/1000,1)+(_xlfn.RANK.AVG($T5,($J5,$O5,$T5),1)-2)*10)</f>
        <v>-14.9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199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208</v>
      </c>
      <c r="F6" s="8" t="s">
        <v>201</v>
      </c>
      <c r="G6" s="9">
        <v>-15500</v>
      </c>
      <c r="H6" s="9"/>
      <c r="I6" s="48">
        <v>0</v>
      </c>
      <c r="J6" s="21">
        <f t="shared" si="2"/>
        <v>22800</v>
      </c>
      <c r="K6" s="8" t="s">
        <v>200</v>
      </c>
      <c r="L6" s="9">
        <v>3900</v>
      </c>
      <c r="M6" s="9"/>
      <c r="N6" s="48">
        <v>0</v>
      </c>
      <c r="O6" s="21">
        <f t="shared" si="3"/>
        <v>40500</v>
      </c>
      <c r="P6" s="8" t="s">
        <v>200</v>
      </c>
      <c r="Q6" s="9">
        <v>11600</v>
      </c>
      <c r="R6" s="9"/>
      <c r="S6" s="48"/>
      <c r="T6" s="21">
        <f t="shared" si="4"/>
        <v>41700</v>
      </c>
      <c r="U6" s="53">
        <f>IF($J6="","",ROUND(($J6-$J$3)/1000,1)+(_xlfn.RANK.AVG($J6,($J6,$O6,$T6),1)-2)*10)</f>
        <v>-22.2</v>
      </c>
      <c r="V6" s="54">
        <f>IF($O6="","",ROUND(($O6-$O$3)/1000,1)+(_xlfn.RANK.AVG($O6,($J6,$O6,$T6),1)-2)*10)</f>
        <v>5.5</v>
      </c>
      <c r="W6" s="55">
        <f>IF($T6="","",ROUND(($T6-$T$3)/1000,1)+(_xlfn.RANK.AVG($T6,($J6,$O6,$T6),1)-2)*10)</f>
        <v>16.7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79</v>
      </c>
      <c r="BB6" s="41" t="s">
        <v>204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79</v>
      </c>
      <c r="BW6" s="41" t="s">
        <v>204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210</v>
      </c>
      <c r="F7" s="8" t="s">
        <v>197</v>
      </c>
      <c r="G7" s="9">
        <v>-800</v>
      </c>
      <c r="H7" s="9">
        <v>-1000</v>
      </c>
      <c r="I7" s="48">
        <v>-500</v>
      </c>
      <c r="J7" s="21">
        <f t="shared" si="2"/>
        <v>20500</v>
      </c>
      <c r="K7" s="8" t="s">
        <v>198</v>
      </c>
      <c r="L7" s="9">
        <v>2100</v>
      </c>
      <c r="M7" s="9">
        <v>1000</v>
      </c>
      <c r="N7" s="48">
        <v>1000</v>
      </c>
      <c r="O7" s="21">
        <f t="shared" si="3"/>
        <v>44600</v>
      </c>
      <c r="P7" s="8" t="s">
        <v>197</v>
      </c>
      <c r="Q7" s="9">
        <v>-1300</v>
      </c>
      <c r="R7" s="9"/>
      <c r="S7" s="48">
        <v>-500</v>
      </c>
      <c r="T7" s="21">
        <f t="shared" si="4"/>
        <v>39900</v>
      </c>
      <c r="U7" s="53">
        <f>IF($J7="","",ROUND(($J7-$J$3)/1000,1)+(_xlfn.RANK.AVG($J7,($J7,$O7,$T7),1)-2)*10)</f>
        <v>-24.5</v>
      </c>
      <c r="V7" s="54">
        <f>IF($O7="","",ROUND(($O7-$O$3)/1000,1)+(_xlfn.RANK.AVG($O7,($J7,$O7,$T7),1)-2)*10)</f>
        <v>19.600000000000001</v>
      </c>
      <c r="W7" s="55">
        <f>IF($T7="","",ROUND(($T7-$T$3)/1000,1)+(_xlfn.RANK.AVG($T7,($J7,$O7,$T7),1)-2)*10)</f>
        <v>4.9000000000000004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207</v>
      </c>
      <c r="F8" s="8" t="s">
        <v>196</v>
      </c>
      <c r="G8" s="9">
        <v>1500</v>
      </c>
      <c r="H8" s="9"/>
      <c r="I8" s="48"/>
      <c r="J8" s="21">
        <f t="shared" si="2"/>
        <v>22000</v>
      </c>
      <c r="K8" s="8" t="s">
        <v>196</v>
      </c>
      <c r="L8" s="9">
        <v>1500</v>
      </c>
      <c r="M8" s="9"/>
      <c r="N8" s="48"/>
      <c r="O8" s="21">
        <f t="shared" si="3"/>
        <v>46100</v>
      </c>
      <c r="P8" s="8" t="s">
        <v>196</v>
      </c>
      <c r="Q8" s="9">
        <v>-3000</v>
      </c>
      <c r="R8" s="9"/>
      <c r="S8" s="48"/>
      <c r="T8" s="21">
        <f t="shared" si="4"/>
        <v>36900</v>
      </c>
      <c r="U8" s="53">
        <f>IF($J8="","",ROUND(($J8-$J$3)/1000,1)+(_xlfn.RANK.AVG($J8,($J8,$O8,$T8),1)-2)*10)</f>
        <v>-23</v>
      </c>
      <c r="V8" s="54">
        <f>IF($O8="","",ROUND(($O8-$O$3)/1000,1)+(_xlfn.RANK.AVG($O8,($J8,$O8,$T8),1)-2)*10)</f>
        <v>21.1</v>
      </c>
      <c r="W8" s="55">
        <f>IF($T8="","",ROUND(($T8-$T$3)/1000,1)+(_xlfn.RANK.AVG($T8,($J8,$O8,$T8),1)-2)*10)</f>
        <v>1.9</v>
      </c>
      <c r="Y8" s="8" t="s">
        <v>194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194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207</v>
      </c>
      <c r="F9" s="8" t="s">
        <v>197</v>
      </c>
      <c r="G9" s="9">
        <v>-10000</v>
      </c>
      <c r="H9" s="9"/>
      <c r="I9" s="48">
        <v>-500</v>
      </c>
      <c r="J9" s="21">
        <f t="shared" si="2"/>
        <v>11500</v>
      </c>
      <c r="K9" s="8" t="s">
        <v>198</v>
      </c>
      <c r="L9" s="9">
        <v>16000</v>
      </c>
      <c r="M9" s="9"/>
      <c r="N9" s="48">
        <v>1000</v>
      </c>
      <c r="O9" s="21">
        <f t="shared" si="3"/>
        <v>63100</v>
      </c>
      <c r="P9" s="8" t="s">
        <v>197</v>
      </c>
      <c r="Q9" s="9">
        <v>-6000</v>
      </c>
      <c r="R9" s="9"/>
      <c r="S9" s="48">
        <v>-500</v>
      </c>
      <c r="T9" s="21">
        <f t="shared" si="4"/>
        <v>30400</v>
      </c>
      <c r="U9" s="53">
        <f>IF($J9="","",ROUND(($J9-$J$3)/1000,1)+(_xlfn.RANK.AVG($J9,($J9,$O9,$T9),1)-2)*10)</f>
        <v>-33.5</v>
      </c>
      <c r="V9" s="54">
        <f>IF($O9="","",ROUND(($O9-$O$3)/1000,1)+(_xlfn.RANK.AVG($O9,($J9,$O9,$T9),1)-2)*10)</f>
        <v>38.1</v>
      </c>
      <c r="W9" s="55">
        <f>IF($T9="","",ROUND(($T9-$T$3)/1000,1)+(_xlfn.RANK.AVG($T9,($J9,$O9,$T9),1)-2)*10)</f>
        <v>-4.5999999999999996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203</v>
      </c>
      <c r="AZ9" s="40" t="s">
        <v>199</v>
      </c>
      <c r="BA9" s="41" t="s">
        <v>82</v>
      </c>
      <c r="BB9" s="41" t="s">
        <v>79</v>
      </c>
      <c r="BC9" s="41" t="s">
        <v>79</v>
      </c>
      <c r="BD9" s="41" t="s">
        <v>79</v>
      </c>
      <c r="BE9" s="41" t="s">
        <v>204</v>
      </c>
      <c r="BF9" s="41" t="s">
        <v>80</v>
      </c>
      <c r="BG9" s="41" t="s">
        <v>86</v>
      </c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201</v>
      </c>
      <c r="G10" s="9">
        <v>-12000</v>
      </c>
      <c r="H10" s="9"/>
      <c r="I10" s="48">
        <v>0</v>
      </c>
      <c r="J10" s="21">
        <f t="shared" si="2"/>
        <v>-500</v>
      </c>
      <c r="K10" s="8"/>
      <c r="L10" s="9"/>
      <c r="M10" s="9"/>
      <c r="N10" s="48"/>
      <c r="O10" s="21">
        <f t="shared" si="3"/>
        <v>63100</v>
      </c>
      <c r="P10" s="8" t="s">
        <v>200</v>
      </c>
      <c r="Q10" s="9">
        <v>12000</v>
      </c>
      <c r="R10" s="9"/>
      <c r="S10" s="48">
        <v>0</v>
      </c>
      <c r="T10" s="21">
        <f t="shared" si="4"/>
        <v>42400</v>
      </c>
      <c r="U10" s="53">
        <f>IF($J10="","",ROUND(($J10-$J$3)/1000,1)+(_xlfn.RANK.AVG($J10,($J10,$O10,$T10),1)-2)*10)</f>
        <v>-45.5</v>
      </c>
      <c r="V10" s="54">
        <f>IF($O10="","",ROUND(($O10-$O$3)/1000,1)+(_xlfn.RANK.AVG($O10,($J10,$O10,$T10),1)-2)*10)</f>
        <v>38.1</v>
      </c>
      <c r="W10" s="55">
        <f>IF($T10="","",ROUND(($T10-$T$3)/1000,1)+(_xlfn.RANK.AVG($T10,($J10,$O10,$T10),1)-2)*10)</f>
        <v>7.4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203</v>
      </c>
      <c r="BU10" s="40" t="s">
        <v>199</v>
      </c>
      <c r="BV10" s="41" t="s">
        <v>79</v>
      </c>
      <c r="BW10" s="41" t="s">
        <v>80</v>
      </c>
      <c r="BX10" s="41" t="s">
        <v>80</v>
      </c>
      <c r="BY10" s="41" t="s">
        <v>80</v>
      </c>
      <c r="BZ10" s="41" t="s">
        <v>86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208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3CCF9DD0-DBFF-4787-B27C-8575167CE3FD}">
      <formula1>$U$2:$W$2</formula1>
    </dataValidation>
    <dataValidation type="list" showInputMessage="1" showErrorMessage="1" sqref="K4:K30 P4:P30 F4:F30" xr:uid="{1018112F-DD38-4DBE-BF8A-66BFD88FE940}">
      <formula1>"ロン,ツモ,放銃,ツモ支払,流局,チョンボ"</formula1>
    </dataValidation>
    <dataValidation type="list" allowBlank="1" showInputMessage="1" sqref="F1:T1" xr:uid="{33489117-93F6-4D2F-9E10-2350044BC2B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2019-10-12T06:14:46Z</dcterms:modified>
</cp:coreProperties>
</file>