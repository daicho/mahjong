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0BB48F59-9031-4E37-8404-BD5C72A369D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T11" i="28"/>
  <c r="O11" i="28"/>
  <c r="J11" i="28"/>
  <c r="U11" i="28" s="1"/>
  <c r="D11" i="28"/>
  <c r="C11" i="28"/>
  <c r="B11" i="28"/>
  <c r="A11" i="28"/>
  <c r="D10" i="28"/>
  <c r="C10" i="28"/>
  <c r="D9" i="28"/>
  <c r="C9" i="28"/>
  <c r="D8" i="28"/>
  <c r="C8" i="28"/>
  <c r="D7" i="28"/>
  <c r="C7" i="28"/>
  <c r="D6" i="28"/>
  <c r="C6" i="28"/>
  <c r="J5" i="28"/>
  <c r="J6" i="28" s="1"/>
  <c r="D5" i="28"/>
  <c r="C5" i="28"/>
  <c r="B5" i="28"/>
  <c r="B6" i="28" s="1"/>
  <c r="T4" i="28"/>
  <c r="T5" i="28" s="1"/>
  <c r="O4" i="28"/>
  <c r="O5" i="28" s="1"/>
  <c r="J4" i="28"/>
  <c r="U4" i="28" s="1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D11" i="27"/>
  <c r="D10" i="27"/>
  <c r="C10" i="27"/>
  <c r="C11" i="27" s="1"/>
  <c r="D9" i="27"/>
  <c r="C9" i="27"/>
  <c r="D8" i="27"/>
  <c r="C8" i="27"/>
  <c r="D7" i="27"/>
  <c r="C7" i="27"/>
  <c r="D6" i="27"/>
  <c r="C6" i="27"/>
  <c r="O5" i="27"/>
  <c r="J5" i="27"/>
  <c r="D5" i="27"/>
  <c r="C5" i="27"/>
  <c r="B5" i="27"/>
  <c r="B6" i="27" s="1"/>
  <c r="T4" i="27"/>
  <c r="O4" i="27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D12" i="26"/>
  <c r="C12" i="26"/>
  <c r="B12" i="26"/>
  <c r="A12" i="26" s="1"/>
  <c r="D11" i="26"/>
  <c r="C11" i="26"/>
  <c r="D10" i="26"/>
  <c r="C10" i="26"/>
  <c r="D9" i="26"/>
  <c r="C9" i="26"/>
  <c r="D8" i="26"/>
  <c r="C8" i="26"/>
  <c r="D7" i="26"/>
  <c r="C7" i="26"/>
  <c r="D6" i="26"/>
  <c r="C6" i="26"/>
  <c r="J5" i="26"/>
  <c r="J6" i="26" s="1"/>
  <c r="D5" i="26"/>
  <c r="C5" i="26"/>
  <c r="B5" i="26"/>
  <c r="T4" i="26"/>
  <c r="T5" i="26" s="1"/>
  <c r="O4" i="26"/>
  <c r="V4" i="26" s="1"/>
  <c r="J4" i="26"/>
  <c r="U4" i="26" s="1"/>
  <c r="W3" i="26"/>
  <c r="V3" i="26"/>
  <c r="U3" i="26"/>
  <c r="W2" i="26"/>
  <c r="V2" i="26"/>
  <c r="U2" i="26"/>
  <c r="BO1" i="26"/>
  <c r="AT1" i="26"/>
  <c r="Y1" i="26"/>
  <c r="V11" i="28" l="1"/>
  <c r="W11" i="28"/>
  <c r="A5" i="28"/>
  <c r="V4" i="28"/>
  <c r="J7" i="28"/>
  <c r="V5" i="28"/>
  <c r="O6" i="28"/>
  <c r="W5" i="28"/>
  <c r="T6" i="28"/>
  <c r="A6" i="28"/>
  <c r="B7" i="28"/>
  <c r="U5" i="28"/>
  <c r="W4" i="28"/>
  <c r="V4" i="27"/>
  <c r="B7" i="27"/>
  <c r="U4" i="27"/>
  <c r="J6" i="27"/>
  <c r="W4" i="27"/>
  <c r="O6" i="27"/>
  <c r="A5" i="27"/>
  <c r="A6" i="27" s="1"/>
  <c r="T5" i="27"/>
  <c r="U5" i="27" s="1"/>
  <c r="W4" i="26"/>
  <c r="J7" i="26"/>
  <c r="T6" i="26"/>
  <c r="B6" i="26"/>
  <c r="O5" i="26"/>
  <c r="W5" i="26" s="1"/>
  <c r="A5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/>
  <c r="D11" i="25"/>
  <c r="C11" i="25"/>
  <c r="D10" i="25"/>
  <c r="C10" i="25"/>
  <c r="D9" i="25"/>
  <c r="C9" i="25"/>
  <c r="D8" i="25"/>
  <c r="D7" i="25"/>
  <c r="C7" i="25"/>
  <c r="C8" i="25" s="1"/>
  <c r="D6" i="25"/>
  <c r="C6" i="25"/>
  <c r="B6" i="25"/>
  <c r="B7" i="25" s="1"/>
  <c r="D5" i="25"/>
  <c r="C5" i="25"/>
  <c r="B5" i="25"/>
  <c r="T4" i="25"/>
  <c r="O4" i="25"/>
  <c r="J4" i="25"/>
  <c r="J5" i="25" s="1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 s="1"/>
  <c r="T11" i="24"/>
  <c r="O11" i="24"/>
  <c r="J11" i="24"/>
  <c r="D11" i="24"/>
  <c r="C11" i="24"/>
  <c r="B11" i="24"/>
  <c r="A11" i="24" s="1"/>
  <c r="D10" i="24"/>
  <c r="C10" i="24"/>
  <c r="C9" i="24"/>
  <c r="D8" i="24"/>
  <c r="D9" i="24" s="1"/>
  <c r="C8" i="24"/>
  <c r="D7" i="24"/>
  <c r="C7" i="24"/>
  <c r="D6" i="24"/>
  <c r="C6" i="24"/>
  <c r="T5" i="24"/>
  <c r="O5" i="24"/>
  <c r="D5" i="24"/>
  <c r="C5" i="24"/>
  <c r="B5" i="24"/>
  <c r="B6" i="24" s="1"/>
  <c r="T4" i="24"/>
  <c r="O4" i="24"/>
  <c r="J4" i="24"/>
  <c r="W3" i="24"/>
  <c r="V3" i="24"/>
  <c r="U3" i="24"/>
  <c r="W2" i="24"/>
  <c r="V2" i="24"/>
  <c r="U2" i="24"/>
  <c r="BO1" i="24"/>
  <c r="AT1" i="24"/>
  <c r="Y1" i="24"/>
  <c r="W6" i="28" l="1"/>
  <c r="T7" i="28"/>
  <c r="U7" i="28" s="1"/>
  <c r="V6" i="28"/>
  <c r="O7" i="28"/>
  <c r="J8" i="28"/>
  <c r="B8" i="28"/>
  <c r="A7" i="28"/>
  <c r="U6" i="28"/>
  <c r="A7" i="27"/>
  <c r="O7" i="27"/>
  <c r="J7" i="27"/>
  <c r="V5" i="27"/>
  <c r="W5" i="27"/>
  <c r="T6" i="27"/>
  <c r="B8" i="27"/>
  <c r="J8" i="26"/>
  <c r="V5" i="26"/>
  <c r="U5" i="26"/>
  <c r="O6" i="26"/>
  <c r="W6" i="26" s="1"/>
  <c r="B7" i="26"/>
  <c r="A7" i="26" s="1"/>
  <c r="A6" i="26"/>
  <c r="T7" i="26"/>
  <c r="V4" i="25"/>
  <c r="W4" i="25"/>
  <c r="B8" i="25"/>
  <c r="J6" i="25"/>
  <c r="O5" i="25"/>
  <c r="T5" i="25"/>
  <c r="U4" i="25"/>
  <c r="A5" i="25"/>
  <c r="A6" i="25" s="1"/>
  <c r="A7" i="25" s="1"/>
  <c r="W11" i="24"/>
  <c r="U11" i="24"/>
  <c r="V11" i="24"/>
  <c r="V4" i="24"/>
  <c r="W4" i="24"/>
  <c r="U4" i="24"/>
  <c r="B7" i="24"/>
  <c r="J5" i="24"/>
  <c r="V5" i="24" s="1"/>
  <c r="O6" i="24"/>
  <c r="A5" i="24"/>
  <c r="A6" i="24" s="1"/>
  <c r="T6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 s="1"/>
  <c r="D10" i="23"/>
  <c r="D9" i="23"/>
  <c r="D8" i="23"/>
  <c r="B6" i="23"/>
  <c r="B7" i="23" s="1"/>
  <c r="A6" i="23"/>
  <c r="D5" i="23"/>
  <c r="D6" i="23" s="1"/>
  <c r="D7" i="23" s="1"/>
  <c r="C5" i="23"/>
  <c r="C6" i="23" s="1"/>
  <c r="C7" i="23" s="1"/>
  <c r="C8" i="23" s="1"/>
  <c r="C9" i="23" s="1"/>
  <c r="C10" i="23" s="1"/>
  <c r="B5" i="23"/>
  <c r="A5" i="23"/>
  <c r="T4" i="23"/>
  <c r="O4" i="23"/>
  <c r="V4" i="23" s="1"/>
  <c r="J4" i="23"/>
  <c r="J5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 s="1"/>
  <c r="D10" i="22"/>
  <c r="C10" i="22"/>
  <c r="D8" i="22"/>
  <c r="D9" i="22" s="1"/>
  <c r="C8" i="22"/>
  <c r="C9" i="22" s="1"/>
  <c r="D7" i="22"/>
  <c r="C7" i="22"/>
  <c r="O6" i="22"/>
  <c r="D6" i="22"/>
  <c r="C6" i="22"/>
  <c r="O5" i="22"/>
  <c r="J5" i="22"/>
  <c r="D5" i="22"/>
  <c r="C5" i="22"/>
  <c r="B5" i="22"/>
  <c r="B6" i="22" s="1"/>
  <c r="T4" i="22"/>
  <c r="W4" i="22" s="1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D9" i="21"/>
  <c r="C9" i="21"/>
  <c r="C10" i="21" s="1"/>
  <c r="D8" i="21"/>
  <c r="C8" i="21"/>
  <c r="D7" i="21"/>
  <c r="C7" i="21"/>
  <c r="D6" i="21"/>
  <c r="C6" i="21"/>
  <c r="B6" i="21"/>
  <c r="A6" i="21" s="1"/>
  <c r="D5" i="21"/>
  <c r="C5" i="21"/>
  <c r="B5" i="21"/>
  <c r="A5" i="21"/>
  <c r="T4" i="2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V11" i="20" s="1"/>
  <c r="J11" i="20"/>
  <c r="U11" i="20" s="1"/>
  <c r="D11" i="20"/>
  <c r="C11" i="20"/>
  <c r="B11" i="20"/>
  <c r="A11" i="20" s="1"/>
  <c r="T10" i="20"/>
  <c r="O10" i="20"/>
  <c r="J10" i="20"/>
  <c r="D10" i="20"/>
  <c r="C10" i="20"/>
  <c r="B10" i="20"/>
  <c r="A10" i="20"/>
  <c r="D9" i="20"/>
  <c r="C9" i="20"/>
  <c r="D8" i="20"/>
  <c r="C8" i="20"/>
  <c r="D7" i="20"/>
  <c r="C7" i="20"/>
  <c r="D6" i="20"/>
  <c r="C6" i="20"/>
  <c r="B6" i="20"/>
  <c r="B7" i="20" s="1"/>
  <c r="D5" i="20"/>
  <c r="C5" i="20"/>
  <c r="B5" i="20"/>
  <c r="A5" i="20" s="1"/>
  <c r="A6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B9" i="28" l="1"/>
  <c r="A9" i="28"/>
  <c r="A8" i="28"/>
  <c r="J9" i="28"/>
  <c r="O8" i="28"/>
  <c r="U8" i="28" s="1"/>
  <c r="V7" i="28"/>
  <c r="W7" i="28"/>
  <c r="T8" i="28"/>
  <c r="B9" i="27"/>
  <c r="A9" i="27" s="1"/>
  <c r="W6" i="27"/>
  <c r="T7" i="27"/>
  <c r="U7" i="27"/>
  <c r="J8" i="27"/>
  <c r="U6" i="27"/>
  <c r="O8" i="27"/>
  <c r="V7" i="27"/>
  <c r="A8" i="27"/>
  <c r="V6" i="27"/>
  <c r="B8" i="26"/>
  <c r="A8" i="26" s="1"/>
  <c r="V6" i="26"/>
  <c r="O7" i="26"/>
  <c r="W7" i="26" s="1"/>
  <c r="U6" i="26"/>
  <c r="T8" i="26"/>
  <c r="J9" i="26"/>
  <c r="A8" i="25"/>
  <c r="W5" i="25"/>
  <c r="T6" i="25"/>
  <c r="V5" i="25"/>
  <c r="O6" i="25"/>
  <c r="J7" i="25"/>
  <c r="U5" i="25"/>
  <c r="B9" i="25"/>
  <c r="A9" i="25" s="1"/>
  <c r="A7" i="24"/>
  <c r="W5" i="24"/>
  <c r="T7" i="24"/>
  <c r="O7" i="24"/>
  <c r="J6" i="24"/>
  <c r="V6" i="24" s="1"/>
  <c r="U5" i="24"/>
  <c r="B8" i="24"/>
  <c r="W4" i="23"/>
  <c r="J6" i="23"/>
  <c r="B8" i="23"/>
  <c r="A7" i="23"/>
  <c r="U4" i="23"/>
  <c r="O5" i="23"/>
  <c r="T5" i="23"/>
  <c r="U5" i="23" s="1"/>
  <c r="V4" i="22"/>
  <c r="B7" i="22"/>
  <c r="U4" i="22"/>
  <c r="T5" i="22"/>
  <c r="V5" i="22" s="1"/>
  <c r="J6" i="22"/>
  <c r="A5" i="22"/>
  <c r="O7" i="22"/>
  <c r="A6" i="22"/>
  <c r="W4" i="21"/>
  <c r="U5" i="21"/>
  <c r="J6" i="21"/>
  <c r="U4" i="21"/>
  <c r="O5" i="21"/>
  <c r="B7" i="21"/>
  <c r="A7" i="21" s="1"/>
  <c r="T5" i="21"/>
  <c r="W11" i="20"/>
  <c r="U10" i="20"/>
  <c r="V10" i="20"/>
  <c r="W10" i="20"/>
  <c r="W4" i="20"/>
  <c r="V4" i="20"/>
  <c r="B8" i="20"/>
  <c r="A8" i="20" s="1"/>
  <c r="J5" i="20"/>
  <c r="A7" i="20"/>
  <c r="O5" i="20"/>
  <c r="T5" i="20"/>
  <c r="W3" i="19"/>
  <c r="V3" i="19"/>
  <c r="U3" i="19"/>
  <c r="J10" i="28" l="1"/>
  <c r="V8" i="28"/>
  <c r="O9" i="28"/>
  <c r="U9" i="28" s="1"/>
  <c r="W8" i="28"/>
  <c r="T9" i="28"/>
  <c r="B10" i="28"/>
  <c r="A10" i="28" s="1"/>
  <c r="T8" i="27"/>
  <c r="V8" i="27" s="1"/>
  <c r="W7" i="27"/>
  <c r="O9" i="27"/>
  <c r="J9" i="27"/>
  <c r="B10" i="27"/>
  <c r="A10" i="27" s="1"/>
  <c r="T9" i="26"/>
  <c r="O8" i="26"/>
  <c r="W8" i="26" s="1"/>
  <c r="V7" i="26"/>
  <c r="U7" i="26"/>
  <c r="J10" i="26"/>
  <c r="B9" i="26"/>
  <c r="A9" i="26" s="1"/>
  <c r="T7" i="25"/>
  <c r="W6" i="25"/>
  <c r="U6" i="25"/>
  <c r="J8" i="25"/>
  <c r="V6" i="25"/>
  <c r="O7" i="25"/>
  <c r="B10" i="25"/>
  <c r="A10" i="25" s="1"/>
  <c r="W6" i="24"/>
  <c r="B9" i="24"/>
  <c r="A8" i="24"/>
  <c r="O8" i="24"/>
  <c r="U6" i="24"/>
  <c r="J7" i="24"/>
  <c r="V7" i="24" s="1"/>
  <c r="T8" i="24"/>
  <c r="O6" i="23"/>
  <c r="V5" i="23"/>
  <c r="J7" i="23"/>
  <c r="B9" i="23"/>
  <c r="W5" i="23"/>
  <c r="T6" i="23"/>
  <c r="A8" i="23"/>
  <c r="W5" i="22"/>
  <c r="T6" i="22"/>
  <c r="U5" i="22"/>
  <c r="O8" i="22"/>
  <c r="B8" i="22"/>
  <c r="J7" i="22"/>
  <c r="A7" i="22"/>
  <c r="B8" i="21"/>
  <c r="A8" i="21" s="1"/>
  <c r="V5" i="21"/>
  <c r="O6" i="21"/>
  <c r="W5" i="21"/>
  <c r="T6" i="21"/>
  <c r="J7" i="21"/>
  <c r="W5" i="20"/>
  <c r="T6" i="20"/>
  <c r="U5" i="20"/>
  <c r="J6" i="20"/>
  <c r="V5" i="20"/>
  <c r="O6" i="20"/>
  <c r="B9" i="20"/>
  <c r="A9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9" i="28" l="1"/>
  <c r="T10" i="28"/>
  <c r="V9" i="28"/>
  <c r="O10" i="28"/>
  <c r="V10" i="28" s="1"/>
  <c r="U10" i="28"/>
  <c r="B11" i="27"/>
  <c r="A11" i="27" s="1"/>
  <c r="U8" i="27"/>
  <c r="O10" i="27"/>
  <c r="J10" i="27"/>
  <c r="W8" i="27"/>
  <c r="T9" i="27"/>
  <c r="V9" i="27" s="1"/>
  <c r="B10" i="26"/>
  <c r="A10" i="26"/>
  <c r="J11" i="26"/>
  <c r="V8" i="26"/>
  <c r="O9" i="26"/>
  <c r="W9" i="26" s="1"/>
  <c r="U8" i="26"/>
  <c r="T10" i="26"/>
  <c r="B11" i="25"/>
  <c r="A11" i="25" s="1"/>
  <c r="W7" i="25"/>
  <c r="T8" i="25"/>
  <c r="O8" i="25"/>
  <c r="V7" i="25"/>
  <c r="U7" i="25"/>
  <c r="J9" i="25"/>
  <c r="U8" i="25"/>
  <c r="A9" i="24"/>
  <c r="T9" i="24"/>
  <c r="U7" i="24"/>
  <c r="J8" i="24"/>
  <c r="W8" i="24" s="1"/>
  <c r="V8" i="24"/>
  <c r="O9" i="24"/>
  <c r="W7" i="24"/>
  <c r="B10" i="24"/>
  <c r="A10" i="24" s="1"/>
  <c r="A9" i="23"/>
  <c r="V6" i="23"/>
  <c r="O7" i="23"/>
  <c r="U7" i="23" s="1"/>
  <c r="B10" i="23"/>
  <c r="A10" i="23" s="1"/>
  <c r="J8" i="23"/>
  <c r="W6" i="23"/>
  <c r="T7" i="23"/>
  <c r="U6" i="23"/>
  <c r="A8" i="22"/>
  <c r="W6" i="22"/>
  <c r="T7" i="22"/>
  <c r="U7" i="22" s="1"/>
  <c r="J8" i="22"/>
  <c r="U6" i="22"/>
  <c r="V6" i="22"/>
  <c r="B9" i="22"/>
  <c r="A9" i="22" s="1"/>
  <c r="O9" i="22"/>
  <c r="U6" i="21"/>
  <c r="J8" i="21"/>
  <c r="W6" i="21"/>
  <c r="T7" i="21"/>
  <c r="V6" i="21"/>
  <c r="O7" i="21"/>
  <c r="U7" i="21" s="1"/>
  <c r="B9" i="21"/>
  <c r="A9" i="21" s="1"/>
  <c r="U6" i="20"/>
  <c r="J7" i="20"/>
  <c r="W6" i="20"/>
  <c r="T7" i="20"/>
  <c r="O7" i="20"/>
  <c r="V6" i="20"/>
  <c r="U9" i="19"/>
  <c r="W9" i="19"/>
  <c r="U8" i="19"/>
  <c r="V8" i="19"/>
  <c r="W8" i="19"/>
  <c r="W7" i="19"/>
  <c r="V7" i="19"/>
  <c r="U6" i="19"/>
  <c r="V6" i="19"/>
  <c r="W6" i="19"/>
  <c r="U4" i="19"/>
  <c r="V4" i="19"/>
  <c r="T5" i="19"/>
  <c r="W4" i="19"/>
  <c r="J5" i="19"/>
  <c r="O5" i="19"/>
  <c r="V5" i="19" s="1"/>
  <c r="W10" i="28" l="1"/>
  <c r="U9" i="27"/>
  <c r="J11" i="27"/>
  <c r="O11" i="27"/>
  <c r="W9" i="27"/>
  <c r="T10" i="27"/>
  <c r="U10" i="27" s="1"/>
  <c r="B11" i="26"/>
  <c r="A11" i="26" s="1"/>
  <c r="V9" i="26"/>
  <c r="O10" i="26"/>
  <c r="U9" i="26"/>
  <c r="W10" i="26"/>
  <c r="T11" i="26"/>
  <c r="J10" i="25"/>
  <c r="W8" i="25"/>
  <c r="T9" i="25"/>
  <c r="O9" i="25"/>
  <c r="U9" i="25" s="1"/>
  <c r="V8" i="25"/>
  <c r="O10" i="24"/>
  <c r="U8" i="24"/>
  <c r="J9" i="24"/>
  <c r="V9" i="24" s="1"/>
  <c r="W9" i="24"/>
  <c r="T10" i="24"/>
  <c r="J9" i="23"/>
  <c r="W7" i="23"/>
  <c r="T8" i="23"/>
  <c r="O8" i="23"/>
  <c r="V7" i="23"/>
  <c r="O10" i="22"/>
  <c r="J9" i="22"/>
  <c r="B10" i="22"/>
  <c r="A10" i="22"/>
  <c r="T8" i="22"/>
  <c r="W7" i="22"/>
  <c r="V7" i="22"/>
  <c r="J9" i="21"/>
  <c r="O8" i="21"/>
  <c r="V7" i="21"/>
  <c r="B10" i="21"/>
  <c r="T8" i="21"/>
  <c r="W7" i="21"/>
  <c r="V7" i="20"/>
  <c r="O8" i="20"/>
  <c r="J8" i="20"/>
  <c r="U7" i="20"/>
  <c r="W7" i="20"/>
  <c r="T8" i="20"/>
  <c r="U5" i="19"/>
  <c r="W5" i="19"/>
  <c r="U11" i="27" l="1"/>
  <c r="W10" i="27"/>
  <c r="T11" i="27"/>
  <c r="W11" i="27" s="1"/>
  <c r="V11" i="27"/>
  <c r="V10" i="27"/>
  <c r="V10" i="26"/>
  <c r="O11" i="26"/>
  <c r="U10" i="26"/>
  <c r="J11" i="25"/>
  <c r="V9" i="25"/>
  <c r="O10" i="25"/>
  <c r="W9" i="25"/>
  <c r="T10" i="25"/>
  <c r="U10" i="25" s="1"/>
  <c r="J10" i="24"/>
  <c r="U10" i="24" s="1"/>
  <c r="U9" i="24"/>
  <c r="V8" i="23"/>
  <c r="O9" i="23"/>
  <c r="T9" i="23"/>
  <c r="W8" i="23"/>
  <c r="U9" i="23"/>
  <c r="J10" i="23"/>
  <c r="U8" i="23"/>
  <c r="W8" i="22"/>
  <c r="T9" i="22"/>
  <c r="V8" i="22"/>
  <c r="U8" i="22"/>
  <c r="J10" i="22"/>
  <c r="B11" i="21"/>
  <c r="A11" i="21" s="1"/>
  <c r="W8" i="21"/>
  <c r="T9" i="21"/>
  <c r="V8" i="21"/>
  <c r="O9" i="21"/>
  <c r="U9" i="21" s="1"/>
  <c r="A10" i="21"/>
  <c r="U8" i="21"/>
  <c r="J10" i="21"/>
  <c r="U8" i="20"/>
  <c r="J9" i="20"/>
  <c r="W8" i="20"/>
  <c r="T9" i="20"/>
  <c r="V8" i="20"/>
  <c r="O9" i="20"/>
  <c r="V11" i="26" l="1"/>
  <c r="U11" i="26"/>
  <c r="W11" i="26"/>
  <c r="V10" i="25"/>
  <c r="O11" i="25"/>
  <c r="W10" i="25"/>
  <c r="T11" i="25"/>
  <c r="V10" i="24"/>
  <c r="W10" i="24"/>
  <c r="W9" i="23"/>
  <c r="T10" i="23"/>
  <c r="V9" i="23"/>
  <c r="O10" i="23"/>
  <c r="V10" i="23" s="1"/>
  <c r="W9" i="22"/>
  <c r="T10" i="22"/>
  <c r="W10" i="22" s="1"/>
  <c r="V9" i="22"/>
  <c r="U9" i="22"/>
  <c r="V9" i="21"/>
  <c r="O10" i="21"/>
  <c r="W9" i="21"/>
  <c r="T10" i="21"/>
  <c r="J11" i="21"/>
  <c r="U9" i="20"/>
  <c r="W9" i="20"/>
  <c r="V9" i="20"/>
  <c r="V11" i="25" l="1"/>
  <c r="U11" i="25"/>
  <c r="W11" i="25"/>
  <c r="U10" i="23"/>
  <c r="W10" i="23"/>
  <c r="V10" i="22"/>
  <c r="U10" i="22"/>
  <c r="V10" i="21"/>
  <c r="O11" i="21"/>
  <c r="U10" i="21"/>
  <c r="W10" i="21"/>
  <c r="T11" i="21"/>
  <c r="V11" i="21" l="1"/>
  <c r="U11" i="21"/>
  <c r="W11" i="21"/>
</calcChain>
</file>

<file path=xl/sharedStrings.xml><?xml version="1.0" encoding="utf-8"?>
<sst xmlns="http://schemas.openxmlformats.org/spreadsheetml/2006/main" count="1471" uniqueCount="215">
  <si>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</si>
  <si>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</si>
  <si>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</si>
  <si>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</si>
  <si>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</si>
  <si>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</si>
  <si>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</si>
  <si>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</si>
  <si>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</si>
  <si>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</si>
  <si>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</si>
  <si>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</si>
  <si>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</si>
  <si>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</si>
  <si>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</si>
  <si>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</si>
  <si>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</si>
  <si>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</si>
  <si>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</si>
  <si>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</si>
  <si>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</si>
  <si>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</si>
  <si>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</si>
  <si>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</si>
  <si>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</si>
  <si>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</si>
  <si>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</si>
  <si>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</si>
  <si>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</si>
  <si>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</si>
  <si>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</si>
  <si>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</si>
  <si>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</si>
  <si>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</si>
  <si>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</si>
  <si>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</si>
  <si>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</si>
  <si>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</si>
  <si>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</si>
  <si>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</si>
  <si>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</si>
  <si>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</si>
  <si>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</si>
  <si>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</si>
  <si>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</si>
  <si>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</si>
  <si>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</si>
  <si>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</si>
  <si>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</si>
  <si>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</si>
  <si>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</si>
  <si>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</si>
  <si>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</si>
  <si>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</si>
  <si>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</si>
  <si>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</si>
  <si>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</si>
  <si>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</si>
  <si>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</si>
  <si>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</si>
  <si>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</si>
  <si>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</si>
  <si>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</si>
  <si>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</si>
  <si>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</si>
  <si>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</si>
  <si>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</si>
  <si>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</si>
  <si>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</si>
  <si>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</si>
  <si>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</si>
  <si>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</si>
  <si>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</si>
  <si>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</si>
  <si>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</si>
  <si>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</si>
  <si>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</si>
  <si>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</si>
  <si>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</si>
  <si>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</si>
  <si>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</si>
  <si>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</si>
  <si>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</si>
  <si>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</si>
  <si>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</si>
  <si>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</si>
  <si>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</si>
  <si>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</si>
  <si>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</si>
  <si>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</si>
  <si>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</si>
  <si>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</si>
  <si>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</si>
  <si>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</si>
  <si>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</si>
  <si>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</si>
  <si>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</si>
  <si>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</si>
  <si>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</si>
  <si>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</si>
  <si>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</si>
  <si>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</si>
  <si>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</si>
  <si>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</si>
  <si>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</si>
  <si>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</si>
  <si>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</si>
  <si>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</si>
  <si>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</si>
  <si>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</si>
  <si>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</si>
  <si>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</si>
  <si>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</si>
  <si>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</si>
  <si>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</si>
  <si>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</si>
  <si>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</si>
  <si>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</si>
  <si>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</si>
  <si>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</si>
  <si>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</si>
  <si>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</si>
  <si>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</si>
  <si>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</si>
  <si>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</si>
  <si>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</si>
  <si>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</si>
  <si>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</si>
  <si>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</si>
  <si>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</si>
  <si>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</si>
  <si>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</si>
  <si>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</si>
  <si>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</si>
  <si>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</si>
  <si>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</si>
  <si>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</si>
  <si>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</si>
  <si>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</si>
  <si>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</si>
  <si>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</si>
  <si>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</si>
  <si>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</si>
  <si>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</si>
  <si>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</si>
  <si>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</si>
  <si>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</si>
  <si>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</si>
  <si>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</si>
  <si>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</si>
  <si>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</si>
  <si>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</si>
  <si>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</si>
  <si>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</si>
  <si>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</si>
  <si>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</si>
  <si>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</si>
  <si>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</si>
  <si>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</si>
  <si>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</si>
  <si>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</si>
  <si>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</si>
  <si>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</si>
  <si>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</si>
  <si>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</si>
  <si>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</si>
  <si>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</si>
  <si>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</si>
  <si>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</si>
  <si>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</si>
  <si>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</si>
  <si>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</si>
  <si>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</si>
  <si>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</si>
  <si>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</si>
  <si>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</si>
  <si>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</si>
  <si>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</si>
  <si>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</si>
  <si>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</si>
  <si>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</si>
  <si>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</si>
  <si>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</si>
  <si>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</si>
  <si>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</si>
  <si>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</si>
  <si>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</si>
  <si>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</si>
  <si>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</si>
  <si>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</si>
  <si>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</si>
  <si>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</si>
  <si>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れんたろう</t>
  </si>
  <si>
    <t>のり</t>
  </si>
  <si>
    <t>T</t>
  </si>
  <si>
    <t>N</t>
  </si>
  <si>
    <t>流局</t>
    <phoneticPr fontId="1"/>
  </si>
  <si>
    <t>ツモ支払</t>
  </si>
  <si>
    <t>ツモ</t>
  </si>
  <si>
    <t>01</t>
  </si>
  <si>
    <t>ロン</t>
  </si>
  <si>
    <t>放銃</t>
  </si>
  <si>
    <t>02</t>
  </si>
  <si>
    <t>*</t>
  </si>
  <si>
    <t>52</t>
  </si>
  <si>
    <t>りくと</t>
  </si>
  <si>
    <t>だいち</t>
  </si>
  <si>
    <t>ほたに</t>
  </si>
  <si>
    <t>まっつん</t>
  </si>
  <si>
    <t>51</t>
  </si>
  <si>
    <t>まっつん</t>
    <phoneticPr fontId="1"/>
  </si>
  <si>
    <t>だいち</t>
    <phoneticPr fontId="1"/>
  </si>
  <si>
    <t>たかの</t>
  </si>
  <si>
    <t>たかの</t>
    <phoneticPr fontId="1"/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</si>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</sst>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-1500</v>
      </c>
      <c r="H4" s="9"/>
      <c r="I4" s="48"/>
      <c r="J4" s="21">
        <f>IF(COUNTA($F4,$K4,$P4)&gt;0,J3+SUM(G4:I4),"")</f>
        <v>33500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195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192</v>
      </c>
      <c r="F5" s="8" t="s">
        <v>197</v>
      </c>
      <c r="G5" s="9">
        <v>-2000</v>
      </c>
      <c r="H5" s="9"/>
      <c r="I5" s="48">
        <v>-500</v>
      </c>
      <c r="J5" s="21">
        <f t="shared" ref="J5:J30" si="2">IF(COUNTA($F5,$K5,$P5)&gt;0,J4+SUM(G5:I5),"")</f>
        <v>31000</v>
      </c>
      <c r="K5" s="8" t="s">
        <v>197</v>
      </c>
      <c r="L5" s="9">
        <v>-3300</v>
      </c>
      <c r="M5" s="9"/>
      <c r="N5" s="48">
        <v>-500</v>
      </c>
      <c r="O5" s="21">
        <f t="shared" ref="O5:O30" si="3">IF(COUNTA($F5,$K5,$P5)&gt;0,O4+SUM(L5:N5),"")</f>
        <v>29700</v>
      </c>
      <c r="P5" s="8" t="s">
        <v>198</v>
      </c>
      <c r="Q5" s="9">
        <v>5300</v>
      </c>
      <c r="R5" s="9">
        <v>1000</v>
      </c>
      <c r="S5" s="48">
        <v>1000</v>
      </c>
      <c r="T5" s="21">
        <f t="shared" ref="T5:T30" si="4">IF(COUNTA($F5,$K5,$P5)&gt;0,T4+SUM(Q5:S5),"")</f>
        <v>44300</v>
      </c>
      <c r="U5" s="53">
        <f>IF($J5="","",ROUND(($J5-$J$3)/1000,1)+(_xlfn.RANK.AVG($J5,($J5,$O5,$T5),1)-2)*10)</f>
        <v>-4</v>
      </c>
      <c r="V5" s="54">
        <f>IF($O5="","",ROUND(($O5-$O$3)/1000,1)+(_xlfn.RANK.AVG($O5,($J5,$O5,$T5),1)-2)*10)</f>
        <v>-15.3</v>
      </c>
      <c r="W5" s="55">
        <f>IF($T5="","",ROUND(($T5-$T$3)/1000,1)+(_xlfn.RANK.AVG($T5,($J5,$O5,$T5),1)-2)*10)</f>
        <v>19.3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20</v>
      </c>
      <c r="BU5" s="40" t="s">
        <v>199</v>
      </c>
      <c r="BV5" s="41" t="s">
        <v>82</v>
      </c>
      <c r="BW5" s="41" t="s">
        <v>83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200</v>
      </c>
      <c r="G6" s="9">
        <v>3900</v>
      </c>
      <c r="H6" s="9">
        <v>2000</v>
      </c>
      <c r="I6" s="48">
        <v>0</v>
      </c>
      <c r="J6" s="21">
        <f t="shared" si="2"/>
        <v>36900</v>
      </c>
      <c r="K6" s="8"/>
      <c r="L6" s="9"/>
      <c r="M6" s="9">
        <v>-1000</v>
      </c>
      <c r="N6" s="48"/>
      <c r="O6" s="21">
        <f t="shared" si="3"/>
        <v>28700</v>
      </c>
      <c r="P6" s="8" t="s">
        <v>201</v>
      </c>
      <c r="Q6" s="9">
        <v>-3900</v>
      </c>
      <c r="R6" s="9">
        <v>-1000</v>
      </c>
      <c r="S6" s="48">
        <v>0</v>
      </c>
      <c r="T6" s="21">
        <f t="shared" si="4"/>
        <v>39400</v>
      </c>
      <c r="U6" s="53">
        <f>IF($J6="","",ROUND(($J6-$J$3)/1000,1)+(_xlfn.RANK.AVG($J6,($J6,$O6,$T6),1)-2)*10)</f>
        <v>1.9</v>
      </c>
      <c r="V6" s="54">
        <f>IF($O6="","",ROUND(($O6-$O$3)/1000,1)+(_xlfn.RANK.AVG($O6,($J6,$O6,$T6),1)-2)*10)</f>
        <v>-16.3</v>
      </c>
      <c r="W6" s="55">
        <f>IF($T6="","",ROUND(($T6-$T$3)/1000,1)+(_xlfn.RANK.AVG($T6,($J6,$O6,$T6),1)-2)*10)</f>
        <v>14.4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98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36900</v>
      </c>
      <c r="K7" s="8" t="s">
        <v>200</v>
      </c>
      <c r="L7" s="9">
        <v>5200</v>
      </c>
      <c r="M7" s="9"/>
      <c r="N7" s="48">
        <v>0</v>
      </c>
      <c r="O7" s="21">
        <f t="shared" si="3"/>
        <v>33900</v>
      </c>
      <c r="P7" s="8" t="s">
        <v>201</v>
      </c>
      <c r="Q7" s="9">
        <v>-5200</v>
      </c>
      <c r="R7" s="9"/>
      <c r="S7" s="48">
        <v>0</v>
      </c>
      <c r="T7" s="21">
        <f t="shared" si="4"/>
        <v>34200</v>
      </c>
      <c r="U7" s="53">
        <f>IF($J7="","",ROUND(($J7-$J$3)/1000,1)+(_xlfn.RANK.AVG($J7,($J7,$O7,$T7),1)-2)*10)</f>
        <v>11.9</v>
      </c>
      <c r="V7" s="54">
        <f>IF($O7="","",ROUND(($O7-$O$3)/1000,1)+(_xlfn.RANK.AVG($O7,($J7,$O7,$T7),1)-2)*10)</f>
        <v>-11.1</v>
      </c>
      <c r="W7" s="55">
        <f>IF($T7="","",ROUND(($T7-$T$3)/1000,1)+(_xlfn.RANK.AVG($T7,($J7,$O7,$T7),1)-2)*10)</f>
        <v>-0.8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199</v>
      </c>
      <c r="BA7" s="41" t="s">
        <v>79</v>
      </c>
      <c r="BB7" s="41" t="s">
        <v>202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197</v>
      </c>
      <c r="G8" s="9">
        <v>-4500</v>
      </c>
      <c r="H8" s="9"/>
      <c r="I8" s="48">
        <v>0</v>
      </c>
      <c r="J8" s="21">
        <f t="shared" si="2"/>
        <v>32400</v>
      </c>
      <c r="K8" s="8" t="s">
        <v>197</v>
      </c>
      <c r="L8" s="9">
        <v>-7500</v>
      </c>
      <c r="M8" s="9"/>
      <c r="N8" s="48">
        <v>0</v>
      </c>
      <c r="O8" s="21">
        <f t="shared" si="3"/>
        <v>26400</v>
      </c>
      <c r="P8" s="8" t="s">
        <v>198</v>
      </c>
      <c r="Q8" s="9">
        <v>12000</v>
      </c>
      <c r="R8" s="9"/>
      <c r="S8" s="48">
        <v>0</v>
      </c>
      <c r="T8" s="21">
        <f t="shared" si="4"/>
        <v>46200</v>
      </c>
      <c r="U8" s="53">
        <f>IF($J8="","",ROUND(($J8-$J$3)/1000,1)+(_xlfn.RANK.AVG($J8,($J8,$O8,$T8),1)-2)*10)</f>
        <v>-2.6</v>
      </c>
      <c r="V8" s="54">
        <f>IF($O8="","",ROUND(($O8-$O$3)/1000,1)+(_xlfn.RANK.AVG($O8,($J8,$O8,$T8),1)-2)*10)</f>
        <v>-18.600000000000001</v>
      </c>
      <c r="W8" s="55">
        <f>IF($T8="","",ROUND(($T8-$T$3)/1000,1)+(_xlfn.RANK.AVG($T8,($J8,$O8,$T8),1)-2)*10)</f>
        <v>21.2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203</v>
      </c>
      <c r="BU8" s="40" t="s">
        <v>199</v>
      </c>
      <c r="BV8" s="41" t="s">
        <v>82</v>
      </c>
      <c r="BW8" s="41" t="s">
        <v>83</v>
      </c>
      <c r="BX8" s="41" t="s">
        <v>85</v>
      </c>
      <c r="BY8" s="41" t="s">
        <v>79</v>
      </c>
      <c r="BZ8" s="41" t="s">
        <v>80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-3000</v>
      </c>
      <c r="H9" s="9"/>
      <c r="I9" s="48">
        <v>0</v>
      </c>
      <c r="J9" s="21">
        <f t="shared" si="2"/>
        <v>29400</v>
      </c>
      <c r="K9" s="8" t="s">
        <v>197</v>
      </c>
      <c r="L9" s="9">
        <v>-3000</v>
      </c>
      <c r="M9" s="9">
        <v>-1000</v>
      </c>
      <c r="N9" s="48">
        <v>0</v>
      </c>
      <c r="O9" s="21">
        <f t="shared" si="3"/>
        <v>22400</v>
      </c>
      <c r="P9" s="8" t="s">
        <v>198</v>
      </c>
      <c r="Q9" s="9">
        <v>6000</v>
      </c>
      <c r="R9" s="9">
        <v>1000</v>
      </c>
      <c r="S9" s="48">
        <v>0</v>
      </c>
      <c r="T9" s="21">
        <f t="shared" si="4"/>
        <v>53200</v>
      </c>
      <c r="U9" s="53">
        <f>IF($J9="","",ROUND(($J9-$J$3)/1000,1)+(_xlfn.RANK.AVG($J9,($J9,$O9,$T9),1)-2)*10)</f>
        <v>-5.6</v>
      </c>
      <c r="V9" s="54">
        <f>IF($O9="","",ROUND(($O9-$O$3)/1000,1)+(_xlfn.RANK.AVG($O9,($J9,$O9,$T9),1)-2)*10)</f>
        <v>-22.6</v>
      </c>
      <c r="W9" s="55">
        <f>IF($T9="","",ROUND(($T9-$T$3)/1000,1)+(_xlfn.RANK.AVG($T9,($J9,$O9,$T9),1)-2)*10)</f>
        <v>28.2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82</v>
      </c>
      <c r="BV9" s="41" t="s">
        <v>204</v>
      </c>
      <c r="BW9" s="41" t="s">
        <v>204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1220A3A-56A9-43B4-9D6F-7F4588CCB27F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A30F1-ABA0-445F-A304-70F64A990739}">
  <sheetPr codeName="Sheet11">
    <pageSetUpPr fitToPage="1"/>
  </sheetPr>
  <dimension ref="A1:CI30"/>
  <sheetViews>
    <sheetView topLeftCell="H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206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197</v>
      </c>
      <c r="G4" s="9">
        <v>-4000</v>
      </c>
      <c r="H4" s="9">
        <v>-1000</v>
      </c>
      <c r="I4" s="48">
        <v>0</v>
      </c>
      <c r="J4" s="21">
        <f>IF(COUNTA($F4,$K4,$P4)&gt;0,J3+SUM(G4:I4),"")</f>
        <v>30000</v>
      </c>
      <c r="K4" s="8" t="s">
        <v>198</v>
      </c>
      <c r="L4" s="9">
        <v>6400</v>
      </c>
      <c r="M4" s="9">
        <v>1000</v>
      </c>
      <c r="N4" s="48">
        <v>0</v>
      </c>
      <c r="O4" s="21">
        <f>IF(COUNTA($F4,$K4,$P4)&gt;0,O3+SUM(L4:N4),"")</f>
        <v>42400</v>
      </c>
      <c r="P4" s="8" t="s">
        <v>197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17.399999999999999</v>
      </c>
      <c r="W4" s="55">
        <f>IF($T4="","",ROUND(($T4-$T$3)/1000,1)+(_xlfn.RANK.AVG($T4,($J4,$O4,$T4),1)-2)*10)</f>
        <v>-2.4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25</v>
      </c>
      <c r="AZ4" s="40" t="s">
        <v>82</v>
      </c>
      <c r="BA4" s="41" t="s">
        <v>101</v>
      </c>
      <c r="BB4" s="41" t="s">
        <v>204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201</v>
      </c>
      <c r="G5" s="9">
        <v>-5200</v>
      </c>
      <c r="H5" s="9">
        <v>-1000</v>
      </c>
      <c r="I5" s="48">
        <v>0</v>
      </c>
      <c r="J5" s="21">
        <f t="shared" ref="J5:J30" si="2">IF(COUNTA($F5,$K5,$P5)&gt;0,J4+SUM(G5:I5),"")</f>
        <v>23800</v>
      </c>
      <c r="K5" s="8"/>
      <c r="L5" s="9"/>
      <c r="M5" s="9"/>
      <c r="N5" s="48"/>
      <c r="O5" s="21">
        <f t="shared" ref="O5:O30" si="3">IF(COUNTA($F5,$K5,$P5)&gt;0,O4+SUM(L5:N5),"")</f>
        <v>42400</v>
      </c>
      <c r="P5" s="8" t="s">
        <v>200</v>
      </c>
      <c r="Q5" s="9">
        <v>5200</v>
      </c>
      <c r="R5" s="9">
        <v>1000</v>
      </c>
      <c r="S5" s="48">
        <v>0</v>
      </c>
      <c r="T5" s="21">
        <f t="shared" ref="T5:T30" si="4">IF(COUNTA($F5,$K5,$P5)&gt;0,T4+SUM(Q5:S5),"")</f>
        <v>38800</v>
      </c>
      <c r="U5" s="53">
        <f>IF($J5="","",ROUND(($J5-$J$3)/1000,1)+(_xlfn.RANK.AVG($J5,($J5,$O5,$T5),1)-2)*10)</f>
        <v>-21.2</v>
      </c>
      <c r="V5" s="54">
        <f>IF($O5="","",ROUND(($O5-$O$3)/1000,1)+(_xlfn.RANK.AVG($O5,($J5,$O5,$T5),1)-2)*10)</f>
        <v>17.399999999999999</v>
      </c>
      <c r="W5" s="55">
        <f>IF($T5="","",ROUND(($T5-$T$3)/1000,1)+(_xlfn.RANK.AVG($T5,($J5,$O5,$T5),1)-2)*10)</f>
        <v>3.8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199</v>
      </c>
      <c r="BV5" s="41" t="s">
        <v>85</v>
      </c>
      <c r="BW5" s="41" t="s">
        <v>202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8000</v>
      </c>
      <c r="H6" s="9">
        <v>1000</v>
      </c>
      <c r="I6" s="48">
        <v>0</v>
      </c>
      <c r="J6" s="21">
        <f t="shared" si="2"/>
        <v>32800</v>
      </c>
      <c r="K6" s="8" t="s">
        <v>197</v>
      </c>
      <c r="L6" s="9">
        <v>-3000</v>
      </c>
      <c r="M6" s="9"/>
      <c r="N6" s="48">
        <v>0</v>
      </c>
      <c r="O6" s="21">
        <f t="shared" si="3"/>
        <v>39400</v>
      </c>
      <c r="P6" s="8" t="s">
        <v>197</v>
      </c>
      <c r="Q6" s="9">
        <v>-5000</v>
      </c>
      <c r="R6" s="9">
        <v>-1000</v>
      </c>
      <c r="S6" s="48">
        <v>0</v>
      </c>
      <c r="T6" s="21">
        <f t="shared" si="4"/>
        <v>32800</v>
      </c>
      <c r="U6" s="53">
        <f>IF($J6="","",ROUND(($J6-$J$3)/1000,1)+(_xlfn.RANK.AVG($J6,($J6,$O6,$T6),1)-2)*10)</f>
        <v>-7.2</v>
      </c>
      <c r="V6" s="54">
        <f>IF($O6="","",ROUND(($O6-$O$3)/1000,1)+(_xlfn.RANK.AVG($O6,($J6,$O6,$T6),1)-2)*10)</f>
        <v>14.4</v>
      </c>
      <c r="W6" s="55">
        <f>IF($T6="","",ROUND(($T6-$T$3)/1000,1)+(_xlfn.RANK.AVG($T6,($J6,$O6,$T6),1)-2)*10)</f>
        <v>-7.2</v>
      </c>
      <c r="Y6" s="8"/>
      <c r="Z6" s="34"/>
      <c r="AA6" s="26">
        <v>1</v>
      </c>
      <c r="AB6" s="26"/>
      <c r="AC6" s="26">
        <v>5</v>
      </c>
      <c r="AD6" s="30" t="s">
        <v>203</v>
      </c>
      <c r="AE6" s="40" t="s">
        <v>199</v>
      </c>
      <c r="AF6" s="41" t="s">
        <v>82</v>
      </c>
      <c r="AG6" s="41" t="s">
        <v>79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205</v>
      </c>
      <c r="F7" s="8" t="s">
        <v>200</v>
      </c>
      <c r="G7" s="9">
        <v>3900</v>
      </c>
      <c r="H7" s="9"/>
      <c r="I7" s="48">
        <v>0</v>
      </c>
      <c r="J7" s="21">
        <f t="shared" si="2"/>
        <v>36700</v>
      </c>
      <c r="K7" s="8" t="s">
        <v>201</v>
      </c>
      <c r="L7" s="9">
        <v>-3900</v>
      </c>
      <c r="M7" s="9"/>
      <c r="N7" s="48">
        <v>0</v>
      </c>
      <c r="O7" s="21">
        <f t="shared" si="3"/>
        <v>35500</v>
      </c>
      <c r="P7" s="8"/>
      <c r="Q7" s="9"/>
      <c r="R7" s="9"/>
      <c r="S7" s="48"/>
      <c r="T7" s="21">
        <f t="shared" si="4"/>
        <v>32800</v>
      </c>
      <c r="U7" s="53">
        <f>IF($J7="","",ROUND(($J7-$J$3)/1000,1)+(_xlfn.RANK.AVG($J7,($J7,$O7,$T7),1)-2)*10)</f>
        <v>11.7</v>
      </c>
      <c r="V7" s="54">
        <f>IF($O7="","",ROUND(($O7-$O$3)/1000,1)+(_xlfn.RANK.AVG($O7,($J7,$O7,$T7),1)-2)*10)</f>
        <v>0.5</v>
      </c>
      <c r="W7" s="55">
        <f>IF($T7="","",ROUND(($T7-$T$3)/1000,1)+(_xlfn.RANK.AVG($T7,($J7,$O7,$T7),1)-2)*10)</f>
        <v>-12.2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199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205</v>
      </c>
      <c r="F8" s="8" t="s">
        <v>201</v>
      </c>
      <c r="G8" s="9">
        <v>-2000</v>
      </c>
      <c r="H8" s="9">
        <v>-1000</v>
      </c>
      <c r="I8" s="48">
        <v>-1000</v>
      </c>
      <c r="J8" s="21">
        <f t="shared" si="2"/>
        <v>32700</v>
      </c>
      <c r="K8" s="8"/>
      <c r="L8" s="9"/>
      <c r="M8" s="9"/>
      <c r="N8" s="48"/>
      <c r="O8" s="21">
        <f t="shared" si="3"/>
        <v>35500</v>
      </c>
      <c r="P8" s="8" t="s">
        <v>200</v>
      </c>
      <c r="Q8" s="9">
        <v>2000</v>
      </c>
      <c r="R8" s="9">
        <v>1000</v>
      </c>
      <c r="S8" s="48">
        <v>1000</v>
      </c>
      <c r="T8" s="21">
        <f t="shared" si="4"/>
        <v>36800</v>
      </c>
      <c r="U8" s="53">
        <f>IF($J8="","",ROUND(($J8-$J$3)/1000,1)+(_xlfn.RANK.AVG($J8,($J8,$O8,$T8),1)-2)*10)</f>
        <v>-12.3</v>
      </c>
      <c r="V8" s="54">
        <f>IF($O8="","",ROUND(($O8-$O$3)/1000,1)+(_xlfn.RANK.AVG($O8,($J8,$O8,$T8),1)-2)*10)</f>
        <v>0.5</v>
      </c>
      <c r="W8" s="55">
        <f>IF($T8="","",ROUND(($T8-$T$3)/1000,1)+(_xlfn.RANK.AVG($T8,($J8,$O8,$T8),1)-2)*10)</f>
        <v>11.8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93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206</v>
      </c>
      <c r="F9" s="8" t="s">
        <v>197</v>
      </c>
      <c r="G9" s="9">
        <v>-3900</v>
      </c>
      <c r="H9" s="9"/>
      <c r="I9" s="48">
        <v>0</v>
      </c>
      <c r="J9" s="21">
        <f t="shared" si="2"/>
        <v>28800</v>
      </c>
      <c r="K9" s="8" t="s">
        <v>198</v>
      </c>
      <c r="L9" s="9">
        <v>7800</v>
      </c>
      <c r="M9" s="9"/>
      <c r="N9" s="48">
        <v>0</v>
      </c>
      <c r="O9" s="21">
        <f t="shared" si="3"/>
        <v>43300</v>
      </c>
      <c r="P9" s="8" t="s">
        <v>197</v>
      </c>
      <c r="Q9" s="9">
        <v>-3900</v>
      </c>
      <c r="R9" s="9"/>
      <c r="S9" s="48">
        <v>0</v>
      </c>
      <c r="T9" s="21">
        <f t="shared" si="4"/>
        <v>32900</v>
      </c>
      <c r="U9" s="53">
        <f>IF($J9="","",ROUND(($J9-$J$3)/1000,1)+(_xlfn.RANK.AVG($J9,($J9,$O9,$T9),1)-2)*10)</f>
        <v>-16.2</v>
      </c>
      <c r="V9" s="54">
        <f>IF($O9="","",ROUND(($O9-$O$3)/1000,1)+(_xlfn.RANK.AVG($O9,($J9,$O9,$T9),1)-2)*10)</f>
        <v>18.3</v>
      </c>
      <c r="W9" s="55">
        <f>IF($T9="","",ROUND(($T9-$T$3)/1000,1)+(_xlfn.RANK.AVG($T9,($J9,$O9,$T9),1)-2)*10)</f>
        <v>-2.1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20</v>
      </c>
      <c r="AZ9" s="40" t="s">
        <v>199</v>
      </c>
      <c r="BA9" s="41" t="s">
        <v>82</v>
      </c>
      <c r="BB9" s="41" t="s">
        <v>80</v>
      </c>
      <c r="BC9" s="41" t="s">
        <v>83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206</v>
      </c>
      <c r="F10" s="8"/>
      <c r="G10" s="9"/>
      <c r="H10" s="9"/>
      <c r="I10" s="48"/>
      <c r="J10" s="21">
        <f t="shared" si="2"/>
        <v>28800</v>
      </c>
      <c r="K10" s="8" t="s">
        <v>201</v>
      </c>
      <c r="L10" s="9">
        <v>-5200</v>
      </c>
      <c r="M10" s="9"/>
      <c r="N10" s="48">
        <v>-1000</v>
      </c>
      <c r="O10" s="21">
        <f t="shared" si="3"/>
        <v>37100</v>
      </c>
      <c r="P10" s="8" t="s">
        <v>200</v>
      </c>
      <c r="Q10" s="9">
        <v>5200</v>
      </c>
      <c r="R10" s="9"/>
      <c r="S10" s="48">
        <v>1000</v>
      </c>
      <c r="T10" s="21">
        <f t="shared" si="4"/>
        <v>39100</v>
      </c>
      <c r="U10" s="53">
        <f>IF($J10="","",ROUND(($J10-$J$3)/1000,1)+(_xlfn.RANK.AVG($J10,($J10,$O10,$T10),1)-2)*10)</f>
        <v>-16.2</v>
      </c>
      <c r="V10" s="54">
        <f>IF($O10="","",ROUND(($O10-$O$3)/1000,1)+(_xlfn.RANK.AVG($O10,($J10,$O10,$T10),1)-2)*10)</f>
        <v>2.1</v>
      </c>
      <c r="W10" s="55">
        <f>IF($T10="","",ROUND(($T10-$T$3)/1000,1)+(_xlfn.RANK.AVG($T10,($J10,$O10,$T10),1)-2)*10)</f>
        <v>14.1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199</v>
      </c>
      <c r="BV10" s="41" t="s">
        <v>84</v>
      </c>
      <c r="BW10" s="41" t="s">
        <v>85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201</v>
      </c>
      <c r="G11" s="9">
        <v>-4800</v>
      </c>
      <c r="H11" s="9">
        <v>-1000</v>
      </c>
      <c r="I11" s="48">
        <v>0</v>
      </c>
      <c r="J11" s="21">
        <f t="shared" si="2"/>
        <v>23000</v>
      </c>
      <c r="K11" s="8"/>
      <c r="L11" s="9"/>
      <c r="M11" s="9">
        <v>-1000</v>
      </c>
      <c r="N11" s="48"/>
      <c r="O11" s="21">
        <f t="shared" si="3"/>
        <v>36100</v>
      </c>
      <c r="P11" s="8" t="s">
        <v>200</v>
      </c>
      <c r="Q11" s="9">
        <v>4800</v>
      </c>
      <c r="R11" s="9">
        <v>2000</v>
      </c>
      <c r="S11" s="48">
        <v>0</v>
      </c>
      <c r="T11" s="21">
        <f t="shared" si="4"/>
        <v>45900</v>
      </c>
      <c r="U11" s="53">
        <f>IF($J11="","",ROUND(($J11-$J$3)/1000,1)+(_xlfn.RANK.AVG($J11,($J11,$O11,$T11),1)-2)*10)</f>
        <v>-22</v>
      </c>
      <c r="V11" s="54">
        <f>IF($O11="","",ROUND(($O11-$O$3)/1000,1)+(_xlfn.RANK.AVG($O11,($J11,$O11,$T11),1)-2)*10)</f>
        <v>1.1000000000000001</v>
      </c>
      <c r="W11" s="55">
        <f>IF($T11="","",ROUND(($T11-$T$3)/1000,1)+(_xlfn.RANK.AVG($T11,($J11,$O11,$T11),1)-2)*10)</f>
        <v>20.9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25</v>
      </c>
      <c r="BU11" s="40" t="s">
        <v>101</v>
      </c>
      <c r="BV11" s="41" t="s">
        <v>204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F9DDD2E0-C621-4B15-8CAF-092B32F030C5}">
      <formula1>"たかの,だいち,ただ,りくと,れんたろう,まっつん,のり,ぱぱ,ほたに,"</formula1>
    </dataValidation>
    <dataValidation type="list" showInputMessage="1" showErrorMessage="1" sqref="K4:K30 P4:P30 F4:F30" xr:uid="{F6FD1341-849F-40DB-B909-5899F6012D13}">
      <formula1>"ロン,ツモ,放銃,ツモ支払,流局,チョンボ"</formula1>
    </dataValidation>
    <dataValidation type="list" allowBlank="1" showInputMessage="1" showErrorMessage="1" sqref="E4:E30" xr:uid="{19F4D3EE-0683-41FD-9A4B-6244D5FE493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524-6262-4B4D-B081-AFB0675431E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206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5.5</v>
      </c>
      <c r="Y4" s="8" t="s">
        <v>194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200</v>
      </c>
      <c r="L5" s="9">
        <v>1300</v>
      </c>
      <c r="M5" s="9">
        <v>2000</v>
      </c>
      <c r="N5" s="48">
        <v>1000</v>
      </c>
      <c r="O5" s="21">
        <f t="shared" ref="O5:O30" si="3">IF(COUNTA($F5,$K5,$P5)&gt;0,O4+SUM(L5:N5),"")</f>
        <v>36300</v>
      </c>
      <c r="P5" s="8" t="s">
        <v>201</v>
      </c>
      <c r="Q5" s="9">
        <v>-1300</v>
      </c>
      <c r="R5" s="9"/>
      <c r="S5" s="48">
        <v>-1000</v>
      </c>
      <c r="T5" s="21">
        <f t="shared" ref="T5:T30" si="4">IF(COUNTA($F5,$K5,$P5)&gt;0,T4+SUM(Q5:S5),"")</f>
        <v>33200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11.3</v>
      </c>
      <c r="W5" s="55">
        <f>IF($T5="","",ROUND(($T5-$T$3)/1000,1)+(_xlfn.RANK.AVG($T5,($J5,$O5,$T5),1)-2)*10)</f>
        <v>-11.8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</v>
      </c>
      <c r="AY5" s="30">
        <v>40</v>
      </c>
      <c r="AZ5" s="40" t="s">
        <v>199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205</v>
      </c>
      <c r="F6" s="8"/>
      <c r="G6" s="9"/>
      <c r="H6" s="9"/>
      <c r="I6" s="48"/>
      <c r="J6" s="21">
        <f t="shared" si="2"/>
        <v>35500</v>
      </c>
      <c r="K6" s="8" t="s">
        <v>200</v>
      </c>
      <c r="L6" s="9">
        <v>8000</v>
      </c>
      <c r="M6" s="9"/>
      <c r="N6" s="48">
        <v>0</v>
      </c>
      <c r="O6" s="21">
        <f t="shared" si="3"/>
        <v>44300</v>
      </c>
      <c r="P6" s="8" t="s">
        <v>201</v>
      </c>
      <c r="Q6" s="9">
        <v>-8000</v>
      </c>
      <c r="R6" s="9"/>
      <c r="S6" s="48">
        <v>0</v>
      </c>
      <c r="T6" s="21">
        <f t="shared" si="4"/>
        <v>25200</v>
      </c>
      <c r="U6" s="53">
        <f>IF($J6="","",ROUND(($J6-$J$3)/1000,1)+(_xlfn.RANK.AVG($J6,($J6,$O6,$T6),1)-2)*10)</f>
        <v>0.5</v>
      </c>
      <c r="V6" s="54">
        <f>IF($O6="","",ROUND(($O6-$O$3)/1000,1)+(_xlfn.RANK.AVG($O6,($J6,$O6,$T6),1)-2)*10)</f>
        <v>19.3</v>
      </c>
      <c r="W6" s="55">
        <f>IF($T6="","",ROUND(($T6-$T$3)/1000,1)+(_xlfn.RANK.AVG($T6,($J6,$O6,$T6),1)-2)*10)</f>
        <v>-19.8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199</v>
      </c>
      <c r="BA6" s="41" t="s">
        <v>92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206</v>
      </c>
      <c r="F7" s="8"/>
      <c r="G7" s="9"/>
      <c r="H7" s="9"/>
      <c r="I7" s="48"/>
      <c r="J7" s="21">
        <f t="shared" si="2"/>
        <v>35500</v>
      </c>
      <c r="K7" s="8" t="s">
        <v>201</v>
      </c>
      <c r="L7" s="9">
        <v>-8000</v>
      </c>
      <c r="M7" s="9">
        <v>-1000</v>
      </c>
      <c r="N7" s="48">
        <v>0</v>
      </c>
      <c r="O7" s="21">
        <f t="shared" si="3"/>
        <v>35300</v>
      </c>
      <c r="P7" s="8" t="s">
        <v>200</v>
      </c>
      <c r="Q7" s="9">
        <v>8000</v>
      </c>
      <c r="R7" s="9">
        <v>1000</v>
      </c>
      <c r="S7" s="48">
        <v>0</v>
      </c>
      <c r="T7" s="21">
        <f t="shared" si="4"/>
        <v>34200</v>
      </c>
      <c r="U7" s="53">
        <f>IF($J7="","",ROUND(($J7-$J$3)/1000,1)+(_xlfn.RANK.AVG($J7,($J7,$O7,$T7),1)-2)*10)</f>
        <v>10.5</v>
      </c>
      <c r="V7" s="54">
        <f>IF($O7="","",ROUND(($O7-$O$3)/1000,1)+(_xlfn.RANK.AVG($O7,($J7,$O7,$T7),1)-2)*10)</f>
        <v>0.3</v>
      </c>
      <c r="W7" s="55">
        <f>IF($T7="","",ROUND(($T7-$T$3)/1000,1)+(_xlfn.RANK.AVG($T7,($J7,$O7,$T7),1)-2)*10)</f>
        <v>-10.8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203</v>
      </c>
      <c r="BU7" s="40" t="s">
        <v>204</v>
      </c>
      <c r="BV7" s="41" t="s">
        <v>86</v>
      </c>
      <c r="BW7" s="41" t="s">
        <v>104</v>
      </c>
      <c r="BX7" s="41" t="s">
        <v>88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196</v>
      </c>
      <c r="G8" s="9">
        <v>-1500</v>
      </c>
      <c r="H8" s="9"/>
      <c r="I8" s="48"/>
      <c r="J8" s="21">
        <f t="shared" si="2"/>
        <v>34000</v>
      </c>
      <c r="K8" s="8" t="s">
        <v>196</v>
      </c>
      <c r="L8" s="9">
        <v>3000</v>
      </c>
      <c r="M8" s="9">
        <v>-1000</v>
      </c>
      <c r="N8" s="48"/>
      <c r="O8" s="21">
        <f t="shared" si="3"/>
        <v>37300</v>
      </c>
      <c r="P8" s="8" t="s">
        <v>196</v>
      </c>
      <c r="Q8" s="9">
        <v>-1500</v>
      </c>
      <c r="R8" s="9"/>
      <c r="S8" s="48"/>
      <c r="T8" s="21">
        <f t="shared" si="4"/>
        <v>32700</v>
      </c>
      <c r="U8" s="53">
        <f>IF($J8="","",ROUND(($J8-$J$3)/1000,1)+(_xlfn.RANK.AVG($J8,($J8,$O8,$T8),1)-2)*10)</f>
        <v>-1</v>
      </c>
      <c r="V8" s="54">
        <f>IF($O8="","",ROUND(($O8-$O$3)/1000,1)+(_xlfn.RANK.AVG($O8,($J8,$O8,$T8),1)-2)*10)</f>
        <v>12.3</v>
      </c>
      <c r="W8" s="55">
        <f>IF($T8="","",ROUND(($T8-$T$3)/1000,1)+(_xlfn.RANK.AVG($T8,($J8,$O8,$T8),1)-2)*10)</f>
        <v>-12.3</v>
      </c>
      <c r="Y8" s="8" t="s">
        <v>195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205</v>
      </c>
      <c r="F9" s="8"/>
      <c r="G9" s="9"/>
      <c r="H9" s="9"/>
      <c r="I9" s="48"/>
      <c r="J9" s="21">
        <f t="shared" si="2"/>
        <v>34000</v>
      </c>
      <c r="K9" s="8" t="s">
        <v>200</v>
      </c>
      <c r="L9" s="9">
        <v>2600</v>
      </c>
      <c r="M9" s="9">
        <v>2000</v>
      </c>
      <c r="N9" s="48">
        <v>1000</v>
      </c>
      <c r="O9" s="21">
        <f t="shared" si="3"/>
        <v>42900</v>
      </c>
      <c r="P9" s="8" t="s">
        <v>201</v>
      </c>
      <c r="Q9" s="9">
        <v>-2600</v>
      </c>
      <c r="R9" s="9">
        <v>-1000</v>
      </c>
      <c r="S9" s="48">
        <v>-1000</v>
      </c>
      <c r="T9" s="21">
        <f t="shared" si="4"/>
        <v>28100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17.899999999999999</v>
      </c>
      <c r="W9" s="55">
        <f>IF($T9="","",ROUND(($T9-$T$3)/1000,1)+(_xlfn.RANK.AVG($T9,($J9,$O9,$T9),1)-2)*10)</f>
        <v>-16.899999999999999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79</v>
      </c>
      <c r="BA9" s="41" t="s">
        <v>84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206</v>
      </c>
      <c r="F10" s="8"/>
      <c r="G10" s="9"/>
      <c r="H10" s="9"/>
      <c r="I10" s="48"/>
      <c r="J10" s="21">
        <f t="shared" si="2"/>
        <v>34000</v>
      </c>
      <c r="K10" s="8" t="s">
        <v>200</v>
      </c>
      <c r="L10" s="9">
        <v>1500</v>
      </c>
      <c r="M10" s="9"/>
      <c r="N10" s="48">
        <v>0</v>
      </c>
      <c r="O10" s="21">
        <f t="shared" si="3"/>
        <v>44400</v>
      </c>
      <c r="P10" s="8" t="s">
        <v>201</v>
      </c>
      <c r="Q10" s="9">
        <v>-1500</v>
      </c>
      <c r="R10" s="9"/>
      <c r="S10" s="48">
        <v>0</v>
      </c>
      <c r="T10" s="21">
        <f t="shared" si="4"/>
        <v>26600</v>
      </c>
      <c r="U10" s="53">
        <f>IF($J10="","",ROUND(($J10-$J$3)/1000,1)+(_xlfn.RANK.AVG($J10,($J10,$O10,$T10),1)-2)*10)</f>
        <v>-1</v>
      </c>
      <c r="V10" s="54">
        <f>IF($O10="","",ROUND(($O10-$O$3)/1000,1)+(_xlfn.RANK.AVG($O10,($J10,$O10,$T10),1)-2)*10)</f>
        <v>19.399999999999999</v>
      </c>
      <c r="W10" s="55">
        <f>IF($T10="","",ROUND(($T10-$T$3)/1000,1)+(_xlfn.RANK.AVG($T10,($J10,$O10,$T10),1)-2)*10)</f>
        <v>-18.399999999999999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D332D13D-812B-45FD-AF6F-185542E65364}">
      <formula1>$U$2:$W$2</formula1>
    </dataValidation>
    <dataValidation type="list" showInputMessage="1" showErrorMessage="1" sqref="K4:K30 P4:P30 F4:F30" xr:uid="{BEDEF100-D07E-4775-8E89-A2EBAB155BE9}">
      <formula1>"ロン,ツモ,放銃,ツモ支払,流局,チョンボ"</formula1>
    </dataValidation>
    <dataValidation type="list" allowBlank="1" showInputMessage="1" sqref="F1:T1" xr:uid="{E0161789-4EAF-40D6-8FC0-518235BD8BDF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FFBC9-03CB-4C37-AE1B-E467F32BF81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207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208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ほたに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ほたに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196</v>
      </c>
      <c r="G4" s="9">
        <v>1500</v>
      </c>
      <c r="H4" s="9"/>
      <c r="I4" s="48"/>
      <c r="J4" s="21">
        <f>IF(COUNTA($F4,$K4,$P4)&gt;0,J3+SUM(G4:I4),"")</f>
        <v>36500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196</v>
      </c>
      <c r="G5" s="9">
        <v>-1500</v>
      </c>
      <c r="H5" s="9"/>
      <c r="I5" s="48"/>
      <c r="J5" s="21">
        <f t="shared" ref="J5:J30" si="2">IF(COUNTA($F5,$K5,$P5)&gt;0,J4+SUM(G5:I5),"")</f>
        <v>35000</v>
      </c>
      <c r="K5" s="8" t="s">
        <v>196</v>
      </c>
      <c r="L5" s="9">
        <v>-1500</v>
      </c>
      <c r="M5" s="9"/>
      <c r="N5" s="48"/>
      <c r="O5" s="21">
        <f t="shared" ref="O5:O30" si="3">IF(COUNTA($F5,$K5,$P5)&gt;0,O4+SUM(L5:N5),"")</f>
        <v>30500</v>
      </c>
      <c r="P5" s="8" t="s">
        <v>196</v>
      </c>
      <c r="Q5" s="9">
        <v>3000</v>
      </c>
      <c r="R5" s="9"/>
      <c r="S5" s="48"/>
      <c r="T5" s="21">
        <f t="shared" ref="T5:T30" si="4">IF(COUNTA($F5,$K5,$P5)&gt;0,T4+SUM(Q5:S5),"")</f>
        <v>39500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14.5</v>
      </c>
      <c r="Y5" s="8" t="s">
        <v>195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208</v>
      </c>
      <c r="F6" s="8" t="s">
        <v>196</v>
      </c>
      <c r="G6" s="9">
        <v>-3000</v>
      </c>
      <c r="H6" s="9"/>
      <c r="I6" s="48"/>
      <c r="J6" s="21">
        <f t="shared" si="2"/>
        <v>32000</v>
      </c>
      <c r="K6" s="8" t="s">
        <v>196</v>
      </c>
      <c r="L6" s="9">
        <v>1500</v>
      </c>
      <c r="M6" s="9">
        <v>-1000</v>
      </c>
      <c r="N6" s="48"/>
      <c r="O6" s="21">
        <f t="shared" si="3"/>
        <v>31000</v>
      </c>
      <c r="P6" s="8" t="s">
        <v>196</v>
      </c>
      <c r="Q6" s="9">
        <v>1500</v>
      </c>
      <c r="R6" s="9">
        <v>-1000</v>
      </c>
      <c r="S6" s="48"/>
      <c r="T6" s="21">
        <f t="shared" si="4"/>
        <v>40000</v>
      </c>
      <c r="U6" s="53">
        <f>IF($J6="","",ROUND(($J6-$J$3)/1000,1)+(_xlfn.RANK.AVG($J6,($J6,$O6,$T6),1)-2)*10)</f>
        <v>-3</v>
      </c>
      <c r="V6" s="54">
        <f>IF($O6="","",ROUND(($O6-$O$3)/1000,1)+(_xlfn.RANK.AVG($O6,($J6,$O6,$T6),1)-2)*10)</f>
        <v>-14</v>
      </c>
      <c r="W6" s="55">
        <f>IF($T6="","",ROUND(($T6-$T$3)/1000,1)+(_xlfn.RANK.AVG($T6,($J6,$O6,$T6),1)-2)*10)</f>
        <v>15</v>
      </c>
      <c r="Y6" s="8" t="s">
        <v>195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194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194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2</v>
      </c>
      <c r="E7" s="4" t="s">
        <v>208</v>
      </c>
      <c r="F7" s="8" t="s">
        <v>197</v>
      </c>
      <c r="G7" s="9">
        <v>-1500</v>
      </c>
      <c r="H7" s="9"/>
      <c r="I7" s="48">
        <v>-1500</v>
      </c>
      <c r="J7" s="21">
        <f t="shared" si="2"/>
        <v>29000</v>
      </c>
      <c r="K7" s="8" t="s">
        <v>197</v>
      </c>
      <c r="L7" s="9">
        <v>-1500</v>
      </c>
      <c r="M7" s="9"/>
      <c r="N7" s="48">
        <v>-1500</v>
      </c>
      <c r="O7" s="21">
        <f t="shared" si="3"/>
        <v>28000</v>
      </c>
      <c r="P7" s="8" t="s">
        <v>198</v>
      </c>
      <c r="Q7" s="9">
        <v>3000</v>
      </c>
      <c r="R7" s="9">
        <v>2000</v>
      </c>
      <c r="S7" s="48">
        <v>3000</v>
      </c>
      <c r="T7" s="21">
        <f t="shared" si="4"/>
        <v>48000</v>
      </c>
      <c r="U7" s="53">
        <f>IF($J7="","",ROUND(($J7-$J$3)/1000,1)+(_xlfn.RANK.AVG($J7,($J7,$O7,$T7),1)-2)*10)</f>
        <v>-6</v>
      </c>
      <c r="V7" s="54">
        <f>IF($O7="","",ROUND(($O7-$O$3)/1000,1)+(_xlfn.RANK.AVG($O7,($J7,$O7,$T7),1)-2)*10)</f>
        <v>-17</v>
      </c>
      <c r="W7" s="55">
        <f>IF($T7="","",ROUND(($T7-$T$3)/1000,1)+(_xlfn.RANK.AVG($T7,($J7,$O7,$T7),1)-2)*10)</f>
        <v>23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208</v>
      </c>
      <c r="F8" s="8" t="s">
        <v>201</v>
      </c>
      <c r="G8" s="9">
        <v>-7700</v>
      </c>
      <c r="H8" s="9"/>
      <c r="I8" s="48">
        <v>-4000</v>
      </c>
      <c r="J8" s="21">
        <f t="shared" si="2"/>
        <v>17300</v>
      </c>
      <c r="K8" s="8"/>
      <c r="L8" s="9"/>
      <c r="M8" s="9"/>
      <c r="N8" s="48"/>
      <c r="O8" s="21">
        <f t="shared" si="3"/>
        <v>28000</v>
      </c>
      <c r="P8" s="8" t="s">
        <v>200</v>
      </c>
      <c r="Q8" s="9">
        <v>7700</v>
      </c>
      <c r="R8" s="9"/>
      <c r="S8" s="48">
        <v>4000</v>
      </c>
      <c r="T8" s="21">
        <f t="shared" si="4"/>
        <v>59700</v>
      </c>
      <c r="U8" s="53">
        <f>IF($J8="","",ROUND(($J8-$J$3)/1000,1)+(_xlfn.RANK.AVG($J8,($J8,$O8,$T8),1)-2)*10)</f>
        <v>-27.7</v>
      </c>
      <c r="V8" s="54">
        <f>IF($O8="","",ROUND(($O8-$O$3)/1000,1)+(_xlfn.RANK.AVG($O8,($J8,$O8,$T8),1)-2)*10)</f>
        <v>-7</v>
      </c>
      <c r="W8" s="55">
        <f>IF($T8="","",ROUND(($T8-$T$3)/1000,1)+(_xlfn.RANK.AVG($T8,($J8,$O8,$T8),1)-2)*10)</f>
        <v>34.700000000000003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40</v>
      </c>
      <c r="BU8" s="40" t="s">
        <v>86</v>
      </c>
      <c r="BV8" s="41" t="s">
        <v>93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">
        <v>208</v>
      </c>
      <c r="F9" s="8" t="s">
        <v>197</v>
      </c>
      <c r="G9" s="9">
        <v>-9000</v>
      </c>
      <c r="H9" s="9"/>
      <c r="I9" s="48">
        <v>-2500</v>
      </c>
      <c r="J9" s="21">
        <f t="shared" si="2"/>
        <v>5800</v>
      </c>
      <c r="K9" s="8" t="s">
        <v>197</v>
      </c>
      <c r="L9" s="9">
        <v>-9000</v>
      </c>
      <c r="M9" s="9"/>
      <c r="N9" s="48">
        <v>-2500</v>
      </c>
      <c r="O9" s="21">
        <f t="shared" si="3"/>
        <v>16500</v>
      </c>
      <c r="P9" s="8" t="s">
        <v>198</v>
      </c>
      <c r="Q9" s="9">
        <v>18000</v>
      </c>
      <c r="R9" s="9"/>
      <c r="S9" s="48">
        <v>5000</v>
      </c>
      <c r="T9" s="21">
        <f t="shared" si="4"/>
        <v>82700</v>
      </c>
      <c r="U9" s="53">
        <f>IF($J9="","",ROUND(($J9-$J$3)/1000,1)+(_xlfn.RANK.AVG($J9,($J9,$O9,$T9),1)-2)*10)</f>
        <v>-39.200000000000003</v>
      </c>
      <c r="V9" s="54">
        <f>IF($O9="","",ROUND(($O9-$O$3)/1000,1)+(_xlfn.RANK.AVG($O9,($J9,$O9,$T9),1)-2)*10)</f>
        <v>-18.5</v>
      </c>
      <c r="W9" s="55">
        <f>IF($T9="","",ROUND(($T9-$T$3)/1000,1)+(_xlfn.RANK.AVG($T9,($J9,$O9,$T9),1)-2)*10)</f>
        <v>57.7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203</v>
      </c>
      <c r="BU9" s="40" t="s">
        <v>83</v>
      </c>
      <c r="BV9" s="41" t="s">
        <v>204</v>
      </c>
      <c r="BW9" s="41" t="s">
        <v>80</v>
      </c>
      <c r="BX9" s="41" t="s">
        <v>82</v>
      </c>
      <c r="BY9" s="41" t="s">
        <v>209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1</v>
      </c>
      <c r="C10" s="18">
        <f t="shared" si="6"/>
        <v>6</v>
      </c>
      <c r="D10" s="18">
        <f t="shared" si="1"/>
        <v>0</v>
      </c>
      <c r="E10" s="4" t="s">
        <v>208</v>
      </c>
      <c r="F10" s="8" t="s">
        <v>201</v>
      </c>
      <c r="G10" s="9">
        <v>-2000</v>
      </c>
      <c r="H10" s="9"/>
      <c r="I10" s="48">
        <v>-6000</v>
      </c>
      <c r="J10" s="21">
        <f t="shared" si="2"/>
        <v>-2200</v>
      </c>
      <c r="K10" s="8" t="s">
        <v>200</v>
      </c>
      <c r="L10" s="9">
        <v>2000</v>
      </c>
      <c r="M10" s="9">
        <v>1000</v>
      </c>
      <c r="N10" s="48">
        <v>6000</v>
      </c>
      <c r="O10" s="21">
        <f t="shared" si="3"/>
        <v>25500</v>
      </c>
      <c r="P10" s="8"/>
      <c r="Q10" s="9"/>
      <c r="R10" s="9">
        <v>-1000</v>
      </c>
      <c r="S10" s="48"/>
      <c r="T10" s="21">
        <f t="shared" si="4"/>
        <v>81700</v>
      </c>
      <c r="U10" s="53">
        <f>IF($J10="","",ROUND(($J10-$J$3)/1000,1)+(_xlfn.RANK.AVG($J10,($J10,$O10,$T10),1)-2)*10)</f>
        <v>-47.2</v>
      </c>
      <c r="V10" s="54">
        <f>IF($O10="","",ROUND(($O10-$O$3)/1000,1)+(_xlfn.RANK.AVG($O10,($J10,$O10,$T10),1)-2)*10)</f>
        <v>-9.5</v>
      </c>
      <c r="W10" s="55">
        <f>IF($T10="","",ROUND(($T10-$T$3)/1000,1)+(_xlfn.RANK.AVG($T10,($J10,$O10,$T10),1)-2)*10)</f>
        <v>56.7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E7104964-316B-40D7-8234-C9444E2B3BC0}">
      <formula1>"たかの,だいち,ただ,りくと,れんたろう,まっつん,のり,ぱぱ,ほたに,"</formula1>
    </dataValidation>
    <dataValidation type="list" showInputMessage="1" showErrorMessage="1" sqref="K4:K30 P4:P30 F4:F30" xr:uid="{0B23B8C2-B5D2-42E8-8510-BC58C0D5D17A}">
      <formula1>"ロン,ツモ,放銃,ツモ支払,流局,チョンボ"</formula1>
    </dataValidation>
    <dataValidation type="list" allowBlank="1" showInputMessage="1" showErrorMessage="1" sqref="E4:E30" xr:uid="{FC1AC03A-A296-41A8-A132-A7E90BCEA39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6059D-6EB0-4672-A39F-3AB775CE0F1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207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208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ほたに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ほたに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2900</v>
      </c>
      <c r="M4" s="9">
        <v>1000</v>
      </c>
      <c r="N4" s="48">
        <v>0</v>
      </c>
      <c r="O4" s="21">
        <f>IF(COUNTA($F4,$K4,$P4)&gt;0,O3+SUM(L4:N4),"")</f>
        <v>38900</v>
      </c>
      <c r="P4" s="8" t="s">
        <v>201</v>
      </c>
      <c r="Q4" s="9">
        <v>-2900</v>
      </c>
      <c r="R4" s="9">
        <v>-1000</v>
      </c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200</v>
      </c>
      <c r="G5" s="9">
        <v>1300</v>
      </c>
      <c r="H5" s="9">
        <v>1000</v>
      </c>
      <c r="I5" s="48">
        <v>1000</v>
      </c>
      <c r="J5" s="21">
        <f t="shared" ref="J5:J30" si="2">IF(COUNTA($F5,$K5,$P5)&gt;0,J4+SUM(G5:I5),"")</f>
        <v>38300</v>
      </c>
      <c r="K5" s="8" t="s">
        <v>201</v>
      </c>
      <c r="L5" s="9">
        <v>-1300</v>
      </c>
      <c r="M5" s="9"/>
      <c r="N5" s="48">
        <v>-1000</v>
      </c>
      <c r="O5" s="21">
        <f t="shared" ref="O5:O30" si="3">IF(COUNTA($F5,$K5,$P5)&gt;0,O4+SUM(L5:N5),"")</f>
        <v>36600</v>
      </c>
      <c r="P5" s="8"/>
      <c r="Q5" s="9"/>
      <c r="R5" s="9">
        <v>-1000</v>
      </c>
      <c r="S5" s="48"/>
      <c r="T5" s="21">
        <f t="shared" ref="T5:T30" si="4">IF(COUNTA($F5,$K5,$P5)&gt;0,T4+SUM(Q5:S5),"")</f>
        <v>30100</v>
      </c>
      <c r="U5" s="53">
        <f>IF($J5="","",ROUND(($J5-$J$3)/1000,1)+(_xlfn.RANK.AVG($J5,($J5,$O5,$T5),1)-2)*10)</f>
        <v>13.3</v>
      </c>
      <c r="V5" s="54">
        <f>IF($O5="","",ROUND(($O5-$O$3)/1000,1)+(_xlfn.RANK.AVG($O5,($J5,$O5,$T5),1)-2)*10)</f>
        <v>1.6</v>
      </c>
      <c r="W5" s="55">
        <f>IF($T5="","",ROUND(($T5-$T$3)/1000,1)+(_xlfn.RANK.AVG($T5,($J5,$O5,$T5),1)-2)*10)</f>
        <v>-14.9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199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208</v>
      </c>
      <c r="F6" s="8" t="s">
        <v>201</v>
      </c>
      <c r="G6" s="9">
        <v>-15500</v>
      </c>
      <c r="H6" s="9"/>
      <c r="I6" s="48">
        <v>0</v>
      </c>
      <c r="J6" s="21">
        <f t="shared" si="2"/>
        <v>22800</v>
      </c>
      <c r="K6" s="8" t="s">
        <v>200</v>
      </c>
      <c r="L6" s="9">
        <v>3900</v>
      </c>
      <c r="M6" s="9"/>
      <c r="N6" s="48">
        <v>0</v>
      </c>
      <c r="O6" s="21">
        <f t="shared" si="3"/>
        <v>40500</v>
      </c>
      <c r="P6" s="8" t="s">
        <v>200</v>
      </c>
      <c r="Q6" s="9">
        <v>11600</v>
      </c>
      <c r="R6" s="9"/>
      <c r="S6" s="48"/>
      <c r="T6" s="21">
        <f t="shared" si="4"/>
        <v>41700</v>
      </c>
      <c r="U6" s="53">
        <f>IF($J6="","",ROUND(($J6-$J$3)/1000,1)+(_xlfn.RANK.AVG($J6,($J6,$O6,$T6),1)-2)*10)</f>
        <v>-22.2</v>
      </c>
      <c r="V6" s="54">
        <f>IF($O6="","",ROUND(($O6-$O$3)/1000,1)+(_xlfn.RANK.AVG($O6,($J6,$O6,$T6),1)-2)*10)</f>
        <v>5.5</v>
      </c>
      <c r="W6" s="55">
        <f>IF($T6="","",ROUND(($T6-$T$3)/1000,1)+(_xlfn.RANK.AVG($T6,($J6,$O6,$T6),1)-2)*10)</f>
        <v>16.7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79</v>
      </c>
      <c r="BB6" s="41" t="s">
        <v>204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79</v>
      </c>
      <c r="BW6" s="41" t="s">
        <v>204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210</v>
      </c>
      <c r="F7" s="8" t="s">
        <v>197</v>
      </c>
      <c r="G7" s="9">
        <v>-800</v>
      </c>
      <c r="H7" s="9">
        <v>-1000</v>
      </c>
      <c r="I7" s="48">
        <v>-500</v>
      </c>
      <c r="J7" s="21">
        <f t="shared" si="2"/>
        <v>20500</v>
      </c>
      <c r="K7" s="8" t="s">
        <v>198</v>
      </c>
      <c r="L7" s="9">
        <v>2100</v>
      </c>
      <c r="M7" s="9">
        <v>1000</v>
      </c>
      <c r="N7" s="48">
        <v>1000</v>
      </c>
      <c r="O7" s="21">
        <f t="shared" si="3"/>
        <v>44600</v>
      </c>
      <c r="P7" s="8" t="s">
        <v>197</v>
      </c>
      <c r="Q7" s="9">
        <v>-1300</v>
      </c>
      <c r="R7" s="9"/>
      <c r="S7" s="48">
        <v>-500</v>
      </c>
      <c r="T7" s="21">
        <f t="shared" si="4"/>
        <v>39900</v>
      </c>
      <c r="U7" s="53">
        <f>IF($J7="","",ROUND(($J7-$J$3)/1000,1)+(_xlfn.RANK.AVG($J7,($J7,$O7,$T7),1)-2)*10)</f>
        <v>-24.5</v>
      </c>
      <c r="V7" s="54">
        <f>IF($O7="","",ROUND(($O7-$O$3)/1000,1)+(_xlfn.RANK.AVG($O7,($J7,$O7,$T7),1)-2)*10)</f>
        <v>19.600000000000001</v>
      </c>
      <c r="W7" s="55">
        <f>IF($T7="","",ROUND(($T7-$T$3)/1000,1)+(_xlfn.RANK.AVG($T7,($J7,$O7,$T7),1)-2)*10)</f>
        <v>4.9000000000000004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207</v>
      </c>
      <c r="F8" s="8" t="s">
        <v>196</v>
      </c>
      <c r="G8" s="9">
        <v>1500</v>
      </c>
      <c r="H8" s="9"/>
      <c r="I8" s="48"/>
      <c r="J8" s="21">
        <f t="shared" si="2"/>
        <v>22000</v>
      </c>
      <c r="K8" s="8" t="s">
        <v>196</v>
      </c>
      <c r="L8" s="9">
        <v>1500</v>
      </c>
      <c r="M8" s="9"/>
      <c r="N8" s="48"/>
      <c r="O8" s="21">
        <f t="shared" si="3"/>
        <v>46100</v>
      </c>
      <c r="P8" s="8" t="s">
        <v>196</v>
      </c>
      <c r="Q8" s="9">
        <v>-3000</v>
      </c>
      <c r="R8" s="9"/>
      <c r="S8" s="48"/>
      <c r="T8" s="21">
        <f t="shared" si="4"/>
        <v>36900</v>
      </c>
      <c r="U8" s="53">
        <f>IF($J8="","",ROUND(($J8-$J$3)/1000,1)+(_xlfn.RANK.AVG($J8,($J8,$O8,$T8),1)-2)*10)</f>
        <v>-23</v>
      </c>
      <c r="V8" s="54">
        <f>IF($O8="","",ROUND(($O8-$O$3)/1000,1)+(_xlfn.RANK.AVG($O8,($J8,$O8,$T8),1)-2)*10)</f>
        <v>21.1</v>
      </c>
      <c r="W8" s="55">
        <f>IF($T8="","",ROUND(($T8-$T$3)/1000,1)+(_xlfn.RANK.AVG($T8,($J8,$O8,$T8),1)-2)*10)</f>
        <v>1.9</v>
      </c>
      <c r="Y8" s="8" t="s">
        <v>194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194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207</v>
      </c>
      <c r="F9" s="8" t="s">
        <v>197</v>
      </c>
      <c r="G9" s="9">
        <v>-10000</v>
      </c>
      <c r="H9" s="9"/>
      <c r="I9" s="48">
        <v>-500</v>
      </c>
      <c r="J9" s="21">
        <f t="shared" si="2"/>
        <v>11500</v>
      </c>
      <c r="K9" s="8" t="s">
        <v>198</v>
      </c>
      <c r="L9" s="9">
        <v>16000</v>
      </c>
      <c r="M9" s="9"/>
      <c r="N9" s="48">
        <v>1000</v>
      </c>
      <c r="O9" s="21">
        <f t="shared" si="3"/>
        <v>63100</v>
      </c>
      <c r="P9" s="8" t="s">
        <v>197</v>
      </c>
      <c r="Q9" s="9">
        <v>-6000</v>
      </c>
      <c r="R9" s="9"/>
      <c r="S9" s="48">
        <v>-500</v>
      </c>
      <c r="T9" s="21">
        <f t="shared" si="4"/>
        <v>30400</v>
      </c>
      <c r="U9" s="53">
        <f>IF($J9="","",ROUND(($J9-$J$3)/1000,1)+(_xlfn.RANK.AVG($J9,($J9,$O9,$T9),1)-2)*10)</f>
        <v>-33.5</v>
      </c>
      <c r="V9" s="54">
        <f>IF($O9="","",ROUND(($O9-$O$3)/1000,1)+(_xlfn.RANK.AVG($O9,($J9,$O9,$T9),1)-2)*10)</f>
        <v>38.1</v>
      </c>
      <c r="W9" s="55">
        <f>IF($T9="","",ROUND(($T9-$T$3)/1000,1)+(_xlfn.RANK.AVG($T9,($J9,$O9,$T9),1)-2)*10)</f>
        <v>-4.5999999999999996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203</v>
      </c>
      <c r="AZ9" s="40" t="s">
        <v>199</v>
      </c>
      <c r="BA9" s="41" t="s">
        <v>82</v>
      </c>
      <c r="BB9" s="41" t="s">
        <v>79</v>
      </c>
      <c r="BC9" s="41" t="s">
        <v>79</v>
      </c>
      <c r="BD9" s="41" t="s">
        <v>79</v>
      </c>
      <c r="BE9" s="41" t="s">
        <v>204</v>
      </c>
      <c r="BF9" s="41" t="s">
        <v>80</v>
      </c>
      <c r="BG9" s="41" t="s">
        <v>86</v>
      </c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201</v>
      </c>
      <c r="G10" s="9">
        <v>-12000</v>
      </c>
      <c r="H10" s="9"/>
      <c r="I10" s="48">
        <v>0</v>
      </c>
      <c r="J10" s="21">
        <f t="shared" si="2"/>
        <v>-500</v>
      </c>
      <c r="K10" s="8"/>
      <c r="L10" s="9"/>
      <c r="M10" s="9"/>
      <c r="N10" s="48"/>
      <c r="O10" s="21">
        <f t="shared" si="3"/>
        <v>63100</v>
      </c>
      <c r="P10" s="8" t="s">
        <v>200</v>
      </c>
      <c r="Q10" s="9">
        <v>12000</v>
      </c>
      <c r="R10" s="9"/>
      <c r="S10" s="48">
        <v>0</v>
      </c>
      <c r="T10" s="21">
        <f t="shared" si="4"/>
        <v>42400</v>
      </c>
      <c r="U10" s="53">
        <f>IF($J10="","",ROUND(($J10-$J$3)/1000,1)+(_xlfn.RANK.AVG($J10,($J10,$O10,$T10),1)-2)*10)</f>
        <v>-45.5</v>
      </c>
      <c r="V10" s="54">
        <f>IF($O10="","",ROUND(($O10-$O$3)/1000,1)+(_xlfn.RANK.AVG($O10,($J10,$O10,$T10),1)-2)*10)</f>
        <v>38.1</v>
      </c>
      <c r="W10" s="55">
        <f>IF($T10="","",ROUND(($T10-$T$3)/1000,1)+(_xlfn.RANK.AVG($T10,($J10,$O10,$T10),1)-2)*10)</f>
        <v>7.4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203</v>
      </c>
      <c r="BU10" s="40" t="s">
        <v>199</v>
      </c>
      <c r="BV10" s="41" t="s">
        <v>79</v>
      </c>
      <c r="BW10" s="41" t="s">
        <v>80</v>
      </c>
      <c r="BX10" s="41" t="s">
        <v>80</v>
      </c>
      <c r="BY10" s="41" t="s">
        <v>80</v>
      </c>
      <c r="BZ10" s="41" t="s">
        <v>86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3CCF9DD0-DBFF-4787-B27C-8575167CE3FD}">
      <formula1>$U$2:$W$2</formula1>
    </dataValidation>
    <dataValidation type="list" showInputMessage="1" showErrorMessage="1" sqref="K4:K30 P4:P30 F4:F30" xr:uid="{1018112F-DD38-4DBE-BF8A-66BFD88FE940}">
      <formula1>"ロン,ツモ,放銃,ツモ支払,流局,チョンボ"</formula1>
    </dataValidation>
    <dataValidation type="list" allowBlank="1" showInputMessage="1" sqref="F1:T1" xr:uid="{B3EFCFC2-30FA-490D-8C7F-62F0A5C65EC4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376DC-3C43-4D20-8418-5FFF394A6F3F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210</v>
      </c>
      <c r="G1" s="79"/>
      <c r="H1" s="79"/>
      <c r="I1" s="80"/>
      <c r="J1" s="81"/>
      <c r="K1" s="78" t="s">
        <v>211</v>
      </c>
      <c r="L1" s="79"/>
      <c r="M1" s="79"/>
      <c r="N1" s="80"/>
      <c r="O1" s="81"/>
      <c r="P1" s="78" t="s">
        <v>213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だいち</v>
      </c>
      <c r="W2" s="16" t="str">
        <f>$P$1</f>
        <v>たかの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197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197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198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82</v>
      </c>
      <c r="BV4" s="41" t="s">
        <v>84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201</v>
      </c>
      <c r="G5" s="9">
        <v>-18000</v>
      </c>
      <c r="H5" s="9"/>
      <c r="I5" s="48">
        <v>0</v>
      </c>
      <c r="J5" s="21">
        <f t="shared" ref="J5:J30" si="2">IF(COUNTA($F5,$K5,$P5)&gt;0,J4+SUM(G5:I5),"")</f>
        <v>14500</v>
      </c>
      <c r="K5" s="8" t="s">
        <v>200</v>
      </c>
      <c r="L5" s="9">
        <v>18000</v>
      </c>
      <c r="M5" s="9"/>
      <c r="N5" s="48">
        <v>0</v>
      </c>
      <c r="O5" s="21">
        <f t="shared" ref="O5:O30" si="3">IF(COUNTA($F5,$K5,$P5)&gt;0,O4+SUM(L5:N5),"")</f>
        <v>51500</v>
      </c>
      <c r="P5" s="8"/>
      <c r="Q5" s="9"/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-30.5</v>
      </c>
      <c r="V5" s="54">
        <f>IF($O5="","",ROUND(($O5-$O$3)/1000,1)+(_xlfn.RANK.AVG($O5,($J5,$O5,$T5),1)-2)*10)</f>
        <v>26.5</v>
      </c>
      <c r="W5" s="55">
        <f>IF($T5="","",ROUND(($T5-$T$3)/1000,1)+(_xlfn.RANK.AVG($T5,($J5,$O5,$T5),1)-2)*10)</f>
        <v>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6</v>
      </c>
      <c r="AY5" s="30" t="s">
        <v>203</v>
      </c>
      <c r="AZ5" s="40" t="s">
        <v>104</v>
      </c>
      <c r="BA5" s="41" t="s">
        <v>86</v>
      </c>
      <c r="BB5" s="41" t="s">
        <v>86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206</v>
      </c>
      <c r="F6" s="8"/>
      <c r="G6" s="9"/>
      <c r="H6" s="9"/>
      <c r="I6" s="48"/>
      <c r="J6" s="21">
        <f t="shared" si="2"/>
        <v>14500</v>
      </c>
      <c r="K6" s="8" t="s">
        <v>201</v>
      </c>
      <c r="L6" s="9">
        <v>-16000</v>
      </c>
      <c r="M6" s="9">
        <v>-1000</v>
      </c>
      <c r="N6" s="48">
        <v>-1000</v>
      </c>
      <c r="O6" s="21">
        <f t="shared" si="3"/>
        <v>33500</v>
      </c>
      <c r="P6" s="8" t="s">
        <v>200</v>
      </c>
      <c r="Q6" s="9">
        <v>16000</v>
      </c>
      <c r="R6" s="9">
        <v>1000</v>
      </c>
      <c r="S6" s="48">
        <v>1000</v>
      </c>
      <c r="T6" s="21">
        <f t="shared" si="4"/>
        <v>57000</v>
      </c>
      <c r="U6" s="53">
        <f>IF($J6="","",ROUND(($J6-$J$3)/1000,1)+(_xlfn.RANK.AVG($J6,($J6,$O6,$T6),1)-2)*10)</f>
        <v>-30.5</v>
      </c>
      <c r="V6" s="54">
        <f>IF($O6="","",ROUND(($O6-$O$3)/1000,1)+(_xlfn.RANK.AVG($O6,($J6,$O6,$T6),1)-2)*10)</f>
        <v>-1.5</v>
      </c>
      <c r="W6" s="55">
        <f>IF($T6="","",ROUND(($T6-$T$3)/1000,1)+(_xlfn.RANK.AVG($T6,($J6,$O6,$T6),1)-2)*10)</f>
        <v>32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8</v>
      </c>
      <c r="BT6" s="30" t="s">
        <v>203</v>
      </c>
      <c r="BU6" s="40" t="s">
        <v>106</v>
      </c>
      <c r="BV6" s="41" t="s">
        <v>84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212</v>
      </c>
      <c r="F7" s="8" t="s">
        <v>197</v>
      </c>
      <c r="G7" s="9">
        <v>-1500</v>
      </c>
      <c r="H7" s="9"/>
      <c r="I7" s="48">
        <v>0</v>
      </c>
      <c r="J7" s="21">
        <f t="shared" si="2"/>
        <v>13000</v>
      </c>
      <c r="K7" s="8" t="s">
        <v>197</v>
      </c>
      <c r="L7" s="9">
        <v>-1500</v>
      </c>
      <c r="M7" s="9"/>
      <c r="N7" s="48">
        <v>0</v>
      </c>
      <c r="O7" s="21">
        <f t="shared" si="3"/>
        <v>32000</v>
      </c>
      <c r="P7" s="8" t="s">
        <v>198</v>
      </c>
      <c r="Q7" s="9">
        <v>3000</v>
      </c>
      <c r="R7" s="9"/>
      <c r="S7" s="48">
        <v>0</v>
      </c>
      <c r="T7" s="21">
        <f t="shared" si="4"/>
        <v>60000</v>
      </c>
      <c r="U7" s="53">
        <f>IF($J7="","",ROUND(($J7-$J$3)/1000,1)+(_xlfn.RANK.AVG($J7,($J7,$O7,$T7),1)-2)*10)</f>
        <v>-32</v>
      </c>
      <c r="V7" s="54">
        <f>IF($O7="","",ROUND(($O7-$O$3)/1000,1)+(_xlfn.RANK.AVG($O7,($J7,$O7,$T7),1)-2)*10)</f>
        <v>-3</v>
      </c>
      <c r="W7" s="55">
        <f>IF($T7="","",ROUND(($T7-$T$3)/1000,1)+(_xlfn.RANK.AVG($T7,($J7,$O7,$T7),1)-2)*10)</f>
        <v>35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212</v>
      </c>
      <c r="F8" s="8" t="s">
        <v>201</v>
      </c>
      <c r="G8" s="9">
        <v>-5200</v>
      </c>
      <c r="H8" s="9"/>
      <c r="I8" s="48">
        <v>-1000</v>
      </c>
      <c r="J8" s="21">
        <f t="shared" si="2"/>
        <v>6800</v>
      </c>
      <c r="K8" s="8" t="s">
        <v>200</v>
      </c>
      <c r="L8" s="9">
        <v>5200</v>
      </c>
      <c r="M8" s="9"/>
      <c r="N8" s="48">
        <v>1000</v>
      </c>
      <c r="O8" s="21">
        <f t="shared" si="3"/>
        <v>38200</v>
      </c>
      <c r="P8" s="8"/>
      <c r="Q8" s="9"/>
      <c r="R8" s="9"/>
      <c r="S8" s="48"/>
      <c r="T8" s="21">
        <f t="shared" si="4"/>
        <v>60000</v>
      </c>
      <c r="U8" s="53">
        <f>IF($J8="","",ROUND(($J8-$J$3)/1000,1)+(_xlfn.RANK.AVG($J8,($J8,$O8,$T8),1)-2)*10)</f>
        <v>-38.200000000000003</v>
      </c>
      <c r="V8" s="54">
        <f>IF($O8="","",ROUND(($O8-$O$3)/1000,1)+(_xlfn.RANK.AVG($O8,($J8,$O8,$T8),1)-2)*10)</f>
        <v>3.2</v>
      </c>
      <c r="W8" s="55">
        <f>IF($T8="","",ROUND(($T8-$T$3)/1000,1)+(_xlfn.RANK.AVG($T8,($J8,$O8,$T8),1)-2)*10)</f>
        <v>35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91</v>
      </c>
      <c r="BA8" s="41" t="s">
        <v>80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201</v>
      </c>
      <c r="G9" s="9">
        <v>-1300</v>
      </c>
      <c r="H9" s="9"/>
      <c r="I9" s="48">
        <v>0</v>
      </c>
      <c r="J9" s="21">
        <f t="shared" si="2"/>
        <v>5500</v>
      </c>
      <c r="K9" s="8" t="s">
        <v>200</v>
      </c>
      <c r="L9" s="9">
        <v>1300</v>
      </c>
      <c r="M9" s="9"/>
      <c r="N9" s="48">
        <v>0</v>
      </c>
      <c r="O9" s="21">
        <f t="shared" si="3"/>
        <v>39500</v>
      </c>
      <c r="P9" s="8"/>
      <c r="Q9" s="9"/>
      <c r="R9" s="9"/>
      <c r="S9" s="48"/>
      <c r="T9" s="21">
        <f t="shared" si="4"/>
        <v>60000</v>
      </c>
      <c r="U9" s="53">
        <f>IF($J9="","",ROUND(($J9-$J$3)/1000,1)+(_xlfn.RANK.AVG($J9,($J9,$O9,$T9),1)-2)*10)</f>
        <v>-39.5</v>
      </c>
      <c r="V9" s="54">
        <f>IF($O9="","",ROUND(($O9-$O$3)/1000,1)+(_xlfn.RANK.AVG($O9,($J9,$O9,$T9),1)-2)*10)</f>
        <v>4.5</v>
      </c>
      <c r="W9" s="55">
        <f>IF($T9="","",ROUND(($T9-$T$3)/1000,1)+(_xlfn.RANK.AVG($T9,($J9,$O9,$T9),1)-2)*10)</f>
        <v>35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40</v>
      </c>
      <c r="AZ9" s="40" t="s">
        <v>86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206</v>
      </c>
      <c r="F10" s="8" t="s">
        <v>200</v>
      </c>
      <c r="G10" s="9">
        <v>7700</v>
      </c>
      <c r="H10" s="9"/>
      <c r="I10" s="48">
        <v>0</v>
      </c>
      <c r="J10" s="21">
        <f t="shared" si="2"/>
        <v>13200</v>
      </c>
      <c r="K10" s="8"/>
      <c r="L10" s="9"/>
      <c r="M10" s="9"/>
      <c r="N10" s="48"/>
      <c r="O10" s="21">
        <f t="shared" si="3"/>
        <v>39500</v>
      </c>
      <c r="P10" s="8" t="s">
        <v>201</v>
      </c>
      <c r="Q10" s="9">
        <v>-7700</v>
      </c>
      <c r="R10" s="9"/>
      <c r="S10" s="48">
        <v>0</v>
      </c>
      <c r="T10" s="21">
        <f t="shared" si="4"/>
        <v>52300</v>
      </c>
      <c r="U10" s="53">
        <f>IF($J10="","",ROUND(($J10-$J$3)/1000,1)+(_xlfn.RANK.AVG($J10,($J10,$O10,$T10),1)-2)*10)</f>
        <v>-31.8</v>
      </c>
      <c r="V10" s="54">
        <f>IF($O10="","",ROUND(($O10-$O$3)/1000,1)+(_xlfn.RANK.AVG($O10,($J10,$O10,$T10),1)-2)*10)</f>
        <v>4.5</v>
      </c>
      <c r="W10" s="55">
        <f>IF($T10="","",ROUND(($T10-$T$3)/1000,1)+(_xlfn.RANK.AVG($T10,($J10,$O10,$T10),1)-2)*10)</f>
        <v>27.3</v>
      </c>
      <c r="Y10" s="8"/>
      <c r="Z10" s="34"/>
      <c r="AA10" s="26"/>
      <c r="AB10" s="26">
        <v>1</v>
      </c>
      <c r="AC10" s="26">
        <v>4</v>
      </c>
      <c r="AD10" s="30">
        <v>30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212</v>
      </c>
      <c r="F11" s="8"/>
      <c r="G11" s="9"/>
      <c r="H11" s="9"/>
      <c r="I11" s="48"/>
      <c r="J11" s="21">
        <f t="shared" si="2"/>
        <v>13200</v>
      </c>
      <c r="K11" s="8" t="s">
        <v>200</v>
      </c>
      <c r="L11" s="9">
        <v>1000</v>
      </c>
      <c r="M11" s="9"/>
      <c r="N11" s="48">
        <v>0</v>
      </c>
      <c r="O11" s="21">
        <f t="shared" si="3"/>
        <v>40500</v>
      </c>
      <c r="P11" s="8" t="s">
        <v>201</v>
      </c>
      <c r="Q11" s="9">
        <v>-1000</v>
      </c>
      <c r="R11" s="9"/>
      <c r="S11" s="48">
        <v>0</v>
      </c>
      <c r="T11" s="21">
        <f t="shared" si="4"/>
        <v>51300</v>
      </c>
      <c r="U11" s="53">
        <f>IF($J11="","",ROUND(($J11-$J$3)/1000,1)+(_xlfn.RANK.AVG($J11,($J11,$O11,$T11),1)-2)*10)</f>
        <v>-31.8</v>
      </c>
      <c r="V11" s="54">
        <f>IF($O11="","",ROUND(($O11-$O$3)/1000,1)+(_xlfn.RANK.AVG($O11,($J11,$O11,$T11),1)-2)*10)</f>
        <v>5.5</v>
      </c>
      <c r="W11" s="55">
        <f>IF($T11="","",ROUND(($T11-$T$3)/1000,1)+(_xlfn.RANK.AVG($T11,($J11,$O11,$T11),1)-2)*10)</f>
        <v>26.3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30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BFE55DD5-CD6C-40CA-B393-1D668AB2E7BD}">
      <formula1>"たかの,だいち,ただ,りくと,れんたろう,まっつん,のり,ぱぱ,ほたに,"</formula1>
    </dataValidation>
    <dataValidation type="list" showInputMessage="1" showErrorMessage="1" sqref="K4:K30 P4:P30 F4:F30" xr:uid="{F31CD543-99FD-49FE-998F-25F704AC497E}">
      <formula1>"ロン,ツモ,放銃,ツモ支払,流局,チョンボ"</formula1>
    </dataValidation>
    <dataValidation type="list" allowBlank="1" showInputMessage="1" showErrorMessage="1" sqref="E4:E30" xr:uid="{6B064897-5B5D-43CE-ADF2-D3E645F2128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8EE1F-80DC-4EA6-A8F5-48A3358F6C8B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211</v>
      </c>
      <c r="L1" s="79"/>
      <c r="M1" s="79"/>
      <c r="N1" s="80"/>
      <c r="O1" s="81"/>
      <c r="P1" s="78" t="s">
        <v>213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だいち</v>
      </c>
      <c r="W2" s="16" t="str">
        <f>$P$1</f>
        <v>たかの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200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>
        <v>5</v>
      </c>
      <c r="AD4" s="30" t="s">
        <v>203</v>
      </c>
      <c r="AE4" s="40" t="s">
        <v>104</v>
      </c>
      <c r="AF4" s="41" t="s">
        <v>86</v>
      </c>
      <c r="AG4" s="41" t="s">
        <v>86</v>
      </c>
      <c r="AH4" s="41" t="s">
        <v>86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205</v>
      </c>
      <c r="F5" s="8"/>
      <c r="G5" s="9"/>
      <c r="H5" s="9">
        <v>-1000</v>
      </c>
      <c r="I5" s="48"/>
      <c r="J5" s="21">
        <f t="shared" ref="J5:J30" si="2">IF(COUNTA($F5,$K5,$P5)&gt;0,J4+SUM(G5:I5),"")</f>
        <v>46000</v>
      </c>
      <c r="K5" s="8" t="s">
        <v>200</v>
      </c>
      <c r="L5" s="9">
        <v>5200</v>
      </c>
      <c r="M5" s="9">
        <v>1000</v>
      </c>
      <c r="N5" s="48">
        <v>1000</v>
      </c>
      <c r="O5" s="21">
        <f t="shared" ref="O5:O30" si="3">IF(COUNTA($F5,$K5,$P5)&gt;0,O4+SUM(L5:N5),"")</f>
        <v>42200</v>
      </c>
      <c r="P5" s="8" t="s">
        <v>201</v>
      </c>
      <c r="Q5" s="9">
        <v>-5200</v>
      </c>
      <c r="R5" s="9"/>
      <c r="S5" s="48">
        <v>-1000</v>
      </c>
      <c r="T5" s="21">
        <f t="shared" ref="T5:T30" si="4">IF(COUNTA($F5,$K5,$P5)&gt;0,T4+SUM(Q5:S5),"")</f>
        <v>16800</v>
      </c>
      <c r="U5" s="53">
        <f>IF($J5="","",ROUND(($J5-$J$3)/1000,1)+(_xlfn.RANK.AVG($J5,($J5,$O5,$T5),1)-2)*10)</f>
        <v>21</v>
      </c>
      <c r="V5" s="54">
        <f>IF($O5="","",ROUND(($O5-$O$3)/1000,1)+(_xlfn.RANK.AVG($O5,($J5,$O5,$T5),1)-2)*10)</f>
        <v>7.2</v>
      </c>
      <c r="W5" s="55">
        <f>IF($T5="","",ROUND(($T5-$T$3)/1000,1)+(_xlfn.RANK.AVG($T5,($J5,$O5,$T5),1)-2)*10)</f>
        <v>-28.2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199</v>
      </c>
      <c r="BA5" s="41" t="s">
        <v>86</v>
      </c>
      <c r="BB5" s="41" t="s">
        <v>80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 t="s">
        <v>198</v>
      </c>
      <c r="G6" s="9">
        <v>16000</v>
      </c>
      <c r="H6" s="9"/>
      <c r="I6" s="48">
        <v>0</v>
      </c>
      <c r="J6" s="21">
        <f t="shared" si="2"/>
        <v>62000</v>
      </c>
      <c r="K6" s="8" t="s">
        <v>197</v>
      </c>
      <c r="L6" s="9">
        <v>-10000</v>
      </c>
      <c r="M6" s="9"/>
      <c r="N6" s="48">
        <v>0</v>
      </c>
      <c r="O6" s="21">
        <f t="shared" si="3"/>
        <v>32200</v>
      </c>
      <c r="P6" s="8" t="s">
        <v>197</v>
      </c>
      <c r="Q6" s="9">
        <v>-6000</v>
      </c>
      <c r="R6" s="9"/>
      <c r="S6" s="48">
        <v>0</v>
      </c>
      <c r="T6" s="21">
        <f t="shared" si="4"/>
        <v>10800</v>
      </c>
      <c r="U6" s="53">
        <f>IF($J6="","",ROUND(($J6-$J$3)/1000,1)+(_xlfn.RANK.AVG($J6,($J6,$O6,$T6),1)-2)*10)</f>
        <v>37</v>
      </c>
      <c r="V6" s="54">
        <f>IF($O6="","",ROUND(($O6-$O$3)/1000,1)+(_xlfn.RANK.AVG($O6,($J6,$O6,$T6),1)-2)*10)</f>
        <v>-2.8</v>
      </c>
      <c r="W6" s="55">
        <f>IF($T6="","",ROUND(($T6-$T$3)/1000,1)+(_xlfn.RANK.AVG($T6,($J6,$O6,$T6),1)-2)*10)</f>
        <v>-34.200000000000003</v>
      </c>
      <c r="Y6" s="8"/>
      <c r="Z6" s="34"/>
      <c r="AA6" s="26"/>
      <c r="AB6" s="26">
        <v>1</v>
      </c>
      <c r="AC6" s="26">
        <v>8</v>
      </c>
      <c r="AD6" s="30" t="s">
        <v>203</v>
      </c>
      <c r="AE6" s="40" t="s">
        <v>89</v>
      </c>
      <c r="AF6" s="41" t="s">
        <v>104</v>
      </c>
      <c r="AG6" s="41" t="s">
        <v>86</v>
      </c>
      <c r="AH6" s="41" t="s">
        <v>86</v>
      </c>
      <c r="AI6" s="41" t="s">
        <v>86</v>
      </c>
      <c r="AJ6" s="41" t="s">
        <v>98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212</v>
      </c>
      <c r="F7" s="8"/>
      <c r="G7" s="9"/>
      <c r="H7" s="9"/>
      <c r="I7" s="48"/>
      <c r="J7" s="21">
        <f t="shared" si="2"/>
        <v>62000</v>
      </c>
      <c r="K7" s="8" t="s">
        <v>201</v>
      </c>
      <c r="L7" s="9">
        <v>-11600</v>
      </c>
      <c r="M7" s="9"/>
      <c r="N7" s="48">
        <v>0</v>
      </c>
      <c r="O7" s="21">
        <f t="shared" si="3"/>
        <v>20600</v>
      </c>
      <c r="P7" s="8" t="s">
        <v>200</v>
      </c>
      <c r="Q7" s="9">
        <v>11600</v>
      </c>
      <c r="R7" s="9"/>
      <c r="S7" s="48">
        <v>0</v>
      </c>
      <c r="T7" s="21">
        <f t="shared" si="4"/>
        <v>22400</v>
      </c>
      <c r="U7" s="53">
        <f>IF($J7="","",ROUND(($J7-$J$3)/1000,1)+(_xlfn.RANK.AVG($J7,($J7,$O7,$T7),1)-2)*10)</f>
        <v>37</v>
      </c>
      <c r="V7" s="54">
        <f>IF($O7="","",ROUND(($O7-$O$3)/1000,1)+(_xlfn.RANK.AVG($O7,($J7,$O7,$T7),1)-2)*10)</f>
        <v>-24.4</v>
      </c>
      <c r="W7" s="55">
        <f>IF($T7="","",ROUND(($T7-$T$3)/1000,1)+(_xlfn.RANK.AVG($T7,($J7,$O7,$T7),1)-2)*10)</f>
        <v>-12.6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79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212</v>
      </c>
      <c r="F8" s="8" t="s">
        <v>198</v>
      </c>
      <c r="G8" s="9">
        <v>4000</v>
      </c>
      <c r="H8" s="9">
        <v>1000</v>
      </c>
      <c r="I8" s="48">
        <v>1000</v>
      </c>
      <c r="J8" s="21">
        <f t="shared" si="2"/>
        <v>68000</v>
      </c>
      <c r="K8" s="8" t="s">
        <v>197</v>
      </c>
      <c r="L8" s="9">
        <v>-1500</v>
      </c>
      <c r="M8" s="9">
        <v>-1000</v>
      </c>
      <c r="N8" s="48">
        <v>-500</v>
      </c>
      <c r="O8" s="21">
        <f t="shared" si="3"/>
        <v>17600</v>
      </c>
      <c r="P8" s="8" t="s">
        <v>197</v>
      </c>
      <c r="Q8" s="9">
        <v>-2500</v>
      </c>
      <c r="R8" s="9"/>
      <c r="S8" s="48">
        <v>-500</v>
      </c>
      <c r="T8" s="21">
        <f t="shared" si="4"/>
        <v>19400</v>
      </c>
      <c r="U8" s="53">
        <f>IF($J8="","",ROUND(($J8-$J$3)/1000,1)+(_xlfn.RANK.AVG($J8,($J8,$O8,$T8),1)-2)*10)</f>
        <v>43</v>
      </c>
      <c r="V8" s="54">
        <f>IF($O8="","",ROUND(($O8-$O$3)/1000,1)+(_xlfn.RANK.AVG($O8,($J8,$O8,$T8),1)-2)*10)</f>
        <v>-27.4</v>
      </c>
      <c r="W8" s="55">
        <f>IF($T8="","",ROUND(($T8-$T$3)/1000,1)+(_xlfn.RANK.AVG($T8,($J8,$O8,$T8),1)-2)*10)</f>
        <v>-15.6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199</v>
      </c>
      <c r="AF8" s="41" t="s">
        <v>82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205</v>
      </c>
      <c r="F9" s="8" t="s">
        <v>197</v>
      </c>
      <c r="G9" s="9">
        <v>-5000</v>
      </c>
      <c r="H9" s="9"/>
      <c r="I9" s="48">
        <v>0</v>
      </c>
      <c r="J9" s="21">
        <f t="shared" si="2"/>
        <v>63000</v>
      </c>
      <c r="K9" s="8" t="s">
        <v>198</v>
      </c>
      <c r="L9" s="9">
        <v>8000</v>
      </c>
      <c r="M9" s="9">
        <v>1000</v>
      </c>
      <c r="N9" s="48">
        <v>0</v>
      </c>
      <c r="O9" s="21">
        <f t="shared" si="3"/>
        <v>26600</v>
      </c>
      <c r="P9" s="8" t="s">
        <v>197</v>
      </c>
      <c r="Q9" s="9">
        <v>-3000</v>
      </c>
      <c r="R9" s="9">
        <v>-1000</v>
      </c>
      <c r="S9" s="48">
        <v>0</v>
      </c>
      <c r="T9" s="21">
        <f t="shared" si="4"/>
        <v>15400</v>
      </c>
      <c r="U9" s="53">
        <f>IF($J9="","",ROUND(($J9-$J$3)/1000,1)+(_xlfn.RANK.AVG($J9,($J9,$O9,$T9),1)-2)*10)</f>
        <v>38</v>
      </c>
      <c r="V9" s="54">
        <f>IF($O9="","",ROUND(($O9-$O$3)/1000,1)+(_xlfn.RANK.AVG($O9,($J9,$O9,$T9),1)-2)*10)</f>
        <v>-8.4</v>
      </c>
      <c r="W9" s="55">
        <f>IF($T9="","",ROUND(($T9-$T$3)/1000,1)+(_xlfn.RANK.AVG($T9,($J9,$O9,$T9),1)-2)*10)</f>
        <v>-29.6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203</v>
      </c>
      <c r="AZ9" s="40" t="s">
        <v>86</v>
      </c>
      <c r="BA9" s="41" t="s">
        <v>204</v>
      </c>
      <c r="BB9" s="41" t="s">
        <v>204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206</v>
      </c>
      <c r="F10" s="8" t="s">
        <v>201</v>
      </c>
      <c r="G10" s="9">
        <v>-12000</v>
      </c>
      <c r="H10" s="9"/>
      <c r="I10" s="48">
        <v>0</v>
      </c>
      <c r="J10" s="21">
        <f t="shared" si="2"/>
        <v>51000</v>
      </c>
      <c r="K10" s="8"/>
      <c r="L10" s="9"/>
      <c r="M10" s="9"/>
      <c r="N10" s="48"/>
      <c r="O10" s="21">
        <f t="shared" si="3"/>
        <v>26600</v>
      </c>
      <c r="P10" s="8" t="s">
        <v>200</v>
      </c>
      <c r="Q10" s="9">
        <v>12000</v>
      </c>
      <c r="R10" s="9"/>
      <c r="S10" s="48">
        <v>0</v>
      </c>
      <c r="T10" s="21">
        <f t="shared" si="4"/>
        <v>27400</v>
      </c>
      <c r="U10" s="53">
        <f>IF($J10="","",ROUND(($J10-$J$3)/1000,1)+(_xlfn.RANK.AVG($J10,($J10,$O10,$T10),1)-2)*10)</f>
        <v>26</v>
      </c>
      <c r="V10" s="54">
        <f>IF($O10="","",ROUND(($O10-$O$3)/1000,1)+(_xlfn.RANK.AVG($O10,($J10,$O10,$T10),1)-2)*10)</f>
        <v>-18.399999999999999</v>
      </c>
      <c r="W10" s="55">
        <f>IF($T10="","",ROUND(($T10-$T$3)/1000,1)+(_xlfn.RANK.AVG($T10,($J10,$O10,$T10),1)-2)*10)</f>
        <v>-7.6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203</v>
      </c>
      <c r="BU10" s="40" t="s">
        <v>199</v>
      </c>
      <c r="BV10" s="41" t="s">
        <v>85</v>
      </c>
      <c r="BW10" s="41" t="s">
        <v>80</v>
      </c>
      <c r="BX10" s="41" t="s">
        <v>80</v>
      </c>
      <c r="BY10" s="41" t="s">
        <v>79</v>
      </c>
      <c r="BZ10" s="41" t="s">
        <v>83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212</v>
      </c>
      <c r="F11" s="8" t="s">
        <v>197</v>
      </c>
      <c r="G11" s="9">
        <v>-3000</v>
      </c>
      <c r="H11" s="9"/>
      <c r="I11" s="48">
        <v>0</v>
      </c>
      <c r="J11" s="21">
        <f t="shared" si="2"/>
        <v>48000</v>
      </c>
      <c r="K11" s="8" t="s">
        <v>198</v>
      </c>
      <c r="L11" s="9">
        <v>8000</v>
      </c>
      <c r="M11" s="9"/>
      <c r="N11" s="48">
        <v>0</v>
      </c>
      <c r="O11" s="21">
        <f t="shared" si="3"/>
        <v>34600</v>
      </c>
      <c r="P11" s="8" t="s">
        <v>197</v>
      </c>
      <c r="Q11" s="9">
        <v>-5000</v>
      </c>
      <c r="R11" s="9"/>
      <c r="S11" s="48">
        <v>0</v>
      </c>
      <c r="T11" s="21">
        <f t="shared" si="4"/>
        <v>22400</v>
      </c>
      <c r="U11" s="53">
        <f>IF($J11="","",ROUND(($J11-$J$3)/1000,1)+(_xlfn.RANK.AVG($J11,($J11,$O11,$T11),1)-2)*10)</f>
        <v>23</v>
      </c>
      <c r="V11" s="54">
        <f>IF($O11="","",ROUND(($O11-$O$3)/1000,1)+(_xlfn.RANK.AVG($O11,($J11,$O11,$T11),1)-2)*10)</f>
        <v>-0.4</v>
      </c>
      <c r="W11" s="55">
        <f>IF($T11="","",ROUND(($T11-$T$3)/1000,1)+(_xlfn.RANK.AVG($T11,($J11,$O11,$T11),1)-2)*10)</f>
        <v>-22.6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5</v>
      </c>
      <c r="AY11" s="30" t="s">
        <v>203</v>
      </c>
      <c r="AZ11" s="40" t="s">
        <v>86</v>
      </c>
      <c r="BA11" s="41" t="s">
        <v>86</v>
      </c>
      <c r="BB11" s="41" t="s">
        <v>104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0B24B56B-88E1-4F59-AEA4-D297242DD988}">
      <formula1>$U$2:$W$2</formula1>
    </dataValidation>
    <dataValidation type="list" showInputMessage="1" showErrorMessage="1" sqref="K4:K30 P4:P30 F4:F30" xr:uid="{C9CF375C-AFB9-41AE-8CDE-072A7E250457}">
      <formula1>"ロン,ツモ,放銃,ツモ支払,流局,チョンボ"</formula1>
    </dataValidation>
    <dataValidation type="list" allowBlank="1" showInputMessage="1" sqref="F1:T1" xr:uid="{80ADC523-BD51-4399-857A-39BF0F89576A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ADFB-988D-4FF9-A0A6-DDAED25D54F3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208</v>
      </c>
      <c r="L1" s="79"/>
      <c r="M1" s="79"/>
      <c r="N1" s="80"/>
      <c r="O1" s="81"/>
      <c r="P1" s="78" t="s">
        <v>213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たかの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まっつん</v>
      </c>
      <c r="W2" s="16" t="str">
        <f>$P$1</f>
        <v>たかの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201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-15.2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199</v>
      </c>
      <c r="BA4" s="41" t="s">
        <v>202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197</v>
      </c>
      <c r="G5" s="9">
        <v>-24000</v>
      </c>
      <c r="H5" s="9"/>
      <c r="I5" s="48">
        <v>0</v>
      </c>
      <c r="J5" s="21">
        <f t="shared" ref="J5:J30" si="2">IF(COUNTA($F5,$K5,$P5)&gt;0,J4+SUM(G5:I5),"")</f>
        <v>11000</v>
      </c>
      <c r="K5" s="8" t="s">
        <v>198</v>
      </c>
      <c r="L5" s="9">
        <v>48000</v>
      </c>
      <c r="M5" s="9">
        <v>1000</v>
      </c>
      <c r="N5" s="48">
        <v>0</v>
      </c>
      <c r="O5" s="21">
        <f t="shared" ref="O5:O30" si="3">IF(COUNTA($F5,$K5,$P5)&gt;0,O4+SUM(L5:N5),"")</f>
        <v>89200</v>
      </c>
      <c r="P5" s="8" t="s">
        <v>197</v>
      </c>
      <c r="Q5" s="9">
        <v>-24000</v>
      </c>
      <c r="R5" s="9">
        <v>-1000</v>
      </c>
      <c r="S5" s="48">
        <v>0</v>
      </c>
      <c r="T5" s="21">
        <f t="shared" ref="T5:T30" si="4">IF(COUNTA($F5,$K5,$P5)&gt;0,T4+SUM(Q5:S5),"")</f>
        <v>4800</v>
      </c>
      <c r="U5" s="53">
        <f>IF($J5="","",ROUND(($J5-$J$3)/1000,1)+(_xlfn.RANK.AVG($J5,($J5,$O5,$T5),1)-2)*10)</f>
        <v>-24</v>
      </c>
      <c r="V5" s="54">
        <f>IF($O5="","",ROUND(($O5-$O$3)/1000,1)+(_xlfn.RANK.AVG($O5,($J5,$O5,$T5),1)-2)*10)</f>
        <v>64.2</v>
      </c>
      <c r="W5" s="55">
        <f>IF($T5="","",ROUND(($T5-$T$3)/1000,1)+(_xlfn.RANK.AVG($T5,($J5,$O5,$T5),1)-2)*10)</f>
        <v>-40.200000000000003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13</v>
      </c>
      <c r="AY5" s="30" t="s">
        <v>203</v>
      </c>
      <c r="AZ5" s="40" t="s">
        <v>116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208</v>
      </c>
      <c r="F6" s="8" t="s">
        <v>197</v>
      </c>
      <c r="G6" s="9">
        <v>-1500</v>
      </c>
      <c r="H6" s="9"/>
      <c r="I6" s="48">
        <v>-500</v>
      </c>
      <c r="J6" s="21">
        <f t="shared" si="2"/>
        <v>9000</v>
      </c>
      <c r="K6" s="8" t="s">
        <v>197</v>
      </c>
      <c r="L6" s="9">
        <v>-2500</v>
      </c>
      <c r="M6" s="9"/>
      <c r="N6" s="48">
        <v>-500</v>
      </c>
      <c r="O6" s="21">
        <f t="shared" si="3"/>
        <v>86200</v>
      </c>
      <c r="P6" s="8" t="s">
        <v>198</v>
      </c>
      <c r="Q6" s="9">
        <v>4000</v>
      </c>
      <c r="R6" s="9"/>
      <c r="S6" s="48">
        <v>1000</v>
      </c>
      <c r="T6" s="21">
        <f t="shared" si="4"/>
        <v>9800</v>
      </c>
      <c r="U6" s="53">
        <f>IF($J6="","",ROUND(($J6-$J$3)/1000,1)+(_xlfn.RANK.AVG($J6,($J6,$O6,$T6),1)-2)*10)</f>
        <v>-36</v>
      </c>
      <c r="V6" s="54">
        <f>IF($O6="","",ROUND(($O6-$O$3)/1000,1)+(_xlfn.RANK.AVG($O6,($J6,$O6,$T6),1)-2)*10)</f>
        <v>61.2</v>
      </c>
      <c r="W6" s="55">
        <f>IF($T6="","",ROUND(($T6-$T$3)/1000,1)+(_xlfn.RANK.AVG($T6,($J6,$O6,$T6),1)-2)*10)</f>
        <v>-25.2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30</v>
      </c>
      <c r="BU6" s="40" t="s">
        <v>82</v>
      </c>
      <c r="BV6" s="41" t="s">
        <v>86</v>
      </c>
      <c r="BW6" s="41" t="s">
        <v>204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212</v>
      </c>
      <c r="F7" s="8" t="s">
        <v>200</v>
      </c>
      <c r="G7" s="9">
        <v>8000</v>
      </c>
      <c r="H7" s="9"/>
      <c r="I7" s="48">
        <v>0</v>
      </c>
      <c r="J7" s="21">
        <f t="shared" si="2"/>
        <v>17000</v>
      </c>
      <c r="K7" s="8" t="s">
        <v>201</v>
      </c>
      <c r="L7" s="9">
        <v>-8000</v>
      </c>
      <c r="M7" s="9"/>
      <c r="N7" s="48">
        <v>0</v>
      </c>
      <c r="O7" s="21">
        <f t="shared" si="3"/>
        <v>78200</v>
      </c>
      <c r="P7" s="8"/>
      <c r="Q7" s="9"/>
      <c r="R7" s="9"/>
      <c r="S7" s="48"/>
      <c r="T7" s="21">
        <f t="shared" si="4"/>
        <v>9800</v>
      </c>
      <c r="U7" s="53">
        <f>IF($J7="","",ROUND(($J7-$J$3)/1000,1)+(_xlfn.RANK.AVG($J7,($J7,$O7,$T7),1)-2)*10)</f>
        <v>-18</v>
      </c>
      <c r="V7" s="54">
        <f>IF($O7="","",ROUND(($O7-$O$3)/1000,1)+(_xlfn.RANK.AVG($O7,($J7,$O7,$T7),1)-2)*10)</f>
        <v>53.2</v>
      </c>
      <c r="W7" s="55">
        <f>IF($T7="","",ROUND(($T7-$T$3)/1000,1)+(_xlfn.RANK.AVG($T7,($J7,$O7,$T7),1)-2)*10)</f>
        <v>-35.200000000000003</v>
      </c>
      <c r="Y7" s="8"/>
      <c r="Z7" s="34"/>
      <c r="AA7" s="26">
        <v>1</v>
      </c>
      <c r="AB7" s="26"/>
      <c r="AC7" s="26">
        <v>5</v>
      </c>
      <c r="AD7" s="30" t="s">
        <v>203</v>
      </c>
      <c r="AE7" s="40" t="s">
        <v>199</v>
      </c>
      <c r="AF7" s="41" t="s">
        <v>204</v>
      </c>
      <c r="AG7" s="41" t="s">
        <v>79</v>
      </c>
      <c r="AH7" s="41" t="s">
        <v>79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205</v>
      </c>
      <c r="F8" s="8" t="s">
        <v>197</v>
      </c>
      <c r="G8" s="9">
        <v>-1700</v>
      </c>
      <c r="H8" s="9"/>
      <c r="I8" s="48">
        <v>0</v>
      </c>
      <c r="J8" s="21">
        <f t="shared" si="2"/>
        <v>15300</v>
      </c>
      <c r="K8" s="8" t="s">
        <v>197</v>
      </c>
      <c r="L8" s="9">
        <v>-1100</v>
      </c>
      <c r="M8" s="9"/>
      <c r="N8" s="48">
        <v>0</v>
      </c>
      <c r="O8" s="21">
        <f t="shared" si="3"/>
        <v>77100</v>
      </c>
      <c r="P8" s="8" t="s">
        <v>198</v>
      </c>
      <c r="Q8" s="9">
        <v>2800</v>
      </c>
      <c r="R8" s="9"/>
      <c r="S8" s="48">
        <v>0</v>
      </c>
      <c r="T8" s="21">
        <f t="shared" si="4"/>
        <v>12600</v>
      </c>
      <c r="U8" s="53">
        <f>IF($J8="","",ROUND(($J8-$J$3)/1000,1)+(_xlfn.RANK.AVG($J8,($J8,$O8,$T8),1)-2)*10)</f>
        <v>-19.7</v>
      </c>
      <c r="V8" s="54">
        <f>IF($O8="","",ROUND(($O8-$O$3)/1000,1)+(_xlfn.RANK.AVG($O8,($J8,$O8,$T8),1)-2)*10)</f>
        <v>52.1</v>
      </c>
      <c r="W8" s="55">
        <f>IF($T8="","",ROUND(($T8-$T$3)/1000,1)+(_xlfn.RANK.AVG($T8,($J8,$O8,$T8),1)-2)*10)</f>
        <v>-32.4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20</v>
      </c>
      <c r="BU8" s="40" t="s">
        <v>82</v>
      </c>
      <c r="BV8" s="41" t="s">
        <v>83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208</v>
      </c>
      <c r="F9" s="8"/>
      <c r="G9" s="9"/>
      <c r="H9" s="9"/>
      <c r="I9" s="48"/>
      <c r="J9" s="21">
        <f t="shared" si="2"/>
        <v>15300</v>
      </c>
      <c r="K9" s="8" t="s">
        <v>201</v>
      </c>
      <c r="L9" s="9">
        <v>-2000</v>
      </c>
      <c r="M9" s="9"/>
      <c r="N9" s="48">
        <v>0</v>
      </c>
      <c r="O9" s="21">
        <f t="shared" si="3"/>
        <v>75100</v>
      </c>
      <c r="P9" s="8" t="s">
        <v>200</v>
      </c>
      <c r="Q9" s="9">
        <v>2000</v>
      </c>
      <c r="R9" s="9"/>
      <c r="S9" s="48">
        <v>0</v>
      </c>
      <c r="T9" s="21">
        <f t="shared" si="4"/>
        <v>14600</v>
      </c>
      <c r="U9" s="53">
        <f>IF($J9="","",ROUND(($J9-$J$3)/1000,1)+(_xlfn.RANK.AVG($J9,($J9,$O9,$T9),1)-2)*10)</f>
        <v>-19.7</v>
      </c>
      <c r="V9" s="54">
        <f>IF($O9="","",ROUND(($O9-$O$3)/1000,1)+(_xlfn.RANK.AVG($O9,($J9,$O9,$T9),1)-2)*10)</f>
        <v>50.1</v>
      </c>
      <c r="W9" s="55">
        <f>IF($T9="","",ROUND(($T9-$T$3)/1000,1)+(_xlfn.RANK.AVG($T9,($J9,$O9,$T9),1)-2)*10)</f>
        <v>-30.4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83</v>
      </c>
      <c r="BV9" s="41" t="s">
        <v>204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212</v>
      </c>
      <c r="F10" s="8" t="s">
        <v>201</v>
      </c>
      <c r="G10" s="9">
        <v>-3900</v>
      </c>
      <c r="H10" s="9"/>
      <c r="I10" s="48">
        <v>0</v>
      </c>
      <c r="J10" s="21">
        <f t="shared" si="2"/>
        <v>11400</v>
      </c>
      <c r="K10" s="8"/>
      <c r="L10" s="9"/>
      <c r="M10" s="9"/>
      <c r="N10" s="48"/>
      <c r="O10" s="21">
        <f t="shared" si="3"/>
        <v>75100</v>
      </c>
      <c r="P10" s="8" t="s">
        <v>200</v>
      </c>
      <c r="Q10" s="9">
        <v>3900</v>
      </c>
      <c r="R10" s="9"/>
      <c r="S10" s="48">
        <v>0</v>
      </c>
      <c r="T10" s="21">
        <f t="shared" si="4"/>
        <v>18500</v>
      </c>
      <c r="U10" s="53">
        <f>IF($J10="","",ROUND(($J10-$J$3)/1000,1)+(_xlfn.RANK.AVG($J10,($J10,$O10,$T10),1)-2)*10)</f>
        <v>-33.6</v>
      </c>
      <c r="V10" s="54">
        <f>IF($O10="","",ROUND(($O10-$O$3)/1000,1)+(_xlfn.RANK.AVG($O10,($J10,$O10,$T10),1)-2)*10)</f>
        <v>50.1</v>
      </c>
      <c r="W10" s="55">
        <f>IF($T10="","",ROUND(($T10-$T$3)/1000,1)+(_xlfn.RANK.AVG($T10,($J10,$O10,$T10),1)-2)*10)</f>
        <v>-16.5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40</v>
      </c>
      <c r="BU10" s="40" t="s">
        <v>84</v>
      </c>
      <c r="BV10" s="41" t="s">
        <v>204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212</v>
      </c>
      <c r="F11" s="8" t="s">
        <v>200</v>
      </c>
      <c r="G11" s="9">
        <v>3900</v>
      </c>
      <c r="H11" s="9"/>
      <c r="I11" s="48">
        <v>1000</v>
      </c>
      <c r="J11" s="21">
        <f t="shared" si="2"/>
        <v>16300</v>
      </c>
      <c r="K11" s="8"/>
      <c r="L11" s="9"/>
      <c r="M11" s="9"/>
      <c r="N11" s="48"/>
      <c r="O11" s="21">
        <f t="shared" si="3"/>
        <v>75100</v>
      </c>
      <c r="P11" s="8" t="s">
        <v>201</v>
      </c>
      <c r="Q11" s="9">
        <v>-3900</v>
      </c>
      <c r="R11" s="9"/>
      <c r="S11" s="48">
        <v>-1000</v>
      </c>
      <c r="T11" s="21">
        <f t="shared" si="4"/>
        <v>13600</v>
      </c>
      <c r="U11" s="53">
        <f>IF($J11="","",ROUND(($J11-$J$3)/1000,1)+(_xlfn.RANK.AVG($J11,($J11,$O11,$T11),1)-2)*10)</f>
        <v>-18.7</v>
      </c>
      <c r="V11" s="54">
        <f>IF($O11="","",ROUND(($O11-$O$3)/1000,1)+(_xlfn.RANK.AVG($O11,($J11,$O11,$T11),1)-2)*10)</f>
        <v>50.1</v>
      </c>
      <c r="W11" s="55">
        <f>IF($T11="","",ROUND(($T11-$T$3)/1000,1)+(_xlfn.RANK.AVG($T11,($J11,$O11,$T11),1)-2)*10)</f>
        <v>-31.4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199</v>
      </c>
      <c r="AF11" s="41" t="s">
        <v>83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F9787ED6-A671-4573-B800-79306F546D52}">
      <formula1>"たかの,だいち,ただ,りくと,れんたろう,まっつん,のり,ぱぱ,ほたに,"</formula1>
    </dataValidation>
    <dataValidation type="list" showInputMessage="1" showErrorMessage="1" sqref="K4:K30 P4:P30 F4:F30" xr:uid="{BA6420CE-9D4B-4D99-9B4F-7EDFAEBBFBA7}">
      <formula1>"ロン,ツモ,放銃,ツモ支払,流局,チョンボ"</formula1>
    </dataValidation>
    <dataValidation type="list" allowBlank="1" showInputMessage="1" showErrorMessage="1" sqref="E4:E30" xr:uid="{2FB52171-62AA-4CE2-ABD8-003E6ABE48D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78047-104A-47D5-8923-E55C26B6B02D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208</v>
      </c>
      <c r="L1" s="79"/>
      <c r="M1" s="79"/>
      <c r="N1" s="80"/>
      <c r="O1" s="81"/>
      <c r="P1" s="78" t="s">
        <v>206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196</v>
      </c>
      <c r="G4" s="9">
        <v>1500</v>
      </c>
      <c r="H4" s="9"/>
      <c r="I4" s="48"/>
      <c r="J4" s="21">
        <f>IF(COUNTA($F4,$K4,$P4)&gt;0,J3+SUM(G4:I4),"")</f>
        <v>36500</v>
      </c>
      <c r="K4" s="8" t="s">
        <v>196</v>
      </c>
      <c r="L4" s="9">
        <v>-3000</v>
      </c>
      <c r="M4" s="9"/>
      <c r="N4" s="48"/>
      <c r="O4" s="21">
        <f>IF(COUNTA($F4,$K4,$P4)&gt;0,O3+SUM(L4:N4),"")</f>
        <v>32000</v>
      </c>
      <c r="P4" s="8" t="s">
        <v>196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197</v>
      </c>
      <c r="G5" s="9">
        <v>-2000</v>
      </c>
      <c r="H5" s="9"/>
      <c r="I5" s="48">
        <v>-500</v>
      </c>
      <c r="J5" s="21">
        <f t="shared" ref="J5:J30" si="2">IF(COUNTA($F5,$K5,$P5)&gt;0,J4+SUM(G5:I5),"")</f>
        <v>34000</v>
      </c>
      <c r="K5" s="8" t="s">
        <v>198</v>
      </c>
      <c r="L5" s="9">
        <v>5300</v>
      </c>
      <c r="M5" s="9"/>
      <c r="N5" s="48">
        <v>1000</v>
      </c>
      <c r="O5" s="21">
        <f t="shared" ref="O5:O30" si="3">IF(COUNTA($F5,$K5,$P5)&gt;0,O4+SUM(L5:N5),"")</f>
        <v>38300</v>
      </c>
      <c r="P5" s="8" t="s">
        <v>197</v>
      </c>
      <c r="Q5" s="9">
        <v>-3300</v>
      </c>
      <c r="R5" s="9"/>
      <c r="S5" s="48">
        <v>-500</v>
      </c>
      <c r="T5" s="21">
        <f t="shared" ref="T5:T30" si="4">IF(COUNTA($F5,$K5,$P5)&gt;0,T4+SUM(Q5:S5),"")</f>
        <v>32700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13.3</v>
      </c>
      <c r="W5" s="55">
        <f>IF($T5="","",ROUND(($T5-$T$3)/1000,1)+(_xlfn.RANK.AVG($T5,($J5,$O5,$T5),1)-2)*10)</f>
        <v>-12.3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20</v>
      </c>
      <c r="AZ5" s="40" t="s">
        <v>199</v>
      </c>
      <c r="BA5" s="41" t="s">
        <v>82</v>
      </c>
      <c r="BB5" s="41" t="s">
        <v>83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197</v>
      </c>
      <c r="G6" s="9">
        <v>-7500</v>
      </c>
      <c r="H6" s="9"/>
      <c r="I6" s="48">
        <v>0</v>
      </c>
      <c r="J6" s="21">
        <f t="shared" si="2"/>
        <v>26500</v>
      </c>
      <c r="K6" s="8" t="s">
        <v>197</v>
      </c>
      <c r="L6" s="9">
        <v>-4500</v>
      </c>
      <c r="M6" s="9"/>
      <c r="N6" s="48">
        <v>0</v>
      </c>
      <c r="O6" s="21">
        <f t="shared" si="3"/>
        <v>33800</v>
      </c>
      <c r="P6" s="8" t="s">
        <v>198</v>
      </c>
      <c r="Q6" s="9">
        <v>12000</v>
      </c>
      <c r="R6" s="9"/>
      <c r="S6" s="48">
        <v>0</v>
      </c>
      <c r="T6" s="21">
        <f t="shared" si="4"/>
        <v>44700</v>
      </c>
      <c r="U6" s="53">
        <f>IF($J6="","",ROUND(($J6-$J$3)/1000,1)+(_xlfn.RANK.AVG($J6,($J6,$O6,$T6),1)-2)*10)</f>
        <v>-18.5</v>
      </c>
      <c r="V6" s="54">
        <f>IF($O6="","",ROUND(($O6-$O$3)/1000,1)+(_xlfn.RANK.AVG($O6,($J6,$O6,$T6),1)-2)*10)</f>
        <v>-1.2</v>
      </c>
      <c r="W6" s="55">
        <f>IF($T6="","",ROUND(($T6-$T$3)/1000,1)+(_xlfn.RANK.AVG($T6,($J6,$O6,$T6),1)-2)*10)</f>
        <v>19.7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203</v>
      </c>
      <c r="BU6" s="40" t="s">
        <v>199</v>
      </c>
      <c r="BV6" s="41" t="s">
        <v>82</v>
      </c>
      <c r="BW6" s="41" t="s">
        <v>204</v>
      </c>
      <c r="BX6" s="41" t="s">
        <v>79</v>
      </c>
      <c r="BY6" s="41" t="s">
        <v>79</v>
      </c>
      <c r="BZ6" s="41" t="s">
        <v>79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208</v>
      </c>
      <c r="F7" s="8" t="s">
        <v>198</v>
      </c>
      <c r="G7" s="9">
        <v>8000</v>
      </c>
      <c r="H7" s="9"/>
      <c r="I7" s="48">
        <v>0</v>
      </c>
      <c r="J7" s="21">
        <f t="shared" si="2"/>
        <v>34500</v>
      </c>
      <c r="K7" s="8" t="s">
        <v>197</v>
      </c>
      <c r="L7" s="9">
        <v>-5000</v>
      </c>
      <c r="M7" s="9"/>
      <c r="N7" s="48">
        <v>0</v>
      </c>
      <c r="O7" s="21">
        <f t="shared" si="3"/>
        <v>28800</v>
      </c>
      <c r="P7" s="8" t="s">
        <v>197</v>
      </c>
      <c r="Q7" s="9">
        <v>-3000</v>
      </c>
      <c r="R7" s="9"/>
      <c r="S7" s="48">
        <v>0</v>
      </c>
      <c r="T7" s="21">
        <f t="shared" si="4"/>
        <v>41700</v>
      </c>
      <c r="U7" s="53">
        <f>IF($J7="","",ROUND(($J7-$J$3)/1000,1)+(_xlfn.RANK.AVG($J7,($J7,$O7,$T7),1)-2)*10)</f>
        <v>-0.5</v>
      </c>
      <c r="V7" s="54">
        <f>IF($O7="","",ROUND(($O7-$O$3)/1000,1)+(_xlfn.RANK.AVG($O7,($J7,$O7,$T7),1)-2)*10)</f>
        <v>-16.2</v>
      </c>
      <c r="W7" s="55">
        <f>IF($T7="","",ROUND(($T7-$T$3)/1000,1)+(_xlfn.RANK.AVG($T7,($J7,$O7,$T7),1)-2)*10)</f>
        <v>16.7</v>
      </c>
      <c r="Y7" s="8"/>
      <c r="Z7" s="34"/>
      <c r="AA7" s="26"/>
      <c r="AB7" s="26">
        <v>1</v>
      </c>
      <c r="AC7" s="26">
        <v>5</v>
      </c>
      <c r="AD7" s="30" t="s">
        <v>203</v>
      </c>
      <c r="AE7" s="40" t="s">
        <v>86</v>
      </c>
      <c r="AF7" s="41" t="s">
        <v>86</v>
      </c>
      <c r="AG7" s="41" t="s">
        <v>79</v>
      </c>
      <c r="AH7" s="41" t="s">
        <v>104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206</v>
      </c>
      <c r="F8" s="8" t="s">
        <v>198</v>
      </c>
      <c r="G8" s="9">
        <v>8000</v>
      </c>
      <c r="H8" s="9"/>
      <c r="I8" s="48">
        <v>0</v>
      </c>
      <c r="J8" s="21">
        <f t="shared" si="2"/>
        <v>42500</v>
      </c>
      <c r="K8" s="8" t="s">
        <v>197</v>
      </c>
      <c r="L8" s="9">
        <v>-3000</v>
      </c>
      <c r="M8" s="9"/>
      <c r="N8" s="48">
        <v>0</v>
      </c>
      <c r="O8" s="21">
        <f t="shared" si="3"/>
        <v>25800</v>
      </c>
      <c r="P8" s="8" t="s">
        <v>197</v>
      </c>
      <c r="Q8" s="9">
        <v>-5000</v>
      </c>
      <c r="R8" s="9"/>
      <c r="S8" s="48">
        <v>0</v>
      </c>
      <c r="T8" s="21">
        <f t="shared" si="4"/>
        <v>36700</v>
      </c>
      <c r="U8" s="53">
        <f>IF($J8="","",ROUND(($J8-$J$3)/1000,1)+(_xlfn.RANK.AVG($J8,($J8,$O8,$T8),1)-2)*10)</f>
        <v>17.5</v>
      </c>
      <c r="V8" s="54">
        <f>IF($O8="","",ROUND(($O8-$O$3)/1000,1)+(_xlfn.RANK.AVG($O8,($J8,$O8,$T8),1)-2)*10)</f>
        <v>-19.2</v>
      </c>
      <c r="W8" s="55">
        <f>IF($T8="","",ROUND(($T8-$T$3)/1000,1)+(_xlfn.RANK.AVG($T8,($J8,$O8,$T8),1)-2)*10)</f>
        <v>1.7</v>
      </c>
      <c r="Y8" s="8"/>
      <c r="Z8" s="34"/>
      <c r="AA8" s="26">
        <v>1</v>
      </c>
      <c r="AB8" s="26"/>
      <c r="AC8" s="26">
        <v>5</v>
      </c>
      <c r="AD8" s="30" t="s">
        <v>203</v>
      </c>
      <c r="AE8" s="40" t="s">
        <v>199</v>
      </c>
      <c r="AF8" s="41" t="s">
        <v>82</v>
      </c>
      <c r="AG8" s="41" t="s">
        <v>204</v>
      </c>
      <c r="AH8" s="41" t="s">
        <v>80</v>
      </c>
      <c r="AI8" s="41" t="s">
        <v>84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197</v>
      </c>
      <c r="G9" s="9">
        <v>-5000</v>
      </c>
      <c r="H9" s="9">
        <v>-1000</v>
      </c>
      <c r="I9" s="48">
        <v>0</v>
      </c>
      <c r="J9" s="21">
        <f t="shared" si="2"/>
        <v>36500</v>
      </c>
      <c r="K9" s="8" t="s">
        <v>198</v>
      </c>
      <c r="L9" s="9">
        <v>8000</v>
      </c>
      <c r="M9" s="9">
        <v>1000</v>
      </c>
      <c r="N9" s="48">
        <v>0</v>
      </c>
      <c r="O9" s="21">
        <f t="shared" si="3"/>
        <v>34800</v>
      </c>
      <c r="P9" s="8" t="s">
        <v>197</v>
      </c>
      <c r="Q9" s="9">
        <v>-3000</v>
      </c>
      <c r="R9" s="9"/>
      <c r="S9" s="48">
        <v>0</v>
      </c>
      <c r="T9" s="21">
        <f t="shared" si="4"/>
        <v>33700</v>
      </c>
      <c r="U9" s="53">
        <f>IF($J9="","",ROUND(($J9-$J$3)/1000,1)+(_xlfn.RANK.AVG($J9,($J9,$O9,$T9),1)-2)*10)</f>
        <v>11.5</v>
      </c>
      <c r="V9" s="54">
        <f>IF($O9="","",ROUND(($O9-$O$3)/1000,1)+(_xlfn.RANK.AVG($O9,($J9,$O9,$T9),1)-2)*10)</f>
        <v>-0.2</v>
      </c>
      <c r="W9" s="55">
        <f>IF($T9="","",ROUND(($T9-$T$3)/1000,1)+(_xlfn.RANK.AVG($T9,($J9,$O9,$T9),1)-2)*10)</f>
        <v>-11.3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203</v>
      </c>
      <c r="AZ9" s="40" t="s">
        <v>199</v>
      </c>
      <c r="BA9" s="41" t="s">
        <v>82</v>
      </c>
      <c r="BB9" s="41" t="s">
        <v>83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208</v>
      </c>
      <c r="F10" s="8"/>
      <c r="G10" s="9"/>
      <c r="H10" s="9"/>
      <c r="I10" s="48"/>
      <c r="J10" s="21">
        <f t="shared" si="2"/>
        <v>36500</v>
      </c>
      <c r="K10" s="8" t="s">
        <v>201</v>
      </c>
      <c r="L10" s="9">
        <v>-2600</v>
      </c>
      <c r="M10" s="9"/>
      <c r="N10" s="48">
        <v>0</v>
      </c>
      <c r="O10" s="21">
        <f t="shared" si="3"/>
        <v>32200</v>
      </c>
      <c r="P10" s="8" t="s">
        <v>200</v>
      </c>
      <c r="Q10" s="9">
        <v>2600</v>
      </c>
      <c r="R10" s="9"/>
      <c r="S10" s="48">
        <v>0</v>
      </c>
      <c r="T10" s="21">
        <f t="shared" si="4"/>
        <v>36300</v>
      </c>
      <c r="U10" s="53">
        <f>IF($J10="","",ROUND(($J10-$J$3)/1000,1)+(_xlfn.RANK.AVG($J10,($J10,$O10,$T10),1)-2)*10)</f>
        <v>11.5</v>
      </c>
      <c r="V10" s="54">
        <f>IF($O10="","",ROUND(($O10-$O$3)/1000,1)+(_xlfn.RANK.AVG($O10,($J10,$O10,$T10),1)-2)*10)</f>
        <v>-12.8</v>
      </c>
      <c r="W10" s="55">
        <f>IF($T10="","",ROUND(($T10-$T$3)/1000,1)+(_xlfn.RANK.AVG($T10,($J10,$O10,$T10),1)-2)*10)</f>
        <v>1.3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40</v>
      </c>
      <c r="BU10" s="40" t="s">
        <v>86</v>
      </c>
      <c r="BV10" s="41" t="s">
        <v>79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EDE41D44-E7A1-4D41-A945-D1A263599BEA}">
      <formula1>$U$2:$W$2</formula1>
    </dataValidation>
    <dataValidation type="list" showInputMessage="1" showErrorMessage="1" sqref="K4:K30 P4:P30 F4:F30" xr:uid="{9DF1BA5E-6EC6-45D0-9DB0-AE292B436874}">
      <formula1>"ロン,ツモ,放銃,ツモ支払,流局,チョンボ"</formula1>
    </dataValidation>
    <dataValidation type="list" allowBlank="1" showInputMessage="1" sqref="F1:T1" xr:uid="{439A9435-9063-4851-89B6-7296C94EF6D4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C75E8-D305-4CAE-A0AB-EFF9076AA1E0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211</v>
      </c>
      <c r="L1" s="79"/>
      <c r="M1" s="79"/>
      <c r="N1" s="80"/>
      <c r="O1" s="81"/>
      <c r="P1" s="78" t="s">
        <v>214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だいち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201</v>
      </c>
      <c r="G4" s="9">
        <v>-2600</v>
      </c>
      <c r="H4" s="9">
        <v>-1000</v>
      </c>
      <c r="I4" s="48">
        <v>0</v>
      </c>
      <c r="J4" s="21">
        <f>IF(COUNTA($F4,$K4,$P4)&gt;0,J3+SUM(G4:I4),"")</f>
        <v>31400</v>
      </c>
      <c r="K4" s="8" t="s">
        <v>200</v>
      </c>
      <c r="L4" s="9">
        <v>2600</v>
      </c>
      <c r="M4" s="9">
        <v>2000</v>
      </c>
      <c r="N4" s="48">
        <v>0</v>
      </c>
      <c r="O4" s="21">
        <f>IF(COUNTA($F4,$K4,$P4)&gt;0,O3+SUM(L4:N4),"")</f>
        <v>39600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-13.6</v>
      </c>
      <c r="V4" s="54">
        <f>IF($O4="","",ROUND(($O4-$O$3)/1000,1)+(_xlfn.RANK.AVG($O4,($J4,$O4,$T4),1)-2)*10)</f>
        <v>14.6</v>
      </c>
      <c r="W4" s="55">
        <f>IF($T4="","",ROUND(($T4-$T$3)/1000,1)+(_xlfn.RANK.AVG($T4,($J4,$O4,$T4),1)-2)*10)</f>
        <v>-1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199</v>
      </c>
      <c r="BA4" s="41" t="s">
        <v>204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201</v>
      </c>
      <c r="G5" s="9">
        <v>-8000</v>
      </c>
      <c r="H5" s="9"/>
      <c r="I5" s="48">
        <v>0</v>
      </c>
      <c r="J5" s="21">
        <f t="shared" ref="J5:J30" si="2">IF(COUNTA($F5,$K5,$P5)&gt;0,J4+SUM(G5:I5),"")</f>
        <v>23400</v>
      </c>
      <c r="K5" s="8" t="s">
        <v>200</v>
      </c>
      <c r="L5" s="9">
        <v>8000</v>
      </c>
      <c r="M5" s="9"/>
      <c r="N5" s="48">
        <v>0</v>
      </c>
      <c r="O5" s="21">
        <f t="shared" ref="O5:O30" si="3">IF(COUNTA($F5,$K5,$P5)&gt;0,O4+SUM(L5:N5),"")</f>
        <v>47600</v>
      </c>
      <c r="P5" s="8"/>
      <c r="Q5" s="9"/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-21.6</v>
      </c>
      <c r="V5" s="54">
        <f>IF($O5="","",ROUND(($O5-$O$3)/1000,1)+(_xlfn.RANK.AVG($O5,($J5,$O5,$T5),1)-2)*10)</f>
        <v>22.6</v>
      </c>
      <c r="W5" s="55">
        <f>IF($T5="","",ROUND(($T5-$T$3)/1000,1)+(_xlfn.RANK.AVG($T5,($J5,$O5,$T5),1)-2)*10)</f>
        <v>-1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199</v>
      </c>
      <c r="BA5" s="41" t="s">
        <v>79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 t="s">
        <v>198</v>
      </c>
      <c r="G6" s="9">
        <v>12000</v>
      </c>
      <c r="H6" s="9">
        <v>1000</v>
      </c>
      <c r="I6" s="48">
        <v>0</v>
      </c>
      <c r="J6" s="21">
        <f t="shared" si="2"/>
        <v>36400</v>
      </c>
      <c r="K6" s="8" t="s">
        <v>197</v>
      </c>
      <c r="L6" s="9">
        <v>-7500</v>
      </c>
      <c r="M6" s="9">
        <v>-1000</v>
      </c>
      <c r="N6" s="48">
        <v>0</v>
      </c>
      <c r="O6" s="21">
        <f t="shared" si="3"/>
        <v>39100</v>
      </c>
      <c r="P6" s="8" t="s">
        <v>197</v>
      </c>
      <c r="Q6" s="9">
        <v>-4500</v>
      </c>
      <c r="R6" s="9"/>
      <c r="S6" s="48">
        <v>0</v>
      </c>
      <c r="T6" s="21">
        <f t="shared" si="4"/>
        <v>29500</v>
      </c>
      <c r="U6" s="53">
        <f>IF($J6="","",ROUND(($J6-$J$3)/1000,1)+(_xlfn.RANK.AVG($J6,($J6,$O6,$T6),1)-2)*10)</f>
        <v>1.4</v>
      </c>
      <c r="V6" s="54">
        <f>IF($O6="","",ROUND(($O6-$O$3)/1000,1)+(_xlfn.RANK.AVG($O6,($J6,$O6,$T6),1)-2)*10)</f>
        <v>14.1</v>
      </c>
      <c r="W6" s="55">
        <f>IF($T6="","",ROUND(($T6-$T$3)/1000,1)+(_xlfn.RANK.AVG($T6,($J6,$O6,$T6),1)-2)*10)</f>
        <v>-15.5</v>
      </c>
      <c r="Y6" s="8"/>
      <c r="Z6" s="34"/>
      <c r="AA6" s="26">
        <v>1</v>
      </c>
      <c r="AB6" s="26"/>
      <c r="AC6" s="26">
        <v>7</v>
      </c>
      <c r="AD6" s="30" t="s">
        <v>203</v>
      </c>
      <c r="AE6" s="40" t="s">
        <v>199</v>
      </c>
      <c r="AF6" s="41" t="s">
        <v>82</v>
      </c>
      <c r="AG6" s="41" t="s">
        <v>79</v>
      </c>
      <c r="AH6" s="41" t="s">
        <v>79</v>
      </c>
      <c r="AI6" s="41" t="s">
        <v>79</v>
      </c>
      <c r="AJ6" s="41" t="s">
        <v>86</v>
      </c>
      <c r="AK6" s="41" t="s">
        <v>204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-18000</v>
      </c>
      <c r="H7" s="9"/>
      <c r="I7" s="48">
        <v>0</v>
      </c>
      <c r="J7" s="21">
        <f t="shared" si="2"/>
        <v>18400</v>
      </c>
      <c r="K7" s="8"/>
      <c r="L7" s="9"/>
      <c r="M7" s="9"/>
      <c r="N7" s="48"/>
      <c r="O7" s="21">
        <f t="shared" si="3"/>
        <v>39100</v>
      </c>
      <c r="P7" s="8" t="s">
        <v>200</v>
      </c>
      <c r="Q7" s="9">
        <v>18000</v>
      </c>
      <c r="R7" s="9"/>
      <c r="S7" s="48">
        <v>0</v>
      </c>
      <c r="T7" s="21">
        <f t="shared" si="4"/>
        <v>47500</v>
      </c>
      <c r="U7" s="53">
        <f>IF($J7="","",ROUND(($J7-$J$3)/1000,1)+(_xlfn.RANK.AVG($J7,($J7,$O7,$T7),1)-2)*10)</f>
        <v>-26.6</v>
      </c>
      <c r="V7" s="54">
        <f>IF($O7="","",ROUND(($O7-$O$3)/1000,1)+(_xlfn.RANK.AVG($O7,($J7,$O7,$T7),1)-2)*10)</f>
        <v>4.0999999999999996</v>
      </c>
      <c r="W7" s="55">
        <f>IF($T7="","",ROUND(($T7-$T$3)/1000,1)+(_xlfn.RANK.AVG($T7,($J7,$O7,$T7),1)-2)*10)</f>
        <v>22.5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7</v>
      </c>
      <c r="BT7" s="30" t="s">
        <v>203</v>
      </c>
      <c r="BU7" s="40" t="s">
        <v>104</v>
      </c>
      <c r="BV7" s="41" t="s">
        <v>86</v>
      </c>
      <c r="BW7" s="41" t="s">
        <v>86</v>
      </c>
      <c r="BX7" s="41" t="s">
        <v>79</v>
      </c>
      <c r="BY7" s="41" t="s">
        <v>79</v>
      </c>
      <c r="BZ7" s="41" t="s">
        <v>93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201</v>
      </c>
      <c r="G8" s="9">
        <v>-1000</v>
      </c>
      <c r="H8" s="9"/>
      <c r="I8" s="48">
        <v>-1000</v>
      </c>
      <c r="J8" s="21">
        <f t="shared" si="2"/>
        <v>16400</v>
      </c>
      <c r="K8" s="8" t="s">
        <v>200</v>
      </c>
      <c r="L8" s="9">
        <v>1000</v>
      </c>
      <c r="M8" s="9">
        <v>1000</v>
      </c>
      <c r="N8" s="48">
        <v>1000</v>
      </c>
      <c r="O8" s="21">
        <f t="shared" si="3"/>
        <v>42100</v>
      </c>
      <c r="P8" s="8"/>
      <c r="Q8" s="9"/>
      <c r="R8" s="9">
        <v>-1000</v>
      </c>
      <c r="S8" s="48"/>
      <c r="T8" s="21">
        <f t="shared" si="4"/>
        <v>46500</v>
      </c>
      <c r="U8" s="53">
        <f>IF($J8="","",ROUND(($J8-$J$3)/1000,1)+(_xlfn.RANK.AVG($J8,($J8,$O8,$T8),1)-2)*10)</f>
        <v>-28.6</v>
      </c>
      <c r="V8" s="54">
        <f>IF($O8="","",ROUND(($O8-$O$3)/1000,1)+(_xlfn.RANK.AVG($O8,($J8,$O8,$T8),1)-2)*10)</f>
        <v>7.1</v>
      </c>
      <c r="W8" s="55">
        <f>IF($T8="","",ROUND(($T8-$T$3)/1000,1)+(_xlfn.RANK.AVG($T8,($J8,$O8,$T8),1)-2)*10)</f>
        <v>21.5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196</v>
      </c>
      <c r="G9" s="9">
        <v>1500</v>
      </c>
      <c r="H9" s="9">
        <v>-1000</v>
      </c>
      <c r="I9" s="48"/>
      <c r="J9" s="21">
        <f t="shared" si="2"/>
        <v>16900</v>
      </c>
      <c r="K9" s="8" t="s">
        <v>196</v>
      </c>
      <c r="L9" s="9">
        <v>-3000</v>
      </c>
      <c r="M9" s="9"/>
      <c r="N9" s="48"/>
      <c r="O9" s="21">
        <f t="shared" si="3"/>
        <v>39100</v>
      </c>
      <c r="P9" s="8" t="s">
        <v>196</v>
      </c>
      <c r="Q9" s="9">
        <v>1500</v>
      </c>
      <c r="R9" s="9"/>
      <c r="S9" s="48"/>
      <c r="T9" s="21">
        <f t="shared" si="4"/>
        <v>48000</v>
      </c>
      <c r="U9" s="53">
        <f>IF($J9="","",ROUND(($J9-$J$3)/1000,1)+(_xlfn.RANK.AVG($J9,($J9,$O9,$T9),1)-2)*10)</f>
        <v>-28.1</v>
      </c>
      <c r="V9" s="54">
        <f>IF($O9="","",ROUND(($O9-$O$3)/1000,1)+(_xlfn.RANK.AVG($O9,($J9,$O9,$T9),1)-2)*10)</f>
        <v>4.0999999999999996</v>
      </c>
      <c r="W9" s="55">
        <f>IF($T9="","",ROUND(($T9-$T$3)/1000,1)+(_xlfn.RANK.AVG($T9,($J9,$O9,$T9),1)-2)*10)</f>
        <v>23</v>
      </c>
      <c r="Y9" s="8" t="s">
        <v>194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194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192</v>
      </c>
      <c r="F10" s="8" t="s">
        <v>201</v>
      </c>
      <c r="G10" s="9">
        <v>-12000</v>
      </c>
      <c r="H10" s="9"/>
      <c r="I10" s="48">
        <v>-1000</v>
      </c>
      <c r="J10" s="21">
        <f t="shared" si="2"/>
        <v>3900</v>
      </c>
      <c r="K10" s="8" t="s">
        <v>200</v>
      </c>
      <c r="L10" s="9">
        <v>12000</v>
      </c>
      <c r="M10" s="9">
        <v>1000</v>
      </c>
      <c r="N10" s="48">
        <v>1000</v>
      </c>
      <c r="O10" s="21">
        <f t="shared" si="3"/>
        <v>53100</v>
      </c>
      <c r="P10" s="8"/>
      <c r="Q10" s="9"/>
      <c r="R10" s="9"/>
      <c r="S10" s="48"/>
      <c r="T10" s="21">
        <f t="shared" si="4"/>
        <v>48000</v>
      </c>
      <c r="U10" s="53">
        <f>IF($J10="","",ROUND(($J10-$J$3)/1000,1)+(_xlfn.RANK.AVG($J10,($J10,$O10,$T10),1)-2)*10)</f>
        <v>-41.1</v>
      </c>
      <c r="V10" s="54">
        <f>IF($O10="","",ROUND(($O10-$O$3)/1000,1)+(_xlfn.RANK.AVG($O10,($J10,$O10,$T10),1)-2)*10)</f>
        <v>28.1</v>
      </c>
      <c r="W10" s="55">
        <f>IF($T10="","",ROUND(($T10-$T$3)/1000,1)+(_xlfn.RANK.AVG($T10,($J10,$O10,$T10),1)-2)*10)</f>
        <v>13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6</v>
      </c>
      <c r="AY10" s="30" t="s">
        <v>203</v>
      </c>
      <c r="AZ10" s="40" t="s">
        <v>86</v>
      </c>
      <c r="BA10" s="41" t="s">
        <v>86</v>
      </c>
      <c r="BB10" s="41" t="s">
        <v>204</v>
      </c>
      <c r="BC10" s="41" t="s">
        <v>79</v>
      </c>
      <c r="BD10" s="41" t="s">
        <v>104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206</v>
      </c>
      <c r="F11" s="8"/>
      <c r="G11" s="9"/>
      <c r="H11" s="9"/>
      <c r="I11" s="48"/>
      <c r="J11" s="21">
        <f t="shared" si="2"/>
        <v>3900</v>
      </c>
      <c r="K11" s="8" t="s">
        <v>200</v>
      </c>
      <c r="L11" s="9">
        <v>12000</v>
      </c>
      <c r="M11" s="9"/>
      <c r="N11" s="48">
        <v>0</v>
      </c>
      <c r="O11" s="21">
        <f t="shared" si="3"/>
        <v>65100</v>
      </c>
      <c r="P11" s="8" t="s">
        <v>201</v>
      </c>
      <c r="Q11" s="9">
        <v>-12000</v>
      </c>
      <c r="R11" s="9"/>
      <c r="S11" s="48">
        <v>0</v>
      </c>
      <c r="T11" s="21">
        <f t="shared" si="4"/>
        <v>36000</v>
      </c>
      <c r="U11" s="53">
        <f>IF($J11="","",ROUND(($J11-$J$3)/1000,1)+(_xlfn.RANK.AVG($J11,($J11,$O11,$T11),1)-2)*10)</f>
        <v>-41.1</v>
      </c>
      <c r="V11" s="54">
        <f>IF($O11="","",ROUND(($O11-$O$3)/1000,1)+(_xlfn.RANK.AVG($O11,($J11,$O11,$T11),1)-2)*10)</f>
        <v>40.1</v>
      </c>
      <c r="W11" s="55">
        <f>IF($T11="","",ROUND(($T11-$T$3)/1000,1)+(_xlfn.RANK.AVG($T11,($J11,$O11,$T11),1)-2)*10)</f>
        <v>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4</v>
      </c>
      <c r="AY11" s="30">
        <v>40</v>
      </c>
      <c r="AZ11" s="40" t="s">
        <v>86</v>
      </c>
      <c r="BA11" s="41" t="s">
        <v>104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206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390A215-39EB-48DE-84DD-283D0A763C38}">
      <formula1>"たかの,だいち,ただ,りくと,れんたろう,まっつん,のり,ぱぱ,ほたに,"</formula1>
    </dataValidation>
    <dataValidation type="list" showInputMessage="1" showErrorMessage="1" sqref="K4:K30 P4:P30 F4:F30" xr:uid="{B895BE25-2FF8-4631-922F-1BBABDCB0EEC}">
      <formula1>"ロン,ツモ,放銃,ツモ支払,流局,チョンボ"</formula1>
    </dataValidation>
    <dataValidation type="list" allowBlank="1" showInputMessage="1" showErrorMessage="1" sqref="E4:E30" xr:uid="{13029102-9C62-4EEA-A784-30832768B64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2019-10-12T17:33:50Z</dcterms:modified>
</cp:coreProperties>
</file>