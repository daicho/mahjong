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59867484-DBE0-48EC-82C4-401ED1257086}" xr6:coauthVersionLast="41" xr6:coauthVersionMax="41" xr10:uidLastSave="{00000000-0000-0000-0000-000000000000}"/>
  <bookViews>
    <workbookView xWindow="-108" yWindow="-108" windowWidth="23256" windowHeight="12720" activeTab="4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役一覧" sheetId="15" state="hidden" r:id="rId6"/>
    <sheet name="点数表(親ロン)" sheetId="4" state="hidden" r:id="rId7"/>
    <sheet name="点数表(親ツモ)" sheetId="9" state="hidden" r:id="rId8"/>
    <sheet name="点数表(子→親)" sheetId="7" state="hidden" r:id="rId9"/>
    <sheet name="点数表(子ロン)" sheetId="3" state="hidden" r:id="rId10"/>
    <sheet name="点数表(子ツモ)" sheetId="10" state="hidden" r:id="rId11"/>
    <sheet name="点数表(子→子)" sheetId="5" state="hidden" r:id="rId12"/>
    <sheet name="点数表(親→子)" sheetId="6" state="hidden" r:id="rId1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T13" i="23"/>
  <c r="W13" i="23" s="1"/>
  <c r="O13" i="23"/>
  <c r="V13" i="23" s="1"/>
  <c r="J13" i="23"/>
  <c r="U13" i="23" s="1"/>
  <c r="D13" i="23"/>
  <c r="C13" i="23"/>
  <c r="B13" i="23"/>
  <c r="A13" i="23"/>
  <c r="T12" i="23"/>
  <c r="W12" i="23" s="1"/>
  <c r="O12" i="23"/>
  <c r="V12" i="23" s="1"/>
  <c r="J12" i="23"/>
  <c r="U12" i="23" s="1"/>
  <c r="D12" i="23"/>
  <c r="C12" i="23"/>
  <c r="B12" i="23"/>
  <c r="A12" i="23"/>
  <c r="T11" i="23"/>
  <c r="W11" i="23" s="1"/>
  <c r="O11" i="23"/>
  <c r="V11" i="23" s="1"/>
  <c r="J11" i="23"/>
  <c r="U11" i="23" s="1"/>
  <c r="D11" i="23"/>
  <c r="C11" i="23"/>
  <c r="B11" i="23"/>
  <c r="A11" i="23" s="1"/>
  <c r="D10" i="23"/>
  <c r="C10" i="23"/>
  <c r="D9" i="23"/>
  <c r="C9" i="23"/>
  <c r="D8" i="23"/>
  <c r="C8" i="23"/>
  <c r="D7" i="23"/>
  <c r="C7" i="23"/>
  <c r="D6" i="23"/>
  <c r="T5" i="23"/>
  <c r="T6" i="23" s="1"/>
  <c r="O5" i="23"/>
  <c r="D5" i="23"/>
  <c r="T4" i="23"/>
  <c r="O4" i="23"/>
  <c r="J4" i="23"/>
  <c r="J5" i="23" s="1"/>
  <c r="E4" i="23"/>
  <c r="C5" i="23" s="1"/>
  <c r="C6" i="23" s="1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T15" i="22"/>
  <c r="W15" i="22" s="1"/>
  <c r="O15" i="22"/>
  <c r="V15" i="22" s="1"/>
  <c r="J15" i="22"/>
  <c r="U15" i="22" s="1"/>
  <c r="D15" i="22"/>
  <c r="C15" i="22"/>
  <c r="B15" i="22"/>
  <c r="A15" i="22"/>
  <c r="T14" i="22"/>
  <c r="W14" i="22" s="1"/>
  <c r="O14" i="22"/>
  <c r="V14" i="22" s="1"/>
  <c r="J14" i="22"/>
  <c r="U14" i="22" s="1"/>
  <c r="D14" i="22"/>
  <c r="C14" i="22"/>
  <c r="B14" i="22"/>
  <c r="A14" i="22"/>
  <c r="T13" i="22"/>
  <c r="W13" i="22" s="1"/>
  <c r="O13" i="22"/>
  <c r="V13" i="22" s="1"/>
  <c r="J13" i="22"/>
  <c r="U13" i="22" s="1"/>
  <c r="D13" i="22"/>
  <c r="C13" i="22"/>
  <c r="B13" i="22"/>
  <c r="A13" i="22"/>
  <c r="D12" i="22"/>
  <c r="D11" i="22"/>
  <c r="D10" i="22"/>
  <c r="C10" i="22"/>
  <c r="C11" i="22" s="1"/>
  <c r="C12" i="22" s="1"/>
  <c r="D9" i="22"/>
  <c r="C9" i="22"/>
  <c r="D8" i="22"/>
  <c r="C8" i="22"/>
  <c r="D7" i="22"/>
  <c r="C7" i="22"/>
  <c r="D6" i="22"/>
  <c r="J5" i="22"/>
  <c r="D5" i="22"/>
  <c r="T4" i="22"/>
  <c r="O4" i="22"/>
  <c r="J4" i="22"/>
  <c r="E4" i="22"/>
  <c r="C5" i="22" s="1"/>
  <c r="C6" i="22" s="1"/>
  <c r="W3" i="22"/>
  <c r="V3" i="22"/>
  <c r="U3" i="22"/>
  <c r="W2" i="22"/>
  <c r="V2" i="22"/>
  <c r="U2" i="22"/>
  <c r="BO1" i="22"/>
  <c r="AT1" i="22"/>
  <c r="Y1" i="22"/>
  <c r="V4" i="23" l="1"/>
  <c r="W4" i="23"/>
  <c r="U4" i="23"/>
  <c r="W5" i="23"/>
  <c r="U5" i="23"/>
  <c r="J6" i="23"/>
  <c r="V5" i="23"/>
  <c r="T7" i="23"/>
  <c r="B5" i="23"/>
  <c r="O6" i="23"/>
  <c r="W4" i="22"/>
  <c r="V4" i="22"/>
  <c r="U4" i="22"/>
  <c r="O5" i="22"/>
  <c r="U5" i="22" s="1"/>
  <c r="T5" i="22"/>
  <c r="J6" i="22"/>
  <c r="B5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/>
  <c r="T14" i="21"/>
  <c r="W14" i="21" s="1"/>
  <c r="O14" i="21"/>
  <c r="V14" i="21" s="1"/>
  <c r="J14" i="21"/>
  <c r="U14" i="21" s="1"/>
  <c r="D14" i="21"/>
  <c r="C14" i="21"/>
  <c r="B14" i="21"/>
  <c r="A14" i="21"/>
  <c r="D13" i="21"/>
  <c r="D12" i="21"/>
  <c r="D10" i="21"/>
  <c r="D11" i="21" s="1"/>
  <c r="D9" i="21"/>
  <c r="D8" i="21"/>
  <c r="C8" i="21"/>
  <c r="C9" i="21" s="1"/>
  <c r="C10" i="21" s="1"/>
  <c r="C11" i="21" s="1"/>
  <c r="C12" i="21" s="1"/>
  <c r="C13" i="21" s="1"/>
  <c r="D7" i="21"/>
  <c r="C7" i="21"/>
  <c r="D6" i="21"/>
  <c r="C6" i="21"/>
  <c r="J5" i="21"/>
  <c r="J6" i="21" s="1"/>
  <c r="D5" i="21"/>
  <c r="T4" i="21"/>
  <c r="T5" i="21" s="1"/>
  <c r="O4" i="21"/>
  <c r="J4" i="21"/>
  <c r="E4" i="21"/>
  <c r="C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 s="1"/>
  <c r="T13" i="20"/>
  <c r="O13" i="20"/>
  <c r="V13" i="20" s="1"/>
  <c r="J13" i="20"/>
  <c r="D13" i="20"/>
  <c r="C13" i="20"/>
  <c r="B13" i="20"/>
  <c r="A13" i="20" s="1"/>
  <c r="T12" i="20"/>
  <c r="O12" i="20"/>
  <c r="J12" i="20"/>
  <c r="D12" i="20"/>
  <c r="C12" i="20"/>
  <c r="B12" i="20"/>
  <c r="A12" i="20"/>
  <c r="T11" i="20"/>
  <c r="O11" i="20"/>
  <c r="J11" i="20"/>
  <c r="D11" i="20"/>
  <c r="C11" i="20"/>
  <c r="B11" i="20"/>
  <c r="A11" i="20" s="1"/>
  <c r="T10" i="20"/>
  <c r="O10" i="20"/>
  <c r="J10" i="20"/>
  <c r="D10" i="20"/>
  <c r="C10" i="20"/>
  <c r="B10" i="20"/>
  <c r="A10" i="20" s="1"/>
  <c r="D9" i="20"/>
  <c r="C9" i="20"/>
  <c r="D8" i="20"/>
  <c r="C8" i="20"/>
  <c r="D7" i="20"/>
  <c r="C7" i="20"/>
  <c r="D6" i="20"/>
  <c r="C6" i="20"/>
  <c r="T5" i="20"/>
  <c r="D5" i="20"/>
  <c r="C5" i="20"/>
  <c r="T4" i="20"/>
  <c r="O4" i="20"/>
  <c r="O5" i="20" s="1"/>
  <c r="J4" i="20"/>
  <c r="E4" i="20"/>
  <c r="B5" i="20" s="1"/>
  <c r="W3" i="20"/>
  <c r="V3" i="20"/>
  <c r="U3" i="20"/>
  <c r="W2" i="20"/>
  <c r="V2" i="20"/>
  <c r="U2" i="20"/>
  <c r="BO1" i="20"/>
  <c r="AT1" i="20"/>
  <c r="Y1" i="20"/>
  <c r="J7" i="23" l="1"/>
  <c r="U6" i="23"/>
  <c r="O7" i="23"/>
  <c r="V6" i="23"/>
  <c r="B6" i="23"/>
  <c r="A5" i="23"/>
  <c r="T8" i="23"/>
  <c r="W6" i="23"/>
  <c r="B6" i="22"/>
  <c r="A5" i="22"/>
  <c r="V5" i="22"/>
  <c r="O6" i="22"/>
  <c r="J7" i="22"/>
  <c r="W5" i="22"/>
  <c r="T6" i="22"/>
  <c r="V4" i="21"/>
  <c r="W4" i="21"/>
  <c r="T6" i="21"/>
  <c r="J7" i="21"/>
  <c r="U4" i="21"/>
  <c r="O5" i="21"/>
  <c r="W5" i="21" s="1"/>
  <c r="B5" i="21"/>
  <c r="W13" i="20"/>
  <c r="U13" i="20"/>
  <c r="W12" i="20"/>
  <c r="V12" i="20"/>
  <c r="U12" i="20"/>
  <c r="U11" i="20"/>
  <c r="V11" i="20"/>
  <c r="W11" i="20"/>
  <c r="U10" i="20"/>
  <c r="V10" i="20"/>
  <c r="W10" i="20"/>
  <c r="V4" i="20"/>
  <c r="W4" i="20"/>
  <c r="A5" i="20"/>
  <c r="B6" i="20"/>
  <c r="O6" i="20"/>
  <c r="J5" i="20"/>
  <c r="W5" i="20" s="1"/>
  <c r="U4" i="20"/>
  <c r="T6" i="20"/>
  <c r="E4" i="19"/>
  <c r="A6" i="23" l="1"/>
  <c r="O8" i="23"/>
  <c r="V7" i="23"/>
  <c r="W7" i="23"/>
  <c r="B7" i="23"/>
  <c r="A7" i="23" s="1"/>
  <c r="T9" i="23"/>
  <c r="U7" i="23"/>
  <c r="J8" i="23"/>
  <c r="W6" i="22"/>
  <c r="T7" i="22"/>
  <c r="U6" i="22"/>
  <c r="J8" i="22"/>
  <c r="B7" i="22"/>
  <c r="V6" i="22"/>
  <c r="O7" i="22"/>
  <c r="U7" i="22" s="1"/>
  <c r="A6" i="22"/>
  <c r="A5" i="21"/>
  <c r="B6" i="21"/>
  <c r="A6" i="21" s="1"/>
  <c r="V5" i="21"/>
  <c r="O6" i="21"/>
  <c r="U5" i="21"/>
  <c r="J8" i="21"/>
  <c r="T7" i="21"/>
  <c r="W6" i="21"/>
  <c r="A6" i="20"/>
  <c r="V5" i="20"/>
  <c r="U5" i="20"/>
  <c r="J6" i="20"/>
  <c r="O7" i="20"/>
  <c r="T7" i="20"/>
  <c r="B7" i="20"/>
  <c r="A7" i="20" s="1"/>
  <c r="W3" i="19"/>
  <c r="V3" i="19"/>
  <c r="U3" i="19"/>
  <c r="U8" i="23" l="1"/>
  <c r="J9" i="23"/>
  <c r="T10" i="23"/>
  <c r="W8" i="23"/>
  <c r="V8" i="23"/>
  <c r="O9" i="23"/>
  <c r="B8" i="23"/>
  <c r="T8" i="22"/>
  <c r="W7" i="22"/>
  <c r="B8" i="22"/>
  <c r="A7" i="22"/>
  <c r="J9" i="22"/>
  <c r="O8" i="22"/>
  <c r="V7" i="22"/>
  <c r="W7" i="21"/>
  <c r="T8" i="21"/>
  <c r="B7" i="21"/>
  <c r="A7" i="21" s="1"/>
  <c r="J9" i="21"/>
  <c r="V6" i="21"/>
  <c r="O7" i="21"/>
  <c r="U6" i="21"/>
  <c r="U6" i="20"/>
  <c r="J7" i="20"/>
  <c r="V7" i="20" s="1"/>
  <c r="B8" i="20"/>
  <c r="A8" i="20" s="1"/>
  <c r="T8" i="20"/>
  <c r="O8" i="20"/>
  <c r="W6" i="20"/>
  <c r="V6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U9" i="19" s="1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W9" i="23" l="1"/>
  <c r="U9" i="23"/>
  <c r="J10" i="23"/>
  <c r="U10" i="23" s="1"/>
  <c r="B9" i="23"/>
  <c r="A8" i="23"/>
  <c r="V9" i="23"/>
  <c r="O10" i="23"/>
  <c r="V10" i="23" s="1"/>
  <c r="A8" i="22"/>
  <c r="V8" i="22"/>
  <c r="O9" i="22"/>
  <c r="U8" i="22"/>
  <c r="J10" i="22"/>
  <c r="B9" i="22"/>
  <c r="A9" i="22" s="1"/>
  <c r="W8" i="22"/>
  <c r="T9" i="22"/>
  <c r="O8" i="21"/>
  <c r="V7" i="21"/>
  <c r="U7" i="21"/>
  <c r="J10" i="21"/>
  <c r="B8" i="21"/>
  <c r="A8" i="21" s="1"/>
  <c r="T9" i="21"/>
  <c r="V8" i="20"/>
  <c r="O9" i="20"/>
  <c r="U7" i="20"/>
  <c r="J8" i="20"/>
  <c r="W8" i="20"/>
  <c r="T9" i="20"/>
  <c r="W7" i="20"/>
  <c r="B9" i="20"/>
  <c r="A9" i="20" s="1"/>
  <c r="V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B10" i="23" l="1"/>
  <c r="A10" i="23" s="1"/>
  <c r="W10" i="23"/>
  <c r="A9" i="23"/>
  <c r="T10" i="22"/>
  <c r="W9" i="22"/>
  <c r="B10" i="22"/>
  <c r="A10" i="22" s="1"/>
  <c r="V9" i="22"/>
  <c r="O10" i="22"/>
  <c r="J11" i="22"/>
  <c r="U9" i="22"/>
  <c r="V8" i="21"/>
  <c r="O9" i="21"/>
  <c r="U8" i="21"/>
  <c r="W8" i="21"/>
  <c r="B9" i="21"/>
  <c r="A9" i="21" s="1"/>
  <c r="W9" i="21"/>
  <c r="T10" i="21"/>
  <c r="J11" i="21"/>
  <c r="U8" i="20"/>
  <c r="J9" i="20"/>
  <c r="U9" i="20" s="1"/>
  <c r="W5" i="19"/>
  <c r="V5" i="19"/>
  <c r="U5" i="19"/>
  <c r="U10" i="22" l="1"/>
  <c r="W10" i="22"/>
  <c r="T11" i="22"/>
  <c r="J12" i="22"/>
  <c r="V10" i="22"/>
  <c r="O11" i="22"/>
  <c r="B11" i="22"/>
  <c r="V9" i="21"/>
  <c r="O10" i="21"/>
  <c r="U9" i="21"/>
  <c r="T11" i="21"/>
  <c r="B10" i="21"/>
  <c r="A10" i="21" s="1"/>
  <c r="J12" i="21"/>
  <c r="V9" i="20"/>
  <c r="W9" i="20"/>
  <c r="B12" i="22" l="1"/>
  <c r="A12" i="22"/>
  <c r="A11" i="22"/>
  <c r="O12" i="22"/>
  <c r="V12" i="22" s="1"/>
  <c r="V11" i="22"/>
  <c r="U11" i="22"/>
  <c r="T12" i="22"/>
  <c r="W12" i="22" s="1"/>
  <c r="W11" i="22"/>
  <c r="W10" i="21"/>
  <c r="J13" i="21"/>
  <c r="B11" i="21"/>
  <c r="T12" i="21"/>
  <c r="V10" i="21"/>
  <c r="O11" i="21"/>
  <c r="W11" i="21" s="1"/>
  <c r="U10" i="21"/>
  <c r="U12" i="22" l="1"/>
  <c r="B12" i="21"/>
  <c r="O12" i="21"/>
  <c r="V11" i="21"/>
  <c r="U11" i="21"/>
  <c r="T13" i="21"/>
  <c r="A11" i="21"/>
  <c r="A12" i="21" l="1"/>
  <c r="B13" i="21"/>
  <c r="A13" i="21" s="1"/>
  <c r="W13" i="21"/>
  <c r="V12" i="21"/>
  <c r="O13" i="21"/>
  <c r="U12" i="21"/>
  <c r="W12" i="21"/>
  <c r="V13" i="21" l="1"/>
  <c r="U13" i="21"/>
</calcChain>
</file>

<file path=xl/sharedStrings.xml><?xml version="1.0" encoding="utf-8"?>
<sst xmlns="http://schemas.openxmlformats.org/spreadsheetml/2006/main" count="981" uniqueCount="213">
  <si>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</si>
  <si>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</si>
  <si>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</si>
  <si>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</si>
  <si>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</si>
  <si>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</si>
  <si>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</si>
  <si>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</si>
  <si>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</si>
  <si>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</si>
  <si>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</si>
  <si>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</si>
  <si>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</si>
  <si>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</si>
  <si>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</si>
  <si>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</si>
  <si>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</si>
  <si>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</si>
  <si>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</si>
  <si>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</si>
  <si>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</si>
  <si>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</si>
  <si>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</si>
  <si>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</si>
  <si>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</si>
  <si>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</si>
  <si>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</si>
  <si>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</si>
  <si>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</si>
  <si>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</si>
  <si>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</si>
  <si>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</si>
  <si>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</si>
  <si>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</si>
  <si>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</si>
  <si>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</si>
  <si>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</si>
  <si>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</si>
  <si>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</si>
  <si>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</si>
  <si>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</si>
  <si>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</si>
  <si>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</si>
  <si>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</si>
  <si>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</si>
  <si>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</si>
  <si>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</si>
  <si>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</si>
  <si>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</si>
  <si>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</si>
  <si>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</si>
  <si>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</si>
  <si>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</si>
  <si>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</si>
  <si>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</si>
  <si>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</si>
  <si>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</si>
  <si>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</si>
  <si>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</si>
  <si>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</si>
  <si>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</si>
  <si>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</si>
  <si>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</si>
  <si>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</si>
  <si>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</si>
  <si>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</si>
  <si>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</si>
  <si>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</si>
  <si>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</si>
  <si>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</si>
  <si>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</si>
  <si>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</si>
  <si>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</si>
  <si>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</si>
  <si>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</si>
  <si>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</si>
  <si>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</si>
  <si>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</si>
  <si>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</si>
  <si>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</si>
  <si>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</si>
  <si>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</si>
  <si>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</si>
  <si>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</si>
  <si>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</si>
  <si>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</si>
  <si>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</si>
  <si>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</si>
  <si>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</si>
  <si>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</si>
  <si>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</si>
  <si>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</si>
  <si>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</si>
  <si>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</si>
  <si>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</si>
  <si>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</si>
  <si>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</si>
  <si>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</si>
  <si>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</si>
  <si>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</si>
  <si>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</si>
  <si>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</si>
  <si>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</si>
  <si>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</si>
  <si>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</si>
  <si>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</si>
  <si>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</si>
  <si>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</si>
  <si>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</si>
  <si>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</si>
  <si>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</si>
  <si>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</si>
  <si>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</si>
  <si>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</si>
  <si>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</si>
  <si>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</si>
  <si>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</si>
  <si>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</si>
  <si>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</si>
  <si>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</si>
  <si>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</si>
  <si>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</si>
  <si>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</si>
  <si>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</si>
  <si>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</si>
  <si>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</si>
  <si>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</si>
  <si>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</si>
  <si>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</si>
  <si>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</si>
  <si>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</si>
  <si>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</si>
  <si>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</si>
  <si>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</si>
  <si>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</si>
  <si>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</si>
  <si>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</si>
  <si>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</si>
  <si>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</si>
  <si>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</si>
  <si>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</si>
  <si>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</si>
  <si>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</si>
  <si>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</si>
  <si>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</si>
  <si>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</si>
  <si>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</si>
  <si>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</si>
  <si>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</si>
  <si>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</si>
  <si>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</si>
  <si>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</si>
  <si>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</si>
  <si>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</si>
  <si>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</si>
  <si>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</si>
  <si>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</si>
  <si>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</si>
  <si>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</si>
  <si>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</si>
  <si>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</si>
  <si>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</si>
  <si>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</si>
  <si>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</si>
  <si>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</si>
  <si>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</si>
  <si>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</si>
  <si>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</si>
  <si>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</si>
  <si>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</si>
  <si>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</si>
  <si>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</si>
  <si>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</si>
  <si>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</si>
  <si>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</si>
  <si>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</si>
  <si>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</si>
  <si>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</si>
  <si>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</si>
  <si>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</si>
  <si>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</si>
  <si>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</si>
  <si>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</si>
  <si>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</si>
  <si>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</si>
  <si>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</si>
  <si>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</si>
  <si>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</si>
  <si>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</si>
  <si>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</si>
  <si>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</si>
  <si>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のり</t>
  </si>
  <si>
    <t>のり</t>
    <phoneticPr fontId="1"/>
  </si>
  <si>
    <t>れんたろう</t>
  </si>
  <si>
    <t>れんたろう</t>
    <phoneticPr fontId="1"/>
  </si>
  <si>
    <t>ただ</t>
  </si>
  <si>
    <t>ただ</t>
    <phoneticPr fontId="1"/>
  </si>
  <si>
    <t>放銃</t>
  </si>
  <si>
    <t>ロン</t>
  </si>
  <si>
    <t>*</t>
  </si>
  <si>
    <t>52</t>
  </si>
  <si>
    <t>ツモ</t>
  </si>
  <si>
    <t>ツモ支払</t>
  </si>
  <si>
    <t>01</t>
  </si>
  <si>
    <t>たかの</t>
  </si>
  <si>
    <t>たかの</t>
    <phoneticPr fontId="1"/>
  </si>
  <si>
    <t>だいち</t>
  </si>
  <si>
    <t>だいち</t>
    <phoneticPr fontId="1"/>
  </si>
  <si>
    <t>02</t>
  </si>
  <si>
    <t>T</t>
  </si>
  <si>
    <t>N</t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</si>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</sst>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2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192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のり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のり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のり</v>
      </c>
      <c r="F4" s="8" t="s">
        <v>197</v>
      </c>
      <c r="G4" s="9">
        <v>-24000</v>
      </c>
      <c r="H4" s="9"/>
      <c r="I4" s="48">
        <v>0</v>
      </c>
      <c r="J4" s="21">
        <f>IF(COUNTA($F4,$K4,$P4)&gt;0,J3+SUM(G4:I4),"")</f>
        <v>11000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24000</v>
      </c>
      <c r="R4" s="9"/>
      <c r="S4" s="48">
        <v>0</v>
      </c>
      <c r="T4" s="21">
        <f>IF(COUNTA($F4,$K4,$P4)&gt;0,T3+SUM(Q4:S4),"")</f>
        <v>59000</v>
      </c>
      <c r="U4" s="53">
        <f>IF($J4="","",ROUND(($J4-$J$3)/1000,1)+(_xlfn.RANK.AVG($J4,($J4,$O4,$T4),1)-2)*10)</f>
        <v>-34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34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11</v>
      </c>
      <c r="BT4" s="30" t="s">
        <v>199</v>
      </c>
      <c r="BU4" s="40" t="s">
        <v>106</v>
      </c>
      <c r="BV4" s="41" t="s">
        <v>200</v>
      </c>
      <c r="BW4" s="41" t="s">
        <v>85</v>
      </c>
      <c r="BX4" s="41" t="s">
        <v>84</v>
      </c>
      <c r="BY4" s="41" t="s">
        <v>79</v>
      </c>
      <c r="BZ4" s="41" t="s">
        <v>79</v>
      </c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201</v>
      </c>
      <c r="G5" s="9">
        <v>7700</v>
      </c>
      <c r="H5" s="9"/>
      <c r="I5" s="48">
        <v>0</v>
      </c>
      <c r="J5" s="21">
        <f t="shared" ref="J5:J30" si="2">IF(COUNTA($F5,$K5,$P5)&gt;0,J4+SUM(G5:I5),"")</f>
        <v>18700</v>
      </c>
      <c r="K5" s="8" t="s">
        <v>202</v>
      </c>
      <c r="L5" s="9">
        <v>-4800</v>
      </c>
      <c r="M5" s="9"/>
      <c r="N5" s="48">
        <v>0</v>
      </c>
      <c r="O5" s="21">
        <f t="shared" ref="O5:O30" si="3">IF(COUNTA($F5,$K5,$P5)&gt;0,O4+SUM(L5:N5),"")</f>
        <v>30200</v>
      </c>
      <c r="P5" s="8" t="s">
        <v>202</v>
      </c>
      <c r="Q5" s="9">
        <v>-2900</v>
      </c>
      <c r="R5" s="9"/>
      <c r="S5" s="48">
        <v>0</v>
      </c>
      <c r="T5" s="21">
        <f t="shared" ref="T5:T30" si="4">IF(COUNTA($F5,$K5,$P5)&gt;0,T4+SUM(Q5:S5),"")</f>
        <v>56100</v>
      </c>
      <c r="U5" s="53">
        <f>IF($J5="","",ROUND(($J5-$J$3)/1000,1)+(_xlfn.RANK.AVG($J5,($J5,$O5,$T5),1)-2)*10)</f>
        <v>-26.3</v>
      </c>
      <c r="V5" s="54">
        <f>IF($O5="","",ROUND(($O5-$O$3)/1000,1)+(_xlfn.RANK.AVG($O5,($J5,$O5,$T5),1)-2)*10)</f>
        <v>-4.8</v>
      </c>
      <c r="W5" s="55">
        <f>IF($T5="","",ROUND(($T5-$T$3)/1000,1)+(_xlfn.RANK.AVG($T5,($J5,$O5,$T5),1)-2)*10)</f>
        <v>31.1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82</v>
      </c>
      <c r="AF5" s="41" t="s">
        <v>79</v>
      </c>
      <c r="AG5" s="41" t="s">
        <v>86</v>
      </c>
      <c r="AH5" s="41" t="s">
        <v>80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201</v>
      </c>
      <c r="G6" s="9">
        <v>8000</v>
      </c>
      <c r="H6" s="9"/>
      <c r="I6" s="48">
        <v>0</v>
      </c>
      <c r="J6" s="21">
        <f t="shared" si="2"/>
        <v>26700</v>
      </c>
      <c r="K6" s="8" t="s">
        <v>202</v>
      </c>
      <c r="L6" s="9">
        <v>-3000</v>
      </c>
      <c r="M6" s="9"/>
      <c r="N6" s="48">
        <v>0</v>
      </c>
      <c r="O6" s="21">
        <f t="shared" si="3"/>
        <v>27200</v>
      </c>
      <c r="P6" s="8" t="s">
        <v>202</v>
      </c>
      <c r="Q6" s="9">
        <v>-5000</v>
      </c>
      <c r="R6" s="9"/>
      <c r="S6" s="48">
        <v>0</v>
      </c>
      <c r="T6" s="21">
        <f t="shared" si="4"/>
        <v>51100</v>
      </c>
      <c r="U6" s="53">
        <f>IF($J6="","",ROUND(($J6-$J$3)/1000,1)+(_xlfn.RANK.AVG($J6,($J6,$O6,$T6),1)-2)*10)</f>
        <v>-18.3</v>
      </c>
      <c r="V6" s="54">
        <f>IF($O6="","",ROUND(($O6-$O$3)/1000,1)+(_xlfn.RANK.AVG($O6,($J6,$O6,$T6),1)-2)*10)</f>
        <v>-7.8</v>
      </c>
      <c r="W6" s="55">
        <f>IF($T6="","",ROUND(($T6-$T$3)/1000,1)+(_xlfn.RANK.AVG($T6,($J6,$O6,$T6),1)-2)*10)</f>
        <v>26.1</v>
      </c>
      <c r="Y6" s="8"/>
      <c r="Z6" s="34"/>
      <c r="AA6" s="26"/>
      <c r="AB6" s="26"/>
      <c r="AC6" s="26">
        <v>4</v>
      </c>
      <c r="AD6" s="30">
        <v>40</v>
      </c>
      <c r="AE6" s="40" t="s">
        <v>86</v>
      </c>
      <c r="AF6" s="41" t="s">
        <v>82</v>
      </c>
      <c r="AG6" s="41" t="s">
        <v>96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202</v>
      </c>
      <c r="G7" s="9">
        <v>-10000</v>
      </c>
      <c r="H7" s="9"/>
      <c r="I7" s="48">
        <v>0</v>
      </c>
      <c r="J7" s="21">
        <f t="shared" si="2"/>
        <v>16700</v>
      </c>
      <c r="K7" s="8" t="s">
        <v>201</v>
      </c>
      <c r="L7" s="9">
        <v>16000</v>
      </c>
      <c r="M7" s="9"/>
      <c r="N7" s="48">
        <v>0</v>
      </c>
      <c r="O7" s="21">
        <f t="shared" si="3"/>
        <v>43200</v>
      </c>
      <c r="P7" s="8" t="s">
        <v>202</v>
      </c>
      <c r="Q7" s="9">
        <v>-6000</v>
      </c>
      <c r="R7" s="9"/>
      <c r="S7" s="48">
        <v>0</v>
      </c>
      <c r="T7" s="21">
        <f t="shared" si="4"/>
        <v>45100</v>
      </c>
      <c r="U7" s="53">
        <f>IF($J7="","",ROUND(($J7-$J$3)/1000,1)+(_xlfn.RANK.AVG($J7,($J7,$O7,$T7),1)-2)*10)</f>
        <v>-28.3</v>
      </c>
      <c r="V7" s="54">
        <f>IF($O7="","",ROUND(($O7-$O$3)/1000,1)+(_xlfn.RANK.AVG($O7,($J7,$O7,$T7),1)-2)*10)</f>
        <v>8.1999999999999993</v>
      </c>
      <c r="W7" s="55">
        <f>IF($T7="","",ROUND(($T7-$T$3)/1000,1)+(_xlfn.RANK.AVG($T7,($J7,$O7,$T7),1)-2)*10)</f>
        <v>20.100000000000001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>
        <v>8</v>
      </c>
      <c r="AY7" s="30" t="s">
        <v>199</v>
      </c>
      <c r="AZ7" s="40" t="s">
        <v>203</v>
      </c>
      <c r="BA7" s="41" t="s">
        <v>84</v>
      </c>
      <c r="BB7" s="41" t="s">
        <v>106</v>
      </c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202</v>
      </c>
      <c r="G8" s="9">
        <v>-500</v>
      </c>
      <c r="H8" s="9"/>
      <c r="I8" s="48">
        <v>0</v>
      </c>
      <c r="J8" s="21">
        <f t="shared" si="2"/>
        <v>16200</v>
      </c>
      <c r="K8" s="8" t="s">
        <v>202</v>
      </c>
      <c r="L8" s="9">
        <v>-700</v>
      </c>
      <c r="M8" s="9"/>
      <c r="N8" s="48">
        <v>0</v>
      </c>
      <c r="O8" s="21">
        <f t="shared" si="3"/>
        <v>42500</v>
      </c>
      <c r="P8" s="8" t="s">
        <v>201</v>
      </c>
      <c r="Q8" s="9">
        <v>1200</v>
      </c>
      <c r="R8" s="9"/>
      <c r="S8" s="48">
        <v>0</v>
      </c>
      <c r="T8" s="21">
        <f t="shared" si="4"/>
        <v>46300</v>
      </c>
      <c r="U8" s="53">
        <f>IF($J8="","",ROUND(($J8-$J$3)/1000,1)+(_xlfn.RANK.AVG($J8,($J8,$O8,$T8),1)-2)*10)</f>
        <v>-28.8</v>
      </c>
      <c r="V8" s="54">
        <f>IF($O8="","",ROUND(($O8-$O$3)/1000,1)+(_xlfn.RANK.AVG($O8,($J8,$O8,$T8),1)-2)*10)</f>
        <v>7.5</v>
      </c>
      <c r="W8" s="55">
        <f>IF($T8="","",ROUND(($T8-$T$3)/1000,1)+(_xlfn.RANK.AVG($T8,($J8,$O8,$T8),1)-2)*10)</f>
        <v>21.3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</v>
      </c>
      <c r="BT8" s="30">
        <v>30</v>
      </c>
      <c r="BU8" s="40" t="s">
        <v>82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197</v>
      </c>
      <c r="G9" s="9">
        <v>-2900</v>
      </c>
      <c r="H9" s="9"/>
      <c r="I9" s="48">
        <v>0</v>
      </c>
      <c r="J9" s="21">
        <f t="shared" si="2"/>
        <v>13300</v>
      </c>
      <c r="K9" s="8"/>
      <c r="L9" s="9"/>
      <c r="M9" s="9">
        <v>-1000</v>
      </c>
      <c r="N9" s="48"/>
      <c r="O9" s="21">
        <f t="shared" si="3"/>
        <v>41500</v>
      </c>
      <c r="P9" s="8" t="s">
        <v>198</v>
      </c>
      <c r="Q9" s="9">
        <v>2900</v>
      </c>
      <c r="R9" s="9">
        <v>1000</v>
      </c>
      <c r="S9" s="48">
        <v>0</v>
      </c>
      <c r="T9" s="21">
        <f t="shared" si="4"/>
        <v>50200</v>
      </c>
      <c r="U9" s="53">
        <f>IF($J9="","",ROUND(($J9-$J$3)/1000,1)+(_xlfn.RANK.AVG($J9,($J9,$O9,$T9),1)-2)*10)</f>
        <v>-31.7</v>
      </c>
      <c r="V9" s="54">
        <f>IF($O9="","",ROUND(($O9-$O$3)/1000,1)+(_xlfn.RANK.AVG($O9,($J9,$O9,$T9),1)-2)*10)</f>
        <v>6.5</v>
      </c>
      <c r="W9" s="55">
        <f>IF($T9="","",ROUND(($T9-$T$3)/1000,1)+(_xlfn.RANK.AVG($T9,($J9,$O9,$T9),1)-2)*10)</f>
        <v>25.2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2</v>
      </c>
      <c r="BT9" s="30">
        <v>30</v>
      </c>
      <c r="BU9" s="40" t="s">
        <v>86</v>
      </c>
      <c r="BV9" s="41" t="s">
        <v>200</v>
      </c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35A6421-F046-43CE-BB68-C4A7864A4D88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BA098-BC95-48B1-BCF2-675051988001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207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だいち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だいち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たかの</v>
      </c>
      <c r="F4" s="8"/>
      <c r="G4" s="9"/>
      <c r="H4" s="9"/>
      <c r="I4" s="48"/>
      <c r="J4" s="21">
        <f>IF(COUNTA($F4,$K4,$P4)&gt;0,J3+SUM(G4:I4),"")</f>
        <v>35000</v>
      </c>
      <c r="K4" s="8" t="s">
        <v>198</v>
      </c>
      <c r="L4" s="9">
        <v>12000</v>
      </c>
      <c r="M4" s="9">
        <v>1000</v>
      </c>
      <c r="N4" s="48">
        <v>0</v>
      </c>
      <c r="O4" s="21">
        <f>IF(COUNTA($F4,$K4,$P4)&gt;0,O3+SUM(L4:N4),"")</f>
        <v>48000</v>
      </c>
      <c r="P4" s="8" t="s">
        <v>197</v>
      </c>
      <c r="Q4" s="9">
        <v>-12000</v>
      </c>
      <c r="R4" s="9">
        <v>-1000</v>
      </c>
      <c r="S4" s="48">
        <v>0</v>
      </c>
      <c r="T4" s="21">
        <f>IF(COUNTA($F4,$K4,$P4)&gt;0,T3+SUM(Q4:S4),"")</f>
        <v>22000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23</v>
      </c>
      <c r="W4" s="55">
        <f>IF($T4="","",ROUND(($T4-$T$3)/1000,1)+(_xlfn.RANK.AVG($T4,($J4,$O4,$T4),1)-2)*10)</f>
        <v>-23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7</v>
      </c>
      <c r="AY4" s="30" t="s">
        <v>199</v>
      </c>
      <c r="AZ4" s="40" t="s">
        <v>84</v>
      </c>
      <c r="BA4" s="41" t="s">
        <v>79</v>
      </c>
      <c r="BB4" s="41" t="s">
        <v>79</v>
      </c>
      <c r="BC4" s="41" t="s">
        <v>200</v>
      </c>
      <c r="BD4" s="41" t="s">
        <v>104</v>
      </c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206</v>
      </c>
      <c r="F5" s="8" t="s">
        <v>198</v>
      </c>
      <c r="G5" s="9">
        <v>2000</v>
      </c>
      <c r="H5" s="9"/>
      <c r="I5" s="48">
        <v>0</v>
      </c>
      <c r="J5" s="21">
        <f t="shared" ref="J5:J30" si="2">IF(COUNTA($F5,$K5,$P5)&gt;0,J4+SUM(G5:I5),"")</f>
        <v>37000</v>
      </c>
      <c r="K5" s="8"/>
      <c r="L5" s="9"/>
      <c r="M5" s="9"/>
      <c r="N5" s="48"/>
      <c r="O5" s="21">
        <f t="shared" ref="O5:O30" si="3">IF(COUNTA($F5,$K5,$P5)&gt;0,O4+SUM(L5:N5),"")</f>
        <v>48000</v>
      </c>
      <c r="P5" s="8" t="s">
        <v>197</v>
      </c>
      <c r="Q5" s="9">
        <v>-2000</v>
      </c>
      <c r="R5" s="9"/>
      <c r="S5" s="48">
        <v>0</v>
      </c>
      <c r="T5" s="21">
        <f t="shared" ref="T5:T30" si="4">IF(COUNTA($F5,$K5,$P5)&gt;0,T4+SUM(Q5:S5),"")</f>
        <v>20000</v>
      </c>
      <c r="U5" s="53">
        <f>IF($J5="","",ROUND(($J5-$J$3)/1000,1)+(_xlfn.RANK.AVG($J5,($J5,$O5,$T5),1)-2)*10)</f>
        <v>2</v>
      </c>
      <c r="V5" s="54">
        <f>IF($O5="","",ROUND(($O5-$O$3)/1000,1)+(_xlfn.RANK.AVG($O5,($J5,$O5,$T5),1)-2)*10)</f>
        <v>23</v>
      </c>
      <c r="W5" s="55">
        <f>IF($T5="","",ROUND(($T5-$T$3)/1000,1)+(_xlfn.RANK.AVG($T5,($J5,$O5,$T5),1)-2)*10)</f>
        <v>-25</v>
      </c>
      <c r="Y5" s="8"/>
      <c r="Z5" s="34"/>
      <c r="AA5" s="26"/>
      <c r="AB5" s="26">
        <v>1</v>
      </c>
      <c r="AC5" s="26">
        <v>2</v>
      </c>
      <c r="AD5" s="30">
        <v>30</v>
      </c>
      <c r="AE5" s="40" t="s">
        <v>86</v>
      </c>
      <c r="AF5" s="41" t="s">
        <v>200</v>
      </c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 t="s">
        <v>202</v>
      </c>
      <c r="G6" s="9">
        <v>-3000</v>
      </c>
      <c r="H6" s="9"/>
      <c r="I6" s="48">
        <v>0</v>
      </c>
      <c r="J6" s="21">
        <f t="shared" si="2"/>
        <v>34000</v>
      </c>
      <c r="K6" s="8" t="s">
        <v>201</v>
      </c>
      <c r="L6" s="9">
        <v>8000</v>
      </c>
      <c r="M6" s="9"/>
      <c r="N6" s="48">
        <v>0</v>
      </c>
      <c r="O6" s="21">
        <f t="shared" si="3"/>
        <v>56000</v>
      </c>
      <c r="P6" s="8" t="s">
        <v>202</v>
      </c>
      <c r="Q6" s="9">
        <v>-5000</v>
      </c>
      <c r="R6" s="9"/>
      <c r="S6" s="48">
        <v>0</v>
      </c>
      <c r="T6" s="21">
        <f t="shared" si="4"/>
        <v>15000</v>
      </c>
      <c r="U6" s="53">
        <f>IF($J6="","",ROUND(($J6-$J$3)/1000,1)+(_xlfn.RANK.AVG($J6,($J6,$O6,$T6),1)-2)*10)</f>
        <v>-1</v>
      </c>
      <c r="V6" s="54">
        <f>IF($O6="","",ROUND(($O6-$O$3)/1000,1)+(_xlfn.RANK.AVG($O6,($J6,$O6,$T6),1)-2)*10)</f>
        <v>31</v>
      </c>
      <c r="W6" s="55">
        <f>IF($T6="","",ROUND(($T6-$T$3)/1000,1)+(_xlfn.RANK.AVG($T6,($J6,$O6,$T6),1)-2)*10)</f>
        <v>-30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>
        <v>5</v>
      </c>
      <c r="AY6" s="30" t="s">
        <v>199</v>
      </c>
      <c r="AZ6" s="40" t="s">
        <v>82</v>
      </c>
      <c r="BA6" s="41" t="s">
        <v>200</v>
      </c>
      <c r="BB6" s="41" t="s">
        <v>200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204</v>
      </c>
      <c r="F7" s="8" t="s">
        <v>202</v>
      </c>
      <c r="G7" s="9">
        <v>-7500</v>
      </c>
      <c r="H7" s="9"/>
      <c r="I7" s="48">
        <v>0</v>
      </c>
      <c r="J7" s="21">
        <f t="shared" si="2"/>
        <v>26500</v>
      </c>
      <c r="K7" s="8" t="s">
        <v>202</v>
      </c>
      <c r="L7" s="9">
        <v>-4500</v>
      </c>
      <c r="M7" s="9"/>
      <c r="N7" s="48">
        <v>0</v>
      </c>
      <c r="O7" s="21">
        <f t="shared" si="3"/>
        <v>51500</v>
      </c>
      <c r="P7" s="8" t="s">
        <v>201</v>
      </c>
      <c r="Q7" s="9">
        <v>12000</v>
      </c>
      <c r="R7" s="9"/>
      <c r="S7" s="48">
        <v>0</v>
      </c>
      <c r="T7" s="21">
        <f t="shared" si="4"/>
        <v>27000</v>
      </c>
      <c r="U7" s="53">
        <f>IF($J7="","",ROUND(($J7-$J$3)/1000,1)+(_xlfn.RANK.AVG($J7,($J7,$O7,$T7),1)-2)*10)</f>
        <v>-18.5</v>
      </c>
      <c r="V7" s="54">
        <f>IF($O7="","",ROUND(($O7-$O$3)/1000,1)+(_xlfn.RANK.AVG($O7,($J7,$O7,$T7),1)-2)*10)</f>
        <v>26.5</v>
      </c>
      <c r="W7" s="55">
        <f>IF($T7="","",ROUND(($T7-$T$3)/1000,1)+(_xlfn.RANK.AVG($T7,($J7,$O7,$T7),1)-2)*10)</f>
        <v>-8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7</v>
      </c>
      <c r="BT7" s="30" t="s">
        <v>199</v>
      </c>
      <c r="BU7" s="40" t="s">
        <v>203</v>
      </c>
      <c r="BV7" s="41" t="s">
        <v>83</v>
      </c>
      <c r="BW7" s="41" t="s">
        <v>82</v>
      </c>
      <c r="BX7" s="41" t="s">
        <v>79</v>
      </c>
      <c r="BY7" s="41" t="s">
        <v>79</v>
      </c>
      <c r="BZ7" s="41" t="s">
        <v>80</v>
      </c>
      <c r="CA7" s="41" t="s">
        <v>200</v>
      </c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206</v>
      </c>
      <c r="F8" s="8"/>
      <c r="G8" s="9"/>
      <c r="H8" s="9"/>
      <c r="I8" s="48"/>
      <c r="J8" s="21">
        <f t="shared" si="2"/>
        <v>26500</v>
      </c>
      <c r="K8" s="8" t="s">
        <v>198</v>
      </c>
      <c r="L8" s="9">
        <v>1500</v>
      </c>
      <c r="M8" s="9"/>
      <c r="N8" s="48">
        <v>0</v>
      </c>
      <c r="O8" s="21">
        <f t="shared" si="3"/>
        <v>53000</v>
      </c>
      <c r="P8" s="8" t="s">
        <v>197</v>
      </c>
      <c r="Q8" s="9">
        <v>-1500</v>
      </c>
      <c r="R8" s="9"/>
      <c r="S8" s="48">
        <v>0</v>
      </c>
      <c r="T8" s="21">
        <f t="shared" si="4"/>
        <v>25500</v>
      </c>
      <c r="U8" s="53">
        <f>IF($J8="","",ROUND(($J8-$J$3)/1000,1)+(_xlfn.RANK.AVG($J8,($J8,$O8,$T8),1)-2)*10)</f>
        <v>-8.5</v>
      </c>
      <c r="V8" s="54">
        <f>IF($O8="","",ROUND(($O8-$O$3)/1000,1)+(_xlfn.RANK.AVG($O8,($J8,$O8,$T8),1)-2)*10)</f>
        <v>28</v>
      </c>
      <c r="W8" s="55">
        <f>IF($T8="","",ROUND(($T8-$T$3)/1000,1)+(_xlfn.RANK.AVG($T8,($J8,$O8,$T8),1)-2)*10)</f>
        <v>-19.5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206</v>
      </c>
      <c r="F9" s="8" t="s">
        <v>202</v>
      </c>
      <c r="G9" s="9">
        <v>-9000</v>
      </c>
      <c r="H9" s="9"/>
      <c r="I9" s="48">
        <v>-500</v>
      </c>
      <c r="J9" s="21">
        <f t="shared" si="2"/>
        <v>17000</v>
      </c>
      <c r="K9" s="8" t="s">
        <v>201</v>
      </c>
      <c r="L9" s="9">
        <v>18000</v>
      </c>
      <c r="M9" s="9"/>
      <c r="N9" s="48">
        <v>1000</v>
      </c>
      <c r="O9" s="21">
        <f t="shared" si="3"/>
        <v>72000</v>
      </c>
      <c r="P9" s="8" t="s">
        <v>202</v>
      </c>
      <c r="Q9" s="9">
        <v>-9000</v>
      </c>
      <c r="R9" s="9"/>
      <c r="S9" s="48">
        <v>-500</v>
      </c>
      <c r="T9" s="21">
        <f t="shared" si="4"/>
        <v>16000</v>
      </c>
      <c r="U9" s="53">
        <f>IF($J9="","",ROUND(($J9-$J$3)/1000,1)+(_xlfn.RANK.AVG($J9,($J9,$O9,$T9),1)-2)*10)</f>
        <v>-18</v>
      </c>
      <c r="V9" s="54">
        <f>IF($O9="","",ROUND(($O9-$O$3)/1000,1)+(_xlfn.RANK.AVG($O9,($J9,$O9,$T9),1)-2)*10)</f>
        <v>47</v>
      </c>
      <c r="W9" s="55">
        <f>IF($T9="","",ROUND(($T9-$T$3)/1000,1)+(_xlfn.RANK.AVG($T9,($J9,$O9,$T9),1)-2)*10)</f>
        <v>-29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6</v>
      </c>
      <c r="AY9" s="30" t="s">
        <v>199</v>
      </c>
      <c r="AZ9" s="40" t="s">
        <v>203</v>
      </c>
      <c r="BA9" s="41" t="s">
        <v>82</v>
      </c>
      <c r="BB9" s="41" t="s">
        <v>83</v>
      </c>
      <c r="BC9" s="41" t="s">
        <v>208</v>
      </c>
      <c r="BD9" s="41" t="s">
        <v>79</v>
      </c>
      <c r="BE9" s="41" t="s">
        <v>200</v>
      </c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0</v>
      </c>
      <c r="E10" s="4" t="s">
        <v>206</v>
      </c>
      <c r="F10" s="8" t="s">
        <v>211</v>
      </c>
      <c r="G10" s="9">
        <v>1500</v>
      </c>
      <c r="H10" s="9"/>
      <c r="I10" s="48"/>
      <c r="J10" s="21">
        <f t="shared" si="2"/>
        <v>18500</v>
      </c>
      <c r="K10" s="8" t="s">
        <v>211</v>
      </c>
      <c r="L10" s="9">
        <v>-3000</v>
      </c>
      <c r="M10" s="9"/>
      <c r="N10" s="48"/>
      <c r="O10" s="21">
        <f t="shared" si="3"/>
        <v>69000</v>
      </c>
      <c r="P10" s="8" t="s">
        <v>211</v>
      </c>
      <c r="Q10" s="9">
        <v>1500</v>
      </c>
      <c r="R10" s="9">
        <v>-1000</v>
      </c>
      <c r="S10" s="48"/>
      <c r="T10" s="21">
        <f t="shared" si="4"/>
        <v>16500</v>
      </c>
      <c r="U10" s="53">
        <f>IF($J10="","",ROUND(($J10-$J$3)/1000,1)+(_xlfn.RANK.AVG($J10,($J10,$O10,$T10),1)-2)*10)</f>
        <v>-16.5</v>
      </c>
      <c r="V10" s="54">
        <f>IF($O10="","",ROUND(($O10-$O$3)/1000,1)+(_xlfn.RANK.AVG($O10,($J10,$O10,$T10),1)-2)*10)</f>
        <v>44</v>
      </c>
      <c r="W10" s="55">
        <f>IF($T10="","",ROUND(($T10-$T$3)/1000,1)+(_xlfn.RANK.AVG($T10,($J10,$O10,$T10),1)-2)*10)</f>
        <v>-28.5</v>
      </c>
      <c r="Y10" s="8" t="s">
        <v>209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210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209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3</v>
      </c>
      <c r="D11" s="18">
        <f t="shared" si="1"/>
        <v>1</v>
      </c>
      <c r="E11" s="4" t="s">
        <v>195</v>
      </c>
      <c r="F11" s="8" t="s">
        <v>197</v>
      </c>
      <c r="G11" s="9">
        <v>-12000</v>
      </c>
      <c r="H11" s="9"/>
      <c r="I11" s="48">
        <v>-3000</v>
      </c>
      <c r="J11" s="21">
        <f t="shared" si="2"/>
        <v>3500</v>
      </c>
      <c r="K11" s="8"/>
      <c r="L11" s="9"/>
      <c r="M11" s="9"/>
      <c r="N11" s="48"/>
      <c r="O11" s="21">
        <f t="shared" si="3"/>
        <v>69000</v>
      </c>
      <c r="P11" s="8" t="s">
        <v>198</v>
      </c>
      <c r="Q11" s="9">
        <v>12000</v>
      </c>
      <c r="R11" s="9">
        <v>1000</v>
      </c>
      <c r="S11" s="48">
        <v>3000</v>
      </c>
      <c r="T11" s="21">
        <f t="shared" si="4"/>
        <v>32500</v>
      </c>
      <c r="U11" s="53">
        <f>IF($J11="","",ROUND(($J11-$J$3)/1000,1)+(_xlfn.RANK.AVG($J11,($J11,$O11,$T11),1)-2)*10)</f>
        <v>-41.5</v>
      </c>
      <c r="V11" s="54">
        <f>IF($O11="","",ROUND(($O11-$O$3)/1000,1)+(_xlfn.RANK.AVG($O11,($J11,$O11,$T11),1)-2)*10)</f>
        <v>44</v>
      </c>
      <c r="W11" s="55">
        <f>IF($T11="","",ROUND(($T11-$T$3)/1000,1)+(_xlfn.RANK.AVG($T11,($J11,$O11,$T11),1)-2)*10)</f>
        <v>-2.5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4</v>
      </c>
      <c r="BT11" s="30">
        <v>40</v>
      </c>
      <c r="BU11" s="40" t="s">
        <v>203</v>
      </c>
      <c r="BV11" s="41" t="s">
        <v>208</v>
      </c>
      <c r="BW11" s="41" t="s">
        <v>79</v>
      </c>
      <c r="BX11" s="41" t="s">
        <v>200</v>
      </c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4</v>
      </c>
      <c r="D12" s="18">
        <f t="shared" si="1"/>
        <v>0</v>
      </c>
      <c r="E12" s="4" t="s">
        <v>195</v>
      </c>
      <c r="F12" s="8" t="s">
        <v>202</v>
      </c>
      <c r="G12" s="9">
        <v>-800</v>
      </c>
      <c r="H12" s="9"/>
      <c r="I12" s="48">
        <v>-2000</v>
      </c>
      <c r="J12" s="21">
        <f t="shared" si="2"/>
        <v>700</v>
      </c>
      <c r="K12" s="8" t="s">
        <v>202</v>
      </c>
      <c r="L12" s="9">
        <v>-800</v>
      </c>
      <c r="M12" s="9"/>
      <c r="N12" s="48">
        <v>-2000</v>
      </c>
      <c r="O12" s="21">
        <f t="shared" si="3"/>
        <v>66200</v>
      </c>
      <c r="P12" s="8" t="s">
        <v>201</v>
      </c>
      <c r="Q12" s="9">
        <v>1600</v>
      </c>
      <c r="R12" s="9"/>
      <c r="S12" s="48">
        <v>4000</v>
      </c>
      <c r="T12" s="21">
        <f t="shared" si="4"/>
        <v>38100</v>
      </c>
      <c r="U12" s="53">
        <f>IF($J12="","",ROUND(($J12-$J$3)/1000,1)+(_xlfn.RANK.AVG($J12,($J12,$O12,$T12),1)-2)*10)</f>
        <v>-44.3</v>
      </c>
      <c r="V12" s="54">
        <f>IF($O12="","",ROUND(($O12-$O$3)/1000,1)+(_xlfn.RANK.AVG($O12,($J12,$O12,$T12),1)-2)*10)</f>
        <v>41.2</v>
      </c>
      <c r="W12" s="55">
        <f>IF($T12="","",ROUND(($T12-$T$3)/1000,1)+(_xlfn.RANK.AVG($T12,($J12,$O12,$T12),1)-2)*10)</f>
        <v>3.1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>
        <v>1</v>
      </c>
      <c r="BT12" s="30">
        <v>30</v>
      </c>
      <c r="BU12" s="40" t="s">
        <v>86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5</v>
      </c>
      <c r="D13" s="18">
        <f t="shared" si="1"/>
        <v>0</v>
      </c>
      <c r="E13" s="4" t="s">
        <v>195</v>
      </c>
      <c r="F13" s="8" t="s">
        <v>197</v>
      </c>
      <c r="G13" s="9">
        <v>-12000</v>
      </c>
      <c r="H13" s="9"/>
      <c r="I13" s="48">
        <v>-5000</v>
      </c>
      <c r="J13" s="21">
        <f t="shared" si="2"/>
        <v>-16300</v>
      </c>
      <c r="K13" s="8"/>
      <c r="L13" s="9"/>
      <c r="M13" s="9"/>
      <c r="N13" s="48"/>
      <c r="O13" s="21">
        <f t="shared" si="3"/>
        <v>66200</v>
      </c>
      <c r="P13" s="8" t="s">
        <v>198</v>
      </c>
      <c r="Q13" s="9">
        <v>12000</v>
      </c>
      <c r="R13" s="9"/>
      <c r="S13" s="48">
        <v>5000</v>
      </c>
      <c r="T13" s="21">
        <f t="shared" si="4"/>
        <v>55100</v>
      </c>
      <c r="U13" s="53">
        <f>IF($J13="","",ROUND(($J13-$J$3)/1000,1)+(_xlfn.RANK.AVG($J13,($J13,$O13,$T13),1)-2)*10)</f>
        <v>-61.3</v>
      </c>
      <c r="V13" s="54">
        <f>IF($O13="","",ROUND(($O13-$O$3)/1000,1)+(_xlfn.RANK.AVG($O13,($J13,$O13,$T13),1)-2)*10)</f>
        <v>41.2</v>
      </c>
      <c r="W13" s="55">
        <f>IF($T13="","",ROUND(($T13-$T$3)/1000,1)+(_xlfn.RANK.AVG($T13,($J13,$O13,$T13),1)-2)*10)</f>
        <v>20.100000000000001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>
        <v>4</v>
      </c>
      <c r="BT13" s="30">
        <v>40</v>
      </c>
      <c r="BU13" s="40" t="s">
        <v>203</v>
      </c>
      <c r="BV13" s="41" t="s">
        <v>79</v>
      </c>
      <c r="BW13" s="41" t="s">
        <v>80</v>
      </c>
      <c r="BX13" s="41" t="s">
        <v>200</v>
      </c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allowBlank="1" showInputMessage="1" sqref="F1:T1" xr:uid="{8B01B75E-989D-45DA-982E-396E0EB0C7CB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5A097C9D-B8C4-43D1-8A7C-7295E8C63926}">
      <formula1>"ロン,ツモ,放銃,ツモ支払,流局,チョンボ"</formula1>
    </dataValidation>
    <dataValidation type="list" allowBlank="1" showInputMessage="1" showErrorMessage="1" sqref="E4:E30" xr:uid="{E49CD8BD-695C-426E-B125-309A8E3AACE1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8F033-D550-4313-9054-19C77CAE5FCA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205</v>
      </c>
      <c r="G1" s="72"/>
      <c r="H1" s="72"/>
      <c r="I1" s="73"/>
      <c r="J1" s="74"/>
      <c r="K1" s="71" t="s">
        <v>194</v>
      </c>
      <c r="L1" s="72"/>
      <c r="M1" s="72"/>
      <c r="N1" s="73"/>
      <c r="O1" s="74"/>
      <c r="P1" s="71" t="s">
        <v>207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たかの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れんたろう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だいち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たかの</v>
      </c>
      <c r="V2" s="70" t="str">
        <f>$K$1</f>
        <v>れんたろう</v>
      </c>
      <c r="W2" s="16" t="str">
        <f>$P$1</f>
        <v>だいち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たかの</v>
      </c>
      <c r="F4" s="8" t="s">
        <v>197</v>
      </c>
      <c r="G4" s="9">
        <v>-2000</v>
      </c>
      <c r="H4" s="9">
        <v>-1000</v>
      </c>
      <c r="I4" s="48">
        <v>0</v>
      </c>
      <c r="J4" s="21">
        <f>IF(COUNTA($F4,$K4,$P4)&gt;0,J3+SUM(G4:I4),"")</f>
        <v>32000</v>
      </c>
      <c r="K4" s="8"/>
      <c r="L4" s="9"/>
      <c r="M4" s="9"/>
      <c r="N4" s="48"/>
      <c r="O4" s="21">
        <f>IF(COUNTA($F4,$K4,$P4)&gt;0,O3+SUM(L4:N4),"")</f>
        <v>35000</v>
      </c>
      <c r="P4" s="8" t="s">
        <v>198</v>
      </c>
      <c r="Q4" s="9">
        <v>2000</v>
      </c>
      <c r="R4" s="9">
        <v>1000</v>
      </c>
      <c r="S4" s="48">
        <v>0</v>
      </c>
      <c r="T4" s="21">
        <f>IF(COUNTA($F4,$K4,$P4)&gt;0,T3+SUM(Q4:S4),"")</f>
        <v>38000</v>
      </c>
      <c r="U4" s="53">
        <f>IF($J4="","",ROUND(($J4-$J$3)/1000,1)+(_xlfn.RANK.AVG($J4,($J4,$O4,$T4),1)-2)*10)</f>
        <v>-13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13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2</v>
      </c>
      <c r="BT4" s="30">
        <v>30</v>
      </c>
      <c r="BU4" s="40" t="s">
        <v>203</v>
      </c>
      <c r="BV4" s="41" t="s">
        <v>83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202</v>
      </c>
      <c r="G5" s="9">
        <v>-9000</v>
      </c>
      <c r="H5" s="9"/>
      <c r="I5" s="48">
        <v>0</v>
      </c>
      <c r="J5" s="21">
        <f t="shared" ref="J5:J30" si="2">IF(COUNTA($F5,$K5,$P5)&gt;0,J4+SUM(G5:I5),"")</f>
        <v>23000</v>
      </c>
      <c r="K5" s="8" t="s">
        <v>201</v>
      </c>
      <c r="L5" s="9">
        <v>18000</v>
      </c>
      <c r="M5" s="9"/>
      <c r="N5" s="48">
        <v>0</v>
      </c>
      <c r="O5" s="21">
        <f t="shared" ref="O5:O30" si="3">IF(COUNTA($F5,$K5,$P5)&gt;0,O4+SUM(L5:N5),"")</f>
        <v>53000</v>
      </c>
      <c r="P5" s="8" t="s">
        <v>202</v>
      </c>
      <c r="Q5" s="9">
        <v>-9000</v>
      </c>
      <c r="R5" s="9"/>
      <c r="S5" s="48">
        <v>0</v>
      </c>
      <c r="T5" s="21">
        <f t="shared" ref="T5:T30" si="4">IF(COUNTA($F5,$K5,$P5)&gt;0,T4+SUM(Q5:S5),"")</f>
        <v>29000</v>
      </c>
      <c r="U5" s="53">
        <f>IF($J5="","",ROUND(($J5-$J$3)/1000,1)+(_xlfn.RANK.AVG($J5,($J5,$O5,$T5),1)-2)*10)</f>
        <v>-22</v>
      </c>
      <c r="V5" s="54">
        <f>IF($O5="","",ROUND(($O5-$O$3)/1000,1)+(_xlfn.RANK.AVG($O5,($J5,$O5,$T5),1)-2)*10)</f>
        <v>28</v>
      </c>
      <c r="W5" s="55">
        <f>IF($T5="","",ROUND(($T5-$T$3)/1000,1)+(_xlfn.RANK.AVG($T5,($J5,$O5,$T5),1)-2)*10)</f>
        <v>-6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7</v>
      </c>
      <c r="AY5" s="30" t="s">
        <v>199</v>
      </c>
      <c r="AZ5" s="40" t="s">
        <v>203</v>
      </c>
      <c r="BA5" s="41" t="s">
        <v>82</v>
      </c>
      <c r="BB5" s="41" t="s">
        <v>208</v>
      </c>
      <c r="BC5" s="41" t="s">
        <v>79</v>
      </c>
      <c r="BD5" s="41" t="s">
        <v>79</v>
      </c>
      <c r="BE5" s="41" t="s">
        <v>200</v>
      </c>
      <c r="BF5" s="41" t="s">
        <v>84</v>
      </c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201</v>
      </c>
      <c r="G6" s="9">
        <v>2100</v>
      </c>
      <c r="H6" s="9"/>
      <c r="I6" s="48">
        <v>1000</v>
      </c>
      <c r="J6" s="21">
        <f t="shared" si="2"/>
        <v>26100</v>
      </c>
      <c r="K6" s="8" t="s">
        <v>202</v>
      </c>
      <c r="L6" s="9">
        <v>-1300</v>
      </c>
      <c r="M6" s="9"/>
      <c r="N6" s="48">
        <v>-500</v>
      </c>
      <c r="O6" s="21">
        <f t="shared" si="3"/>
        <v>51200</v>
      </c>
      <c r="P6" s="8" t="s">
        <v>202</v>
      </c>
      <c r="Q6" s="9">
        <v>-800</v>
      </c>
      <c r="R6" s="9"/>
      <c r="S6" s="48">
        <v>-500</v>
      </c>
      <c r="T6" s="21">
        <f t="shared" si="4"/>
        <v>27700</v>
      </c>
      <c r="U6" s="53">
        <f>IF($J6="","",ROUND(($J6-$J$3)/1000,1)+(_xlfn.RANK.AVG($J6,($J6,$O6,$T6),1)-2)*10)</f>
        <v>-18.899999999999999</v>
      </c>
      <c r="V6" s="54">
        <f>IF($O6="","",ROUND(($O6-$O$3)/1000,1)+(_xlfn.RANK.AVG($O6,($J6,$O6,$T6),1)-2)*10)</f>
        <v>26.2</v>
      </c>
      <c r="W6" s="55">
        <f>IF($T6="","",ROUND(($T6-$T$3)/1000,1)+(_xlfn.RANK.AVG($T6,($J6,$O6,$T6),1)-2)*10)</f>
        <v>-7.3</v>
      </c>
      <c r="Y6" s="8"/>
      <c r="Z6" s="34"/>
      <c r="AA6" s="26"/>
      <c r="AB6" s="26"/>
      <c r="AC6" s="26">
        <v>2</v>
      </c>
      <c r="AD6" s="30">
        <v>30</v>
      </c>
      <c r="AE6" s="40" t="s">
        <v>82</v>
      </c>
      <c r="AF6" s="41" t="s">
        <v>85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206</v>
      </c>
      <c r="F7" s="8"/>
      <c r="G7" s="9"/>
      <c r="H7" s="9"/>
      <c r="I7" s="48"/>
      <c r="J7" s="21">
        <f t="shared" si="2"/>
        <v>26100</v>
      </c>
      <c r="K7" s="8" t="s">
        <v>197</v>
      </c>
      <c r="L7" s="9">
        <v>-4800</v>
      </c>
      <c r="M7" s="9"/>
      <c r="N7" s="48">
        <v>0</v>
      </c>
      <c r="O7" s="21">
        <f t="shared" si="3"/>
        <v>46400</v>
      </c>
      <c r="P7" s="8" t="s">
        <v>198</v>
      </c>
      <c r="Q7" s="9">
        <v>4800</v>
      </c>
      <c r="R7" s="9"/>
      <c r="S7" s="48">
        <v>0</v>
      </c>
      <c r="T7" s="21">
        <f t="shared" si="4"/>
        <v>32500</v>
      </c>
      <c r="U7" s="53">
        <f>IF($J7="","",ROUND(($J7-$J$3)/1000,1)+(_xlfn.RANK.AVG($J7,($J7,$O7,$T7),1)-2)*10)</f>
        <v>-18.899999999999999</v>
      </c>
      <c r="V7" s="54">
        <f>IF($O7="","",ROUND(($O7-$O$3)/1000,1)+(_xlfn.RANK.AVG($O7,($J7,$O7,$T7),1)-2)*10)</f>
        <v>21.4</v>
      </c>
      <c r="W7" s="55">
        <f>IF($T7="","",ROUND(($T7-$T$3)/1000,1)+(_xlfn.RANK.AVG($T7,($J7,$O7,$T7),1)-2)*10)</f>
        <v>-2.5</v>
      </c>
      <c r="Y7" s="8"/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2</v>
      </c>
      <c r="BT7" s="30">
        <v>50</v>
      </c>
      <c r="BU7" s="40" t="s">
        <v>203</v>
      </c>
      <c r="BV7" s="41" t="s">
        <v>208</v>
      </c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206</v>
      </c>
      <c r="F8" s="8" t="s">
        <v>197</v>
      </c>
      <c r="G8" s="9">
        <v>-8000</v>
      </c>
      <c r="H8" s="9"/>
      <c r="I8" s="48">
        <v>-1000</v>
      </c>
      <c r="J8" s="21">
        <f t="shared" si="2"/>
        <v>17100</v>
      </c>
      <c r="K8" s="8" t="s">
        <v>198</v>
      </c>
      <c r="L8" s="9">
        <v>8000</v>
      </c>
      <c r="M8" s="9"/>
      <c r="N8" s="48">
        <v>1000</v>
      </c>
      <c r="O8" s="21">
        <f t="shared" si="3"/>
        <v>55400</v>
      </c>
      <c r="P8" s="8"/>
      <c r="Q8" s="9"/>
      <c r="R8" s="9"/>
      <c r="S8" s="48"/>
      <c r="T8" s="21">
        <f t="shared" si="4"/>
        <v>32500</v>
      </c>
      <c r="U8" s="53">
        <f>IF($J8="","",ROUND(($J8-$J$3)/1000,1)+(_xlfn.RANK.AVG($J8,($J8,$O8,$T8),1)-2)*10)</f>
        <v>-27.9</v>
      </c>
      <c r="V8" s="54">
        <f>IF($O8="","",ROUND(($O8-$O$3)/1000,1)+(_xlfn.RANK.AVG($O8,($J8,$O8,$T8),1)-2)*10)</f>
        <v>30.4</v>
      </c>
      <c r="W8" s="55">
        <f>IF($T8="","",ROUND(($T8-$T$3)/1000,1)+(_xlfn.RANK.AVG($T8,($J8,$O8,$T8),1)-2)*10)</f>
        <v>-2.5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203</v>
      </c>
      <c r="BA8" s="41" t="s">
        <v>79</v>
      </c>
      <c r="BB8" s="41" t="s">
        <v>200</v>
      </c>
      <c r="BC8" s="41" t="s">
        <v>208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197</v>
      </c>
      <c r="G9" s="9">
        <v>-1300</v>
      </c>
      <c r="H9" s="9"/>
      <c r="I9" s="48">
        <v>0</v>
      </c>
      <c r="J9" s="21">
        <f t="shared" si="2"/>
        <v>15800</v>
      </c>
      <c r="K9" s="8"/>
      <c r="L9" s="9"/>
      <c r="M9" s="9"/>
      <c r="N9" s="48"/>
      <c r="O9" s="21">
        <f t="shared" si="3"/>
        <v>55400</v>
      </c>
      <c r="P9" s="8" t="s">
        <v>198</v>
      </c>
      <c r="Q9" s="9">
        <v>1300</v>
      </c>
      <c r="R9" s="9"/>
      <c r="S9" s="48">
        <v>0</v>
      </c>
      <c r="T9" s="21">
        <f t="shared" si="4"/>
        <v>33800</v>
      </c>
      <c r="U9" s="53">
        <f>IF($J9="","",ROUND(($J9-$J$3)/1000,1)+(_xlfn.RANK.AVG($J9,($J9,$O9,$T9),1)-2)*10)</f>
        <v>-29.2</v>
      </c>
      <c r="V9" s="54">
        <f>IF($O9="","",ROUND(($O9-$O$3)/1000,1)+(_xlfn.RANK.AVG($O9,($J9,$O9,$T9),1)-2)*10)</f>
        <v>30.4</v>
      </c>
      <c r="W9" s="55">
        <f>IF($T9="","",ROUND(($T9-$T$3)/1000,1)+(_xlfn.RANK.AVG($T9,($J9,$O9,$T9),1)-2)*10)</f>
        <v>-1.2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1</v>
      </c>
      <c r="BT9" s="30">
        <v>40</v>
      </c>
      <c r="BU9" s="40" t="s">
        <v>86</v>
      </c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211</v>
      </c>
      <c r="G10" s="9">
        <v>-1500</v>
      </c>
      <c r="H10" s="9"/>
      <c r="I10" s="48"/>
      <c r="J10" s="21">
        <f t="shared" si="2"/>
        <v>14300</v>
      </c>
      <c r="K10" s="8" t="s">
        <v>211</v>
      </c>
      <c r="L10" s="9">
        <v>-1500</v>
      </c>
      <c r="M10" s="9"/>
      <c r="N10" s="48"/>
      <c r="O10" s="21">
        <f t="shared" si="3"/>
        <v>53900</v>
      </c>
      <c r="P10" s="8" t="s">
        <v>211</v>
      </c>
      <c r="Q10" s="9">
        <v>3000</v>
      </c>
      <c r="R10" s="9"/>
      <c r="S10" s="48"/>
      <c r="T10" s="21">
        <f t="shared" si="4"/>
        <v>36800</v>
      </c>
      <c r="U10" s="53">
        <f>IF($J10="","",ROUND(($J10-$J$3)/1000,1)+(_xlfn.RANK.AVG($J10,($J10,$O10,$T10),1)-2)*10)</f>
        <v>-30.7</v>
      </c>
      <c r="V10" s="54">
        <f>IF($O10="","",ROUND(($O10-$O$3)/1000,1)+(_xlfn.RANK.AVG($O10,($J10,$O10,$T10),1)-2)*10)</f>
        <v>28.9</v>
      </c>
      <c r="W10" s="55">
        <f>IF($T10="","",ROUND(($T10-$T$3)/1000,1)+(_xlfn.RANK.AVG($T10,($J10,$O10,$T10),1)-2)*10)</f>
        <v>1.8</v>
      </c>
      <c r="Y10" s="8" t="s">
        <v>210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210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209</v>
      </c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206</v>
      </c>
      <c r="F11" s="8"/>
      <c r="G11" s="9"/>
      <c r="H11" s="9"/>
      <c r="I11" s="48"/>
      <c r="J11" s="21">
        <f t="shared" si="2"/>
        <v>14300</v>
      </c>
      <c r="K11" s="8" t="s">
        <v>197</v>
      </c>
      <c r="L11" s="9">
        <v>-1500</v>
      </c>
      <c r="M11" s="9"/>
      <c r="N11" s="48">
        <v>-1000</v>
      </c>
      <c r="O11" s="21">
        <f t="shared" si="3"/>
        <v>51400</v>
      </c>
      <c r="P11" s="8" t="s">
        <v>198</v>
      </c>
      <c r="Q11" s="9">
        <v>1500</v>
      </c>
      <c r="R11" s="9"/>
      <c r="S11" s="48">
        <v>1000</v>
      </c>
      <c r="T11" s="21">
        <f t="shared" si="4"/>
        <v>39300</v>
      </c>
      <c r="U11" s="53">
        <f>IF($J11="","",ROUND(($J11-$J$3)/1000,1)+(_xlfn.RANK.AVG($J11,($J11,$O11,$T11),1)-2)*10)</f>
        <v>-30.7</v>
      </c>
      <c r="V11" s="54">
        <f>IF($O11="","",ROUND(($O11-$O$3)/1000,1)+(_xlfn.RANK.AVG($O11,($J11,$O11,$T11),1)-2)*10)</f>
        <v>26.4</v>
      </c>
      <c r="W11" s="55">
        <f>IF($T11="","",ROUND(($T11-$T$3)/1000,1)+(_xlfn.RANK.AVG($T11,($J11,$O11,$T11),1)-2)*10)</f>
        <v>4.3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>
        <v>1</v>
      </c>
      <c r="BT11" s="30">
        <v>30</v>
      </c>
      <c r="BU11" s="40" t="s">
        <v>86</v>
      </c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206</v>
      </c>
      <c r="F12" s="8" t="s">
        <v>212</v>
      </c>
      <c r="G12" s="9">
        <v>6000</v>
      </c>
      <c r="H12" s="9">
        <v>-1000</v>
      </c>
      <c r="I12" s="48"/>
      <c r="J12" s="21">
        <f t="shared" si="2"/>
        <v>19300</v>
      </c>
      <c r="K12" s="8" t="s">
        <v>212</v>
      </c>
      <c r="L12" s="9">
        <v>6000</v>
      </c>
      <c r="M12" s="9">
        <v>1000</v>
      </c>
      <c r="N12" s="48"/>
      <c r="O12" s="21">
        <f t="shared" si="3"/>
        <v>58400</v>
      </c>
      <c r="P12" s="8" t="s">
        <v>212</v>
      </c>
      <c r="Q12" s="9">
        <v>-12000</v>
      </c>
      <c r="R12" s="9"/>
      <c r="S12" s="48"/>
      <c r="T12" s="21">
        <f t="shared" si="4"/>
        <v>27300</v>
      </c>
      <c r="U12" s="53">
        <f>IF($J12="","",ROUND(($J12-$J$3)/1000,1)+(_xlfn.RANK.AVG($J12,($J12,$O12,$T12),1)-2)*10)</f>
        <v>-25.7</v>
      </c>
      <c r="V12" s="54">
        <f>IF($O12="","",ROUND(($O12-$O$3)/1000,1)+(_xlfn.RANK.AVG($O12,($J12,$O12,$T12),1)-2)*10)</f>
        <v>33.4</v>
      </c>
      <c r="W12" s="55">
        <f>IF($T12="","",ROUND(($T12-$T$3)/1000,1)+(_xlfn.RANK.AVG($T12,($J12,$O12,$T12),1)-2)*10)</f>
        <v>-7.7</v>
      </c>
      <c r="Y12" s="8"/>
      <c r="Z12" s="34"/>
      <c r="AA12" s="26">
        <v>1</v>
      </c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>
        <v>1</v>
      </c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AB338C35-00D4-4270-BD05-6A6860B62C8C}">
      <formula1>$U$2:$W$2</formula1>
    </dataValidation>
    <dataValidation type="list" showInputMessage="1" showErrorMessage="1" sqref="K4:K30 P4:P30 F4:F30" xr:uid="{163B1546-40D2-45BB-8267-AABD97AC060C}">
      <formula1>"ロン,ツモ,放銃,ツモ支払,流局,チョンボ"</formula1>
    </dataValidation>
    <dataValidation type="list" allowBlank="1" showInputMessage="1" sqref="F1:T1" xr:uid="{0231A56F-1320-42EA-AB25-AA69034BF364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31D993-6197-4CA6-84E7-0CF7D66274DF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194</v>
      </c>
      <c r="G1" s="72"/>
      <c r="H1" s="72"/>
      <c r="I1" s="73"/>
      <c r="J1" s="74"/>
      <c r="K1" s="71" t="s">
        <v>205</v>
      </c>
      <c r="L1" s="72"/>
      <c r="M1" s="72"/>
      <c r="N1" s="73"/>
      <c r="O1" s="74"/>
      <c r="P1" s="71" t="s">
        <v>196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れんたろう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ただ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れんたろう</v>
      </c>
      <c r="V2" s="70" t="str">
        <f>$K$1</f>
        <v>たかの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れんたろう</v>
      </c>
      <c r="F4" s="8" t="s">
        <v>202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202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201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5</v>
      </c>
      <c r="BT4" s="30" t="s">
        <v>199</v>
      </c>
      <c r="BU4" s="40" t="s">
        <v>82</v>
      </c>
      <c r="BV4" s="41" t="s">
        <v>86</v>
      </c>
      <c r="BW4" s="41" t="s">
        <v>96</v>
      </c>
      <c r="BX4" s="41" t="s">
        <v>200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204</v>
      </c>
      <c r="F5" s="8" t="s">
        <v>197</v>
      </c>
      <c r="G5" s="9">
        <v>-12000</v>
      </c>
      <c r="H5" s="9"/>
      <c r="I5" s="48">
        <v>0</v>
      </c>
      <c r="J5" s="21">
        <f t="shared" ref="J5:J30" si="2">IF(COUNTA($F5,$K5,$P5)&gt;0,J4+SUM(G5:I5),"")</f>
        <v>18000</v>
      </c>
      <c r="K5" s="8" t="s">
        <v>198</v>
      </c>
      <c r="L5" s="9">
        <v>12000</v>
      </c>
      <c r="M5" s="9"/>
      <c r="N5" s="48">
        <v>0</v>
      </c>
      <c r="O5" s="21">
        <f t="shared" ref="O5:O30" si="3">IF(COUNTA($F5,$K5,$P5)&gt;0,O4+SUM(L5:N5),"")</f>
        <v>44000</v>
      </c>
      <c r="P5" s="8"/>
      <c r="Q5" s="9"/>
      <c r="R5" s="9"/>
      <c r="S5" s="48"/>
      <c r="T5" s="21">
        <f t="shared" ref="T5:T30" si="4">IF(COUNTA($F5,$K5,$P5)&gt;0,T4+SUM(Q5:S5),"")</f>
        <v>43000</v>
      </c>
      <c r="U5" s="53">
        <f>IF($J5="","",ROUND(($J5-$J$3)/1000,1)+(_xlfn.RANK.AVG($J5,($J5,$O5,$T5),1)-2)*10)</f>
        <v>-27</v>
      </c>
      <c r="V5" s="54">
        <f>IF($O5="","",ROUND(($O5-$O$3)/1000,1)+(_xlfn.RANK.AVG($O5,($J5,$O5,$T5),1)-2)*10)</f>
        <v>19</v>
      </c>
      <c r="W5" s="55">
        <f>IF($T5="","",ROUND(($T5-$T$3)/1000,1)+(_xlfn.RANK.AVG($T5,($J5,$O5,$T5),1)-2)*10)</f>
        <v>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40</v>
      </c>
      <c r="AZ5" s="40" t="s">
        <v>98</v>
      </c>
      <c r="BA5" s="41" t="s">
        <v>86</v>
      </c>
      <c r="BB5" s="41" t="s">
        <v>86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204</v>
      </c>
      <c r="F6" s="8"/>
      <c r="G6" s="9"/>
      <c r="H6" s="9"/>
      <c r="I6" s="48"/>
      <c r="J6" s="21">
        <f t="shared" si="2"/>
        <v>18000</v>
      </c>
      <c r="K6" s="8" t="s">
        <v>197</v>
      </c>
      <c r="L6" s="9">
        <v>-1300</v>
      </c>
      <c r="M6" s="9"/>
      <c r="N6" s="48">
        <v>-1000</v>
      </c>
      <c r="O6" s="21">
        <f t="shared" si="3"/>
        <v>41700</v>
      </c>
      <c r="P6" s="8" t="s">
        <v>198</v>
      </c>
      <c r="Q6" s="9">
        <v>1300</v>
      </c>
      <c r="R6" s="9"/>
      <c r="S6" s="48">
        <v>1000</v>
      </c>
      <c r="T6" s="21">
        <f t="shared" si="4"/>
        <v>45300</v>
      </c>
      <c r="U6" s="53">
        <f>IF($J6="","",ROUND(($J6-$J$3)/1000,1)+(_xlfn.RANK.AVG($J6,($J6,$O6,$T6),1)-2)*10)</f>
        <v>-27</v>
      </c>
      <c r="V6" s="54">
        <f>IF($O6="","",ROUND(($O6-$O$3)/1000,1)+(_xlfn.RANK.AVG($O6,($J6,$O6,$T6),1)-2)*10)</f>
        <v>6.7</v>
      </c>
      <c r="W6" s="55">
        <f>IF($T6="","",ROUND(($T6-$T$3)/1000,1)+(_xlfn.RANK.AVG($T6,($J6,$O6,$T6),1)-2)*10)</f>
        <v>20.3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1</v>
      </c>
      <c r="BT6" s="30">
        <v>40</v>
      </c>
      <c r="BU6" s="40" t="s">
        <v>203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/>
      <c r="G7" s="9"/>
      <c r="H7" s="9"/>
      <c r="I7" s="48"/>
      <c r="J7" s="21">
        <f t="shared" si="2"/>
        <v>18000</v>
      </c>
      <c r="K7" s="8" t="s">
        <v>198</v>
      </c>
      <c r="L7" s="9">
        <v>2000</v>
      </c>
      <c r="M7" s="9"/>
      <c r="N7" s="48">
        <v>0</v>
      </c>
      <c r="O7" s="21">
        <f t="shared" si="3"/>
        <v>43700</v>
      </c>
      <c r="P7" s="8" t="s">
        <v>197</v>
      </c>
      <c r="Q7" s="9">
        <v>-2000</v>
      </c>
      <c r="R7" s="9"/>
      <c r="S7" s="48">
        <v>0</v>
      </c>
      <c r="T7" s="21">
        <f t="shared" si="4"/>
        <v>43300</v>
      </c>
      <c r="U7" s="53">
        <f>IF($J7="","",ROUND(($J7-$J$3)/1000,1)+(_xlfn.RANK.AVG($J7,($J7,$O7,$T7),1)-2)*10)</f>
        <v>-27</v>
      </c>
      <c r="V7" s="54">
        <f>IF($O7="","",ROUND(($O7-$O$3)/1000,1)+(_xlfn.RANK.AVG($O7,($J7,$O7,$T7),1)-2)*10)</f>
        <v>18.7</v>
      </c>
      <c r="W7" s="55">
        <f>IF($T7="","",ROUND(($T7-$T$3)/1000,1)+(_xlfn.RANK.AVG($T7,($J7,$O7,$T7),1)-2)*10)</f>
        <v>8.3000000000000007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>
        <v>2</v>
      </c>
      <c r="AY7" s="30">
        <v>30</v>
      </c>
      <c r="AZ7" s="40" t="s">
        <v>86</v>
      </c>
      <c r="BA7" s="41" t="s">
        <v>79</v>
      </c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202</v>
      </c>
      <c r="G8" s="9">
        <v>-3300</v>
      </c>
      <c r="H8" s="9"/>
      <c r="I8" s="48">
        <v>0</v>
      </c>
      <c r="J8" s="21">
        <f t="shared" si="2"/>
        <v>14700</v>
      </c>
      <c r="K8" s="8" t="s">
        <v>201</v>
      </c>
      <c r="L8" s="9">
        <v>5300</v>
      </c>
      <c r="M8" s="9"/>
      <c r="N8" s="48">
        <v>0</v>
      </c>
      <c r="O8" s="21">
        <f t="shared" si="3"/>
        <v>49000</v>
      </c>
      <c r="P8" s="8" t="s">
        <v>202</v>
      </c>
      <c r="Q8" s="9">
        <v>-2000</v>
      </c>
      <c r="R8" s="9"/>
      <c r="S8" s="48">
        <v>0</v>
      </c>
      <c r="T8" s="21">
        <f t="shared" si="4"/>
        <v>41300</v>
      </c>
      <c r="U8" s="53">
        <f>IF($J8="","",ROUND(($J8-$J$3)/1000,1)+(_xlfn.RANK.AVG($J8,($J8,$O8,$T8),1)-2)*10)</f>
        <v>-30.3</v>
      </c>
      <c r="V8" s="54">
        <f>IF($O8="","",ROUND(($O8-$O$3)/1000,1)+(_xlfn.RANK.AVG($O8,($J8,$O8,$T8),1)-2)*10)</f>
        <v>24</v>
      </c>
      <c r="W8" s="55">
        <f>IF($T8="","",ROUND(($T8-$T$3)/1000,1)+(_xlfn.RANK.AVG($T8,($J8,$O8,$T8),1)-2)*10)</f>
        <v>6.3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20</v>
      </c>
      <c r="AZ8" s="40" t="s">
        <v>203</v>
      </c>
      <c r="BA8" s="41" t="s">
        <v>82</v>
      </c>
      <c r="BB8" s="41" t="s">
        <v>83</v>
      </c>
      <c r="BC8" s="41" t="s">
        <v>80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202</v>
      </c>
      <c r="G9" s="9">
        <v>-1500</v>
      </c>
      <c r="H9" s="9"/>
      <c r="I9" s="48">
        <v>0</v>
      </c>
      <c r="J9" s="21">
        <f t="shared" si="2"/>
        <v>13200</v>
      </c>
      <c r="K9" s="8" t="s">
        <v>202</v>
      </c>
      <c r="L9" s="9">
        <v>-2500</v>
      </c>
      <c r="M9" s="9"/>
      <c r="N9" s="48">
        <v>0</v>
      </c>
      <c r="O9" s="21">
        <f t="shared" si="3"/>
        <v>46500</v>
      </c>
      <c r="P9" s="8" t="s">
        <v>201</v>
      </c>
      <c r="Q9" s="9">
        <v>4000</v>
      </c>
      <c r="R9" s="9"/>
      <c r="S9" s="48">
        <v>0</v>
      </c>
      <c r="T9" s="21">
        <f t="shared" si="4"/>
        <v>45300</v>
      </c>
      <c r="U9" s="53">
        <f>IF($J9="","",ROUND(($J9-$J$3)/1000,1)+(_xlfn.RANK.AVG($J9,($J9,$O9,$T9),1)-2)*10)</f>
        <v>-31.8</v>
      </c>
      <c r="V9" s="54">
        <f>IF($O9="","",ROUND(($O9-$O$3)/1000,1)+(_xlfn.RANK.AVG($O9,($J9,$O9,$T9),1)-2)*10)</f>
        <v>21.5</v>
      </c>
      <c r="W9" s="55">
        <f>IF($T9="","",ROUND(($T9-$T$3)/1000,1)+(_xlfn.RANK.AVG($T9,($J9,$O9,$T9),1)-2)*10)</f>
        <v>10.3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3</v>
      </c>
      <c r="BT9" s="30">
        <v>30</v>
      </c>
      <c r="BU9" s="40" t="s">
        <v>86</v>
      </c>
      <c r="BV9" s="41" t="s">
        <v>79</v>
      </c>
      <c r="BW9" s="41" t="s">
        <v>79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/>
      <c r="G10" s="9"/>
      <c r="H10" s="9"/>
      <c r="I10" s="48"/>
      <c r="J10" s="21">
        <f t="shared" si="2"/>
        <v>13200</v>
      </c>
      <c r="K10" s="8" t="s">
        <v>197</v>
      </c>
      <c r="L10" s="9">
        <v>-3900</v>
      </c>
      <c r="M10" s="9"/>
      <c r="N10" s="48">
        <v>0</v>
      </c>
      <c r="O10" s="21">
        <f t="shared" si="3"/>
        <v>42600</v>
      </c>
      <c r="P10" s="8" t="s">
        <v>198</v>
      </c>
      <c r="Q10" s="9">
        <v>3900</v>
      </c>
      <c r="R10" s="9"/>
      <c r="S10" s="48">
        <v>0</v>
      </c>
      <c r="T10" s="21">
        <f t="shared" si="4"/>
        <v>49200</v>
      </c>
      <c r="U10" s="53">
        <f>IF($J10="","",ROUND(($J10-$J$3)/1000,1)+(_xlfn.RANK.AVG($J10,($J10,$O10,$T10),1)-2)*10)</f>
        <v>-31.8</v>
      </c>
      <c r="V10" s="54">
        <f>IF($O10="","",ROUND(($O10-$O$3)/1000,1)+(_xlfn.RANK.AVG($O10,($J10,$O10,$T10),1)-2)*10)</f>
        <v>7.6</v>
      </c>
      <c r="W10" s="55">
        <f>IF($T10="","",ROUND(($T10-$T$3)/1000,1)+(_xlfn.RANK.AVG($T10,($J10,$O10,$T10),1)-2)*10)</f>
        <v>24.2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40</v>
      </c>
      <c r="BU10" s="40" t="s">
        <v>86</v>
      </c>
      <c r="BV10" s="41" t="s">
        <v>200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qref="F1:T1" xr:uid="{C0DEFBA7-B73C-4A5F-8B01-0840DE1D3A1F}">
      <formula1>"たかの,だいち,ただ,りくと,れんたろう,まっつん,のり,ぱぱ,ほたに,いっしー,ともき,たか,ゆう,"</formula1>
    </dataValidation>
    <dataValidation type="list" showInputMessage="1" showErrorMessage="1" sqref="K4:K30 P4:P30 F4:F30" xr:uid="{D66E38BB-88E3-40AA-8B1A-92A77AC6E543}">
      <formula1>"ロン,ツモ,放銃,ツモ支払,流局,チョンボ"</formula1>
    </dataValidation>
    <dataValidation type="list" allowBlank="1" showInputMessage="1" showErrorMessage="1" sqref="E4:E30" xr:uid="{592579CF-81A0-4876-BD3E-9ED67982A20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55182-10EF-4ADF-AF66-B5D8D5C0EB39}">
  <sheetPr codeName="Sheet14">
    <pageSetUpPr fitToPage="1"/>
  </sheetPr>
  <dimension ref="A1:CI30"/>
  <sheetViews>
    <sheetView tabSelected="1" zoomScaleNormal="100" workbookViewId="0">
      <selection activeCell="P2" sqref="P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75" t="s">
        <v>0</v>
      </c>
      <c r="B1" s="77" t="s">
        <v>2</v>
      </c>
      <c r="C1" s="77" t="s">
        <v>1</v>
      </c>
      <c r="D1" s="77" t="s">
        <v>21</v>
      </c>
      <c r="E1" s="79" t="s">
        <v>3</v>
      </c>
      <c r="F1" s="71" t="s">
        <v>196</v>
      </c>
      <c r="G1" s="72"/>
      <c r="H1" s="72"/>
      <c r="I1" s="73"/>
      <c r="J1" s="74"/>
      <c r="K1" s="71" t="s">
        <v>205</v>
      </c>
      <c r="L1" s="72"/>
      <c r="M1" s="72"/>
      <c r="N1" s="73"/>
      <c r="O1" s="74"/>
      <c r="P1" s="71" t="s">
        <v>194</v>
      </c>
      <c r="Q1" s="72"/>
      <c r="R1" s="72"/>
      <c r="S1" s="73"/>
      <c r="T1" s="74"/>
      <c r="U1" s="71" t="s">
        <v>6</v>
      </c>
      <c r="V1" s="72"/>
      <c r="W1" s="74"/>
      <c r="Y1" s="71" t="str">
        <f>F1</f>
        <v>ただ</v>
      </c>
      <c r="Z1" s="8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4"/>
      <c r="AT1" s="71" t="str">
        <f>K1</f>
        <v>たかの</v>
      </c>
      <c r="AU1" s="8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4"/>
      <c r="BO1" s="71" t="str">
        <f>P1</f>
        <v>れんたろう</v>
      </c>
      <c r="BP1" s="8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  <c r="CF1" s="72"/>
      <c r="CG1" s="72"/>
      <c r="CH1" s="72"/>
      <c r="CI1" s="74"/>
    </row>
    <row r="2" spans="1:87" x14ac:dyDescent="0.45">
      <c r="A2" s="76"/>
      <c r="B2" s="78"/>
      <c r="C2" s="78"/>
      <c r="D2" s="78"/>
      <c r="E2" s="80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ただ</v>
      </c>
      <c r="V2" s="70" t="str">
        <f>$K$1</f>
        <v>たかの</v>
      </c>
      <c r="W2" s="16" t="str">
        <f>$P$1</f>
        <v>れんたろう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1" t="s">
        <v>20</v>
      </c>
      <c r="AF2" s="81"/>
      <c r="AG2" s="81"/>
      <c r="AH2" s="81"/>
      <c r="AI2" s="81"/>
      <c r="AJ2" s="81"/>
      <c r="AK2" s="81"/>
      <c r="AL2" s="81"/>
      <c r="AM2" s="81"/>
      <c r="AN2" s="81"/>
      <c r="AO2" s="81"/>
      <c r="AP2" s="81"/>
      <c r="AQ2" s="81"/>
      <c r="AR2" s="81"/>
      <c r="AS2" s="8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1" t="s">
        <v>20</v>
      </c>
      <c r="BA2" s="81"/>
      <c r="BB2" s="81"/>
      <c r="BC2" s="81"/>
      <c r="BD2" s="81"/>
      <c r="BE2" s="81"/>
      <c r="BF2" s="81"/>
      <c r="BG2" s="81"/>
      <c r="BH2" s="81"/>
      <c r="BI2" s="81"/>
      <c r="BJ2" s="81"/>
      <c r="BK2" s="81"/>
      <c r="BL2" s="81"/>
      <c r="BM2" s="81"/>
      <c r="BN2" s="8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1" t="s">
        <v>20</v>
      </c>
      <c r="BV2" s="81"/>
      <c r="BW2" s="81"/>
      <c r="BX2" s="81"/>
      <c r="BY2" s="81"/>
      <c r="BZ2" s="81"/>
      <c r="CA2" s="81"/>
      <c r="CB2" s="81"/>
      <c r="CC2" s="81"/>
      <c r="CD2" s="81"/>
      <c r="CE2" s="81"/>
      <c r="CF2" s="81"/>
      <c r="CG2" s="81"/>
      <c r="CH2" s="81"/>
      <c r="CI2" s="81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tr">
        <f>F1</f>
        <v>ただ</v>
      </c>
      <c r="F4" s="8" t="s">
        <v>202</v>
      </c>
      <c r="G4" s="9">
        <v>-4800</v>
      </c>
      <c r="H4" s="9">
        <v>-1000</v>
      </c>
      <c r="I4" s="48">
        <v>0</v>
      </c>
      <c r="J4" s="21">
        <f>IF(COUNTA($F4,$K4,$P4)&gt;0,J3+SUM(G4:I4),"")</f>
        <v>29200</v>
      </c>
      <c r="K4" s="8" t="s">
        <v>201</v>
      </c>
      <c r="L4" s="9">
        <v>7700</v>
      </c>
      <c r="M4" s="9">
        <v>1000</v>
      </c>
      <c r="N4" s="48">
        <v>0</v>
      </c>
      <c r="O4" s="21">
        <f>IF(COUNTA($F4,$K4,$P4)&gt;0,O3+SUM(L4:N4),"")</f>
        <v>43700</v>
      </c>
      <c r="P4" s="8" t="s">
        <v>202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-15.8</v>
      </c>
      <c r="V4" s="54">
        <f>IF($O4="","",ROUND(($O4-$O$3)/1000,1)+(_xlfn.RANK.AVG($O4,($J4,$O4,$T4),1)-2)*10)</f>
        <v>18.7</v>
      </c>
      <c r="W4" s="55">
        <f>IF($T4="","",ROUND(($T4-$T$3)/1000,1)+(_xlfn.RANK.AVG($T4,($J4,$O4,$T4),1)-2)*10)</f>
        <v>-2.9</v>
      </c>
      <c r="Y4" s="8"/>
      <c r="Z4" s="34"/>
      <c r="AA4" s="26">
        <v>1</v>
      </c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4</v>
      </c>
      <c r="AY4" s="30">
        <v>30</v>
      </c>
      <c r="AZ4" s="40" t="s">
        <v>82</v>
      </c>
      <c r="BA4" s="41" t="s">
        <v>85</v>
      </c>
      <c r="BB4" s="41" t="s">
        <v>80</v>
      </c>
      <c r="BC4" s="41" t="s">
        <v>84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204</v>
      </c>
      <c r="F5" s="8" t="s">
        <v>201</v>
      </c>
      <c r="G5" s="9">
        <v>8000</v>
      </c>
      <c r="H5" s="9">
        <v>1000</v>
      </c>
      <c r="I5" s="48">
        <v>0</v>
      </c>
      <c r="J5" s="21">
        <f t="shared" ref="J5:J30" si="2">IF(COUNTA($F5,$K5,$P5)&gt;0,J4+SUM(G5:I5),"")</f>
        <v>38200</v>
      </c>
      <c r="K5" s="8" t="s">
        <v>202</v>
      </c>
      <c r="L5" s="9">
        <v>-5000</v>
      </c>
      <c r="M5" s="9"/>
      <c r="N5" s="48">
        <v>0</v>
      </c>
      <c r="O5" s="21">
        <f t="shared" ref="O5:O30" si="3">IF(COUNTA($F5,$K5,$P5)&gt;0,O4+SUM(L5:N5),"")</f>
        <v>38700</v>
      </c>
      <c r="P5" s="8" t="s">
        <v>202</v>
      </c>
      <c r="Q5" s="9">
        <v>-3000</v>
      </c>
      <c r="R5" s="9">
        <v>-1000</v>
      </c>
      <c r="S5" s="48">
        <v>0</v>
      </c>
      <c r="T5" s="21">
        <f t="shared" ref="T5:T30" si="4">IF(COUNTA($F5,$K5,$P5)&gt;0,T4+SUM(Q5:S5),"")</f>
        <v>28100</v>
      </c>
      <c r="U5" s="53">
        <f>IF($J5="","",ROUND(($J5-$J$3)/1000,1)+(_xlfn.RANK.AVG($J5,($J5,$O5,$T5),1)-2)*10)</f>
        <v>3.2</v>
      </c>
      <c r="V5" s="54">
        <f>IF($O5="","",ROUND(($O5-$O$3)/1000,1)+(_xlfn.RANK.AVG($O5,($J5,$O5,$T5),1)-2)*10)</f>
        <v>13.7</v>
      </c>
      <c r="W5" s="55">
        <f>IF($T5="","",ROUND(($T5-$T$3)/1000,1)+(_xlfn.RANK.AVG($T5,($J5,$O5,$T5),1)-2)*10)</f>
        <v>-16.899999999999999</v>
      </c>
      <c r="Y5" s="8"/>
      <c r="Z5" s="34"/>
      <c r="AA5" s="26"/>
      <c r="AB5" s="26"/>
      <c r="AC5" s="26">
        <v>4</v>
      </c>
      <c r="AD5" s="30">
        <v>40</v>
      </c>
      <c r="AE5" s="40" t="s">
        <v>82</v>
      </c>
      <c r="AF5" s="41" t="s">
        <v>86</v>
      </c>
      <c r="AG5" s="41" t="s">
        <v>79</v>
      </c>
      <c r="AH5" s="41" t="s">
        <v>200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198</v>
      </c>
      <c r="G6" s="9">
        <v>2600</v>
      </c>
      <c r="H6" s="9"/>
      <c r="I6" s="48">
        <v>0</v>
      </c>
      <c r="J6" s="21">
        <f t="shared" si="2"/>
        <v>40800</v>
      </c>
      <c r="K6" s="8" t="s">
        <v>197</v>
      </c>
      <c r="L6" s="9">
        <v>-2600</v>
      </c>
      <c r="M6" s="9"/>
      <c r="N6" s="48">
        <v>0</v>
      </c>
      <c r="O6" s="21">
        <f t="shared" si="3"/>
        <v>36100</v>
      </c>
      <c r="P6" s="8"/>
      <c r="Q6" s="9"/>
      <c r="R6" s="9"/>
      <c r="S6" s="48"/>
      <c r="T6" s="21">
        <f t="shared" si="4"/>
        <v>28100</v>
      </c>
      <c r="U6" s="53">
        <f>IF($J6="","",ROUND(($J6-$J$3)/1000,1)+(_xlfn.RANK.AVG($J6,($J6,$O6,$T6),1)-2)*10)</f>
        <v>15.8</v>
      </c>
      <c r="V6" s="54">
        <f>IF($O6="","",ROUND(($O6-$O$3)/1000,1)+(_xlfn.RANK.AVG($O6,($J6,$O6,$T6),1)-2)*10)</f>
        <v>1.1000000000000001</v>
      </c>
      <c r="W6" s="55">
        <f>IF($T6="","",ROUND(($T6-$T$3)/1000,1)+(_xlfn.RANK.AVG($T6,($J6,$O6,$T6),1)-2)*10)</f>
        <v>-16.899999999999999</v>
      </c>
      <c r="Y6" s="8"/>
      <c r="Z6" s="34"/>
      <c r="AA6" s="26">
        <v>1</v>
      </c>
      <c r="AB6" s="26"/>
      <c r="AC6" s="26">
        <v>2</v>
      </c>
      <c r="AD6" s="30">
        <v>40</v>
      </c>
      <c r="AE6" s="40" t="s">
        <v>203</v>
      </c>
      <c r="AF6" s="41" t="s">
        <v>86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5800</v>
      </c>
      <c r="H7" s="9"/>
      <c r="I7" s="48">
        <v>0</v>
      </c>
      <c r="J7" s="21">
        <f t="shared" si="2"/>
        <v>46600</v>
      </c>
      <c r="K7" s="8"/>
      <c r="L7" s="9"/>
      <c r="M7" s="9"/>
      <c r="N7" s="48"/>
      <c r="O7" s="21">
        <f t="shared" si="3"/>
        <v>36100</v>
      </c>
      <c r="P7" s="8" t="s">
        <v>197</v>
      </c>
      <c r="Q7" s="9">
        <v>-5800</v>
      </c>
      <c r="R7" s="9"/>
      <c r="S7" s="48">
        <v>0</v>
      </c>
      <c r="T7" s="21">
        <f t="shared" si="4"/>
        <v>22300</v>
      </c>
      <c r="U7" s="53">
        <f>IF($J7="","",ROUND(($J7-$J$3)/1000,1)+(_xlfn.RANK.AVG($J7,($J7,$O7,$T7),1)-2)*10)</f>
        <v>21.6</v>
      </c>
      <c r="V7" s="54">
        <f>IF($O7="","",ROUND(($O7-$O$3)/1000,1)+(_xlfn.RANK.AVG($O7,($J7,$O7,$T7),1)-2)*10)</f>
        <v>1.1000000000000001</v>
      </c>
      <c r="W7" s="55">
        <f>IF($T7="","",ROUND(($T7-$T$3)/1000,1)+(_xlfn.RANK.AVG($T7,($J7,$O7,$T7),1)-2)*10)</f>
        <v>-22.7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 t="s">
        <v>86</v>
      </c>
      <c r="AG7" s="41" t="s">
        <v>200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195</v>
      </c>
      <c r="F8" s="8" t="s">
        <v>202</v>
      </c>
      <c r="G8" s="9">
        <v>-2500</v>
      </c>
      <c r="H8" s="9"/>
      <c r="I8" s="48">
        <v>-500</v>
      </c>
      <c r="J8" s="21">
        <f t="shared" si="2"/>
        <v>43600</v>
      </c>
      <c r="K8" s="8" t="s">
        <v>202</v>
      </c>
      <c r="L8" s="9">
        <v>-1500</v>
      </c>
      <c r="M8" s="9"/>
      <c r="N8" s="48">
        <v>-500</v>
      </c>
      <c r="O8" s="21">
        <f t="shared" si="3"/>
        <v>34100</v>
      </c>
      <c r="P8" s="8" t="s">
        <v>201</v>
      </c>
      <c r="Q8" s="9">
        <v>4000</v>
      </c>
      <c r="R8" s="9"/>
      <c r="S8" s="48">
        <v>1000</v>
      </c>
      <c r="T8" s="21">
        <f t="shared" si="4"/>
        <v>27300</v>
      </c>
      <c r="U8" s="53">
        <f>IF($J8="","",ROUND(($J8-$J$3)/1000,1)+(_xlfn.RANK.AVG($J8,($J8,$O8,$T8),1)-2)*10)</f>
        <v>18.600000000000001</v>
      </c>
      <c r="V8" s="54">
        <f>IF($O8="","",ROUND(($O8-$O$3)/1000,1)+(_xlfn.RANK.AVG($O8,($J8,$O8,$T8),1)-2)*10)</f>
        <v>-0.9</v>
      </c>
      <c r="W8" s="55">
        <f>IF($T8="","",ROUND(($T8-$T$3)/1000,1)+(_xlfn.RANK.AVG($T8,($J8,$O8,$T8),1)-2)*10)</f>
        <v>-17.7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86</v>
      </c>
      <c r="BV8" s="41" t="s">
        <v>86</v>
      </c>
      <c r="BW8" s="41" t="s">
        <v>200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204</v>
      </c>
      <c r="F9" s="8" t="s">
        <v>201</v>
      </c>
      <c r="G9" s="9">
        <v>2800</v>
      </c>
      <c r="H9" s="9"/>
      <c r="I9" s="48">
        <v>0</v>
      </c>
      <c r="J9" s="21">
        <f t="shared" si="2"/>
        <v>46400</v>
      </c>
      <c r="K9" s="8" t="s">
        <v>202</v>
      </c>
      <c r="L9" s="9">
        <v>-1700</v>
      </c>
      <c r="M9" s="9"/>
      <c r="N9" s="48">
        <v>0</v>
      </c>
      <c r="O9" s="21">
        <f t="shared" si="3"/>
        <v>32400</v>
      </c>
      <c r="P9" s="8" t="s">
        <v>202</v>
      </c>
      <c r="Q9" s="9">
        <v>-1100</v>
      </c>
      <c r="R9" s="9"/>
      <c r="S9" s="48">
        <v>0</v>
      </c>
      <c r="T9" s="21">
        <f t="shared" si="4"/>
        <v>26200</v>
      </c>
      <c r="U9" s="53">
        <f>IF($J9="","",ROUND(($J9-$J$3)/1000,1)+(_xlfn.RANK.AVG($J9,($J9,$O9,$T9),1)-2)*10)</f>
        <v>21.4</v>
      </c>
      <c r="V9" s="54">
        <f>IF($O9="","",ROUND(($O9-$O$3)/1000,1)+(_xlfn.RANK.AVG($O9,($J9,$O9,$T9),1)-2)*10)</f>
        <v>-2.6</v>
      </c>
      <c r="W9" s="55">
        <f>IF($T9="","",ROUND(($T9-$T$3)/1000,1)+(_xlfn.RANK.AVG($T9,($J9,$O9,$T9),1)-2)*10)</f>
        <v>-18.8</v>
      </c>
      <c r="Y9" s="8"/>
      <c r="Z9" s="34"/>
      <c r="AA9" s="26"/>
      <c r="AB9" s="26"/>
      <c r="AC9" s="26">
        <v>2</v>
      </c>
      <c r="AD9" s="30">
        <v>40</v>
      </c>
      <c r="AE9" s="40" t="s">
        <v>86</v>
      </c>
      <c r="AF9" s="41" t="s">
        <v>200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202</v>
      </c>
      <c r="G10" s="9">
        <v>-12000</v>
      </c>
      <c r="H10" s="9"/>
      <c r="I10" s="48">
        <v>0</v>
      </c>
      <c r="J10" s="21">
        <f t="shared" si="2"/>
        <v>34400</v>
      </c>
      <c r="K10" s="8" t="s">
        <v>202</v>
      </c>
      <c r="L10" s="9">
        <v>-12000</v>
      </c>
      <c r="M10" s="9"/>
      <c r="N10" s="48">
        <v>0</v>
      </c>
      <c r="O10" s="21">
        <f t="shared" si="3"/>
        <v>20400</v>
      </c>
      <c r="P10" s="8" t="s">
        <v>201</v>
      </c>
      <c r="Q10" s="9">
        <v>24000</v>
      </c>
      <c r="R10" s="9"/>
      <c r="S10" s="48">
        <v>0</v>
      </c>
      <c r="T10" s="21">
        <f t="shared" si="4"/>
        <v>50200</v>
      </c>
      <c r="U10" s="53">
        <f>IF($J10="","",ROUND(($J10-$J$3)/1000,1)+(_xlfn.RANK.AVG($J10,($J10,$O10,$T10),1)-2)*10)</f>
        <v>-0.6</v>
      </c>
      <c r="V10" s="54">
        <f>IF($O10="","",ROUND(($O10-$O$3)/1000,1)+(_xlfn.RANK.AVG($O10,($J10,$O10,$T10),1)-2)*10)</f>
        <v>-24.6</v>
      </c>
      <c r="W10" s="55">
        <f>IF($T10="","",ROUND(($T10-$T$3)/1000,1)+(_xlfn.RANK.AVG($T10,($J10,$O10,$T10),1)-2)*10)</f>
        <v>25.2</v>
      </c>
      <c r="Y10" s="8"/>
      <c r="Z10" s="34"/>
      <c r="AA10" s="26"/>
      <c r="AB10" s="26">
        <v>1</v>
      </c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8</v>
      </c>
      <c r="BT10" s="30" t="s">
        <v>199</v>
      </c>
      <c r="BU10" s="40" t="s">
        <v>203</v>
      </c>
      <c r="BV10" s="41" t="s">
        <v>82</v>
      </c>
      <c r="BW10" s="41" t="s">
        <v>83</v>
      </c>
      <c r="BX10" s="41" t="s">
        <v>85</v>
      </c>
      <c r="BY10" s="41" t="s">
        <v>84</v>
      </c>
      <c r="BZ10" s="41" t="s">
        <v>79</v>
      </c>
      <c r="CA10" s="41" t="s">
        <v>80</v>
      </c>
      <c r="CB10" s="41" t="s">
        <v>208</v>
      </c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193</v>
      </c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798CDF7E-D247-4E28-89B0-CC1645F8D561}">
      <formula1>$U$2:$W$2</formula1>
    </dataValidation>
    <dataValidation type="list" showInputMessage="1" showErrorMessage="1" sqref="K4:K30 P4:P30 F4:F30" xr:uid="{37A8ACB4-583E-4932-AEC3-A3C8509D1DEE}">
      <formula1>"ロン,ツモ,放銃,ツモ支払,流局,チョンボ"</formula1>
    </dataValidation>
    <dataValidation type="list" allowBlank="1" showInputMessage="1" sqref="F1:T1" xr:uid="{AEFBBC1C-1310-4CDE-AEEF-A50B5F2FDA1F}">
      <formula1>"たかの,だいち,ただ,りくと,れんたろう,まっつん,のり,ぱぱ,ほたに,いっしー,ともき,たか,ゆう,"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Sheet1</vt:lpstr>
      <vt:lpstr>Sheet2</vt:lpstr>
      <vt:lpstr>Sheet3</vt:lpstr>
      <vt:lpstr>Sheet4</vt:lpstr>
      <vt:lpstr>Sheet5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2020-01-21T16:02:07Z</dcterms:modified>
</cp:coreProperties>
</file>