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FCCD5102-73E5-4132-921F-5756CF8A3EBB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9" i="19" l="1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<sst xmlns="http://schemas.openxmlformats.org/spreadsheetml/2006/main" count="573" uniqueCount="204">
  <si>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</si>
  <si>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</si>
  <si>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</si>
  <si>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</si>
  <si>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</si>
  <si>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</si>
  <si>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</si>
  <si>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</si>
  <si>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</si>
  <si>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</si>
  <si>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</si>
  <si>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</si>
  <si>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</si>
  <si>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</si>
  <si>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</si>
  <si>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</si>
  <si>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</si>
  <si>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</si>
  <si>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</si>
  <si>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</si>
  <si>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</si>
  <si>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</si>
  <si>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</si>
  <si>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</si>
  <si>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</si>
  <si>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</si>
  <si>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</si>
  <si>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</si>
  <si>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</si>
  <si>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</si>
  <si>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</si>
  <si>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</si>
  <si>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</si>
  <si>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</si>
  <si>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</si>
  <si>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</si>
  <si>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</si>
  <si>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</si>
  <si>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</si>
  <si>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</si>
  <si>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</si>
  <si>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</si>
  <si>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</si>
  <si>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</si>
  <si>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</si>
  <si>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</si>
  <si>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</si>
  <si>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</si>
  <si>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</si>
  <si>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</si>
  <si>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</si>
  <si>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</si>
  <si>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</si>
  <si>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</si>
  <si>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</si>
  <si>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</si>
  <si>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</si>
  <si>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</si>
  <si>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</si>
  <si>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</si>
  <si>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</si>
  <si>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</si>
  <si>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</si>
  <si>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</si>
  <si>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</si>
  <si>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</si>
  <si>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</si>
  <si>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</si>
  <si>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</si>
  <si>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</si>
  <si>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</si>
  <si>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</si>
  <si>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</si>
  <si>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</si>
  <si>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</si>
  <si>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</si>
  <si>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</si>
  <si>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</si>
  <si>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</si>
  <si>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</si>
  <si>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</si>
  <si>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</si>
  <si>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</si>
  <si>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</si>
  <si>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</si>
  <si>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</si>
  <si>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</si>
  <si>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</si>
  <si>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</si>
  <si>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</si>
  <si>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</si>
  <si>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</si>
  <si>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</si>
  <si>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</si>
  <si>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</si>
  <si>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</si>
  <si>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</si>
  <si>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</si>
  <si>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</si>
  <si>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</si>
  <si>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</si>
  <si>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</si>
  <si>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</si>
  <si>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</si>
  <si>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</si>
  <si>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</si>
  <si>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</si>
  <si>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</si>
  <si>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</si>
  <si>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</si>
  <si>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</si>
  <si>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</si>
  <si>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</si>
  <si>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</si>
  <si>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</si>
  <si>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</si>
  <si>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</si>
  <si>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</si>
  <si>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</si>
  <si>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</si>
  <si>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</si>
  <si>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</si>
  <si>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</si>
  <si>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</si>
  <si>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</si>
  <si>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</si>
  <si>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</si>
  <si>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</si>
  <si>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</si>
  <si>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</si>
  <si>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</si>
  <si>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</si>
  <si>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</si>
  <si>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</si>
  <si>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</si>
  <si>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</si>
  <si>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</si>
  <si>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</si>
  <si>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</si>
  <si>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</si>
  <si>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</si>
  <si>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</si>
  <si>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</si>
  <si>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</si>
  <si>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</si>
  <si>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</si>
  <si>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</si>
  <si>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</si>
  <si>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</si>
  <si>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</si>
  <si>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</si>
  <si>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</si>
  <si>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</si>
  <si>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</si>
  <si>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</si>
  <si>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</si>
  <si>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</si>
  <si>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</si>
  <si>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</si>
  <si>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</si>
  <si>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</si>
  <si>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</si>
  <si>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</si>
  <si>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</si>
  <si>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</si>
  <si>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</si>
  <si>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</si>
  <si>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</si>
  <si>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</si>
  <si>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</si>
  <si>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</si>
  <si>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</si>
  <si>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</si>
  <si>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</si>
  <si>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</si>
  <si>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</si>
  <si>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</si>
  <si>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</si>
  <si>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</si>
  <si>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</si>
  <si>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</si>
  <si>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</si>
  <si>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</si>
  <si>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</si>
  <si>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</si>
  <si>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</si>
  <si>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</si>
  <si>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</si>
  <si>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</si>
  <si>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</si>
  <si>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</si>
  <si>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</si>
  <si>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</si>
  <si>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</si>
  <si>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</si>
  <si>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</si>
  <si>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</si>
  <si>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</si>
  <si>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</si>
  <si>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*</t>
  </si>
  <si>
    <t>52</t>
  </si>
  <si>
    <t>ツモ</t>
  </si>
  <si>
    <t>ツモ支払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</si>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</sst>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のり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197</v>
      </c>
      <c r="G4" s="9">
        <v>-24000</v>
      </c>
      <c r="H4" s="9"/>
      <c r="I4" s="48">
        <v>0</v>
      </c>
      <c r="J4" s="21">
        <f>IF(COUNTA($F4,$K4,$P4)&gt;0,J3+SUM(G4:I4),"")</f>
        <v>11000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24000</v>
      </c>
      <c r="R4" s="9"/>
      <c r="S4" s="48">
        <v>0</v>
      </c>
      <c r="T4" s="21">
        <f>IF(COUNTA($F4,$K4,$P4)&gt;0,T3+SUM(Q4:S4),"")</f>
        <v>59000</v>
      </c>
      <c r="U4" s="53">
        <f>IF($J4="","",ROUND(($J4-$J$3)/1000,1)+(_xlfn.RANK.AVG($J4,($J4,$O4,$T4),1)-2)*10)</f>
        <v>-34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34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11</v>
      </c>
      <c r="BT4" s="30" t="s">
        <v>199</v>
      </c>
      <c r="BU4" s="40" t="s">
        <v>106</v>
      </c>
      <c r="BV4" s="41" t="s">
        <v>200</v>
      </c>
      <c r="BW4" s="41" t="s">
        <v>85</v>
      </c>
      <c r="BX4" s="41" t="s">
        <v>84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7700</v>
      </c>
      <c r="H5" s="9"/>
      <c r="I5" s="48">
        <v>0</v>
      </c>
      <c r="J5" s="21">
        <f t="shared" ref="J5:J30" si="2">IF(COUNTA($F5,$K5,$P5)&gt;0,J4+SUM(G5:I5),"")</f>
        <v>18700</v>
      </c>
      <c r="K5" s="8" t="s">
        <v>202</v>
      </c>
      <c r="L5" s="9">
        <v>-4800</v>
      </c>
      <c r="M5" s="9"/>
      <c r="N5" s="48">
        <v>0</v>
      </c>
      <c r="O5" s="21">
        <f t="shared" ref="O5:O30" si="3">IF(COUNTA($F5,$K5,$P5)&gt;0,O4+SUM(L5:N5),"")</f>
        <v>30200</v>
      </c>
      <c r="P5" s="8" t="s">
        <v>202</v>
      </c>
      <c r="Q5" s="9">
        <v>-2900</v>
      </c>
      <c r="R5" s="9"/>
      <c r="S5" s="48">
        <v>0</v>
      </c>
      <c r="T5" s="21">
        <f t="shared" ref="T5:T30" si="4">IF(COUNTA($F5,$K5,$P5)&gt;0,T4+SUM(Q5:S5),"")</f>
        <v>56100</v>
      </c>
      <c r="U5" s="53">
        <f>IF($J5="","",ROUND(($J5-$J$3)/1000,1)+(_xlfn.RANK.AVG($J5,($J5,$O5,$T5),1)-2)*10)</f>
        <v>-26.3</v>
      </c>
      <c r="V5" s="54">
        <f>IF($O5="","",ROUND(($O5-$O$3)/1000,1)+(_xlfn.RANK.AVG($O5,($J5,$O5,$T5),1)-2)*10)</f>
        <v>-4.8</v>
      </c>
      <c r="W5" s="55">
        <f>IF($T5="","",ROUND(($T5-$T$3)/1000,1)+(_xlfn.RANK.AVG($T5,($J5,$O5,$T5),1)-2)*10)</f>
        <v>31.1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82</v>
      </c>
      <c r="AF5" s="41" t="s">
        <v>79</v>
      </c>
      <c r="AG5" s="41" t="s">
        <v>86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8000</v>
      </c>
      <c r="H6" s="9"/>
      <c r="I6" s="48">
        <v>0</v>
      </c>
      <c r="J6" s="21">
        <f t="shared" si="2"/>
        <v>26700</v>
      </c>
      <c r="K6" s="8" t="s">
        <v>202</v>
      </c>
      <c r="L6" s="9">
        <v>-3000</v>
      </c>
      <c r="M6" s="9"/>
      <c r="N6" s="48">
        <v>0</v>
      </c>
      <c r="O6" s="21">
        <f t="shared" si="3"/>
        <v>27200</v>
      </c>
      <c r="P6" s="8" t="s">
        <v>202</v>
      </c>
      <c r="Q6" s="9">
        <v>-5000</v>
      </c>
      <c r="R6" s="9"/>
      <c r="S6" s="48">
        <v>0</v>
      </c>
      <c r="T6" s="21">
        <f t="shared" si="4"/>
        <v>51100</v>
      </c>
      <c r="U6" s="53">
        <f>IF($J6="","",ROUND(($J6-$J$3)/1000,1)+(_xlfn.RANK.AVG($J6,($J6,$O6,$T6),1)-2)*10)</f>
        <v>-18.3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26.1</v>
      </c>
      <c r="Y6" s="8"/>
      <c r="Z6" s="34"/>
      <c r="AA6" s="26"/>
      <c r="AB6" s="26"/>
      <c r="AC6" s="26">
        <v>4</v>
      </c>
      <c r="AD6" s="30">
        <v>40</v>
      </c>
      <c r="AE6" s="40" t="s">
        <v>86</v>
      </c>
      <c r="AF6" s="41" t="s">
        <v>82</v>
      </c>
      <c r="AG6" s="41" t="s">
        <v>96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-10000</v>
      </c>
      <c r="H7" s="9"/>
      <c r="I7" s="48">
        <v>0</v>
      </c>
      <c r="J7" s="21">
        <f t="shared" si="2"/>
        <v>16700</v>
      </c>
      <c r="K7" s="8" t="s">
        <v>201</v>
      </c>
      <c r="L7" s="9">
        <v>16000</v>
      </c>
      <c r="M7" s="9"/>
      <c r="N7" s="48">
        <v>0</v>
      </c>
      <c r="O7" s="21">
        <f t="shared" si="3"/>
        <v>43200</v>
      </c>
      <c r="P7" s="8" t="s">
        <v>202</v>
      </c>
      <c r="Q7" s="9">
        <v>-6000</v>
      </c>
      <c r="R7" s="9"/>
      <c r="S7" s="48">
        <v>0</v>
      </c>
      <c r="T7" s="21">
        <f t="shared" si="4"/>
        <v>45100</v>
      </c>
      <c r="U7" s="53">
        <f>IF($J7="","",ROUND(($J7-$J$3)/1000,1)+(_xlfn.RANK.AVG($J7,($J7,$O7,$T7),1)-2)*10)</f>
        <v>-28.3</v>
      </c>
      <c r="V7" s="54">
        <f>IF($O7="","",ROUND(($O7-$O$3)/1000,1)+(_xlfn.RANK.AVG($O7,($J7,$O7,$T7),1)-2)*10)</f>
        <v>8.1999999999999993</v>
      </c>
      <c r="W7" s="55">
        <f>IF($T7="","",ROUND(($T7-$T$3)/1000,1)+(_xlfn.RANK.AVG($T7,($J7,$O7,$T7),1)-2)*10)</f>
        <v>20.100000000000001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8</v>
      </c>
      <c r="AY7" s="30" t="s">
        <v>199</v>
      </c>
      <c r="AZ7" s="40" t="s">
        <v>203</v>
      </c>
      <c r="BA7" s="41" t="s">
        <v>84</v>
      </c>
      <c r="BB7" s="41" t="s">
        <v>106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-500</v>
      </c>
      <c r="H8" s="9"/>
      <c r="I8" s="48">
        <v>0</v>
      </c>
      <c r="J8" s="21">
        <f t="shared" si="2"/>
        <v>16200</v>
      </c>
      <c r="K8" s="8" t="s">
        <v>202</v>
      </c>
      <c r="L8" s="9">
        <v>-700</v>
      </c>
      <c r="M8" s="9"/>
      <c r="N8" s="48">
        <v>0</v>
      </c>
      <c r="O8" s="21">
        <f t="shared" si="3"/>
        <v>42500</v>
      </c>
      <c r="P8" s="8" t="s">
        <v>201</v>
      </c>
      <c r="Q8" s="9">
        <v>1200</v>
      </c>
      <c r="R8" s="9"/>
      <c r="S8" s="48">
        <v>0</v>
      </c>
      <c r="T8" s="21">
        <f t="shared" si="4"/>
        <v>46300</v>
      </c>
      <c r="U8" s="53">
        <f>IF($J8="","",ROUND(($J8-$J$3)/1000,1)+(_xlfn.RANK.AVG($J8,($J8,$O8,$T8),1)-2)*10)</f>
        <v>-28.8</v>
      </c>
      <c r="V8" s="54">
        <f>IF($O8="","",ROUND(($O8-$O$3)/1000,1)+(_xlfn.RANK.AVG($O8,($J8,$O8,$T8),1)-2)*10)</f>
        <v>7.5</v>
      </c>
      <c r="W8" s="55">
        <f>IF($T8="","",ROUND(($T8-$T$3)/1000,1)+(_xlfn.RANK.AVG($T8,($J8,$O8,$T8),1)-2)*10)</f>
        <v>21.3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30</v>
      </c>
      <c r="BU8" s="40" t="s">
        <v>82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-2900</v>
      </c>
      <c r="H9" s="9"/>
      <c r="I9" s="48">
        <v>0</v>
      </c>
      <c r="J9" s="21">
        <f t="shared" si="2"/>
        <v>13300</v>
      </c>
      <c r="K9" s="8"/>
      <c r="L9" s="9"/>
      <c r="M9" s="9">
        <v>-1000</v>
      </c>
      <c r="N9" s="48"/>
      <c r="O9" s="21">
        <f t="shared" si="3"/>
        <v>41500</v>
      </c>
      <c r="P9" s="8" t="s">
        <v>198</v>
      </c>
      <c r="Q9" s="9">
        <v>2900</v>
      </c>
      <c r="R9" s="9">
        <v>1000</v>
      </c>
      <c r="S9" s="48">
        <v>0</v>
      </c>
      <c r="T9" s="21">
        <f t="shared" si="4"/>
        <v>50200</v>
      </c>
      <c r="U9" s="53">
        <f>IF($J9="","",ROUND(($J9-$J$3)/1000,1)+(_xlfn.RANK.AVG($J9,($J9,$O9,$T9),1)-2)*10)</f>
        <v>-31.7</v>
      </c>
      <c r="V9" s="54">
        <f>IF($O9="","",ROUND(($O9-$O$3)/1000,1)+(_xlfn.RANK.AVG($O9,($J9,$O9,$T9),1)-2)*10)</f>
        <v>6.5</v>
      </c>
      <c r="W9" s="55">
        <f>IF($T9="","",ROUND(($T9-$T$3)/1000,1)+(_xlfn.RANK.AVG($T9,($J9,$O9,$T9),1)-2)*10)</f>
        <v>25.2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A23433B-8D15-4860-9DF5-4BEFCE20B70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2020-01-21T11:53:24Z</dcterms:modified>
</cp:coreProperties>
</file>