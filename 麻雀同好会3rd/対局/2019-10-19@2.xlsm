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EAEA6D88-A295-4319-B069-E6344B1CEB52}" xr6:coauthVersionLast="41" xr6:coauthVersionMax="41" xr10:uidLastSave="{00000000-0000-0000-0000-000000000000}"/>
  <bookViews>
    <workbookView xWindow="-120" yWindow="-120" windowWidth="20730" windowHeight="11310" activeTab="2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O12" i="21"/>
  <c r="J12" i="21"/>
  <c r="D12" i="21"/>
  <c r="C12" i="21"/>
  <c r="B12" i="21"/>
  <c r="A12" i="21" s="1"/>
  <c r="D11" i="21"/>
  <c r="C11" i="21"/>
  <c r="D10" i="21"/>
  <c r="C10" i="21"/>
  <c r="D9" i="21"/>
  <c r="C9" i="21"/>
  <c r="D8" i="21"/>
  <c r="C8" i="21"/>
  <c r="D7" i="21"/>
  <c r="C7" i="21"/>
  <c r="D6" i="21"/>
  <c r="B6" i="21"/>
  <c r="B7" i="21" s="1"/>
  <c r="T5" i="21"/>
  <c r="D5" i="21"/>
  <c r="C5" i="21"/>
  <c r="C6" i="21" s="1"/>
  <c r="B5" i="21"/>
  <c r="A5" i="21" s="1"/>
  <c r="T4" i="21"/>
  <c r="W4" i="21" s="1"/>
  <c r="O4" i="21"/>
  <c r="O5" i="21" s="1"/>
  <c r="J4" i="2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D11" i="20"/>
  <c r="C11" i="20"/>
  <c r="D10" i="20"/>
  <c r="C10" i="20"/>
  <c r="D9" i="20"/>
  <c r="C9" i="20"/>
  <c r="D8" i="20"/>
  <c r="C8" i="20"/>
  <c r="D7" i="20"/>
  <c r="D6" i="20"/>
  <c r="T5" i="20"/>
  <c r="T6" i="20" s="1"/>
  <c r="O5" i="20"/>
  <c r="D5" i="20"/>
  <c r="C5" i="20"/>
  <c r="C6" i="20" s="1"/>
  <c r="C7" i="20" s="1"/>
  <c r="B5" i="20"/>
  <c r="A5" i="20" s="1"/>
  <c r="T4" i="20"/>
  <c r="O4" i="20"/>
  <c r="J4" i="20"/>
  <c r="U4" i="20" s="1"/>
  <c r="W3" i="20"/>
  <c r="V3" i="20"/>
  <c r="U3" i="20"/>
  <c r="W2" i="20"/>
  <c r="V2" i="20"/>
  <c r="U2" i="20"/>
  <c r="BO1" i="20"/>
  <c r="AT1" i="20"/>
  <c r="Y1" i="20"/>
  <c r="W12" i="21" l="1"/>
  <c r="V12" i="21"/>
  <c r="U12" i="21"/>
  <c r="A6" i="21"/>
  <c r="V4" i="21"/>
  <c r="O6" i="21"/>
  <c r="B8" i="21"/>
  <c r="A8" i="21" s="1"/>
  <c r="J5" i="21"/>
  <c r="A7" i="21"/>
  <c r="U4" i="21"/>
  <c r="T6" i="21"/>
  <c r="V4" i="20"/>
  <c r="W4" i="20"/>
  <c r="T7" i="20"/>
  <c r="B6" i="20"/>
  <c r="J5" i="20"/>
  <c r="V5" i="20" s="1"/>
  <c r="O6" i="20"/>
  <c r="J6" i="21" l="1"/>
  <c r="U5" i="21"/>
  <c r="V5" i="21"/>
  <c r="T7" i="21"/>
  <c r="B9" i="21"/>
  <c r="A9" i="21"/>
  <c r="O7" i="21"/>
  <c r="W5" i="21"/>
  <c r="O7" i="20"/>
  <c r="W5" i="20"/>
  <c r="U5" i="20"/>
  <c r="J6" i="20"/>
  <c r="V6" i="20" s="1"/>
  <c r="B7" i="20"/>
  <c r="A7" i="20" s="1"/>
  <c r="A6" i="20"/>
  <c r="T8" i="20"/>
  <c r="O8" i="21" l="1"/>
  <c r="V7" i="21"/>
  <c r="U6" i="21"/>
  <c r="J7" i="21"/>
  <c r="V6" i="21"/>
  <c r="B10" i="21"/>
  <c r="A10" i="21"/>
  <c r="W7" i="21"/>
  <c r="T8" i="21"/>
  <c r="W6" i="21"/>
  <c r="T9" i="20"/>
  <c r="O8" i="20"/>
  <c r="B8" i="20"/>
  <c r="A8" i="20"/>
  <c r="U6" i="20"/>
  <c r="J7" i="20"/>
  <c r="V7" i="20" s="1"/>
  <c r="W6" i="20"/>
  <c r="T9" i="21" l="1"/>
  <c r="O9" i="21"/>
  <c r="B11" i="21"/>
  <c r="A11" i="21"/>
  <c r="U7" i="21"/>
  <c r="J8" i="21"/>
  <c r="W8" i="21" s="1"/>
  <c r="T10" i="20"/>
  <c r="U7" i="20"/>
  <c r="J8" i="20"/>
  <c r="W7" i="20"/>
  <c r="B9" i="20"/>
  <c r="V8" i="20"/>
  <c r="O9" i="20"/>
  <c r="V8" i="21" l="1"/>
  <c r="T10" i="21"/>
  <c r="U8" i="21"/>
  <c r="J9" i="21"/>
  <c r="W9" i="21" s="1"/>
  <c r="V9" i="21"/>
  <c r="O10" i="21"/>
  <c r="T11" i="20"/>
  <c r="O10" i="20"/>
  <c r="B10" i="20"/>
  <c r="A9" i="20"/>
  <c r="J9" i="20"/>
  <c r="V9" i="20" s="1"/>
  <c r="U8" i="20"/>
  <c r="W8" i="20"/>
  <c r="T11" i="21" l="1"/>
  <c r="O11" i="21"/>
  <c r="J10" i="21"/>
  <c r="W10" i="21" s="1"/>
  <c r="U9" i="21"/>
  <c r="A10" i="20"/>
  <c r="J10" i="20"/>
  <c r="U9" i="20"/>
  <c r="W9" i="20"/>
  <c r="B11" i="20"/>
  <c r="A11" i="20" s="1"/>
  <c r="O11" i="20"/>
  <c r="V10" i="20"/>
  <c r="U10" i="21" l="1"/>
  <c r="J11" i="21"/>
  <c r="U11" i="21" s="1"/>
  <c r="V10" i="21"/>
  <c r="U10" i="20"/>
  <c r="J11" i="20"/>
  <c r="W10" i="20"/>
  <c r="V11" i="21" l="1"/>
  <c r="W11" i="21"/>
  <c r="U11" i="20"/>
  <c r="W11" i="20"/>
  <c r="V11" i="20"/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O11" i="19"/>
  <c r="V11" i="19" s="1"/>
  <c r="J11" i="19"/>
  <c r="D11" i="19"/>
  <c r="C11" i="19"/>
  <c r="B11" i="19"/>
  <c r="A11" i="19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/>
  <c r="T8" i="19"/>
  <c r="O8" i="19"/>
  <c r="J8" i="19"/>
  <c r="U8" i="19" s="1"/>
  <c r="D8" i="19"/>
  <c r="C8" i="19"/>
  <c r="B8" i="19"/>
  <c r="A8" i="19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U11" i="19" l="1"/>
  <c r="W11" i="19"/>
  <c r="V10" i="19"/>
  <c r="W10" i="19"/>
  <c r="V9" i="19"/>
  <c r="U9" i="19"/>
  <c r="W9" i="19"/>
  <c r="V8" i="19"/>
  <c r="W8" i="19"/>
  <c r="W7" i="19"/>
  <c r="U7" i="19"/>
  <c r="V7" i="19"/>
  <c r="V6" i="19"/>
  <c r="W6" i="19"/>
  <c r="U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<sst xmlns="http://schemas.openxmlformats.org/spreadsheetml/2006/main" count="818" uniqueCount="211">
  <si>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</si>
  <si>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</si>
  <si>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</si>
  <si>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</si>
  <si>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</si>
  <si>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</si>
  <si>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</si>
  <si>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</si>
  <si>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</si>
  <si>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</si>
  <si>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</si>
  <si>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</si>
  <si>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</si>
  <si>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</si>
  <si>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</si>
  <si>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</si>
  <si>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</si>
  <si>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</si>
  <si>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</si>
  <si>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</si>
  <si>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</si>
  <si>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</si>
  <si>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</si>
  <si>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</si>
  <si>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</si>
  <si>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</si>
  <si>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</si>
  <si>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</si>
  <si>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</si>
  <si>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</si>
  <si>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</si>
  <si>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</si>
  <si>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</si>
  <si>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</si>
  <si>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</si>
  <si>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</si>
  <si>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</si>
  <si>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</si>
  <si>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</si>
  <si>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</si>
  <si>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</si>
  <si>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</si>
  <si>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</si>
  <si>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</si>
  <si>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</si>
  <si>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</si>
  <si>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</si>
  <si>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</si>
  <si>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</si>
  <si>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</si>
  <si>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</si>
  <si>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</si>
  <si>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</si>
  <si>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</si>
  <si>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</si>
  <si>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</si>
  <si>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</si>
  <si>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</si>
  <si>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</si>
  <si>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</si>
  <si>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</si>
  <si>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</si>
  <si>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</si>
  <si>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</si>
  <si>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</si>
  <si>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</si>
  <si>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</si>
  <si>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</si>
  <si>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</si>
  <si>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</si>
  <si>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</si>
  <si>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</si>
  <si>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</si>
  <si>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</si>
  <si>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</si>
  <si>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</si>
  <si>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</si>
  <si>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</si>
  <si>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</si>
  <si>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</si>
  <si>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</si>
  <si>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</si>
  <si>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</si>
  <si>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</si>
  <si>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</si>
  <si>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</si>
  <si>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</si>
  <si>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</si>
  <si>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</si>
  <si>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</si>
  <si>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</si>
  <si>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</si>
  <si>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</si>
  <si>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</si>
  <si>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</si>
  <si>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</si>
  <si>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</si>
  <si>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</si>
  <si>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</si>
  <si>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</si>
  <si>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</si>
  <si>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</si>
  <si>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</si>
  <si>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</si>
  <si>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</si>
  <si>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</si>
  <si>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</si>
  <si>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</si>
  <si>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</si>
  <si>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</si>
  <si>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</si>
  <si>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</si>
  <si>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</si>
  <si>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</si>
  <si>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</si>
  <si>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</si>
  <si>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</si>
  <si>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</si>
  <si>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</si>
  <si>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</si>
  <si>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</si>
  <si>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</si>
  <si>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</si>
  <si>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</si>
  <si>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</si>
  <si>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</si>
  <si>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</si>
  <si>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</si>
  <si>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</si>
  <si>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</si>
  <si>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</si>
  <si>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</si>
  <si>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</si>
  <si>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</si>
  <si>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</si>
  <si>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</si>
  <si>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</si>
  <si>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</si>
  <si>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</si>
  <si>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</si>
  <si>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</si>
  <si>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</si>
  <si>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</si>
  <si>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</si>
  <si>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</si>
  <si>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</si>
  <si>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</si>
  <si>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</si>
  <si>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</si>
  <si>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</si>
  <si>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</si>
  <si>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</si>
  <si>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</si>
  <si>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</si>
  <si>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</si>
  <si>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</si>
  <si>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</si>
  <si>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</si>
  <si>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</si>
  <si>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</si>
  <si>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</si>
  <si>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</si>
  <si>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</si>
  <si>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</si>
  <si>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</si>
  <si>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</si>
  <si>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</si>
  <si>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</si>
  <si>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</si>
  <si>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</si>
  <si>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</si>
  <si>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</si>
  <si>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</si>
  <si>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</si>
  <si>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</si>
  <si>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</si>
  <si>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</si>
  <si>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</si>
  <si>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</si>
  <si>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</si>
  <si>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</si>
  <si>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</si>
  <si>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</si>
  <si>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</si>
  <si>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</si>
  <si>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</si>
  <si>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</si>
  <si>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</si>
  <si>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</si>
  <si>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</si>
  <si>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</si>
  <si>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りくと</t>
  </si>
  <si>
    <t>りくと</t>
    <phoneticPr fontId="1"/>
  </si>
  <si>
    <t>れんたろう</t>
  </si>
  <si>
    <t>れんたろう</t>
    <phoneticPr fontId="1"/>
  </si>
  <si>
    <t>だいち</t>
  </si>
  <si>
    <t>だいち</t>
    <phoneticPr fontId="1"/>
  </si>
  <si>
    <t>放銃</t>
  </si>
  <si>
    <t>ロン</t>
  </si>
  <si>
    <t>01</t>
  </si>
  <si>
    <t>52</t>
  </si>
  <si>
    <t>T</t>
  </si>
  <si>
    <t>N</t>
  </si>
  <si>
    <t>流局</t>
    <phoneticPr fontId="1"/>
  </si>
  <si>
    <t>ツモ</t>
  </si>
  <si>
    <t>ツモ支払</t>
  </si>
  <si>
    <t>*</t>
  </si>
  <si>
    <t>02</t>
  </si>
  <si>
    <t>ただ</t>
  </si>
  <si>
    <t>ただ</t>
    <phoneticPr fontId="1"/>
  </si>
  <si>
    <t>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</si>
</sst>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りくと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れんたろう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/>
      <c r="G4" s="9"/>
      <c r="H4" s="9"/>
      <c r="I4" s="48"/>
      <c r="J4" s="21">
        <f>IF(COUNTA($F4,$K4,$P4)&gt;0,J3+SUM(G4:I4),"")</f>
        <v>35000</v>
      </c>
      <c r="K4" s="8" t="s">
        <v>197</v>
      </c>
      <c r="L4" s="9">
        <v>-5800</v>
      </c>
      <c r="M4" s="9">
        <v>-1000</v>
      </c>
      <c r="N4" s="48">
        <v>0</v>
      </c>
      <c r="O4" s="21">
        <f>IF(COUNTA($F4,$K4,$P4)&gt;0,O3+SUM(L4:N4),"")</f>
        <v>28200</v>
      </c>
      <c r="P4" s="8" t="s">
        <v>198</v>
      </c>
      <c r="Q4" s="9">
        <v>5800</v>
      </c>
      <c r="R4" s="9">
        <v>1000</v>
      </c>
      <c r="S4" s="48">
        <v>0</v>
      </c>
      <c r="T4" s="21">
        <f>IF(COUNTA($F4,$K4,$P4)&gt;0,T3+SUM(Q4:S4),"")</f>
        <v>41800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-16.8</v>
      </c>
      <c r="W4" s="55">
        <f>IF($T4="","",ROUND(($T4-$T$3)/1000,1)+(_xlfn.RANK.AVG($T4,($J4,$O4,$T4),1)-2)*10)</f>
        <v>16.8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3</v>
      </c>
      <c r="BT4" s="30">
        <v>30</v>
      </c>
      <c r="BU4" s="40" t="s">
        <v>199</v>
      </c>
      <c r="BV4" s="41" t="s">
        <v>83</v>
      </c>
      <c r="BW4" s="41" t="s">
        <v>200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203</v>
      </c>
      <c r="G5" s="9">
        <v>1500</v>
      </c>
      <c r="H5" s="9"/>
      <c r="I5" s="48"/>
      <c r="J5" s="21">
        <f t="shared" ref="J5:J30" si="2">IF(COUNTA($F5,$K5,$P5)&gt;0,J4+SUM(G5:I5),"")</f>
        <v>36500</v>
      </c>
      <c r="K5" s="8" t="s">
        <v>203</v>
      </c>
      <c r="L5" s="9">
        <v>1500</v>
      </c>
      <c r="M5" s="9">
        <v>-1000</v>
      </c>
      <c r="N5" s="48"/>
      <c r="O5" s="21">
        <f t="shared" ref="O5:O30" si="3">IF(COUNTA($F5,$K5,$P5)&gt;0,O4+SUM(L5:N5),"")</f>
        <v>28700</v>
      </c>
      <c r="P5" s="8" t="s">
        <v>203</v>
      </c>
      <c r="Q5" s="9">
        <v>-3000</v>
      </c>
      <c r="R5" s="9"/>
      <c r="S5" s="48"/>
      <c r="T5" s="21">
        <f t="shared" ref="T5:T30" si="4">IF(COUNTA($F5,$K5,$P5)&gt;0,T4+SUM(Q5:S5),"")</f>
        <v>38800</v>
      </c>
      <c r="U5" s="53">
        <f>IF($J5="","",ROUND(($J5-$J$3)/1000,1)+(_xlfn.RANK.AVG($J5,($J5,$O5,$T5),1)-2)*10)</f>
        <v>1.5</v>
      </c>
      <c r="V5" s="54">
        <f>IF($O5="","",ROUND(($O5-$O$3)/1000,1)+(_xlfn.RANK.AVG($O5,($J5,$O5,$T5),1)-2)*10)</f>
        <v>-16.3</v>
      </c>
      <c r="W5" s="55">
        <f>IF($T5="","",ROUND(($T5-$T$3)/1000,1)+(_xlfn.RANK.AVG($T5,($J5,$O5,$T5),1)-2)*10)</f>
        <v>13.8</v>
      </c>
      <c r="Y5" s="8" t="s">
        <v>201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201</v>
      </c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202</v>
      </c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2</v>
      </c>
      <c r="D6" s="18">
        <f t="shared" si="1"/>
        <v>1</v>
      </c>
      <c r="E6" s="4" t="s">
        <v>191</v>
      </c>
      <c r="F6" s="8" t="s">
        <v>204</v>
      </c>
      <c r="G6" s="9">
        <v>18000</v>
      </c>
      <c r="H6" s="9">
        <v>1000</v>
      </c>
      <c r="I6" s="48">
        <v>2000</v>
      </c>
      <c r="J6" s="21">
        <f t="shared" si="2"/>
        <v>57500</v>
      </c>
      <c r="K6" s="8" t="s">
        <v>205</v>
      </c>
      <c r="L6" s="9">
        <v>-9000</v>
      </c>
      <c r="M6" s="9"/>
      <c r="N6" s="48">
        <v>-1000</v>
      </c>
      <c r="O6" s="21">
        <f t="shared" si="3"/>
        <v>18700</v>
      </c>
      <c r="P6" s="8" t="s">
        <v>205</v>
      </c>
      <c r="Q6" s="9">
        <v>-9000</v>
      </c>
      <c r="R6" s="9"/>
      <c r="S6" s="48">
        <v>-1000</v>
      </c>
      <c r="T6" s="21">
        <f t="shared" si="4"/>
        <v>28800</v>
      </c>
      <c r="U6" s="53">
        <f>IF($J6="","",ROUND(($J6-$J$3)/1000,1)+(_xlfn.RANK.AVG($J6,($J6,$O6,$T6),1)-2)*10)</f>
        <v>32.5</v>
      </c>
      <c r="V6" s="54">
        <f>IF($O6="","",ROUND(($O6-$O$3)/1000,1)+(_xlfn.RANK.AVG($O6,($J6,$O6,$T6),1)-2)*10)</f>
        <v>-26.3</v>
      </c>
      <c r="W6" s="55">
        <f>IF($T6="","",ROUND(($T6-$T$3)/1000,1)+(_xlfn.RANK.AVG($T6,($J6,$O6,$T6),1)-2)*10)</f>
        <v>-6.2</v>
      </c>
      <c r="Y6" s="8"/>
      <c r="Z6" s="34"/>
      <c r="AA6" s="26">
        <v>1</v>
      </c>
      <c r="AB6" s="26"/>
      <c r="AC6" s="26">
        <v>6</v>
      </c>
      <c r="AD6" s="30" t="s">
        <v>206</v>
      </c>
      <c r="AE6" s="40" t="s">
        <v>199</v>
      </c>
      <c r="AF6" s="41" t="s">
        <v>82</v>
      </c>
      <c r="AG6" s="41" t="s">
        <v>83</v>
      </c>
      <c r="AH6" s="41" t="s">
        <v>84</v>
      </c>
      <c r="AI6" s="41" t="s">
        <v>79</v>
      </c>
      <c r="AJ6" s="41" t="s">
        <v>207</v>
      </c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3</v>
      </c>
      <c r="D7" s="18">
        <f t="shared" si="1"/>
        <v>0</v>
      </c>
      <c r="E7" s="4" t="s">
        <v>191</v>
      </c>
      <c r="F7" s="8" t="s">
        <v>205</v>
      </c>
      <c r="G7" s="9">
        <v>-7500</v>
      </c>
      <c r="H7" s="9"/>
      <c r="I7" s="48">
        <v>-1500</v>
      </c>
      <c r="J7" s="21">
        <f t="shared" si="2"/>
        <v>48500</v>
      </c>
      <c r="K7" s="8" t="s">
        <v>205</v>
      </c>
      <c r="L7" s="9">
        <v>-4500</v>
      </c>
      <c r="M7" s="9"/>
      <c r="N7" s="48">
        <v>-1500</v>
      </c>
      <c r="O7" s="21">
        <f t="shared" si="3"/>
        <v>12700</v>
      </c>
      <c r="P7" s="8" t="s">
        <v>204</v>
      </c>
      <c r="Q7" s="9">
        <v>12000</v>
      </c>
      <c r="R7" s="9"/>
      <c r="S7" s="48">
        <v>3000</v>
      </c>
      <c r="T7" s="21">
        <f t="shared" si="4"/>
        <v>43800</v>
      </c>
      <c r="U7" s="53">
        <f>IF($J7="","",ROUND(($J7-$J$3)/1000,1)+(_xlfn.RANK.AVG($J7,($J7,$O7,$T7),1)-2)*10)</f>
        <v>23.5</v>
      </c>
      <c r="V7" s="54">
        <f>IF($O7="","",ROUND(($O7-$O$3)/1000,1)+(_xlfn.RANK.AVG($O7,($J7,$O7,$T7),1)-2)*10)</f>
        <v>-32.299999999999997</v>
      </c>
      <c r="W7" s="55">
        <f>IF($T7="","",ROUND(($T7-$T$3)/1000,1)+(_xlfn.RANK.AVG($T7,($J7,$O7,$T7),1)-2)*10)</f>
        <v>8.8000000000000007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6</v>
      </c>
      <c r="BT7" s="30" t="s">
        <v>206</v>
      </c>
      <c r="BU7" s="40" t="s">
        <v>199</v>
      </c>
      <c r="BV7" s="41" t="s">
        <v>82</v>
      </c>
      <c r="BW7" s="41" t="s">
        <v>86</v>
      </c>
      <c r="BX7" s="41" t="s">
        <v>104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205</v>
      </c>
      <c r="G8" s="9">
        <v>-800</v>
      </c>
      <c r="H8" s="9"/>
      <c r="I8" s="48">
        <v>0</v>
      </c>
      <c r="J8" s="21">
        <f t="shared" si="2"/>
        <v>47700</v>
      </c>
      <c r="K8" s="8" t="s">
        <v>205</v>
      </c>
      <c r="L8" s="9">
        <v>-1300</v>
      </c>
      <c r="M8" s="9"/>
      <c r="N8" s="48">
        <v>0</v>
      </c>
      <c r="O8" s="21">
        <f t="shared" si="3"/>
        <v>11400</v>
      </c>
      <c r="P8" s="8" t="s">
        <v>204</v>
      </c>
      <c r="Q8" s="9">
        <v>2100</v>
      </c>
      <c r="R8" s="9"/>
      <c r="S8" s="48">
        <v>0</v>
      </c>
      <c r="T8" s="21">
        <f t="shared" si="4"/>
        <v>45900</v>
      </c>
      <c r="U8" s="53">
        <f>IF($J8="","",ROUND(($J8-$J$3)/1000,1)+(_xlfn.RANK.AVG($J8,($J8,$O8,$T8),1)-2)*10)</f>
        <v>22.7</v>
      </c>
      <c r="V8" s="54">
        <f>IF($O8="","",ROUND(($O8-$O$3)/1000,1)+(_xlfn.RANK.AVG($O8,($J8,$O8,$T8),1)-2)*10)</f>
        <v>-33.6</v>
      </c>
      <c r="W8" s="55">
        <f>IF($T8="","",ROUND(($T8-$T$3)/1000,1)+(_xlfn.RANK.AVG($T8,($J8,$O8,$T8),1)-2)*10)</f>
        <v>10.9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2</v>
      </c>
      <c r="BT8" s="30">
        <v>30</v>
      </c>
      <c r="BU8" s="40" t="s">
        <v>82</v>
      </c>
      <c r="BV8" s="41" t="s">
        <v>200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195</v>
      </c>
      <c r="F9" s="8" t="s">
        <v>205</v>
      </c>
      <c r="G9" s="9">
        <v>-2900</v>
      </c>
      <c r="H9" s="9">
        <v>-1000</v>
      </c>
      <c r="I9" s="48">
        <v>0</v>
      </c>
      <c r="J9" s="21">
        <f t="shared" si="2"/>
        <v>43800</v>
      </c>
      <c r="K9" s="8" t="s">
        <v>204</v>
      </c>
      <c r="L9" s="9">
        <v>7700</v>
      </c>
      <c r="M9" s="9">
        <v>1000</v>
      </c>
      <c r="N9" s="48">
        <v>0</v>
      </c>
      <c r="O9" s="21">
        <f t="shared" si="3"/>
        <v>20100</v>
      </c>
      <c r="P9" s="8" t="s">
        <v>205</v>
      </c>
      <c r="Q9" s="9">
        <v>-4800</v>
      </c>
      <c r="R9" s="9"/>
      <c r="S9" s="48">
        <v>0</v>
      </c>
      <c r="T9" s="21">
        <f t="shared" si="4"/>
        <v>41100</v>
      </c>
      <c r="U9" s="53">
        <f>IF($J9="","",ROUND(($J9-$J$3)/1000,1)+(_xlfn.RANK.AVG($J9,($J9,$O9,$T9),1)-2)*10)</f>
        <v>18.8</v>
      </c>
      <c r="V9" s="54">
        <f>IF($O9="","",ROUND(($O9-$O$3)/1000,1)+(_xlfn.RANK.AVG($O9,($J9,$O9,$T9),1)-2)*10)</f>
        <v>-24.9</v>
      </c>
      <c r="W9" s="55">
        <f>IF($T9="","",ROUND(($T9-$T$3)/1000,1)+(_xlfn.RANK.AVG($T9,($J9,$O9,$T9),1)-2)*10)</f>
        <v>6.1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4</v>
      </c>
      <c r="AY9" s="30">
        <v>30</v>
      </c>
      <c r="AZ9" s="40" t="s">
        <v>199</v>
      </c>
      <c r="BA9" s="41" t="s">
        <v>82</v>
      </c>
      <c r="BB9" s="41" t="s">
        <v>79</v>
      </c>
      <c r="BC9" s="41" t="s">
        <v>80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191</v>
      </c>
      <c r="F10" s="8" t="s">
        <v>197</v>
      </c>
      <c r="G10" s="9">
        <v>-8000</v>
      </c>
      <c r="H10" s="9"/>
      <c r="I10" s="48">
        <v>0</v>
      </c>
      <c r="J10" s="21">
        <f t="shared" si="2"/>
        <v>35800</v>
      </c>
      <c r="K10" s="8"/>
      <c r="L10" s="9"/>
      <c r="M10" s="9"/>
      <c r="N10" s="48"/>
      <c r="O10" s="21">
        <f t="shared" si="3"/>
        <v>20100</v>
      </c>
      <c r="P10" s="8" t="s">
        <v>198</v>
      </c>
      <c r="Q10" s="9">
        <v>8000</v>
      </c>
      <c r="R10" s="9"/>
      <c r="S10" s="48">
        <v>0</v>
      </c>
      <c r="T10" s="21">
        <f t="shared" si="4"/>
        <v>49100</v>
      </c>
      <c r="U10" s="53">
        <f>IF($J10="","",ROUND(($J10-$J$3)/1000,1)+(_xlfn.RANK.AVG($J10,($J10,$O10,$T10),1)-2)*10)</f>
        <v>0.8</v>
      </c>
      <c r="V10" s="54">
        <f>IF($O10="","",ROUND(($O10-$O$3)/1000,1)+(_xlfn.RANK.AVG($O10,($J10,$O10,$T10),1)-2)*10)</f>
        <v>-24.9</v>
      </c>
      <c r="W10" s="55">
        <f>IF($T10="","",ROUND(($T10-$T$3)/1000,1)+(_xlfn.RANK.AVG($T10,($J10,$O10,$T10),1)-2)*10)</f>
        <v>24.1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5</v>
      </c>
      <c r="BT10" s="30" t="s">
        <v>206</v>
      </c>
      <c r="BU10" s="40" t="s">
        <v>86</v>
      </c>
      <c r="BV10" s="41" t="s">
        <v>79</v>
      </c>
      <c r="BW10" s="41" t="s">
        <v>79</v>
      </c>
      <c r="BX10" s="41" t="s">
        <v>79</v>
      </c>
      <c r="BY10" s="41" t="s">
        <v>200</v>
      </c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193</v>
      </c>
      <c r="F11" s="8" t="s">
        <v>198</v>
      </c>
      <c r="G11" s="9">
        <v>3200</v>
      </c>
      <c r="H11" s="9"/>
      <c r="I11" s="48">
        <v>0</v>
      </c>
      <c r="J11" s="21">
        <f t="shared" si="2"/>
        <v>39000</v>
      </c>
      <c r="K11" s="8" t="s">
        <v>197</v>
      </c>
      <c r="L11" s="9">
        <v>-3200</v>
      </c>
      <c r="M11" s="9"/>
      <c r="N11" s="48">
        <v>0</v>
      </c>
      <c r="O11" s="21">
        <f t="shared" si="3"/>
        <v>16900</v>
      </c>
      <c r="P11" s="8"/>
      <c r="Q11" s="9"/>
      <c r="R11" s="9"/>
      <c r="S11" s="48"/>
      <c r="T11" s="21">
        <f t="shared" si="4"/>
        <v>49100</v>
      </c>
      <c r="U11" s="53">
        <f>IF($J11="","",ROUND(($J11-$J$3)/1000,1)+(_xlfn.RANK.AVG($J11,($J11,$O11,$T11),1)-2)*10)</f>
        <v>4</v>
      </c>
      <c r="V11" s="54">
        <f>IF($O11="","",ROUND(($O11-$O$3)/1000,1)+(_xlfn.RANK.AVG($O11,($J11,$O11,$T11),1)-2)*10)</f>
        <v>-28.1</v>
      </c>
      <c r="W11" s="55">
        <f>IF($T11="","",ROUND(($T11-$T$3)/1000,1)+(_xlfn.RANK.AVG($T11,($J11,$O11,$T11),1)-2)*10)</f>
        <v>24.1</v>
      </c>
      <c r="Y11" s="8"/>
      <c r="Z11" s="34"/>
      <c r="AA11" s="26">
        <v>1</v>
      </c>
      <c r="AB11" s="26"/>
      <c r="AC11" s="26">
        <v>2</v>
      </c>
      <c r="AD11" s="30">
        <v>50</v>
      </c>
      <c r="AE11" s="40" t="s">
        <v>199</v>
      </c>
      <c r="AF11" s="41" t="s">
        <v>86</v>
      </c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A510F84F-8610-4C07-B65F-9B8A3A8B78FA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58878-49C7-465C-A789-8C12C3F10289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209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りくと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れんたろう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204</v>
      </c>
      <c r="G4" s="9">
        <v>6000</v>
      </c>
      <c r="H4" s="9"/>
      <c r="I4" s="48">
        <v>0</v>
      </c>
      <c r="J4" s="21">
        <f>IF(COUNTA($F4,$K4,$P4)&gt;0,J3+SUM(G4:I4),"")</f>
        <v>41000</v>
      </c>
      <c r="K4" s="8" t="s">
        <v>205</v>
      </c>
      <c r="L4" s="9">
        <v>-3000</v>
      </c>
      <c r="M4" s="9"/>
      <c r="N4" s="48">
        <v>0</v>
      </c>
      <c r="O4" s="21">
        <f>IF(COUNTA($F4,$K4,$P4)&gt;0,O3+SUM(L4:N4),"")</f>
        <v>32000</v>
      </c>
      <c r="P4" s="8" t="s">
        <v>205</v>
      </c>
      <c r="Q4" s="9">
        <v>-3000</v>
      </c>
      <c r="R4" s="9"/>
      <c r="S4" s="48">
        <v>0</v>
      </c>
      <c r="T4" s="21">
        <f>IF(COUNTA($F4,$K4,$P4)&gt;0,T3+SUM(Q4:S4),"")</f>
        <v>32000</v>
      </c>
      <c r="U4" s="53">
        <f>IF($J4="","",ROUND(($J4-$J$3)/1000,1)+(_xlfn.RANK.AVG($J4,($J4,$O4,$T4),1)-2)*10)</f>
        <v>16</v>
      </c>
      <c r="V4" s="54">
        <f>IF($O4="","",ROUND(($O4-$O$3)/1000,1)+(_xlfn.RANK.AVG($O4,($J4,$O4,$T4),1)-2)*10)</f>
        <v>-8</v>
      </c>
      <c r="W4" s="55">
        <f>IF($T4="","",ROUND(($T4-$T$3)/1000,1)+(_xlfn.RANK.AVG($T4,($J4,$O4,$T4),1)-2)*10)</f>
        <v>-8</v>
      </c>
      <c r="Y4" s="8"/>
      <c r="Z4" s="34"/>
      <c r="AA4" s="26">
        <v>1</v>
      </c>
      <c r="AB4" s="26"/>
      <c r="AC4" s="26">
        <v>3</v>
      </c>
      <c r="AD4" s="30">
        <v>30</v>
      </c>
      <c r="AE4" s="40" t="s">
        <v>199</v>
      </c>
      <c r="AF4" s="41" t="s">
        <v>82</v>
      </c>
      <c r="AG4" s="41" t="s">
        <v>84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204</v>
      </c>
      <c r="G5" s="9">
        <v>11600</v>
      </c>
      <c r="H5" s="9">
        <v>1000</v>
      </c>
      <c r="I5" s="48">
        <v>1000</v>
      </c>
      <c r="J5" s="21">
        <f t="shared" ref="J5:J30" si="2">IF(COUNTA($F5,$K5,$P5)&gt;0,J4+SUM(G5:I5),"")</f>
        <v>54600</v>
      </c>
      <c r="K5" s="8" t="s">
        <v>205</v>
      </c>
      <c r="L5" s="9">
        <v>-5800</v>
      </c>
      <c r="M5" s="9"/>
      <c r="N5" s="48">
        <v>-500</v>
      </c>
      <c r="O5" s="21">
        <f t="shared" ref="O5:O30" si="3">IF(COUNTA($F5,$K5,$P5)&gt;0,O4+SUM(L5:N5),"")</f>
        <v>25700</v>
      </c>
      <c r="P5" s="8" t="s">
        <v>205</v>
      </c>
      <c r="Q5" s="9">
        <v>-5800</v>
      </c>
      <c r="R5" s="9">
        <v>-1000</v>
      </c>
      <c r="S5" s="48">
        <v>-500</v>
      </c>
      <c r="T5" s="21">
        <f t="shared" ref="T5:T30" si="4">IF(COUNTA($F5,$K5,$P5)&gt;0,T4+SUM(Q5:S5),"")</f>
        <v>24700</v>
      </c>
      <c r="U5" s="53">
        <f>IF($J5="","",ROUND(($J5-$J$3)/1000,1)+(_xlfn.RANK.AVG($J5,($J5,$O5,$T5),1)-2)*10)</f>
        <v>29.6</v>
      </c>
      <c r="V5" s="54">
        <f>IF($O5="","",ROUND(($O5-$O$3)/1000,1)+(_xlfn.RANK.AVG($O5,($J5,$O5,$T5),1)-2)*10)</f>
        <v>-9.3000000000000007</v>
      </c>
      <c r="W5" s="55">
        <f>IF($T5="","",ROUND(($T5-$T$3)/1000,1)+(_xlfn.RANK.AVG($T5,($J5,$O5,$T5),1)-2)*10)</f>
        <v>-20.3</v>
      </c>
      <c r="Y5" s="8"/>
      <c r="Z5" s="34"/>
      <c r="AA5" s="26">
        <v>1</v>
      </c>
      <c r="AB5" s="26"/>
      <c r="AC5" s="26">
        <v>4</v>
      </c>
      <c r="AD5" s="30">
        <v>30</v>
      </c>
      <c r="AE5" s="40" t="s">
        <v>199</v>
      </c>
      <c r="AF5" s="41" t="s">
        <v>82</v>
      </c>
      <c r="AG5" s="41" t="s">
        <v>80</v>
      </c>
      <c r="AH5" s="41" t="s">
        <v>80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191</v>
      </c>
      <c r="F6" s="8" t="s">
        <v>197</v>
      </c>
      <c r="G6" s="9">
        <v>-8000</v>
      </c>
      <c r="H6" s="9"/>
      <c r="I6" s="48">
        <v>-2000</v>
      </c>
      <c r="J6" s="21">
        <f t="shared" si="2"/>
        <v>44600</v>
      </c>
      <c r="K6" s="8"/>
      <c r="L6" s="9"/>
      <c r="M6" s="9">
        <v>-1000</v>
      </c>
      <c r="N6" s="48"/>
      <c r="O6" s="21">
        <f t="shared" si="3"/>
        <v>24700</v>
      </c>
      <c r="P6" s="8" t="s">
        <v>198</v>
      </c>
      <c r="Q6" s="9">
        <v>8000</v>
      </c>
      <c r="R6" s="9">
        <v>1000</v>
      </c>
      <c r="S6" s="48">
        <v>2000</v>
      </c>
      <c r="T6" s="21">
        <f t="shared" si="4"/>
        <v>35700</v>
      </c>
      <c r="U6" s="53">
        <f>IF($J6="","",ROUND(($J6-$J$3)/1000,1)+(_xlfn.RANK.AVG($J6,($J6,$O6,$T6),1)-2)*10)</f>
        <v>19.600000000000001</v>
      </c>
      <c r="V6" s="54">
        <f>IF($O6="","",ROUND(($O6-$O$3)/1000,1)+(_xlfn.RANK.AVG($O6,($J6,$O6,$T6),1)-2)*10)</f>
        <v>-20.3</v>
      </c>
      <c r="W6" s="55">
        <f>IF($T6="","",ROUND(($T6-$T$3)/1000,1)+(_xlfn.RANK.AVG($T6,($J6,$O6,$T6),1)-2)*10)</f>
        <v>0.7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4</v>
      </c>
      <c r="BT6" s="30">
        <v>40</v>
      </c>
      <c r="BU6" s="40" t="s">
        <v>199</v>
      </c>
      <c r="BV6" s="41" t="s">
        <v>86</v>
      </c>
      <c r="BW6" s="41" t="s">
        <v>80</v>
      </c>
      <c r="BX6" s="41" t="s">
        <v>79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193</v>
      </c>
      <c r="F7" s="8" t="s">
        <v>205</v>
      </c>
      <c r="G7" s="9">
        <v>-1100</v>
      </c>
      <c r="H7" s="9"/>
      <c r="I7" s="48">
        <v>0</v>
      </c>
      <c r="J7" s="21">
        <f t="shared" si="2"/>
        <v>43500</v>
      </c>
      <c r="K7" s="8" t="s">
        <v>205</v>
      </c>
      <c r="L7" s="9">
        <v>-1700</v>
      </c>
      <c r="M7" s="9"/>
      <c r="N7" s="48">
        <v>0</v>
      </c>
      <c r="O7" s="21">
        <f t="shared" si="3"/>
        <v>23000</v>
      </c>
      <c r="P7" s="8" t="s">
        <v>204</v>
      </c>
      <c r="Q7" s="9">
        <v>2800</v>
      </c>
      <c r="R7" s="9"/>
      <c r="S7" s="48">
        <v>0</v>
      </c>
      <c r="T7" s="21">
        <f t="shared" si="4"/>
        <v>38500</v>
      </c>
      <c r="U7" s="53">
        <f>IF($J7="","",ROUND(($J7-$J$3)/1000,1)+(_xlfn.RANK.AVG($J7,($J7,$O7,$T7),1)-2)*10)</f>
        <v>18.5</v>
      </c>
      <c r="V7" s="54">
        <f>IF($O7="","",ROUND(($O7-$O$3)/1000,1)+(_xlfn.RANK.AVG($O7,($J7,$O7,$T7),1)-2)*10)</f>
        <v>-22</v>
      </c>
      <c r="W7" s="55">
        <f>IF($T7="","",ROUND(($T7-$T$3)/1000,1)+(_xlfn.RANK.AVG($T7,($J7,$O7,$T7),1)-2)*10)</f>
        <v>3.5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3</v>
      </c>
      <c r="BT7" s="30">
        <v>20</v>
      </c>
      <c r="BU7" s="40" t="s">
        <v>82</v>
      </c>
      <c r="BV7" s="41" t="s">
        <v>83</v>
      </c>
      <c r="BW7" s="41" t="s">
        <v>79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208</v>
      </c>
      <c r="F8" s="8" t="s">
        <v>197</v>
      </c>
      <c r="G8" s="9">
        <v>-8000</v>
      </c>
      <c r="H8" s="9"/>
      <c r="I8" s="48">
        <v>0</v>
      </c>
      <c r="J8" s="21">
        <f t="shared" si="2"/>
        <v>35500</v>
      </c>
      <c r="K8" s="8" t="s">
        <v>198</v>
      </c>
      <c r="L8" s="9">
        <v>8000</v>
      </c>
      <c r="M8" s="9"/>
      <c r="N8" s="48">
        <v>0</v>
      </c>
      <c r="O8" s="21">
        <f t="shared" si="3"/>
        <v>31000</v>
      </c>
      <c r="P8" s="8"/>
      <c r="Q8" s="9"/>
      <c r="R8" s="9"/>
      <c r="S8" s="48"/>
      <c r="T8" s="21">
        <f t="shared" si="4"/>
        <v>38500</v>
      </c>
      <c r="U8" s="53">
        <f>IF($J8="","",ROUND(($J8-$J$3)/1000,1)+(_xlfn.RANK.AVG($J8,($J8,$O8,$T8),1)-2)*10)</f>
        <v>0.5</v>
      </c>
      <c r="V8" s="54">
        <f>IF($O8="","",ROUND(($O8-$O$3)/1000,1)+(_xlfn.RANK.AVG($O8,($J8,$O8,$T8),1)-2)*10)</f>
        <v>-14</v>
      </c>
      <c r="W8" s="55">
        <f>IF($T8="","",ROUND(($T8-$T$3)/1000,1)+(_xlfn.RANK.AVG($T8,($J8,$O8,$T8),1)-2)*10)</f>
        <v>13.5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4</v>
      </c>
      <c r="AY8" s="30">
        <v>40</v>
      </c>
      <c r="AZ8" s="40" t="s">
        <v>104</v>
      </c>
      <c r="BA8" s="41" t="s">
        <v>86</v>
      </c>
      <c r="BB8" s="41" t="s">
        <v>79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191</v>
      </c>
      <c r="F9" s="8" t="s">
        <v>205</v>
      </c>
      <c r="G9" s="9">
        <v>-5000</v>
      </c>
      <c r="H9" s="9"/>
      <c r="I9" s="48">
        <v>0</v>
      </c>
      <c r="J9" s="21">
        <f t="shared" si="2"/>
        <v>30500</v>
      </c>
      <c r="K9" s="8" t="s">
        <v>204</v>
      </c>
      <c r="L9" s="9">
        <v>8000</v>
      </c>
      <c r="M9" s="9"/>
      <c r="N9" s="48">
        <v>0</v>
      </c>
      <c r="O9" s="21">
        <f t="shared" si="3"/>
        <v>39000</v>
      </c>
      <c r="P9" s="8" t="s">
        <v>205</v>
      </c>
      <c r="Q9" s="9">
        <v>-3000</v>
      </c>
      <c r="R9" s="9"/>
      <c r="S9" s="48">
        <v>0</v>
      </c>
      <c r="T9" s="21">
        <f t="shared" si="4"/>
        <v>35500</v>
      </c>
      <c r="U9" s="53">
        <f>IF($J9="","",ROUND(($J9-$J$3)/1000,1)+(_xlfn.RANK.AVG($J9,($J9,$O9,$T9),1)-2)*10)</f>
        <v>-14.5</v>
      </c>
      <c r="V9" s="54">
        <f>IF($O9="","",ROUND(($O9-$O$3)/1000,1)+(_xlfn.RANK.AVG($O9,($J9,$O9,$T9),1)-2)*10)</f>
        <v>14</v>
      </c>
      <c r="W9" s="55">
        <f>IF($T9="","",ROUND(($T9-$T$3)/1000,1)+(_xlfn.RANK.AVG($T9,($J9,$O9,$T9),1)-2)*10)</f>
        <v>0.5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5</v>
      </c>
      <c r="AY9" s="30" t="s">
        <v>206</v>
      </c>
      <c r="AZ9" s="40" t="s">
        <v>199</v>
      </c>
      <c r="BA9" s="41" t="s">
        <v>82</v>
      </c>
      <c r="BB9" s="41" t="s">
        <v>84</v>
      </c>
      <c r="BC9" s="41" t="s">
        <v>200</v>
      </c>
      <c r="BD9" s="41" t="s">
        <v>80</v>
      </c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193</v>
      </c>
      <c r="F10" s="8"/>
      <c r="G10" s="9"/>
      <c r="H10" s="9"/>
      <c r="I10" s="48"/>
      <c r="J10" s="21">
        <f t="shared" si="2"/>
        <v>30500</v>
      </c>
      <c r="K10" s="8" t="s">
        <v>197</v>
      </c>
      <c r="L10" s="9">
        <v>-32000</v>
      </c>
      <c r="M10" s="9"/>
      <c r="N10" s="48">
        <v>0</v>
      </c>
      <c r="O10" s="21">
        <f t="shared" si="3"/>
        <v>7000</v>
      </c>
      <c r="P10" s="8" t="s">
        <v>198</v>
      </c>
      <c r="Q10" s="9">
        <v>32000</v>
      </c>
      <c r="R10" s="9"/>
      <c r="S10" s="48">
        <v>0</v>
      </c>
      <c r="T10" s="21">
        <f t="shared" si="4"/>
        <v>67500</v>
      </c>
      <c r="U10" s="53">
        <f>IF($J10="","",ROUND(($J10-$J$3)/1000,1)+(_xlfn.RANK.AVG($J10,($J10,$O10,$T10),1)-2)*10)</f>
        <v>-4.5</v>
      </c>
      <c r="V10" s="54">
        <f>IF($O10="","",ROUND(($O10-$O$3)/1000,1)+(_xlfn.RANK.AVG($O10,($J10,$O10,$T10),1)-2)*10)</f>
        <v>-38</v>
      </c>
      <c r="W10" s="55">
        <f>IF($T10="","",ROUND(($T10-$T$3)/1000,1)+(_xlfn.RANK.AVG($T10,($J10,$O10,$T10),1)-2)*10)</f>
        <v>42.5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13</v>
      </c>
      <c r="BT10" s="30" t="s">
        <v>206</v>
      </c>
      <c r="BU10" s="40" t="s">
        <v>110</v>
      </c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208</v>
      </c>
      <c r="F11" s="8"/>
      <c r="G11" s="9"/>
      <c r="H11" s="9"/>
      <c r="I11" s="48"/>
      <c r="J11" s="21">
        <f t="shared" si="2"/>
        <v>30500</v>
      </c>
      <c r="K11" s="8" t="s">
        <v>198</v>
      </c>
      <c r="L11" s="9">
        <v>8000</v>
      </c>
      <c r="M11" s="9"/>
      <c r="N11" s="48">
        <v>0</v>
      </c>
      <c r="O11" s="21">
        <f t="shared" si="3"/>
        <v>15000</v>
      </c>
      <c r="P11" s="8" t="s">
        <v>197</v>
      </c>
      <c r="Q11" s="9">
        <v>-8000</v>
      </c>
      <c r="R11" s="9"/>
      <c r="S11" s="48">
        <v>0</v>
      </c>
      <c r="T11" s="21">
        <f t="shared" si="4"/>
        <v>59500</v>
      </c>
      <c r="U11" s="53">
        <f>IF($J11="","",ROUND(($J11-$J$3)/1000,1)+(_xlfn.RANK.AVG($J11,($J11,$O11,$T11),1)-2)*10)</f>
        <v>-4.5</v>
      </c>
      <c r="V11" s="54">
        <f>IF($O11="","",ROUND(($O11-$O$3)/1000,1)+(_xlfn.RANK.AVG($O11,($J11,$O11,$T11),1)-2)*10)</f>
        <v>-30</v>
      </c>
      <c r="W11" s="55">
        <f>IF($T11="","",ROUND(($T11-$T$3)/1000,1)+(_xlfn.RANK.AVG($T11,($J11,$O11,$T11),1)-2)*10)</f>
        <v>34.5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5</v>
      </c>
      <c r="AY11" s="30" t="s">
        <v>206</v>
      </c>
      <c r="AZ11" s="40" t="s">
        <v>199</v>
      </c>
      <c r="BA11" s="41" t="s">
        <v>79</v>
      </c>
      <c r="BB11" s="41" t="s">
        <v>85</v>
      </c>
      <c r="BC11" s="41" t="s">
        <v>80</v>
      </c>
      <c r="BD11" s="41" t="s">
        <v>200</v>
      </c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D36866C2-F518-4599-86F6-A973B931163D}">
      <formula1>"たかの,だいち,ただ,りくと,れんたろう,まっつん,のり,ぱぱ,ほたに,いっしー,"</formula1>
    </dataValidation>
    <dataValidation type="list" showInputMessage="1" showErrorMessage="1" sqref="K4:K30 P4:P30 F4:F30" xr:uid="{3F2C7C3D-C500-4618-B44C-411AE939A4E8}">
      <formula1>"ロン,ツモ,放銃,ツモ支払,流局,チョンボ"</formula1>
    </dataValidation>
    <dataValidation type="list" allowBlank="1" showInputMessage="1" showErrorMessage="1" sqref="E4:E30" xr:uid="{8C1F4E67-58E5-48AE-B90E-09199FB0AE64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EE8E2-5B8C-41C8-9260-2CCF3FFD7752}">
  <sheetPr codeName="Sheet12">
    <pageSetUpPr fitToPage="1"/>
  </sheetPr>
  <dimension ref="A1:CI30"/>
  <sheetViews>
    <sheetView tabSelected="1" zoomScaleNormal="100" workbookViewId="0">
      <selection activeCell="E5" sqref="E5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209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りくと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れんたろう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204</v>
      </c>
      <c r="G4" s="9">
        <v>18000</v>
      </c>
      <c r="H4" s="9"/>
      <c r="I4" s="48">
        <v>0</v>
      </c>
      <c r="J4" s="21">
        <f>IF(COUNTA($F4,$K4,$P4)&gt;0,J3+SUM(G4:I4),"")</f>
        <v>53000</v>
      </c>
      <c r="K4" s="8" t="s">
        <v>205</v>
      </c>
      <c r="L4" s="9">
        <v>-9000</v>
      </c>
      <c r="M4" s="9"/>
      <c r="N4" s="48">
        <v>0</v>
      </c>
      <c r="O4" s="21">
        <f>IF(COUNTA($F4,$K4,$P4)&gt;0,O3+SUM(L4:N4),"")</f>
        <v>26000</v>
      </c>
      <c r="P4" s="8" t="s">
        <v>205</v>
      </c>
      <c r="Q4" s="9">
        <v>-9000</v>
      </c>
      <c r="R4" s="9"/>
      <c r="S4" s="48">
        <v>0</v>
      </c>
      <c r="T4" s="21">
        <f>IF(COUNTA($F4,$K4,$P4)&gt;0,T3+SUM(Q4:S4),"")</f>
        <v>26000</v>
      </c>
      <c r="U4" s="53">
        <f>IF($J4="","",ROUND(($J4-$J$3)/1000,1)+(_xlfn.RANK.AVG($J4,($J4,$O4,$T4),1)-2)*10)</f>
        <v>28</v>
      </c>
      <c r="V4" s="54">
        <f>IF($O4="","",ROUND(($O4-$O$3)/1000,1)+(_xlfn.RANK.AVG($O4,($J4,$O4,$T4),1)-2)*10)</f>
        <v>-14</v>
      </c>
      <c r="W4" s="55">
        <f>IF($T4="","",ROUND(($T4-$T$3)/1000,1)+(_xlfn.RANK.AVG($T4,($J4,$O4,$T4),1)-2)*10)</f>
        <v>-14</v>
      </c>
      <c r="Y4" s="8"/>
      <c r="Z4" s="34"/>
      <c r="AA4" s="26"/>
      <c r="AB4" s="26">
        <v>1</v>
      </c>
      <c r="AC4" s="26">
        <v>6</v>
      </c>
      <c r="AD4" s="30" t="s">
        <v>206</v>
      </c>
      <c r="AE4" s="40" t="s">
        <v>86</v>
      </c>
      <c r="AF4" s="41" t="s">
        <v>86</v>
      </c>
      <c r="AG4" s="41" t="s">
        <v>104</v>
      </c>
      <c r="AH4" s="41" t="s">
        <v>79</v>
      </c>
      <c r="AI4" s="41" t="s">
        <v>200</v>
      </c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197</v>
      </c>
      <c r="G5" s="9">
        <v>-2600</v>
      </c>
      <c r="H5" s="9"/>
      <c r="I5" s="48">
        <v>-1000</v>
      </c>
      <c r="J5" s="21">
        <f t="shared" ref="J5:J30" si="2">IF(COUNTA($F5,$K5,$P5)&gt;0,J4+SUM(G5:I5),"")</f>
        <v>49400</v>
      </c>
      <c r="K5" s="8"/>
      <c r="L5" s="9"/>
      <c r="M5" s="9"/>
      <c r="N5" s="48"/>
      <c r="O5" s="21">
        <f t="shared" ref="O5:O30" si="3">IF(COUNTA($F5,$K5,$P5)&gt;0,O4+SUM(L5:N5),"")</f>
        <v>26000</v>
      </c>
      <c r="P5" s="8" t="s">
        <v>198</v>
      </c>
      <c r="Q5" s="9">
        <v>2600</v>
      </c>
      <c r="R5" s="9"/>
      <c r="S5" s="48">
        <v>1000</v>
      </c>
      <c r="T5" s="21">
        <f t="shared" ref="T5:T30" si="4">IF(COUNTA($F5,$K5,$P5)&gt;0,T4+SUM(Q5:S5),"")</f>
        <v>29600</v>
      </c>
      <c r="U5" s="53">
        <f>IF($J5="","",ROUND(($J5-$J$3)/1000,1)+(_xlfn.RANK.AVG($J5,($J5,$O5,$T5),1)-2)*10)</f>
        <v>24.4</v>
      </c>
      <c r="V5" s="54">
        <f>IF($O5="","",ROUND(($O5-$O$3)/1000,1)+(_xlfn.RANK.AVG($O5,($J5,$O5,$T5),1)-2)*10)</f>
        <v>-19</v>
      </c>
      <c r="W5" s="55">
        <f>IF($T5="","",ROUND(($T5-$T$3)/1000,1)+(_xlfn.RANK.AVG($T5,($J5,$O5,$T5),1)-2)*10)</f>
        <v>-5.4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2</v>
      </c>
      <c r="BT5" s="30">
        <v>40</v>
      </c>
      <c r="BU5" s="40" t="s">
        <v>86</v>
      </c>
      <c r="BV5" s="41" t="s">
        <v>88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/>
      <c r="G6" s="9"/>
      <c r="H6" s="9"/>
      <c r="I6" s="48"/>
      <c r="J6" s="21">
        <f t="shared" si="2"/>
        <v>49400</v>
      </c>
      <c r="K6" s="8" t="s">
        <v>197</v>
      </c>
      <c r="L6" s="9">
        <v>-8000</v>
      </c>
      <c r="M6" s="9">
        <v>-1000</v>
      </c>
      <c r="N6" s="48">
        <v>0</v>
      </c>
      <c r="O6" s="21">
        <f t="shared" si="3"/>
        <v>17000</v>
      </c>
      <c r="P6" s="8" t="s">
        <v>198</v>
      </c>
      <c r="Q6" s="9">
        <v>8000</v>
      </c>
      <c r="R6" s="9">
        <v>1000</v>
      </c>
      <c r="S6" s="48">
        <v>0</v>
      </c>
      <c r="T6" s="21">
        <f t="shared" si="4"/>
        <v>38600</v>
      </c>
      <c r="U6" s="53">
        <f>IF($J6="","",ROUND(($J6-$J$3)/1000,1)+(_xlfn.RANK.AVG($J6,($J6,$O6,$T6),1)-2)*10)</f>
        <v>24.4</v>
      </c>
      <c r="V6" s="54">
        <f>IF($O6="","",ROUND(($O6-$O$3)/1000,1)+(_xlfn.RANK.AVG($O6,($J6,$O6,$T6),1)-2)*10)</f>
        <v>-28</v>
      </c>
      <c r="W6" s="55">
        <f>IF($T6="","",ROUND(($T6-$T$3)/1000,1)+(_xlfn.RANK.AVG($T6,($J6,$O6,$T6),1)-2)*10)</f>
        <v>3.6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5</v>
      </c>
      <c r="BT6" s="30" t="s">
        <v>206</v>
      </c>
      <c r="BU6" s="40" t="s">
        <v>99</v>
      </c>
      <c r="BV6" s="41" t="s">
        <v>79</v>
      </c>
      <c r="BW6" s="41" t="s">
        <v>86</v>
      </c>
      <c r="BX6" s="41" t="s">
        <v>86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208</v>
      </c>
      <c r="F7" s="8"/>
      <c r="G7" s="9"/>
      <c r="H7" s="9"/>
      <c r="I7" s="48"/>
      <c r="J7" s="21">
        <f t="shared" si="2"/>
        <v>49400</v>
      </c>
      <c r="K7" s="8" t="s">
        <v>197</v>
      </c>
      <c r="L7" s="9">
        <v>-12000</v>
      </c>
      <c r="M7" s="9">
        <v>-1000</v>
      </c>
      <c r="N7" s="48">
        <v>0</v>
      </c>
      <c r="O7" s="21">
        <f t="shared" si="3"/>
        <v>4000</v>
      </c>
      <c r="P7" s="8" t="s">
        <v>198</v>
      </c>
      <c r="Q7" s="9">
        <v>12000</v>
      </c>
      <c r="R7" s="9">
        <v>1000</v>
      </c>
      <c r="S7" s="48">
        <v>0</v>
      </c>
      <c r="T7" s="21">
        <f t="shared" si="4"/>
        <v>51600</v>
      </c>
      <c r="U7" s="53">
        <f>IF($J7="","",ROUND(($J7-$J$3)/1000,1)+(_xlfn.RANK.AVG($J7,($J7,$O7,$T7),1)-2)*10)</f>
        <v>14.4</v>
      </c>
      <c r="V7" s="54">
        <f>IF($O7="","",ROUND(($O7-$O$3)/1000,1)+(_xlfn.RANK.AVG($O7,($J7,$O7,$T7),1)-2)*10)</f>
        <v>-41</v>
      </c>
      <c r="W7" s="55">
        <f>IF($T7="","",ROUND(($T7-$T$3)/1000,1)+(_xlfn.RANK.AVG($T7,($J7,$O7,$T7),1)-2)*10)</f>
        <v>26.6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5</v>
      </c>
      <c r="BT7" s="30" t="s">
        <v>206</v>
      </c>
      <c r="BU7" s="40" t="s">
        <v>86</v>
      </c>
      <c r="BV7" s="41" t="s">
        <v>79</v>
      </c>
      <c r="BW7" s="41" t="s">
        <v>79</v>
      </c>
      <c r="BX7" s="41" t="s">
        <v>79</v>
      </c>
      <c r="BY7" s="41" t="s">
        <v>200</v>
      </c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208</v>
      </c>
      <c r="F8" s="8" t="s">
        <v>205</v>
      </c>
      <c r="G8" s="9">
        <v>-4500</v>
      </c>
      <c r="H8" s="9"/>
      <c r="I8" s="48">
        <v>-500</v>
      </c>
      <c r="J8" s="21">
        <f t="shared" si="2"/>
        <v>44400</v>
      </c>
      <c r="K8" s="8" t="s">
        <v>204</v>
      </c>
      <c r="L8" s="9">
        <v>12000</v>
      </c>
      <c r="M8" s="9"/>
      <c r="N8" s="48">
        <v>1000</v>
      </c>
      <c r="O8" s="21">
        <f t="shared" si="3"/>
        <v>17000</v>
      </c>
      <c r="P8" s="8" t="s">
        <v>205</v>
      </c>
      <c r="Q8" s="9">
        <v>-7500</v>
      </c>
      <c r="R8" s="9"/>
      <c r="S8" s="48">
        <v>-500</v>
      </c>
      <c r="T8" s="21">
        <f t="shared" si="4"/>
        <v>43600</v>
      </c>
      <c r="U8" s="53">
        <f>IF($J8="","",ROUND(($J8-$J$3)/1000,1)+(_xlfn.RANK.AVG($J8,($J8,$O8,$T8),1)-2)*10)</f>
        <v>19.399999999999999</v>
      </c>
      <c r="V8" s="54">
        <f>IF($O8="","",ROUND(($O8-$O$3)/1000,1)+(_xlfn.RANK.AVG($O8,($J8,$O8,$T8),1)-2)*10)</f>
        <v>-28</v>
      </c>
      <c r="W8" s="55">
        <f>IF($T8="","",ROUND(($T8-$T$3)/1000,1)+(_xlfn.RANK.AVG($T8,($J8,$O8,$T8),1)-2)*10)</f>
        <v>8.6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7</v>
      </c>
      <c r="AY8" s="30" t="s">
        <v>206</v>
      </c>
      <c r="AZ8" s="40" t="s">
        <v>200</v>
      </c>
      <c r="BA8" s="41" t="s">
        <v>210</v>
      </c>
      <c r="BB8" s="41" t="s">
        <v>80</v>
      </c>
      <c r="BC8" s="41" t="s">
        <v>80</v>
      </c>
      <c r="BD8" s="41" t="s">
        <v>80</v>
      </c>
      <c r="BE8" s="41" t="s">
        <v>82</v>
      </c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191</v>
      </c>
      <c r="F9" s="8" t="s">
        <v>205</v>
      </c>
      <c r="G9" s="9">
        <v>-7500</v>
      </c>
      <c r="H9" s="9"/>
      <c r="I9" s="48">
        <v>0</v>
      </c>
      <c r="J9" s="21">
        <f t="shared" si="2"/>
        <v>36900</v>
      </c>
      <c r="K9" s="8" t="s">
        <v>204</v>
      </c>
      <c r="L9" s="9">
        <v>12000</v>
      </c>
      <c r="M9" s="9"/>
      <c r="N9" s="48">
        <v>0</v>
      </c>
      <c r="O9" s="21">
        <f t="shared" si="3"/>
        <v>29000</v>
      </c>
      <c r="P9" s="8" t="s">
        <v>205</v>
      </c>
      <c r="Q9" s="9">
        <v>-4500</v>
      </c>
      <c r="R9" s="9"/>
      <c r="S9" s="48">
        <v>0</v>
      </c>
      <c r="T9" s="21">
        <f t="shared" si="4"/>
        <v>39100</v>
      </c>
      <c r="U9" s="53">
        <f>IF($J9="","",ROUND(($J9-$J$3)/1000,1)+(_xlfn.RANK.AVG($J9,($J9,$O9,$T9),1)-2)*10)</f>
        <v>1.9</v>
      </c>
      <c r="V9" s="54">
        <f>IF($O9="","",ROUND(($O9-$O$3)/1000,1)+(_xlfn.RANK.AVG($O9,($J9,$O9,$T9),1)-2)*10)</f>
        <v>-16</v>
      </c>
      <c r="W9" s="55">
        <f>IF($T9="","",ROUND(($T9-$T$3)/1000,1)+(_xlfn.RANK.AVG($T9,($J9,$O9,$T9),1)-2)*10)</f>
        <v>14.1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6</v>
      </c>
      <c r="AY9" s="30" t="s">
        <v>206</v>
      </c>
      <c r="AZ9" s="40" t="s">
        <v>199</v>
      </c>
      <c r="BA9" s="41" t="s">
        <v>82</v>
      </c>
      <c r="BB9" s="41" t="s">
        <v>85</v>
      </c>
      <c r="BC9" s="41" t="s">
        <v>80</v>
      </c>
      <c r="BD9" s="41" t="s">
        <v>200</v>
      </c>
      <c r="BE9" s="41" t="s">
        <v>84</v>
      </c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193</v>
      </c>
      <c r="F10" s="8" t="s">
        <v>197</v>
      </c>
      <c r="G10" s="9">
        <v>-12000</v>
      </c>
      <c r="H10" s="9">
        <v>-1000</v>
      </c>
      <c r="I10" s="48">
        <v>0</v>
      </c>
      <c r="J10" s="21">
        <f t="shared" si="2"/>
        <v>23900</v>
      </c>
      <c r="K10" s="8" t="s">
        <v>198</v>
      </c>
      <c r="L10" s="9">
        <v>12000</v>
      </c>
      <c r="M10" s="9">
        <v>2000</v>
      </c>
      <c r="N10" s="48">
        <v>0</v>
      </c>
      <c r="O10" s="21">
        <f t="shared" si="3"/>
        <v>43000</v>
      </c>
      <c r="P10" s="8"/>
      <c r="Q10" s="9"/>
      <c r="R10" s="9">
        <v>-1000</v>
      </c>
      <c r="S10" s="48"/>
      <c r="T10" s="21">
        <f t="shared" si="4"/>
        <v>38100</v>
      </c>
      <c r="U10" s="53">
        <f>IF($J10="","",ROUND(($J10-$J$3)/1000,1)+(_xlfn.RANK.AVG($J10,($J10,$O10,$T10),1)-2)*10)</f>
        <v>-21.1</v>
      </c>
      <c r="V10" s="54">
        <f>IF($O10="","",ROUND(($O10-$O$3)/1000,1)+(_xlfn.RANK.AVG($O10,($J10,$O10,$T10),1)-2)*10)</f>
        <v>18</v>
      </c>
      <c r="W10" s="55">
        <f>IF($T10="","",ROUND(($T10-$T$3)/1000,1)+(_xlfn.RANK.AVG($T10,($J10,$O10,$T10),1)-2)*10)</f>
        <v>3.1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4</v>
      </c>
      <c r="AY10" s="30">
        <v>40</v>
      </c>
      <c r="AZ10" s="40" t="s">
        <v>200</v>
      </c>
      <c r="BA10" s="41" t="s">
        <v>80</v>
      </c>
      <c r="BB10" s="41" t="s">
        <v>210</v>
      </c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">
        <v>193</v>
      </c>
      <c r="F11" s="8" t="s">
        <v>205</v>
      </c>
      <c r="G11" s="9">
        <v>-2900</v>
      </c>
      <c r="H11" s="9"/>
      <c r="I11" s="48">
        <v>-500</v>
      </c>
      <c r="J11" s="21">
        <f t="shared" si="2"/>
        <v>20500</v>
      </c>
      <c r="K11" s="8" t="s">
        <v>205</v>
      </c>
      <c r="L11" s="9">
        <v>-4800</v>
      </c>
      <c r="M11" s="9"/>
      <c r="N11" s="48">
        <v>-500</v>
      </c>
      <c r="O11" s="21">
        <f t="shared" si="3"/>
        <v>37700</v>
      </c>
      <c r="P11" s="8" t="s">
        <v>204</v>
      </c>
      <c r="Q11" s="9">
        <v>7700</v>
      </c>
      <c r="R11" s="9"/>
      <c r="S11" s="48">
        <v>1000</v>
      </c>
      <c r="T11" s="21">
        <f t="shared" si="4"/>
        <v>46800</v>
      </c>
      <c r="U11" s="53">
        <f>IF($J11="","",ROUND(($J11-$J$3)/1000,1)+(_xlfn.RANK.AVG($J11,($J11,$O11,$T11),1)-2)*10)</f>
        <v>-24.5</v>
      </c>
      <c r="V11" s="54">
        <f>IF($O11="","",ROUND(($O11-$O$3)/1000,1)+(_xlfn.RANK.AVG($O11,($J11,$O11,$T11),1)-2)*10)</f>
        <v>2.7</v>
      </c>
      <c r="W11" s="55">
        <f>IF($T11="","",ROUND(($T11-$T$3)/1000,1)+(_xlfn.RANK.AVG($T11,($J11,$O11,$T11),1)-2)*10)</f>
        <v>21.8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4</v>
      </c>
      <c r="BT11" s="30">
        <v>30</v>
      </c>
      <c r="BU11" s="40" t="s">
        <v>82</v>
      </c>
      <c r="BV11" s="41" t="s">
        <v>85</v>
      </c>
      <c r="BW11" s="41" t="s">
        <v>79</v>
      </c>
      <c r="BX11" s="41" t="s">
        <v>200</v>
      </c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208</v>
      </c>
      <c r="F12" s="8" t="s">
        <v>205</v>
      </c>
      <c r="G12" s="9">
        <v>-6000</v>
      </c>
      <c r="H12" s="9"/>
      <c r="I12" s="48">
        <v>0</v>
      </c>
      <c r="J12" s="21">
        <f t="shared" si="2"/>
        <v>14500</v>
      </c>
      <c r="K12" s="8" t="s">
        <v>205</v>
      </c>
      <c r="L12" s="9">
        <v>-6000</v>
      </c>
      <c r="M12" s="9"/>
      <c r="N12" s="48">
        <v>0</v>
      </c>
      <c r="O12" s="21">
        <f t="shared" si="3"/>
        <v>31700</v>
      </c>
      <c r="P12" s="8" t="s">
        <v>204</v>
      </c>
      <c r="Q12" s="9">
        <v>12000</v>
      </c>
      <c r="R12" s="9"/>
      <c r="S12" s="48">
        <v>0</v>
      </c>
      <c r="T12" s="21">
        <f t="shared" si="4"/>
        <v>58800</v>
      </c>
      <c r="U12" s="53">
        <f>IF($J12="","",ROUND(($J12-$J$3)/1000,1)+(_xlfn.RANK.AVG($J12,($J12,$O12,$T12),1)-2)*10)</f>
        <v>-30.5</v>
      </c>
      <c r="V12" s="54">
        <f>IF($O12="","",ROUND(($O12-$O$3)/1000,1)+(_xlfn.RANK.AVG($O12,($J12,$O12,$T12),1)-2)*10)</f>
        <v>-3.3</v>
      </c>
      <c r="W12" s="55">
        <f>IF($T12="","",ROUND(($T12-$T$3)/1000,1)+(_xlfn.RANK.AVG($T12,($J12,$O12,$T12),1)-2)*10)</f>
        <v>33.799999999999997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>
        <v>4</v>
      </c>
      <c r="BT12" s="30">
        <v>40</v>
      </c>
      <c r="BU12" s="40" t="s">
        <v>86</v>
      </c>
      <c r="BV12" s="41" t="s">
        <v>104</v>
      </c>
      <c r="BW12" s="41" t="s">
        <v>86</v>
      </c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1</v>
      </c>
      <c r="D13" s="18">
        <f t="shared" si="1"/>
        <v>0</v>
      </c>
      <c r="E13" s="4" t="s">
        <v>208</v>
      </c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FF5EF8A9-B294-4523-B45E-C03851F36221}">
      <formula1>$U$2:$W$2</formula1>
    </dataValidation>
    <dataValidation type="list" showInputMessage="1" showErrorMessage="1" sqref="K4:K30 P4:P30 F4:F30" xr:uid="{108C060C-4725-4982-906A-2106B8B0C509}">
      <formula1>"ロン,ツモ,放銃,ツモ支払,流局,チョンボ"</formula1>
    </dataValidation>
    <dataValidation type="list" allowBlank="1" showInputMessage="1" sqref="F1:T1" xr:uid="{AD948C6C-12D8-4249-A736-EB64AE1F2FEC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2019-10-19T16:00:05Z</dcterms:modified>
</cp:coreProperties>
</file>