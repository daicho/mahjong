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2B5879EF-AD62-466E-B749-3ABBAE877C9F}" xr6:coauthVersionLast="41" xr6:coauthVersionMax="41" xr10:uidLastSave="{00000000-0000-0000-0000-000000000000}"/>
  <bookViews>
    <workbookView xWindow="-120" yWindow="-120" windowWidth="20730" windowHeight="11310" firstSheet="1" activeTab="7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役一覧" sheetId="15" state="hidden" r:id="rId10"/>
    <sheet name="点数表(親ロン)" sheetId="4" state="hidden" r:id="rId11"/>
    <sheet name="点数表(親ツモ)" sheetId="9" state="hidden" r:id="rId12"/>
    <sheet name="点数表(子→親)" sheetId="7" state="hidden" r:id="rId13"/>
    <sheet name="点数表(子ロン)" sheetId="3" state="hidden" r:id="rId14"/>
    <sheet name="点数表(子ツモ)" sheetId="10" state="hidden" r:id="rId15"/>
    <sheet name="点数表(子→子)" sheetId="5" state="hidden" r:id="rId16"/>
    <sheet name="点数表(親→子)" sheetId="6" state="hidden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7" l="1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D12" i="27"/>
  <c r="C12" i="27"/>
  <c r="D11" i="27"/>
  <c r="C11" i="27"/>
  <c r="D10" i="27"/>
  <c r="C10" i="27"/>
  <c r="D9" i="27"/>
  <c r="C9" i="27"/>
  <c r="D8" i="27"/>
  <c r="D7" i="27"/>
  <c r="C7" i="27"/>
  <c r="C8" i="27" s="1"/>
  <c r="D6" i="27"/>
  <c r="B6" i="27"/>
  <c r="B7" i="27" s="1"/>
  <c r="A6" i="27"/>
  <c r="T5" i="27"/>
  <c r="D5" i="27"/>
  <c r="C5" i="27"/>
  <c r="C6" i="27" s="1"/>
  <c r="B5" i="27"/>
  <c r="A5" i="27" s="1"/>
  <c r="T4" i="27"/>
  <c r="O4" i="27"/>
  <c r="O5" i="27" s="1"/>
  <c r="J4" i="27"/>
  <c r="W3" i="27"/>
  <c r="V3" i="27"/>
  <c r="U3" i="27"/>
  <c r="W2" i="27"/>
  <c r="V2" i="27"/>
  <c r="U2" i="27"/>
  <c r="BO1" i="27"/>
  <c r="AT1" i="27"/>
  <c r="Y1" i="27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D12" i="26"/>
  <c r="C12" i="26"/>
  <c r="D11" i="26"/>
  <c r="C11" i="26"/>
  <c r="D10" i="26"/>
  <c r="D9" i="26"/>
  <c r="C9" i="26"/>
  <c r="C10" i="26" s="1"/>
  <c r="D8" i="26"/>
  <c r="C8" i="26"/>
  <c r="D7" i="26"/>
  <c r="C7" i="26"/>
  <c r="D6" i="26"/>
  <c r="T5" i="26"/>
  <c r="T6" i="26" s="1"/>
  <c r="O5" i="26"/>
  <c r="D5" i="26"/>
  <c r="C5" i="26"/>
  <c r="C6" i="26" s="1"/>
  <c r="B5" i="26"/>
  <c r="A5" i="26" s="1"/>
  <c r="T4" i="26"/>
  <c r="O4" i="26"/>
  <c r="J4" i="26"/>
  <c r="W3" i="26"/>
  <c r="V3" i="26"/>
  <c r="U3" i="26"/>
  <c r="W2" i="26"/>
  <c r="V2" i="26"/>
  <c r="U2" i="26"/>
  <c r="BO1" i="26"/>
  <c r="AT1" i="26"/>
  <c r="Y1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 s="1"/>
  <c r="T12" i="25"/>
  <c r="O12" i="25"/>
  <c r="J12" i="25"/>
  <c r="D12" i="25"/>
  <c r="C12" i="25"/>
  <c r="B12" i="25"/>
  <c r="A12" i="25" s="1"/>
  <c r="T11" i="25"/>
  <c r="O11" i="25"/>
  <c r="J11" i="25"/>
  <c r="D11" i="25"/>
  <c r="C11" i="25"/>
  <c r="B11" i="25"/>
  <c r="A11" i="25" s="1"/>
  <c r="T10" i="25"/>
  <c r="O10" i="25"/>
  <c r="J10" i="25"/>
  <c r="D10" i="25"/>
  <c r="C10" i="25"/>
  <c r="B10" i="25"/>
  <c r="A10" i="25" s="1"/>
  <c r="D9" i="25"/>
  <c r="C9" i="25"/>
  <c r="D8" i="25"/>
  <c r="C8" i="25"/>
  <c r="D7" i="25"/>
  <c r="C7" i="25"/>
  <c r="D6" i="25"/>
  <c r="C6" i="25"/>
  <c r="T5" i="25"/>
  <c r="O5" i="25"/>
  <c r="D5" i="25"/>
  <c r="C5" i="25"/>
  <c r="B5" i="25"/>
  <c r="T4" i="25"/>
  <c r="O4" i="25"/>
  <c r="J4" i="25"/>
  <c r="W3" i="25"/>
  <c r="V3" i="25"/>
  <c r="U3" i="25"/>
  <c r="W2" i="25"/>
  <c r="V2" i="25"/>
  <c r="U2" i="25"/>
  <c r="BO1" i="25"/>
  <c r="AT1" i="25"/>
  <c r="Y1" i="25"/>
  <c r="W4" i="27" l="1"/>
  <c r="V4" i="27"/>
  <c r="O6" i="27"/>
  <c r="B8" i="27"/>
  <c r="A8" i="27" s="1"/>
  <c r="J5" i="27"/>
  <c r="W5" i="27" s="1"/>
  <c r="A7" i="27"/>
  <c r="U4" i="27"/>
  <c r="T6" i="27"/>
  <c r="U4" i="26"/>
  <c r="V4" i="26"/>
  <c r="W4" i="26"/>
  <c r="T7" i="26"/>
  <c r="B6" i="26"/>
  <c r="J5" i="26"/>
  <c r="V5" i="26" s="1"/>
  <c r="O6" i="26"/>
  <c r="U12" i="25"/>
  <c r="V12" i="25"/>
  <c r="W12" i="25"/>
  <c r="U11" i="25"/>
  <c r="V11" i="25"/>
  <c r="W11" i="25"/>
  <c r="U10" i="25"/>
  <c r="V10" i="25"/>
  <c r="W10" i="25"/>
  <c r="W4" i="25"/>
  <c r="V4" i="25"/>
  <c r="U4" i="25"/>
  <c r="B6" i="25"/>
  <c r="A6" i="25" s="1"/>
  <c r="J5" i="25"/>
  <c r="W5" i="25" s="1"/>
  <c r="O6" i="25"/>
  <c r="A5" i="25"/>
  <c r="T6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D11" i="24"/>
  <c r="C11" i="24"/>
  <c r="D10" i="24"/>
  <c r="C10" i="24"/>
  <c r="D9" i="24"/>
  <c r="C9" i="24"/>
  <c r="D8" i="24"/>
  <c r="C8" i="24"/>
  <c r="O7" i="24"/>
  <c r="O8" i="24" s="1"/>
  <c r="D7" i="24"/>
  <c r="C7" i="24"/>
  <c r="O6" i="24"/>
  <c r="D6" i="24"/>
  <c r="C6" i="24"/>
  <c r="T5" i="24"/>
  <c r="T6" i="24" s="1"/>
  <c r="O5" i="24"/>
  <c r="D5" i="24"/>
  <c r="C5" i="24"/>
  <c r="B5" i="24"/>
  <c r="B6" i="24" s="1"/>
  <c r="T4" i="24"/>
  <c r="O4" i="24"/>
  <c r="J4" i="24"/>
  <c r="J5" i="24" s="1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 s="1"/>
  <c r="T11" i="23"/>
  <c r="O11" i="23"/>
  <c r="J11" i="23"/>
  <c r="D11" i="23"/>
  <c r="C11" i="23"/>
  <c r="B11" i="23"/>
  <c r="A11" i="23" s="1"/>
  <c r="D10" i="23"/>
  <c r="C10" i="23"/>
  <c r="D9" i="23"/>
  <c r="C9" i="23"/>
  <c r="D8" i="23"/>
  <c r="C8" i="23"/>
  <c r="C7" i="23"/>
  <c r="D6" i="23"/>
  <c r="D7" i="23" s="1"/>
  <c r="C6" i="23"/>
  <c r="T5" i="23"/>
  <c r="T6" i="23" s="1"/>
  <c r="O5" i="23"/>
  <c r="D5" i="23"/>
  <c r="C5" i="23"/>
  <c r="B5" i="23"/>
  <c r="T4" i="23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D12" i="22"/>
  <c r="C12" i="22"/>
  <c r="D11" i="22"/>
  <c r="C11" i="22"/>
  <c r="D10" i="22"/>
  <c r="C10" i="22"/>
  <c r="D9" i="22"/>
  <c r="C9" i="22"/>
  <c r="D7" i="22"/>
  <c r="D8" i="22" s="1"/>
  <c r="C7" i="22"/>
  <c r="C8" i="22" s="1"/>
  <c r="O6" i="22"/>
  <c r="O7" i="22" s="1"/>
  <c r="D6" i="22"/>
  <c r="C6" i="22"/>
  <c r="O5" i="22"/>
  <c r="J5" i="22"/>
  <c r="D5" i="22"/>
  <c r="C5" i="22"/>
  <c r="B5" i="22"/>
  <c r="B6" i="22" s="1"/>
  <c r="T4" i="22"/>
  <c r="O4" i="22"/>
  <c r="J4" i="22"/>
  <c r="U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/>
  <c r="T10" i="21"/>
  <c r="O10" i="21"/>
  <c r="J10" i="21"/>
  <c r="D10" i="21"/>
  <c r="C10" i="21"/>
  <c r="B10" i="21"/>
  <c r="A10" i="21"/>
  <c r="T9" i="21"/>
  <c r="O9" i="21"/>
  <c r="J9" i="21"/>
  <c r="U9" i="21" s="1"/>
  <c r="D9" i="21"/>
  <c r="C9" i="21"/>
  <c r="B9" i="21"/>
  <c r="A9" i="21"/>
  <c r="D8" i="21"/>
  <c r="C8" i="21"/>
  <c r="D7" i="21"/>
  <c r="C7" i="21"/>
  <c r="D6" i="21"/>
  <c r="T5" i="21"/>
  <c r="T6" i="21" s="1"/>
  <c r="O5" i="21"/>
  <c r="D5" i="21"/>
  <c r="C5" i="21"/>
  <c r="C6" i="21" s="1"/>
  <c r="B5" i="21"/>
  <c r="B6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D9" i="20"/>
  <c r="C9" i="20"/>
  <c r="D8" i="20"/>
  <c r="C8" i="20"/>
  <c r="D7" i="20"/>
  <c r="C7" i="20"/>
  <c r="D6" i="20"/>
  <c r="C6" i="20"/>
  <c r="T5" i="20"/>
  <c r="O5" i="20"/>
  <c r="D5" i="20"/>
  <c r="C5" i="20"/>
  <c r="B5" i="20"/>
  <c r="A5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O7" i="27" l="1"/>
  <c r="T7" i="27"/>
  <c r="B9" i="27"/>
  <c r="A9" i="27" s="1"/>
  <c r="U5" i="27"/>
  <c r="J6" i="27"/>
  <c r="V6" i="27" s="1"/>
  <c r="V5" i="27"/>
  <c r="T8" i="26"/>
  <c r="O7" i="26"/>
  <c r="U5" i="26"/>
  <c r="J6" i="26"/>
  <c r="W5" i="26"/>
  <c r="B7" i="26"/>
  <c r="A6" i="26"/>
  <c r="T7" i="25"/>
  <c r="U5" i="25"/>
  <c r="J6" i="25"/>
  <c r="W6" i="25" s="1"/>
  <c r="B7" i="25"/>
  <c r="A7" i="25" s="1"/>
  <c r="V6" i="25"/>
  <c r="O7" i="25"/>
  <c r="V5" i="25"/>
  <c r="V5" i="24"/>
  <c r="W4" i="24"/>
  <c r="V4" i="24"/>
  <c r="U4" i="24"/>
  <c r="W5" i="24"/>
  <c r="U5" i="24"/>
  <c r="J6" i="24"/>
  <c r="W6" i="24" s="1"/>
  <c r="O9" i="24"/>
  <c r="T7" i="24"/>
  <c r="B7" i="24"/>
  <c r="A5" i="24"/>
  <c r="A6" i="24" s="1"/>
  <c r="U11" i="23"/>
  <c r="W11" i="23"/>
  <c r="V11" i="23"/>
  <c r="U4" i="23"/>
  <c r="V4" i="23"/>
  <c r="W4" i="23"/>
  <c r="T7" i="23"/>
  <c r="B6" i="23"/>
  <c r="A6" i="23" s="1"/>
  <c r="J5" i="23"/>
  <c r="V5" i="23" s="1"/>
  <c r="O6" i="23"/>
  <c r="A5" i="23"/>
  <c r="A5" i="22"/>
  <c r="V4" i="22"/>
  <c r="O8" i="22"/>
  <c r="A6" i="22"/>
  <c r="B7" i="22"/>
  <c r="A7" i="22" s="1"/>
  <c r="J6" i="22"/>
  <c r="W4" i="22"/>
  <c r="T5" i="22"/>
  <c r="V5" i="22" s="1"/>
  <c r="U12" i="21"/>
  <c r="V12" i="21"/>
  <c r="V11" i="21"/>
  <c r="W11" i="21"/>
  <c r="U10" i="21"/>
  <c r="V10" i="21"/>
  <c r="W10" i="21"/>
  <c r="V9" i="21"/>
  <c r="W9" i="21"/>
  <c r="V5" i="21"/>
  <c r="V4" i="21"/>
  <c r="W4" i="21"/>
  <c r="U4" i="21"/>
  <c r="B7" i="21"/>
  <c r="U5" i="21"/>
  <c r="J6" i="21"/>
  <c r="W6" i="21" s="1"/>
  <c r="W5" i="21"/>
  <c r="T7" i="21"/>
  <c r="O6" i="21"/>
  <c r="A5" i="21"/>
  <c r="A6" i="21"/>
  <c r="V4" i="20"/>
  <c r="W4" i="20"/>
  <c r="B6" i="20"/>
  <c r="A6" i="20" s="1"/>
  <c r="J5" i="20"/>
  <c r="W5" i="20" s="1"/>
  <c r="O6" i="20"/>
  <c r="T6" i="20"/>
  <c r="W3" i="19"/>
  <c r="V3" i="19"/>
  <c r="U3" i="19"/>
  <c r="V7" i="27" l="1"/>
  <c r="O8" i="27"/>
  <c r="U6" i="27"/>
  <c r="J7" i="27"/>
  <c r="W6" i="27"/>
  <c r="B10" i="27"/>
  <c r="A10" i="27" s="1"/>
  <c r="W7" i="27"/>
  <c r="T8" i="27"/>
  <c r="B8" i="26"/>
  <c r="O8" i="26"/>
  <c r="U6" i="26"/>
  <c r="J7" i="26"/>
  <c r="V7" i="26" s="1"/>
  <c r="W6" i="26"/>
  <c r="V6" i="26"/>
  <c r="T9" i="26"/>
  <c r="A7" i="26"/>
  <c r="A8" i="26" s="1"/>
  <c r="T8" i="25"/>
  <c r="O8" i="25"/>
  <c r="B8" i="25"/>
  <c r="A8" i="25"/>
  <c r="U6" i="25"/>
  <c r="J7" i="25"/>
  <c r="W7" i="25" s="1"/>
  <c r="A7" i="24"/>
  <c r="V6" i="24"/>
  <c r="T8" i="24"/>
  <c r="O10" i="24"/>
  <c r="J7" i="24"/>
  <c r="W7" i="24" s="1"/>
  <c r="U6" i="24"/>
  <c r="B8" i="24"/>
  <c r="A8" i="24" s="1"/>
  <c r="T8" i="23"/>
  <c r="B7" i="23"/>
  <c r="O7" i="23"/>
  <c r="W5" i="23"/>
  <c r="U5" i="23"/>
  <c r="J6" i="23"/>
  <c r="V6" i="23" s="1"/>
  <c r="O9" i="22"/>
  <c r="W5" i="22"/>
  <c r="T6" i="22"/>
  <c r="V6" i="22" s="1"/>
  <c r="U5" i="22"/>
  <c r="B8" i="22"/>
  <c r="U6" i="22"/>
  <c r="J7" i="22"/>
  <c r="A7" i="21"/>
  <c r="V6" i="21"/>
  <c r="O7" i="21"/>
  <c r="T8" i="21"/>
  <c r="J7" i="21"/>
  <c r="U6" i="21"/>
  <c r="B8" i="21"/>
  <c r="A8" i="21" s="1"/>
  <c r="W6" i="20"/>
  <c r="T7" i="20"/>
  <c r="J6" i="20"/>
  <c r="U5" i="20"/>
  <c r="V6" i="20"/>
  <c r="O7" i="20"/>
  <c r="B7" i="20"/>
  <c r="A7" i="20" s="1"/>
  <c r="V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7" l="1"/>
  <c r="B11" i="27"/>
  <c r="A11" i="27" s="1"/>
  <c r="U7" i="27"/>
  <c r="J8" i="27"/>
  <c r="V8" i="27" s="1"/>
  <c r="O9" i="27"/>
  <c r="B9" i="26"/>
  <c r="T10" i="26"/>
  <c r="U7" i="26"/>
  <c r="J8" i="26"/>
  <c r="W7" i="26"/>
  <c r="V8" i="26"/>
  <c r="O9" i="26"/>
  <c r="O9" i="25"/>
  <c r="T9" i="25"/>
  <c r="U7" i="25"/>
  <c r="J8" i="25"/>
  <c r="V8" i="25" s="1"/>
  <c r="B9" i="25"/>
  <c r="A9" i="25" s="1"/>
  <c r="V7" i="25"/>
  <c r="O11" i="24"/>
  <c r="B9" i="24"/>
  <c r="A9" i="24" s="1"/>
  <c r="U7" i="24"/>
  <c r="J8" i="24"/>
  <c r="V7" i="24"/>
  <c r="W8" i="24"/>
  <c r="T9" i="24"/>
  <c r="B8" i="23"/>
  <c r="A8" i="23" s="1"/>
  <c r="U6" i="23"/>
  <c r="J7" i="23"/>
  <c r="W6" i="23"/>
  <c r="A7" i="23"/>
  <c r="T9" i="23"/>
  <c r="V7" i="23"/>
  <c r="O8" i="23"/>
  <c r="B9" i="22"/>
  <c r="A9" i="22" s="1"/>
  <c r="A8" i="22"/>
  <c r="W6" i="22"/>
  <c r="T7" i="22"/>
  <c r="U7" i="22"/>
  <c r="J8" i="22"/>
  <c r="V7" i="22"/>
  <c r="O10" i="22"/>
  <c r="U7" i="21"/>
  <c r="J8" i="21"/>
  <c r="W7" i="21"/>
  <c r="O8" i="21"/>
  <c r="W8" i="21" s="1"/>
  <c r="V7" i="21"/>
  <c r="B8" i="20"/>
  <c r="O8" i="20"/>
  <c r="U6" i="20"/>
  <c r="J7" i="20"/>
  <c r="V7" i="20" s="1"/>
  <c r="W7" i="20"/>
  <c r="T8" i="20"/>
  <c r="W9" i="19"/>
  <c r="V9" i="19"/>
  <c r="W8" i="19"/>
  <c r="V8" i="19"/>
  <c r="V7" i="19"/>
  <c r="W7" i="19"/>
  <c r="W6" i="19"/>
  <c r="U6" i="19"/>
  <c r="V6" i="19"/>
  <c r="U4" i="19"/>
  <c r="V4" i="19"/>
  <c r="T5" i="19"/>
  <c r="W4" i="19"/>
  <c r="J5" i="19"/>
  <c r="O5" i="19"/>
  <c r="V5" i="19" s="1"/>
  <c r="W8" i="27" l="1"/>
  <c r="T10" i="27"/>
  <c r="O10" i="27"/>
  <c r="U8" i="27"/>
  <c r="J9" i="27"/>
  <c r="V9" i="27" s="1"/>
  <c r="B12" i="27"/>
  <c r="A12" i="27" s="1"/>
  <c r="V9" i="26"/>
  <c r="O10" i="26"/>
  <c r="U8" i="26"/>
  <c r="J9" i="26"/>
  <c r="W8" i="26"/>
  <c r="B10" i="26"/>
  <c r="T11" i="26"/>
  <c r="A9" i="26"/>
  <c r="W8" i="25"/>
  <c r="U8" i="25"/>
  <c r="J9" i="25"/>
  <c r="U9" i="25" s="1"/>
  <c r="U8" i="24"/>
  <c r="J9" i="24"/>
  <c r="W9" i="24" s="1"/>
  <c r="V8" i="24"/>
  <c r="B10" i="24"/>
  <c r="A10" i="24" s="1"/>
  <c r="T10" i="24"/>
  <c r="J8" i="23"/>
  <c r="V8" i="23" s="1"/>
  <c r="U7" i="23"/>
  <c r="W7" i="23"/>
  <c r="T10" i="23"/>
  <c r="O9" i="23"/>
  <c r="B9" i="23"/>
  <c r="A9" i="23" s="1"/>
  <c r="T8" i="22"/>
  <c r="W7" i="22"/>
  <c r="J9" i="22"/>
  <c r="O11" i="22"/>
  <c r="B10" i="22"/>
  <c r="A10" i="22" s="1"/>
  <c r="V8" i="21"/>
  <c r="U8" i="21"/>
  <c r="B9" i="20"/>
  <c r="A8" i="20"/>
  <c r="T9" i="20"/>
  <c r="J8" i="20"/>
  <c r="U7" i="20"/>
  <c r="O9" i="20"/>
  <c r="U5" i="19"/>
  <c r="W5" i="19"/>
  <c r="W9" i="27" l="1"/>
  <c r="T11" i="27"/>
  <c r="U9" i="27"/>
  <c r="J10" i="27"/>
  <c r="W10" i="27" s="1"/>
  <c r="O11" i="27"/>
  <c r="V10" i="27"/>
  <c r="A10" i="26"/>
  <c r="O11" i="26"/>
  <c r="T12" i="26"/>
  <c r="B11" i="26"/>
  <c r="A11" i="26" s="1"/>
  <c r="U9" i="26"/>
  <c r="J10" i="26"/>
  <c r="V10" i="26" s="1"/>
  <c r="W9" i="26"/>
  <c r="W9" i="25"/>
  <c r="V9" i="25"/>
  <c r="T11" i="24"/>
  <c r="B11" i="24"/>
  <c r="A11" i="24" s="1"/>
  <c r="U9" i="24"/>
  <c r="J10" i="24"/>
  <c r="W10" i="24" s="1"/>
  <c r="V9" i="24"/>
  <c r="U8" i="23"/>
  <c r="J9" i="23"/>
  <c r="W8" i="23"/>
  <c r="B10" i="23"/>
  <c r="A10" i="23" s="1"/>
  <c r="O10" i="23"/>
  <c r="W8" i="22"/>
  <c r="T9" i="22"/>
  <c r="B11" i="22"/>
  <c r="O12" i="22"/>
  <c r="V8" i="22"/>
  <c r="U8" i="22"/>
  <c r="J10" i="22"/>
  <c r="V8" i="20"/>
  <c r="A9" i="20"/>
  <c r="U8" i="20"/>
  <c r="J9" i="20"/>
  <c r="W8" i="20"/>
  <c r="U10" i="27" l="1"/>
  <c r="J11" i="27"/>
  <c r="T12" i="27"/>
  <c r="O12" i="27"/>
  <c r="U10" i="26"/>
  <c r="J11" i="26"/>
  <c r="V11" i="26" s="1"/>
  <c r="W10" i="26"/>
  <c r="B12" i="26"/>
  <c r="A12" i="26" s="1"/>
  <c r="O12" i="26"/>
  <c r="U10" i="24"/>
  <c r="J11" i="24"/>
  <c r="W11" i="24" s="1"/>
  <c r="V10" i="24"/>
  <c r="U9" i="23"/>
  <c r="J10" i="23"/>
  <c r="W9" i="23"/>
  <c r="V9" i="23"/>
  <c r="U9" i="22"/>
  <c r="W9" i="22"/>
  <c r="T10" i="22"/>
  <c r="U10" i="22"/>
  <c r="J11" i="22"/>
  <c r="V10" i="22"/>
  <c r="B12" i="22"/>
  <c r="A12" i="22"/>
  <c r="V9" i="22"/>
  <c r="A11" i="22"/>
  <c r="U9" i="20"/>
  <c r="W9" i="20"/>
  <c r="V9" i="20"/>
  <c r="J12" i="27" l="1"/>
  <c r="U12" i="27" s="1"/>
  <c r="U11" i="27"/>
  <c r="V11" i="27"/>
  <c r="W11" i="27"/>
  <c r="U11" i="26"/>
  <c r="J12" i="26"/>
  <c r="W11" i="26"/>
  <c r="V12" i="26"/>
  <c r="U11" i="24"/>
  <c r="V11" i="24"/>
  <c r="U10" i="23"/>
  <c r="W10" i="23"/>
  <c r="V10" i="23"/>
  <c r="U11" i="22"/>
  <c r="J12" i="22"/>
  <c r="V11" i="22"/>
  <c r="W10" i="22"/>
  <c r="T11" i="22"/>
  <c r="V12" i="27" l="1"/>
  <c r="W12" i="27"/>
  <c r="U12" i="26"/>
  <c r="W12" i="26"/>
  <c r="T12" i="22"/>
  <c r="W12" i="22" s="1"/>
  <c r="W11" i="22"/>
  <c r="V12" i="22" l="1"/>
  <c r="U12" i="22"/>
</calcChain>
</file>

<file path=xl/sharedStrings.xml><?xml version="1.0" encoding="utf-8"?>
<sst xmlns="http://schemas.openxmlformats.org/spreadsheetml/2006/main" count="1393" uniqueCount="218">
  <si>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</si>
  <si>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</si>
  <si>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</si>
  <si>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</si>
  <si>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</si>
  <si>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</si>
  <si>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</si>
  <si>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</si>
  <si>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</si>
  <si>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</si>
  <si>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</si>
  <si>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</si>
  <si>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</si>
  <si>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</si>
  <si>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</si>
  <si>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</si>
  <si>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</si>
  <si>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</si>
  <si>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</si>
  <si>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</si>
  <si>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</si>
  <si>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</si>
  <si>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</si>
  <si>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</si>
  <si>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</si>
  <si>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</si>
  <si>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</si>
  <si>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</si>
  <si>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</si>
  <si>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</si>
  <si>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</si>
  <si>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</si>
  <si>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</si>
  <si>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</si>
  <si>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</si>
  <si>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</si>
  <si>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</si>
  <si>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</si>
  <si>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</si>
  <si>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</si>
  <si>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</si>
  <si>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</si>
  <si>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</si>
  <si>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</si>
  <si>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</si>
  <si>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</si>
  <si>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</si>
  <si>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</si>
  <si>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</si>
  <si>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</si>
  <si>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</si>
  <si>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</si>
  <si>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</si>
  <si>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</si>
  <si>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</si>
  <si>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</si>
  <si>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</si>
  <si>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</si>
  <si>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</si>
  <si>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</si>
  <si>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</si>
  <si>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</si>
  <si>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</si>
  <si>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</si>
  <si>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</si>
  <si>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</si>
  <si>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</si>
  <si>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</si>
  <si>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</si>
  <si>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</si>
  <si>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</si>
  <si>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</si>
  <si>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</si>
  <si>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</si>
  <si>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</si>
  <si>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</si>
  <si>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</si>
  <si>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</si>
  <si>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</si>
  <si>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</si>
  <si>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</si>
  <si>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</si>
  <si>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</si>
  <si>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</si>
  <si>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</si>
  <si>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</si>
  <si>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</si>
  <si>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</si>
  <si>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</si>
  <si>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</si>
  <si>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</si>
  <si>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</si>
  <si>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</si>
  <si>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</si>
  <si>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</si>
  <si>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</si>
  <si>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</si>
  <si>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</si>
  <si>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</si>
  <si>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</si>
  <si>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</si>
  <si>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</si>
  <si>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</si>
  <si>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</si>
  <si>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</si>
  <si>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</si>
  <si>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</si>
  <si>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</si>
  <si>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</si>
  <si>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</si>
  <si>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</si>
  <si>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</si>
  <si>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</si>
  <si>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</si>
  <si>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</si>
  <si>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</si>
  <si>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</si>
  <si>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</si>
  <si>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</si>
  <si>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</si>
  <si>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</si>
  <si>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</si>
  <si>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</si>
  <si>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</si>
  <si>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</si>
  <si>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</si>
  <si>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</si>
  <si>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</si>
  <si>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</si>
  <si>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</si>
  <si>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</si>
  <si>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</si>
  <si>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</si>
  <si>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</si>
  <si>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</si>
  <si>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</si>
  <si>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</si>
  <si>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</si>
  <si>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</si>
  <si>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</si>
  <si>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</si>
  <si>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</si>
  <si>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</si>
  <si>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</si>
  <si>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</si>
  <si>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</si>
  <si>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</si>
  <si>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</si>
  <si>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</si>
  <si>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</si>
  <si>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</si>
  <si>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</si>
  <si>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</si>
  <si>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</si>
  <si>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</si>
  <si>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</si>
  <si>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</si>
  <si>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</si>
  <si>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</si>
  <si>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</si>
  <si>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</si>
  <si>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</si>
  <si>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</si>
  <si>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</si>
  <si>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</si>
  <si>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</si>
  <si>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</si>
  <si>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</si>
  <si>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</si>
  <si>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</si>
  <si>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</si>
  <si>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</si>
  <si>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</si>
  <si>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</si>
  <si>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</si>
  <si>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</si>
  <si>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</si>
  <si>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</si>
  <si>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</si>
  <si>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</si>
  <si>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</si>
  <si>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</si>
  <si>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</si>
  <si>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</si>
  <si>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</si>
  <si>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</si>
  <si>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</si>
  <si>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</si>
  <si>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</si>
  <si>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</si>
  <si>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</si>
  <si>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</si>
  <si>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</si>
  <si>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</si>
  <si>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</si>
  <si>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のり</t>
  </si>
  <si>
    <t>のり</t>
    <phoneticPr fontId="1"/>
  </si>
  <si>
    <t>ロン</t>
  </si>
  <si>
    <t>放銃</t>
  </si>
  <si>
    <t>*</t>
  </si>
  <si>
    <t>01</t>
  </si>
  <si>
    <t>52</t>
  </si>
  <si>
    <t>ツモ支払</t>
  </si>
  <si>
    <t>ツモ</t>
  </si>
  <si>
    <t>まっつん</t>
  </si>
  <si>
    <t>まっつん</t>
    <phoneticPr fontId="1"/>
  </si>
  <si>
    <t>のり</t>
    <phoneticPr fontId="1"/>
  </si>
  <si>
    <t>N</t>
  </si>
  <si>
    <t>T</t>
  </si>
  <si>
    <t>流局</t>
    <phoneticPr fontId="1"/>
  </si>
  <si>
    <t>チョンボ</t>
  </si>
  <si>
    <t>02</t>
  </si>
  <si>
    <t>りくと</t>
  </si>
  <si>
    <t>りくと</t>
    <phoneticPr fontId="1"/>
  </si>
  <si>
    <t>ただ</t>
  </si>
  <si>
    <t>ただ</t>
    <phoneticPr fontId="1"/>
  </si>
  <si>
    <t>たかの</t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</si>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</sst>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4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のり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のり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-18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200</v>
      </c>
      <c r="AF4" s="41" t="s">
        <v>83</v>
      </c>
      <c r="AG4" s="41" t="s">
        <v>201</v>
      </c>
      <c r="AH4" s="41" t="s">
        <v>80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-2500</v>
      </c>
      <c r="H5" s="9"/>
      <c r="I5" s="48">
        <v>0</v>
      </c>
      <c r="J5" s="21">
        <f t="shared" ref="J5:J30" si="2">IF(COUNTA($F5,$K5,$P5)&gt;0,J4+SUM(G5:I5),"")</f>
        <v>40500</v>
      </c>
      <c r="K5" s="8" t="s">
        <v>203</v>
      </c>
      <c r="L5" s="9">
        <v>4000</v>
      </c>
      <c r="M5" s="9"/>
      <c r="N5" s="48">
        <v>0</v>
      </c>
      <c r="O5" s="21">
        <f t="shared" ref="O5:O30" si="3">IF(COUNTA($F5,$K5,$P5)&gt;0,O4+SUM(L5:N5),"")</f>
        <v>39000</v>
      </c>
      <c r="P5" s="8" t="s">
        <v>202</v>
      </c>
      <c r="Q5" s="9">
        <v>-1500</v>
      </c>
      <c r="R5" s="9"/>
      <c r="S5" s="48">
        <v>0</v>
      </c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15.5</v>
      </c>
      <c r="V5" s="54">
        <f>IF($O5="","",ROUND(($O5-$O$3)/1000,1)+(_xlfn.RANK.AVG($O5,($J5,$O5,$T5),1)-2)*10)</f>
        <v>4</v>
      </c>
      <c r="W5" s="55">
        <f>IF($T5="","",ROUND(($T5-$T$3)/1000,1)+(_xlfn.RANK.AVG($T5,($J5,$O5,$T5),1)-2)*10)</f>
        <v>-19.5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200</v>
      </c>
      <c r="BA5" s="41" t="s">
        <v>82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202</v>
      </c>
      <c r="G6" s="9">
        <v>-800</v>
      </c>
      <c r="H6" s="9"/>
      <c r="I6" s="48">
        <v>0</v>
      </c>
      <c r="J6" s="21">
        <f t="shared" si="2"/>
        <v>39700</v>
      </c>
      <c r="K6" s="8" t="s">
        <v>202</v>
      </c>
      <c r="L6" s="9">
        <v>-1300</v>
      </c>
      <c r="M6" s="9"/>
      <c r="N6" s="48">
        <v>0</v>
      </c>
      <c r="O6" s="21">
        <f t="shared" si="3"/>
        <v>37700</v>
      </c>
      <c r="P6" s="8" t="s">
        <v>203</v>
      </c>
      <c r="Q6" s="9">
        <v>2100</v>
      </c>
      <c r="R6" s="9"/>
      <c r="S6" s="48">
        <v>0</v>
      </c>
      <c r="T6" s="21">
        <f t="shared" si="4"/>
        <v>27600</v>
      </c>
      <c r="U6" s="53">
        <f>IF($J6="","",ROUND(($J6-$J$3)/1000,1)+(_xlfn.RANK.AVG($J6,($J6,$O6,$T6),1)-2)*10)</f>
        <v>14.7</v>
      </c>
      <c r="V6" s="54">
        <f>IF($O6="","",ROUND(($O6-$O$3)/1000,1)+(_xlfn.RANK.AVG($O6,($J6,$O6,$T6),1)-2)*10)</f>
        <v>2.7</v>
      </c>
      <c r="W6" s="55">
        <f>IF($T6="","",ROUND(($T6-$T$3)/1000,1)+(_xlfn.RANK.AVG($T6,($J6,$O6,$T6),1)-2)*10)</f>
        <v>-17.399999999999999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82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202</v>
      </c>
      <c r="G7" s="9">
        <v>-4500</v>
      </c>
      <c r="H7" s="9"/>
      <c r="I7" s="48">
        <v>0</v>
      </c>
      <c r="J7" s="21">
        <f t="shared" si="2"/>
        <v>35200</v>
      </c>
      <c r="K7" s="8" t="s">
        <v>203</v>
      </c>
      <c r="L7" s="9">
        <v>12000</v>
      </c>
      <c r="M7" s="9"/>
      <c r="N7" s="48">
        <v>0</v>
      </c>
      <c r="O7" s="21">
        <f t="shared" si="3"/>
        <v>49700</v>
      </c>
      <c r="P7" s="8" t="s">
        <v>202</v>
      </c>
      <c r="Q7" s="9">
        <v>-7500</v>
      </c>
      <c r="R7" s="9"/>
      <c r="S7" s="48">
        <v>0</v>
      </c>
      <c r="T7" s="21">
        <f t="shared" si="4"/>
        <v>20100</v>
      </c>
      <c r="U7" s="53">
        <f>IF($J7="","",ROUND(($J7-$J$3)/1000,1)+(_xlfn.RANK.AVG($J7,($J7,$O7,$T7),1)-2)*10)</f>
        <v>0.2</v>
      </c>
      <c r="V7" s="54">
        <f>IF($O7="","",ROUND(($O7-$O$3)/1000,1)+(_xlfn.RANK.AVG($O7,($J7,$O7,$T7),1)-2)*10)</f>
        <v>24.7</v>
      </c>
      <c r="W7" s="55">
        <f>IF($T7="","",ROUND(($T7-$T$3)/1000,1)+(_xlfn.RANK.AVG($T7,($J7,$O7,$T7),1)-2)*10)</f>
        <v>-24.9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199</v>
      </c>
      <c r="AZ7" s="40" t="s">
        <v>200</v>
      </c>
      <c r="BA7" s="41" t="s">
        <v>82</v>
      </c>
      <c r="BB7" s="41" t="s">
        <v>83</v>
      </c>
      <c r="BC7" s="41" t="s">
        <v>79</v>
      </c>
      <c r="BD7" s="41" t="s">
        <v>80</v>
      </c>
      <c r="BE7" s="41" t="s">
        <v>201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197</v>
      </c>
      <c r="G8" s="9">
        <v>3900</v>
      </c>
      <c r="H8" s="9"/>
      <c r="I8" s="48">
        <v>0</v>
      </c>
      <c r="J8" s="21">
        <f t="shared" si="2"/>
        <v>39100</v>
      </c>
      <c r="K8" s="8"/>
      <c r="L8" s="9"/>
      <c r="M8" s="9"/>
      <c r="N8" s="48"/>
      <c r="O8" s="21">
        <f t="shared" si="3"/>
        <v>49700</v>
      </c>
      <c r="P8" s="8" t="s">
        <v>198</v>
      </c>
      <c r="Q8" s="9">
        <v>-3900</v>
      </c>
      <c r="R8" s="9"/>
      <c r="S8" s="48">
        <v>0</v>
      </c>
      <c r="T8" s="21">
        <f t="shared" si="4"/>
        <v>16200</v>
      </c>
      <c r="U8" s="53">
        <f>IF($J8="","",ROUND(($J8-$J$3)/1000,1)+(_xlfn.RANK.AVG($J8,($J8,$O8,$T8),1)-2)*10)</f>
        <v>4.0999999999999996</v>
      </c>
      <c r="V8" s="54">
        <f>IF($O8="","",ROUND(($O8-$O$3)/1000,1)+(_xlfn.RANK.AVG($O8,($J8,$O8,$T8),1)-2)*10)</f>
        <v>24.7</v>
      </c>
      <c r="W8" s="55">
        <f>IF($T8="","",ROUND(($T8-$T$3)/1000,1)+(_xlfn.RANK.AVG($T8,($J8,$O8,$T8),1)-2)*10)</f>
        <v>-28.8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200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197</v>
      </c>
      <c r="G9" s="9">
        <v>18000</v>
      </c>
      <c r="H9" s="9">
        <v>1000</v>
      </c>
      <c r="I9" s="48">
        <v>1000</v>
      </c>
      <c r="J9" s="21">
        <f t="shared" si="2"/>
        <v>59100</v>
      </c>
      <c r="K9" s="8"/>
      <c r="L9" s="9"/>
      <c r="M9" s="9">
        <v>-1000</v>
      </c>
      <c r="N9" s="48"/>
      <c r="O9" s="21">
        <f t="shared" si="3"/>
        <v>48700</v>
      </c>
      <c r="P9" s="8" t="s">
        <v>198</v>
      </c>
      <c r="Q9" s="9">
        <v>-18000</v>
      </c>
      <c r="R9" s="9"/>
      <c r="S9" s="48">
        <v>-1000</v>
      </c>
      <c r="T9" s="21">
        <f t="shared" si="4"/>
        <v>-2800</v>
      </c>
      <c r="U9" s="53">
        <f>IF($J9="","",ROUND(($J9-$J$3)/1000,1)+(_xlfn.RANK.AVG($J9,($J9,$O9,$T9),1)-2)*10)</f>
        <v>34.1</v>
      </c>
      <c r="V9" s="54">
        <f>IF($O9="","",ROUND(($O9-$O$3)/1000,1)+(_xlfn.RANK.AVG($O9,($J9,$O9,$T9),1)-2)*10)</f>
        <v>13.7</v>
      </c>
      <c r="W9" s="55">
        <f>IF($T9="","",ROUND(($T9-$T$3)/1000,1)+(_xlfn.RANK.AVG($T9,($J9,$O9,$T9),1)-2)*10)</f>
        <v>-47.8</v>
      </c>
      <c r="Y9" s="8"/>
      <c r="Z9" s="34"/>
      <c r="AA9" s="26">
        <v>1</v>
      </c>
      <c r="AB9" s="26"/>
      <c r="AC9" s="26">
        <v>6</v>
      </c>
      <c r="AD9" s="30" t="s">
        <v>199</v>
      </c>
      <c r="AE9" s="40" t="s">
        <v>200</v>
      </c>
      <c r="AF9" s="41" t="s">
        <v>80</v>
      </c>
      <c r="AG9" s="41" t="s">
        <v>80</v>
      </c>
      <c r="AH9" s="41" t="s">
        <v>80</v>
      </c>
      <c r="AI9" s="41" t="s">
        <v>80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429EEEF-C849-4B4C-B390-C4014FDAED0B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023A2-AECB-4C96-A972-A3B634DB5F8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194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205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れんたろう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202</v>
      </c>
      <c r="G4" s="9">
        <v>-5800</v>
      </c>
      <c r="H4" s="9">
        <v>-1000</v>
      </c>
      <c r="I4" s="48">
        <v>0</v>
      </c>
      <c r="J4" s="21">
        <f>IF(COUNTA($F4,$K4,$P4)&gt;0,J3+SUM(G4:I4),"")</f>
        <v>28200</v>
      </c>
      <c r="K4" s="8" t="s">
        <v>202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203</v>
      </c>
      <c r="Q4" s="9">
        <v>11600</v>
      </c>
      <c r="R4" s="9">
        <v>1000</v>
      </c>
      <c r="S4" s="48">
        <v>0</v>
      </c>
      <c r="T4" s="21">
        <f>IF(COUNTA($F4,$K4,$P4)&gt;0,T3+SUM(Q4:S4),"")</f>
        <v>47600</v>
      </c>
      <c r="U4" s="53">
        <f>IF($J4="","",ROUND(($J4-$J$3)/1000,1)+(_xlfn.RANK.AVG($J4,($J4,$O4,$T4),1)-2)*10)</f>
        <v>-16.8</v>
      </c>
      <c r="V4" s="54">
        <f>IF($O4="","",ROUND(($O4-$O$3)/1000,1)+(_xlfn.RANK.AVG($O4,($J4,$O4,$T4),1)-2)*10)</f>
        <v>-5.8</v>
      </c>
      <c r="W4" s="55">
        <f>IF($T4="","",ROUND(($T4-$T$3)/1000,1)+(_xlfn.RANK.AVG($T4,($J4,$O4,$T4),1)-2)*10)</f>
        <v>22.6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200</v>
      </c>
      <c r="BV4" s="41" t="s">
        <v>82</v>
      </c>
      <c r="BW4" s="41" t="s">
        <v>84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204</v>
      </c>
      <c r="F5" s="8"/>
      <c r="G5" s="9"/>
      <c r="H5" s="9"/>
      <c r="I5" s="48"/>
      <c r="J5" s="21">
        <f t="shared" ref="J5:J30" si="2">IF(COUNTA($F5,$K5,$P5)&gt;0,J4+SUM(G5:I5),"")</f>
        <v>28200</v>
      </c>
      <c r="K5" s="8" t="s">
        <v>198</v>
      </c>
      <c r="L5" s="9">
        <v>-11600</v>
      </c>
      <c r="M5" s="9"/>
      <c r="N5" s="48">
        <v>-1000</v>
      </c>
      <c r="O5" s="21">
        <f t="shared" ref="O5:O30" si="3">IF(COUNTA($F5,$K5,$P5)&gt;0,O4+SUM(L5:N5),"")</f>
        <v>16600</v>
      </c>
      <c r="P5" s="8" t="s">
        <v>197</v>
      </c>
      <c r="Q5" s="9">
        <v>11600</v>
      </c>
      <c r="R5" s="9"/>
      <c r="S5" s="48">
        <v>1000</v>
      </c>
      <c r="T5" s="21">
        <f t="shared" ref="T5:T30" si="4">IF(COUNTA($F5,$K5,$P5)&gt;0,T4+SUM(Q5:S5),"")</f>
        <v>60200</v>
      </c>
      <c r="U5" s="53">
        <f>IF($J5="","",ROUND(($J5-$J$3)/1000,1)+(_xlfn.RANK.AVG($J5,($J5,$O5,$T5),1)-2)*10)</f>
        <v>-6.8</v>
      </c>
      <c r="V5" s="54">
        <f>IF($O5="","",ROUND(($O5-$O$3)/1000,1)+(_xlfn.RANK.AVG($O5,($J5,$O5,$T5),1)-2)*10)</f>
        <v>-28.4</v>
      </c>
      <c r="W5" s="55">
        <f>IF($T5="","",ROUND(($T5-$T$3)/1000,1)+(_xlfn.RANK.AVG($T5,($J5,$O5,$T5),1)-2)*10)</f>
        <v>35.200000000000003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86</v>
      </c>
      <c r="BV5" s="41" t="s">
        <v>86</v>
      </c>
      <c r="BW5" s="41" t="s">
        <v>104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204</v>
      </c>
      <c r="F6" s="8" t="s">
        <v>202</v>
      </c>
      <c r="G6" s="9">
        <v>-4500</v>
      </c>
      <c r="H6" s="9"/>
      <c r="I6" s="48">
        <v>-1000</v>
      </c>
      <c r="J6" s="21">
        <f t="shared" si="2"/>
        <v>22700</v>
      </c>
      <c r="K6" s="8" t="s">
        <v>203</v>
      </c>
      <c r="L6" s="9">
        <v>12000</v>
      </c>
      <c r="M6" s="9"/>
      <c r="N6" s="48">
        <v>2000</v>
      </c>
      <c r="O6" s="21">
        <f t="shared" si="3"/>
        <v>30600</v>
      </c>
      <c r="P6" s="8" t="s">
        <v>202</v>
      </c>
      <c r="Q6" s="9">
        <v>-7500</v>
      </c>
      <c r="R6" s="9"/>
      <c r="S6" s="48">
        <v>-1000</v>
      </c>
      <c r="T6" s="21">
        <f t="shared" si="4"/>
        <v>51700</v>
      </c>
      <c r="U6" s="53">
        <f>IF($J6="","",ROUND(($J6-$J$3)/1000,1)+(_xlfn.RANK.AVG($J6,($J6,$O6,$T6),1)-2)*10)</f>
        <v>-22.3</v>
      </c>
      <c r="V6" s="54">
        <f>IF($O6="","",ROUND(($O6-$O$3)/1000,1)+(_xlfn.RANK.AVG($O6,($J6,$O6,$T6),1)-2)*10)</f>
        <v>-4.4000000000000004</v>
      </c>
      <c r="W6" s="55">
        <f>IF($T6="","",ROUND(($T6-$T$3)/1000,1)+(_xlfn.RANK.AVG($T6,($J6,$O6,$T6),1)-2)*10)</f>
        <v>26.7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199</v>
      </c>
      <c r="AZ6" s="40" t="s">
        <v>200</v>
      </c>
      <c r="BA6" s="41" t="s">
        <v>82</v>
      </c>
      <c r="BB6" s="41" t="s">
        <v>83</v>
      </c>
      <c r="BC6" s="41" t="s">
        <v>85</v>
      </c>
      <c r="BD6" s="41" t="s">
        <v>201</v>
      </c>
      <c r="BE6" s="41" t="s">
        <v>80</v>
      </c>
      <c r="BF6" s="41" t="s">
        <v>80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198</v>
      </c>
      <c r="G7" s="9">
        <v>-8000</v>
      </c>
      <c r="H7" s="9">
        <v>-1000</v>
      </c>
      <c r="I7" s="48">
        <v>0</v>
      </c>
      <c r="J7" s="21">
        <f t="shared" si="2"/>
        <v>13700</v>
      </c>
      <c r="K7" s="8" t="s">
        <v>197</v>
      </c>
      <c r="L7" s="9">
        <v>8000</v>
      </c>
      <c r="M7" s="9">
        <v>1000</v>
      </c>
      <c r="N7" s="48">
        <v>0</v>
      </c>
      <c r="O7" s="21">
        <f t="shared" si="3"/>
        <v>39600</v>
      </c>
      <c r="P7" s="8"/>
      <c r="Q7" s="9"/>
      <c r="R7" s="9"/>
      <c r="S7" s="48"/>
      <c r="T7" s="21">
        <f t="shared" si="4"/>
        <v>51700</v>
      </c>
      <c r="U7" s="53">
        <f>IF($J7="","",ROUND(($J7-$J$3)/1000,1)+(_xlfn.RANK.AVG($J7,($J7,$O7,$T7),1)-2)*10)</f>
        <v>-31.3</v>
      </c>
      <c r="V7" s="54">
        <f>IF($O7="","",ROUND(($O7-$O$3)/1000,1)+(_xlfn.RANK.AVG($O7,($J7,$O7,$T7),1)-2)*10)</f>
        <v>4.5999999999999996</v>
      </c>
      <c r="W7" s="55">
        <f>IF($T7="","",ROUND(($T7-$T$3)/1000,1)+(_xlfn.RANK.AVG($T7,($J7,$O7,$T7),1)-2)*10)</f>
        <v>26.7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199</v>
      </c>
      <c r="AZ7" s="40" t="s">
        <v>200</v>
      </c>
      <c r="BA7" s="41" t="s">
        <v>84</v>
      </c>
      <c r="BB7" s="41" t="s">
        <v>201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-16000</v>
      </c>
      <c r="H8" s="9"/>
      <c r="I8" s="48">
        <v>0</v>
      </c>
      <c r="J8" s="21">
        <f t="shared" si="2"/>
        <v>-2300</v>
      </c>
      <c r="K8" s="8"/>
      <c r="L8" s="9"/>
      <c r="M8" s="9"/>
      <c r="N8" s="48"/>
      <c r="O8" s="21">
        <f t="shared" si="3"/>
        <v>39600</v>
      </c>
      <c r="P8" s="8" t="s">
        <v>197</v>
      </c>
      <c r="Q8" s="9">
        <v>16000</v>
      </c>
      <c r="R8" s="9"/>
      <c r="S8" s="48">
        <v>0</v>
      </c>
      <c r="T8" s="21">
        <f t="shared" si="4"/>
        <v>67700</v>
      </c>
      <c r="U8" s="53">
        <f>IF($J8="","",ROUND(($J8-$J$3)/1000,1)+(_xlfn.RANK.AVG($J8,($J8,$O8,$T8),1)-2)*10)</f>
        <v>-47.3</v>
      </c>
      <c r="V8" s="54">
        <f>IF($O8="","",ROUND(($O8-$O$3)/1000,1)+(_xlfn.RANK.AVG($O8,($J8,$O8,$T8),1)-2)*10)</f>
        <v>4.5999999999999996</v>
      </c>
      <c r="W8" s="55">
        <f>IF($T8="","",ROUND(($T8-$T$3)/1000,1)+(_xlfn.RANK.AVG($T8,($J8,$O8,$T8),1)-2)*10)</f>
        <v>42.7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8</v>
      </c>
      <c r="BT8" s="30" t="s">
        <v>199</v>
      </c>
      <c r="BU8" s="40" t="s">
        <v>86</v>
      </c>
      <c r="BV8" s="41" t="s">
        <v>86</v>
      </c>
      <c r="BW8" s="41" t="s">
        <v>104</v>
      </c>
      <c r="BX8" s="41" t="s">
        <v>201</v>
      </c>
      <c r="BY8" s="41" t="s">
        <v>79</v>
      </c>
      <c r="BZ8" s="41" t="s">
        <v>79</v>
      </c>
      <c r="CA8" s="41" t="s">
        <v>79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4C00EF33-B7E7-44D5-A5A1-1888FCAB1171}">
      <formula1>"たかの,だいち,ただ,りくと,れんたろう,まっつん,のり,ぱぱ,ほたに,"</formula1>
    </dataValidation>
    <dataValidation type="list" showInputMessage="1" showErrorMessage="1" sqref="K4:K30 P4:P30 F4:F30" xr:uid="{30D16001-C3C1-406E-97B4-7D78717FA15A}">
      <formula1>"ロン,ツモ,放銃,ツモ支払,流局,チョンボ"</formula1>
    </dataValidation>
    <dataValidation type="list" allowBlank="1" showInputMessage="1" showErrorMessage="1" sqref="E4:E30" xr:uid="{4A624D1F-A1FF-4BD2-942A-DF693061A1B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EE49-FE72-4469-9FA2-F69E1533CD84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206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205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198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 t="s">
        <v>197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199</v>
      </c>
      <c r="AZ4" s="40" t="s">
        <v>104</v>
      </c>
      <c r="BA4" s="41" t="s">
        <v>86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12000</v>
      </c>
      <c r="H5" s="9"/>
      <c r="I5" s="48">
        <v>0</v>
      </c>
      <c r="J5" s="21">
        <f t="shared" ref="J5:J30" si="2">IF(COUNTA($F5,$K5,$P5)&gt;0,J4+SUM(G5:I5),"")</f>
        <v>39000</v>
      </c>
      <c r="K5" s="8" t="s">
        <v>198</v>
      </c>
      <c r="L5" s="9">
        <v>-12000</v>
      </c>
      <c r="M5" s="9"/>
      <c r="N5" s="48">
        <v>0</v>
      </c>
      <c r="O5" s="21">
        <f t="shared" ref="O5:O30" si="3">IF(COUNTA($F5,$K5,$P5)&gt;0,O4+SUM(L5:N5),"")</f>
        <v>31000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14</v>
      </c>
      <c r="V5" s="54">
        <f>IF($O5="","",ROUND(($O5-$O$3)/1000,1)+(_xlfn.RANK.AVG($O5,($J5,$O5,$T5),1)-2)*10)</f>
        <v>-14</v>
      </c>
      <c r="W5" s="55">
        <f>IF($T5="","",ROUND(($T5-$T$3)/1000,1)+(_xlfn.RANK.AVG($T5,($J5,$O5,$T5),1)-2)*10)</f>
        <v>0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200</v>
      </c>
      <c r="AF5" s="41" t="s">
        <v>79</v>
      </c>
      <c r="AG5" s="41" t="s">
        <v>80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198</v>
      </c>
      <c r="G6" s="9">
        <v>-8000</v>
      </c>
      <c r="H6" s="9"/>
      <c r="I6" s="48">
        <v>-1000</v>
      </c>
      <c r="J6" s="21">
        <f t="shared" si="2"/>
        <v>30000</v>
      </c>
      <c r="K6" s="8" t="s">
        <v>197</v>
      </c>
      <c r="L6" s="9">
        <v>8000</v>
      </c>
      <c r="M6" s="9"/>
      <c r="N6" s="48">
        <v>1000</v>
      </c>
      <c r="O6" s="21">
        <f t="shared" si="3"/>
        <v>40000</v>
      </c>
      <c r="P6" s="8"/>
      <c r="Q6" s="9"/>
      <c r="R6" s="9"/>
      <c r="S6" s="48"/>
      <c r="T6" s="21">
        <f t="shared" si="4"/>
        <v>35000</v>
      </c>
      <c r="U6" s="53">
        <f>IF($J6="","",ROUND(($J6-$J$3)/1000,1)+(_xlfn.RANK.AVG($J6,($J6,$O6,$T6),1)-2)*10)</f>
        <v>-15</v>
      </c>
      <c r="V6" s="54">
        <f>IF($O6="","",ROUND(($O6-$O$3)/1000,1)+(_xlfn.RANK.AVG($O6,($J6,$O6,$T6),1)-2)*10)</f>
        <v>15</v>
      </c>
      <c r="W6" s="55">
        <f>IF($T6="","",ROUND(($T6-$T$3)/1000,1)+(_xlfn.RANK.AVG($T6,($J6,$O6,$T6),1)-2)*10)</f>
        <v>0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40</v>
      </c>
      <c r="AZ6" s="40" t="s">
        <v>86</v>
      </c>
      <c r="BA6" s="41" t="s">
        <v>79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209</v>
      </c>
      <c r="G7" s="9">
        <v>-3000</v>
      </c>
      <c r="H7" s="9"/>
      <c r="I7" s="48"/>
      <c r="J7" s="21">
        <f t="shared" si="2"/>
        <v>27000</v>
      </c>
      <c r="K7" s="8" t="s">
        <v>209</v>
      </c>
      <c r="L7" s="9">
        <v>1500</v>
      </c>
      <c r="M7" s="9"/>
      <c r="N7" s="48"/>
      <c r="O7" s="21">
        <f t="shared" si="3"/>
        <v>41500</v>
      </c>
      <c r="P7" s="8" t="s">
        <v>209</v>
      </c>
      <c r="Q7" s="9">
        <v>1500</v>
      </c>
      <c r="R7" s="9"/>
      <c r="S7" s="48"/>
      <c r="T7" s="21">
        <f t="shared" si="4"/>
        <v>36500</v>
      </c>
      <c r="U7" s="53">
        <f>IF($J7="","",ROUND(($J7-$J$3)/1000,1)+(_xlfn.RANK.AVG($J7,($J7,$O7,$T7),1)-2)*10)</f>
        <v>-18</v>
      </c>
      <c r="V7" s="54">
        <f>IF($O7="","",ROUND(($O7-$O$3)/1000,1)+(_xlfn.RANK.AVG($O7,($J7,$O7,$T7),1)-2)*10)</f>
        <v>16.5</v>
      </c>
      <c r="W7" s="55">
        <f>IF($T7="","",ROUND(($T7-$T$3)/1000,1)+(_xlfn.RANK.AVG($T7,($J7,$O7,$T7),1)-2)*10)</f>
        <v>1.5</v>
      </c>
      <c r="Y7" s="8" t="s">
        <v>207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208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208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197</v>
      </c>
      <c r="G8" s="9">
        <v>2600</v>
      </c>
      <c r="H8" s="9"/>
      <c r="I8" s="48">
        <v>1000</v>
      </c>
      <c r="J8" s="21">
        <f t="shared" si="2"/>
        <v>30600</v>
      </c>
      <c r="K8" s="8" t="s">
        <v>198</v>
      </c>
      <c r="L8" s="9">
        <v>-2600</v>
      </c>
      <c r="M8" s="9"/>
      <c r="N8" s="48">
        <v>-1000</v>
      </c>
      <c r="O8" s="21">
        <f t="shared" si="3"/>
        <v>37900</v>
      </c>
      <c r="P8" s="8"/>
      <c r="Q8" s="9"/>
      <c r="R8" s="9"/>
      <c r="S8" s="48"/>
      <c r="T8" s="21">
        <f t="shared" si="4"/>
        <v>36500</v>
      </c>
      <c r="U8" s="53">
        <f>IF($J8="","",ROUND(($J8-$J$3)/1000,1)+(_xlfn.RANK.AVG($J8,($J8,$O8,$T8),1)-2)*10)</f>
        <v>-14.4</v>
      </c>
      <c r="V8" s="54">
        <f>IF($O8="","",ROUND(($O8-$O$3)/1000,1)+(_xlfn.RANK.AVG($O8,($J8,$O8,$T8),1)-2)*10)</f>
        <v>12.9</v>
      </c>
      <c r="W8" s="55">
        <f>IF($T8="","",ROUND(($T8-$T$3)/1000,1)+(_xlfn.RANK.AVG($T8,($J8,$O8,$T8),1)-2)*10)</f>
        <v>1.5</v>
      </c>
      <c r="Y8" s="8"/>
      <c r="Z8" s="34"/>
      <c r="AA8" s="26"/>
      <c r="AB8" s="26"/>
      <c r="AC8" s="26">
        <v>2</v>
      </c>
      <c r="AD8" s="30">
        <v>40</v>
      </c>
      <c r="AE8" s="40" t="s">
        <v>85</v>
      </c>
      <c r="AF8" s="41" t="s">
        <v>201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210</v>
      </c>
      <c r="G9" s="9">
        <v>-8000</v>
      </c>
      <c r="H9" s="9"/>
      <c r="I9" s="48"/>
      <c r="J9" s="21">
        <f t="shared" si="2"/>
        <v>22600</v>
      </c>
      <c r="K9" s="8" t="s">
        <v>210</v>
      </c>
      <c r="L9" s="9">
        <v>3000</v>
      </c>
      <c r="M9" s="9"/>
      <c r="N9" s="48"/>
      <c r="O9" s="21">
        <f t="shared" si="3"/>
        <v>40900</v>
      </c>
      <c r="P9" s="8" t="s">
        <v>210</v>
      </c>
      <c r="Q9" s="9">
        <v>5000</v>
      </c>
      <c r="R9" s="9"/>
      <c r="S9" s="48"/>
      <c r="T9" s="21">
        <f t="shared" si="4"/>
        <v>41500</v>
      </c>
      <c r="U9" s="53">
        <f>IF($J9="","",ROUND(($J9-$J$3)/1000,1)+(_xlfn.RANK.AVG($J9,($J9,$O9,$T9),1)-2)*10)</f>
        <v>-22.4</v>
      </c>
      <c r="V9" s="54">
        <f>IF($O9="","",ROUND(($O9-$O$3)/1000,1)+(_xlfn.RANK.AVG($O9,($J9,$O9,$T9),1)-2)*10)</f>
        <v>5.9</v>
      </c>
      <c r="W9" s="55">
        <f>IF($T9="","",ROUND(($T9-$T$3)/1000,1)+(_xlfn.RANK.AVG($T9,($J9,$O9,$T9),1)-2)*10)</f>
        <v>16.5</v>
      </c>
      <c r="Y9" s="8"/>
      <c r="Z9" s="34">
        <v>1</v>
      </c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204</v>
      </c>
      <c r="F10" s="8" t="s">
        <v>202</v>
      </c>
      <c r="G10" s="9">
        <v>-2000</v>
      </c>
      <c r="H10" s="9"/>
      <c r="I10" s="48">
        <v>0</v>
      </c>
      <c r="J10" s="21">
        <f t="shared" si="2"/>
        <v>20600</v>
      </c>
      <c r="K10" s="8" t="s">
        <v>203</v>
      </c>
      <c r="L10" s="9">
        <v>5300</v>
      </c>
      <c r="M10" s="9"/>
      <c r="N10" s="48">
        <v>0</v>
      </c>
      <c r="O10" s="21">
        <f t="shared" si="3"/>
        <v>46200</v>
      </c>
      <c r="P10" s="8" t="s">
        <v>202</v>
      </c>
      <c r="Q10" s="9">
        <v>-3300</v>
      </c>
      <c r="R10" s="9"/>
      <c r="S10" s="48">
        <v>0</v>
      </c>
      <c r="T10" s="21">
        <f t="shared" si="4"/>
        <v>38200</v>
      </c>
      <c r="U10" s="53">
        <f>IF($J10="","",ROUND(($J10-$J$3)/1000,1)+(_xlfn.RANK.AVG($J10,($J10,$O10,$T10),1)-2)*10)</f>
        <v>-24.4</v>
      </c>
      <c r="V10" s="54">
        <f>IF($O10="","",ROUND(($O10-$O$3)/1000,1)+(_xlfn.RANK.AVG($O10,($J10,$O10,$T10),1)-2)*10)</f>
        <v>21.2</v>
      </c>
      <c r="W10" s="55">
        <f>IF($T10="","",ROUND(($T10-$T$3)/1000,1)+(_xlfn.RANK.AVG($T10,($J10,$O10,$T10),1)-2)*10)</f>
        <v>3.2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40</v>
      </c>
      <c r="AZ10" s="40" t="s">
        <v>200</v>
      </c>
      <c r="BA10" s="41" t="s">
        <v>82</v>
      </c>
      <c r="BB10" s="41" t="s">
        <v>211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-6400</v>
      </c>
      <c r="H11" s="9"/>
      <c r="I11" s="48">
        <v>0</v>
      </c>
      <c r="J11" s="21">
        <f t="shared" si="2"/>
        <v>14200</v>
      </c>
      <c r="K11" s="8" t="s">
        <v>197</v>
      </c>
      <c r="L11" s="9">
        <v>6400</v>
      </c>
      <c r="M11" s="9"/>
      <c r="N11" s="48">
        <v>0</v>
      </c>
      <c r="O11" s="21">
        <f t="shared" si="3"/>
        <v>52600</v>
      </c>
      <c r="P11" s="8"/>
      <c r="Q11" s="9"/>
      <c r="R11" s="9"/>
      <c r="S11" s="48"/>
      <c r="T11" s="21">
        <f t="shared" si="4"/>
        <v>38200</v>
      </c>
      <c r="U11" s="53">
        <f>IF($J11="","",ROUND(($J11-$J$3)/1000,1)+(_xlfn.RANK.AVG($J11,($J11,$O11,$T11),1)-2)*10)</f>
        <v>-30.8</v>
      </c>
      <c r="V11" s="54">
        <f>IF($O11="","",ROUND(($O11-$O$3)/1000,1)+(_xlfn.RANK.AVG($O11,($J11,$O11,$T11),1)-2)*10)</f>
        <v>27.6</v>
      </c>
      <c r="W11" s="55">
        <f>IF($T11="","",ROUND(($T11-$T$3)/1000,1)+(_xlfn.RANK.AVG($T11,($J11,$O11,$T11),1)-2)*10)</f>
        <v>3.2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4</v>
      </c>
      <c r="AY11" s="30">
        <v>25</v>
      </c>
      <c r="AZ11" s="40" t="s">
        <v>101</v>
      </c>
      <c r="BA11" s="41" t="s">
        <v>79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209</v>
      </c>
      <c r="G12" s="9">
        <v>-1500</v>
      </c>
      <c r="H12" s="9"/>
      <c r="I12" s="48"/>
      <c r="J12" s="21">
        <f t="shared" si="2"/>
        <v>12700</v>
      </c>
      <c r="K12" s="8" t="s">
        <v>209</v>
      </c>
      <c r="L12" s="9">
        <v>-1500</v>
      </c>
      <c r="M12" s="9">
        <v>1000</v>
      </c>
      <c r="N12" s="48"/>
      <c r="O12" s="21">
        <f t="shared" si="3"/>
        <v>52100</v>
      </c>
      <c r="P12" s="8" t="s">
        <v>209</v>
      </c>
      <c r="Q12" s="9">
        <v>3000</v>
      </c>
      <c r="R12" s="9">
        <v>-1000</v>
      </c>
      <c r="S12" s="48"/>
      <c r="T12" s="21">
        <f t="shared" si="4"/>
        <v>40200</v>
      </c>
      <c r="U12" s="53">
        <f>IF($J12="","",ROUND(($J12-$J$3)/1000,1)+(_xlfn.RANK.AVG($J12,($J12,$O12,$T12),1)-2)*10)</f>
        <v>-32.299999999999997</v>
      </c>
      <c r="V12" s="54">
        <f>IF($O12="","",ROUND(($O12-$O$3)/1000,1)+(_xlfn.RANK.AVG($O12,($J12,$O12,$T12),1)-2)*10)</f>
        <v>27.1</v>
      </c>
      <c r="W12" s="55">
        <f>IF($T12="","",ROUND(($T12-$T$3)/1000,1)+(_xlfn.RANK.AVG($T12,($J12,$O12,$T12),1)-2)*10)</f>
        <v>5.2</v>
      </c>
      <c r="Y12" s="8" t="s">
        <v>207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207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208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2164DB72-5B41-4484-A4D1-D7C5D96524DE}">
      <formula1>$U$2:$W$2</formula1>
    </dataValidation>
    <dataValidation type="list" showInputMessage="1" showErrorMessage="1" sqref="K4:K30 P4:P30 F4:F30" xr:uid="{2CD14A73-D7CF-4078-BBF9-3880F7F0A961}">
      <formula1>"ロン,ツモ,放銃,ツモ支払,流局,チョンボ"</formula1>
    </dataValidation>
    <dataValidation type="list" allowBlank="1" showInputMessage="1" sqref="F1:T1" xr:uid="{65F74E7E-C851-4E6F-95B5-DBE03C1F57A1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34547-C5C7-4DC6-A70D-9C713FC9208E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206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205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197</v>
      </c>
      <c r="Q4" s="9">
        <v>1500</v>
      </c>
      <c r="R4" s="9"/>
      <c r="S4" s="48">
        <v>0</v>
      </c>
      <c r="T4" s="21">
        <f>IF(COUNTA($F4,$K4,$P4)&gt;0,T3+SUM(Q4:S4),"")</f>
        <v>36500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-11.5</v>
      </c>
      <c r="W4" s="55">
        <f>IF($T4="","",ROUND(($T4-$T$3)/1000,1)+(_xlfn.RANK.AVG($T4,($J4,$O4,$T4),1)-2)*10)</f>
        <v>11.5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</v>
      </c>
      <c r="BT4" s="30">
        <v>30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204</v>
      </c>
      <c r="F5" s="8" t="s">
        <v>197</v>
      </c>
      <c r="G5" s="9">
        <v>1000</v>
      </c>
      <c r="H5" s="9"/>
      <c r="I5" s="48">
        <v>1000</v>
      </c>
      <c r="J5" s="21">
        <f t="shared" ref="J5:J30" si="2">IF(COUNTA($F5,$K5,$P5)&gt;0,J4+SUM(G5:I5),"")</f>
        <v>37000</v>
      </c>
      <c r="K5" s="8" t="s">
        <v>198</v>
      </c>
      <c r="L5" s="9">
        <v>-1000</v>
      </c>
      <c r="M5" s="9"/>
      <c r="N5" s="48">
        <v>-1000</v>
      </c>
      <c r="O5" s="21">
        <f t="shared" ref="O5:O30" si="3">IF(COUNTA($F5,$K5,$P5)&gt;0,O4+SUM(L5:N5),"")</f>
        <v>31500</v>
      </c>
      <c r="P5" s="8"/>
      <c r="Q5" s="9"/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IF($J5="","",ROUND(($J5-$J$3)/1000,1)+(_xlfn.RANK.AVG($J5,($J5,$O5,$T5),1)-2)*10)</f>
        <v>12</v>
      </c>
      <c r="V5" s="54">
        <f>IF($O5="","",ROUND(($O5-$O$3)/1000,1)+(_xlfn.RANK.AVG($O5,($J5,$O5,$T5),1)-2)*10)</f>
        <v>-13.5</v>
      </c>
      <c r="W5" s="55">
        <f>IF($T5="","",ROUND(($T5-$T$3)/1000,1)+(_xlfn.RANK.AVG($T5,($J5,$O5,$T5),1)-2)*10)</f>
        <v>1.5</v>
      </c>
      <c r="Y5" s="8"/>
      <c r="Z5" s="34"/>
      <c r="AA5" s="26"/>
      <c r="AB5" s="26">
        <v>1</v>
      </c>
      <c r="AC5" s="26">
        <v>1</v>
      </c>
      <c r="AD5" s="30">
        <v>30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209</v>
      </c>
      <c r="G6" s="9">
        <v>-1500</v>
      </c>
      <c r="H6" s="9"/>
      <c r="I6" s="48"/>
      <c r="J6" s="21">
        <f t="shared" si="2"/>
        <v>35500</v>
      </c>
      <c r="K6" s="8" t="s">
        <v>209</v>
      </c>
      <c r="L6" s="9">
        <v>3000</v>
      </c>
      <c r="M6" s="9">
        <v>-1000</v>
      </c>
      <c r="N6" s="48"/>
      <c r="O6" s="21">
        <f t="shared" si="3"/>
        <v>33500</v>
      </c>
      <c r="P6" s="8" t="s">
        <v>209</v>
      </c>
      <c r="Q6" s="9">
        <v>-1500</v>
      </c>
      <c r="R6" s="9"/>
      <c r="S6" s="48"/>
      <c r="T6" s="21">
        <f t="shared" si="4"/>
        <v>35000</v>
      </c>
      <c r="U6" s="53">
        <f>IF($J6="","",ROUND(($J6-$J$3)/1000,1)+(_xlfn.RANK.AVG($J6,($J6,$O6,$T6),1)-2)*10)</f>
        <v>10.5</v>
      </c>
      <c r="V6" s="54">
        <f>IF($O6="","",ROUND(($O6-$O$3)/1000,1)+(_xlfn.RANK.AVG($O6,($J6,$O6,$T6),1)-2)*10)</f>
        <v>-11.5</v>
      </c>
      <c r="W6" s="55">
        <f>IF($T6="","",ROUND(($T6-$T$3)/1000,1)+(_xlfn.RANK.AVG($T6,($J6,$O6,$T6),1)-2)*10)</f>
        <v>0</v>
      </c>
      <c r="Y6" s="8" t="s">
        <v>207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208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207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197</v>
      </c>
      <c r="G7" s="9">
        <v>2600</v>
      </c>
      <c r="H7" s="9">
        <v>1000</v>
      </c>
      <c r="I7" s="48">
        <v>1000</v>
      </c>
      <c r="J7" s="21">
        <f t="shared" si="2"/>
        <v>40100</v>
      </c>
      <c r="K7" s="8"/>
      <c r="L7" s="9"/>
      <c r="M7" s="9"/>
      <c r="N7" s="48"/>
      <c r="O7" s="21">
        <f t="shared" si="3"/>
        <v>33500</v>
      </c>
      <c r="P7" s="8" t="s">
        <v>198</v>
      </c>
      <c r="Q7" s="9">
        <v>-2600</v>
      </c>
      <c r="R7" s="9"/>
      <c r="S7" s="48">
        <v>-1000</v>
      </c>
      <c r="T7" s="21">
        <f t="shared" si="4"/>
        <v>31400</v>
      </c>
      <c r="U7" s="53">
        <f>IF($J7="","",ROUND(($J7-$J$3)/1000,1)+(_xlfn.RANK.AVG($J7,($J7,$O7,$T7),1)-2)*10)</f>
        <v>15.1</v>
      </c>
      <c r="V7" s="54">
        <f>IF($O7="","",ROUND(($O7-$O$3)/1000,1)+(_xlfn.RANK.AVG($O7,($J7,$O7,$T7),1)-2)*10)</f>
        <v>-1.5</v>
      </c>
      <c r="W7" s="55">
        <f>IF($T7="","",ROUND(($T7-$T$3)/1000,1)+(_xlfn.RANK.AVG($T7,($J7,$O7,$T7),1)-2)*10)</f>
        <v>-13.6</v>
      </c>
      <c r="Y7" s="8"/>
      <c r="Z7" s="34"/>
      <c r="AA7" s="26"/>
      <c r="AB7" s="26"/>
      <c r="AC7" s="26">
        <v>2</v>
      </c>
      <c r="AD7" s="30">
        <v>40</v>
      </c>
      <c r="AE7" s="40" t="s">
        <v>84</v>
      </c>
      <c r="AF7" s="41" t="s">
        <v>201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202</v>
      </c>
      <c r="G8" s="9">
        <v>-3000</v>
      </c>
      <c r="H8" s="9"/>
      <c r="I8" s="48">
        <v>0</v>
      </c>
      <c r="J8" s="21">
        <f t="shared" si="2"/>
        <v>37100</v>
      </c>
      <c r="K8" s="8" t="s">
        <v>203</v>
      </c>
      <c r="L8" s="9">
        <v>8000</v>
      </c>
      <c r="M8" s="9"/>
      <c r="N8" s="48">
        <v>0</v>
      </c>
      <c r="O8" s="21">
        <f t="shared" si="3"/>
        <v>41500</v>
      </c>
      <c r="P8" s="8" t="s">
        <v>202</v>
      </c>
      <c r="Q8" s="9">
        <v>-5000</v>
      </c>
      <c r="R8" s="9"/>
      <c r="S8" s="48">
        <v>0</v>
      </c>
      <c r="T8" s="21">
        <f t="shared" si="4"/>
        <v>26400</v>
      </c>
      <c r="U8" s="53">
        <f>IF($J8="","",ROUND(($J8-$J$3)/1000,1)+(_xlfn.RANK.AVG($J8,($J8,$O8,$T8),1)-2)*10)</f>
        <v>2.1</v>
      </c>
      <c r="V8" s="54">
        <f>IF($O8="","",ROUND(($O8-$O$3)/1000,1)+(_xlfn.RANK.AVG($O8,($J8,$O8,$T8),1)-2)*10)</f>
        <v>16.5</v>
      </c>
      <c r="W8" s="55">
        <f>IF($T8="","",ROUND(($T8-$T$3)/1000,1)+(_xlfn.RANK.AVG($T8,($J8,$O8,$T8),1)-2)*10)</f>
        <v>-18.600000000000001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199</v>
      </c>
      <c r="AZ8" s="40" t="s">
        <v>200</v>
      </c>
      <c r="BA8" s="41" t="s">
        <v>82</v>
      </c>
      <c r="BB8" s="41" t="s">
        <v>79</v>
      </c>
      <c r="BC8" s="41" t="s">
        <v>79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202</v>
      </c>
      <c r="G9" s="9">
        <v>-2500</v>
      </c>
      <c r="H9" s="9"/>
      <c r="I9" s="48">
        <v>0</v>
      </c>
      <c r="J9" s="21">
        <f t="shared" si="2"/>
        <v>34600</v>
      </c>
      <c r="K9" s="8" t="s">
        <v>203</v>
      </c>
      <c r="L9" s="9">
        <v>4000</v>
      </c>
      <c r="M9" s="9"/>
      <c r="N9" s="48">
        <v>0</v>
      </c>
      <c r="O9" s="21">
        <f t="shared" si="3"/>
        <v>45500</v>
      </c>
      <c r="P9" s="8" t="s">
        <v>202</v>
      </c>
      <c r="Q9" s="9">
        <v>-1500</v>
      </c>
      <c r="R9" s="9"/>
      <c r="S9" s="48">
        <v>0</v>
      </c>
      <c r="T9" s="21">
        <f t="shared" si="4"/>
        <v>24900</v>
      </c>
      <c r="U9" s="53">
        <f>IF($J9="","",ROUND(($J9-$J$3)/1000,1)+(_xlfn.RANK.AVG($J9,($J9,$O9,$T9),1)-2)*10)</f>
        <v>-0.4</v>
      </c>
      <c r="V9" s="54">
        <f>IF($O9="","",ROUND(($O9-$O$3)/1000,1)+(_xlfn.RANK.AVG($O9,($J9,$O9,$T9),1)-2)*10)</f>
        <v>20.5</v>
      </c>
      <c r="W9" s="55">
        <f>IF($T9="","",ROUND(($T9-$T$3)/1000,1)+(_xlfn.RANK.AVG($T9,($J9,$O9,$T9),1)-2)*10)</f>
        <v>-20.100000000000001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30</v>
      </c>
      <c r="AZ9" s="40" t="s">
        <v>200</v>
      </c>
      <c r="BA9" s="41" t="s">
        <v>82</v>
      </c>
      <c r="BB9" s="41" t="s">
        <v>201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202</v>
      </c>
      <c r="G10" s="9">
        <v>-1500</v>
      </c>
      <c r="H10" s="9">
        <v>-1000</v>
      </c>
      <c r="I10" s="48">
        <v>0</v>
      </c>
      <c r="J10" s="21">
        <f t="shared" si="2"/>
        <v>32100</v>
      </c>
      <c r="K10" s="8" t="s">
        <v>202</v>
      </c>
      <c r="L10" s="9">
        <v>-2500</v>
      </c>
      <c r="M10" s="9"/>
      <c r="N10" s="48">
        <v>0</v>
      </c>
      <c r="O10" s="21">
        <f t="shared" si="3"/>
        <v>43000</v>
      </c>
      <c r="P10" s="8" t="s">
        <v>203</v>
      </c>
      <c r="Q10" s="9">
        <v>4000</v>
      </c>
      <c r="R10" s="9">
        <v>1000</v>
      </c>
      <c r="S10" s="48">
        <v>0</v>
      </c>
      <c r="T10" s="21">
        <f t="shared" si="4"/>
        <v>29900</v>
      </c>
      <c r="U10" s="53">
        <f>IF($J10="","",ROUND(($J10-$J$3)/1000,1)+(_xlfn.RANK.AVG($J10,($J10,$O10,$T10),1)-2)*10)</f>
        <v>-2.9</v>
      </c>
      <c r="V10" s="54">
        <f>IF($O10="","",ROUND(($O10-$O$3)/1000,1)+(_xlfn.RANK.AVG($O10,($J10,$O10,$T10),1)-2)*10)</f>
        <v>18</v>
      </c>
      <c r="W10" s="55">
        <f>IF($T10="","",ROUND(($T10-$T$3)/1000,1)+(_xlfn.RANK.AVG($T10,($J10,$O10,$T10),1)-2)*10)</f>
        <v>-15.1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86</v>
      </c>
      <c r="BV10" s="41" t="s">
        <v>104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FFFCBE1B-F79D-41C6-B36A-B0424CE2D710}">
      <formula1>"たかの,だいち,ただ,りくと,れんたろう,まっつん,のり,ぱぱ,ほたに,"</formula1>
    </dataValidation>
    <dataValidation type="list" showInputMessage="1" showErrorMessage="1" sqref="K4:K30 P4:P30 F4:F30" xr:uid="{C8D01260-180C-43A9-A484-3F090B7A685A}">
      <formula1>"ロン,ツモ,放銃,ツモ支払,流局,チョンボ"</formula1>
    </dataValidation>
    <dataValidation type="list" allowBlank="1" showInputMessage="1" showErrorMessage="1" sqref="E4:E30" xr:uid="{4E7B4184-F862-47DA-B4E5-4B0D67F1489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892CA-2A93-4624-B14D-9750B0DA4716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206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209</v>
      </c>
      <c r="G4" s="9">
        <v>1500</v>
      </c>
      <c r="H4" s="9"/>
      <c r="I4" s="48"/>
      <c r="J4" s="21">
        <f>IF(COUNTA($F4,$K4,$P4)&gt;0,J3+SUM(G4:I4),"")</f>
        <v>36500</v>
      </c>
      <c r="K4" s="8" t="s">
        <v>209</v>
      </c>
      <c r="L4" s="9">
        <v>-3000</v>
      </c>
      <c r="M4" s="9"/>
      <c r="N4" s="48"/>
      <c r="O4" s="21">
        <f>IF(COUNTA($F4,$K4,$P4)&gt;0,O3+SUM(L4:N4),"")</f>
        <v>32000</v>
      </c>
      <c r="P4" s="8" t="s">
        <v>209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6.5</v>
      </c>
      <c r="Y4" s="8" t="s">
        <v>208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208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202</v>
      </c>
      <c r="G5" s="9">
        <v>-15000</v>
      </c>
      <c r="H5" s="9"/>
      <c r="I5" s="48">
        <v>-500</v>
      </c>
      <c r="J5" s="21">
        <f t="shared" ref="J5:J30" si="2">IF(COUNTA($F5,$K5,$P5)&gt;0,J4+SUM(G5:I5),"")</f>
        <v>21000</v>
      </c>
      <c r="K5" s="8" t="s">
        <v>203</v>
      </c>
      <c r="L5" s="9">
        <v>24000</v>
      </c>
      <c r="M5" s="9"/>
      <c r="N5" s="48">
        <v>1000</v>
      </c>
      <c r="O5" s="21">
        <f t="shared" ref="O5:O30" si="3">IF(COUNTA($F5,$K5,$P5)&gt;0,O4+SUM(L5:N5),"")</f>
        <v>57000</v>
      </c>
      <c r="P5" s="8" t="s">
        <v>202</v>
      </c>
      <c r="Q5" s="9">
        <v>-9000</v>
      </c>
      <c r="R5" s="9"/>
      <c r="S5" s="48">
        <v>-500</v>
      </c>
      <c r="T5" s="21">
        <f t="shared" ref="T5:T30" si="4">IF(COUNTA($F5,$K5,$P5)&gt;0,T4+SUM(Q5:S5),"")</f>
        <v>27000</v>
      </c>
      <c r="U5" s="53">
        <f>IF($J5="","",ROUND(($J5-$J$3)/1000,1)+(_xlfn.RANK.AVG($J5,($J5,$O5,$T5),1)-2)*10)</f>
        <v>-24</v>
      </c>
      <c r="V5" s="54">
        <f>IF($O5="","",ROUND(($O5-$O$3)/1000,1)+(_xlfn.RANK.AVG($O5,($J5,$O5,$T5),1)-2)*10)</f>
        <v>32</v>
      </c>
      <c r="W5" s="55">
        <f>IF($T5="","",ROUND(($T5-$T$3)/1000,1)+(_xlfn.RANK.AVG($T5,($J5,$O5,$T5),1)-2)*10)</f>
        <v>-8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11</v>
      </c>
      <c r="AY5" s="30" t="s">
        <v>199</v>
      </c>
      <c r="AZ5" s="40" t="s">
        <v>200</v>
      </c>
      <c r="BA5" s="41" t="s">
        <v>82</v>
      </c>
      <c r="BB5" s="41" t="s">
        <v>211</v>
      </c>
      <c r="BC5" s="41" t="s">
        <v>201</v>
      </c>
      <c r="BD5" s="41" t="s">
        <v>79</v>
      </c>
      <c r="BE5" s="41" t="s">
        <v>79</v>
      </c>
      <c r="BF5" s="41" t="s">
        <v>79</v>
      </c>
      <c r="BG5" s="41" t="s">
        <v>79</v>
      </c>
      <c r="BH5" s="41" t="s">
        <v>79</v>
      </c>
      <c r="BI5" s="41" t="s">
        <v>86</v>
      </c>
      <c r="BJ5" s="41" t="s">
        <v>80</v>
      </c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202</v>
      </c>
      <c r="G6" s="9">
        <v>-800</v>
      </c>
      <c r="H6" s="9"/>
      <c r="I6" s="48">
        <v>0</v>
      </c>
      <c r="J6" s="21">
        <f t="shared" si="2"/>
        <v>20200</v>
      </c>
      <c r="K6" s="8" t="s">
        <v>202</v>
      </c>
      <c r="L6" s="9">
        <v>-1300</v>
      </c>
      <c r="M6" s="9"/>
      <c r="N6" s="48">
        <v>0</v>
      </c>
      <c r="O6" s="21">
        <f t="shared" si="3"/>
        <v>55700</v>
      </c>
      <c r="P6" s="8" t="s">
        <v>203</v>
      </c>
      <c r="Q6" s="9">
        <v>2100</v>
      </c>
      <c r="R6" s="9"/>
      <c r="S6" s="48">
        <v>0</v>
      </c>
      <c r="T6" s="21">
        <f t="shared" si="4"/>
        <v>29100</v>
      </c>
      <c r="U6" s="53">
        <f>IF($J6="","",ROUND(($J6-$J$3)/1000,1)+(_xlfn.RANK.AVG($J6,($J6,$O6,$T6),1)-2)*10)</f>
        <v>-24.8</v>
      </c>
      <c r="V6" s="54">
        <f>IF($O6="","",ROUND(($O6-$O$3)/1000,1)+(_xlfn.RANK.AVG($O6,($J6,$O6,$T6),1)-2)*10)</f>
        <v>30.7</v>
      </c>
      <c r="W6" s="55">
        <f>IF($T6="","",ROUND(($T6-$T$3)/1000,1)+(_xlfn.RANK.AVG($T6,($J6,$O6,$T6),1)-2)*10)</f>
        <v>-5.9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82</v>
      </c>
      <c r="BV6" s="41" t="s">
        <v>201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204</v>
      </c>
      <c r="F7" s="8" t="s">
        <v>198</v>
      </c>
      <c r="G7" s="9">
        <v>-2600</v>
      </c>
      <c r="H7" s="9"/>
      <c r="I7" s="48">
        <v>0</v>
      </c>
      <c r="J7" s="21">
        <f t="shared" si="2"/>
        <v>17600</v>
      </c>
      <c r="K7" s="8" t="s">
        <v>197</v>
      </c>
      <c r="L7" s="9">
        <v>2600</v>
      </c>
      <c r="M7" s="9"/>
      <c r="N7" s="48">
        <v>0</v>
      </c>
      <c r="O7" s="21">
        <f t="shared" si="3"/>
        <v>58300</v>
      </c>
      <c r="P7" s="8"/>
      <c r="Q7" s="9"/>
      <c r="R7" s="9"/>
      <c r="S7" s="48"/>
      <c r="T7" s="21">
        <f t="shared" si="4"/>
        <v>29100</v>
      </c>
      <c r="U7" s="53">
        <f>IF($J7="","",ROUND(($J7-$J$3)/1000,1)+(_xlfn.RANK.AVG($J7,($J7,$O7,$T7),1)-2)*10)</f>
        <v>-27.4</v>
      </c>
      <c r="V7" s="54">
        <f>IF($O7="","",ROUND(($O7-$O$3)/1000,1)+(_xlfn.RANK.AVG($O7,($J7,$O7,$T7),1)-2)*10)</f>
        <v>33.299999999999997</v>
      </c>
      <c r="W7" s="55">
        <f>IF($T7="","",ROUND(($T7-$T$3)/1000,1)+(_xlfn.RANK.AVG($T7,($J7,$O7,$T7),1)-2)*10)</f>
        <v>-5.9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40</v>
      </c>
      <c r="AZ7" s="40" t="s">
        <v>200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198</v>
      </c>
      <c r="G8" s="9">
        <v>-8000</v>
      </c>
      <c r="H8" s="9"/>
      <c r="I8" s="48">
        <v>0</v>
      </c>
      <c r="J8" s="21">
        <f t="shared" si="2"/>
        <v>9600</v>
      </c>
      <c r="K8" s="8" t="s">
        <v>197</v>
      </c>
      <c r="L8" s="9">
        <v>8000</v>
      </c>
      <c r="M8" s="9"/>
      <c r="N8" s="48">
        <v>0</v>
      </c>
      <c r="O8" s="21">
        <f t="shared" si="3"/>
        <v>66300</v>
      </c>
      <c r="P8" s="8"/>
      <c r="Q8" s="9"/>
      <c r="R8" s="9"/>
      <c r="S8" s="48"/>
      <c r="T8" s="21">
        <f t="shared" si="4"/>
        <v>29100</v>
      </c>
      <c r="U8" s="53">
        <f>IF($J8="","",ROUND(($J8-$J$3)/1000,1)+(_xlfn.RANK.AVG($J8,($J8,$O8,$T8),1)-2)*10)</f>
        <v>-35.4</v>
      </c>
      <c r="V8" s="54">
        <f>IF($O8="","",ROUND(($O8-$O$3)/1000,1)+(_xlfn.RANK.AVG($O8,($J8,$O8,$T8),1)-2)*10)</f>
        <v>41.3</v>
      </c>
      <c r="W8" s="55">
        <f>IF($T8="","",ROUND(($T8-$T$3)/1000,1)+(_xlfn.RANK.AVG($T8,($J8,$O8,$T8),1)-2)*10)</f>
        <v>-5.9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199</v>
      </c>
      <c r="AZ8" s="40" t="s">
        <v>98</v>
      </c>
      <c r="BA8" s="41" t="s">
        <v>100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198</v>
      </c>
      <c r="G9" s="9">
        <v>-3900</v>
      </c>
      <c r="H9" s="9"/>
      <c r="I9" s="48">
        <v>0</v>
      </c>
      <c r="J9" s="21">
        <f t="shared" si="2"/>
        <v>5700</v>
      </c>
      <c r="K9" s="8"/>
      <c r="L9" s="9"/>
      <c r="M9" s="9"/>
      <c r="N9" s="48"/>
      <c r="O9" s="21">
        <f t="shared" si="3"/>
        <v>66300</v>
      </c>
      <c r="P9" s="8" t="s">
        <v>197</v>
      </c>
      <c r="Q9" s="9">
        <v>3900</v>
      </c>
      <c r="R9" s="9"/>
      <c r="S9" s="48">
        <v>0</v>
      </c>
      <c r="T9" s="21">
        <f t="shared" si="4"/>
        <v>33000</v>
      </c>
      <c r="U9" s="53">
        <f>IF($J9="","",ROUND(($J9-$J$3)/1000,1)+(_xlfn.RANK.AVG($J9,($J9,$O9,$T9),1)-2)*10)</f>
        <v>-39.299999999999997</v>
      </c>
      <c r="V9" s="54">
        <f>IF($O9="","",ROUND(($O9-$O$3)/1000,1)+(_xlfn.RANK.AVG($O9,($J9,$O9,$T9),1)-2)*10)</f>
        <v>41.3</v>
      </c>
      <c r="W9" s="55">
        <f>IF($T9="","",ROUND(($T9-$T$3)/1000,1)+(_xlfn.RANK.AVG($T9,($J9,$O9,$T9),1)-2)*10)</f>
        <v>-2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30</v>
      </c>
      <c r="BU9" s="40" t="s">
        <v>86</v>
      </c>
      <c r="BV9" s="41" t="s">
        <v>104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204</v>
      </c>
      <c r="F10" s="8" t="s">
        <v>202</v>
      </c>
      <c r="G10" s="9">
        <v>-800</v>
      </c>
      <c r="H10" s="9"/>
      <c r="I10" s="48">
        <v>0</v>
      </c>
      <c r="J10" s="21">
        <f t="shared" si="2"/>
        <v>4900</v>
      </c>
      <c r="K10" s="8" t="s">
        <v>202</v>
      </c>
      <c r="L10" s="9">
        <v>-800</v>
      </c>
      <c r="M10" s="9"/>
      <c r="N10" s="48">
        <v>0</v>
      </c>
      <c r="O10" s="21">
        <f t="shared" si="3"/>
        <v>65500</v>
      </c>
      <c r="P10" s="8" t="s">
        <v>203</v>
      </c>
      <c r="Q10" s="9">
        <v>1600</v>
      </c>
      <c r="R10" s="9"/>
      <c r="S10" s="48">
        <v>0</v>
      </c>
      <c r="T10" s="21">
        <f t="shared" si="4"/>
        <v>34600</v>
      </c>
      <c r="U10" s="53">
        <f>IF($J10="","",ROUND(($J10-$J$3)/1000,1)+(_xlfn.RANK.AVG($J10,($J10,$O10,$T10),1)-2)*10)</f>
        <v>-40.1</v>
      </c>
      <c r="V10" s="54">
        <f>IF($O10="","",ROUND(($O10-$O$3)/1000,1)+(_xlfn.RANK.AVG($O10,($J10,$O10,$T10),1)-2)*10)</f>
        <v>40.5</v>
      </c>
      <c r="W10" s="55">
        <f>IF($T10="","",ROUND(($T10-$T$3)/1000,1)+(_xlfn.RANK.AVG($T10,($J10,$O10,$T10),1)-2)*10)</f>
        <v>-0.4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</v>
      </c>
      <c r="BT10" s="30">
        <v>30</v>
      </c>
      <c r="BU10" s="40" t="s">
        <v>86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204</v>
      </c>
      <c r="F11" s="8" t="s">
        <v>202</v>
      </c>
      <c r="G11" s="9">
        <v>-4500</v>
      </c>
      <c r="H11" s="9"/>
      <c r="I11" s="48">
        <v>-500</v>
      </c>
      <c r="J11" s="21">
        <f t="shared" si="2"/>
        <v>-100</v>
      </c>
      <c r="K11" s="8" t="s">
        <v>203</v>
      </c>
      <c r="L11" s="9">
        <v>12000</v>
      </c>
      <c r="M11" s="9"/>
      <c r="N11" s="48">
        <v>1000</v>
      </c>
      <c r="O11" s="21">
        <f t="shared" si="3"/>
        <v>78500</v>
      </c>
      <c r="P11" s="8" t="s">
        <v>202</v>
      </c>
      <c r="Q11" s="9">
        <v>-7500</v>
      </c>
      <c r="R11" s="9"/>
      <c r="S11" s="48">
        <v>-500</v>
      </c>
      <c r="T11" s="21">
        <f t="shared" si="4"/>
        <v>26600</v>
      </c>
      <c r="U11" s="53">
        <f>IF($J11="","",ROUND(($J11-$J$3)/1000,1)+(_xlfn.RANK.AVG($J11,($J11,$O11,$T11),1)-2)*10)</f>
        <v>-45.1</v>
      </c>
      <c r="V11" s="54">
        <f>IF($O11="","",ROUND(($O11-$O$3)/1000,1)+(_xlfn.RANK.AVG($O11,($J11,$O11,$T11),1)-2)*10)</f>
        <v>53.5</v>
      </c>
      <c r="W11" s="55">
        <f>IF($T11="","",ROUND(($T11-$T$3)/1000,1)+(_xlfn.RANK.AVG($T11,($J11,$O11,$T11),1)-2)*10)</f>
        <v>-8.4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6</v>
      </c>
      <c r="AY11" s="30" t="s">
        <v>199</v>
      </c>
      <c r="AZ11" s="40" t="s">
        <v>200</v>
      </c>
      <c r="BA11" s="41" t="s">
        <v>82</v>
      </c>
      <c r="BB11" s="41" t="s">
        <v>79</v>
      </c>
      <c r="BC11" s="41" t="s">
        <v>79</v>
      </c>
      <c r="BD11" s="41" t="s">
        <v>201</v>
      </c>
      <c r="BE11" s="41" t="s">
        <v>83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37D1E207-2F41-488C-BFFB-A8C0DEC1845F}">
      <formula1>$U$2:$W$2</formula1>
    </dataValidation>
    <dataValidation type="list" showInputMessage="1" showErrorMessage="1" sqref="K4:K30 P4:P30 F4:F30" xr:uid="{41BF090F-AC27-4083-B1A4-3EEA75BFACE4}">
      <formula1>"ロン,ツモ,放銃,ツモ支払,流局,チョンボ"</formula1>
    </dataValidation>
    <dataValidation type="list" allowBlank="1" showInputMessage="1" sqref="F1:T1" xr:uid="{A79C5697-88F1-4B86-9E73-F1083231B281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AFAC-9136-4E3C-8079-10A9D473399E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206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205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202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203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 t="s">
        <v>202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26</v>
      </c>
      <c r="W4" s="55">
        <f>IF($T4="","",ROUND(($T4-$T$3)/1000,1)+(_xlfn.RANK.AVG($T4,($J4,$O4,$T4),1)-2)*10)</f>
        <v>-6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8</v>
      </c>
      <c r="AY4" s="30" t="s">
        <v>199</v>
      </c>
      <c r="AZ4" s="40" t="s">
        <v>200</v>
      </c>
      <c r="BA4" s="41" t="s">
        <v>82</v>
      </c>
      <c r="BB4" s="41" t="s">
        <v>79</v>
      </c>
      <c r="BC4" s="41" t="s">
        <v>79</v>
      </c>
      <c r="BD4" s="41" t="s">
        <v>79</v>
      </c>
      <c r="BE4" s="41" t="s">
        <v>80</v>
      </c>
      <c r="BF4" s="41" t="s">
        <v>80</v>
      </c>
      <c r="BG4" s="41" t="s">
        <v>80</v>
      </c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25000</v>
      </c>
      <c r="K5" s="8" t="s">
        <v>198</v>
      </c>
      <c r="L5" s="9">
        <v>-8000</v>
      </c>
      <c r="M5" s="9"/>
      <c r="N5" s="48">
        <v>0</v>
      </c>
      <c r="O5" s="21">
        <f t="shared" ref="O5:O30" si="3">IF(COUNTA($F5,$K5,$P5)&gt;0,O4+SUM(L5:N5),"")</f>
        <v>43000</v>
      </c>
      <c r="P5" s="8" t="s">
        <v>197</v>
      </c>
      <c r="Q5" s="9">
        <v>8000</v>
      </c>
      <c r="R5" s="9"/>
      <c r="S5" s="48">
        <v>0</v>
      </c>
      <c r="T5" s="21">
        <f t="shared" ref="T5:T30" si="4">IF(COUNTA($F5,$K5,$P5)&gt;0,T4+SUM(Q5:S5),"")</f>
        <v>37000</v>
      </c>
      <c r="U5" s="53">
        <f>IF($J5="","",ROUND(($J5-$J$3)/1000,1)+(_xlfn.RANK.AVG($J5,($J5,$O5,$T5),1)-2)*10)</f>
        <v>-20</v>
      </c>
      <c r="V5" s="54">
        <f>IF($O5="","",ROUND(($O5-$O$3)/1000,1)+(_xlfn.RANK.AVG($O5,($J5,$O5,$T5),1)-2)*10)</f>
        <v>18</v>
      </c>
      <c r="W5" s="55">
        <f>IF($T5="","",ROUND(($T5-$T$3)/1000,1)+(_xlfn.RANK.AVG($T5,($J5,$O5,$T5),1)-2)*10)</f>
        <v>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200</v>
      </c>
      <c r="BV5" s="41" t="s">
        <v>201</v>
      </c>
      <c r="BW5" s="41" t="s">
        <v>80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/>
      <c r="G6" s="9"/>
      <c r="H6" s="9"/>
      <c r="I6" s="48"/>
      <c r="J6" s="21">
        <f t="shared" si="2"/>
        <v>25000</v>
      </c>
      <c r="K6" s="8" t="s">
        <v>197</v>
      </c>
      <c r="L6" s="9">
        <v>8000</v>
      </c>
      <c r="M6" s="9"/>
      <c r="N6" s="48">
        <v>0</v>
      </c>
      <c r="O6" s="21">
        <f t="shared" si="3"/>
        <v>51000</v>
      </c>
      <c r="P6" s="8" t="s">
        <v>198</v>
      </c>
      <c r="Q6" s="9">
        <v>-8000</v>
      </c>
      <c r="R6" s="9"/>
      <c r="S6" s="48">
        <v>0</v>
      </c>
      <c r="T6" s="21">
        <f t="shared" si="4"/>
        <v>29000</v>
      </c>
      <c r="U6" s="53">
        <f>IF($J6="","",ROUND(($J6-$J$3)/1000,1)+(_xlfn.RANK.AVG($J6,($J6,$O6,$T6),1)-2)*10)</f>
        <v>-20</v>
      </c>
      <c r="V6" s="54">
        <f>IF($O6="","",ROUND(($O6-$O$3)/1000,1)+(_xlfn.RANK.AVG($O6,($J6,$O6,$T6),1)-2)*10)</f>
        <v>26</v>
      </c>
      <c r="W6" s="55">
        <f>IF($T6="","",ROUND(($T6-$T$3)/1000,1)+(_xlfn.RANK.AVG($T6,($J6,$O6,$T6),1)-2)*10)</f>
        <v>-6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200</v>
      </c>
      <c r="BA6" s="41" t="s">
        <v>80</v>
      </c>
      <c r="BB6" s="41" t="s">
        <v>80</v>
      </c>
      <c r="BC6" s="41" t="s">
        <v>101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202</v>
      </c>
      <c r="G7" s="9">
        <v>-7500</v>
      </c>
      <c r="H7" s="9"/>
      <c r="I7" s="48">
        <v>0</v>
      </c>
      <c r="J7" s="21">
        <f t="shared" si="2"/>
        <v>17500</v>
      </c>
      <c r="K7" s="8" t="s">
        <v>202</v>
      </c>
      <c r="L7" s="9">
        <v>-4500</v>
      </c>
      <c r="M7" s="9"/>
      <c r="N7" s="48">
        <v>0</v>
      </c>
      <c r="O7" s="21">
        <f t="shared" si="3"/>
        <v>46500</v>
      </c>
      <c r="P7" s="8" t="s">
        <v>203</v>
      </c>
      <c r="Q7" s="9">
        <v>12000</v>
      </c>
      <c r="R7" s="9"/>
      <c r="S7" s="48">
        <v>0</v>
      </c>
      <c r="T7" s="21">
        <f t="shared" si="4"/>
        <v>41000</v>
      </c>
      <c r="U7" s="53">
        <f>IF($J7="","",ROUND(($J7-$J$3)/1000,1)+(_xlfn.RANK.AVG($J7,($J7,$O7,$T7),1)-2)*10)</f>
        <v>-27.5</v>
      </c>
      <c r="V7" s="54">
        <f>IF($O7="","",ROUND(($O7-$O$3)/1000,1)+(_xlfn.RANK.AVG($O7,($J7,$O7,$T7),1)-2)*10)</f>
        <v>21.5</v>
      </c>
      <c r="W7" s="55">
        <f>IF($T7="","",ROUND(($T7-$T$3)/1000,1)+(_xlfn.RANK.AVG($T7,($J7,$O7,$T7),1)-2)*10)</f>
        <v>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199</v>
      </c>
      <c r="BU7" s="40" t="s">
        <v>106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202</v>
      </c>
      <c r="G8" s="9">
        <v>-1500</v>
      </c>
      <c r="H8" s="9"/>
      <c r="I8" s="48">
        <v>0</v>
      </c>
      <c r="J8" s="21">
        <f t="shared" si="2"/>
        <v>16000</v>
      </c>
      <c r="K8" s="8" t="s">
        <v>202</v>
      </c>
      <c r="L8" s="9">
        <v>-2500</v>
      </c>
      <c r="M8" s="9"/>
      <c r="N8" s="48">
        <v>0</v>
      </c>
      <c r="O8" s="21">
        <f t="shared" si="3"/>
        <v>44000</v>
      </c>
      <c r="P8" s="8" t="s">
        <v>203</v>
      </c>
      <c r="Q8" s="9">
        <v>4000</v>
      </c>
      <c r="R8" s="9"/>
      <c r="S8" s="48">
        <v>0</v>
      </c>
      <c r="T8" s="21">
        <f t="shared" si="4"/>
        <v>45000</v>
      </c>
      <c r="U8" s="53">
        <f>IF($J8="","",ROUND(($J8-$J$3)/1000,1)+(_xlfn.RANK.AVG($J8,($J8,$O8,$T8),1)-2)*10)</f>
        <v>-29</v>
      </c>
      <c r="V8" s="54">
        <f>IF($O8="","",ROUND(($O8-$O$3)/1000,1)+(_xlfn.RANK.AVG($O8,($J8,$O8,$T8),1)-2)*10)</f>
        <v>9</v>
      </c>
      <c r="W8" s="55">
        <f>IF($T8="","",ROUND(($T8-$T$3)/1000,1)+(_xlfn.RANK.AVG($T8,($J8,$O8,$T8),1)-2)*10)</f>
        <v>20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82</v>
      </c>
      <c r="BV8" s="41" t="s">
        <v>86</v>
      </c>
      <c r="BW8" s="41" t="s">
        <v>200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209</v>
      </c>
      <c r="G9" s="9">
        <v>1500</v>
      </c>
      <c r="H9" s="9"/>
      <c r="I9" s="48"/>
      <c r="J9" s="21">
        <f t="shared" si="2"/>
        <v>17500</v>
      </c>
      <c r="K9" s="8" t="s">
        <v>209</v>
      </c>
      <c r="L9" s="9">
        <v>1500</v>
      </c>
      <c r="M9" s="9"/>
      <c r="N9" s="48"/>
      <c r="O9" s="21">
        <f t="shared" si="3"/>
        <v>45500</v>
      </c>
      <c r="P9" s="8" t="s">
        <v>209</v>
      </c>
      <c r="Q9" s="9">
        <v>-3000</v>
      </c>
      <c r="R9" s="9"/>
      <c r="S9" s="48"/>
      <c r="T9" s="21">
        <f t="shared" si="4"/>
        <v>42000</v>
      </c>
      <c r="U9" s="53">
        <f>IF($J9="","",ROUND(($J9-$J$3)/1000,1)+(_xlfn.RANK.AVG($J9,($J9,$O9,$T9),1)-2)*10)</f>
        <v>-27.5</v>
      </c>
      <c r="V9" s="54">
        <f>IF($O9="","",ROUND(($O9-$O$3)/1000,1)+(_xlfn.RANK.AVG($O9,($J9,$O9,$T9),1)-2)*10)</f>
        <v>20.5</v>
      </c>
      <c r="W9" s="55">
        <f>IF($T9="","",ROUND(($T9-$T$3)/1000,1)+(_xlfn.RANK.AVG($T9,($J9,$O9,$T9),1)-2)*10)</f>
        <v>7</v>
      </c>
      <c r="Y9" s="8" t="s">
        <v>208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208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207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175BE2BD-0C94-4F70-92B8-428A93713FD3}">
      <formula1>"たかの,だいち,ただ,りくと,れんたろう,まっつん,のり,ぱぱ,ほたに,"</formula1>
    </dataValidation>
    <dataValidation type="list" showInputMessage="1" showErrorMessage="1" sqref="K4:K30 P4:P30 F4:F30" xr:uid="{753CC571-F4FD-461B-BD24-C8F55ADABFA9}">
      <formula1>"ロン,ツモ,放銃,ツモ支払,流局,チョンボ"</formula1>
    </dataValidation>
    <dataValidation type="list" allowBlank="1" showInputMessage="1" showErrorMessage="1" sqref="E4:E30" xr:uid="{BCDC8D83-8DBD-406A-BD0F-E9AFAED62D0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D9DF8-E768-4893-922D-D6902BFE6E7E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213</v>
      </c>
      <c r="L1" s="78"/>
      <c r="M1" s="78"/>
      <c r="N1" s="79"/>
      <c r="O1" s="80"/>
      <c r="P1" s="77" t="s">
        <v>215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りくと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214</v>
      </c>
      <c r="F4" s="8" t="s">
        <v>203</v>
      </c>
      <c r="G4" s="9">
        <v>5300</v>
      </c>
      <c r="H4" s="9"/>
      <c r="I4" s="48">
        <v>0</v>
      </c>
      <c r="J4" s="21">
        <f>IF(COUNTA($F4,$K4,$P4)&gt;0,J3+SUM(G4:I4),"")</f>
        <v>40300</v>
      </c>
      <c r="K4" s="8" t="s">
        <v>202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202</v>
      </c>
      <c r="Q4" s="9">
        <v>-3300</v>
      </c>
      <c r="R4" s="9"/>
      <c r="S4" s="48">
        <v>0</v>
      </c>
      <c r="T4" s="21">
        <f>IF(COUNTA($F4,$K4,$P4)&gt;0,T3+SUM(Q4:S4),"")</f>
        <v>31700</v>
      </c>
      <c r="U4" s="53">
        <f>IF($J4="","",ROUND(($J4-$J$3)/1000,1)+(_xlfn.RANK.AVG($J4,($J4,$O4,$T4),1)-2)*10)</f>
        <v>15.3</v>
      </c>
      <c r="V4" s="54">
        <f>IF($O4="","",ROUND(($O4-$O$3)/1000,1)+(_xlfn.RANK.AVG($O4,($J4,$O4,$T4),1)-2)*10)</f>
        <v>-2</v>
      </c>
      <c r="W4" s="55">
        <f>IF($T4="","",ROUND(($T4-$T$3)/1000,1)+(_xlfn.RANK.AVG($T4,($J4,$O4,$T4),1)-2)*10)</f>
        <v>-13.3</v>
      </c>
      <c r="Y4" s="8"/>
      <c r="Z4" s="34"/>
      <c r="AA4" s="26"/>
      <c r="AB4" s="26"/>
      <c r="AC4" s="26">
        <v>4</v>
      </c>
      <c r="AD4" s="30">
        <v>20</v>
      </c>
      <c r="AE4" s="40" t="s">
        <v>82</v>
      </c>
      <c r="AF4" s="41" t="s">
        <v>83</v>
      </c>
      <c r="AG4" s="41" t="s">
        <v>79</v>
      </c>
      <c r="AH4" s="41" t="s">
        <v>201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203</v>
      </c>
      <c r="G5" s="9">
        <v>7800</v>
      </c>
      <c r="H5" s="9"/>
      <c r="I5" s="48">
        <v>0</v>
      </c>
      <c r="J5" s="21">
        <f t="shared" ref="J5:J30" si="2">IF(COUNTA($F5,$K5,$P5)&gt;0,J4+SUM(G5:I5),"")</f>
        <v>48100</v>
      </c>
      <c r="K5" s="8" t="s">
        <v>202</v>
      </c>
      <c r="L5" s="9">
        <v>-3900</v>
      </c>
      <c r="M5" s="9"/>
      <c r="N5" s="48">
        <v>0</v>
      </c>
      <c r="O5" s="21">
        <f t="shared" ref="O5:O30" si="3">IF(COUNTA($F5,$K5,$P5)&gt;0,O4+SUM(L5:N5),"")</f>
        <v>29100</v>
      </c>
      <c r="P5" s="8" t="s">
        <v>202</v>
      </c>
      <c r="Q5" s="9">
        <v>-3900</v>
      </c>
      <c r="R5" s="9"/>
      <c r="S5" s="48">
        <v>0</v>
      </c>
      <c r="T5" s="21">
        <f t="shared" ref="T5:T30" si="4">IF(COUNTA($F5,$K5,$P5)&gt;0,T4+SUM(Q5:S5),"")</f>
        <v>27800</v>
      </c>
      <c r="U5" s="53">
        <f>IF($J5="","",ROUND(($J5-$J$3)/1000,1)+(_xlfn.RANK.AVG($J5,($J5,$O5,$T5),1)-2)*10)</f>
        <v>23.1</v>
      </c>
      <c r="V5" s="54">
        <f>IF($O5="","",ROUND(($O5-$O$3)/1000,1)+(_xlfn.RANK.AVG($O5,($J5,$O5,$T5),1)-2)*10)</f>
        <v>-5.9</v>
      </c>
      <c r="W5" s="55">
        <f>IF($T5="","",ROUND(($T5-$T$3)/1000,1)+(_xlfn.RANK.AVG($T5,($J5,$O5,$T5),1)-2)*10)</f>
        <v>-17.2</v>
      </c>
      <c r="Y5" s="8"/>
      <c r="Z5" s="34"/>
      <c r="AA5" s="26"/>
      <c r="AB5" s="26">
        <v>1</v>
      </c>
      <c r="AC5" s="26">
        <v>3</v>
      </c>
      <c r="AD5" s="30">
        <v>40</v>
      </c>
      <c r="AE5" s="40" t="s">
        <v>86</v>
      </c>
      <c r="AF5" s="41" t="s">
        <v>201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202</v>
      </c>
      <c r="G6" s="9">
        <v>-2500</v>
      </c>
      <c r="H6" s="9"/>
      <c r="I6" s="48">
        <v>-500</v>
      </c>
      <c r="J6" s="21">
        <f t="shared" si="2"/>
        <v>45100</v>
      </c>
      <c r="K6" s="8" t="s">
        <v>203</v>
      </c>
      <c r="L6" s="9">
        <v>4000</v>
      </c>
      <c r="M6" s="9"/>
      <c r="N6" s="48">
        <v>1000</v>
      </c>
      <c r="O6" s="21">
        <f t="shared" si="3"/>
        <v>34100</v>
      </c>
      <c r="P6" s="8" t="s">
        <v>202</v>
      </c>
      <c r="Q6" s="9">
        <v>-1500</v>
      </c>
      <c r="R6" s="9"/>
      <c r="S6" s="48">
        <v>-500</v>
      </c>
      <c r="T6" s="21">
        <f t="shared" si="4"/>
        <v>25800</v>
      </c>
      <c r="U6" s="53">
        <f>IF($J6="","",ROUND(($J6-$J$3)/1000,1)+(_xlfn.RANK.AVG($J6,($J6,$O6,$T6),1)-2)*10)</f>
        <v>20.100000000000001</v>
      </c>
      <c r="V6" s="54">
        <f>IF($O6="","",ROUND(($O6-$O$3)/1000,1)+(_xlfn.RANK.AVG($O6,($J6,$O6,$T6),1)-2)*10)</f>
        <v>-0.9</v>
      </c>
      <c r="W6" s="55">
        <f>IF($T6="","",ROUND(($T6-$T$3)/1000,1)+(_xlfn.RANK.AVG($T6,($J6,$O6,$T6),1)-2)*10)</f>
        <v>-19.2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30</v>
      </c>
      <c r="AZ6" s="40" t="s">
        <v>86</v>
      </c>
      <c r="BA6" s="41" t="s">
        <v>86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212</v>
      </c>
      <c r="F7" s="8" t="s">
        <v>202</v>
      </c>
      <c r="G7" s="9">
        <v>-1500</v>
      </c>
      <c r="H7" s="9">
        <v>-1000</v>
      </c>
      <c r="I7" s="48">
        <v>0</v>
      </c>
      <c r="J7" s="21">
        <f t="shared" si="2"/>
        <v>42600</v>
      </c>
      <c r="K7" s="8" t="s">
        <v>202</v>
      </c>
      <c r="L7" s="9">
        <v>-2500</v>
      </c>
      <c r="M7" s="9"/>
      <c r="N7" s="48">
        <v>0</v>
      </c>
      <c r="O7" s="21">
        <f t="shared" si="3"/>
        <v>31600</v>
      </c>
      <c r="P7" s="8" t="s">
        <v>203</v>
      </c>
      <c r="Q7" s="9">
        <v>4000</v>
      </c>
      <c r="R7" s="9">
        <v>1000</v>
      </c>
      <c r="S7" s="48">
        <v>0</v>
      </c>
      <c r="T7" s="21">
        <f t="shared" si="4"/>
        <v>30800</v>
      </c>
      <c r="U7" s="53">
        <f>IF($J7="","",ROUND(($J7-$J$3)/1000,1)+(_xlfn.RANK.AVG($J7,($J7,$O7,$T7),1)-2)*10)</f>
        <v>17.600000000000001</v>
      </c>
      <c r="V7" s="54">
        <f>IF($O7="","",ROUND(($O7-$O$3)/1000,1)+(_xlfn.RANK.AVG($O7,($J7,$O7,$T7),1)-2)*10)</f>
        <v>-3.4</v>
      </c>
      <c r="W7" s="55">
        <f>IF($T7="","",ROUND(($T7-$T$3)/1000,1)+(_xlfn.RANK.AVG($T7,($J7,$O7,$T7),1)-2)*10)</f>
        <v>-14.2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30</v>
      </c>
      <c r="BU7" s="40" t="s">
        <v>86</v>
      </c>
      <c r="BV7" s="41" t="s">
        <v>98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214</v>
      </c>
      <c r="F8" s="8" t="s">
        <v>202</v>
      </c>
      <c r="G8" s="9">
        <v>-6000</v>
      </c>
      <c r="H8" s="9">
        <v>-1000</v>
      </c>
      <c r="I8" s="48">
        <v>0</v>
      </c>
      <c r="J8" s="21">
        <f t="shared" si="2"/>
        <v>35600</v>
      </c>
      <c r="K8" s="8" t="s">
        <v>202</v>
      </c>
      <c r="L8" s="9">
        <v>-6000</v>
      </c>
      <c r="M8" s="9">
        <v>-1000</v>
      </c>
      <c r="N8" s="48">
        <v>0</v>
      </c>
      <c r="O8" s="21">
        <f t="shared" si="3"/>
        <v>24600</v>
      </c>
      <c r="P8" s="8" t="s">
        <v>203</v>
      </c>
      <c r="Q8" s="9">
        <v>12000</v>
      </c>
      <c r="R8" s="9">
        <v>2000</v>
      </c>
      <c r="S8" s="48">
        <v>0</v>
      </c>
      <c r="T8" s="21">
        <f t="shared" si="4"/>
        <v>44800</v>
      </c>
      <c r="U8" s="53">
        <f>IF($J8="","",ROUND(($J8-$J$3)/1000,1)+(_xlfn.RANK.AVG($J8,($J8,$O8,$T8),1)-2)*10)</f>
        <v>0.6</v>
      </c>
      <c r="V8" s="54">
        <f>IF($O8="","",ROUND(($O8-$O$3)/1000,1)+(_xlfn.RANK.AVG($O8,($J8,$O8,$T8),1)-2)*10)</f>
        <v>-20.399999999999999</v>
      </c>
      <c r="W8" s="55">
        <f>IF($T8="","",ROUND(($T8-$T$3)/1000,1)+(_xlfn.RANK.AVG($T8,($J8,$O8,$T8),1)-2)*10)</f>
        <v>19.8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199</v>
      </c>
      <c r="BU8" s="40" t="s">
        <v>200</v>
      </c>
      <c r="BV8" s="41" t="s">
        <v>82</v>
      </c>
      <c r="BW8" s="41" t="s">
        <v>79</v>
      </c>
      <c r="BX8" s="41" t="s">
        <v>80</v>
      </c>
      <c r="BY8" s="41" t="s">
        <v>80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214</v>
      </c>
      <c r="F9" s="8"/>
      <c r="G9" s="9"/>
      <c r="H9" s="9"/>
      <c r="I9" s="48"/>
      <c r="J9" s="21">
        <f t="shared" si="2"/>
        <v>35600</v>
      </c>
      <c r="K9" s="8" t="s">
        <v>198</v>
      </c>
      <c r="L9" s="9">
        <v>-7700</v>
      </c>
      <c r="M9" s="9"/>
      <c r="N9" s="48">
        <v>-1000</v>
      </c>
      <c r="O9" s="21">
        <f t="shared" si="3"/>
        <v>15900</v>
      </c>
      <c r="P9" s="8" t="s">
        <v>197</v>
      </c>
      <c r="Q9" s="9">
        <v>7700</v>
      </c>
      <c r="R9" s="9"/>
      <c r="S9" s="48">
        <v>1000</v>
      </c>
      <c r="T9" s="21">
        <f t="shared" si="4"/>
        <v>53500</v>
      </c>
      <c r="U9" s="53">
        <f>IF($J9="","",ROUND(($J9-$J$3)/1000,1)+(_xlfn.RANK.AVG($J9,($J9,$O9,$T9),1)-2)*10)</f>
        <v>0.6</v>
      </c>
      <c r="V9" s="54">
        <f>IF($O9="","",ROUND(($O9-$O$3)/1000,1)+(_xlfn.RANK.AVG($O9,($J9,$O9,$T9),1)-2)*10)</f>
        <v>-29.1</v>
      </c>
      <c r="W9" s="55">
        <f>IF($T9="","",ROUND(($T9-$T$3)/1000,1)+(_xlfn.RANK.AVG($T9,($J9,$O9,$T9),1)-2)*10)</f>
        <v>28.5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200</v>
      </c>
      <c r="BV9" s="41" t="s">
        <v>211</v>
      </c>
      <c r="BW9" s="41" t="s">
        <v>201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214</v>
      </c>
      <c r="F10" s="8" t="s">
        <v>198</v>
      </c>
      <c r="G10" s="9">
        <v>-3200</v>
      </c>
      <c r="H10" s="9"/>
      <c r="I10" s="48">
        <v>-2000</v>
      </c>
      <c r="J10" s="21">
        <f t="shared" si="2"/>
        <v>30400</v>
      </c>
      <c r="K10" s="8" t="s">
        <v>197</v>
      </c>
      <c r="L10" s="9">
        <v>3200</v>
      </c>
      <c r="M10" s="9"/>
      <c r="N10" s="48">
        <v>2000</v>
      </c>
      <c r="O10" s="21">
        <f t="shared" si="3"/>
        <v>21100</v>
      </c>
      <c r="P10" s="8"/>
      <c r="Q10" s="9"/>
      <c r="R10" s="9"/>
      <c r="S10" s="48"/>
      <c r="T10" s="21">
        <f t="shared" si="4"/>
        <v>53500</v>
      </c>
      <c r="U10" s="53">
        <f>IF($J10="","",ROUND(($J10-$J$3)/1000,1)+(_xlfn.RANK.AVG($J10,($J10,$O10,$T10),1)-2)*10)</f>
        <v>-4.5999999999999996</v>
      </c>
      <c r="V10" s="54">
        <f>IF($O10="","",ROUND(($O10-$O$3)/1000,1)+(_xlfn.RANK.AVG($O10,($J10,$O10,$T10),1)-2)*10)</f>
        <v>-23.9</v>
      </c>
      <c r="W10" s="55">
        <f>IF($T10="","",ROUND(($T10-$T$3)/1000,1)+(_xlfn.RANK.AVG($T10,($J10,$O10,$T10),1)-2)*10)</f>
        <v>28.5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3</v>
      </c>
      <c r="AY10" s="30">
        <v>25</v>
      </c>
      <c r="AZ10" s="40" t="s">
        <v>101</v>
      </c>
      <c r="BA10" s="41" t="s">
        <v>201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202</v>
      </c>
      <c r="G11" s="9">
        <v>-1300</v>
      </c>
      <c r="H11" s="9"/>
      <c r="I11" s="48">
        <v>0</v>
      </c>
      <c r="J11" s="21">
        <f t="shared" si="2"/>
        <v>29100</v>
      </c>
      <c r="K11" s="8" t="s">
        <v>202</v>
      </c>
      <c r="L11" s="9">
        <v>-800</v>
      </c>
      <c r="M11" s="9"/>
      <c r="N11" s="48">
        <v>0</v>
      </c>
      <c r="O11" s="21">
        <f t="shared" si="3"/>
        <v>20300</v>
      </c>
      <c r="P11" s="8" t="s">
        <v>203</v>
      </c>
      <c r="Q11" s="9">
        <v>2100</v>
      </c>
      <c r="R11" s="9"/>
      <c r="S11" s="48">
        <v>0</v>
      </c>
      <c r="T11" s="21">
        <f t="shared" si="4"/>
        <v>55600</v>
      </c>
      <c r="U11" s="53">
        <f>IF($J11="","",ROUND(($J11-$J$3)/1000,1)+(_xlfn.RANK.AVG($J11,($J11,$O11,$T11),1)-2)*10)</f>
        <v>-5.9</v>
      </c>
      <c r="V11" s="54">
        <f>IF($O11="","",ROUND(($O11-$O$3)/1000,1)+(_xlfn.RANK.AVG($O11,($J11,$O11,$T11),1)-2)*10)</f>
        <v>-24.7</v>
      </c>
      <c r="W11" s="55">
        <f>IF($T11="","",ROUND(($T11-$T$3)/1000,1)+(_xlfn.RANK.AVG($T11,($J11,$O11,$T11),1)-2)*10)</f>
        <v>30.6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201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212</v>
      </c>
      <c r="F12" s="8" t="s">
        <v>203</v>
      </c>
      <c r="G12" s="9">
        <v>12000</v>
      </c>
      <c r="H12" s="9"/>
      <c r="I12" s="48">
        <v>0</v>
      </c>
      <c r="J12" s="21">
        <f t="shared" si="2"/>
        <v>41100</v>
      </c>
      <c r="K12" s="8" t="s">
        <v>202</v>
      </c>
      <c r="L12" s="9">
        <v>-7500</v>
      </c>
      <c r="M12" s="9"/>
      <c r="N12" s="48">
        <v>0</v>
      </c>
      <c r="O12" s="21">
        <f t="shared" si="3"/>
        <v>12800</v>
      </c>
      <c r="P12" s="8" t="s">
        <v>202</v>
      </c>
      <c r="Q12" s="9">
        <v>-4500</v>
      </c>
      <c r="R12" s="9"/>
      <c r="S12" s="48">
        <v>0</v>
      </c>
      <c r="T12" s="21">
        <f t="shared" si="4"/>
        <v>51100</v>
      </c>
      <c r="U12" s="53">
        <f>IF($J12="","",ROUND(($J12-$J$3)/1000,1)+(_xlfn.RANK.AVG($J12,($J12,$O12,$T12),1)-2)*10)</f>
        <v>6.1</v>
      </c>
      <c r="V12" s="54">
        <f>IF($O12="","",ROUND(($O12-$O$3)/1000,1)+(_xlfn.RANK.AVG($O12,($J12,$O12,$T12),1)-2)*10)</f>
        <v>-32.200000000000003</v>
      </c>
      <c r="W12" s="55">
        <f>IF($T12="","",ROUND(($T12-$T$3)/1000,1)+(_xlfn.RANK.AVG($T12,($J12,$O12,$T12),1)-2)*10)</f>
        <v>26.1</v>
      </c>
      <c r="Y12" s="8"/>
      <c r="Z12" s="34"/>
      <c r="AA12" s="26">
        <v>1</v>
      </c>
      <c r="AB12" s="26"/>
      <c r="AC12" s="26">
        <v>7</v>
      </c>
      <c r="AD12" s="30" t="s">
        <v>199</v>
      </c>
      <c r="AE12" s="40" t="s">
        <v>200</v>
      </c>
      <c r="AF12" s="41" t="s">
        <v>82</v>
      </c>
      <c r="AG12" s="41" t="s">
        <v>201</v>
      </c>
      <c r="AH12" s="41" t="s">
        <v>79</v>
      </c>
      <c r="AI12" s="41" t="s">
        <v>79</v>
      </c>
      <c r="AJ12" s="41" t="s">
        <v>79</v>
      </c>
      <c r="AK12" s="41" t="s">
        <v>79</v>
      </c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068CA923-98FE-4031-8804-3736A2D98615}">
      <formula1>$U$2:$W$2</formula1>
    </dataValidation>
    <dataValidation type="list" showInputMessage="1" showErrorMessage="1" sqref="K4:K30 P4:P30 F4:F30" xr:uid="{E4B73CDF-B3FA-40F6-B00F-A987232671E8}">
      <formula1>"ロン,ツモ,放銃,ツモ支払,流局,チョンボ"</formula1>
    </dataValidation>
    <dataValidation type="list" allowBlank="1" showInputMessage="1" sqref="F1:T1" xr:uid="{77242DB9-569A-4771-804D-2B8E530855FB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A6241-A625-4B2B-9AB2-C4DB49AADDEA}">
  <sheetPr codeName="Sheet17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217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213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たかの</v>
      </c>
      <c r="V2" s="75" t="str">
        <f>$K$1</f>
        <v>だいち</v>
      </c>
      <c r="W2" s="16" t="str">
        <f>$P$1</f>
        <v>りくと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216</v>
      </c>
      <c r="F4" s="8" t="s">
        <v>210</v>
      </c>
      <c r="G4" s="9">
        <v>5000</v>
      </c>
      <c r="H4" s="9"/>
      <c r="I4" s="48"/>
      <c r="J4" s="21">
        <f>IF(COUNTA($F4,$K4,$P4)&gt;0,J3+SUM(G4:I4),"")</f>
        <v>40000</v>
      </c>
      <c r="K4" s="8" t="s">
        <v>210</v>
      </c>
      <c r="L4" s="9">
        <v>3000</v>
      </c>
      <c r="M4" s="9"/>
      <c r="N4" s="48"/>
      <c r="O4" s="21">
        <f>IF(COUNTA($F4,$K4,$P4)&gt;0,O3+SUM(L4:N4),"")</f>
        <v>38000</v>
      </c>
      <c r="P4" s="8" t="s">
        <v>210</v>
      </c>
      <c r="Q4" s="9">
        <v>-8000</v>
      </c>
      <c r="R4" s="9">
        <v>-1000</v>
      </c>
      <c r="S4" s="48"/>
      <c r="T4" s="21">
        <f>IF(COUNTA($F4,$K4,$P4)&gt;0,T3+SUM(Q4:S4),"")</f>
        <v>26000</v>
      </c>
      <c r="U4" s="53">
        <f>IF($J4="","",ROUND(($J4-$J$3)/1000,1)+(_xlfn.RANK.AVG($J4,($J4,$O4,$T4),1)-2)*10)</f>
        <v>15</v>
      </c>
      <c r="V4" s="54">
        <f>IF($O4="","",ROUND(($O4-$O$3)/1000,1)+(_xlfn.RANK.AVG($O4,($J4,$O4,$T4),1)-2)*10)</f>
        <v>3</v>
      </c>
      <c r="W4" s="55">
        <f>IF($T4="","",ROUND(($T4-$T$3)/1000,1)+(_xlfn.RANK.AVG($T4,($J4,$O4,$T4),1)-2)*10)</f>
        <v>-19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>
        <v>1</v>
      </c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1</v>
      </c>
      <c r="E5" s="4" t="s">
        <v>216</v>
      </c>
      <c r="F5" s="8" t="s">
        <v>197</v>
      </c>
      <c r="G5" s="9">
        <v>5800</v>
      </c>
      <c r="H5" s="9">
        <v>3000</v>
      </c>
      <c r="I5" s="48">
        <v>0</v>
      </c>
      <c r="J5" s="21">
        <f t="shared" ref="J5:J30" si="2">IF(COUNTA($F5,$K5,$P5)&gt;0,J4+SUM(G5:I5),"")</f>
        <v>48800</v>
      </c>
      <c r="K5" s="8" t="s">
        <v>198</v>
      </c>
      <c r="L5" s="9">
        <v>-5800</v>
      </c>
      <c r="M5" s="9">
        <v>-1000</v>
      </c>
      <c r="N5" s="48">
        <v>0</v>
      </c>
      <c r="O5" s="21">
        <f t="shared" ref="O5:O30" si="3">IF(COUNTA($F5,$K5,$P5)&gt;0,O4+SUM(L5:N5),"")</f>
        <v>31200</v>
      </c>
      <c r="P5" s="8"/>
      <c r="Q5" s="9"/>
      <c r="R5" s="9">
        <v>-1000</v>
      </c>
      <c r="S5" s="48"/>
      <c r="T5" s="21">
        <f t="shared" ref="T5:T30" si="4">IF(COUNTA($F5,$K5,$P5)&gt;0,T4+SUM(Q5:S5),"")</f>
        <v>25000</v>
      </c>
      <c r="U5" s="53">
        <f>IF($J5="","",ROUND(($J5-$J$3)/1000,1)+(_xlfn.RANK.AVG($J5,($J5,$O5,$T5),1)-2)*10)</f>
        <v>23.8</v>
      </c>
      <c r="V5" s="54">
        <f>IF($O5="","",ROUND(($O5-$O$3)/1000,1)+(_xlfn.RANK.AVG($O5,($J5,$O5,$T5),1)-2)*10)</f>
        <v>-3.8</v>
      </c>
      <c r="W5" s="55">
        <f>IF($T5="","",ROUND(($T5-$T$3)/1000,1)+(_xlfn.RANK.AVG($T5,($J5,$O5,$T5),1)-2)*10)</f>
        <v>-20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79</v>
      </c>
      <c r="AF5" s="41" t="s">
        <v>103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216</v>
      </c>
      <c r="F6" s="8"/>
      <c r="G6" s="9"/>
      <c r="H6" s="9"/>
      <c r="I6" s="48"/>
      <c r="J6" s="21">
        <f t="shared" si="2"/>
        <v>48800</v>
      </c>
      <c r="K6" s="8" t="s">
        <v>198</v>
      </c>
      <c r="L6" s="9">
        <v>-8000</v>
      </c>
      <c r="M6" s="9"/>
      <c r="N6" s="48">
        <v>-1000</v>
      </c>
      <c r="O6" s="21">
        <f t="shared" si="3"/>
        <v>22200</v>
      </c>
      <c r="P6" s="8" t="s">
        <v>197</v>
      </c>
      <c r="Q6" s="9">
        <v>8000</v>
      </c>
      <c r="R6" s="9"/>
      <c r="S6" s="48">
        <v>1000</v>
      </c>
      <c r="T6" s="21">
        <f t="shared" si="4"/>
        <v>34000</v>
      </c>
      <c r="U6" s="53">
        <f>IF($J6="","",ROUND(($J6-$J$3)/1000,1)+(_xlfn.RANK.AVG($J6,($J6,$O6,$T6),1)-2)*10)</f>
        <v>23.8</v>
      </c>
      <c r="V6" s="54">
        <f>IF($O6="","",ROUND(($O6-$O$3)/1000,1)+(_xlfn.RANK.AVG($O6,($J6,$O6,$T6),1)-2)*10)</f>
        <v>-22.8</v>
      </c>
      <c r="W6" s="55">
        <f>IF($T6="","",ROUND(($T6-$T$3)/1000,1)+(_xlfn.RANK.AVG($T6,($J6,$O6,$T6),1)-2)*10)</f>
        <v>-1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200</v>
      </c>
      <c r="BV6" s="41" t="s">
        <v>79</v>
      </c>
      <c r="BW6" s="41" t="s">
        <v>79</v>
      </c>
      <c r="BX6" s="41" t="s">
        <v>79</v>
      </c>
      <c r="BY6" s="41" t="s">
        <v>80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-12000</v>
      </c>
      <c r="H7" s="9"/>
      <c r="I7" s="48">
        <v>0</v>
      </c>
      <c r="J7" s="21">
        <f t="shared" si="2"/>
        <v>36800</v>
      </c>
      <c r="K7" s="8" t="s">
        <v>203</v>
      </c>
      <c r="L7" s="9">
        <v>24000</v>
      </c>
      <c r="M7" s="9">
        <v>1000</v>
      </c>
      <c r="N7" s="48">
        <v>0</v>
      </c>
      <c r="O7" s="21">
        <f t="shared" si="3"/>
        <v>47200</v>
      </c>
      <c r="P7" s="8" t="s">
        <v>202</v>
      </c>
      <c r="Q7" s="9">
        <v>-12000</v>
      </c>
      <c r="R7" s="9">
        <v>-1000</v>
      </c>
      <c r="S7" s="48">
        <v>0</v>
      </c>
      <c r="T7" s="21">
        <f t="shared" si="4"/>
        <v>21000</v>
      </c>
      <c r="U7" s="53">
        <f>IF($J7="","",ROUND(($J7-$J$3)/1000,1)+(_xlfn.RANK.AVG($J7,($J7,$O7,$T7),1)-2)*10)</f>
        <v>1.8</v>
      </c>
      <c r="V7" s="54">
        <f>IF($O7="","",ROUND(($O7-$O$3)/1000,1)+(_xlfn.RANK.AVG($O7,($J7,$O7,$T7),1)-2)*10)</f>
        <v>22.2</v>
      </c>
      <c r="W7" s="55">
        <f>IF($T7="","",ROUND(($T7-$T$3)/1000,1)+(_xlfn.RANK.AVG($T7,($J7,$O7,$T7),1)-2)*10)</f>
        <v>-24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8</v>
      </c>
      <c r="AY7" s="30" t="s">
        <v>199</v>
      </c>
      <c r="AZ7" s="40" t="s">
        <v>98</v>
      </c>
      <c r="BA7" s="41" t="s">
        <v>104</v>
      </c>
      <c r="BB7" s="41" t="s">
        <v>86</v>
      </c>
      <c r="BC7" s="41" t="s">
        <v>79</v>
      </c>
      <c r="BD7" s="41" t="s">
        <v>79</v>
      </c>
      <c r="BE7" s="41" t="s">
        <v>79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202</v>
      </c>
      <c r="G8" s="9">
        <v>-2900</v>
      </c>
      <c r="H8" s="9"/>
      <c r="I8" s="48">
        <v>-500</v>
      </c>
      <c r="J8" s="21">
        <f t="shared" si="2"/>
        <v>33400</v>
      </c>
      <c r="K8" s="8" t="s">
        <v>202</v>
      </c>
      <c r="L8" s="9">
        <v>-4800</v>
      </c>
      <c r="M8" s="9"/>
      <c r="N8" s="48">
        <v>-500</v>
      </c>
      <c r="O8" s="21">
        <f t="shared" si="3"/>
        <v>41900</v>
      </c>
      <c r="P8" s="8" t="s">
        <v>203</v>
      </c>
      <c r="Q8" s="9">
        <v>7700</v>
      </c>
      <c r="R8" s="9"/>
      <c r="S8" s="48">
        <v>1000</v>
      </c>
      <c r="T8" s="21">
        <f t="shared" si="4"/>
        <v>29700</v>
      </c>
      <c r="U8" s="53">
        <f>IF($J8="","",ROUND(($J8-$J$3)/1000,1)+(_xlfn.RANK.AVG($J8,($J8,$O8,$T8),1)-2)*10)</f>
        <v>-1.6</v>
      </c>
      <c r="V8" s="54">
        <f>IF($O8="","",ROUND(($O8-$O$3)/1000,1)+(_xlfn.RANK.AVG($O8,($J8,$O8,$T8),1)-2)*10)</f>
        <v>16.899999999999999</v>
      </c>
      <c r="W8" s="55">
        <f>IF($T8="","",ROUND(($T8-$T$3)/1000,1)+(_xlfn.RANK.AVG($T8,($J8,$O8,$T8),1)-2)*10)</f>
        <v>-15.3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30</v>
      </c>
      <c r="BU8" s="40" t="s">
        <v>200</v>
      </c>
      <c r="BV8" s="41" t="s">
        <v>82</v>
      </c>
      <c r="BW8" s="41" t="s">
        <v>201</v>
      </c>
      <c r="BX8" s="41" t="s">
        <v>211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212</v>
      </c>
      <c r="F9" s="8"/>
      <c r="G9" s="9"/>
      <c r="H9" s="9"/>
      <c r="I9" s="48"/>
      <c r="J9" s="21">
        <f t="shared" si="2"/>
        <v>33400</v>
      </c>
      <c r="K9" s="8" t="s">
        <v>197</v>
      </c>
      <c r="L9" s="9">
        <v>7700</v>
      </c>
      <c r="M9" s="9"/>
      <c r="N9" s="48">
        <v>0</v>
      </c>
      <c r="O9" s="21">
        <f t="shared" si="3"/>
        <v>49600</v>
      </c>
      <c r="P9" s="8" t="s">
        <v>198</v>
      </c>
      <c r="Q9" s="9">
        <v>-7700</v>
      </c>
      <c r="R9" s="9"/>
      <c r="S9" s="48">
        <v>0</v>
      </c>
      <c r="T9" s="21">
        <f t="shared" si="4"/>
        <v>22000</v>
      </c>
      <c r="U9" s="53">
        <f>IF($J9="","",ROUND(($J9-$J$3)/1000,1)+(_xlfn.RANK.AVG($J9,($J9,$O9,$T9),1)-2)*10)</f>
        <v>-1.6</v>
      </c>
      <c r="V9" s="54">
        <f>IF($O9="","",ROUND(($O9-$O$3)/1000,1)+(_xlfn.RANK.AVG($O9,($J9,$O9,$T9),1)-2)*10)</f>
        <v>24.6</v>
      </c>
      <c r="W9" s="55">
        <f>IF($T9="","",ROUND(($T9-$T$3)/1000,1)+(_xlfn.RANK.AVG($T9,($J9,$O9,$T9),1)-2)*10)</f>
        <v>-23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200</v>
      </c>
      <c r="BA9" s="41" t="s">
        <v>83</v>
      </c>
      <c r="BB9" s="41" t="s">
        <v>201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216</v>
      </c>
      <c r="F10" s="8" t="s">
        <v>202</v>
      </c>
      <c r="G10" s="9">
        <v>-5000</v>
      </c>
      <c r="H10" s="9"/>
      <c r="I10" s="48">
        <v>0</v>
      </c>
      <c r="J10" s="21">
        <f t="shared" si="2"/>
        <v>28400</v>
      </c>
      <c r="K10" s="8" t="s">
        <v>202</v>
      </c>
      <c r="L10" s="9">
        <v>-3000</v>
      </c>
      <c r="M10" s="9"/>
      <c r="N10" s="48">
        <v>0</v>
      </c>
      <c r="O10" s="21">
        <f t="shared" si="3"/>
        <v>46600</v>
      </c>
      <c r="P10" s="8" t="s">
        <v>203</v>
      </c>
      <c r="Q10" s="9">
        <v>8000</v>
      </c>
      <c r="R10" s="9"/>
      <c r="S10" s="48">
        <v>0</v>
      </c>
      <c r="T10" s="21">
        <f t="shared" si="4"/>
        <v>30000</v>
      </c>
      <c r="U10" s="53">
        <f>IF($J10="","",ROUND(($J10-$J$3)/1000,1)+(_xlfn.RANK.AVG($J10,($J10,$O10,$T10),1)-2)*10)</f>
        <v>-16.600000000000001</v>
      </c>
      <c r="V10" s="54">
        <f>IF($O10="","",ROUND(($O10-$O$3)/1000,1)+(_xlfn.RANK.AVG($O10,($J10,$O10,$T10),1)-2)*10)</f>
        <v>21.6</v>
      </c>
      <c r="W10" s="55">
        <f>IF($T10="","",ROUND(($T10-$T$3)/1000,1)+(_xlfn.RANK.AVG($T10,($J10,$O10,$T10),1)-2)*10)</f>
        <v>-5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199</v>
      </c>
      <c r="BU10" s="40" t="s">
        <v>200</v>
      </c>
      <c r="BV10" s="41" t="s">
        <v>82</v>
      </c>
      <c r="BW10" s="41" t="s">
        <v>84</v>
      </c>
      <c r="BX10" s="41" t="s">
        <v>80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197</v>
      </c>
      <c r="G11" s="9">
        <v>7700</v>
      </c>
      <c r="H11" s="9"/>
      <c r="I11" s="48">
        <v>0</v>
      </c>
      <c r="J11" s="21">
        <f t="shared" si="2"/>
        <v>36100</v>
      </c>
      <c r="K11" s="8" t="s">
        <v>198</v>
      </c>
      <c r="L11" s="9">
        <v>-7700</v>
      </c>
      <c r="M11" s="9"/>
      <c r="N11" s="48">
        <v>0</v>
      </c>
      <c r="O11" s="21">
        <f t="shared" si="3"/>
        <v>38900</v>
      </c>
      <c r="P11" s="8"/>
      <c r="Q11" s="9"/>
      <c r="R11" s="9"/>
      <c r="S11" s="48"/>
      <c r="T11" s="21">
        <f t="shared" si="4"/>
        <v>30000</v>
      </c>
      <c r="U11" s="53">
        <f>IF($J11="","",ROUND(($J11-$J$3)/1000,1)+(_xlfn.RANK.AVG($J11,($J11,$O11,$T11),1)-2)*10)</f>
        <v>1.1000000000000001</v>
      </c>
      <c r="V11" s="54">
        <f>IF($O11="","",ROUND(($O11-$O$3)/1000,1)+(_xlfn.RANK.AVG($O11,($J11,$O11,$T11),1)-2)*10)</f>
        <v>13.9</v>
      </c>
      <c r="W11" s="55">
        <f>IF($T11="","",ROUND(($T11-$T$3)/1000,1)+(_xlfn.RANK.AVG($T11,($J11,$O11,$T11),1)-2)*10)</f>
        <v>-15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98</v>
      </c>
      <c r="AF11" s="41" t="s">
        <v>201</v>
      </c>
      <c r="AG11" s="41" t="s">
        <v>201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212</v>
      </c>
      <c r="F12" s="8" t="s">
        <v>209</v>
      </c>
      <c r="G12" s="9">
        <v>3000</v>
      </c>
      <c r="H12" s="9"/>
      <c r="I12" s="48"/>
      <c r="J12" s="21">
        <f t="shared" si="2"/>
        <v>39100</v>
      </c>
      <c r="K12" s="8" t="s">
        <v>209</v>
      </c>
      <c r="L12" s="9">
        <v>-1500</v>
      </c>
      <c r="M12" s="9"/>
      <c r="N12" s="48"/>
      <c r="O12" s="21">
        <f t="shared" si="3"/>
        <v>37400</v>
      </c>
      <c r="P12" s="8" t="s">
        <v>209</v>
      </c>
      <c r="Q12" s="9">
        <v>-1500</v>
      </c>
      <c r="R12" s="9"/>
      <c r="S12" s="48"/>
      <c r="T12" s="21">
        <f t="shared" si="4"/>
        <v>28500</v>
      </c>
      <c r="U12" s="53">
        <f>IF($J12="","",ROUND(($J12-$J$3)/1000,1)+(_xlfn.RANK.AVG($J12,($J12,$O12,$T12),1)-2)*10)</f>
        <v>14.1</v>
      </c>
      <c r="V12" s="54">
        <f>IF($O12="","",ROUND(($O12-$O$3)/1000,1)+(_xlfn.RANK.AVG($O12,($J12,$O12,$T12),1)-2)*10)</f>
        <v>2.4</v>
      </c>
      <c r="W12" s="55">
        <f>IF($T12="","",ROUND(($T12-$T$3)/1000,1)+(_xlfn.RANK.AVG($T12,($J12,$O12,$T12),1)-2)*10)</f>
        <v>-16.5</v>
      </c>
      <c r="Y12" s="8" t="s">
        <v>208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207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207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0A449E2-D0AB-4CB5-AAF0-425CDEF68946}">
      <formula1>"たかの,だいち,ただ,りくと,れんたろう,まっつん,のり,ぱぱ,ほたに,"</formula1>
    </dataValidation>
    <dataValidation type="list" showInputMessage="1" showErrorMessage="1" sqref="K4:K30 P4:P30 F4:F30" xr:uid="{0943D2AC-F1F0-4389-BBAA-B52B5C2CB9FE}">
      <formula1>"ロン,ツモ,放銃,ツモ支払,流局,チョンボ"</formula1>
    </dataValidation>
    <dataValidation type="list" allowBlank="1" showInputMessage="1" showErrorMessage="1" sqref="E4:E30" xr:uid="{AA705FDF-A0D7-4D4A-BCBC-D61C6F18E46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AEC3F-C131-4B76-9B99-956E2B925E0C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217</v>
      </c>
      <c r="L1" s="78"/>
      <c r="M1" s="78"/>
      <c r="N1" s="79"/>
      <c r="O1" s="80"/>
      <c r="P1" s="77" t="s">
        <v>215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たかの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たかの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-11600</v>
      </c>
      <c r="R4" s="9"/>
      <c r="S4" s="48">
        <v>0</v>
      </c>
      <c r="T4" s="21">
        <f>IF(COUNTA($F4,$K4,$P4)&gt;0,T3+SUM(Q4:S4),"")</f>
        <v>23400</v>
      </c>
      <c r="U4" s="53">
        <f>IF($J4="","",ROUND(($J4-$J$3)/1000,1)+(_xlfn.RANK.AVG($J4,($J4,$O4,$T4),1)-2)*10)</f>
        <v>21.6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-21.6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104</v>
      </c>
      <c r="AF4" s="41" t="s">
        <v>86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-2500</v>
      </c>
      <c r="H5" s="9"/>
      <c r="I5" s="48">
        <v>-500</v>
      </c>
      <c r="J5" s="21">
        <f t="shared" ref="J5:J30" si="2">IF(COUNTA($F5,$K5,$P5)&gt;0,J4+SUM(G5:I5),"")</f>
        <v>43600</v>
      </c>
      <c r="K5" s="8" t="s">
        <v>203</v>
      </c>
      <c r="L5" s="9">
        <v>4000</v>
      </c>
      <c r="M5" s="9"/>
      <c r="N5" s="48">
        <v>1000</v>
      </c>
      <c r="O5" s="21">
        <f t="shared" ref="O5:O30" si="3">IF(COUNTA($F5,$K5,$P5)&gt;0,O4+SUM(L5:N5),"")</f>
        <v>40000</v>
      </c>
      <c r="P5" s="8" t="s">
        <v>202</v>
      </c>
      <c r="Q5" s="9">
        <v>-1500</v>
      </c>
      <c r="R5" s="9"/>
      <c r="S5" s="48">
        <v>-500</v>
      </c>
      <c r="T5" s="21">
        <f t="shared" ref="T5:T30" si="4">IF(COUNTA($F5,$K5,$P5)&gt;0,T4+SUM(Q5:S5),"")</f>
        <v>21400</v>
      </c>
      <c r="U5" s="53">
        <f>IF($J5="","",ROUND(($J5-$J$3)/1000,1)+(_xlfn.RANK.AVG($J5,($J5,$O5,$T5),1)-2)*10)</f>
        <v>18.600000000000001</v>
      </c>
      <c r="V5" s="54">
        <f>IF($O5="","",ROUND(($O5-$O$3)/1000,1)+(_xlfn.RANK.AVG($O5,($J5,$O5,$T5),1)-2)*10)</f>
        <v>5</v>
      </c>
      <c r="W5" s="55">
        <f>IF($T5="","",ROUND(($T5-$T$3)/1000,1)+(_xlfn.RANK.AVG($T5,($J5,$O5,$T5),1)-2)*10)</f>
        <v>-23.6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104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216</v>
      </c>
      <c r="F6" s="8" t="s">
        <v>202</v>
      </c>
      <c r="G6" s="9">
        <v>-800</v>
      </c>
      <c r="H6" s="9">
        <v>-1000</v>
      </c>
      <c r="I6" s="48">
        <v>0</v>
      </c>
      <c r="J6" s="21">
        <f t="shared" si="2"/>
        <v>41800</v>
      </c>
      <c r="K6" s="8" t="s">
        <v>202</v>
      </c>
      <c r="L6" s="9">
        <v>-1300</v>
      </c>
      <c r="M6" s="9"/>
      <c r="N6" s="48">
        <v>0</v>
      </c>
      <c r="O6" s="21">
        <f t="shared" si="3"/>
        <v>38700</v>
      </c>
      <c r="P6" s="8" t="s">
        <v>203</v>
      </c>
      <c r="Q6" s="9">
        <v>2100</v>
      </c>
      <c r="R6" s="9">
        <v>1000</v>
      </c>
      <c r="S6" s="48">
        <v>0</v>
      </c>
      <c r="T6" s="21">
        <f t="shared" si="4"/>
        <v>24500</v>
      </c>
      <c r="U6" s="53">
        <f>IF($J6="","",ROUND(($J6-$J$3)/1000,1)+(_xlfn.RANK.AVG($J6,($J6,$O6,$T6),1)-2)*10)</f>
        <v>16.8</v>
      </c>
      <c r="V6" s="54">
        <f>IF($O6="","",ROUND(($O6-$O$3)/1000,1)+(_xlfn.RANK.AVG($O6,($J6,$O6,$T6),1)-2)*10)</f>
        <v>3.7</v>
      </c>
      <c r="W6" s="55">
        <f>IF($T6="","",ROUND(($T6-$T$3)/1000,1)+(_xlfn.RANK.AVG($T6,($J6,$O6,$T6),1)-2)*10)</f>
        <v>-20.5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30</v>
      </c>
      <c r="BU6" s="40" t="s">
        <v>200</v>
      </c>
      <c r="BV6" s="41" t="s">
        <v>82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214</v>
      </c>
      <c r="F7" s="8"/>
      <c r="G7" s="9"/>
      <c r="H7" s="9"/>
      <c r="I7" s="48"/>
      <c r="J7" s="21">
        <f t="shared" si="2"/>
        <v>41800</v>
      </c>
      <c r="K7" s="8" t="s">
        <v>197</v>
      </c>
      <c r="L7" s="9">
        <v>2600</v>
      </c>
      <c r="M7" s="9"/>
      <c r="N7" s="48">
        <v>0</v>
      </c>
      <c r="O7" s="21">
        <f t="shared" si="3"/>
        <v>41300</v>
      </c>
      <c r="P7" s="8" t="s">
        <v>198</v>
      </c>
      <c r="Q7" s="9">
        <v>-2600</v>
      </c>
      <c r="R7" s="9"/>
      <c r="S7" s="48">
        <v>0</v>
      </c>
      <c r="T7" s="21">
        <f t="shared" si="4"/>
        <v>21900</v>
      </c>
      <c r="U7" s="53">
        <f>IF($J7="","",ROUND(($J7-$J$3)/1000,1)+(_xlfn.RANK.AVG($J7,($J7,$O7,$T7),1)-2)*10)</f>
        <v>16.8</v>
      </c>
      <c r="V7" s="54">
        <f>IF($O7="","",ROUND(($O7-$O$3)/1000,1)+(_xlfn.RANK.AVG($O7,($J7,$O7,$T7),1)-2)*10)</f>
        <v>6.3</v>
      </c>
      <c r="W7" s="55">
        <f>IF($T7="","",ROUND(($T7-$T$3)/1000,1)+(_xlfn.RANK.AVG($T7,($J7,$O7,$T7),1)-2)*10)</f>
        <v>-23.1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40</v>
      </c>
      <c r="AZ7" s="40" t="s">
        <v>84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209</v>
      </c>
      <c r="G8" s="9">
        <v>1500</v>
      </c>
      <c r="H8" s="9"/>
      <c r="I8" s="48"/>
      <c r="J8" s="21">
        <f t="shared" si="2"/>
        <v>43300</v>
      </c>
      <c r="K8" s="8" t="s">
        <v>209</v>
      </c>
      <c r="L8" s="9">
        <v>-3000</v>
      </c>
      <c r="M8" s="9"/>
      <c r="N8" s="48"/>
      <c r="O8" s="21">
        <f t="shared" si="3"/>
        <v>38300</v>
      </c>
      <c r="P8" s="8" t="s">
        <v>209</v>
      </c>
      <c r="Q8" s="9">
        <v>1500</v>
      </c>
      <c r="R8" s="9"/>
      <c r="S8" s="48"/>
      <c r="T8" s="21">
        <f t="shared" si="4"/>
        <v>23400</v>
      </c>
      <c r="U8" s="53">
        <f>IF($J8="","",ROUND(($J8-$J$3)/1000,1)+(_xlfn.RANK.AVG($J8,($J8,$O8,$T8),1)-2)*10)</f>
        <v>18.3</v>
      </c>
      <c r="V8" s="54">
        <f>IF($O8="","",ROUND(($O8-$O$3)/1000,1)+(_xlfn.RANK.AVG($O8,($J8,$O8,$T8),1)-2)*10)</f>
        <v>3.3</v>
      </c>
      <c r="W8" s="55">
        <f>IF($T8="","",ROUND(($T8-$T$3)/1000,1)+(_xlfn.RANK.AVG($T8,($J8,$O8,$T8),1)-2)*10)</f>
        <v>-21.6</v>
      </c>
      <c r="Y8" s="8" t="s">
        <v>208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207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208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197</v>
      </c>
      <c r="G9" s="9">
        <v>3900</v>
      </c>
      <c r="H9" s="9">
        <v>1000</v>
      </c>
      <c r="I9" s="48">
        <v>1000</v>
      </c>
      <c r="J9" s="21">
        <f t="shared" si="2"/>
        <v>49200</v>
      </c>
      <c r="K9" s="8" t="s">
        <v>198</v>
      </c>
      <c r="L9" s="9">
        <v>-3900</v>
      </c>
      <c r="M9" s="9"/>
      <c r="N9" s="48">
        <v>-1000</v>
      </c>
      <c r="O9" s="21">
        <f t="shared" si="3"/>
        <v>33400</v>
      </c>
      <c r="P9" s="8"/>
      <c r="Q9" s="9"/>
      <c r="R9" s="9">
        <v>-1000</v>
      </c>
      <c r="S9" s="48"/>
      <c r="T9" s="21">
        <f t="shared" si="4"/>
        <v>22400</v>
      </c>
      <c r="U9" s="53">
        <f>IF($J9="","",ROUND(($J9-$J$3)/1000,1)+(_xlfn.RANK.AVG($J9,($J9,$O9,$T9),1)-2)*10)</f>
        <v>24.2</v>
      </c>
      <c r="V9" s="54">
        <f>IF($O9="","",ROUND(($O9-$O$3)/1000,1)+(_xlfn.RANK.AVG($O9,($J9,$O9,$T9),1)-2)*10)</f>
        <v>-1.6</v>
      </c>
      <c r="W9" s="55">
        <f>IF($T9="","",ROUND(($T9-$T$3)/1000,1)+(_xlfn.RANK.AVG($T9,($J9,$O9,$T9),1)-2)*10)</f>
        <v>-22.6</v>
      </c>
      <c r="Y9" s="8"/>
      <c r="Z9" s="34"/>
      <c r="AA9" s="26">
        <v>1</v>
      </c>
      <c r="AB9" s="26"/>
      <c r="AC9" s="26">
        <v>2</v>
      </c>
      <c r="AD9" s="30">
        <v>40</v>
      </c>
      <c r="AE9" s="40" t="s">
        <v>200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49200</v>
      </c>
      <c r="K10" s="8" t="s">
        <v>198</v>
      </c>
      <c r="L10" s="9">
        <v>-12000</v>
      </c>
      <c r="M10" s="9"/>
      <c r="N10" s="48">
        <v>-2000</v>
      </c>
      <c r="O10" s="21">
        <f t="shared" si="3"/>
        <v>19400</v>
      </c>
      <c r="P10" s="8" t="s">
        <v>197</v>
      </c>
      <c r="Q10" s="9">
        <v>12000</v>
      </c>
      <c r="R10" s="9"/>
      <c r="S10" s="48">
        <v>2000</v>
      </c>
      <c r="T10" s="21">
        <f t="shared" si="4"/>
        <v>36400</v>
      </c>
      <c r="U10" s="53">
        <f>IF($J10="","",ROUND(($J10-$J$3)/1000,1)+(_xlfn.RANK.AVG($J10,($J10,$O10,$T10),1)-2)*10)</f>
        <v>24.2</v>
      </c>
      <c r="V10" s="54">
        <f>IF($O10="","",ROUND(($O10-$O$3)/1000,1)+(_xlfn.RANK.AVG($O10,($J10,$O10,$T10),1)-2)*10)</f>
        <v>-25.6</v>
      </c>
      <c r="W10" s="55">
        <f>IF($T10="","",ROUND(($T10-$T$3)/1000,1)+(_xlfn.RANK.AVG($T10,($J10,$O10,$T10),1)-2)*10)</f>
        <v>1.4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199</v>
      </c>
      <c r="BU10" s="40" t="s">
        <v>200</v>
      </c>
      <c r="BV10" s="41" t="s">
        <v>211</v>
      </c>
      <c r="BW10" s="41" t="s">
        <v>104</v>
      </c>
      <c r="BX10" s="41" t="s">
        <v>86</v>
      </c>
      <c r="BY10" s="41" t="s">
        <v>201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216</v>
      </c>
      <c r="F11" s="8" t="s">
        <v>198</v>
      </c>
      <c r="G11" s="9">
        <v>-2000</v>
      </c>
      <c r="H11" s="9"/>
      <c r="I11" s="48">
        <v>0</v>
      </c>
      <c r="J11" s="21">
        <f t="shared" si="2"/>
        <v>47200</v>
      </c>
      <c r="K11" s="8"/>
      <c r="L11" s="9"/>
      <c r="M11" s="9"/>
      <c r="N11" s="48"/>
      <c r="O11" s="21">
        <f t="shared" si="3"/>
        <v>19400</v>
      </c>
      <c r="P11" s="8" t="s">
        <v>197</v>
      </c>
      <c r="Q11" s="9">
        <v>2000</v>
      </c>
      <c r="R11" s="9"/>
      <c r="S11" s="48">
        <v>0</v>
      </c>
      <c r="T11" s="21">
        <f t="shared" si="4"/>
        <v>38400</v>
      </c>
      <c r="U11" s="53">
        <f>IF($J11="","",ROUND(($J11-$J$3)/1000,1)+(_xlfn.RANK.AVG($J11,($J11,$O11,$T11),1)-2)*10)</f>
        <v>22.2</v>
      </c>
      <c r="V11" s="54">
        <f>IF($O11="","",ROUND(($O11-$O$3)/1000,1)+(_xlfn.RANK.AVG($O11,($J11,$O11,$T11),1)-2)*10)</f>
        <v>-25.6</v>
      </c>
      <c r="W11" s="55">
        <f>IF($T11="","",ROUND(($T11-$T$3)/1000,1)+(_xlfn.RANK.AVG($T11,($J11,$O11,$T11),1)-2)*10)</f>
        <v>3.4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79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214</v>
      </c>
      <c r="F12" s="8" t="s">
        <v>198</v>
      </c>
      <c r="G12" s="9">
        <v>-7700</v>
      </c>
      <c r="H12" s="9"/>
      <c r="I12" s="48">
        <v>0</v>
      </c>
      <c r="J12" s="21">
        <f t="shared" si="2"/>
        <v>39500</v>
      </c>
      <c r="K12" s="8"/>
      <c r="L12" s="9"/>
      <c r="M12" s="9"/>
      <c r="N12" s="48"/>
      <c r="O12" s="21">
        <f t="shared" si="3"/>
        <v>19400</v>
      </c>
      <c r="P12" s="8" t="s">
        <v>197</v>
      </c>
      <c r="Q12" s="9">
        <v>7700</v>
      </c>
      <c r="R12" s="9"/>
      <c r="S12" s="48">
        <v>0</v>
      </c>
      <c r="T12" s="21">
        <f t="shared" si="4"/>
        <v>46100</v>
      </c>
      <c r="U12" s="53">
        <f>IF($J12="","",ROUND(($J12-$J$3)/1000,1)+(_xlfn.RANK.AVG($J12,($J12,$O12,$T12),1)-2)*10)</f>
        <v>4.5</v>
      </c>
      <c r="V12" s="54">
        <f>IF($O12="","",ROUND(($O12-$O$3)/1000,1)+(_xlfn.RANK.AVG($O12,($J12,$O12,$T12),1)-2)*10)</f>
        <v>-25.6</v>
      </c>
      <c r="W12" s="55">
        <f>IF($T12="","",ROUND(($T12-$T$3)/1000,1)+(_xlfn.RANK.AVG($T12,($J12,$O12,$T12),1)-2)*10)</f>
        <v>21.1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3</v>
      </c>
      <c r="BT12" s="30">
        <v>40</v>
      </c>
      <c r="BU12" s="40" t="s">
        <v>85</v>
      </c>
      <c r="BV12" s="41" t="s">
        <v>84</v>
      </c>
      <c r="BW12" s="41" t="s">
        <v>201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214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E5CC8797-1075-4EBB-8212-7EC5BEE6D9E3}">
      <formula1>$U$2:$W$2</formula1>
    </dataValidation>
    <dataValidation type="list" showInputMessage="1" showErrorMessage="1" sqref="K4:K30 P4:P30 F4:F30" xr:uid="{3F7E0105-F31E-495D-A197-046553BF0881}">
      <formula1>"ロン,ツモ,放銃,ツモ支払,流局,チョンボ"</formula1>
    </dataValidation>
    <dataValidation type="list" allowBlank="1" showInputMessage="1" sqref="F1:T1" xr:uid="{4D0B82F6-68F2-400F-BBBD-8ADE11289F3D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2019-10-14T16:45:20Z</dcterms:modified>
</cp:coreProperties>
</file>