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対局\"/>
    </mc:Choice>
  </mc:AlternateContent>
  <xr:revisionPtr revIDLastSave="0" documentId="13_ncr:1_{151DECAD-2703-4084-834E-AFF2251415DF}" xr6:coauthVersionLast="41" xr6:coauthVersionMax="41" xr10:uidLastSave="{00000000-0000-0000-0000-000000000000}"/>
  <bookViews>
    <workbookView xWindow="-120" yWindow="-120" windowWidth="20730" windowHeight="11310" xr2:uid="{4CDB34E1-560F-4998-ABAB-D6F7F2862621}"/>
  </bookViews>
  <sheets>
    <sheet name="Sheet1" sheetId="19" r:id="rId1"/>
    <sheet name="Sheet2" sheetId="20" r:id="rId2"/>
    <sheet name="Sheet3" sheetId="21" r:id="rId3"/>
    <sheet name="Sheet4" sheetId="22" r:id="rId4"/>
    <sheet name="Sheet5" sheetId="23" r:id="rId5"/>
    <sheet name="Sheet6" sheetId="24" r:id="rId6"/>
    <sheet name="役一覧" sheetId="15" state="hidden" r:id="rId7"/>
    <sheet name="点数表(親ロン)" sheetId="4" state="hidden" r:id="rId8"/>
    <sheet name="点数表(親ツモ)" sheetId="9" state="hidden" r:id="rId9"/>
    <sheet name="点数表(子→親)" sheetId="7" state="hidden" r:id="rId10"/>
    <sheet name="点数表(子ロン)" sheetId="3" state="hidden" r:id="rId11"/>
    <sheet name="点数表(子ツモ)" sheetId="10" state="hidden" r:id="rId12"/>
    <sheet name="点数表(子→子)" sheetId="5" state="hidden" r:id="rId13"/>
    <sheet name="点数表(親→子)" sheetId="6" state="hidden" r:id="rId1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0" i="24" l="1"/>
  <c r="W30" i="24" s="1"/>
  <c r="O30" i="24"/>
  <c r="V30" i="24" s="1"/>
  <c r="J30" i="24"/>
  <c r="U30" i="24" s="1"/>
  <c r="D30" i="24"/>
  <c r="C30" i="24"/>
  <c r="B30" i="24"/>
  <c r="A30" i="24"/>
  <c r="T29" i="24"/>
  <c r="W29" i="24" s="1"/>
  <c r="O29" i="24"/>
  <c r="V29" i="24" s="1"/>
  <c r="J29" i="24"/>
  <c r="U29" i="24" s="1"/>
  <c r="D29" i="24"/>
  <c r="C29" i="24"/>
  <c r="B29" i="24"/>
  <c r="A29" i="24"/>
  <c r="T28" i="24"/>
  <c r="W28" i="24" s="1"/>
  <c r="O28" i="24"/>
  <c r="V28" i="24" s="1"/>
  <c r="J28" i="24"/>
  <c r="U28" i="24" s="1"/>
  <c r="D28" i="24"/>
  <c r="C28" i="24"/>
  <c r="B28" i="24"/>
  <c r="A28" i="24"/>
  <c r="T27" i="24"/>
  <c r="W27" i="24" s="1"/>
  <c r="O27" i="24"/>
  <c r="V27" i="24" s="1"/>
  <c r="J27" i="24"/>
  <c r="U27" i="24" s="1"/>
  <c r="D27" i="24"/>
  <c r="C27" i="24"/>
  <c r="B27" i="24"/>
  <c r="A27" i="24"/>
  <c r="T26" i="24"/>
  <c r="W26" i="24" s="1"/>
  <c r="O26" i="24"/>
  <c r="V26" i="24" s="1"/>
  <c r="J26" i="24"/>
  <c r="U26" i="24" s="1"/>
  <c r="D26" i="24"/>
  <c r="C26" i="24"/>
  <c r="B26" i="24"/>
  <c r="A26" i="24"/>
  <c r="T25" i="24"/>
  <c r="W25" i="24" s="1"/>
  <c r="O25" i="24"/>
  <c r="V25" i="24" s="1"/>
  <c r="J25" i="24"/>
  <c r="U25" i="24" s="1"/>
  <c r="D25" i="24"/>
  <c r="C25" i="24"/>
  <c r="B25" i="24"/>
  <c r="A25" i="24"/>
  <c r="T24" i="24"/>
  <c r="W24" i="24" s="1"/>
  <c r="O24" i="24"/>
  <c r="V24" i="24" s="1"/>
  <c r="J24" i="24"/>
  <c r="U24" i="24" s="1"/>
  <c r="D24" i="24"/>
  <c r="C24" i="24"/>
  <c r="B24" i="24"/>
  <c r="A24" i="24"/>
  <c r="T23" i="24"/>
  <c r="W23" i="24" s="1"/>
  <c r="O23" i="24"/>
  <c r="V23" i="24" s="1"/>
  <c r="J23" i="24"/>
  <c r="U23" i="24" s="1"/>
  <c r="D23" i="24"/>
  <c r="C23" i="24"/>
  <c r="B23" i="24"/>
  <c r="A23" i="24"/>
  <c r="T22" i="24"/>
  <c r="W22" i="24" s="1"/>
  <c r="O22" i="24"/>
  <c r="V22" i="24" s="1"/>
  <c r="J22" i="24"/>
  <c r="U22" i="24" s="1"/>
  <c r="D22" i="24"/>
  <c r="C22" i="24"/>
  <c r="B22" i="24"/>
  <c r="A22" i="24"/>
  <c r="T21" i="24"/>
  <c r="W21" i="24" s="1"/>
  <c r="O21" i="24"/>
  <c r="V21" i="24" s="1"/>
  <c r="J21" i="24"/>
  <c r="U21" i="24" s="1"/>
  <c r="D21" i="24"/>
  <c r="C21" i="24"/>
  <c r="B21" i="24"/>
  <c r="A21" i="24"/>
  <c r="T20" i="24"/>
  <c r="W20" i="24" s="1"/>
  <c r="O20" i="24"/>
  <c r="V20" i="24" s="1"/>
  <c r="J20" i="24"/>
  <c r="U20" i="24" s="1"/>
  <c r="D20" i="24"/>
  <c r="C20" i="24"/>
  <c r="B20" i="24"/>
  <c r="A20" i="24"/>
  <c r="T19" i="24"/>
  <c r="W19" i="24" s="1"/>
  <c r="O19" i="24"/>
  <c r="V19" i="24" s="1"/>
  <c r="J19" i="24"/>
  <c r="U19" i="24" s="1"/>
  <c r="D19" i="24"/>
  <c r="C19" i="24"/>
  <c r="B19" i="24"/>
  <c r="A19" i="24"/>
  <c r="T18" i="24"/>
  <c r="W18" i="24" s="1"/>
  <c r="O18" i="24"/>
  <c r="V18" i="24" s="1"/>
  <c r="J18" i="24"/>
  <c r="U18" i="24" s="1"/>
  <c r="D18" i="24"/>
  <c r="C18" i="24"/>
  <c r="B18" i="24"/>
  <c r="A18" i="24"/>
  <c r="T17" i="24"/>
  <c r="W17" i="24" s="1"/>
  <c r="O17" i="24"/>
  <c r="V17" i="24" s="1"/>
  <c r="J17" i="24"/>
  <c r="U17" i="24" s="1"/>
  <c r="D17" i="24"/>
  <c r="C17" i="24"/>
  <c r="B17" i="24"/>
  <c r="A17" i="24"/>
  <c r="T16" i="24"/>
  <c r="W16" i="24" s="1"/>
  <c r="O16" i="24"/>
  <c r="V16" i="24" s="1"/>
  <c r="J16" i="24"/>
  <c r="U16" i="24" s="1"/>
  <c r="D16" i="24"/>
  <c r="C16" i="24"/>
  <c r="B16" i="24"/>
  <c r="A16" i="24"/>
  <c r="T15" i="24"/>
  <c r="W15" i="24" s="1"/>
  <c r="O15" i="24"/>
  <c r="V15" i="24" s="1"/>
  <c r="J15" i="24"/>
  <c r="U15" i="24" s="1"/>
  <c r="D15" i="24"/>
  <c r="C15" i="24"/>
  <c r="B15" i="24"/>
  <c r="A15" i="24"/>
  <c r="T14" i="24"/>
  <c r="W14" i="24" s="1"/>
  <c r="O14" i="24"/>
  <c r="V14" i="24" s="1"/>
  <c r="J14" i="24"/>
  <c r="U14" i="24" s="1"/>
  <c r="D14" i="24"/>
  <c r="C14" i="24"/>
  <c r="B14" i="24"/>
  <c r="A14" i="24"/>
  <c r="T13" i="24"/>
  <c r="W13" i="24" s="1"/>
  <c r="O13" i="24"/>
  <c r="V13" i="24" s="1"/>
  <c r="J13" i="24"/>
  <c r="U13" i="24" s="1"/>
  <c r="D13" i="24"/>
  <c r="C13" i="24"/>
  <c r="B13" i="24"/>
  <c r="A13" i="24"/>
  <c r="T12" i="24"/>
  <c r="W12" i="24" s="1"/>
  <c r="O12" i="24"/>
  <c r="V12" i="24" s="1"/>
  <c r="J12" i="24"/>
  <c r="U12" i="24" s="1"/>
  <c r="D12" i="24"/>
  <c r="C12" i="24"/>
  <c r="B12" i="24"/>
  <c r="A12" i="24"/>
  <c r="D11" i="24"/>
  <c r="C11" i="24"/>
  <c r="D10" i="24"/>
  <c r="C10" i="24"/>
  <c r="D9" i="24"/>
  <c r="C9" i="24"/>
  <c r="D8" i="24"/>
  <c r="C8" i="24"/>
  <c r="O7" i="24"/>
  <c r="O8" i="24" s="1"/>
  <c r="D7" i="24"/>
  <c r="C7" i="24"/>
  <c r="O6" i="24"/>
  <c r="D6" i="24"/>
  <c r="C6" i="24"/>
  <c r="T5" i="24"/>
  <c r="T6" i="24" s="1"/>
  <c r="O5" i="24"/>
  <c r="D5" i="24"/>
  <c r="C5" i="24"/>
  <c r="B5" i="24"/>
  <c r="B6" i="24" s="1"/>
  <c r="T4" i="24"/>
  <c r="O4" i="24"/>
  <c r="J4" i="24"/>
  <c r="J5" i="24" s="1"/>
  <c r="W3" i="24"/>
  <c r="V3" i="24"/>
  <c r="U3" i="24"/>
  <c r="W2" i="24"/>
  <c r="V2" i="24"/>
  <c r="U2" i="24"/>
  <c r="BO1" i="24"/>
  <c r="AT1" i="24"/>
  <c r="Y1" i="24"/>
  <c r="T30" i="23"/>
  <c r="W30" i="23" s="1"/>
  <c r="O30" i="23"/>
  <c r="V30" i="23" s="1"/>
  <c r="J30" i="23"/>
  <c r="U30" i="23" s="1"/>
  <c r="D30" i="23"/>
  <c r="C30" i="23"/>
  <c r="B30" i="23"/>
  <c r="A30" i="23"/>
  <c r="T29" i="23"/>
  <c r="W29" i="23" s="1"/>
  <c r="O29" i="23"/>
  <c r="V29" i="23" s="1"/>
  <c r="J29" i="23"/>
  <c r="U29" i="23" s="1"/>
  <c r="D29" i="23"/>
  <c r="C29" i="23"/>
  <c r="B29" i="23"/>
  <c r="A29" i="23"/>
  <c r="T28" i="23"/>
  <c r="W28" i="23" s="1"/>
  <c r="O28" i="23"/>
  <c r="V28" i="23" s="1"/>
  <c r="J28" i="23"/>
  <c r="U28" i="23" s="1"/>
  <c r="D28" i="23"/>
  <c r="C28" i="23"/>
  <c r="B28" i="23"/>
  <c r="A28" i="23"/>
  <c r="T27" i="23"/>
  <c r="W27" i="23" s="1"/>
  <c r="O27" i="23"/>
  <c r="V27" i="23" s="1"/>
  <c r="J27" i="23"/>
  <c r="U27" i="23" s="1"/>
  <c r="D27" i="23"/>
  <c r="C27" i="23"/>
  <c r="B27" i="23"/>
  <c r="A27" i="23"/>
  <c r="T26" i="23"/>
  <c r="W26" i="23" s="1"/>
  <c r="O26" i="23"/>
  <c r="V26" i="23" s="1"/>
  <c r="J26" i="23"/>
  <c r="U26" i="23" s="1"/>
  <c r="D26" i="23"/>
  <c r="C26" i="23"/>
  <c r="B26" i="23"/>
  <c r="A26" i="23"/>
  <c r="T25" i="23"/>
  <c r="W25" i="23" s="1"/>
  <c r="O25" i="23"/>
  <c r="V25" i="23" s="1"/>
  <c r="J25" i="23"/>
  <c r="U25" i="23" s="1"/>
  <c r="D25" i="23"/>
  <c r="C25" i="23"/>
  <c r="B25" i="23"/>
  <c r="A25" i="23"/>
  <c r="T24" i="23"/>
  <c r="W24" i="23" s="1"/>
  <c r="O24" i="23"/>
  <c r="V24" i="23" s="1"/>
  <c r="J24" i="23"/>
  <c r="U24" i="23" s="1"/>
  <c r="D24" i="23"/>
  <c r="C24" i="23"/>
  <c r="B24" i="23"/>
  <c r="A24" i="23"/>
  <c r="T23" i="23"/>
  <c r="W23" i="23" s="1"/>
  <c r="O23" i="23"/>
  <c r="V23" i="23" s="1"/>
  <c r="J23" i="23"/>
  <c r="U23" i="23" s="1"/>
  <c r="D23" i="23"/>
  <c r="C23" i="23"/>
  <c r="B23" i="23"/>
  <c r="A23" i="23"/>
  <c r="T22" i="23"/>
  <c r="W22" i="23" s="1"/>
  <c r="O22" i="23"/>
  <c r="V22" i="23" s="1"/>
  <c r="J22" i="23"/>
  <c r="U22" i="23" s="1"/>
  <c r="D22" i="23"/>
  <c r="C22" i="23"/>
  <c r="B22" i="23"/>
  <c r="A22" i="23"/>
  <c r="T21" i="23"/>
  <c r="W21" i="23" s="1"/>
  <c r="O21" i="23"/>
  <c r="V21" i="23" s="1"/>
  <c r="J21" i="23"/>
  <c r="U21" i="23" s="1"/>
  <c r="D21" i="23"/>
  <c r="C21" i="23"/>
  <c r="B21" i="23"/>
  <c r="A21" i="23"/>
  <c r="T20" i="23"/>
  <c r="W20" i="23" s="1"/>
  <c r="O20" i="23"/>
  <c r="V20" i="23" s="1"/>
  <c r="J20" i="23"/>
  <c r="U20" i="23" s="1"/>
  <c r="D20" i="23"/>
  <c r="C20" i="23"/>
  <c r="B20" i="23"/>
  <c r="A20" i="23"/>
  <c r="T19" i="23"/>
  <c r="W19" i="23" s="1"/>
  <c r="O19" i="23"/>
  <c r="V19" i="23" s="1"/>
  <c r="J19" i="23"/>
  <c r="U19" i="23" s="1"/>
  <c r="D19" i="23"/>
  <c r="C19" i="23"/>
  <c r="B19" i="23"/>
  <c r="A19" i="23"/>
  <c r="T18" i="23"/>
  <c r="W18" i="23" s="1"/>
  <c r="O18" i="23"/>
  <c r="V18" i="23" s="1"/>
  <c r="J18" i="23"/>
  <c r="U18" i="23" s="1"/>
  <c r="D18" i="23"/>
  <c r="C18" i="23"/>
  <c r="B18" i="23"/>
  <c r="A18" i="23"/>
  <c r="T17" i="23"/>
  <c r="W17" i="23" s="1"/>
  <c r="O17" i="23"/>
  <c r="V17" i="23" s="1"/>
  <c r="J17" i="23"/>
  <c r="U17" i="23" s="1"/>
  <c r="D17" i="23"/>
  <c r="C17" i="23"/>
  <c r="B17" i="23"/>
  <c r="A17" i="23"/>
  <c r="T16" i="23"/>
  <c r="W16" i="23" s="1"/>
  <c r="O16" i="23"/>
  <c r="V16" i="23" s="1"/>
  <c r="J16" i="23"/>
  <c r="U16" i="23" s="1"/>
  <c r="D16" i="23"/>
  <c r="C16" i="23"/>
  <c r="B16" i="23"/>
  <c r="A16" i="23"/>
  <c r="T15" i="23"/>
  <c r="W15" i="23" s="1"/>
  <c r="O15" i="23"/>
  <c r="V15" i="23" s="1"/>
  <c r="J15" i="23"/>
  <c r="U15" i="23" s="1"/>
  <c r="D15" i="23"/>
  <c r="C15" i="23"/>
  <c r="B15" i="23"/>
  <c r="A15" i="23"/>
  <c r="T14" i="23"/>
  <c r="W14" i="23" s="1"/>
  <c r="O14" i="23"/>
  <c r="V14" i="23" s="1"/>
  <c r="J14" i="23"/>
  <c r="U14" i="23" s="1"/>
  <c r="D14" i="23"/>
  <c r="C14" i="23"/>
  <c r="B14" i="23"/>
  <c r="A14" i="23"/>
  <c r="T13" i="23"/>
  <c r="W13" i="23" s="1"/>
  <c r="O13" i="23"/>
  <c r="V13" i="23" s="1"/>
  <c r="J13" i="23"/>
  <c r="U13" i="23" s="1"/>
  <c r="D13" i="23"/>
  <c r="C13" i="23"/>
  <c r="B13" i="23"/>
  <c r="A13" i="23"/>
  <c r="T12" i="23"/>
  <c r="W12" i="23" s="1"/>
  <c r="O12" i="23"/>
  <c r="V12" i="23" s="1"/>
  <c r="J12" i="23"/>
  <c r="U12" i="23" s="1"/>
  <c r="D12" i="23"/>
  <c r="C12" i="23"/>
  <c r="B12" i="23"/>
  <c r="A12" i="23" s="1"/>
  <c r="T11" i="23"/>
  <c r="O11" i="23"/>
  <c r="J11" i="23"/>
  <c r="D11" i="23"/>
  <c r="C11" i="23"/>
  <c r="B11" i="23"/>
  <c r="A11" i="23" s="1"/>
  <c r="D10" i="23"/>
  <c r="C10" i="23"/>
  <c r="D9" i="23"/>
  <c r="C9" i="23"/>
  <c r="D8" i="23"/>
  <c r="C8" i="23"/>
  <c r="C7" i="23"/>
  <c r="D6" i="23"/>
  <c r="D7" i="23" s="1"/>
  <c r="C6" i="23"/>
  <c r="T5" i="23"/>
  <c r="T6" i="23" s="1"/>
  <c r="O5" i="23"/>
  <c r="D5" i="23"/>
  <c r="C5" i="23"/>
  <c r="B5" i="23"/>
  <c r="T4" i="23"/>
  <c r="O4" i="23"/>
  <c r="J4" i="23"/>
  <c r="W3" i="23"/>
  <c r="V3" i="23"/>
  <c r="U3" i="23"/>
  <c r="W2" i="23"/>
  <c r="V2" i="23"/>
  <c r="U2" i="23"/>
  <c r="BO1" i="23"/>
  <c r="AT1" i="23"/>
  <c r="Y1" i="23"/>
  <c r="T30" i="22"/>
  <c r="W30" i="22" s="1"/>
  <c r="O30" i="22"/>
  <c r="V30" i="22" s="1"/>
  <c r="J30" i="22"/>
  <c r="U30" i="22" s="1"/>
  <c r="D30" i="22"/>
  <c r="C30" i="22"/>
  <c r="B30" i="22"/>
  <c r="A30" i="22"/>
  <c r="T29" i="22"/>
  <c r="W29" i="22" s="1"/>
  <c r="O29" i="22"/>
  <c r="V29" i="22" s="1"/>
  <c r="J29" i="22"/>
  <c r="U29" i="22" s="1"/>
  <c r="D29" i="22"/>
  <c r="C29" i="22"/>
  <c r="B29" i="22"/>
  <c r="A29" i="22"/>
  <c r="T28" i="22"/>
  <c r="W28" i="22" s="1"/>
  <c r="O28" i="22"/>
  <c r="V28" i="22" s="1"/>
  <c r="J28" i="22"/>
  <c r="U28" i="22" s="1"/>
  <c r="D28" i="22"/>
  <c r="C28" i="22"/>
  <c r="B28" i="22"/>
  <c r="A28" i="22"/>
  <c r="T27" i="22"/>
  <c r="W27" i="22" s="1"/>
  <c r="O27" i="22"/>
  <c r="V27" i="22" s="1"/>
  <c r="J27" i="22"/>
  <c r="U27" i="22" s="1"/>
  <c r="D27" i="22"/>
  <c r="C27" i="22"/>
  <c r="B27" i="22"/>
  <c r="A27" i="22"/>
  <c r="T26" i="22"/>
  <c r="W26" i="22" s="1"/>
  <c r="O26" i="22"/>
  <c r="V26" i="22" s="1"/>
  <c r="J26" i="22"/>
  <c r="U26" i="22" s="1"/>
  <c r="D26" i="22"/>
  <c r="C26" i="22"/>
  <c r="B26" i="22"/>
  <c r="A26" i="22"/>
  <c r="T25" i="22"/>
  <c r="W25" i="22" s="1"/>
  <c r="O25" i="22"/>
  <c r="V25" i="22" s="1"/>
  <c r="J25" i="22"/>
  <c r="U25" i="22" s="1"/>
  <c r="D25" i="22"/>
  <c r="C25" i="22"/>
  <c r="B25" i="22"/>
  <c r="A25" i="22"/>
  <c r="T24" i="22"/>
  <c r="W24" i="22" s="1"/>
  <c r="O24" i="22"/>
  <c r="V24" i="22" s="1"/>
  <c r="J24" i="22"/>
  <c r="U24" i="22" s="1"/>
  <c r="D24" i="22"/>
  <c r="C24" i="22"/>
  <c r="B24" i="22"/>
  <c r="A24" i="22"/>
  <c r="T23" i="22"/>
  <c r="W23" i="22" s="1"/>
  <c r="O23" i="22"/>
  <c r="V23" i="22" s="1"/>
  <c r="J23" i="22"/>
  <c r="U23" i="22" s="1"/>
  <c r="D23" i="22"/>
  <c r="C23" i="22"/>
  <c r="B23" i="22"/>
  <c r="A23" i="22"/>
  <c r="T22" i="22"/>
  <c r="W22" i="22" s="1"/>
  <c r="O22" i="22"/>
  <c r="V22" i="22" s="1"/>
  <c r="J22" i="22"/>
  <c r="U22" i="22" s="1"/>
  <c r="D22" i="22"/>
  <c r="C22" i="22"/>
  <c r="B22" i="22"/>
  <c r="A22" i="22"/>
  <c r="T21" i="22"/>
  <c r="W21" i="22" s="1"/>
  <c r="O21" i="22"/>
  <c r="V21" i="22" s="1"/>
  <c r="J21" i="22"/>
  <c r="U21" i="22" s="1"/>
  <c r="D21" i="22"/>
  <c r="C21" i="22"/>
  <c r="B21" i="22"/>
  <c r="A21" i="22"/>
  <c r="T20" i="22"/>
  <c r="W20" i="22" s="1"/>
  <c r="O20" i="22"/>
  <c r="V20" i="22" s="1"/>
  <c r="J20" i="22"/>
  <c r="U20" i="22" s="1"/>
  <c r="D20" i="22"/>
  <c r="C20" i="22"/>
  <c r="B20" i="22"/>
  <c r="A20" i="22"/>
  <c r="T19" i="22"/>
  <c r="W19" i="22" s="1"/>
  <c r="O19" i="22"/>
  <c r="V19" i="22" s="1"/>
  <c r="J19" i="22"/>
  <c r="U19" i="22" s="1"/>
  <c r="D19" i="22"/>
  <c r="C19" i="22"/>
  <c r="B19" i="22"/>
  <c r="A19" i="22"/>
  <c r="T18" i="22"/>
  <c r="W18" i="22" s="1"/>
  <c r="O18" i="22"/>
  <c r="V18" i="22" s="1"/>
  <c r="J18" i="22"/>
  <c r="U18" i="22" s="1"/>
  <c r="D18" i="22"/>
  <c r="C18" i="22"/>
  <c r="B18" i="22"/>
  <c r="A18" i="22"/>
  <c r="T17" i="22"/>
  <c r="W17" i="22" s="1"/>
  <c r="O17" i="22"/>
  <c r="V17" i="22" s="1"/>
  <c r="J17" i="22"/>
  <c r="U17" i="22" s="1"/>
  <c r="D17" i="22"/>
  <c r="C17" i="22"/>
  <c r="B17" i="22"/>
  <c r="A17" i="22"/>
  <c r="T16" i="22"/>
  <c r="W16" i="22" s="1"/>
  <c r="O16" i="22"/>
  <c r="V16" i="22" s="1"/>
  <c r="J16" i="22"/>
  <c r="U16" i="22" s="1"/>
  <c r="D16" i="22"/>
  <c r="C16" i="22"/>
  <c r="B16" i="22"/>
  <c r="A16" i="22"/>
  <c r="T15" i="22"/>
  <c r="W15" i="22" s="1"/>
  <c r="O15" i="22"/>
  <c r="V15" i="22" s="1"/>
  <c r="J15" i="22"/>
  <c r="U15" i="22" s="1"/>
  <c r="D15" i="22"/>
  <c r="C15" i="22"/>
  <c r="B15" i="22"/>
  <c r="A15" i="22"/>
  <c r="T14" i="22"/>
  <c r="W14" i="22" s="1"/>
  <c r="O14" i="22"/>
  <c r="V14" i="22" s="1"/>
  <c r="J14" i="22"/>
  <c r="U14" i="22" s="1"/>
  <c r="D14" i="22"/>
  <c r="C14" i="22"/>
  <c r="B14" i="22"/>
  <c r="A14" i="22"/>
  <c r="T13" i="22"/>
  <c r="W13" i="22" s="1"/>
  <c r="O13" i="22"/>
  <c r="V13" i="22" s="1"/>
  <c r="J13" i="22"/>
  <c r="U13" i="22" s="1"/>
  <c r="D13" i="22"/>
  <c r="C13" i="22"/>
  <c r="B13" i="22"/>
  <c r="A13" i="22"/>
  <c r="D12" i="22"/>
  <c r="C12" i="22"/>
  <c r="D11" i="22"/>
  <c r="C11" i="22"/>
  <c r="D10" i="22"/>
  <c r="C10" i="22"/>
  <c r="D9" i="22"/>
  <c r="C9" i="22"/>
  <c r="D7" i="22"/>
  <c r="D8" i="22" s="1"/>
  <c r="C7" i="22"/>
  <c r="C8" i="22" s="1"/>
  <c r="O6" i="22"/>
  <c r="O7" i="22" s="1"/>
  <c r="D6" i="22"/>
  <c r="C6" i="22"/>
  <c r="O5" i="22"/>
  <c r="J5" i="22"/>
  <c r="D5" i="22"/>
  <c r="C5" i="22"/>
  <c r="B5" i="22"/>
  <c r="B6" i="22" s="1"/>
  <c r="T4" i="22"/>
  <c r="O4" i="22"/>
  <c r="J4" i="22"/>
  <c r="U4" i="22" s="1"/>
  <c r="W3" i="22"/>
  <c r="V3" i="22"/>
  <c r="U3" i="22"/>
  <c r="W2" i="22"/>
  <c r="V2" i="22"/>
  <c r="U2" i="22"/>
  <c r="BO1" i="22"/>
  <c r="AT1" i="22"/>
  <c r="Y1" i="22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/>
  <c r="T13" i="21"/>
  <c r="W13" i="21" s="1"/>
  <c r="O13" i="21"/>
  <c r="V13" i="21" s="1"/>
  <c r="J13" i="21"/>
  <c r="U13" i="21" s="1"/>
  <c r="D13" i="21"/>
  <c r="C13" i="21"/>
  <c r="B13" i="21"/>
  <c r="A13" i="21"/>
  <c r="T12" i="21"/>
  <c r="W12" i="21" s="1"/>
  <c r="O12" i="21"/>
  <c r="J12" i="21"/>
  <c r="D12" i="21"/>
  <c r="C12" i="21"/>
  <c r="B12" i="21"/>
  <c r="A12" i="21" s="1"/>
  <c r="T11" i="21"/>
  <c r="O11" i="21"/>
  <c r="J11" i="21"/>
  <c r="U11" i="21" s="1"/>
  <c r="D11" i="21"/>
  <c r="C11" i="21"/>
  <c r="B11" i="21"/>
  <c r="A11" i="21"/>
  <c r="T10" i="21"/>
  <c r="O10" i="21"/>
  <c r="J10" i="21"/>
  <c r="D10" i="21"/>
  <c r="C10" i="21"/>
  <c r="B10" i="21"/>
  <c r="A10" i="21"/>
  <c r="T9" i="21"/>
  <c r="O9" i="21"/>
  <c r="J9" i="21"/>
  <c r="U9" i="21" s="1"/>
  <c r="D9" i="21"/>
  <c r="C9" i="21"/>
  <c r="B9" i="21"/>
  <c r="A9" i="21"/>
  <c r="D8" i="21"/>
  <c r="C8" i="21"/>
  <c r="D7" i="21"/>
  <c r="C7" i="21"/>
  <c r="D6" i="21"/>
  <c r="T5" i="21"/>
  <c r="T6" i="21" s="1"/>
  <c r="O5" i="21"/>
  <c r="D5" i="21"/>
  <c r="C5" i="21"/>
  <c r="C6" i="21" s="1"/>
  <c r="B5" i="21"/>
  <c r="B6" i="21" s="1"/>
  <c r="T4" i="21"/>
  <c r="O4" i="21"/>
  <c r="J4" i="21"/>
  <c r="J5" i="21" s="1"/>
  <c r="W3" i="21"/>
  <c r="V3" i="21"/>
  <c r="U3" i="21"/>
  <c r="W2" i="21"/>
  <c r="V2" i="21"/>
  <c r="U2" i="21"/>
  <c r="BO1" i="21"/>
  <c r="AT1" i="21"/>
  <c r="Y1" i="2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T12" i="20"/>
  <c r="W12" i="20" s="1"/>
  <c r="O12" i="20"/>
  <c r="V12" i="20" s="1"/>
  <c r="J12" i="20"/>
  <c r="U12" i="20" s="1"/>
  <c r="D12" i="20"/>
  <c r="C12" i="20"/>
  <c r="B12" i="20"/>
  <c r="A12" i="20"/>
  <c r="T11" i="20"/>
  <c r="W11" i="20" s="1"/>
  <c r="O11" i="20"/>
  <c r="V11" i="20" s="1"/>
  <c r="J11" i="20"/>
  <c r="U11" i="20" s="1"/>
  <c r="D11" i="20"/>
  <c r="C11" i="20"/>
  <c r="B11" i="20"/>
  <c r="A11" i="20"/>
  <c r="T10" i="20"/>
  <c r="W10" i="20" s="1"/>
  <c r="O10" i="20"/>
  <c r="V10" i="20" s="1"/>
  <c r="J10" i="20"/>
  <c r="U10" i="20" s="1"/>
  <c r="D10" i="20"/>
  <c r="C10" i="20"/>
  <c r="B10" i="20"/>
  <c r="A10" i="20"/>
  <c r="D9" i="20"/>
  <c r="C9" i="20"/>
  <c r="D8" i="20"/>
  <c r="C8" i="20"/>
  <c r="D7" i="20"/>
  <c r="C7" i="20"/>
  <c r="D6" i="20"/>
  <c r="C6" i="20"/>
  <c r="T5" i="20"/>
  <c r="O5" i="20"/>
  <c r="D5" i="20"/>
  <c r="C5" i="20"/>
  <c r="B5" i="20"/>
  <c r="A5" i="20" s="1"/>
  <c r="T4" i="20"/>
  <c r="O4" i="20"/>
  <c r="J4" i="20"/>
  <c r="U4" i="20" s="1"/>
  <c r="W3" i="20"/>
  <c r="V3" i="20"/>
  <c r="U3" i="20"/>
  <c r="W2" i="20"/>
  <c r="V2" i="20"/>
  <c r="U2" i="20"/>
  <c r="BO1" i="20"/>
  <c r="AT1" i="20"/>
  <c r="Y1" i="20"/>
  <c r="V5" i="24" l="1"/>
  <c r="W4" i="24"/>
  <c r="V4" i="24"/>
  <c r="U4" i="24"/>
  <c r="W5" i="24"/>
  <c r="U5" i="24"/>
  <c r="J6" i="24"/>
  <c r="W6" i="24" s="1"/>
  <c r="O9" i="24"/>
  <c r="T7" i="24"/>
  <c r="B7" i="24"/>
  <c r="A5" i="24"/>
  <c r="A6" i="24" s="1"/>
  <c r="U11" i="23"/>
  <c r="W11" i="23"/>
  <c r="V11" i="23"/>
  <c r="U4" i="23"/>
  <c r="V4" i="23"/>
  <c r="W4" i="23"/>
  <c r="T7" i="23"/>
  <c r="B6" i="23"/>
  <c r="A6" i="23" s="1"/>
  <c r="J5" i="23"/>
  <c r="V5" i="23" s="1"/>
  <c r="O6" i="23"/>
  <c r="A5" i="23"/>
  <c r="A5" i="22"/>
  <c r="V4" i="22"/>
  <c r="O8" i="22"/>
  <c r="A6" i="22"/>
  <c r="B7" i="22"/>
  <c r="A7" i="22" s="1"/>
  <c r="J6" i="22"/>
  <c r="W4" i="22"/>
  <c r="T5" i="22"/>
  <c r="V5" i="22" s="1"/>
  <c r="U12" i="21"/>
  <c r="V12" i="21"/>
  <c r="V11" i="21"/>
  <c r="W11" i="21"/>
  <c r="U10" i="21"/>
  <c r="V10" i="21"/>
  <c r="W10" i="21"/>
  <c r="V9" i="21"/>
  <c r="W9" i="21"/>
  <c r="V5" i="21"/>
  <c r="V4" i="21"/>
  <c r="W4" i="21"/>
  <c r="U4" i="21"/>
  <c r="B7" i="21"/>
  <c r="U5" i="21"/>
  <c r="J6" i="21"/>
  <c r="W6" i="21" s="1"/>
  <c r="W5" i="21"/>
  <c r="T7" i="21"/>
  <c r="O6" i="21"/>
  <c r="A5" i="21"/>
  <c r="A6" i="21"/>
  <c r="V4" i="20"/>
  <c r="W4" i="20"/>
  <c r="B6" i="20"/>
  <c r="A6" i="20" s="1"/>
  <c r="J5" i="20"/>
  <c r="W5" i="20" s="1"/>
  <c r="O6" i="20"/>
  <c r="T6" i="20"/>
  <c r="W3" i="19"/>
  <c r="V3" i="19"/>
  <c r="U3" i="19"/>
  <c r="A7" i="24" l="1"/>
  <c r="V6" i="24"/>
  <c r="T8" i="24"/>
  <c r="O10" i="24"/>
  <c r="J7" i="24"/>
  <c r="W7" i="24" s="1"/>
  <c r="U6" i="24"/>
  <c r="B8" i="24"/>
  <c r="A8" i="24" s="1"/>
  <c r="T8" i="23"/>
  <c r="B7" i="23"/>
  <c r="O7" i="23"/>
  <c r="W5" i="23"/>
  <c r="U5" i="23"/>
  <c r="J6" i="23"/>
  <c r="V6" i="23" s="1"/>
  <c r="O9" i="22"/>
  <c r="W5" i="22"/>
  <c r="T6" i="22"/>
  <c r="V6" i="22" s="1"/>
  <c r="U5" i="22"/>
  <c r="B8" i="22"/>
  <c r="U6" i="22"/>
  <c r="J7" i="22"/>
  <c r="A7" i="21"/>
  <c r="V6" i="21"/>
  <c r="O7" i="21"/>
  <c r="T8" i="21"/>
  <c r="J7" i="21"/>
  <c r="U6" i="21"/>
  <c r="B8" i="21"/>
  <c r="A8" i="21" s="1"/>
  <c r="W6" i="20"/>
  <c r="T7" i="20"/>
  <c r="J6" i="20"/>
  <c r="U5" i="20"/>
  <c r="V6" i="20"/>
  <c r="O7" i="20"/>
  <c r="B7" i="20"/>
  <c r="A7" i="20" s="1"/>
  <c r="V5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/>
  <c r="T10" i="19"/>
  <c r="W10" i="19" s="1"/>
  <c r="O10" i="19"/>
  <c r="V10" i="19" s="1"/>
  <c r="J10" i="19"/>
  <c r="U10" i="19" s="1"/>
  <c r="D10" i="19"/>
  <c r="C10" i="19"/>
  <c r="B10" i="19"/>
  <c r="A10" i="19" s="1"/>
  <c r="T9" i="19"/>
  <c r="O9" i="19"/>
  <c r="J9" i="19"/>
  <c r="U9" i="19" s="1"/>
  <c r="D9" i="19"/>
  <c r="C9" i="19"/>
  <c r="B9" i="19"/>
  <c r="A9" i="19"/>
  <c r="T8" i="19"/>
  <c r="O8" i="19"/>
  <c r="J8" i="19"/>
  <c r="U8" i="19" s="1"/>
  <c r="D8" i="19"/>
  <c r="C8" i="19"/>
  <c r="B8" i="19"/>
  <c r="A8" i="19"/>
  <c r="T7" i="19"/>
  <c r="O7" i="19"/>
  <c r="J7" i="19"/>
  <c r="U7" i="19" s="1"/>
  <c r="D7" i="19"/>
  <c r="C7" i="19"/>
  <c r="B7" i="19"/>
  <c r="A7" i="19" s="1"/>
  <c r="T6" i="19"/>
  <c r="O6" i="19"/>
  <c r="J6" i="19"/>
  <c r="D6" i="19"/>
  <c r="C6" i="19"/>
  <c r="B6" i="19"/>
  <c r="A6" i="19" s="1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O11" i="24" l="1"/>
  <c r="B9" i="24"/>
  <c r="A9" i="24" s="1"/>
  <c r="U7" i="24"/>
  <c r="J8" i="24"/>
  <c r="V7" i="24"/>
  <c r="W8" i="24"/>
  <c r="T9" i="24"/>
  <c r="B8" i="23"/>
  <c r="A8" i="23" s="1"/>
  <c r="U6" i="23"/>
  <c r="J7" i="23"/>
  <c r="W6" i="23"/>
  <c r="A7" i="23"/>
  <c r="T9" i="23"/>
  <c r="V7" i="23"/>
  <c r="O8" i="23"/>
  <c r="B9" i="22"/>
  <c r="A9" i="22" s="1"/>
  <c r="A8" i="22"/>
  <c r="W6" i="22"/>
  <c r="T7" i="22"/>
  <c r="U7" i="22"/>
  <c r="J8" i="22"/>
  <c r="V7" i="22"/>
  <c r="O10" i="22"/>
  <c r="U7" i="21"/>
  <c r="J8" i="21"/>
  <c r="W7" i="21"/>
  <c r="O8" i="21"/>
  <c r="W8" i="21" s="1"/>
  <c r="V7" i="21"/>
  <c r="B8" i="20"/>
  <c r="O8" i="20"/>
  <c r="U6" i="20"/>
  <c r="J7" i="20"/>
  <c r="V7" i="20" s="1"/>
  <c r="W7" i="20"/>
  <c r="T8" i="20"/>
  <c r="W9" i="19"/>
  <c r="V9" i="19"/>
  <c r="W8" i="19"/>
  <c r="V8" i="19"/>
  <c r="V7" i="19"/>
  <c r="W7" i="19"/>
  <c r="W6" i="19"/>
  <c r="U6" i="19"/>
  <c r="V6" i="19"/>
  <c r="U4" i="19"/>
  <c r="V4" i="19"/>
  <c r="T5" i="19"/>
  <c r="W4" i="19"/>
  <c r="J5" i="19"/>
  <c r="O5" i="19"/>
  <c r="V5" i="19" s="1"/>
  <c r="U8" i="24" l="1"/>
  <c r="J9" i="24"/>
  <c r="W9" i="24" s="1"/>
  <c r="V8" i="24"/>
  <c r="B10" i="24"/>
  <c r="A10" i="24" s="1"/>
  <c r="T10" i="24"/>
  <c r="J8" i="23"/>
  <c r="V8" i="23" s="1"/>
  <c r="U7" i="23"/>
  <c r="W7" i="23"/>
  <c r="T10" i="23"/>
  <c r="O9" i="23"/>
  <c r="B9" i="23"/>
  <c r="A9" i="23" s="1"/>
  <c r="T8" i="22"/>
  <c r="W7" i="22"/>
  <c r="J9" i="22"/>
  <c r="O11" i="22"/>
  <c r="B10" i="22"/>
  <c r="A10" i="22" s="1"/>
  <c r="V8" i="21"/>
  <c r="U8" i="21"/>
  <c r="B9" i="20"/>
  <c r="A8" i="20"/>
  <c r="T9" i="20"/>
  <c r="J8" i="20"/>
  <c r="U7" i="20"/>
  <c r="O9" i="20"/>
  <c r="U5" i="19"/>
  <c r="W5" i="19"/>
  <c r="T11" i="24" l="1"/>
  <c r="B11" i="24"/>
  <c r="A11" i="24" s="1"/>
  <c r="U9" i="24"/>
  <c r="J10" i="24"/>
  <c r="W10" i="24" s="1"/>
  <c r="V9" i="24"/>
  <c r="U8" i="23"/>
  <c r="J9" i="23"/>
  <c r="W8" i="23"/>
  <c r="B10" i="23"/>
  <c r="A10" i="23" s="1"/>
  <c r="O10" i="23"/>
  <c r="W8" i="22"/>
  <c r="T9" i="22"/>
  <c r="B11" i="22"/>
  <c r="O12" i="22"/>
  <c r="V8" i="22"/>
  <c r="U8" i="22"/>
  <c r="J10" i="22"/>
  <c r="V8" i="20"/>
  <c r="A9" i="20"/>
  <c r="U8" i="20"/>
  <c r="J9" i="20"/>
  <c r="W8" i="20"/>
  <c r="U10" i="24" l="1"/>
  <c r="J11" i="24"/>
  <c r="W11" i="24" s="1"/>
  <c r="V10" i="24"/>
  <c r="U9" i="23"/>
  <c r="J10" i="23"/>
  <c r="W9" i="23"/>
  <c r="V9" i="23"/>
  <c r="U9" i="22"/>
  <c r="W9" i="22"/>
  <c r="T10" i="22"/>
  <c r="U10" i="22"/>
  <c r="J11" i="22"/>
  <c r="V10" i="22"/>
  <c r="B12" i="22"/>
  <c r="A12" i="22"/>
  <c r="V9" i="22"/>
  <c r="A11" i="22"/>
  <c r="U9" i="20"/>
  <c r="W9" i="20"/>
  <c r="V9" i="20"/>
  <c r="U11" i="24" l="1"/>
  <c r="V11" i="24"/>
  <c r="U10" i="23"/>
  <c r="W10" i="23"/>
  <c r="V10" i="23"/>
  <c r="U11" i="22"/>
  <c r="J12" i="22"/>
  <c r="V11" i="22"/>
  <c r="W10" i="22"/>
  <c r="T11" i="22"/>
  <c r="T12" i="22" l="1"/>
  <c r="W12" i="22" s="1"/>
  <c r="W11" i="22"/>
  <c r="V12" i="22" l="1"/>
  <c r="U12" i="22"/>
</calcChain>
</file>

<file path=xl/sharedStrings.xml><?xml version="1.0" encoding="utf-8"?>
<sst xmlns="http://schemas.openxmlformats.org/spreadsheetml/2006/main" count="1066" uniqueCount="212">
  <si>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</si>
  <si>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</si>
  <si>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</si>
  <si>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</si>
  <si>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</si>
  <si>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</si>
  <si>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</si>
  <si>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</si>
  <si>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</si>
  <si>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</si>
  <si>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</si>
  <si>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</si>
  <si>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</si>
  <si>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</si>
  <si>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</si>
  <si>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</si>
  <si>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</si>
  <si>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</si>
  <si>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</si>
  <si>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</si>
  <si>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</si>
  <si>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</si>
  <si>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</si>
  <si>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</si>
  <si>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</si>
  <si>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</si>
  <si>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</si>
  <si>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</si>
  <si>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</si>
  <si>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</si>
  <si>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</si>
  <si>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</si>
  <si>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</si>
  <si>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</si>
  <si>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</si>
  <si>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</si>
  <si>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</si>
  <si>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</si>
  <si>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</si>
  <si>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</si>
  <si>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</si>
  <si>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</si>
  <si>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</si>
  <si>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</si>
  <si>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</si>
  <si>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</si>
  <si>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</si>
  <si>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</si>
  <si>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</si>
  <si>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</si>
  <si>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</si>
  <si>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</si>
  <si>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</si>
  <si>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</si>
  <si>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</si>
  <si>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</si>
  <si>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</si>
  <si>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</si>
  <si>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</si>
  <si>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</si>
  <si>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</si>
  <si>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</si>
  <si>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</si>
  <si>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</si>
  <si>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</si>
  <si>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</si>
  <si>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</si>
  <si>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</si>
  <si>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</si>
  <si>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</si>
  <si>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</si>
  <si>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</si>
  <si>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</si>
  <si>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</si>
  <si>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</si>
  <si>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</si>
  <si>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</si>
  <si>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</si>
  <si>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</si>
  <si>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</si>
  <si>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</si>
  <si>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</si>
  <si>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</si>
  <si>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</si>
  <si>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</si>
  <si>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</si>
  <si>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</si>
  <si>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</si>
  <si>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</si>
  <si>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</si>
  <si>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</si>
  <si>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</si>
  <si>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</si>
  <si>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</si>
  <si>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</si>
  <si>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</si>
  <si>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</si>
  <si>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</si>
  <si>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</si>
  <si>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</si>
  <si>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</si>
  <si>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</si>
  <si>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</si>
  <si>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</si>
  <si>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</si>
  <si>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</si>
  <si>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</si>
  <si>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</si>
  <si>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</si>
  <si>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</si>
  <si>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</si>
  <si>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</si>
  <si>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</si>
  <si>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</si>
  <si>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</si>
  <si>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</si>
  <si>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</si>
  <si>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</si>
  <si>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</si>
  <si>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</si>
  <si>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</si>
  <si>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</si>
  <si>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</si>
  <si>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</si>
  <si>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</si>
  <si>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</si>
  <si>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</si>
  <si>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</si>
  <si>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</si>
  <si>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</si>
  <si>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</si>
  <si>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</si>
  <si>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</si>
  <si>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</si>
  <si>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</si>
  <si>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</si>
  <si>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</si>
  <si>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</si>
  <si>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</si>
  <si>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</si>
  <si>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</si>
  <si>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</si>
  <si>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</si>
  <si>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</si>
  <si>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</si>
  <si>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</si>
  <si>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</si>
  <si>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</si>
  <si>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</si>
  <si>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</si>
  <si>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</si>
  <si>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</si>
  <si>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</si>
  <si>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</si>
  <si>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</si>
  <si>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</si>
  <si>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</si>
  <si>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</si>
  <si>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</si>
  <si>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</si>
  <si>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</si>
  <si>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</si>
  <si>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</si>
  <si>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</si>
  <si>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</si>
  <si>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</si>
  <si>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</si>
  <si>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</si>
  <si>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</si>
  <si>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</si>
  <si>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</si>
  <si>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</si>
  <si>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</si>
  <si>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</si>
  <si>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</si>
  <si>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</si>
  <si>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</si>
  <si>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</si>
  <si>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</si>
  <si>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</si>
  <si>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</si>
  <si>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</si>
  <si>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</si>
  <si>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</si>
  <si>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</si>
  <si>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</si>
  <si>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</si>
  <si>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</si>
  <si>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</si>
  <si>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</si>
  <si>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</si>
  <si>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だいち</t>
  </si>
  <si>
    <t>だいち</t>
    <phoneticPr fontId="1"/>
  </si>
  <si>
    <t>れんたろう</t>
  </si>
  <si>
    <t>れんたろう</t>
    <phoneticPr fontId="1"/>
  </si>
  <si>
    <t>のり</t>
  </si>
  <si>
    <t>のり</t>
    <phoneticPr fontId="1"/>
  </si>
  <si>
    <t>ロン</t>
  </si>
  <si>
    <t>放銃</t>
  </si>
  <si>
    <t>*</t>
  </si>
  <si>
    <t>01</t>
  </si>
  <si>
    <t>52</t>
  </si>
  <si>
    <t>ツモ支払</t>
  </si>
  <si>
    <t>ツモ</t>
  </si>
  <si>
    <t>まっつん</t>
  </si>
  <si>
    <t>まっつん</t>
    <phoneticPr fontId="1"/>
  </si>
  <si>
    <t>のり</t>
    <phoneticPr fontId="1"/>
  </si>
  <si>
    <t>N</t>
  </si>
  <si>
    <t>T</t>
  </si>
  <si>
    <t>流局</t>
    <phoneticPr fontId="1"/>
  </si>
  <si>
    <t>チョンボ</t>
  </si>
  <si>
    <t>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</si>
</sst>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3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192</v>
      </c>
      <c r="G1" s="72"/>
      <c r="H1" s="72"/>
      <c r="I1" s="73"/>
      <c r="J1" s="74"/>
      <c r="K1" s="71" t="s">
        <v>194</v>
      </c>
      <c r="L1" s="72"/>
      <c r="M1" s="72"/>
      <c r="N1" s="73"/>
      <c r="O1" s="74"/>
      <c r="P1" s="71" t="s">
        <v>196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だいち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れんたろう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のり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だいち</v>
      </c>
      <c r="V2" s="64" t="str">
        <f>$K$1</f>
        <v>れんたろう</v>
      </c>
      <c r="W2" s="16" t="str">
        <f>$P$1</f>
        <v>のり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195</v>
      </c>
      <c r="F4" s="8" t="s">
        <v>197</v>
      </c>
      <c r="G4" s="9">
        <v>8000</v>
      </c>
      <c r="H4" s="9"/>
      <c r="I4" s="48">
        <v>0</v>
      </c>
      <c r="J4" s="21">
        <f>IF(COUNTA($F4,$K4,$P4)&gt;0,J3+SUM(G4:I4),"")</f>
        <v>43000</v>
      </c>
      <c r="K4" s="8"/>
      <c r="L4" s="9"/>
      <c r="M4" s="9"/>
      <c r="N4" s="48"/>
      <c r="O4" s="21">
        <f>IF(COUNTA($F4,$K4,$P4)&gt;0,O3+SUM(L4:N4),"")</f>
        <v>35000</v>
      </c>
      <c r="P4" s="8" t="s">
        <v>198</v>
      </c>
      <c r="Q4" s="9">
        <v>-8000</v>
      </c>
      <c r="R4" s="9"/>
      <c r="S4" s="48">
        <v>0</v>
      </c>
      <c r="T4" s="21">
        <f>IF(COUNTA($F4,$K4,$P4)&gt;0,T3+SUM(Q4:S4),"")</f>
        <v>27000</v>
      </c>
      <c r="U4" s="53">
        <f>IF($J4="","",ROUND(($J4-$J$3)/1000,1)+(_xlfn.RANK.AVG($J4,($J4,$O4,$T4),1)-2)*10)</f>
        <v>18</v>
      </c>
      <c r="V4" s="54">
        <f>IF($O4="","",ROUND(($O4-$O$3)/1000,1)+(_xlfn.RANK.AVG($O4,($J4,$O4,$T4),1)-2)*10)</f>
        <v>0</v>
      </c>
      <c r="W4" s="55">
        <f>IF($T4="","",ROUND(($T4-$T$3)/1000,1)+(_xlfn.RANK.AVG($T4,($J4,$O4,$T4),1)-2)*10)</f>
        <v>-18</v>
      </c>
      <c r="Y4" s="8"/>
      <c r="Z4" s="34"/>
      <c r="AA4" s="26">
        <v>1</v>
      </c>
      <c r="AB4" s="26"/>
      <c r="AC4" s="26">
        <v>5</v>
      </c>
      <c r="AD4" s="30" t="s">
        <v>199</v>
      </c>
      <c r="AE4" s="40" t="s">
        <v>200</v>
      </c>
      <c r="AF4" s="41" t="s">
        <v>83</v>
      </c>
      <c r="AG4" s="41" t="s">
        <v>201</v>
      </c>
      <c r="AH4" s="41" t="s">
        <v>80</v>
      </c>
      <c r="AI4" s="41" t="s">
        <v>79</v>
      </c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191</v>
      </c>
      <c r="F5" s="8" t="s">
        <v>202</v>
      </c>
      <c r="G5" s="9">
        <v>-2500</v>
      </c>
      <c r="H5" s="9"/>
      <c r="I5" s="48">
        <v>0</v>
      </c>
      <c r="J5" s="21">
        <f t="shared" ref="J5:J30" si="2">IF(COUNTA($F5,$K5,$P5)&gt;0,J4+SUM(G5:I5),"")</f>
        <v>40500</v>
      </c>
      <c r="K5" s="8" t="s">
        <v>203</v>
      </c>
      <c r="L5" s="9">
        <v>4000</v>
      </c>
      <c r="M5" s="9"/>
      <c r="N5" s="48">
        <v>0</v>
      </c>
      <c r="O5" s="21">
        <f t="shared" ref="O5:O30" si="3">IF(COUNTA($F5,$K5,$P5)&gt;0,O4+SUM(L5:N5),"")</f>
        <v>39000</v>
      </c>
      <c r="P5" s="8" t="s">
        <v>202</v>
      </c>
      <c r="Q5" s="9">
        <v>-1500</v>
      </c>
      <c r="R5" s="9"/>
      <c r="S5" s="48">
        <v>0</v>
      </c>
      <c r="T5" s="21">
        <f t="shared" ref="T5:T30" si="4">IF(COUNTA($F5,$K5,$P5)&gt;0,T4+SUM(Q5:S5),"")</f>
        <v>25500</v>
      </c>
      <c r="U5" s="53">
        <f>IF($J5="","",ROUND(($J5-$J$3)/1000,1)+(_xlfn.RANK.AVG($J5,($J5,$O5,$T5),1)-2)*10)</f>
        <v>15.5</v>
      </c>
      <c r="V5" s="54">
        <f>IF($O5="","",ROUND(($O5-$O$3)/1000,1)+(_xlfn.RANK.AVG($O5,($J5,$O5,$T5),1)-2)*10)</f>
        <v>4</v>
      </c>
      <c r="W5" s="55">
        <f>IF($T5="","",ROUND(($T5-$T$3)/1000,1)+(_xlfn.RANK.AVG($T5,($J5,$O5,$T5),1)-2)*10)</f>
        <v>-19.5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3</v>
      </c>
      <c r="AY5" s="30">
        <v>30</v>
      </c>
      <c r="AZ5" s="40" t="s">
        <v>200</v>
      </c>
      <c r="BA5" s="41" t="s">
        <v>82</v>
      </c>
      <c r="BB5" s="41" t="s">
        <v>79</v>
      </c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193</v>
      </c>
      <c r="F6" s="8" t="s">
        <v>202</v>
      </c>
      <c r="G6" s="9">
        <v>-800</v>
      </c>
      <c r="H6" s="9"/>
      <c r="I6" s="48">
        <v>0</v>
      </c>
      <c r="J6" s="21">
        <f t="shared" si="2"/>
        <v>39700</v>
      </c>
      <c r="K6" s="8" t="s">
        <v>202</v>
      </c>
      <c r="L6" s="9">
        <v>-1300</v>
      </c>
      <c r="M6" s="9"/>
      <c r="N6" s="48">
        <v>0</v>
      </c>
      <c r="O6" s="21">
        <f t="shared" si="3"/>
        <v>37700</v>
      </c>
      <c r="P6" s="8" t="s">
        <v>203</v>
      </c>
      <c r="Q6" s="9">
        <v>2100</v>
      </c>
      <c r="R6" s="9"/>
      <c r="S6" s="48">
        <v>0</v>
      </c>
      <c r="T6" s="21">
        <f t="shared" si="4"/>
        <v>27600</v>
      </c>
      <c r="U6" s="53">
        <f>IF($J6="","",ROUND(($J6-$J$3)/1000,1)+(_xlfn.RANK.AVG($J6,($J6,$O6,$T6),1)-2)*10)</f>
        <v>14.7</v>
      </c>
      <c r="V6" s="54">
        <f>IF($O6="","",ROUND(($O6-$O$3)/1000,1)+(_xlfn.RANK.AVG($O6,($J6,$O6,$T6),1)-2)*10)</f>
        <v>2.7</v>
      </c>
      <c r="W6" s="55">
        <f>IF($T6="","",ROUND(($T6-$T$3)/1000,1)+(_xlfn.RANK.AVG($T6,($J6,$O6,$T6),1)-2)*10)</f>
        <v>-17.399999999999999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>
        <v>2</v>
      </c>
      <c r="BT6" s="30">
        <v>30</v>
      </c>
      <c r="BU6" s="40" t="s">
        <v>82</v>
      </c>
      <c r="BV6" s="41" t="s">
        <v>86</v>
      </c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195</v>
      </c>
      <c r="F7" s="8" t="s">
        <v>202</v>
      </c>
      <c r="G7" s="9">
        <v>-4500</v>
      </c>
      <c r="H7" s="9"/>
      <c r="I7" s="48">
        <v>0</v>
      </c>
      <c r="J7" s="21">
        <f t="shared" si="2"/>
        <v>35200</v>
      </c>
      <c r="K7" s="8" t="s">
        <v>203</v>
      </c>
      <c r="L7" s="9">
        <v>12000</v>
      </c>
      <c r="M7" s="9"/>
      <c r="N7" s="48">
        <v>0</v>
      </c>
      <c r="O7" s="21">
        <f t="shared" si="3"/>
        <v>49700</v>
      </c>
      <c r="P7" s="8" t="s">
        <v>202</v>
      </c>
      <c r="Q7" s="9">
        <v>-7500</v>
      </c>
      <c r="R7" s="9"/>
      <c r="S7" s="48">
        <v>0</v>
      </c>
      <c r="T7" s="21">
        <f t="shared" si="4"/>
        <v>20100</v>
      </c>
      <c r="U7" s="53">
        <f>IF($J7="","",ROUND(($J7-$J$3)/1000,1)+(_xlfn.RANK.AVG($J7,($J7,$O7,$T7),1)-2)*10)</f>
        <v>0.2</v>
      </c>
      <c r="V7" s="54">
        <f>IF($O7="","",ROUND(($O7-$O$3)/1000,1)+(_xlfn.RANK.AVG($O7,($J7,$O7,$T7),1)-2)*10)</f>
        <v>24.7</v>
      </c>
      <c r="W7" s="55">
        <f>IF($T7="","",ROUND(($T7-$T$3)/1000,1)+(_xlfn.RANK.AVG($T7,($J7,$O7,$T7),1)-2)*10)</f>
        <v>-24.9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6</v>
      </c>
      <c r="AY7" s="30" t="s">
        <v>199</v>
      </c>
      <c r="AZ7" s="40" t="s">
        <v>200</v>
      </c>
      <c r="BA7" s="41" t="s">
        <v>82</v>
      </c>
      <c r="BB7" s="41" t="s">
        <v>83</v>
      </c>
      <c r="BC7" s="41" t="s">
        <v>79</v>
      </c>
      <c r="BD7" s="41" t="s">
        <v>80</v>
      </c>
      <c r="BE7" s="41" t="s">
        <v>201</v>
      </c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191</v>
      </c>
      <c r="F8" s="8" t="s">
        <v>197</v>
      </c>
      <c r="G8" s="9">
        <v>3900</v>
      </c>
      <c r="H8" s="9"/>
      <c r="I8" s="48">
        <v>0</v>
      </c>
      <c r="J8" s="21">
        <f t="shared" si="2"/>
        <v>39100</v>
      </c>
      <c r="K8" s="8"/>
      <c r="L8" s="9"/>
      <c r="M8" s="9"/>
      <c r="N8" s="48"/>
      <c r="O8" s="21">
        <f t="shared" si="3"/>
        <v>49700</v>
      </c>
      <c r="P8" s="8" t="s">
        <v>198</v>
      </c>
      <c r="Q8" s="9">
        <v>-3900</v>
      </c>
      <c r="R8" s="9"/>
      <c r="S8" s="48">
        <v>0</v>
      </c>
      <c r="T8" s="21">
        <f t="shared" si="4"/>
        <v>16200</v>
      </c>
      <c r="U8" s="53">
        <f>IF($J8="","",ROUND(($J8-$J$3)/1000,1)+(_xlfn.RANK.AVG($J8,($J8,$O8,$T8),1)-2)*10)</f>
        <v>4.0999999999999996</v>
      </c>
      <c r="V8" s="54">
        <f>IF($O8="","",ROUND(($O8-$O$3)/1000,1)+(_xlfn.RANK.AVG($O8,($J8,$O8,$T8),1)-2)*10)</f>
        <v>24.7</v>
      </c>
      <c r="W8" s="55">
        <f>IF($T8="","",ROUND(($T8-$T$3)/1000,1)+(_xlfn.RANK.AVG($T8,($J8,$O8,$T8),1)-2)*10)</f>
        <v>-28.8</v>
      </c>
      <c r="Y8" s="8"/>
      <c r="Z8" s="34"/>
      <c r="AA8" s="26">
        <v>1</v>
      </c>
      <c r="AB8" s="26"/>
      <c r="AC8" s="26">
        <v>2</v>
      </c>
      <c r="AD8" s="30">
        <v>40</v>
      </c>
      <c r="AE8" s="40" t="s">
        <v>200</v>
      </c>
      <c r="AF8" s="41" t="s">
        <v>79</v>
      </c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1</v>
      </c>
      <c r="D9" s="18">
        <f t="shared" si="1"/>
        <v>0</v>
      </c>
      <c r="E9" s="4" t="s">
        <v>191</v>
      </c>
      <c r="F9" s="8" t="s">
        <v>197</v>
      </c>
      <c r="G9" s="9">
        <v>18000</v>
      </c>
      <c r="H9" s="9">
        <v>1000</v>
      </c>
      <c r="I9" s="48">
        <v>1000</v>
      </c>
      <c r="J9" s="21">
        <f t="shared" si="2"/>
        <v>59100</v>
      </c>
      <c r="K9" s="8"/>
      <c r="L9" s="9"/>
      <c r="M9" s="9">
        <v>-1000</v>
      </c>
      <c r="N9" s="48"/>
      <c r="O9" s="21">
        <f t="shared" si="3"/>
        <v>48700</v>
      </c>
      <c r="P9" s="8" t="s">
        <v>198</v>
      </c>
      <c r="Q9" s="9">
        <v>-18000</v>
      </c>
      <c r="R9" s="9"/>
      <c r="S9" s="48">
        <v>-1000</v>
      </c>
      <c r="T9" s="21">
        <f t="shared" si="4"/>
        <v>-2800</v>
      </c>
      <c r="U9" s="53">
        <f>IF($J9="","",ROUND(($J9-$J$3)/1000,1)+(_xlfn.RANK.AVG($J9,($J9,$O9,$T9),1)-2)*10)</f>
        <v>34.1</v>
      </c>
      <c r="V9" s="54">
        <f>IF($O9="","",ROUND(($O9-$O$3)/1000,1)+(_xlfn.RANK.AVG($O9,($J9,$O9,$T9),1)-2)*10)</f>
        <v>13.7</v>
      </c>
      <c r="W9" s="55">
        <f>IF($T9="","",ROUND(($T9-$T$3)/1000,1)+(_xlfn.RANK.AVG($T9,($J9,$O9,$T9),1)-2)*10)</f>
        <v>-47.8</v>
      </c>
      <c r="Y9" s="8"/>
      <c r="Z9" s="34"/>
      <c r="AA9" s="26">
        <v>1</v>
      </c>
      <c r="AB9" s="26"/>
      <c r="AC9" s="26">
        <v>6</v>
      </c>
      <c r="AD9" s="30" t="s">
        <v>199</v>
      </c>
      <c r="AE9" s="40" t="s">
        <v>200</v>
      </c>
      <c r="AF9" s="41" t="s">
        <v>80</v>
      </c>
      <c r="AG9" s="41" t="s">
        <v>80</v>
      </c>
      <c r="AH9" s="41" t="s">
        <v>80</v>
      </c>
      <c r="AI9" s="41" t="s">
        <v>80</v>
      </c>
      <c r="AJ9" s="41" t="s">
        <v>80</v>
      </c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29" priority="5">
      <formula>IF(G4&lt;&gt;"",SUM($G4:$I4,$L4:$N4,$Q4:$S4)-$D4*1000+$D5*1000)</formula>
    </cfRule>
  </conditionalFormatting>
  <conditionalFormatting sqref="F1:G1 I1:L1 S1:T1 N1:Q1">
    <cfRule type="duplicateValues" dxfId="28" priority="4"/>
  </conditionalFormatting>
  <conditionalFormatting sqref="H1">
    <cfRule type="duplicateValues" dxfId="27" priority="3"/>
  </conditionalFormatting>
  <conditionalFormatting sqref="R1">
    <cfRule type="duplicateValues" dxfId="26" priority="2"/>
  </conditionalFormatting>
  <conditionalFormatting sqref="M1">
    <cfRule type="duplicateValues" dxfId="2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4705095B-DB0E-42C0-8064-C7E3D7B54CE6}">
      <formula1>"たかの,だいち,ただ,りくと,れんたろう,まっつん,のり,ぱぱ,ほたに,"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F023A2-AECB-4C96-A972-A3B634DB5F8B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194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205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れんたろう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だいち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まっつん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れんたろう</v>
      </c>
      <c r="V2" s="70" t="str">
        <f>$K$1</f>
        <v>だいち</v>
      </c>
      <c r="W2" s="16" t="str">
        <f>$P$1</f>
        <v>まっつん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204</v>
      </c>
      <c r="F4" s="8" t="s">
        <v>202</v>
      </c>
      <c r="G4" s="9">
        <v>-5800</v>
      </c>
      <c r="H4" s="9">
        <v>-1000</v>
      </c>
      <c r="I4" s="48">
        <v>0</v>
      </c>
      <c r="J4" s="21">
        <f>IF(COUNTA($F4,$K4,$P4)&gt;0,J3+SUM(G4:I4),"")</f>
        <v>28200</v>
      </c>
      <c r="K4" s="8" t="s">
        <v>202</v>
      </c>
      <c r="L4" s="9">
        <v>-5800</v>
      </c>
      <c r="M4" s="9"/>
      <c r="N4" s="48">
        <v>0</v>
      </c>
      <c r="O4" s="21">
        <f>IF(COUNTA($F4,$K4,$P4)&gt;0,O3+SUM(L4:N4),"")</f>
        <v>29200</v>
      </c>
      <c r="P4" s="8" t="s">
        <v>203</v>
      </c>
      <c r="Q4" s="9">
        <v>11600</v>
      </c>
      <c r="R4" s="9">
        <v>1000</v>
      </c>
      <c r="S4" s="48">
        <v>0</v>
      </c>
      <c r="T4" s="21">
        <f>IF(COUNTA($F4,$K4,$P4)&gt;0,T3+SUM(Q4:S4),"")</f>
        <v>47600</v>
      </c>
      <c r="U4" s="53">
        <f>IF($J4="","",ROUND(($J4-$J$3)/1000,1)+(_xlfn.RANK.AVG($J4,($J4,$O4,$T4),1)-2)*10)</f>
        <v>-16.8</v>
      </c>
      <c r="V4" s="54">
        <f>IF($O4="","",ROUND(($O4-$O$3)/1000,1)+(_xlfn.RANK.AVG($O4,($J4,$O4,$T4),1)-2)*10)</f>
        <v>-5.8</v>
      </c>
      <c r="W4" s="55">
        <f>IF($T4="","",ROUND(($T4-$T$3)/1000,1)+(_xlfn.RANK.AVG($T4,($J4,$O4,$T4),1)-2)*10)</f>
        <v>22.6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4</v>
      </c>
      <c r="BT4" s="30">
        <v>30</v>
      </c>
      <c r="BU4" s="40" t="s">
        <v>200</v>
      </c>
      <c r="BV4" s="41" t="s">
        <v>82</v>
      </c>
      <c r="BW4" s="41" t="s">
        <v>84</v>
      </c>
      <c r="BX4" s="41" t="s">
        <v>79</v>
      </c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204</v>
      </c>
      <c r="F5" s="8"/>
      <c r="G5" s="9"/>
      <c r="H5" s="9"/>
      <c r="I5" s="48"/>
      <c r="J5" s="21">
        <f t="shared" ref="J5:J30" si="2">IF(COUNTA($F5,$K5,$P5)&gt;0,J4+SUM(G5:I5),"")</f>
        <v>28200</v>
      </c>
      <c r="K5" s="8" t="s">
        <v>198</v>
      </c>
      <c r="L5" s="9">
        <v>-11600</v>
      </c>
      <c r="M5" s="9"/>
      <c r="N5" s="48">
        <v>-1000</v>
      </c>
      <c r="O5" s="21">
        <f t="shared" ref="O5:O30" si="3">IF(COUNTA($F5,$K5,$P5)&gt;0,O4+SUM(L5:N5),"")</f>
        <v>16600</v>
      </c>
      <c r="P5" s="8" t="s">
        <v>197</v>
      </c>
      <c r="Q5" s="9">
        <v>11600</v>
      </c>
      <c r="R5" s="9"/>
      <c r="S5" s="48">
        <v>1000</v>
      </c>
      <c r="T5" s="21">
        <f t="shared" ref="T5:T30" si="4">IF(COUNTA($F5,$K5,$P5)&gt;0,T4+SUM(Q5:S5),"")</f>
        <v>60200</v>
      </c>
      <c r="U5" s="53">
        <f>IF($J5="","",ROUND(($J5-$J$3)/1000,1)+(_xlfn.RANK.AVG($J5,($J5,$O5,$T5),1)-2)*10)</f>
        <v>-6.8</v>
      </c>
      <c r="V5" s="54">
        <f>IF($O5="","",ROUND(($O5-$O$3)/1000,1)+(_xlfn.RANK.AVG($O5,($J5,$O5,$T5),1)-2)*10)</f>
        <v>-28.4</v>
      </c>
      <c r="W5" s="55">
        <f>IF($T5="","",ROUND(($T5-$T$3)/1000,1)+(_xlfn.RANK.AVG($T5,($J5,$O5,$T5),1)-2)*10)</f>
        <v>35.200000000000003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>
        <v>4</v>
      </c>
      <c r="BT5" s="30">
        <v>30</v>
      </c>
      <c r="BU5" s="40" t="s">
        <v>86</v>
      </c>
      <c r="BV5" s="41" t="s">
        <v>86</v>
      </c>
      <c r="BW5" s="41" t="s">
        <v>104</v>
      </c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204</v>
      </c>
      <c r="F6" s="8" t="s">
        <v>202</v>
      </c>
      <c r="G6" s="9">
        <v>-4500</v>
      </c>
      <c r="H6" s="9"/>
      <c r="I6" s="48">
        <v>-1000</v>
      </c>
      <c r="J6" s="21">
        <f t="shared" si="2"/>
        <v>22700</v>
      </c>
      <c r="K6" s="8" t="s">
        <v>203</v>
      </c>
      <c r="L6" s="9">
        <v>12000</v>
      </c>
      <c r="M6" s="9"/>
      <c r="N6" s="48">
        <v>2000</v>
      </c>
      <c r="O6" s="21">
        <f t="shared" si="3"/>
        <v>30600</v>
      </c>
      <c r="P6" s="8" t="s">
        <v>202</v>
      </c>
      <c r="Q6" s="9">
        <v>-7500</v>
      </c>
      <c r="R6" s="9"/>
      <c r="S6" s="48">
        <v>-1000</v>
      </c>
      <c r="T6" s="21">
        <f t="shared" si="4"/>
        <v>51700</v>
      </c>
      <c r="U6" s="53">
        <f>IF($J6="","",ROUND(($J6-$J$3)/1000,1)+(_xlfn.RANK.AVG($J6,($J6,$O6,$T6),1)-2)*10)</f>
        <v>-22.3</v>
      </c>
      <c r="V6" s="54">
        <f>IF($O6="","",ROUND(($O6-$O$3)/1000,1)+(_xlfn.RANK.AVG($O6,($J6,$O6,$T6),1)-2)*10)</f>
        <v>-4.4000000000000004</v>
      </c>
      <c r="W6" s="55">
        <f>IF($T6="","",ROUND(($T6-$T$3)/1000,1)+(_xlfn.RANK.AVG($T6,($J6,$O6,$T6),1)-2)*10)</f>
        <v>26.7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7</v>
      </c>
      <c r="AY6" s="30" t="s">
        <v>199</v>
      </c>
      <c r="AZ6" s="40" t="s">
        <v>200</v>
      </c>
      <c r="BA6" s="41" t="s">
        <v>82</v>
      </c>
      <c r="BB6" s="41" t="s">
        <v>83</v>
      </c>
      <c r="BC6" s="41" t="s">
        <v>85</v>
      </c>
      <c r="BD6" s="41" t="s">
        <v>201</v>
      </c>
      <c r="BE6" s="41" t="s">
        <v>80</v>
      </c>
      <c r="BF6" s="41" t="s">
        <v>80</v>
      </c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0</v>
      </c>
      <c r="D7" s="18">
        <f t="shared" si="1"/>
        <v>0</v>
      </c>
      <c r="E7" s="4" t="s">
        <v>193</v>
      </c>
      <c r="F7" s="8" t="s">
        <v>198</v>
      </c>
      <c r="G7" s="9">
        <v>-8000</v>
      </c>
      <c r="H7" s="9">
        <v>-1000</v>
      </c>
      <c r="I7" s="48">
        <v>0</v>
      </c>
      <c r="J7" s="21">
        <f t="shared" si="2"/>
        <v>13700</v>
      </c>
      <c r="K7" s="8" t="s">
        <v>197</v>
      </c>
      <c r="L7" s="9">
        <v>8000</v>
      </c>
      <c r="M7" s="9">
        <v>1000</v>
      </c>
      <c r="N7" s="48">
        <v>0</v>
      </c>
      <c r="O7" s="21">
        <f t="shared" si="3"/>
        <v>39600</v>
      </c>
      <c r="P7" s="8"/>
      <c r="Q7" s="9"/>
      <c r="R7" s="9"/>
      <c r="S7" s="48"/>
      <c r="T7" s="21">
        <f t="shared" si="4"/>
        <v>51700</v>
      </c>
      <c r="U7" s="53">
        <f>IF($J7="","",ROUND(($J7-$J$3)/1000,1)+(_xlfn.RANK.AVG($J7,($J7,$O7,$T7),1)-2)*10)</f>
        <v>-31.3</v>
      </c>
      <c r="V7" s="54">
        <f>IF($O7="","",ROUND(($O7-$O$3)/1000,1)+(_xlfn.RANK.AVG($O7,($J7,$O7,$T7),1)-2)*10)</f>
        <v>4.5999999999999996</v>
      </c>
      <c r="W7" s="55">
        <f>IF($T7="","",ROUND(($T7-$T$3)/1000,1)+(_xlfn.RANK.AVG($T7,($J7,$O7,$T7),1)-2)*10)</f>
        <v>26.7</v>
      </c>
      <c r="Y7" s="8"/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>
        <v>5</v>
      </c>
      <c r="AY7" s="30" t="s">
        <v>199</v>
      </c>
      <c r="AZ7" s="40" t="s">
        <v>200</v>
      </c>
      <c r="BA7" s="41" t="s">
        <v>84</v>
      </c>
      <c r="BB7" s="41" t="s">
        <v>201</v>
      </c>
      <c r="BC7" s="41" t="s">
        <v>79</v>
      </c>
      <c r="BD7" s="41" t="s">
        <v>79</v>
      </c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">
        <v>191</v>
      </c>
      <c r="F8" s="8" t="s">
        <v>198</v>
      </c>
      <c r="G8" s="9">
        <v>-16000</v>
      </c>
      <c r="H8" s="9"/>
      <c r="I8" s="48">
        <v>0</v>
      </c>
      <c r="J8" s="21">
        <f t="shared" si="2"/>
        <v>-2300</v>
      </c>
      <c r="K8" s="8"/>
      <c r="L8" s="9"/>
      <c r="M8" s="9"/>
      <c r="N8" s="48"/>
      <c r="O8" s="21">
        <f t="shared" si="3"/>
        <v>39600</v>
      </c>
      <c r="P8" s="8" t="s">
        <v>197</v>
      </c>
      <c r="Q8" s="9">
        <v>16000</v>
      </c>
      <c r="R8" s="9"/>
      <c r="S8" s="48">
        <v>0</v>
      </c>
      <c r="T8" s="21">
        <f t="shared" si="4"/>
        <v>67700</v>
      </c>
      <c r="U8" s="53">
        <f>IF($J8="","",ROUND(($J8-$J$3)/1000,1)+(_xlfn.RANK.AVG($J8,($J8,$O8,$T8),1)-2)*10)</f>
        <v>-47.3</v>
      </c>
      <c r="V8" s="54">
        <f>IF($O8="","",ROUND(($O8-$O$3)/1000,1)+(_xlfn.RANK.AVG($O8,($J8,$O8,$T8),1)-2)*10)</f>
        <v>4.5999999999999996</v>
      </c>
      <c r="W8" s="55">
        <f>IF($T8="","",ROUND(($T8-$T$3)/1000,1)+(_xlfn.RANK.AVG($T8,($J8,$O8,$T8),1)-2)*10)</f>
        <v>42.7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>
        <v>8</v>
      </c>
      <c r="BT8" s="30" t="s">
        <v>199</v>
      </c>
      <c r="BU8" s="40" t="s">
        <v>86</v>
      </c>
      <c r="BV8" s="41" t="s">
        <v>86</v>
      </c>
      <c r="BW8" s="41" t="s">
        <v>104</v>
      </c>
      <c r="BX8" s="41" t="s">
        <v>201</v>
      </c>
      <c r="BY8" s="41" t="s">
        <v>79</v>
      </c>
      <c r="BZ8" s="41" t="s">
        <v>79</v>
      </c>
      <c r="CA8" s="41" t="s">
        <v>79</v>
      </c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IF($J9="","",ROUND(($J9-$J$3)/1000,1)+(_xlfn.RANK.AVG($J9,($J9,$O9,$T9),1)-2)*10)</f>
        <v/>
      </c>
      <c r="V9" s="54" t="str">
        <f>IF($O9="","",ROUND(($O9-$O$3)/1000,1)+(_xlfn.RANK.AVG($O9,($J9,$O9,$T9),1)-2)*10)</f>
        <v/>
      </c>
      <c r="W9" s="55" t="str">
        <f>IF($T9="","",ROUND(($T9-$T$3)/1000,1)+(_xlfn.RANK.AVG($T9,($J9,$O9,$T9),1)-2)*10)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24" priority="5">
      <formula>IF(G4&lt;&gt;"",SUM($G4:$I4,$L4:$N4,$Q4:$S4)-$D4*1000+$D5*1000)</formula>
    </cfRule>
  </conditionalFormatting>
  <conditionalFormatting sqref="F1:G1 I1:L1 S1:T1 N1:Q1">
    <cfRule type="duplicateValues" dxfId="23" priority="4"/>
  </conditionalFormatting>
  <conditionalFormatting sqref="H1">
    <cfRule type="duplicateValues" dxfId="22" priority="3"/>
  </conditionalFormatting>
  <conditionalFormatting sqref="R1">
    <cfRule type="duplicateValues" dxfId="21" priority="2"/>
  </conditionalFormatting>
  <conditionalFormatting sqref="M1">
    <cfRule type="duplicateValues" dxfId="20" priority="1"/>
  </conditionalFormatting>
  <dataValidations count="3">
    <dataValidation type="list" allowBlank="1" showInputMessage="1" sqref="F1:T1" xr:uid="{4C00EF33-B7E7-44D5-A5A1-1888FCAB1171}">
      <formula1>"たかの,だいち,ただ,りくと,れんたろう,まっつん,のり,ぱぱ,ほたに,"</formula1>
    </dataValidation>
    <dataValidation type="list" showInputMessage="1" showErrorMessage="1" sqref="K4:K30 P4:P30 F4:F30" xr:uid="{30D16001-C3C1-406E-97B4-7D78717FA15A}">
      <formula1>"ロン,ツモ,放銃,ツモ支払,流局,チョンボ"</formula1>
    </dataValidation>
    <dataValidation type="list" allowBlank="1" showInputMessage="1" showErrorMessage="1" sqref="E4:E30" xr:uid="{4A624D1F-A1FF-4BD2-942A-DF693061A1B5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1EEE49-FE72-4469-9FA2-F69E1533CD84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206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205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のり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だいち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まっつん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のり</v>
      </c>
      <c r="V2" s="70" t="str">
        <f>$K$1</f>
        <v>だいち</v>
      </c>
      <c r="W2" s="16" t="str">
        <f>$P$1</f>
        <v>まっつん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204</v>
      </c>
      <c r="F4" s="8" t="s">
        <v>198</v>
      </c>
      <c r="G4" s="9">
        <v>-8000</v>
      </c>
      <c r="H4" s="9"/>
      <c r="I4" s="48">
        <v>0</v>
      </c>
      <c r="J4" s="21">
        <f>IF(COUNTA($F4,$K4,$P4)&gt;0,J3+SUM(G4:I4),"")</f>
        <v>27000</v>
      </c>
      <c r="K4" s="8" t="s">
        <v>197</v>
      </c>
      <c r="L4" s="9">
        <v>8000</v>
      </c>
      <c r="M4" s="9"/>
      <c r="N4" s="48">
        <v>0</v>
      </c>
      <c r="O4" s="21">
        <f>IF(COUNTA($F4,$K4,$P4)&gt;0,O3+SUM(L4:N4),"")</f>
        <v>43000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IF($J4="","",ROUND(($J4-$J$3)/1000,1)+(_xlfn.RANK.AVG($J4,($J4,$O4,$T4),1)-2)*10)</f>
        <v>-18</v>
      </c>
      <c r="V4" s="54">
        <f>IF($O4="","",ROUND(($O4-$O$3)/1000,1)+(_xlfn.RANK.AVG($O4,($J4,$O4,$T4),1)-2)*10)</f>
        <v>18</v>
      </c>
      <c r="W4" s="55">
        <f>IF($T4="","",ROUND(($T4-$T$3)/1000,1)+(_xlfn.RANK.AVG($T4,($J4,$O4,$T4),1)-2)*10)</f>
        <v>0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>
        <v>5</v>
      </c>
      <c r="AY4" s="30" t="s">
        <v>199</v>
      </c>
      <c r="AZ4" s="40" t="s">
        <v>104</v>
      </c>
      <c r="BA4" s="41" t="s">
        <v>86</v>
      </c>
      <c r="BB4" s="41" t="s">
        <v>79</v>
      </c>
      <c r="BC4" s="41" t="s">
        <v>79</v>
      </c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195</v>
      </c>
      <c r="F5" s="8" t="s">
        <v>197</v>
      </c>
      <c r="G5" s="9">
        <v>12000</v>
      </c>
      <c r="H5" s="9"/>
      <c r="I5" s="48">
        <v>0</v>
      </c>
      <c r="J5" s="21">
        <f t="shared" ref="J5:J30" si="2">IF(COUNTA($F5,$K5,$P5)&gt;0,J4+SUM(G5:I5),"")</f>
        <v>39000</v>
      </c>
      <c r="K5" s="8" t="s">
        <v>198</v>
      </c>
      <c r="L5" s="9">
        <v>-12000</v>
      </c>
      <c r="M5" s="9"/>
      <c r="N5" s="48">
        <v>0</v>
      </c>
      <c r="O5" s="21">
        <f t="shared" ref="O5:O30" si="3">IF(COUNTA($F5,$K5,$P5)&gt;0,O4+SUM(L5:N5),"")</f>
        <v>31000</v>
      </c>
      <c r="P5" s="8"/>
      <c r="Q5" s="9"/>
      <c r="R5" s="9"/>
      <c r="S5" s="48"/>
      <c r="T5" s="21">
        <f t="shared" ref="T5:T30" si="4">IF(COUNTA($F5,$K5,$P5)&gt;0,T4+SUM(Q5:S5),"")</f>
        <v>35000</v>
      </c>
      <c r="U5" s="53">
        <f>IF($J5="","",ROUND(($J5-$J$3)/1000,1)+(_xlfn.RANK.AVG($J5,($J5,$O5,$T5),1)-2)*10)</f>
        <v>14</v>
      </c>
      <c r="V5" s="54">
        <f>IF($O5="","",ROUND(($O5-$O$3)/1000,1)+(_xlfn.RANK.AVG($O5,($J5,$O5,$T5),1)-2)*10)</f>
        <v>-14</v>
      </c>
      <c r="W5" s="55">
        <f>IF($T5="","",ROUND(($T5-$T$3)/1000,1)+(_xlfn.RANK.AVG($T5,($J5,$O5,$T5),1)-2)*10)</f>
        <v>0</v>
      </c>
      <c r="Y5" s="8"/>
      <c r="Z5" s="34"/>
      <c r="AA5" s="26">
        <v>1</v>
      </c>
      <c r="AB5" s="26"/>
      <c r="AC5" s="26">
        <v>4</v>
      </c>
      <c r="AD5" s="30">
        <v>40</v>
      </c>
      <c r="AE5" s="40" t="s">
        <v>200</v>
      </c>
      <c r="AF5" s="41" t="s">
        <v>79</v>
      </c>
      <c r="AG5" s="41" t="s">
        <v>80</v>
      </c>
      <c r="AH5" s="41" t="s">
        <v>80</v>
      </c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195</v>
      </c>
      <c r="F6" s="8" t="s">
        <v>198</v>
      </c>
      <c r="G6" s="9">
        <v>-8000</v>
      </c>
      <c r="H6" s="9"/>
      <c r="I6" s="48">
        <v>-1000</v>
      </c>
      <c r="J6" s="21">
        <f t="shared" si="2"/>
        <v>30000</v>
      </c>
      <c r="K6" s="8" t="s">
        <v>197</v>
      </c>
      <c r="L6" s="9">
        <v>8000</v>
      </c>
      <c r="M6" s="9"/>
      <c r="N6" s="48">
        <v>1000</v>
      </c>
      <c r="O6" s="21">
        <f t="shared" si="3"/>
        <v>40000</v>
      </c>
      <c r="P6" s="8"/>
      <c r="Q6" s="9"/>
      <c r="R6" s="9"/>
      <c r="S6" s="48"/>
      <c r="T6" s="21">
        <f t="shared" si="4"/>
        <v>35000</v>
      </c>
      <c r="U6" s="53">
        <f>IF($J6="","",ROUND(($J6-$J$3)/1000,1)+(_xlfn.RANK.AVG($J6,($J6,$O6,$T6),1)-2)*10)</f>
        <v>-15</v>
      </c>
      <c r="V6" s="54">
        <f>IF($O6="","",ROUND(($O6-$O$3)/1000,1)+(_xlfn.RANK.AVG($O6,($J6,$O6,$T6),1)-2)*10)</f>
        <v>15</v>
      </c>
      <c r="W6" s="55">
        <f>IF($T6="","",ROUND(($T6-$T$3)/1000,1)+(_xlfn.RANK.AVG($T6,($J6,$O6,$T6),1)-2)*10)</f>
        <v>0</v>
      </c>
      <c r="Y6" s="8"/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>
        <v>4</v>
      </c>
      <c r="AY6" s="30">
        <v>40</v>
      </c>
      <c r="AZ6" s="40" t="s">
        <v>86</v>
      </c>
      <c r="BA6" s="41" t="s">
        <v>79</v>
      </c>
      <c r="BB6" s="41" t="s">
        <v>79</v>
      </c>
      <c r="BC6" s="41" t="s">
        <v>79</v>
      </c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191</v>
      </c>
      <c r="F7" s="8" t="s">
        <v>209</v>
      </c>
      <c r="G7" s="9">
        <v>-3000</v>
      </c>
      <c r="H7" s="9"/>
      <c r="I7" s="48"/>
      <c r="J7" s="21">
        <f t="shared" si="2"/>
        <v>27000</v>
      </c>
      <c r="K7" s="8" t="s">
        <v>209</v>
      </c>
      <c r="L7" s="9">
        <v>1500</v>
      </c>
      <c r="M7" s="9"/>
      <c r="N7" s="48"/>
      <c r="O7" s="21">
        <f t="shared" si="3"/>
        <v>41500</v>
      </c>
      <c r="P7" s="8" t="s">
        <v>209</v>
      </c>
      <c r="Q7" s="9">
        <v>1500</v>
      </c>
      <c r="R7" s="9"/>
      <c r="S7" s="48"/>
      <c r="T7" s="21">
        <f t="shared" si="4"/>
        <v>36500</v>
      </c>
      <c r="U7" s="53">
        <f>IF($J7="","",ROUND(($J7-$J$3)/1000,1)+(_xlfn.RANK.AVG($J7,($J7,$O7,$T7),1)-2)*10)</f>
        <v>-18</v>
      </c>
      <c r="V7" s="54">
        <f>IF($O7="","",ROUND(($O7-$O$3)/1000,1)+(_xlfn.RANK.AVG($O7,($J7,$O7,$T7),1)-2)*10)</f>
        <v>16.5</v>
      </c>
      <c r="W7" s="55">
        <f>IF($T7="","",ROUND(($T7-$T$3)/1000,1)+(_xlfn.RANK.AVG($T7,($J7,$O7,$T7),1)-2)*10)</f>
        <v>1.5</v>
      </c>
      <c r="Y7" s="8" t="s">
        <v>207</v>
      </c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208</v>
      </c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208</v>
      </c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1</v>
      </c>
      <c r="D8" s="18">
        <f t="shared" si="1"/>
        <v>0</v>
      </c>
      <c r="E8" s="4" t="s">
        <v>191</v>
      </c>
      <c r="F8" s="8" t="s">
        <v>197</v>
      </c>
      <c r="G8" s="9">
        <v>2600</v>
      </c>
      <c r="H8" s="9"/>
      <c r="I8" s="48">
        <v>1000</v>
      </c>
      <c r="J8" s="21">
        <f t="shared" si="2"/>
        <v>30600</v>
      </c>
      <c r="K8" s="8" t="s">
        <v>198</v>
      </c>
      <c r="L8" s="9">
        <v>-2600</v>
      </c>
      <c r="M8" s="9"/>
      <c r="N8" s="48">
        <v>-1000</v>
      </c>
      <c r="O8" s="21">
        <f t="shared" si="3"/>
        <v>37900</v>
      </c>
      <c r="P8" s="8"/>
      <c r="Q8" s="9"/>
      <c r="R8" s="9"/>
      <c r="S8" s="48"/>
      <c r="T8" s="21">
        <f t="shared" si="4"/>
        <v>36500</v>
      </c>
      <c r="U8" s="53">
        <f>IF($J8="","",ROUND(($J8-$J$3)/1000,1)+(_xlfn.RANK.AVG($J8,($J8,$O8,$T8),1)-2)*10)</f>
        <v>-14.4</v>
      </c>
      <c r="V8" s="54">
        <f>IF($O8="","",ROUND(($O8-$O$3)/1000,1)+(_xlfn.RANK.AVG($O8,($J8,$O8,$T8),1)-2)*10)</f>
        <v>12.9</v>
      </c>
      <c r="W8" s="55">
        <f>IF($T8="","",ROUND(($T8-$T$3)/1000,1)+(_xlfn.RANK.AVG($T8,($J8,$O8,$T8),1)-2)*10)</f>
        <v>1.5</v>
      </c>
      <c r="Y8" s="8"/>
      <c r="Z8" s="34"/>
      <c r="AA8" s="26"/>
      <c r="AB8" s="26"/>
      <c r="AC8" s="26">
        <v>2</v>
      </c>
      <c r="AD8" s="30">
        <v>40</v>
      </c>
      <c r="AE8" s="40" t="s">
        <v>85</v>
      </c>
      <c r="AF8" s="41" t="s">
        <v>201</v>
      </c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204</v>
      </c>
      <c r="F9" s="8" t="s">
        <v>210</v>
      </c>
      <c r="G9" s="9">
        <v>-8000</v>
      </c>
      <c r="H9" s="9"/>
      <c r="I9" s="48"/>
      <c r="J9" s="21">
        <f t="shared" si="2"/>
        <v>22600</v>
      </c>
      <c r="K9" s="8" t="s">
        <v>210</v>
      </c>
      <c r="L9" s="9">
        <v>3000</v>
      </c>
      <c r="M9" s="9"/>
      <c r="N9" s="48"/>
      <c r="O9" s="21">
        <f t="shared" si="3"/>
        <v>40900</v>
      </c>
      <c r="P9" s="8" t="s">
        <v>210</v>
      </c>
      <c r="Q9" s="9">
        <v>5000</v>
      </c>
      <c r="R9" s="9"/>
      <c r="S9" s="48"/>
      <c r="T9" s="21">
        <f t="shared" si="4"/>
        <v>41500</v>
      </c>
      <c r="U9" s="53">
        <f>IF($J9="","",ROUND(($J9-$J$3)/1000,1)+(_xlfn.RANK.AVG($J9,($J9,$O9,$T9),1)-2)*10)</f>
        <v>-22.4</v>
      </c>
      <c r="V9" s="54">
        <f>IF($O9="","",ROUND(($O9-$O$3)/1000,1)+(_xlfn.RANK.AVG($O9,($J9,$O9,$T9),1)-2)*10)</f>
        <v>5.9</v>
      </c>
      <c r="W9" s="55">
        <f>IF($T9="","",ROUND(($T9-$T$3)/1000,1)+(_xlfn.RANK.AVG($T9,($J9,$O9,$T9),1)-2)*10)</f>
        <v>16.5</v>
      </c>
      <c r="Y9" s="8"/>
      <c r="Z9" s="34">
        <v>1</v>
      </c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">
        <v>204</v>
      </c>
      <c r="F10" s="8" t="s">
        <v>202</v>
      </c>
      <c r="G10" s="9">
        <v>-2000</v>
      </c>
      <c r="H10" s="9"/>
      <c r="I10" s="48">
        <v>0</v>
      </c>
      <c r="J10" s="21">
        <f t="shared" si="2"/>
        <v>20600</v>
      </c>
      <c r="K10" s="8" t="s">
        <v>203</v>
      </c>
      <c r="L10" s="9">
        <v>5300</v>
      </c>
      <c r="M10" s="9"/>
      <c r="N10" s="48">
        <v>0</v>
      </c>
      <c r="O10" s="21">
        <f t="shared" si="3"/>
        <v>46200</v>
      </c>
      <c r="P10" s="8" t="s">
        <v>202</v>
      </c>
      <c r="Q10" s="9">
        <v>-3300</v>
      </c>
      <c r="R10" s="9"/>
      <c r="S10" s="48">
        <v>0</v>
      </c>
      <c r="T10" s="21">
        <f t="shared" si="4"/>
        <v>38200</v>
      </c>
      <c r="U10" s="53">
        <f>IF($J10="","",ROUND(($J10-$J$3)/1000,1)+(_xlfn.RANK.AVG($J10,($J10,$O10,$T10),1)-2)*10)</f>
        <v>-24.4</v>
      </c>
      <c r="V10" s="54">
        <f>IF($O10="","",ROUND(($O10-$O$3)/1000,1)+(_xlfn.RANK.AVG($O10,($J10,$O10,$T10),1)-2)*10)</f>
        <v>21.2</v>
      </c>
      <c r="W10" s="55">
        <f>IF($T10="","",ROUND(($T10-$T$3)/1000,1)+(_xlfn.RANK.AVG($T10,($J10,$O10,$T10),1)-2)*10)</f>
        <v>3.2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>
        <v>3</v>
      </c>
      <c r="AY10" s="30">
        <v>40</v>
      </c>
      <c r="AZ10" s="40" t="s">
        <v>200</v>
      </c>
      <c r="BA10" s="41" t="s">
        <v>82</v>
      </c>
      <c r="BB10" s="41" t="s">
        <v>211</v>
      </c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">
        <v>195</v>
      </c>
      <c r="F11" s="8" t="s">
        <v>198</v>
      </c>
      <c r="G11" s="9">
        <v>-6400</v>
      </c>
      <c r="H11" s="9"/>
      <c r="I11" s="48">
        <v>0</v>
      </c>
      <c r="J11" s="21">
        <f t="shared" si="2"/>
        <v>14200</v>
      </c>
      <c r="K11" s="8" t="s">
        <v>197</v>
      </c>
      <c r="L11" s="9">
        <v>6400</v>
      </c>
      <c r="M11" s="9"/>
      <c r="N11" s="48">
        <v>0</v>
      </c>
      <c r="O11" s="21">
        <f t="shared" si="3"/>
        <v>52600</v>
      </c>
      <c r="P11" s="8"/>
      <c r="Q11" s="9"/>
      <c r="R11" s="9"/>
      <c r="S11" s="48"/>
      <c r="T11" s="21">
        <f t="shared" si="4"/>
        <v>38200</v>
      </c>
      <c r="U11" s="53">
        <f>IF($J11="","",ROUND(($J11-$J$3)/1000,1)+(_xlfn.RANK.AVG($J11,($J11,$O11,$T11),1)-2)*10)</f>
        <v>-30.8</v>
      </c>
      <c r="V11" s="54">
        <f>IF($O11="","",ROUND(($O11-$O$3)/1000,1)+(_xlfn.RANK.AVG($O11,($J11,$O11,$T11),1)-2)*10)</f>
        <v>27.6</v>
      </c>
      <c r="W11" s="55">
        <f>IF($T11="","",ROUND(($T11-$T$3)/1000,1)+(_xlfn.RANK.AVG($T11,($J11,$O11,$T11),1)-2)*10)</f>
        <v>3.2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>
        <v>4</v>
      </c>
      <c r="AY11" s="30">
        <v>25</v>
      </c>
      <c r="AZ11" s="40" t="s">
        <v>101</v>
      </c>
      <c r="BA11" s="41" t="s">
        <v>79</v>
      </c>
      <c r="BB11" s="41" t="s">
        <v>79</v>
      </c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">
        <v>191</v>
      </c>
      <c r="F12" s="8" t="s">
        <v>209</v>
      </c>
      <c r="G12" s="9">
        <v>-1500</v>
      </c>
      <c r="H12" s="9"/>
      <c r="I12" s="48"/>
      <c r="J12" s="21">
        <f t="shared" si="2"/>
        <v>12700</v>
      </c>
      <c r="K12" s="8" t="s">
        <v>209</v>
      </c>
      <c r="L12" s="9">
        <v>-1500</v>
      </c>
      <c r="M12" s="9">
        <v>1000</v>
      </c>
      <c r="N12" s="48"/>
      <c r="O12" s="21">
        <f t="shared" si="3"/>
        <v>52100</v>
      </c>
      <c r="P12" s="8" t="s">
        <v>209</v>
      </c>
      <c r="Q12" s="9">
        <v>3000</v>
      </c>
      <c r="R12" s="9">
        <v>-1000</v>
      </c>
      <c r="S12" s="48"/>
      <c r="T12" s="21">
        <f t="shared" si="4"/>
        <v>40200</v>
      </c>
      <c r="U12" s="53">
        <f>IF($J12="","",ROUND(($J12-$J$3)/1000,1)+(_xlfn.RANK.AVG($J12,($J12,$O12,$T12),1)-2)*10)</f>
        <v>-32.299999999999997</v>
      </c>
      <c r="V12" s="54">
        <f>IF($O12="","",ROUND(($O12-$O$3)/1000,1)+(_xlfn.RANK.AVG($O12,($J12,$O12,$T12),1)-2)*10)</f>
        <v>27.1</v>
      </c>
      <c r="W12" s="55">
        <f>IF($T12="","",ROUND(($T12-$T$3)/1000,1)+(_xlfn.RANK.AVG($T12,($J12,$O12,$T12),1)-2)*10)</f>
        <v>5.2</v>
      </c>
      <c r="Y12" s="8" t="s">
        <v>207</v>
      </c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 t="s">
        <v>207</v>
      </c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 t="s">
        <v>208</v>
      </c>
      <c r="BP12" s="34"/>
      <c r="BQ12" s="26">
        <v>1</v>
      </c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3">
    <dataValidation type="list" allowBlank="1" showInputMessage="1" showErrorMessage="1" sqref="E4:E30" xr:uid="{2164DB72-5B41-4484-A4D1-D7C5D96524DE}">
      <formula1>$U$2:$W$2</formula1>
    </dataValidation>
    <dataValidation type="list" showInputMessage="1" showErrorMessage="1" sqref="K4:K30 P4:P30 F4:F30" xr:uid="{2CD14A73-D7CF-4078-BBF9-3880F7F0A961}">
      <formula1>"ロン,ツモ,放銃,ツモ支払,流局,チョンボ"</formula1>
    </dataValidation>
    <dataValidation type="list" allowBlank="1" showInputMessage="1" sqref="F1:T1" xr:uid="{65F74E7E-C851-4E6F-95B5-DBE03C1F57A1}">
      <formula1>"たかの,だいち,ただ,りくと,れんたろう,まっつん,のり,ぱぱ,ほたに,"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B34547-C5C7-4DC6-A70D-9C713FC9208E}">
  <sheetPr codeName="Sheet13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206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205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のり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だいち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まっつん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のり</v>
      </c>
      <c r="V2" s="70" t="str">
        <f>$K$1</f>
        <v>だいち</v>
      </c>
      <c r="W2" s="16" t="str">
        <f>$P$1</f>
        <v>まっつん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204</v>
      </c>
      <c r="F4" s="8"/>
      <c r="G4" s="9"/>
      <c r="H4" s="9"/>
      <c r="I4" s="48"/>
      <c r="J4" s="21">
        <f>IF(COUNTA($F4,$K4,$P4)&gt;0,J3+SUM(G4:I4),"")</f>
        <v>35000</v>
      </c>
      <c r="K4" s="8" t="s">
        <v>198</v>
      </c>
      <c r="L4" s="9">
        <v>-1500</v>
      </c>
      <c r="M4" s="9"/>
      <c r="N4" s="48">
        <v>0</v>
      </c>
      <c r="O4" s="21">
        <f>IF(COUNTA($F4,$K4,$P4)&gt;0,O3+SUM(L4:N4),"")</f>
        <v>33500</v>
      </c>
      <c r="P4" s="8" t="s">
        <v>197</v>
      </c>
      <c r="Q4" s="9">
        <v>1500</v>
      </c>
      <c r="R4" s="9"/>
      <c r="S4" s="48">
        <v>0</v>
      </c>
      <c r="T4" s="21">
        <f>IF(COUNTA($F4,$K4,$P4)&gt;0,T3+SUM(Q4:S4),"")</f>
        <v>36500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-11.5</v>
      </c>
      <c r="W4" s="55">
        <f>IF($T4="","",ROUND(($T4-$T$3)/1000,1)+(_xlfn.RANK.AVG($T4,($J4,$O4,$T4),1)-2)*10)</f>
        <v>11.5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>
        <v>1</v>
      </c>
      <c r="BT4" s="30">
        <v>30</v>
      </c>
      <c r="BU4" s="40" t="s">
        <v>86</v>
      </c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204</v>
      </c>
      <c r="F5" s="8" t="s">
        <v>197</v>
      </c>
      <c r="G5" s="9">
        <v>1000</v>
      </c>
      <c r="H5" s="9"/>
      <c r="I5" s="48">
        <v>1000</v>
      </c>
      <c r="J5" s="21">
        <f t="shared" ref="J5:J30" si="2">IF(COUNTA($F5,$K5,$P5)&gt;0,J4+SUM(G5:I5),"")</f>
        <v>37000</v>
      </c>
      <c r="K5" s="8" t="s">
        <v>198</v>
      </c>
      <c r="L5" s="9">
        <v>-1000</v>
      </c>
      <c r="M5" s="9"/>
      <c r="N5" s="48">
        <v>-1000</v>
      </c>
      <c r="O5" s="21">
        <f t="shared" ref="O5:O30" si="3">IF(COUNTA($F5,$K5,$P5)&gt;0,O4+SUM(L5:N5),"")</f>
        <v>31500</v>
      </c>
      <c r="P5" s="8"/>
      <c r="Q5" s="9"/>
      <c r="R5" s="9"/>
      <c r="S5" s="48"/>
      <c r="T5" s="21">
        <f t="shared" ref="T5:T30" si="4">IF(COUNTA($F5,$K5,$P5)&gt;0,T4+SUM(Q5:S5),"")</f>
        <v>36500</v>
      </c>
      <c r="U5" s="53">
        <f>IF($J5="","",ROUND(($J5-$J$3)/1000,1)+(_xlfn.RANK.AVG($J5,($J5,$O5,$T5),1)-2)*10)</f>
        <v>12</v>
      </c>
      <c r="V5" s="54">
        <f>IF($O5="","",ROUND(($O5-$O$3)/1000,1)+(_xlfn.RANK.AVG($O5,($J5,$O5,$T5),1)-2)*10)</f>
        <v>-13.5</v>
      </c>
      <c r="W5" s="55">
        <f>IF($T5="","",ROUND(($T5-$T$3)/1000,1)+(_xlfn.RANK.AVG($T5,($J5,$O5,$T5),1)-2)*10)</f>
        <v>1.5</v>
      </c>
      <c r="Y5" s="8"/>
      <c r="Z5" s="34"/>
      <c r="AA5" s="26"/>
      <c r="AB5" s="26">
        <v>1</v>
      </c>
      <c r="AC5" s="26">
        <v>1</v>
      </c>
      <c r="AD5" s="30">
        <v>30</v>
      </c>
      <c r="AE5" s="40" t="s">
        <v>86</v>
      </c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195</v>
      </c>
      <c r="F6" s="8" t="s">
        <v>209</v>
      </c>
      <c r="G6" s="9">
        <v>-1500</v>
      </c>
      <c r="H6" s="9"/>
      <c r="I6" s="48"/>
      <c r="J6" s="21">
        <f t="shared" si="2"/>
        <v>35500</v>
      </c>
      <c r="K6" s="8" t="s">
        <v>209</v>
      </c>
      <c r="L6" s="9">
        <v>3000</v>
      </c>
      <c r="M6" s="9">
        <v>-1000</v>
      </c>
      <c r="N6" s="48"/>
      <c r="O6" s="21">
        <f t="shared" si="3"/>
        <v>33500</v>
      </c>
      <c r="P6" s="8" t="s">
        <v>209</v>
      </c>
      <c r="Q6" s="9">
        <v>-1500</v>
      </c>
      <c r="R6" s="9"/>
      <c r="S6" s="48"/>
      <c r="T6" s="21">
        <f t="shared" si="4"/>
        <v>35000</v>
      </c>
      <c r="U6" s="53">
        <f>IF($J6="","",ROUND(($J6-$J$3)/1000,1)+(_xlfn.RANK.AVG($J6,($J6,$O6,$T6),1)-2)*10)</f>
        <v>10.5</v>
      </c>
      <c r="V6" s="54">
        <f>IF($O6="","",ROUND(($O6-$O$3)/1000,1)+(_xlfn.RANK.AVG($O6,($J6,$O6,$T6),1)-2)*10)</f>
        <v>-11.5</v>
      </c>
      <c r="W6" s="55">
        <f>IF($T6="","",ROUND(($T6-$T$3)/1000,1)+(_xlfn.RANK.AVG($T6,($J6,$O6,$T6),1)-2)*10)</f>
        <v>0</v>
      </c>
      <c r="Y6" s="8" t="s">
        <v>207</v>
      </c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208</v>
      </c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207</v>
      </c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1</v>
      </c>
      <c r="E7" s="4" t="s">
        <v>191</v>
      </c>
      <c r="F7" s="8" t="s">
        <v>197</v>
      </c>
      <c r="G7" s="9">
        <v>2600</v>
      </c>
      <c r="H7" s="9">
        <v>1000</v>
      </c>
      <c r="I7" s="48">
        <v>1000</v>
      </c>
      <c r="J7" s="21">
        <f t="shared" si="2"/>
        <v>40100</v>
      </c>
      <c r="K7" s="8"/>
      <c r="L7" s="9"/>
      <c r="M7" s="9"/>
      <c r="N7" s="48"/>
      <c r="O7" s="21">
        <f t="shared" si="3"/>
        <v>33500</v>
      </c>
      <c r="P7" s="8" t="s">
        <v>198</v>
      </c>
      <c r="Q7" s="9">
        <v>-2600</v>
      </c>
      <c r="R7" s="9"/>
      <c r="S7" s="48">
        <v>-1000</v>
      </c>
      <c r="T7" s="21">
        <f t="shared" si="4"/>
        <v>31400</v>
      </c>
      <c r="U7" s="53">
        <f>IF($J7="","",ROUND(($J7-$J$3)/1000,1)+(_xlfn.RANK.AVG($J7,($J7,$O7,$T7),1)-2)*10)</f>
        <v>15.1</v>
      </c>
      <c r="V7" s="54">
        <f>IF($O7="","",ROUND(($O7-$O$3)/1000,1)+(_xlfn.RANK.AVG($O7,($J7,$O7,$T7),1)-2)*10)</f>
        <v>-1.5</v>
      </c>
      <c r="W7" s="55">
        <f>IF($T7="","",ROUND(($T7-$T$3)/1000,1)+(_xlfn.RANK.AVG($T7,($J7,$O7,$T7),1)-2)*10)</f>
        <v>-13.6</v>
      </c>
      <c r="Y7" s="8"/>
      <c r="Z7" s="34"/>
      <c r="AA7" s="26"/>
      <c r="AB7" s="26"/>
      <c r="AC7" s="26">
        <v>2</v>
      </c>
      <c r="AD7" s="30">
        <v>40</v>
      </c>
      <c r="AE7" s="40" t="s">
        <v>84</v>
      </c>
      <c r="AF7" s="41" t="s">
        <v>201</v>
      </c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204</v>
      </c>
      <c r="F8" s="8" t="s">
        <v>202</v>
      </c>
      <c r="G8" s="9">
        <v>-3000</v>
      </c>
      <c r="H8" s="9"/>
      <c r="I8" s="48">
        <v>0</v>
      </c>
      <c r="J8" s="21">
        <f t="shared" si="2"/>
        <v>37100</v>
      </c>
      <c r="K8" s="8" t="s">
        <v>203</v>
      </c>
      <c r="L8" s="9">
        <v>8000</v>
      </c>
      <c r="M8" s="9"/>
      <c r="N8" s="48">
        <v>0</v>
      </c>
      <c r="O8" s="21">
        <f t="shared" si="3"/>
        <v>41500</v>
      </c>
      <c r="P8" s="8" t="s">
        <v>202</v>
      </c>
      <c r="Q8" s="9">
        <v>-5000</v>
      </c>
      <c r="R8" s="9"/>
      <c r="S8" s="48">
        <v>0</v>
      </c>
      <c r="T8" s="21">
        <f t="shared" si="4"/>
        <v>26400</v>
      </c>
      <c r="U8" s="53">
        <f>IF($J8="","",ROUND(($J8-$J$3)/1000,1)+(_xlfn.RANK.AVG($J8,($J8,$O8,$T8),1)-2)*10)</f>
        <v>2.1</v>
      </c>
      <c r="V8" s="54">
        <f>IF($O8="","",ROUND(($O8-$O$3)/1000,1)+(_xlfn.RANK.AVG($O8,($J8,$O8,$T8),1)-2)*10)</f>
        <v>16.5</v>
      </c>
      <c r="W8" s="55">
        <f>IF($T8="","",ROUND(($T8-$T$3)/1000,1)+(_xlfn.RANK.AVG($T8,($J8,$O8,$T8),1)-2)*10)</f>
        <v>-18.600000000000001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5</v>
      </c>
      <c r="AY8" s="30" t="s">
        <v>199</v>
      </c>
      <c r="AZ8" s="40" t="s">
        <v>200</v>
      </c>
      <c r="BA8" s="41" t="s">
        <v>82</v>
      </c>
      <c r="BB8" s="41" t="s">
        <v>79</v>
      </c>
      <c r="BC8" s="41" t="s">
        <v>79</v>
      </c>
      <c r="BD8" s="41" t="s">
        <v>79</v>
      </c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195</v>
      </c>
      <c r="F9" s="8" t="s">
        <v>202</v>
      </c>
      <c r="G9" s="9">
        <v>-2500</v>
      </c>
      <c r="H9" s="9"/>
      <c r="I9" s="48">
        <v>0</v>
      </c>
      <c r="J9" s="21">
        <f t="shared" si="2"/>
        <v>34600</v>
      </c>
      <c r="K9" s="8" t="s">
        <v>203</v>
      </c>
      <c r="L9" s="9">
        <v>4000</v>
      </c>
      <c r="M9" s="9"/>
      <c r="N9" s="48">
        <v>0</v>
      </c>
      <c r="O9" s="21">
        <f t="shared" si="3"/>
        <v>45500</v>
      </c>
      <c r="P9" s="8" t="s">
        <v>202</v>
      </c>
      <c r="Q9" s="9">
        <v>-1500</v>
      </c>
      <c r="R9" s="9"/>
      <c r="S9" s="48">
        <v>0</v>
      </c>
      <c r="T9" s="21">
        <f t="shared" si="4"/>
        <v>24900</v>
      </c>
      <c r="U9" s="53">
        <f>IF($J9="","",ROUND(($J9-$J$3)/1000,1)+(_xlfn.RANK.AVG($J9,($J9,$O9,$T9),1)-2)*10)</f>
        <v>-0.4</v>
      </c>
      <c r="V9" s="54">
        <f>IF($O9="","",ROUND(($O9-$O$3)/1000,1)+(_xlfn.RANK.AVG($O9,($J9,$O9,$T9),1)-2)*10)</f>
        <v>20.5</v>
      </c>
      <c r="W9" s="55">
        <f>IF($T9="","",ROUND(($T9-$T$3)/1000,1)+(_xlfn.RANK.AVG($T9,($J9,$O9,$T9),1)-2)*10)</f>
        <v>-20.100000000000001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3</v>
      </c>
      <c r="AY9" s="30">
        <v>30</v>
      </c>
      <c r="AZ9" s="40" t="s">
        <v>200</v>
      </c>
      <c r="BA9" s="41" t="s">
        <v>82</v>
      </c>
      <c r="BB9" s="41" t="s">
        <v>201</v>
      </c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191</v>
      </c>
      <c r="F10" s="8" t="s">
        <v>202</v>
      </c>
      <c r="G10" s="9">
        <v>-1500</v>
      </c>
      <c r="H10" s="9">
        <v>-1000</v>
      </c>
      <c r="I10" s="48">
        <v>0</v>
      </c>
      <c r="J10" s="21">
        <f t="shared" si="2"/>
        <v>32100</v>
      </c>
      <c r="K10" s="8" t="s">
        <v>202</v>
      </c>
      <c r="L10" s="9">
        <v>-2500</v>
      </c>
      <c r="M10" s="9"/>
      <c r="N10" s="48">
        <v>0</v>
      </c>
      <c r="O10" s="21">
        <f t="shared" si="3"/>
        <v>43000</v>
      </c>
      <c r="P10" s="8" t="s">
        <v>203</v>
      </c>
      <c r="Q10" s="9">
        <v>4000</v>
      </c>
      <c r="R10" s="9">
        <v>1000</v>
      </c>
      <c r="S10" s="48">
        <v>0</v>
      </c>
      <c r="T10" s="21">
        <f t="shared" si="4"/>
        <v>29900</v>
      </c>
      <c r="U10" s="53">
        <f>IF($J10="","",ROUND(($J10-$J$3)/1000,1)+(_xlfn.RANK.AVG($J10,($J10,$O10,$T10),1)-2)*10)</f>
        <v>-2.9</v>
      </c>
      <c r="V10" s="54">
        <f>IF($O10="","",ROUND(($O10-$O$3)/1000,1)+(_xlfn.RANK.AVG($O10,($J10,$O10,$T10),1)-2)*10)</f>
        <v>18</v>
      </c>
      <c r="W10" s="55">
        <f>IF($T10="","",ROUND(($T10-$T$3)/1000,1)+(_xlfn.RANK.AVG($T10,($J10,$O10,$T10),1)-2)*10)</f>
        <v>-15.1</v>
      </c>
      <c r="Y10" s="8"/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>
        <v>3</v>
      </c>
      <c r="BT10" s="30">
        <v>30</v>
      </c>
      <c r="BU10" s="40" t="s">
        <v>86</v>
      </c>
      <c r="BV10" s="41" t="s">
        <v>104</v>
      </c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qref="F1:T1" xr:uid="{FFFCBE1B-F79D-41C6-B36A-B0424CE2D710}">
      <formula1>"たかの,だいち,ただ,りくと,れんたろう,まっつん,のり,ぱぱ,ほたに,"</formula1>
    </dataValidation>
    <dataValidation type="list" showInputMessage="1" showErrorMessage="1" sqref="K4:K30 P4:P30 F4:F30" xr:uid="{C8D01260-180C-43A9-A484-3F090B7A685A}">
      <formula1>"ロン,ツモ,放銃,ツモ支払,流局,チョンボ"</formula1>
    </dataValidation>
    <dataValidation type="list" allowBlank="1" showInputMessage="1" showErrorMessage="1" sqref="E4:E30" xr:uid="{4E7B4184-F862-47DA-B4E5-4B0D67F14891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892CA-2A93-4624-B14D-9750B0DA4716}">
  <sheetPr codeName="Sheet14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206</v>
      </c>
      <c r="G1" s="72"/>
      <c r="H1" s="72"/>
      <c r="I1" s="73"/>
      <c r="J1" s="74"/>
      <c r="K1" s="71" t="s">
        <v>193</v>
      </c>
      <c r="L1" s="72"/>
      <c r="M1" s="72"/>
      <c r="N1" s="73"/>
      <c r="O1" s="74"/>
      <c r="P1" s="71" t="s">
        <v>205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のり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れんたろう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まっつん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のり</v>
      </c>
      <c r="V2" s="70" t="str">
        <f>$K$1</f>
        <v>れんたろう</v>
      </c>
      <c r="W2" s="16" t="str">
        <f>$P$1</f>
        <v>まっつん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195</v>
      </c>
      <c r="F4" s="8" t="s">
        <v>209</v>
      </c>
      <c r="G4" s="9">
        <v>1500</v>
      </c>
      <c r="H4" s="9"/>
      <c r="I4" s="48"/>
      <c r="J4" s="21">
        <f>IF(COUNTA($F4,$K4,$P4)&gt;0,J3+SUM(G4:I4),"")</f>
        <v>36500</v>
      </c>
      <c r="K4" s="8" t="s">
        <v>209</v>
      </c>
      <c r="L4" s="9">
        <v>-3000</v>
      </c>
      <c r="M4" s="9"/>
      <c r="N4" s="48"/>
      <c r="O4" s="21">
        <f>IF(COUNTA($F4,$K4,$P4)&gt;0,O3+SUM(L4:N4),"")</f>
        <v>32000</v>
      </c>
      <c r="P4" s="8" t="s">
        <v>209</v>
      </c>
      <c r="Q4" s="9">
        <v>1500</v>
      </c>
      <c r="R4" s="9"/>
      <c r="S4" s="48"/>
      <c r="T4" s="21">
        <f>IF(COUNTA($F4,$K4,$P4)&gt;0,T3+SUM(Q4:S4),"")</f>
        <v>36500</v>
      </c>
      <c r="U4" s="53">
        <f>IF($J4="","",ROUND(($J4-$J$3)/1000,1)+(_xlfn.RANK.AVG($J4,($J4,$O4,$T4),1)-2)*10)</f>
        <v>6.5</v>
      </c>
      <c r="V4" s="54">
        <f>IF($O4="","",ROUND(($O4-$O$3)/1000,1)+(_xlfn.RANK.AVG($O4,($J4,$O4,$T4),1)-2)*10)</f>
        <v>-13</v>
      </c>
      <c r="W4" s="55">
        <f>IF($T4="","",ROUND(($T4-$T$3)/1000,1)+(_xlfn.RANK.AVG($T4,($J4,$O4,$T4),1)-2)*10)</f>
        <v>6.5</v>
      </c>
      <c r="Y4" s="8" t="s">
        <v>208</v>
      </c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207</v>
      </c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208</v>
      </c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195</v>
      </c>
      <c r="F5" s="8" t="s">
        <v>202</v>
      </c>
      <c r="G5" s="9">
        <v>-15000</v>
      </c>
      <c r="H5" s="9"/>
      <c r="I5" s="48">
        <v>-500</v>
      </c>
      <c r="J5" s="21">
        <f t="shared" ref="J5:J30" si="2">IF(COUNTA($F5,$K5,$P5)&gt;0,J4+SUM(G5:I5),"")</f>
        <v>21000</v>
      </c>
      <c r="K5" s="8" t="s">
        <v>203</v>
      </c>
      <c r="L5" s="9">
        <v>24000</v>
      </c>
      <c r="M5" s="9"/>
      <c r="N5" s="48">
        <v>1000</v>
      </c>
      <c r="O5" s="21">
        <f t="shared" ref="O5:O30" si="3">IF(COUNTA($F5,$K5,$P5)&gt;0,O4+SUM(L5:N5),"")</f>
        <v>57000</v>
      </c>
      <c r="P5" s="8" t="s">
        <v>202</v>
      </c>
      <c r="Q5" s="9">
        <v>-9000</v>
      </c>
      <c r="R5" s="9"/>
      <c r="S5" s="48">
        <v>-500</v>
      </c>
      <c r="T5" s="21">
        <f t="shared" ref="T5:T30" si="4">IF(COUNTA($F5,$K5,$P5)&gt;0,T4+SUM(Q5:S5),"")</f>
        <v>27000</v>
      </c>
      <c r="U5" s="53">
        <f>IF($J5="","",ROUND(($J5-$J$3)/1000,1)+(_xlfn.RANK.AVG($J5,($J5,$O5,$T5),1)-2)*10)</f>
        <v>-24</v>
      </c>
      <c r="V5" s="54">
        <f>IF($O5="","",ROUND(($O5-$O$3)/1000,1)+(_xlfn.RANK.AVG($O5,($J5,$O5,$T5),1)-2)*10)</f>
        <v>32</v>
      </c>
      <c r="W5" s="55">
        <f>IF($T5="","",ROUND(($T5-$T$3)/1000,1)+(_xlfn.RANK.AVG($T5,($J5,$O5,$T5),1)-2)*10)</f>
        <v>-8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11</v>
      </c>
      <c r="AY5" s="30" t="s">
        <v>199</v>
      </c>
      <c r="AZ5" s="40" t="s">
        <v>200</v>
      </c>
      <c r="BA5" s="41" t="s">
        <v>82</v>
      </c>
      <c r="BB5" s="41" t="s">
        <v>211</v>
      </c>
      <c r="BC5" s="41" t="s">
        <v>201</v>
      </c>
      <c r="BD5" s="41" t="s">
        <v>79</v>
      </c>
      <c r="BE5" s="41" t="s">
        <v>79</v>
      </c>
      <c r="BF5" s="41" t="s">
        <v>79</v>
      </c>
      <c r="BG5" s="41" t="s">
        <v>79</v>
      </c>
      <c r="BH5" s="41" t="s">
        <v>79</v>
      </c>
      <c r="BI5" s="41" t="s">
        <v>86</v>
      </c>
      <c r="BJ5" s="41" t="s">
        <v>80</v>
      </c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193</v>
      </c>
      <c r="F6" s="8" t="s">
        <v>202</v>
      </c>
      <c r="G6" s="9">
        <v>-800</v>
      </c>
      <c r="H6" s="9"/>
      <c r="I6" s="48">
        <v>0</v>
      </c>
      <c r="J6" s="21">
        <f t="shared" si="2"/>
        <v>20200</v>
      </c>
      <c r="K6" s="8" t="s">
        <v>202</v>
      </c>
      <c r="L6" s="9">
        <v>-1300</v>
      </c>
      <c r="M6" s="9"/>
      <c r="N6" s="48">
        <v>0</v>
      </c>
      <c r="O6" s="21">
        <f t="shared" si="3"/>
        <v>55700</v>
      </c>
      <c r="P6" s="8" t="s">
        <v>203</v>
      </c>
      <c r="Q6" s="9">
        <v>2100</v>
      </c>
      <c r="R6" s="9"/>
      <c r="S6" s="48">
        <v>0</v>
      </c>
      <c r="T6" s="21">
        <f t="shared" si="4"/>
        <v>29100</v>
      </c>
      <c r="U6" s="53">
        <f>IF($J6="","",ROUND(($J6-$J$3)/1000,1)+(_xlfn.RANK.AVG($J6,($J6,$O6,$T6),1)-2)*10)</f>
        <v>-24.8</v>
      </c>
      <c r="V6" s="54">
        <f>IF($O6="","",ROUND(($O6-$O$3)/1000,1)+(_xlfn.RANK.AVG($O6,($J6,$O6,$T6),1)-2)*10)</f>
        <v>30.7</v>
      </c>
      <c r="W6" s="55">
        <f>IF($T6="","",ROUND(($T6-$T$3)/1000,1)+(_xlfn.RANK.AVG($T6,($J6,$O6,$T6),1)-2)*10)</f>
        <v>-5.9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>
        <v>2</v>
      </c>
      <c r="BT6" s="30">
        <v>30</v>
      </c>
      <c r="BU6" s="40" t="s">
        <v>82</v>
      </c>
      <c r="BV6" s="41" t="s">
        <v>201</v>
      </c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204</v>
      </c>
      <c r="F7" s="8" t="s">
        <v>198</v>
      </c>
      <c r="G7" s="9">
        <v>-2600</v>
      </c>
      <c r="H7" s="9"/>
      <c r="I7" s="48">
        <v>0</v>
      </c>
      <c r="J7" s="21">
        <f t="shared" si="2"/>
        <v>17600</v>
      </c>
      <c r="K7" s="8" t="s">
        <v>197</v>
      </c>
      <c r="L7" s="9">
        <v>2600</v>
      </c>
      <c r="M7" s="9"/>
      <c r="N7" s="48">
        <v>0</v>
      </c>
      <c r="O7" s="21">
        <f t="shared" si="3"/>
        <v>58300</v>
      </c>
      <c r="P7" s="8"/>
      <c r="Q7" s="9"/>
      <c r="R7" s="9"/>
      <c r="S7" s="48"/>
      <c r="T7" s="21">
        <f t="shared" si="4"/>
        <v>29100</v>
      </c>
      <c r="U7" s="53">
        <f>IF($J7="","",ROUND(($J7-$J$3)/1000,1)+(_xlfn.RANK.AVG($J7,($J7,$O7,$T7),1)-2)*10)</f>
        <v>-27.4</v>
      </c>
      <c r="V7" s="54">
        <f>IF($O7="","",ROUND(($O7-$O$3)/1000,1)+(_xlfn.RANK.AVG($O7,($J7,$O7,$T7),1)-2)*10)</f>
        <v>33.299999999999997</v>
      </c>
      <c r="W7" s="55">
        <f>IF($T7="","",ROUND(($T7-$T$3)/1000,1)+(_xlfn.RANK.AVG($T7,($J7,$O7,$T7),1)-2)*10)</f>
        <v>-5.9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2</v>
      </c>
      <c r="AY7" s="30">
        <v>40</v>
      </c>
      <c r="AZ7" s="40" t="s">
        <v>200</v>
      </c>
      <c r="BA7" s="41" t="s">
        <v>86</v>
      </c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195</v>
      </c>
      <c r="F8" s="8" t="s">
        <v>198</v>
      </c>
      <c r="G8" s="9">
        <v>-8000</v>
      </c>
      <c r="H8" s="9"/>
      <c r="I8" s="48">
        <v>0</v>
      </c>
      <c r="J8" s="21">
        <f t="shared" si="2"/>
        <v>9600</v>
      </c>
      <c r="K8" s="8" t="s">
        <v>197</v>
      </c>
      <c r="L8" s="9">
        <v>8000</v>
      </c>
      <c r="M8" s="9"/>
      <c r="N8" s="48">
        <v>0</v>
      </c>
      <c r="O8" s="21">
        <f t="shared" si="3"/>
        <v>66300</v>
      </c>
      <c r="P8" s="8"/>
      <c r="Q8" s="9"/>
      <c r="R8" s="9"/>
      <c r="S8" s="48"/>
      <c r="T8" s="21">
        <f t="shared" si="4"/>
        <v>29100</v>
      </c>
      <c r="U8" s="53">
        <f>IF($J8="","",ROUND(($J8-$J$3)/1000,1)+(_xlfn.RANK.AVG($J8,($J8,$O8,$T8),1)-2)*10)</f>
        <v>-35.4</v>
      </c>
      <c r="V8" s="54">
        <f>IF($O8="","",ROUND(($O8-$O$3)/1000,1)+(_xlfn.RANK.AVG($O8,($J8,$O8,$T8),1)-2)*10)</f>
        <v>41.3</v>
      </c>
      <c r="W8" s="55">
        <f>IF($T8="","",ROUND(($T8-$T$3)/1000,1)+(_xlfn.RANK.AVG($T8,($J8,$O8,$T8),1)-2)*10)</f>
        <v>-5.9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>
        <v>5</v>
      </c>
      <c r="AY8" s="30" t="s">
        <v>199</v>
      </c>
      <c r="AZ8" s="40" t="s">
        <v>98</v>
      </c>
      <c r="BA8" s="41" t="s">
        <v>100</v>
      </c>
      <c r="BB8" s="41" t="s">
        <v>86</v>
      </c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193</v>
      </c>
      <c r="F9" s="8" t="s">
        <v>198</v>
      </c>
      <c r="G9" s="9">
        <v>-3900</v>
      </c>
      <c r="H9" s="9"/>
      <c r="I9" s="48">
        <v>0</v>
      </c>
      <c r="J9" s="21">
        <f t="shared" si="2"/>
        <v>5700</v>
      </c>
      <c r="K9" s="8"/>
      <c r="L9" s="9"/>
      <c r="M9" s="9"/>
      <c r="N9" s="48"/>
      <c r="O9" s="21">
        <f t="shared" si="3"/>
        <v>66300</v>
      </c>
      <c r="P9" s="8" t="s">
        <v>197</v>
      </c>
      <c r="Q9" s="9">
        <v>3900</v>
      </c>
      <c r="R9" s="9"/>
      <c r="S9" s="48">
        <v>0</v>
      </c>
      <c r="T9" s="21">
        <f t="shared" si="4"/>
        <v>33000</v>
      </c>
      <c r="U9" s="53">
        <f>IF($J9="","",ROUND(($J9-$J$3)/1000,1)+(_xlfn.RANK.AVG($J9,($J9,$O9,$T9),1)-2)*10)</f>
        <v>-39.299999999999997</v>
      </c>
      <c r="V9" s="54">
        <f>IF($O9="","",ROUND(($O9-$O$3)/1000,1)+(_xlfn.RANK.AVG($O9,($J9,$O9,$T9),1)-2)*10)</f>
        <v>41.3</v>
      </c>
      <c r="W9" s="55">
        <f>IF($T9="","",ROUND(($T9-$T$3)/1000,1)+(_xlfn.RANK.AVG($T9,($J9,$O9,$T9),1)-2)*10)</f>
        <v>-2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>
        <v>3</v>
      </c>
      <c r="BT9" s="30">
        <v>30</v>
      </c>
      <c r="BU9" s="40" t="s">
        <v>86</v>
      </c>
      <c r="BV9" s="41" t="s">
        <v>104</v>
      </c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204</v>
      </c>
      <c r="F10" s="8" t="s">
        <v>202</v>
      </c>
      <c r="G10" s="9">
        <v>-800</v>
      </c>
      <c r="H10" s="9"/>
      <c r="I10" s="48">
        <v>0</v>
      </c>
      <c r="J10" s="21">
        <f t="shared" si="2"/>
        <v>4900</v>
      </c>
      <c r="K10" s="8" t="s">
        <v>202</v>
      </c>
      <c r="L10" s="9">
        <v>-800</v>
      </c>
      <c r="M10" s="9"/>
      <c r="N10" s="48">
        <v>0</v>
      </c>
      <c r="O10" s="21">
        <f t="shared" si="3"/>
        <v>65500</v>
      </c>
      <c r="P10" s="8" t="s">
        <v>203</v>
      </c>
      <c r="Q10" s="9">
        <v>1600</v>
      </c>
      <c r="R10" s="9"/>
      <c r="S10" s="48">
        <v>0</v>
      </c>
      <c r="T10" s="21">
        <f t="shared" si="4"/>
        <v>34600</v>
      </c>
      <c r="U10" s="53">
        <f>IF($J10="","",ROUND(($J10-$J$3)/1000,1)+(_xlfn.RANK.AVG($J10,($J10,$O10,$T10),1)-2)*10)</f>
        <v>-40.1</v>
      </c>
      <c r="V10" s="54">
        <f>IF($O10="","",ROUND(($O10-$O$3)/1000,1)+(_xlfn.RANK.AVG($O10,($J10,$O10,$T10),1)-2)*10)</f>
        <v>40.5</v>
      </c>
      <c r="W10" s="55">
        <f>IF($T10="","",ROUND(($T10-$T$3)/1000,1)+(_xlfn.RANK.AVG($T10,($J10,$O10,$T10),1)-2)*10)</f>
        <v>-0.4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>
        <v>1</v>
      </c>
      <c r="BT10" s="30">
        <v>30</v>
      </c>
      <c r="BU10" s="40" t="s">
        <v>86</v>
      </c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1</v>
      </c>
      <c r="D11" s="18">
        <f t="shared" si="1"/>
        <v>0</v>
      </c>
      <c r="E11" s="4" t="s">
        <v>204</v>
      </c>
      <c r="F11" s="8" t="s">
        <v>202</v>
      </c>
      <c r="G11" s="9">
        <v>-4500</v>
      </c>
      <c r="H11" s="9"/>
      <c r="I11" s="48">
        <v>-500</v>
      </c>
      <c r="J11" s="21">
        <f t="shared" si="2"/>
        <v>-100</v>
      </c>
      <c r="K11" s="8" t="s">
        <v>203</v>
      </c>
      <c r="L11" s="9">
        <v>12000</v>
      </c>
      <c r="M11" s="9"/>
      <c r="N11" s="48">
        <v>1000</v>
      </c>
      <c r="O11" s="21">
        <f t="shared" si="3"/>
        <v>78500</v>
      </c>
      <c r="P11" s="8" t="s">
        <v>202</v>
      </c>
      <c r="Q11" s="9">
        <v>-7500</v>
      </c>
      <c r="R11" s="9"/>
      <c r="S11" s="48">
        <v>-500</v>
      </c>
      <c r="T11" s="21">
        <f t="shared" si="4"/>
        <v>26600</v>
      </c>
      <c r="U11" s="53">
        <f>IF($J11="","",ROUND(($J11-$J$3)/1000,1)+(_xlfn.RANK.AVG($J11,($J11,$O11,$T11),1)-2)*10)</f>
        <v>-45.1</v>
      </c>
      <c r="V11" s="54">
        <f>IF($O11="","",ROUND(($O11-$O$3)/1000,1)+(_xlfn.RANK.AVG($O11,($J11,$O11,$T11),1)-2)*10)</f>
        <v>53.5</v>
      </c>
      <c r="W11" s="55">
        <f>IF($T11="","",ROUND(($T11-$T$3)/1000,1)+(_xlfn.RANK.AVG($T11,($J11,$O11,$T11),1)-2)*10)</f>
        <v>-8.4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>
        <v>6</v>
      </c>
      <c r="AY11" s="30" t="s">
        <v>199</v>
      </c>
      <c r="AZ11" s="40" t="s">
        <v>200</v>
      </c>
      <c r="BA11" s="41" t="s">
        <v>82</v>
      </c>
      <c r="BB11" s="41" t="s">
        <v>79</v>
      </c>
      <c r="BC11" s="41" t="s">
        <v>79</v>
      </c>
      <c r="BD11" s="41" t="s">
        <v>201</v>
      </c>
      <c r="BE11" s="41" t="s">
        <v>83</v>
      </c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howErrorMessage="1" sqref="E4:E30" xr:uid="{37D1E207-2F41-488C-BFFB-A8C0DEC1845F}">
      <formula1>$U$2:$W$2</formula1>
    </dataValidation>
    <dataValidation type="list" showInputMessage="1" showErrorMessage="1" sqref="K4:K30 P4:P30 F4:F30" xr:uid="{41BF090F-AC27-4083-B1A4-3EEA75BFACE4}">
      <formula1>"ロン,ツモ,放銃,ツモ支払,流局,チョンボ"</formula1>
    </dataValidation>
    <dataValidation type="list" allowBlank="1" showInputMessage="1" sqref="F1:T1" xr:uid="{A79C5697-88F1-4B86-9E73-F1083231B281}">
      <formula1>"たかの,だいち,ただ,りくと,れんたろう,まっつん,のり,ぱぱ,ほたに,"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1FAFAC-9136-4E3C-8079-10A9D473399E}">
  <sheetPr codeName="Sheet15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206</v>
      </c>
      <c r="G1" s="72"/>
      <c r="H1" s="72"/>
      <c r="I1" s="73"/>
      <c r="J1" s="74"/>
      <c r="K1" s="71" t="s">
        <v>193</v>
      </c>
      <c r="L1" s="72"/>
      <c r="M1" s="72"/>
      <c r="N1" s="73"/>
      <c r="O1" s="74"/>
      <c r="P1" s="71" t="s">
        <v>205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のり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れんたろう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まっつん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のり</v>
      </c>
      <c r="V2" s="70" t="str">
        <f>$K$1</f>
        <v>れんたろう</v>
      </c>
      <c r="W2" s="16" t="str">
        <f>$P$1</f>
        <v>まっつん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195</v>
      </c>
      <c r="F4" s="8" t="s">
        <v>202</v>
      </c>
      <c r="G4" s="9">
        <v>-10000</v>
      </c>
      <c r="H4" s="9"/>
      <c r="I4" s="48">
        <v>0</v>
      </c>
      <c r="J4" s="21">
        <f>IF(COUNTA($F4,$K4,$P4)&gt;0,J3+SUM(G4:I4),"")</f>
        <v>25000</v>
      </c>
      <c r="K4" s="8" t="s">
        <v>203</v>
      </c>
      <c r="L4" s="9">
        <v>16000</v>
      </c>
      <c r="M4" s="9"/>
      <c r="N4" s="48">
        <v>0</v>
      </c>
      <c r="O4" s="21">
        <f>IF(COUNTA($F4,$K4,$P4)&gt;0,O3+SUM(L4:N4),"")</f>
        <v>51000</v>
      </c>
      <c r="P4" s="8" t="s">
        <v>202</v>
      </c>
      <c r="Q4" s="9">
        <v>-6000</v>
      </c>
      <c r="R4" s="9"/>
      <c r="S4" s="48">
        <v>0</v>
      </c>
      <c r="T4" s="21">
        <f>IF(COUNTA($F4,$K4,$P4)&gt;0,T3+SUM(Q4:S4),"")</f>
        <v>29000</v>
      </c>
      <c r="U4" s="53">
        <f>IF($J4="","",ROUND(($J4-$J$3)/1000,1)+(_xlfn.RANK.AVG($J4,($J4,$O4,$T4),1)-2)*10)</f>
        <v>-20</v>
      </c>
      <c r="V4" s="54">
        <f>IF($O4="","",ROUND(($O4-$O$3)/1000,1)+(_xlfn.RANK.AVG($O4,($J4,$O4,$T4),1)-2)*10)</f>
        <v>26</v>
      </c>
      <c r="W4" s="55">
        <f>IF($T4="","",ROUND(($T4-$T$3)/1000,1)+(_xlfn.RANK.AVG($T4,($J4,$O4,$T4),1)-2)*10)</f>
        <v>-6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8</v>
      </c>
      <c r="AY4" s="30" t="s">
        <v>199</v>
      </c>
      <c r="AZ4" s="40" t="s">
        <v>200</v>
      </c>
      <c r="BA4" s="41" t="s">
        <v>82</v>
      </c>
      <c r="BB4" s="41" t="s">
        <v>79</v>
      </c>
      <c r="BC4" s="41" t="s">
        <v>79</v>
      </c>
      <c r="BD4" s="41" t="s">
        <v>79</v>
      </c>
      <c r="BE4" s="41" t="s">
        <v>80</v>
      </c>
      <c r="BF4" s="41" t="s">
        <v>80</v>
      </c>
      <c r="BG4" s="41" t="s">
        <v>80</v>
      </c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193</v>
      </c>
      <c r="F5" s="8"/>
      <c r="G5" s="9"/>
      <c r="H5" s="9"/>
      <c r="I5" s="48"/>
      <c r="J5" s="21">
        <f t="shared" ref="J5:J30" si="2">IF(COUNTA($F5,$K5,$P5)&gt;0,J4+SUM(G5:I5),"")</f>
        <v>25000</v>
      </c>
      <c r="K5" s="8" t="s">
        <v>198</v>
      </c>
      <c r="L5" s="9">
        <v>-8000</v>
      </c>
      <c r="M5" s="9"/>
      <c r="N5" s="48">
        <v>0</v>
      </c>
      <c r="O5" s="21">
        <f t="shared" ref="O5:O30" si="3">IF(COUNTA($F5,$K5,$P5)&gt;0,O4+SUM(L5:N5),"")</f>
        <v>43000</v>
      </c>
      <c r="P5" s="8" t="s">
        <v>197</v>
      </c>
      <c r="Q5" s="9">
        <v>8000</v>
      </c>
      <c r="R5" s="9"/>
      <c r="S5" s="48">
        <v>0</v>
      </c>
      <c r="T5" s="21">
        <f t="shared" ref="T5:T30" si="4">IF(COUNTA($F5,$K5,$P5)&gt;0,T4+SUM(Q5:S5),"")</f>
        <v>37000</v>
      </c>
      <c r="U5" s="53">
        <f>IF($J5="","",ROUND(($J5-$J$3)/1000,1)+(_xlfn.RANK.AVG($J5,($J5,$O5,$T5),1)-2)*10)</f>
        <v>-20</v>
      </c>
      <c r="V5" s="54">
        <f>IF($O5="","",ROUND(($O5-$O$3)/1000,1)+(_xlfn.RANK.AVG($O5,($J5,$O5,$T5),1)-2)*10)</f>
        <v>18</v>
      </c>
      <c r="W5" s="55">
        <f>IF($T5="","",ROUND(($T5-$T$3)/1000,1)+(_xlfn.RANK.AVG($T5,($J5,$O5,$T5),1)-2)*10)</f>
        <v>2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4</v>
      </c>
      <c r="BT5" s="30">
        <v>40</v>
      </c>
      <c r="BU5" s="40" t="s">
        <v>200</v>
      </c>
      <c r="BV5" s="41" t="s">
        <v>201</v>
      </c>
      <c r="BW5" s="41" t="s">
        <v>80</v>
      </c>
      <c r="BX5" s="41" t="s">
        <v>80</v>
      </c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204</v>
      </c>
      <c r="F6" s="8"/>
      <c r="G6" s="9"/>
      <c r="H6" s="9"/>
      <c r="I6" s="48"/>
      <c r="J6" s="21">
        <f t="shared" si="2"/>
        <v>25000</v>
      </c>
      <c r="K6" s="8" t="s">
        <v>197</v>
      </c>
      <c r="L6" s="9">
        <v>8000</v>
      </c>
      <c r="M6" s="9"/>
      <c r="N6" s="48">
        <v>0</v>
      </c>
      <c r="O6" s="21">
        <f t="shared" si="3"/>
        <v>51000</v>
      </c>
      <c r="P6" s="8" t="s">
        <v>198</v>
      </c>
      <c r="Q6" s="9">
        <v>-8000</v>
      </c>
      <c r="R6" s="9"/>
      <c r="S6" s="48">
        <v>0</v>
      </c>
      <c r="T6" s="21">
        <f t="shared" si="4"/>
        <v>29000</v>
      </c>
      <c r="U6" s="53">
        <f>IF($J6="","",ROUND(($J6-$J$3)/1000,1)+(_xlfn.RANK.AVG($J6,($J6,$O6,$T6),1)-2)*10)</f>
        <v>-20</v>
      </c>
      <c r="V6" s="54">
        <f>IF($O6="","",ROUND(($O6-$O$3)/1000,1)+(_xlfn.RANK.AVG($O6,($J6,$O6,$T6),1)-2)*10)</f>
        <v>26</v>
      </c>
      <c r="W6" s="55">
        <f>IF($T6="","",ROUND(($T6-$T$3)/1000,1)+(_xlfn.RANK.AVG($T6,($J6,$O6,$T6),1)-2)*10)</f>
        <v>-6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5</v>
      </c>
      <c r="AY6" s="30" t="s">
        <v>199</v>
      </c>
      <c r="AZ6" s="40" t="s">
        <v>200</v>
      </c>
      <c r="BA6" s="41" t="s">
        <v>80</v>
      </c>
      <c r="BB6" s="41" t="s">
        <v>80</v>
      </c>
      <c r="BC6" s="41" t="s">
        <v>101</v>
      </c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195</v>
      </c>
      <c r="F7" s="8" t="s">
        <v>202</v>
      </c>
      <c r="G7" s="9">
        <v>-7500</v>
      </c>
      <c r="H7" s="9"/>
      <c r="I7" s="48">
        <v>0</v>
      </c>
      <c r="J7" s="21">
        <f t="shared" si="2"/>
        <v>17500</v>
      </c>
      <c r="K7" s="8" t="s">
        <v>202</v>
      </c>
      <c r="L7" s="9">
        <v>-4500</v>
      </c>
      <c r="M7" s="9"/>
      <c r="N7" s="48">
        <v>0</v>
      </c>
      <c r="O7" s="21">
        <f t="shared" si="3"/>
        <v>46500</v>
      </c>
      <c r="P7" s="8" t="s">
        <v>203</v>
      </c>
      <c r="Q7" s="9">
        <v>12000</v>
      </c>
      <c r="R7" s="9"/>
      <c r="S7" s="48">
        <v>0</v>
      </c>
      <c r="T7" s="21">
        <f t="shared" si="4"/>
        <v>41000</v>
      </c>
      <c r="U7" s="53">
        <f>IF($J7="","",ROUND(($J7-$J$3)/1000,1)+(_xlfn.RANK.AVG($J7,($J7,$O7,$T7),1)-2)*10)</f>
        <v>-27.5</v>
      </c>
      <c r="V7" s="54">
        <f>IF($O7="","",ROUND(($O7-$O$3)/1000,1)+(_xlfn.RANK.AVG($O7,($J7,$O7,$T7),1)-2)*10)</f>
        <v>21.5</v>
      </c>
      <c r="W7" s="55">
        <f>IF($T7="","",ROUND(($T7-$T$3)/1000,1)+(_xlfn.RANK.AVG($T7,($J7,$O7,$T7),1)-2)*10)</f>
        <v>6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>
        <v>6</v>
      </c>
      <c r="BT7" s="30" t="s">
        <v>199</v>
      </c>
      <c r="BU7" s="40" t="s">
        <v>106</v>
      </c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193</v>
      </c>
      <c r="F8" s="8" t="s">
        <v>202</v>
      </c>
      <c r="G8" s="9">
        <v>-1500</v>
      </c>
      <c r="H8" s="9"/>
      <c r="I8" s="48">
        <v>0</v>
      </c>
      <c r="J8" s="21">
        <f t="shared" si="2"/>
        <v>16000</v>
      </c>
      <c r="K8" s="8" t="s">
        <v>202</v>
      </c>
      <c r="L8" s="9">
        <v>-2500</v>
      </c>
      <c r="M8" s="9"/>
      <c r="N8" s="48">
        <v>0</v>
      </c>
      <c r="O8" s="21">
        <f t="shared" si="3"/>
        <v>44000</v>
      </c>
      <c r="P8" s="8" t="s">
        <v>203</v>
      </c>
      <c r="Q8" s="9">
        <v>4000</v>
      </c>
      <c r="R8" s="9"/>
      <c r="S8" s="48">
        <v>0</v>
      </c>
      <c r="T8" s="21">
        <f t="shared" si="4"/>
        <v>45000</v>
      </c>
      <c r="U8" s="53">
        <f>IF($J8="","",ROUND(($J8-$J$3)/1000,1)+(_xlfn.RANK.AVG($J8,($J8,$O8,$T8),1)-2)*10)</f>
        <v>-29</v>
      </c>
      <c r="V8" s="54">
        <f>IF($O8="","",ROUND(($O8-$O$3)/1000,1)+(_xlfn.RANK.AVG($O8,($J8,$O8,$T8),1)-2)*10)</f>
        <v>9</v>
      </c>
      <c r="W8" s="55">
        <f>IF($T8="","",ROUND(($T8-$T$3)/1000,1)+(_xlfn.RANK.AVG($T8,($J8,$O8,$T8),1)-2)*10)</f>
        <v>20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3</v>
      </c>
      <c r="BT8" s="30">
        <v>30</v>
      </c>
      <c r="BU8" s="40" t="s">
        <v>82</v>
      </c>
      <c r="BV8" s="41" t="s">
        <v>86</v>
      </c>
      <c r="BW8" s="41" t="s">
        <v>200</v>
      </c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204</v>
      </c>
      <c r="F9" s="8" t="s">
        <v>209</v>
      </c>
      <c r="G9" s="9">
        <v>1500</v>
      </c>
      <c r="H9" s="9"/>
      <c r="I9" s="48"/>
      <c r="J9" s="21">
        <f t="shared" si="2"/>
        <v>17500</v>
      </c>
      <c r="K9" s="8" t="s">
        <v>209</v>
      </c>
      <c r="L9" s="9">
        <v>1500</v>
      </c>
      <c r="M9" s="9"/>
      <c r="N9" s="48"/>
      <c r="O9" s="21">
        <f t="shared" si="3"/>
        <v>45500</v>
      </c>
      <c r="P9" s="8" t="s">
        <v>209</v>
      </c>
      <c r="Q9" s="9">
        <v>-3000</v>
      </c>
      <c r="R9" s="9"/>
      <c r="S9" s="48"/>
      <c r="T9" s="21">
        <f t="shared" si="4"/>
        <v>42000</v>
      </c>
      <c r="U9" s="53">
        <f>IF($J9="","",ROUND(($J9-$J$3)/1000,1)+(_xlfn.RANK.AVG($J9,($J9,$O9,$T9),1)-2)*10)</f>
        <v>-27.5</v>
      </c>
      <c r="V9" s="54">
        <f>IF($O9="","",ROUND(($O9-$O$3)/1000,1)+(_xlfn.RANK.AVG($O9,($J9,$O9,$T9),1)-2)*10)</f>
        <v>20.5</v>
      </c>
      <c r="W9" s="55">
        <f>IF($T9="","",ROUND(($T9-$T$3)/1000,1)+(_xlfn.RANK.AVG($T9,($J9,$O9,$T9),1)-2)*10)</f>
        <v>7</v>
      </c>
      <c r="Y9" s="8" t="s">
        <v>208</v>
      </c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208</v>
      </c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207</v>
      </c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西</v>
      </c>
      <c r="B10" s="18">
        <f t="shared" si="5"/>
        <v>1</v>
      </c>
      <c r="C10" s="18">
        <f t="shared" si="6"/>
        <v>1</v>
      </c>
      <c r="D10" s="18">
        <f t="shared" si="1"/>
        <v>0</v>
      </c>
      <c r="E10" s="4" t="s">
        <v>195</v>
      </c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qref="F1:T1" xr:uid="{175BE2BD-0C94-4F70-92B8-428A93713FD3}">
      <formula1>"たかの,だいち,ただ,りくと,れんたろう,まっつん,のり,ぱぱ,ほたに,"</formula1>
    </dataValidation>
    <dataValidation type="list" showInputMessage="1" showErrorMessage="1" sqref="K4:K30 P4:P30 F4:F30" xr:uid="{753CC571-F4FD-461B-BD24-C8F55ADABFA9}">
      <formula1>"ロン,ツモ,放銃,ツモ支払,流局,チョンボ"</formula1>
    </dataValidation>
    <dataValidation type="list" allowBlank="1" showInputMessage="1" showErrorMessage="1" sqref="E4:E30" xr:uid="{BCDC8D83-8DBD-406A-BD0F-E9AFAED62D0F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14</vt:i4>
      </vt:variant>
    </vt:vector>
  </HeadingPairs>
  <TitlesOfParts>
    <vt:vector size="14" baseType="lpstr">
      <vt:lpstr>Sheet1</vt:lpstr>
      <vt:lpstr>Sheet2</vt:lpstr>
      <vt:lpstr>Sheet3</vt:lpstr>
      <vt:lpstr>Sheet4</vt:lpstr>
      <vt:lpstr>Sheet5</vt:lpstr>
      <vt:lpstr>Sheet6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2019-10-14T07:59:05Z</dcterms:modified>
</cp:coreProperties>
</file>