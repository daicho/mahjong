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C576821-C734-4277-95E5-573B27EA7955}" xr6:coauthVersionLast="41" xr6:coauthVersionMax="41" xr10:uidLastSave="{00000000-0000-0000-0000-000000000000}"/>
  <bookViews>
    <workbookView xWindow="-120" yWindow="-120" windowWidth="20730" windowHeight="11310" activeTab="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O14" i="25"/>
  <c r="J14" i="25"/>
  <c r="D14" i="25"/>
  <c r="C14" i="25"/>
  <c r="B14" i="25"/>
  <c r="A14" i="25" s="1"/>
  <c r="T13" i="25"/>
  <c r="O13" i="25"/>
  <c r="J13" i="25"/>
  <c r="D13" i="25"/>
  <c r="C13" i="25"/>
  <c r="B13" i="25"/>
  <c r="A13" i="25" s="1"/>
  <c r="T12" i="25"/>
  <c r="O12" i="25"/>
  <c r="J12" i="25"/>
  <c r="U12" i="25" s="1"/>
  <c r="D12" i="25"/>
  <c r="C12" i="25"/>
  <c r="B12" i="25"/>
  <c r="A12" i="25" s="1"/>
  <c r="T11" i="25"/>
  <c r="O11" i="25"/>
  <c r="J11" i="25"/>
  <c r="U11" i="25" s="1"/>
  <c r="D11" i="25"/>
  <c r="C11" i="25"/>
  <c r="B11" i="25"/>
  <c r="A11" i="25"/>
  <c r="D10" i="25"/>
  <c r="D9" i="25"/>
  <c r="D8" i="25"/>
  <c r="D6" i="25"/>
  <c r="D7" i="25" s="1"/>
  <c r="C6" i="25"/>
  <c r="C7" i="25" s="1"/>
  <c r="C8" i="25" s="1"/>
  <c r="C9" i="25" s="1"/>
  <c r="C10" i="25" s="1"/>
  <c r="B6" i="25"/>
  <c r="B7" i="25" s="1"/>
  <c r="J5" i="25"/>
  <c r="D5" i="25"/>
  <c r="C5" i="25"/>
  <c r="B5" i="25"/>
  <c r="A6" i="25" s="1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V14" i="25" l="1"/>
  <c r="U14" i="25"/>
  <c r="W14" i="25"/>
  <c r="V13" i="25"/>
  <c r="W13" i="25"/>
  <c r="U13" i="25"/>
  <c r="W12" i="25"/>
  <c r="V12" i="25"/>
  <c r="V11" i="25"/>
  <c r="W11" i="25"/>
  <c r="A5" i="25"/>
  <c r="V4" i="25"/>
  <c r="W4" i="25"/>
  <c r="B8" i="25"/>
  <c r="A8" i="25" s="1"/>
  <c r="A7" i="25"/>
  <c r="O5" i="25"/>
  <c r="T5" i="25"/>
  <c r="J6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T10" i="24"/>
  <c r="O10" i="24"/>
  <c r="J10" i="24"/>
  <c r="D10" i="24"/>
  <c r="C10" i="24"/>
  <c r="B10" i="24"/>
  <c r="A10" i="24"/>
  <c r="T9" i="24"/>
  <c r="O9" i="24"/>
  <c r="J9" i="24"/>
  <c r="D9" i="24"/>
  <c r="C9" i="24"/>
  <c r="B9" i="24"/>
  <c r="A9" i="24" s="1"/>
  <c r="T8" i="24"/>
  <c r="O8" i="24"/>
  <c r="J8" i="24"/>
  <c r="D8" i="24"/>
  <c r="C8" i="24"/>
  <c r="B8" i="24"/>
  <c r="A8" i="24"/>
  <c r="T7" i="24"/>
  <c r="O7" i="24"/>
  <c r="J7" i="24"/>
  <c r="U7" i="24" s="1"/>
  <c r="D7" i="24"/>
  <c r="C7" i="24"/>
  <c r="B7" i="24"/>
  <c r="A7" i="24" s="1"/>
  <c r="T6" i="24"/>
  <c r="O6" i="24"/>
  <c r="J6" i="24"/>
  <c r="U6" i="24" s="1"/>
  <c r="D6" i="24"/>
  <c r="C6" i="24"/>
  <c r="B6" i="24"/>
  <c r="A6" i="24" s="1"/>
  <c r="T5" i="24"/>
  <c r="D5" i="24"/>
  <c r="C5" i="24"/>
  <c r="B5" i="24"/>
  <c r="A5" i="24"/>
  <c r="T4" i="24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D10" i="23"/>
  <c r="D9" i="23"/>
  <c r="C9" i="23"/>
  <c r="C10" i="23" s="1"/>
  <c r="D8" i="23"/>
  <c r="C8" i="23"/>
  <c r="D7" i="23"/>
  <c r="C7" i="23"/>
  <c r="D6" i="23"/>
  <c r="C6" i="23"/>
  <c r="B6" i="23"/>
  <c r="B7" i="23" s="1"/>
  <c r="D5" i="23"/>
  <c r="C5" i="23"/>
  <c r="B5" i="23"/>
  <c r="A5" i="23" s="1"/>
  <c r="T4" i="23"/>
  <c r="T5" i="23" s="1"/>
  <c r="O4" i="23"/>
  <c r="J4" i="23"/>
  <c r="J5" i="23" s="1"/>
  <c r="W3" i="23"/>
  <c r="V3" i="23"/>
  <c r="U3" i="23"/>
  <c r="W2" i="23"/>
  <c r="V2" i="23"/>
  <c r="U2" i="23"/>
  <c r="BO1" i="23"/>
  <c r="AT1" i="23"/>
  <c r="Y1" i="23"/>
  <c r="J7" i="25" l="1"/>
  <c r="W5" i="25"/>
  <c r="T6" i="25"/>
  <c r="V5" i="25"/>
  <c r="O6" i="25"/>
  <c r="B9" i="25"/>
  <c r="A9" i="25" s="1"/>
  <c r="U5" i="25"/>
  <c r="V10" i="24"/>
  <c r="U10" i="24"/>
  <c r="W10" i="24"/>
  <c r="W9" i="24"/>
  <c r="V9" i="24"/>
  <c r="U9" i="24"/>
  <c r="V8" i="24"/>
  <c r="U8" i="24"/>
  <c r="W8" i="24"/>
  <c r="V7" i="24"/>
  <c r="W7" i="24"/>
  <c r="V6" i="24"/>
  <c r="W6" i="24"/>
  <c r="W4" i="24"/>
  <c r="V4" i="24"/>
  <c r="J5" i="24"/>
  <c r="U5" i="24" s="1"/>
  <c r="U4" i="24"/>
  <c r="A6" i="23"/>
  <c r="V4" i="23"/>
  <c r="T6" i="23"/>
  <c r="J6" i="23"/>
  <c r="B8" i="23"/>
  <c r="A8" i="23" s="1"/>
  <c r="A7" i="23"/>
  <c r="U4" i="23"/>
  <c r="O5" i="23"/>
  <c r="W5" i="23" s="1"/>
  <c r="W4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 s="1"/>
  <c r="T10" i="22"/>
  <c r="O10" i="22"/>
  <c r="J10" i="22"/>
  <c r="D10" i="22"/>
  <c r="C10" i="22"/>
  <c r="B10" i="22"/>
  <c r="A10" i="22"/>
  <c r="T9" i="22"/>
  <c r="O9" i="22"/>
  <c r="V9" i="22" s="1"/>
  <c r="J9" i="22"/>
  <c r="U9" i="22" s="1"/>
  <c r="D9" i="22"/>
  <c r="C9" i="22"/>
  <c r="B9" i="22"/>
  <c r="A9" i="22" s="1"/>
  <c r="T8" i="22"/>
  <c r="O8" i="22"/>
  <c r="J8" i="22"/>
  <c r="D8" i="22"/>
  <c r="C8" i="22"/>
  <c r="B8" i="22"/>
  <c r="A8" i="22" s="1"/>
  <c r="T7" i="22"/>
  <c r="O7" i="22"/>
  <c r="J7" i="22"/>
  <c r="D7" i="22"/>
  <c r="C7" i="22"/>
  <c r="B7" i="22"/>
  <c r="A7" i="22" s="1"/>
  <c r="D6" i="22"/>
  <c r="C6" i="22"/>
  <c r="O5" i="22"/>
  <c r="O6" i="22" s="1"/>
  <c r="J5" i="22"/>
  <c r="D5" i="22"/>
  <c r="C5" i="22"/>
  <c r="B5" i="22"/>
  <c r="B6" i="22" s="1"/>
  <c r="A6" i="22" s="1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C8" i="21"/>
  <c r="D7" i="21"/>
  <c r="D8" i="21" s="1"/>
  <c r="C7" i="21"/>
  <c r="T6" i="21"/>
  <c r="T7" i="21" s="1"/>
  <c r="D6" i="21"/>
  <c r="C6" i="21"/>
  <c r="B6" i="21"/>
  <c r="B7" i="21" s="1"/>
  <c r="T5" i="21"/>
  <c r="D5" i="21"/>
  <c r="C5" i="21"/>
  <c r="B5" i="21"/>
  <c r="A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C9" i="20"/>
  <c r="D8" i="20"/>
  <c r="C8" i="20"/>
  <c r="D7" i="20"/>
  <c r="D6" i="20"/>
  <c r="C6" i="20"/>
  <c r="C7" i="20" s="1"/>
  <c r="B6" i="20"/>
  <c r="J5" i="20"/>
  <c r="D5" i="20"/>
  <c r="C5" i="20"/>
  <c r="B5" i="20"/>
  <c r="A5" i="20"/>
  <c r="T4" i="20"/>
  <c r="O4" i="20"/>
  <c r="J4" i="20"/>
  <c r="W3" i="20"/>
  <c r="V3" i="20"/>
  <c r="U3" i="20"/>
  <c r="W2" i="20"/>
  <c r="V2" i="20"/>
  <c r="U2" i="20"/>
  <c r="BO1" i="20"/>
  <c r="AT1" i="20"/>
  <c r="Y1" i="20"/>
  <c r="U6" i="25" l="1"/>
  <c r="B10" i="25"/>
  <c r="A10" i="25" s="1"/>
  <c r="W6" i="25"/>
  <c r="T7" i="25"/>
  <c r="J8" i="25"/>
  <c r="V6" i="25"/>
  <c r="O7" i="25"/>
  <c r="V5" i="24"/>
  <c r="W5" i="24"/>
  <c r="W6" i="23"/>
  <c r="T7" i="23"/>
  <c r="V5" i="23"/>
  <c r="O6" i="23"/>
  <c r="J7" i="23"/>
  <c r="B9" i="23"/>
  <c r="A9" i="23"/>
  <c r="U5" i="23"/>
  <c r="W10" i="22"/>
  <c r="U10" i="22"/>
  <c r="V10" i="22"/>
  <c r="W9" i="22"/>
  <c r="U8" i="22"/>
  <c r="V8" i="22"/>
  <c r="W8" i="22"/>
  <c r="V7" i="22"/>
  <c r="U7" i="22"/>
  <c r="W7" i="22"/>
  <c r="V4" i="22"/>
  <c r="U4" i="22"/>
  <c r="T5" i="22"/>
  <c r="U5" i="22" s="1"/>
  <c r="J6" i="22"/>
  <c r="W4" i="22"/>
  <c r="A5" i="21"/>
  <c r="U4" i="21"/>
  <c r="W4" i="21"/>
  <c r="B8" i="21"/>
  <c r="A8" i="21" s="1"/>
  <c r="T8" i="21"/>
  <c r="J5" i="21"/>
  <c r="A7" i="21"/>
  <c r="O5" i="21"/>
  <c r="W5" i="21" s="1"/>
  <c r="V4" i="21"/>
  <c r="A6" i="20"/>
  <c r="V4" i="20"/>
  <c r="W4" i="20"/>
  <c r="U4" i="20"/>
  <c r="O5" i="20"/>
  <c r="U5" i="20" s="1"/>
  <c r="B7" i="20"/>
  <c r="A7" i="20" s="1"/>
  <c r="T5" i="20"/>
  <c r="J6" i="20"/>
  <c r="W3" i="19"/>
  <c r="V3" i="19"/>
  <c r="U3" i="19"/>
  <c r="O8" i="25" l="1"/>
  <c r="U8" i="25" s="1"/>
  <c r="V7" i="25"/>
  <c r="U7" i="25"/>
  <c r="T8" i="25"/>
  <c r="W7" i="25"/>
  <c r="J9" i="25"/>
  <c r="U6" i="23"/>
  <c r="B10" i="23"/>
  <c r="A10" i="23" s="1"/>
  <c r="J8" i="23"/>
  <c r="T8" i="23"/>
  <c r="O7" i="23"/>
  <c r="V6" i="23"/>
  <c r="U6" i="22"/>
  <c r="W5" i="22"/>
  <c r="T6" i="22"/>
  <c r="W6" i="22" s="1"/>
  <c r="V5" i="22"/>
  <c r="U5" i="21"/>
  <c r="J6" i="21"/>
  <c r="V5" i="21"/>
  <c r="O6" i="21"/>
  <c r="T9" i="21"/>
  <c r="B9" i="21"/>
  <c r="J7" i="20"/>
  <c r="B8" i="20"/>
  <c r="A8" i="20" s="1"/>
  <c r="V5" i="20"/>
  <c r="O6" i="20"/>
  <c r="U6" i="20" s="1"/>
  <c r="T6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8" i="25" l="1"/>
  <c r="O9" i="25"/>
  <c r="J10" i="25"/>
  <c r="W8" i="25"/>
  <c r="T9" i="25"/>
  <c r="O8" i="23"/>
  <c r="V7" i="23"/>
  <c r="W8" i="23"/>
  <c r="T9" i="23"/>
  <c r="W7" i="23"/>
  <c r="U8" i="23"/>
  <c r="J9" i="23"/>
  <c r="U7" i="23"/>
  <c r="V6" i="22"/>
  <c r="B10" i="21"/>
  <c r="A9" i="21"/>
  <c r="T10" i="21"/>
  <c r="V6" i="21"/>
  <c r="O7" i="21"/>
  <c r="U6" i="21"/>
  <c r="J7" i="21"/>
  <c r="W6" i="21"/>
  <c r="T7" i="20"/>
  <c r="W6" i="20"/>
  <c r="B9" i="20"/>
  <c r="V6" i="20"/>
  <c r="O7" i="20"/>
  <c r="J8" i="20"/>
  <c r="U7" i="20"/>
  <c r="U11" i="19"/>
  <c r="W11" i="19"/>
  <c r="V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5" l="1"/>
  <c r="O10" i="25"/>
  <c r="U10" i="25" s="1"/>
  <c r="T10" i="25"/>
  <c r="W9" i="25"/>
  <c r="U9" i="25"/>
  <c r="V8" i="23"/>
  <c r="O9" i="23"/>
  <c r="J10" i="23"/>
  <c r="T10" i="23"/>
  <c r="B11" i="21"/>
  <c r="A11" i="21" s="1"/>
  <c r="J8" i="21"/>
  <c r="U7" i="21"/>
  <c r="W7" i="21"/>
  <c r="A10" i="21"/>
  <c r="O8" i="21"/>
  <c r="V7" i="21"/>
  <c r="T11" i="21"/>
  <c r="W7" i="20"/>
  <c r="T8" i="20"/>
  <c r="J9" i="20"/>
  <c r="O8" i="20"/>
  <c r="V7" i="20"/>
  <c r="B10" i="20"/>
  <c r="A9" i="20"/>
  <c r="W5" i="19"/>
  <c r="V5" i="19"/>
  <c r="U5" i="19"/>
  <c r="V10" i="25" l="1"/>
  <c r="W10" i="25"/>
  <c r="V9" i="23"/>
  <c r="O10" i="23"/>
  <c r="V10" i="23" s="1"/>
  <c r="W10" i="23"/>
  <c r="W9" i="23"/>
  <c r="U9" i="23"/>
  <c r="V8" i="21"/>
  <c r="O9" i="21"/>
  <c r="U8" i="21"/>
  <c r="J9" i="21"/>
  <c r="W8" i="21"/>
  <c r="B11" i="20"/>
  <c r="A11" i="20" s="1"/>
  <c r="A10" i="20"/>
  <c r="V8" i="20"/>
  <c r="O9" i="20"/>
  <c r="W8" i="20"/>
  <c r="T9" i="20"/>
  <c r="U8" i="20"/>
  <c r="U9" i="20"/>
  <c r="J10" i="20"/>
  <c r="U10" i="23" l="1"/>
  <c r="V9" i="21"/>
  <c r="O10" i="21"/>
  <c r="U9" i="21"/>
  <c r="J10" i="21"/>
  <c r="W9" i="21"/>
  <c r="W9" i="20"/>
  <c r="T10" i="20"/>
  <c r="V9" i="20"/>
  <c r="O10" i="20"/>
  <c r="J11" i="20"/>
  <c r="U10" i="21" l="1"/>
  <c r="J11" i="21"/>
  <c r="W10" i="21"/>
  <c r="V10" i="21"/>
  <c r="O11" i="21"/>
  <c r="T11" i="20"/>
  <c r="W10" i="20"/>
  <c r="U10" i="20"/>
  <c r="V10" i="20"/>
  <c r="O11" i="20"/>
  <c r="U11" i="21" l="1"/>
  <c r="W11" i="21"/>
  <c r="V11" i="21"/>
  <c r="V11" i="20"/>
  <c r="W11" i="20"/>
  <c r="U11" i="20"/>
</calcChain>
</file>

<file path=xl/sharedStrings.xml><?xml version="1.0" encoding="utf-8"?>
<sst xmlns="http://schemas.openxmlformats.org/spreadsheetml/2006/main" count="1149" uniqueCount="214">
  <si>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</si>
  <si>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</si>
  <si>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</si>
  <si>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</si>
  <si>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</si>
  <si>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</si>
  <si>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</si>
  <si>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</si>
  <si>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</si>
  <si>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</si>
  <si>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</si>
  <si>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</si>
  <si>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</si>
  <si>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</si>
  <si>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</si>
  <si>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</si>
  <si>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</si>
  <si>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</si>
  <si>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</si>
  <si>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</si>
  <si>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</si>
  <si>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</si>
  <si>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</si>
  <si>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</si>
  <si>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</si>
  <si>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</si>
  <si>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</si>
  <si>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</si>
  <si>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</si>
  <si>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</si>
  <si>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</si>
  <si>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</si>
  <si>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</si>
  <si>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</si>
  <si>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</si>
  <si>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</si>
  <si>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</si>
  <si>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</si>
  <si>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</si>
  <si>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</si>
  <si>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</si>
  <si>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</si>
  <si>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</si>
  <si>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</si>
  <si>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</si>
  <si>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</si>
  <si>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</si>
  <si>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</si>
  <si>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</si>
  <si>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</si>
  <si>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</si>
  <si>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</si>
  <si>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</si>
  <si>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</si>
  <si>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</si>
  <si>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</si>
  <si>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</si>
  <si>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</si>
  <si>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</si>
  <si>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</si>
  <si>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</si>
  <si>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</si>
  <si>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</si>
  <si>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</si>
  <si>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</si>
  <si>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</si>
  <si>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</si>
  <si>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</si>
  <si>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</si>
  <si>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</si>
  <si>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</si>
  <si>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</si>
  <si>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</si>
  <si>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</si>
  <si>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</si>
  <si>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</si>
  <si>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</si>
  <si>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</si>
  <si>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</si>
  <si>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</si>
  <si>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</si>
  <si>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</si>
  <si>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</si>
  <si>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</si>
  <si>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</si>
  <si>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</si>
  <si>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</si>
  <si>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</si>
  <si>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</si>
  <si>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</si>
  <si>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</si>
  <si>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</si>
  <si>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</si>
  <si>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</si>
  <si>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</si>
  <si>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</si>
  <si>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</si>
  <si>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</si>
  <si>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</si>
  <si>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</si>
  <si>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</si>
  <si>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</si>
  <si>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</si>
  <si>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</si>
  <si>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</si>
  <si>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</si>
  <si>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</si>
  <si>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</si>
  <si>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</si>
  <si>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</si>
  <si>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</si>
  <si>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</si>
  <si>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</si>
  <si>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</si>
  <si>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</si>
  <si>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</si>
  <si>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</si>
  <si>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</si>
  <si>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</si>
  <si>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</si>
  <si>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</si>
  <si>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</si>
  <si>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</si>
  <si>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</si>
  <si>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</si>
  <si>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</si>
  <si>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</si>
  <si>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</si>
  <si>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</si>
  <si>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</si>
  <si>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</si>
  <si>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</si>
  <si>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</si>
  <si>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</si>
  <si>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</si>
  <si>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</si>
  <si>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</si>
  <si>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</si>
  <si>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</si>
  <si>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</si>
  <si>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</si>
  <si>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</si>
  <si>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</si>
  <si>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</si>
  <si>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</si>
  <si>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</si>
  <si>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</si>
  <si>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</si>
  <si>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</si>
  <si>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</si>
  <si>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</si>
  <si>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</si>
  <si>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</si>
  <si>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</si>
  <si>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</si>
  <si>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</si>
  <si>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</si>
  <si>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</si>
  <si>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</si>
  <si>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</si>
  <si>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</si>
  <si>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</si>
  <si>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</si>
  <si>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</si>
  <si>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</si>
  <si>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</si>
  <si>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</si>
  <si>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</si>
  <si>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</si>
  <si>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</si>
  <si>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</si>
  <si>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</si>
  <si>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</si>
  <si>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</si>
  <si>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</si>
  <si>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</si>
  <si>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</si>
  <si>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</si>
  <si>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</si>
  <si>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</si>
  <si>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</si>
  <si>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</si>
  <si>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</si>
  <si>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</si>
  <si>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</si>
  <si>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</si>
  <si>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</si>
  <si>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</si>
  <si>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</si>
  <si>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</si>
  <si>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</si>
  <si>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</si>
  <si>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</si>
  <si>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のり</t>
  </si>
  <si>
    <t>のり</t>
    <phoneticPr fontId="1"/>
  </si>
  <si>
    <t>れんたろう</t>
  </si>
  <si>
    <t>れんたろう</t>
    <phoneticPr fontId="1"/>
  </si>
  <si>
    <t>ツモ</t>
  </si>
  <si>
    <t>ツモ支払</t>
  </si>
  <si>
    <t>01</t>
  </si>
  <si>
    <t>52</t>
  </si>
  <si>
    <t>T</t>
  </si>
  <si>
    <t>N</t>
  </si>
  <si>
    <t>流局</t>
    <phoneticPr fontId="1"/>
  </si>
  <si>
    <t>放銃</t>
  </si>
  <si>
    <t>ロン</t>
  </si>
  <si>
    <t>*</t>
  </si>
  <si>
    <t>02</t>
  </si>
  <si>
    <t>流局</t>
    <phoneticPr fontId="1"/>
  </si>
  <si>
    <t>51</t>
  </si>
  <si>
    <t>ただ</t>
  </si>
  <si>
    <t>ただ</t>
    <phoneticPr fontId="1"/>
  </si>
  <si>
    <t>りくと</t>
    <phoneticPr fontId="1"/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</si>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</sst>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のり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のり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5300</v>
      </c>
      <c r="H4" s="9"/>
      <c r="I4" s="48">
        <v>0</v>
      </c>
      <c r="J4" s="21">
        <f>IF(COUNTA($F4,$K4,$P4)&gt;0,J3+SUM(G4:I4),"")</f>
        <v>40300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198</v>
      </c>
      <c r="Q4" s="9">
        <v>-3300</v>
      </c>
      <c r="R4" s="9"/>
      <c r="S4" s="48">
        <v>0</v>
      </c>
      <c r="T4" s="21">
        <f>IF(COUNTA($F4,$K4,$P4)&gt;0,T3+SUM(Q4:S4),"")</f>
        <v>31700</v>
      </c>
      <c r="U4" s="53">
        <f>IF($J4="","",ROUND(($J4-$J$3)/1000,1)+(_xlfn.RANK.AVG($J4,($J4,$O4,$T4),1)-2)*10)</f>
        <v>15.3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-13.3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199</v>
      </c>
      <c r="AF4" s="41" t="s">
        <v>82</v>
      </c>
      <c r="AG4" s="41" t="s">
        <v>83</v>
      </c>
      <c r="AH4" s="41" t="s">
        <v>200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4000</v>
      </c>
      <c r="H5" s="9"/>
      <c r="I5" s="48">
        <v>0</v>
      </c>
      <c r="J5" s="21">
        <f t="shared" ref="J5:J30" si="2">IF(COUNTA($F5,$K5,$P5)&gt;0,J4+SUM(G5:I5),"")</f>
        <v>44300</v>
      </c>
      <c r="K5" s="8" t="s">
        <v>198</v>
      </c>
      <c r="L5" s="9">
        <v>-2000</v>
      </c>
      <c r="M5" s="9"/>
      <c r="N5" s="48">
        <v>0</v>
      </c>
      <c r="O5" s="21">
        <f t="shared" ref="O5:O30" si="3">IF(COUNTA($F5,$K5,$P5)&gt;0,O4+SUM(L5:N5),"")</f>
        <v>31000</v>
      </c>
      <c r="P5" s="8" t="s">
        <v>198</v>
      </c>
      <c r="Q5" s="9">
        <v>-2000</v>
      </c>
      <c r="R5" s="9"/>
      <c r="S5" s="48">
        <v>0</v>
      </c>
      <c r="T5" s="21">
        <f t="shared" ref="T5:T30" si="4">IF(COUNTA($F5,$K5,$P5)&gt;0,T4+SUM(Q5:S5),"")</f>
        <v>29700</v>
      </c>
      <c r="U5" s="53">
        <f>IF($J5="","",ROUND(($J5-$J$3)/1000,1)+(_xlfn.RANK.AVG($J5,($J5,$O5,$T5),1)-2)*10)</f>
        <v>19.3</v>
      </c>
      <c r="V5" s="54">
        <f>IF($O5="","",ROUND(($O5-$O$3)/1000,1)+(_xlfn.RANK.AVG($O5,($J5,$O5,$T5),1)-2)*10)</f>
        <v>-4</v>
      </c>
      <c r="W5" s="55">
        <f>IF($T5="","",ROUND(($T5-$T$3)/1000,1)+(_xlfn.RANK.AVG($T5,($J5,$O5,$T5),1)-2)*10)</f>
        <v>-15.3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199</v>
      </c>
      <c r="AF5" s="41" t="s">
        <v>82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203</v>
      </c>
      <c r="G6" s="9">
        <v>3000</v>
      </c>
      <c r="H6" s="9">
        <v>-1000</v>
      </c>
      <c r="I6" s="48"/>
      <c r="J6" s="21">
        <f t="shared" si="2"/>
        <v>46300</v>
      </c>
      <c r="K6" s="8" t="s">
        <v>203</v>
      </c>
      <c r="L6" s="9">
        <v>-1500</v>
      </c>
      <c r="M6" s="9"/>
      <c r="N6" s="48"/>
      <c r="O6" s="21">
        <f t="shared" si="3"/>
        <v>29500</v>
      </c>
      <c r="P6" s="8" t="s">
        <v>203</v>
      </c>
      <c r="Q6" s="9">
        <v>-1500</v>
      </c>
      <c r="R6" s="9"/>
      <c r="S6" s="48"/>
      <c r="T6" s="21">
        <f t="shared" si="4"/>
        <v>28200</v>
      </c>
      <c r="U6" s="53">
        <f>IF($J6="","",ROUND(($J6-$J$3)/1000,1)+(_xlfn.RANK.AVG($J6,($J6,$O6,$T6),1)-2)*10)</f>
        <v>21.3</v>
      </c>
      <c r="V6" s="54">
        <f>IF($O6="","",ROUND(($O6-$O$3)/1000,1)+(_xlfn.RANK.AVG($O6,($J6,$O6,$T6),1)-2)*10)</f>
        <v>-5.5</v>
      </c>
      <c r="W6" s="55">
        <f>IF($T6="","",ROUND(($T6-$T$3)/1000,1)+(_xlfn.RANK.AVG($T6,($J6,$O6,$T6),1)-2)*10)</f>
        <v>-16.8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">
        <v>191</v>
      </c>
      <c r="F7" s="8" t="s">
        <v>204</v>
      </c>
      <c r="G7" s="9">
        <v>-3900</v>
      </c>
      <c r="H7" s="9"/>
      <c r="I7" s="48">
        <v>-2000</v>
      </c>
      <c r="J7" s="21">
        <f t="shared" si="2"/>
        <v>40400</v>
      </c>
      <c r="K7" s="8" t="s">
        <v>205</v>
      </c>
      <c r="L7" s="9">
        <v>3900</v>
      </c>
      <c r="M7" s="9">
        <v>1000</v>
      </c>
      <c r="N7" s="48">
        <v>2000</v>
      </c>
      <c r="O7" s="21">
        <f t="shared" si="3"/>
        <v>36400</v>
      </c>
      <c r="P7" s="8"/>
      <c r="Q7" s="9"/>
      <c r="R7" s="9"/>
      <c r="S7" s="48"/>
      <c r="T7" s="21">
        <f t="shared" si="4"/>
        <v>28200</v>
      </c>
      <c r="U7" s="53">
        <f>IF($J7="","",ROUND(($J7-$J$3)/1000,1)+(_xlfn.RANK.AVG($J7,($J7,$O7,$T7),1)-2)*10)</f>
        <v>15.4</v>
      </c>
      <c r="V7" s="54">
        <f>IF($O7="","",ROUND(($O7-$O$3)/1000,1)+(_xlfn.RANK.AVG($O7,($J7,$O7,$T7),1)-2)*10)</f>
        <v>1.4</v>
      </c>
      <c r="W7" s="55">
        <f>IF($T7="","",ROUND(($T7-$T$3)/1000,1)+(_xlfn.RANK.AVG($T7,($J7,$O7,$T7),1)-2)*10)</f>
        <v>-16.8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200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205</v>
      </c>
      <c r="G8" s="9">
        <v>5200</v>
      </c>
      <c r="H8" s="9">
        <v>1000</v>
      </c>
      <c r="I8" s="48">
        <v>0</v>
      </c>
      <c r="J8" s="21">
        <f t="shared" si="2"/>
        <v>46600</v>
      </c>
      <c r="K8" s="8"/>
      <c r="L8" s="9"/>
      <c r="M8" s="9"/>
      <c r="N8" s="48"/>
      <c r="O8" s="21">
        <f t="shared" si="3"/>
        <v>36400</v>
      </c>
      <c r="P8" s="8" t="s">
        <v>204</v>
      </c>
      <c r="Q8" s="9">
        <v>-5200</v>
      </c>
      <c r="R8" s="9">
        <v>-1000</v>
      </c>
      <c r="S8" s="48">
        <v>0</v>
      </c>
      <c r="T8" s="21">
        <f t="shared" si="4"/>
        <v>22000</v>
      </c>
      <c r="U8" s="53">
        <f>IF($J8="","",ROUND(($J8-$J$3)/1000,1)+(_xlfn.RANK.AVG($J8,($J8,$O8,$T8),1)-2)*10)</f>
        <v>21.6</v>
      </c>
      <c r="V8" s="54">
        <f>IF($O8="","",ROUND(($O8-$O$3)/1000,1)+(_xlfn.RANK.AVG($O8,($J8,$O8,$T8),1)-2)*10)</f>
        <v>1.4</v>
      </c>
      <c r="W8" s="55">
        <f>IF($T8="","",ROUND(($T8-$T$3)/1000,1)+(_xlfn.RANK.AVG($T8,($J8,$O8,$T8),1)-2)*10)</f>
        <v>-23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199</v>
      </c>
      <c r="AF8" s="41" t="s">
        <v>79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1300</v>
      </c>
      <c r="H9" s="9"/>
      <c r="I9" s="48">
        <v>0</v>
      </c>
      <c r="J9" s="21">
        <f t="shared" si="2"/>
        <v>47900</v>
      </c>
      <c r="K9" s="8"/>
      <c r="L9" s="9"/>
      <c r="M9" s="9"/>
      <c r="N9" s="48"/>
      <c r="O9" s="21">
        <f t="shared" si="3"/>
        <v>36400</v>
      </c>
      <c r="P9" s="8" t="s">
        <v>204</v>
      </c>
      <c r="Q9" s="9">
        <v>-1300</v>
      </c>
      <c r="R9" s="9"/>
      <c r="S9" s="48">
        <v>0</v>
      </c>
      <c r="T9" s="21">
        <f t="shared" si="4"/>
        <v>20700</v>
      </c>
      <c r="U9" s="53">
        <f>IF($J9="","",ROUND(($J9-$J$3)/1000,1)+(_xlfn.RANK.AVG($J9,($J9,$O9,$T9),1)-2)*10)</f>
        <v>22.9</v>
      </c>
      <c r="V9" s="54">
        <f>IF($O9="","",ROUND(($O9-$O$3)/1000,1)+(_xlfn.RANK.AVG($O9,($J9,$O9,$T9),1)-2)*10)</f>
        <v>1.4</v>
      </c>
      <c r="W9" s="55">
        <f>IF($T9="","",ROUND(($T9-$T$3)/1000,1)+(_xlfn.RANK.AVG($T9,($J9,$O9,$T9),1)-2)*10)</f>
        <v>-24.3</v>
      </c>
      <c r="Y9" s="8"/>
      <c r="Z9" s="34"/>
      <c r="AA9" s="26">
        <v>1</v>
      </c>
      <c r="AB9" s="26"/>
      <c r="AC9" s="26">
        <v>1</v>
      </c>
      <c r="AD9" s="30">
        <v>40</v>
      </c>
      <c r="AE9" s="40" t="s">
        <v>199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-10000</v>
      </c>
      <c r="H10" s="9"/>
      <c r="I10" s="48">
        <v>0</v>
      </c>
      <c r="J10" s="21">
        <f t="shared" si="2"/>
        <v>37900</v>
      </c>
      <c r="K10" s="8" t="s">
        <v>198</v>
      </c>
      <c r="L10" s="9">
        <v>-6000</v>
      </c>
      <c r="M10" s="9"/>
      <c r="N10" s="48">
        <v>0</v>
      </c>
      <c r="O10" s="21">
        <f t="shared" si="3"/>
        <v>30400</v>
      </c>
      <c r="P10" s="8" t="s">
        <v>197</v>
      </c>
      <c r="Q10" s="9">
        <v>16000</v>
      </c>
      <c r="R10" s="9"/>
      <c r="S10" s="48">
        <v>0</v>
      </c>
      <c r="T10" s="21">
        <f t="shared" si="4"/>
        <v>36700</v>
      </c>
      <c r="U10" s="53">
        <f>IF($J10="","",ROUND(($J10-$J$3)/1000,1)+(_xlfn.RANK.AVG($J10,($J10,$O10,$T10),1)-2)*10)</f>
        <v>12.9</v>
      </c>
      <c r="V10" s="54">
        <f>IF($O10="","",ROUND(($O10-$O$3)/1000,1)+(_xlfn.RANK.AVG($O10,($J10,$O10,$T10),1)-2)*10)</f>
        <v>-14.6</v>
      </c>
      <c r="W10" s="55">
        <f>IF($T10="","",ROUND(($T10-$T$3)/1000,1)+(_xlfn.RANK.AVG($T10,($J10,$O10,$T10),1)-2)*10)</f>
        <v>1.7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206</v>
      </c>
      <c r="BU10" s="40" t="s">
        <v>199</v>
      </c>
      <c r="BV10" s="41" t="s">
        <v>82</v>
      </c>
      <c r="BW10" s="41" t="s">
        <v>104</v>
      </c>
      <c r="BX10" s="41" t="s">
        <v>86</v>
      </c>
      <c r="BY10" s="41" t="s">
        <v>86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12000</v>
      </c>
      <c r="H11" s="9">
        <v>1000</v>
      </c>
      <c r="I11" s="48">
        <v>0</v>
      </c>
      <c r="J11" s="21">
        <f t="shared" si="2"/>
        <v>50900</v>
      </c>
      <c r="K11" s="8" t="s">
        <v>198</v>
      </c>
      <c r="L11" s="9">
        <v>-7500</v>
      </c>
      <c r="M11" s="9">
        <v>-1000</v>
      </c>
      <c r="N11" s="48">
        <v>0</v>
      </c>
      <c r="O11" s="21">
        <f t="shared" si="3"/>
        <v>21900</v>
      </c>
      <c r="P11" s="8" t="s">
        <v>198</v>
      </c>
      <c r="Q11" s="9">
        <v>-4500</v>
      </c>
      <c r="R11" s="9"/>
      <c r="S11" s="48">
        <v>0</v>
      </c>
      <c r="T11" s="21">
        <f t="shared" si="4"/>
        <v>32200</v>
      </c>
      <c r="U11" s="53">
        <f>IF($J11="","",ROUND(($J11-$J$3)/1000,1)+(_xlfn.RANK.AVG($J11,($J11,$O11,$T11),1)-2)*10)</f>
        <v>25.9</v>
      </c>
      <c r="V11" s="54">
        <f>IF($O11="","",ROUND(($O11-$O$3)/1000,1)+(_xlfn.RANK.AVG($O11,($J11,$O11,$T11),1)-2)*10)</f>
        <v>-23.1</v>
      </c>
      <c r="W11" s="55">
        <f>IF($T11="","",ROUND(($T11-$T$3)/1000,1)+(_xlfn.RANK.AVG($T11,($J11,$O11,$T11),1)-2)*10)</f>
        <v>-2.8</v>
      </c>
      <c r="Y11" s="8"/>
      <c r="Z11" s="34"/>
      <c r="AA11" s="26"/>
      <c r="AB11" s="26">
        <v>1</v>
      </c>
      <c r="AC11" s="26">
        <v>7</v>
      </c>
      <c r="AD11" s="30" t="s">
        <v>206</v>
      </c>
      <c r="AE11" s="40" t="s">
        <v>86</v>
      </c>
      <c r="AF11" s="41" t="s">
        <v>79</v>
      </c>
      <c r="AG11" s="41" t="s">
        <v>200</v>
      </c>
      <c r="AH11" s="41" t="s">
        <v>79</v>
      </c>
      <c r="AI11" s="41" t="s">
        <v>79</v>
      </c>
      <c r="AJ11" s="41" t="s">
        <v>200</v>
      </c>
      <c r="AK11" s="41" t="s">
        <v>86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56900A0-2768-458A-A621-E2B128E44A1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5E215-DD69-4D4F-B6E0-B2DE29A4BFE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のり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205</v>
      </c>
      <c r="G4" s="9">
        <v>2400</v>
      </c>
      <c r="H4" s="9"/>
      <c r="I4" s="48">
        <v>0</v>
      </c>
      <c r="J4" s="21">
        <f>IF(COUNTA($F4,$K4,$P4)&gt;0,J3+SUM(G4:I4),"")</f>
        <v>37400</v>
      </c>
      <c r="K4" s="8"/>
      <c r="L4" s="9"/>
      <c r="M4" s="9"/>
      <c r="N4" s="48"/>
      <c r="O4" s="21">
        <f>IF(COUNTA($F4,$K4,$P4)&gt;0,O3+SUM(L4:N4),"")</f>
        <v>35000</v>
      </c>
      <c r="P4" s="8" t="s">
        <v>204</v>
      </c>
      <c r="Q4" s="9">
        <v>-2400</v>
      </c>
      <c r="R4" s="9"/>
      <c r="S4" s="48">
        <v>0</v>
      </c>
      <c r="T4" s="21">
        <f>IF(COUNTA($F4,$K4,$P4)&gt;0,T3+SUM(Q4:S4),"")</f>
        <v>32600</v>
      </c>
      <c r="U4" s="53">
        <f>IF($J4="","",ROUND(($J4-$J$3)/1000,1)+(_xlfn.RANK.AVG($J4,($J4,$O4,$T4),1)-2)*10)</f>
        <v>12.4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-12.4</v>
      </c>
      <c r="Y4" s="8"/>
      <c r="Z4" s="34"/>
      <c r="AA4" s="26"/>
      <c r="AB4" s="26"/>
      <c r="AC4" s="26">
        <v>2</v>
      </c>
      <c r="AD4" s="30">
        <v>25</v>
      </c>
      <c r="AE4" s="40" t="s">
        <v>101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26900</v>
      </c>
      <c r="K5" s="8" t="s">
        <v>197</v>
      </c>
      <c r="L5" s="9">
        <v>16000</v>
      </c>
      <c r="M5" s="9"/>
      <c r="N5" s="48">
        <v>1000</v>
      </c>
      <c r="O5" s="21">
        <f t="shared" ref="O5:O30" si="3">IF(COUNTA($F5,$K5,$P5)&gt;0,O4+SUM(L5:N5),"")</f>
        <v>52000</v>
      </c>
      <c r="P5" s="8" t="s">
        <v>198</v>
      </c>
      <c r="Q5" s="9">
        <v>-6000</v>
      </c>
      <c r="R5" s="9"/>
      <c r="S5" s="48">
        <v>-500</v>
      </c>
      <c r="T5" s="21">
        <f t="shared" ref="T5:T30" si="4">IF(COUNTA($F5,$K5,$P5)&gt;0,T4+SUM(Q5:S5),"")</f>
        <v>26100</v>
      </c>
      <c r="U5" s="53">
        <f>IF($J5="","",ROUND(($J5-$J$3)/1000,1)+(_xlfn.RANK.AVG($J5,($J5,$O5,$T5),1)-2)*10)</f>
        <v>-8.1</v>
      </c>
      <c r="V5" s="54">
        <f>IF($O5="","",ROUND(($O5-$O$3)/1000,1)+(_xlfn.RANK.AVG($O5,($J5,$O5,$T5),1)-2)*10)</f>
        <v>27</v>
      </c>
      <c r="W5" s="55">
        <f>IF($T5="","",ROUND(($T5-$T$3)/1000,1)+(_xlfn.RANK.AVG($T5,($J5,$O5,$T5),1)-2)*10)</f>
        <v>-18.899999999999999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8</v>
      </c>
      <c r="AY5" s="30" t="s">
        <v>206</v>
      </c>
      <c r="AZ5" s="40" t="s">
        <v>199</v>
      </c>
      <c r="BA5" s="41" t="s">
        <v>82</v>
      </c>
      <c r="BB5" s="41" t="s">
        <v>207</v>
      </c>
      <c r="BC5" s="41" t="s">
        <v>79</v>
      </c>
      <c r="BD5" s="41" t="s">
        <v>79</v>
      </c>
      <c r="BE5" s="41" t="s">
        <v>80</v>
      </c>
      <c r="BF5" s="41" t="s">
        <v>80</v>
      </c>
      <c r="BG5" s="41" t="s">
        <v>200</v>
      </c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-12000</v>
      </c>
      <c r="H6" s="9"/>
      <c r="I6" s="48">
        <v>0</v>
      </c>
      <c r="J6" s="21">
        <f t="shared" si="2"/>
        <v>14900</v>
      </c>
      <c r="K6" s="8"/>
      <c r="L6" s="9"/>
      <c r="M6" s="9"/>
      <c r="N6" s="48"/>
      <c r="O6" s="21">
        <f t="shared" si="3"/>
        <v>52000</v>
      </c>
      <c r="P6" s="8" t="s">
        <v>205</v>
      </c>
      <c r="Q6" s="9">
        <v>12000</v>
      </c>
      <c r="R6" s="9"/>
      <c r="S6" s="48">
        <v>0</v>
      </c>
      <c r="T6" s="21">
        <f t="shared" si="4"/>
        <v>38100</v>
      </c>
      <c r="U6" s="53">
        <f>IF($J6="","",ROUND(($J6-$J$3)/1000,1)+(_xlfn.RANK.AVG($J6,($J6,$O6,$T6),1)-2)*10)</f>
        <v>-30.1</v>
      </c>
      <c r="V6" s="54">
        <f>IF($O6="","",ROUND(($O6-$O$3)/1000,1)+(_xlfn.RANK.AVG($O6,($J6,$O6,$T6),1)-2)*10)</f>
        <v>27</v>
      </c>
      <c r="W6" s="55">
        <f>IF($T6="","",ROUND(($T6-$T$3)/1000,1)+(_xlfn.RANK.AVG($T6,($J6,$O6,$T6),1)-2)*10)</f>
        <v>3.1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206</v>
      </c>
      <c r="BU6" s="40" t="s">
        <v>199</v>
      </c>
      <c r="BV6" s="41" t="s">
        <v>207</v>
      </c>
      <c r="BW6" s="41" t="s">
        <v>79</v>
      </c>
      <c r="BX6" s="41" t="s">
        <v>79</v>
      </c>
      <c r="BY6" s="41" t="s">
        <v>79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208</v>
      </c>
      <c r="G7" s="9">
        <v>3000</v>
      </c>
      <c r="H7" s="9">
        <v>-1000</v>
      </c>
      <c r="I7" s="48"/>
      <c r="J7" s="21">
        <f t="shared" si="2"/>
        <v>16900</v>
      </c>
      <c r="K7" s="8" t="s">
        <v>208</v>
      </c>
      <c r="L7" s="9">
        <v>-1500</v>
      </c>
      <c r="M7" s="9"/>
      <c r="N7" s="48"/>
      <c r="O7" s="21">
        <f t="shared" si="3"/>
        <v>50500</v>
      </c>
      <c r="P7" s="8" t="s">
        <v>208</v>
      </c>
      <c r="Q7" s="9">
        <v>-1500</v>
      </c>
      <c r="R7" s="9"/>
      <c r="S7" s="48"/>
      <c r="T7" s="21">
        <f t="shared" si="4"/>
        <v>36600</v>
      </c>
      <c r="U7" s="53">
        <f>IF($J7="","",ROUND(($J7-$J$3)/1000,1)+(_xlfn.RANK.AVG($J7,($J7,$O7,$T7),1)-2)*10)</f>
        <v>-28.1</v>
      </c>
      <c r="V7" s="54">
        <f>IF($O7="","",ROUND(($O7-$O$3)/1000,1)+(_xlfn.RANK.AVG($O7,($J7,$O7,$T7),1)-2)*10)</f>
        <v>25.5</v>
      </c>
      <c r="W7" s="55">
        <f>IF($T7="","",ROUND(($T7-$T$3)/1000,1)+(_xlfn.RANK.AVG($T7,($J7,$O7,$T7),1)-2)*10)</f>
        <v>1.6</v>
      </c>
      <c r="Y7" s="8" t="s">
        <v>201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191</v>
      </c>
      <c r="F8" s="8" t="s">
        <v>198</v>
      </c>
      <c r="G8" s="9">
        <v>-2500</v>
      </c>
      <c r="H8" s="9"/>
      <c r="I8" s="48">
        <v>-500</v>
      </c>
      <c r="J8" s="21">
        <f t="shared" si="2"/>
        <v>13900</v>
      </c>
      <c r="K8" s="8" t="s">
        <v>197</v>
      </c>
      <c r="L8" s="9">
        <v>4000</v>
      </c>
      <c r="M8" s="9">
        <v>1000</v>
      </c>
      <c r="N8" s="48">
        <v>1000</v>
      </c>
      <c r="O8" s="21">
        <f t="shared" si="3"/>
        <v>56500</v>
      </c>
      <c r="P8" s="8" t="s">
        <v>198</v>
      </c>
      <c r="Q8" s="9">
        <v>-1500</v>
      </c>
      <c r="R8" s="9"/>
      <c r="S8" s="48">
        <v>-500</v>
      </c>
      <c r="T8" s="21">
        <f t="shared" si="4"/>
        <v>34600</v>
      </c>
      <c r="U8" s="53">
        <f>IF($J8="","",ROUND(($J8-$J$3)/1000,1)+(_xlfn.RANK.AVG($J8,($J8,$O8,$T8),1)-2)*10)</f>
        <v>-31.1</v>
      </c>
      <c r="V8" s="54">
        <f>IF($O8="","",ROUND(($O8-$O$3)/1000,1)+(_xlfn.RANK.AVG($O8,($J8,$O8,$T8),1)-2)*10)</f>
        <v>31.5</v>
      </c>
      <c r="W8" s="55">
        <f>IF($T8="","",ROUND(($T8-$T$3)/1000,1)+(_xlfn.RANK.AVG($T8,($J8,$O8,$T8),1)-2)*10)</f>
        <v>-0.4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199</v>
      </c>
      <c r="BA8" s="41" t="s">
        <v>82</v>
      </c>
      <c r="BB8" s="41" t="s">
        <v>200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13900</v>
      </c>
      <c r="K9" s="8" t="s">
        <v>205</v>
      </c>
      <c r="L9" s="9">
        <v>11600</v>
      </c>
      <c r="M9" s="9"/>
      <c r="N9" s="48">
        <v>0</v>
      </c>
      <c r="O9" s="21">
        <f t="shared" si="3"/>
        <v>68100</v>
      </c>
      <c r="P9" s="8" t="s">
        <v>204</v>
      </c>
      <c r="Q9" s="9">
        <v>-11600</v>
      </c>
      <c r="R9" s="9"/>
      <c r="S9" s="48">
        <v>0</v>
      </c>
      <c r="T9" s="21">
        <f t="shared" si="4"/>
        <v>23000</v>
      </c>
      <c r="U9" s="53">
        <f>IF($J9="","",ROUND(($J9-$J$3)/1000,1)+(_xlfn.RANK.AVG($J9,($J9,$O9,$T9),1)-2)*10)</f>
        <v>-31.1</v>
      </c>
      <c r="V9" s="54">
        <f>IF($O9="","",ROUND(($O9-$O$3)/1000,1)+(_xlfn.RANK.AVG($O9,($J9,$O9,$T9),1)-2)*10)</f>
        <v>43.1</v>
      </c>
      <c r="W9" s="55">
        <f>IF($T9="","",ROUND(($T9-$T$3)/1000,1)+(_xlfn.RANK.AVG($T9,($J9,$O9,$T9),1)-2)*10)</f>
        <v>-12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104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205</v>
      </c>
      <c r="G10" s="9">
        <v>8000</v>
      </c>
      <c r="H10" s="9"/>
      <c r="I10" s="48">
        <v>1000</v>
      </c>
      <c r="J10" s="21">
        <f t="shared" si="2"/>
        <v>22900</v>
      </c>
      <c r="K10" s="8"/>
      <c r="L10" s="9"/>
      <c r="M10" s="9"/>
      <c r="N10" s="48"/>
      <c r="O10" s="21">
        <f t="shared" si="3"/>
        <v>68100</v>
      </c>
      <c r="P10" s="8" t="s">
        <v>204</v>
      </c>
      <c r="Q10" s="9">
        <v>-8000</v>
      </c>
      <c r="R10" s="9"/>
      <c r="S10" s="48">
        <v>-1000</v>
      </c>
      <c r="T10" s="21">
        <f t="shared" si="4"/>
        <v>14000</v>
      </c>
      <c r="U10" s="53">
        <f>IF($J10="","",ROUND(($J10-$J$3)/1000,1)+(_xlfn.RANK.AVG($J10,($J10,$O10,$T10),1)-2)*10)</f>
        <v>-12.1</v>
      </c>
      <c r="V10" s="54">
        <f>IF($O10="","",ROUND(($O10-$O$3)/1000,1)+(_xlfn.RANK.AVG($O10,($J10,$O10,$T10),1)-2)*10)</f>
        <v>43.1</v>
      </c>
      <c r="W10" s="55">
        <f>IF($T10="","",ROUND(($T10-$T$3)/1000,1)+(_xlfn.RANK.AVG($T10,($J10,$O10,$T10),1)-2)*10)</f>
        <v>-31</v>
      </c>
      <c r="Y10" s="8"/>
      <c r="Z10" s="34"/>
      <c r="AA10" s="26">
        <v>1</v>
      </c>
      <c r="AB10" s="26"/>
      <c r="AC10" s="26">
        <v>5</v>
      </c>
      <c r="AD10" s="30" t="s">
        <v>206</v>
      </c>
      <c r="AE10" s="40" t="s">
        <v>199</v>
      </c>
      <c r="AF10" s="41" t="s">
        <v>83</v>
      </c>
      <c r="AG10" s="41" t="s">
        <v>200</v>
      </c>
      <c r="AH10" s="41" t="s">
        <v>200</v>
      </c>
      <c r="AI10" s="41" t="s">
        <v>79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-800</v>
      </c>
      <c r="H11" s="9"/>
      <c r="I11" s="48">
        <v>0</v>
      </c>
      <c r="J11" s="21">
        <f t="shared" si="2"/>
        <v>22100</v>
      </c>
      <c r="K11" s="8" t="s">
        <v>197</v>
      </c>
      <c r="L11" s="9">
        <v>2100</v>
      </c>
      <c r="M11" s="9"/>
      <c r="N11" s="48">
        <v>0</v>
      </c>
      <c r="O11" s="21">
        <f t="shared" si="3"/>
        <v>70200</v>
      </c>
      <c r="P11" s="8" t="s">
        <v>198</v>
      </c>
      <c r="Q11" s="9">
        <v>-1300</v>
      </c>
      <c r="R11" s="9"/>
      <c r="S11" s="48">
        <v>0</v>
      </c>
      <c r="T11" s="21">
        <f t="shared" si="4"/>
        <v>12700</v>
      </c>
      <c r="U11" s="53">
        <f>IF($J11="","",ROUND(($J11-$J$3)/1000,1)+(_xlfn.RANK.AVG($J11,($J11,$O11,$T11),1)-2)*10)</f>
        <v>-12.9</v>
      </c>
      <c r="V11" s="54">
        <f>IF($O11="","",ROUND(($O11-$O$3)/1000,1)+(_xlfn.RANK.AVG($O11,($J11,$O11,$T11),1)-2)*10)</f>
        <v>45.2</v>
      </c>
      <c r="W11" s="55">
        <f>IF($T11="","",ROUND(($T11-$T$3)/1000,1)+(_xlfn.RANK.AVG($T11,($J11,$O11,$T11),1)-2)*10)</f>
        <v>-32.299999999999997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5ACFD1C2-6C3A-4B6E-8E60-6000B2F37E96}">
      <formula1>"たかの,だいち,ただ,りくと,れんたろう,まっつん,のり,ぱぱ,ほたに,いっしー,"</formula1>
    </dataValidation>
    <dataValidation type="list" showInputMessage="1" showErrorMessage="1" sqref="K4:K30 P4:P30 F4:F30" xr:uid="{1B588CBA-CDFC-4203-8485-64CCC0935EAE}">
      <formula1>"ロン,ツモ,放銃,ツモ支払,流局,チョンボ"</formula1>
    </dataValidation>
    <dataValidation type="list" allowBlank="1" showInputMessage="1" showErrorMessage="1" sqref="E4:E30" xr:uid="{E23D4C4E-4673-48EE-9DE3-D948EBE0B48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0B266-5263-400F-9E41-EDAE1170E93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のり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205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204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199</v>
      </c>
      <c r="BA4" s="41" t="s">
        <v>207</v>
      </c>
      <c r="BB4" s="41" t="s">
        <v>84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24000</v>
      </c>
      <c r="H5" s="9">
        <v>2000</v>
      </c>
      <c r="I5" s="48">
        <v>0</v>
      </c>
      <c r="J5" s="21">
        <f t="shared" ref="J5:J30" si="2">IF(COUNTA($F5,$K5,$P5)&gt;0,J4+SUM(G5:I5),"")</f>
        <v>61000</v>
      </c>
      <c r="K5" s="8" t="s">
        <v>204</v>
      </c>
      <c r="L5" s="9">
        <v>-24000</v>
      </c>
      <c r="M5" s="9">
        <v>-1000</v>
      </c>
      <c r="N5" s="48">
        <v>0</v>
      </c>
      <c r="O5" s="21">
        <f t="shared" ref="O5:O30" si="3">IF(COUNTA($F5,$K5,$P5)&gt;0,O4+SUM(L5:N5),"")</f>
        <v>15200</v>
      </c>
      <c r="P5" s="8"/>
      <c r="Q5" s="9"/>
      <c r="R5" s="9">
        <v>-1000</v>
      </c>
      <c r="S5" s="48"/>
      <c r="T5" s="21">
        <f t="shared" ref="T5:T30" si="4">IF(COUNTA($F5,$K5,$P5)&gt;0,T4+SUM(Q5:S5),"")</f>
        <v>28800</v>
      </c>
      <c r="U5" s="53">
        <f>IF($J5="","",ROUND(($J5-$J$3)/1000,1)+(_xlfn.RANK.AVG($J5,($J5,$O5,$T5),1)-2)*10)</f>
        <v>36</v>
      </c>
      <c r="V5" s="54">
        <f>IF($O5="","",ROUND(($O5-$O$3)/1000,1)+(_xlfn.RANK.AVG($O5,($J5,$O5,$T5),1)-2)*10)</f>
        <v>-29.8</v>
      </c>
      <c r="W5" s="55">
        <f>IF($T5="","",ROUND(($T5-$T$3)/1000,1)+(_xlfn.RANK.AVG($T5,($J5,$O5,$T5),1)-2)*10)</f>
        <v>-6.2</v>
      </c>
      <c r="Y5" s="8"/>
      <c r="Z5" s="34"/>
      <c r="AA5" s="26">
        <v>1</v>
      </c>
      <c r="AB5" s="26"/>
      <c r="AC5" s="26">
        <v>12</v>
      </c>
      <c r="AD5" s="30" t="s">
        <v>206</v>
      </c>
      <c r="AE5" s="40" t="s">
        <v>209</v>
      </c>
      <c r="AF5" s="41" t="s">
        <v>96</v>
      </c>
      <c r="AG5" s="41" t="s">
        <v>98</v>
      </c>
      <c r="AH5" s="41" t="s">
        <v>79</v>
      </c>
      <c r="AI5" s="41" t="s">
        <v>79</v>
      </c>
      <c r="AJ5" s="41" t="s">
        <v>79</v>
      </c>
      <c r="AK5" s="41" t="s">
        <v>80</v>
      </c>
      <c r="AL5" s="41" t="s">
        <v>80</v>
      </c>
      <c r="AM5" s="41" t="s">
        <v>80</v>
      </c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61000</v>
      </c>
      <c r="K6" s="8" t="s">
        <v>204</v>
      </c>
      <c r="L6" s="9">
        <v>-18000</v>
      </c>
      <c r="M6" s="9">
        <v>-1000</v>
      </c>
      <c r="N6" s="48">
        <v>0</v>
      </c>
      <c r="O6" s="21">
        <f t="shared" si="3"/>
        <v>-3800</v>
      </c>
      <c r="P6" s="8" t="s">
        <v>205</v>
      </c>
      <c r="Q6" s="9">
        <v>18000</v>
      </c>
      <c r="R6" s="9">
        <v>1000</v>
      </c>
      <c r="S6" s="48">
        <v>0</v>
      </c>
      <c r="T6" s="21">
        <f t="shared" si="4"/>
        <v>47800</v>
      </c>
      <c r="U6" s="53">
        <f>IF($J6="","",ROUND(($J6-$J$3)/1000,1)+(_xlfn.RANK.AVG($J6,($J6,$O6,$T6),1)-2)*10)</f>
        <v>36</v>
      </c>
      <c r="V6" s="54">
        <f>IF($O6="","",ROUND(($O6-$O$3)/1000,1)+(_xlfn.RANK.AVG($O6,($J6,$O6,$T6),1)-2)*10)</f>
        <v>-48.8</v>
      </c>
      <c r="W6" s="55">
        <f>IF($T6="","",ROUND(($T6-$T$3)/1000,1)+(_xlfn.RANK.AVG($T6,($J6,$O6,$T6),1)-2)*10)</f>
        <v>12.8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206</v>
      </c>
      <c r="BU6" s="40" t="s">
        <v>209</v>
      </c>
      <c r="BV6" s="41" t="s">
        <v>86</v>
      </c>
      <c r="BW6" s="41" t="s">
        <v>104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70BA82D4-4A18-411B-9354-8EC2F21DA6B2}">
      <formula1>$U$2:$W$2</formula1>
    </dataValidation>
    <dataValidation type="list" showInputMessage="1" showErrorMessage="1" sqref="K4:K30 P4:P30 F4:F30" xr:uid="{CD92807D-2AD6-47E1-8715-2A7C2152212A}">
      <formula1>"ロン,ツモ,放銃,ツモ支払,流局,チョンボ"</formula1>
    </dataValidation>
    <dataValidation type="list" allowBlank="1" showInputMessage="1" sqref="F1:T1" xr:uid="{5A701DA2-D4BA-4060-B8AC-66FE4574642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C44BE-AB89-4C74-9CC2-E93E7EB6D4AD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のり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204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205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-17.7</v>
      </c>
      <c r="W4" s="55">
        <f>IF($T4="","",ROUND(($T4-$T$3)/1000,1)+(_xlfn.RANK.AVG($T4,($J4,$O4,$T4),1)-2)*10)</f>
        <v>17.7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199</v>
      </c>
      <c r="BV4" s="41" t="s">
        <v>200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205</v>
      </c>
      <c r="G5" s="9">
        <v>2600</v>
      </c>
      <c r="H5" s="9">
        <v>1000</v>
      </c>
      <c r="I5" s="48">
        <v>1000</v>
      </c>
      <c r="J5" s="21">
        <f t="shared" ref="J5:J30" si="2">IF(COUNTA($F5,$K5,$P5)&gt;0,J4+SUM(G5:I5),"")</f>
        <v>39600</v>
      </c>
      <c r="K5" s="8" t="s">
        <v>204</v>
      </c>
      <c r="L5" s="9">
        <v>-2600</v>
      </c>
      <c r="M5" s="9">
        <v>-1000</v>
      </c>
      <c r="N5" s="48">
        <v>-1000</v>
      </c>
      <c r="O5" s="21">
        <f t="shared" ref="O5:O30" si="3">IF(COUNTA($F5,$K5,$P5)&gt;0,O4+SUM(L5:N5),"")</f>
        <v>22700</v>
      </c>
      <c r="P5" s="8"/>
      <c r="Q5" s="9"/>
      <c r="R5" s="9"/>
      <c r="S5" s="48"/>
      <c r="T5" s="21">
        <f t="shared" ref="T5:T30" si="4">IF(COUNTA($F5,$K5,$P5)&gt;0,T4+SUM(Q5:S5),"")</f>
        <v>42700</v>
      </c>
      <c r="U5" s="53">
        <f>IF($J5="","",ROUND(($J5-$J$3)/1000,1)+(_xlfn.RANK.AVG($J5,($J5,$O5,$T5),1)-2)*10)</f>
        <v>4.5999999999999996</v>
      </c>
      <c r="V5" s="54">
        <f>IF($O5="","",ROUND(($O5-$O$3)/1000,1)+(_xlfn.RANK.AVG($O5,($J5,$O5,$T5),1)-2)*10)</f>
        <v>-22.3</v>
      </c>
      <c r="W5" s="55">
        <f>IF($T5="","",ROUND(($T5-$T$3)/1000,1)+(_xlfn.RANK.AVG($T5,($J5,$O5,$T5),1)-2)*10)</f>
        <v>17.7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200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204</v>
      </c>
      <c r="G6" s="9">
        <v>-5200</v>
      </c>
      <c r="H6" s="9"/>
      <c r="I6" s="48">
        <v>0</v>
      </c>
      <c r="J6" s="21">
        <f t="shared" si="2"/>
        <v>34400</v>
      </c>
      <c r="K6" s="8" t="s">
        <v>205</v>
      </c>
      <c r="L6" s="9">
        <v>5200</v>
      </c>
      <c r="M6" s="9"/>
      <c r="N6" s="48">
        <v>0</v>
      </c>
      <c r="O6" s="21">
        <f t="shared" si="3"/>
        <v>27900</v>
      </c>
      <c r="P6" s="8"/>
      <c r="Q6" s="9"/>
      <c r="R6" s="9"/>
      <c r="S6" s="48"/>
      <c r="T6" s="21">
        <f t="shared" si="4"/>
        <v>42700</v>
      </c>
      <c r="U6" s="53">
        <f>IF($J6="","",ROUND(($J6-$J$3)/1000,1)+(_xlfn.RANK.AVG($J6,($J6,$O6,$T6),1)-2)*10)</f>
        <v>-0.6</v>
      </c>
      <c r="V6" s="54">
        <f>IF($O6="","",ROUND(($O6-$O$3)/1000,1)+(_xlfn.RANK.AVG($O6,($J6,$O6,$T6),1)-2)*10)</f>
        <v>-17.100000000000001</v>
      </c>
      <c r="W6" s="55">
        <f>IF($T6="","",ROUND(($T6-$T$3)/1000,1)+(_xlfn.RANK.AVG($T6,($J6,$O6,$T6),1)-2)*10)</f>
        <v>17.7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86</v>
      </c>
      <c r="BB6" s="41" t="s">
        <v>200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205</v>
      </c>
      <c r="G7" s="9">
        <v>12000</v>
      </c>
      <c r="H7" s="9">
        <v>1000</v>
      </c>
      <c r="I7" s="48">
        <v>0</v>
      </c>
      <c r="J7" s="21">
        <f t="shared" si="2"/>
        <v>47400</v>
      </c>
      <c r="K7" s="8"/>
      <c r="L7" s="9"/>
      <c r="M7" s="9">
        <v>-1000</v>
      </c>
      <c r="N7" s="48"/>
      <c r="O7" s="21">
        <f t="shared" si="3"/>
        <v>26900</v>
      </c>
      <c r="P7" s="8" t="s">
        <v>204</v>
      </c>
      <c r="Q7" s="9">
        <v>-12000</v>
      </c>
      <c r="R7" s="9"/>
      <c r="S7" s="48">
        <v>0</v>
      </c>
      <c r="T7" s="21">
        <f t="shared" si="4"/>
        <v>30700</v>
      </c>
      <c r="U7" s="53">
        <f>IF($J7="","",ROUND(($J7-$J$3)/1000,1)+(_xlfn.RANK.AVG($J7,($J7,$O7,$T7),1)-2)*10)</f>
        <v>22.4</v>
      </c>
      <c r="V7" s="54">
        <f>IF($O7="","",ROUND(($O7-$O$3)/1000,1)+(_xlfn.RANK.AVG($O7,($J7,$O7,$T7),1)-2)*10)</f>
        <v>-18.100000000000001</v>
      </c>
      <c r="W7" s="55">
        <f>IF($T7="","",ROUND(($T7-$T$3)/1000,1)+(_xlfn.RANK.AVG($T7,($J7,$O7,$T7),1)-2)*10)</f>
        <v>-4.3</v>
      </c>
      <c r="Y7" s="8"/>
      <c r="Z7" s="34"/>
      <c r="AA7" s="26"/>
      <c r="AB7" s="26">
        <v>1</v>
      </c>
      <c r="AC7" s="26">
        <v>6</v>
      </c>
      <c r="AD7" s="30" t="s">
        <v>206</v>
      </c>
      <c r="AE7" s="40" t="s">
        <v>106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-12000</v>
      </c>
      <c r="H8" s="9"/>
      <c r="I8" s="48">
        <v>0</v>
      </c>
      <c r="J8" s="21">
        <f t="shared" si="2"/>
        <v>35400</v>
      </c>
      <c r="K8" s="8" t="s">
        <v>198</v>
      </c>
      <c r="L8" s="9">
        <v>-12000</v>
      </c>
      <c r="M8" s="9"/>
      <c r="N8" s="48">
        <v>0</v>
      </c>
      <c r="O8" s="21">
        <f t="shared" si="3"/>
        <v>14900</v>
      </c>
      <c r="P8" s="8" t="s">
        <v>197</v>
      </c>
      <c r="Q8" s="9">
        <v>24000</v>
      </c>
      <c r="R8" s="9"/>
      <c r="S8" s="48">
        <v>0</v>
      </c>
      <c r="T8" s="21">
        <f t="shared" si="4"/>
        <v>54700</v>
      </c>
      <c r="U8" s="53">
        <f>IF($J8="","",ROUND(($J8-$J$3)/1000,1)+(_xlfn.RANK.AVG($J8,($J8,$O8,$T8),1)-2)*10)</f>
        <v>0.4</v>
      </c>
      <c r="V8" s="54">
        <f>IF($O8="","",ROUND(($O8-$O$3)/1000,1)+(_xlfn.RANK.AVG($O8,($J8,$O8,$T8),1)-2)*10)</f>
        <v>-30.1</v>
      </c>
      <c r="W8" s="55">
        <f>IF($T8="","",ROUND(($T8-$T$3)/1000,1)+(_xlfn.RANK.AVG($T8,($J8,$O8,$T8),1)-2)*10)</f>
        <v>29.7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206</v>
      </c>
      <c r="BU8" s="40" t="s">
        <v>199</v>
      </c>
      <c r="BV8" s="41" t="s">
        <v>82</v>
      </c>
      <c r="BW8" s="41" t="s">
        <v>104</v>
      </c>
      <c r="BX8" s="41" t="s">
        <v>79</v>
      </c>
      <c r="BY8" s="41" t="s">
        <v>80</v>
      </c>
      <c r="BZ8" s="41" t="s">
        <v>207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35400</v>
      </c>
      <c r="K9" s="8" t="s">
        <v>204</v>
      </c>
      <c r="L9" s="9">
        <v>-12000</v>
      </c>
      <c r="M9" s="9"/>
      <c r="N9" s="48">
        <v>-1000</v>
      </c>
      <c r="O9" s="21">
        <f t="shared" si="3"/>
        <v>1900</v>
      </c>
      <c r="P9" s="8" t="s">
        <v>205</v>
      </c>
      <c r="Q9" s="9">
        <v>12000</v>
      </c>
      <c r="R9" s="9"/>
      <c r="S9" s="48">
        <v>1000</v>
      </c>
      <c r="T9" s="21">
        <f t="shared" si="4"/>
        <v>67700</v>
      </c>
      <c r="U9" s="53">
        <f>IF($J9="","",ROUND(($J9-$J$3)/1000,1)+(_xlfn.RANK.AVG($J9,($J9,$O9,$T9),1)-2)*10)</f>
        <v>0.4</v>
      </c>
      <c r="V9" s="54">
        <f>IF($O9="","",ROUND(($O9-$O$3)/1000,1)+(_xlfn.RANK.AVG($O9,($J9,$O9,$T9),1)-2)*10)</f>
        <v>-43.1</v>
      </c>
      <c r="W9" s="55">
        <f>IF($T9="","",ROUND(($T9-$T$3)/1000,1)+(_xlfn.RANK.AVG($T9,($J9,$O9,$T9),1)-2)*10)</f>
        <v>42.7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206</v>
      </c>
      <c r="BU9" s="40" t="s">
        <v>209</v>
      </c>
      <c r="BV9" s="41" t="s">
        <v>207</v>
      </c>
      <c r="BW9" s="41" t="s">
        <v>79</v>
      </c>
      <c r="BX9" s="41" t="s">
        <v>85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197</v>
      </c>
      <c r="G10" s="9">
        <v>16000</v>
      </c>
      <c r="H10" s="9">
        <v>2000</v>
      </c>
      <c r="I10" s="48">
        <v>2000</v>
      </c>
      <c r="J10" s="21">
        <f t="shared" si="2"/>
        <v>55400</v>
      </c>
      <c r="K10" s="8" t="s">
        <v>198</v>
      </c>
      <c r="L10" s="9">
        <v>-6000</v>
      </c>
      <c r="M10" s="9">
        <v>-1000</v>
      </c>
      <c r="N10" s="48">
        <v>-1000</v>
      </c>
      <c r="O10" s="21">
        <f t="shared" si="3"/>
        <v>-6100</v>
      </c>
      <c r="P10" s="8" t="s">
        <v>198</v>
      </c>
      <c r="Q10" s="9">
        <v>-10000</v>
      </c>
      <c r="R10" s="9">
        <v>-1000</v>
      </c>
      <c r="S10" s="48">
        <v>-1000</v>
      </c>
      <c r="T10" s="21">
        <f t="shared" si="4"/>
        <v>55700</v>
      </c>
      <c r="U10" s="53">
        <f>IF($J10="","",ROUND(($J10-$J$3)/1000,1)+(_xlfn.RANK.AVG($J10,($J10,$O10,$T10),1)-2)*10)</f>
        <v>20.399999999999999</v>
      </c>
      <c r="V10" s="54">
        <f>IF($O10="","",ROUND(($O10-$O$3)/1000,1)+(_xlfn.RANK.AVG($O10,($J10,$O10,$T10),1)-2)*10)</f>
        <v>-51.1</v>
      </c>
      <c r="W10" s="55">
        <f>IF($T10="","",ROUND(($T10-$T$3)/1000,1)+(_xlfn.RANK.AVG($T10,($J10,$O10,$T10),1)-2)*10)</f>
        <v>30.7</v>
      </c>
      <c r="Y10" s="8"/>
      <c r="Z10" s="34"/>
      <c r="AA10" s="26">
        <v>1</v>
      </c>
      <c r="AB10" s="26"/>
      <c r="AC10" s="26">
        <v>8</v>
      </c>
      <c r="AD10" s="30" t="s">
        <v>206</v>
      </c>
      <c r="AE10" s="40" t="s">
        <v>209</v>
      </c>
      <c r="AF10" s="41" t="s">
        <v>82</v>
      </c>
      <c r="AG10" s="41" t="s">
        <v>85</v>
      </c>
      <c r="AH10" s="41" t="s">
        <v>84</v>
      </c>
      <c r="AI10" s="41" t="s">
        <v>79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8D8529BA-1CE8-4609-80E0-9B44966F8DDF}">
      <formula1>"ロン,ツモ,放銃,ツモ支払,流局,チョンボ"</formula1>
    </dataValidation>
    <dataValidation type="list" allowBlank="1" showInputMessage="1" showErrorMessage="1" sqref="E4:E30" xr:uid="{115B8152-11D0-4EC8-8D6E-07B30376CF49}">
      <formula1>$U$2:$W$2</formula1>
    </dataValidation>
    <dataValidation type="list" allowBlank="1" showInputMessage="1" sqref="F1:T1" xr:uid="{CC1BFC43-CD0F-44D4-A1E4-561FE110E4E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B4BBE-72D1-46A2-A057-A80F3406CB8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196</v>
      </c>
      <c r="G1" s="85"/>
      <c r="H1" s="85"/>
      <c r="I1" s="86"/>
      <c r="J1" s="87"/>
      <c r="K1" s="84" t="s">
        <v>211</v>
      </c>
      <c r="L1" s="85"/>
      <c r="M1" s="85"/>
      <c r="N1" s="86"/>
      <c r="O1" s="87"/>
      <c r="P1" s="84" t="s">
        <v>212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れんたろう</v>
      </c>
      <c r="V2" s="76" t="str">
        <f>$K$1</f>
        <v>ただ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/>
      <c r="N4" s="48"/>
      <c r="O4" s="21">
        <f>IF(COUNTA($F4,$K4,$P4)&gt;0,O3+SUM(L4:N4),"")</f>
        <v>35000</v>
      </c>
      <c r="P4" s="8" t="s">
        <v>205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40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204</v>
      </c>
      <c r="G5" s="9">
        <v>-48000</v>
      </c>
      <c r="H5" s="9">
        <v>-1000</v>
      </c>
      <c r="I5" s="48">
        <v>0</v>
      </c>
      <c r="J5" s="21">
        <f t="shared" ref="J5:J30" si="2">IF(COUNTA($F5,$K5,$P5)&gt;0,J4+SUM(G5:I5),"")</f>
        <v>-15300</v>
      </c>
      <c r="K5" s="8" t="s">
        <v>205</v>
      </c>
      <c r="L5" s="9">
        <v>48000</v>
      </c>
      <c r="M5" s="9">
        <v>2000</v>
      </c>
      <c r="N5" s="48">
        <v>0</v>
      </c>
      <c r="O5" s="21">
        <f t="shared" ref="O5:O30" si="3">IF(COUNTA($F5,$K5,$P5)&gt;0,O4+SUM(L5:N5),"")</f>
        <v>85000</v>
      </c>
      <c r="P5" s="8"/>
      <c r="Q5" s="9"/>
      <c r="R5" s="9">
        <v>-1000</v>
      </c>
      <c r="S5" s="48"/>
      <c r="T5" s="21">
        <f t="shared" ref="T5:T30" si="4">IF(COUNTA($F5,$K5,$P5)&gt;0,T4+SUM(Q5:S5),"")</f>
        <v>35300</v>
      </c>
      <c r="U5" s="53">
        <f>IF($J5="","",ROUND(($J5-$J$3)/1000,1)+(_xlfn.RANK.AVG($J5,($J5,$O5,$T5),1)-2)*10)</f>
        <v>-60.3</v>
      </c>
      <c r="V5" s="54">
        <f>IF($O5="","",ROUND(($O5-$O$3)/1000,1)+(_xlfn.RANK.AVG($O5,($J5,$O5,$T5),1)-2)*10)</f>
        <v>60</v>
      </c>
      <c r="W5" s="55">
        <f>IF($T5="","",ROUND(($T5-$T$3)/1000,1)+(_xlfn.RANK.AVG($T5,($J5,$O5,$T5),1)-2)*10)</f>
        <v>0.3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13</v>
      </c>
      <c r="AY5" s="30" t="s">
        <v>206</v>
      </c>
      <c r="AZ5" s="40" t="s">
        <v>107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D2BD57A-8EEF-40BB-B043-A0D63C47049E}">
      <formula1>"たかの,だいち,ただ,りくと,れんたろう,まっつん,のり,ぱぱ,ほたに,いっしー,"</formula1>
    </dataValidation>
    <dataValidation type="list" allowBlank="1" showInputMessage="1" showErrorMessage="1" sqref="E4:E30" xr:uid="{90039B65-15D1-499C-94D6-44F136408188}">
      <formula1>$U$2:$W$2</formula1>
    </dataValidation>
    <dataValidation type="list" showInputMessage="1" showErrorMessage="1" sqref="K4:K30 P4:P30 F4:F30" xr:uid="{96431A75-0FF0-4563-8A46-BE7036A2749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98DC-6684-4677-951B-54E1FB653491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196</v>
      </c>
      <c r="G1" s="85"/>
      <c r="H1" s="85"/>
      <c r="I1" s="86"/>
      <c r="J1" s="87"/>
      <c r="K1" s="84" t="s">
        <v>211</v>
      </c>
      <c r="L1" s="85"/>
      <c r="M1" s="85"/>
      <c r="N1" s="86"/>
      <c r="O1" s="87"/>
      <c r="P1" s="84" t="s">
        <v>212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れんたろう</v>
      </c>
      <c r="V2" s="76" t="str">
        <f>$K$1</f>
        <v>ただ</v>
      </c>
      <c r="W2" s="16" t="str">
        <f>$P$1</f>
        <v>りくと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204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205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13.9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210</v>
      </c>
      <c r="F5" s="8" t="s">
        <v>204</v>
      </c>
      <c r="G5" s="9">
        <v>-2000</v>
      </c>
      <c r="H5" s="9"/>
      <c r="I5" s="48">
        <v>0</v>
      </c>
      <c r="J5" s="21">
        <f t="shared" ref="J5:J30" si="2">IF(COUNTA($F5,$K5,$P5)&gt;0,J4+SUM(G5:I5),"")</f>
        <v>33000</v>
      </c>
      <c r="K5" s="8" t="s">
        <v>205</v>
      </c>
      <c r="L5" s="9">
        <v>2000</v>
      </c>
      <c r="M5" s="9"/>
      <c r="N5" s="48">
        <v>0</v>
      </c>
      <c r="O5" s="21">
        <f t="shared" ref="O5:O30" si="3">IF(COUNTA($F5,$K5,$P5)&gt;0,O4+SUM(L5:N5),"")</f>
        <v>33100</v>
      </c>
      <c r="P5" s="8"/>
      <c r="Q5" s="9"/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-12</v>
      </c>
      <c r="V5" s="54">
        <f>IF($O5="","",ROUND(($O5-$O$3)/1000,1)+(_xlfn.RANK.AVG($O5,($J5,$O5,$T5),1)-2)*10)</f>
        <v>-1.9</v>
      </c>
      <c r="W5" s="55">
        <f>IF($T5="","",ROUND(($T5-$T$3)/1000,1)+(_xlfn.RANK.AVG($T5,($J5,$O5,$T5),1)-2)*10)</f>
        <v>13.9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199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210</v>
      </c>
      <c r="F6" s="8" t="s">
        <v>203</v>
      </c>
      <c r="G6" s="9">
        <v>-3000</v>
      </c>
      <c r="H6" s="9"/>
      <c r="I6" s="48"/>
      <c r="J6" s="21">
        <f t="shared" si="2"/>
        <v>30000</v>
      </c>
      <c r="K6" s="8" t="s">
        <v>203</v>
      </c>
      <c r="L6" s="9">
        <v>1500</v>
      </c>
      <c r="M6" s="9"/>
      <c r="N6" s="48"/>
      <c r="O6" s="21">
        <f t="shared" si="3"/>
        <v>34600</v>
      </c>
      <c r="P6" s="8" t="s">
        <v>203</v>
      </c>
      <c r="Q6" s="9">
        <v>1500</v>
      </c>
      <c r="R6" s="9"/>
      <c r="S6" s="48"/>
      <c r="T6" s="21">
        <f t="shared" si="4"/>
        <v>40400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-0.4</v>
      </c>
      <c r="W6" s="55">
        <f>IF($T6="","",ROUND(($T6-$T$3)/1000,1)+(_xlfn.RANK.AVG($T6,($J6,$O6,$T6),1)-2)*10)</f>
        <v>15.4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210</v>
      </c>
      <c r="F7" s="8" t="s">
        <v>198</v>
      </c>
      <c r="G7" s="9">
        <v>-6000</v>
      </c>
      <c r="H7" s="9"/>
      <c r="I7" s="48">
        <v>-1000</v>
      </c>
      <c r="J7" s="21">
        <f t="shared" si="2"/>
        <v>23000</v>
      </c>
      <c r="K7" s="8" t="s">
        <v>197</v>
      </c>
      <c r="L7" s="9">
        <v>12000</v>
      </c>
      <c r="M7" s="9"/>
      <c r="N7" s="48">
        <v>2000</v>
      </c>
      <c r="O7" s="21">
        <f t="shared" si="3"/>
        <v>48600</v>
      </c>
      <c r="P7" s="8" t="s">
        <v>198</v>
      </c>
      <c r="Q7" s="9">
        <v>-6000</v>
      </c>
      <c r="R7" s="9"/>
      <c r="S7" s="48">
        <v>-1000</v>
      </c>
      <c r="T7" s="21">
        <f t="shared" si="4"/>
        <v>33400</v>
      </c>
      <c r="U7" s="53">
        <f>IF($J7="","",ROUND(($J7-$J$3)/1000,1)+(_xlfn.RANK.AVG($J7,($J7,$O7,$T7),1)-2)*10)</f>
        <v>-22</v>
      </c>
      <c r="V7" s="54">
        <f>IF($O7="","",ROUND(($O7-$O$3)/1000,1)+(_xlfn.RANK.AVG($O7,($J7,$O7,$T7),1)-2)*10)</f>
        <v>23.6</v>
      </c>
      <c r="W7" s="55">
        <f>IF($T7="","",ROUND(($T7-$T$3)/1000,1)+(_xlfn.RANK.AVG($T7,($J7,$O7,$T7),1)-2)*10)</f>
        <v>-1.6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206</v>
      </c>
      <c r="AZ7" s="40" t="s">
        <v>106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210</v>
      </c>
      <c r="F8" s="8" t="s">
        <v>203</v>
      </c>
      <c r="G8" s="9">
        <v>-1500</v>
      </c>
      <c r="H8" s="9"/>
      <c r="I8" s="48"/>
      <c r="J8" s="21">
        <f t="shared" si="2"/>
        <v>21500</v>
      </c>
      <c r="K8" s="8" t="s">
        <v>203</v>
      </c>
      <c r="L8" s="9">
        <v>3000</v>
      </c>
      <c r="M8" s="9">
        <v>-1000</v>
      </c>
      <c r="N8" s="48"/>
      <c r="O8" s="21">
        <f t="shared" si="3"/>
        <v>50600</v>
      </c>
      <c r="P8" s="8" t="s">
        <v>203</v>
      </c>
      <c r="Q8" s="9">
        <v>-1500</v>
      </c>
      <c r="R8" s="9"/>
      <c r="S8" s="48"/>
      <c r="T8" s="21">
        <f t="shared" si="4"/>
        <v>31900</v>
      </c>
      <c r="U8" s="53">
        <f>IF($J8="","",ROUND(($J8-$J$3)/1000,1)+(_xlfn.RANK.AVG($J8,($J8,$O8,$T8),1)-2)*10)</f>
        <v>-23.5</v>
      </c>
      <c r="V8" s="54">
        <f>IF($O8="","",ROUND(($O8-$O$3)/1000,1)+(_xlfn.RANK.AVG($O8,($J8,$O8,$T8),1)-2)*10)</f>
        <v>25.6</v>
      </c>
      <c r="W8" s="55">
        <f>IF($T8="","",ROUND(($T8-$T$3)/1000,1)+(_xlfn.RANK.AVG($T8,($J8,$O8,$T8),1)-2)*10)</f>
        <v>-3.1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201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1</v>
      </c>
      <c r="E9" s="4" t="s">
        <v>210</v>
      </c>
      <c r="F9" s="8" t="s">
        <v>204</v>
      </c>
      <c r="G9" s="9">
        <v>-11600</v>
      </c>
      <c r="H9" s="9"/>
      <c r="I9" s="48">
        <v>-4000</v>
      </c>
      <c r="J9" s="21">
        <f t="shared" si="2"/>
        <v>5900</v>
      </c>
      <c r="K9" s="8" t="s">
        <v>205</v>
      </c>
      <c r="L9" s="9">
        <v>11600</v>
      </c>
      <c r="M9" s="9">
        <v>1000</v>
      </c>
      <c r="N9" s="48">
        <v>4000</v>
      </c>
      <c r="O9" s="21">
        <f t="shared" si="3"/>
        <v>67200</v>
      </c>
      <c r="P9" s="8"/>
      <c r="Q9" s="9"/>
      <c r="R9" s="9"/>
      <c r="S9" s="48"/>
      <c r="T9" s="21">
        <f t="shared" si="4"/>
        <v>31900</v>
      </c>
      <c r="U9" s="53">
        <f>IF($J9="","",ROUND(($J9-$J$3)/1000,1)+(_xlfn.RANK.AVG($J9,($J9,$O9,$T9),1)-2)*10)</f>
        <v>-39.1</v>
      </c>
      <c r="V9" s="54">
        <f>IF($O9="","",ROUND(($O9-$O$3)/1000,1)+(_xlfn.RANK.AVG($O9,($J9,$O9,$T9),1)-2)*10)</f>
        <v>42.2</v>
      </c>
      <c r="W9" s="55">
        <f>IF($T9="","",ROUND(($T9-$T$3)/1000,1)+(_xlfn.RANK.AVG($T9,($J9,$O9,$T9),1)-2)*10)</f>
        <v>-3.1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30</v>
      </c>
      <c r="AZ9" s="40" t="s">
        <v>83</v>
      </c>
      <c r="BA9" s="41" t="s">
        <v>85</v>
      </c>
      <c r="BB9" s="41" t="s">
        <v>79</v>
      </c>
      <c r="BC9" s="41" t="s">
        <v>200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5</v>
      </c>
      <c r="D10" s="18">
        <f t="shared" si="1"/>
        <v>0</v>
      </c>
      <c r="E10" s="4" t="s">
        <v>210</v>
      </c>
      <c r="F10" s="8" t="s">
        <v>198</v>
      </c>
      <c r="G10" s="9">
        <v>-3000</v>
      </c>
      <c r="H10" s="9">
        <v>-1000</v>
      </c>
      <c r="I10" s="48">
        <v>-2500</v>
      </c>
      <c r="J10" s="21">
        <f t="shared" si="2"/>
        <v>-600</v>
      </c>
      <c r="K10" s="8" t="s">
        <v>197</v>
      </c>
      <c r="L10" s="9">
        <v>6000</v>
      </c>
      <c r="M10" s="9">
        <v>2000</v>
      </c>
      <c r="N10" s="48">
        <v>5000</v>
      </c>
      <c r="O10" s="21">
        <f t="shared" si="3"/>
        <v>80200</v>
      </c>
      <c r="P10" s="8" t="s">
        <v>198</v>
      </c>
      <c r="Q10" s="9">
        <v>-3000</v>
      </c>
      <c r="R10" s="9">
        <v>-1000</v>
      </c>
      <c r="S10" s="48">
        <v>-2500</v>
      </c>
      <c r="T10" s="21">
        <f t="shared" si="4"/>
        <v>25400</v>
      </c>
      <c r="U10" s="53">
        <f>IF($J10="","",ROUND(($J10-$J$3)/1000,1)+(_xlfn.RANK.AVG($J10,($J10,$O10,$T10),1)-2)*10)</f>
        <v>-45.6</v>
      </c>
      <c r="V10" s="54">
        <f>IF($O10="","",ROUND(($O10-$O$3)/1000,1)+(_xlfn.RANK.AVG($O10,($J10,$O10,$T10),1)-2)*10)</f>
        <v>55.2</v>
      </c>
      <c r="W10" s="55">
        <f>IF($T10="","",ROUND(($T10-$T$3)/1000,1)+(_xlfn.RANK.AVG($T10,($J10,$O10,$T10),1)-2)*10)</f>
        <v>-9.6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85</v>
      </c>
      <c r="BA10" s="41" t="s">
        <v>98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9655F3E4-150A-4DB2-A017-ABF1BAB8093D}">
      <formula1>"ロン,ツモ,放銃,ツモ支払,流局,チョンボ"</formula1>
    </dataValidation>
    <dataValidation type="list" allowBlank="1" showInputMessage="1" showErrorMessage="1" sqref="E4:E30" xr:uid="{BCD55A50-455D-408F-AB11-295B0831A9C8}">
      <formula1>$U$2:$W$2</formula1>
    </dataValidation>
    <dataValidation type="list" allowBlank="1" showInputMessage="1" sqref="F1:T1" xr:uid="{793D0D13-2F52-4456-AD6F-2E534E73A70F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EA7CA-815A-4548-ABE9-2995AE19207F}">
  <sheetPr codeName="Sheet16">
    <pageSetUpPr fitToPage="1"/>
  </sheetPr>
  <dimension ref="A1:CI30"/>
  <sheetViews>
    <sheetView tabSelected="1" zoomScaleNormal="100" workbookViewId="0">
      <selection activeCell="K10" sqref="K1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212</v>
      </c>
      <c r="G1" s="85"/>
      <c r="H1" s="85"/>
      <c r="I1" s="86"/>
      <c r="J1" s="87"/>
      <c r="K1" s="84" t="s">
        <v>211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りくと</v>
      </c>
      <c r="V2" s="81" t="str">
        <f>$K$1</f>
        <v>ただ</v>
      </c>
      <c r="W2" s="16" t="str">
        <f>$P$1</f>
        <v>れんたろう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204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205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206</v>
      </c>
      <c r="BU4" s="40" t="s">
        <v>199</v>
      </c>
      <c r="BV4" s="41" t="s">
        <v>207</v>
      </c>
      <c r="BW4" s="41" t="s">
        <v>104</v>
      </c>
      <c r="BX4" s="41" t="s">
        <v>84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-3000</v>
      </c>
      <c r="H5" s="9"/>
      <c r="I5" s="48">
        <v>0</v>
      </c>
      <c r="J5" s="21">
        <f t="shared" ref="J5:J30" si="2">IF(COUNTA($F5,$K5,$P5)&gt;0,J4+SUM(G5:I5),"")</f>
        <v>20000</v>
      </c>
      <c r="K5" s="8" t="s">
        <v>197</v>
      </c>
      <c r="L5" s="9">
        <v>8000</v>
      </c>
      <c r="M5" s="9"/>
      <c r="N5" s="48">
        <v>0</v>
      </c>
      <c r="O5" s="21">
        <f t="shared" ref="O5:O30" si="3">IF(COUNTA($F5,$K5,$P5)&gt;0,O4+SUM(L5:N5),"")</f>
        <v>43000</v>
      </c>
      <c r="P5" s="8" t="s">
        <v>198</v>
      </c>
      <c r="Q5" s="9">
        <v>-5000</v>
      </c>
      <c r="R5" s="9"/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-25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206</v>
      </c>
      <c r="AZ5" s="40" t="s">
        <v>199</v>
      </c>
      <c r="BA5" s="41" t="s">
        <v>82</v>
      </c>
      <c r="BB5" s="41" t="s">
        <v>79</v>
      </c>
      <c r="BC5" s="41" t="s">
        <v>83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213</v>
      </c>
      <c r="F6" s="8" t="s">
        <v>197</v>
      </c>
      <c r="G6" s="9">
        <v>7800</v>
      </c>
      <c r="H6" s="9"/>
      <c r="I6" s="48">
        <v>0</v>
      </c>
      <c r="J6" s="21">
        <f t="shared" si="2"/>
        <v>27800</v>
      </c>
      <c r="K6" s="8" t="s">
        <v>198</v>
      </c>
      <c r="L6" s="9">
        <v>-3900</v>
      </c>
      <c r="M6" s="9"/>
      <c r="N6" s="48">
        <v>0</v>
      </c>
      <c r="O6" s="21">
        <f t="shared" si="3"/>
        <v>39100</v>
      </c>
      <c r="P6" s="8" t="s">
        <v>198</v>
      </c>
      <c r="Q6" s="9">
        <v>-3900</v>
      </c>
      <c r="R6" s="9"/>
      <c r="S6" s="48">
        <v>0</v>
      </c>
      <c r="T6" s="21">
        <f t="shared" si="4"/>
        <v>38100</v>
      </c>
      <c r="U6" s="53">
        <f>IF($J6="","",ROUND(($J6-$J$3)/1000,1)+(_xlfn.RANK.AVG($J6,($J6,$O6,$T6),1)-2)*10)</f>
        <v>-17.2</v>
      </c>
      <c r="V6" s="54">
        <f>IF($O6="","",ROUND(($O6-$O$3)/1000,1)+(_xlfn.RANK.AVG($O6,($J6,$O6,$T6),1)-2)*10)</f>
        <v>14.1</v>
      </c>
      <c r="W6" s="55">
        <f>IF($T6="","",ROUND(($T6-$T$3)/1000,1)+(_xlfn.RANK.AVG($T6,($J6,$O6,$T6),1)-2)*10)</f>
        <v>3.1</v>
      </c>
      <c r="Y6" s="8"/>
      <c r="Z6" s="34"/>
      <c r="AA6" s="26">
        <v>1</v>
      </c>
      <c r="AB6" s="26"/>
      <c r="AC6" s="26">
        <v>4</v>
      </c>
      <c r="AD6" s="30">
        <v>20</v>
      </c>
      <c r="AE6" s="40" t="s">
        <v>199</v>
      </c>
      <c r="AF6" s="41" t="s">
        <v>82</v>
      </c>
      <c r="AG6" s="41" t="s">
        <v>83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213</v>
      </c>
      <c r="F7" s="8" t="s">
        <v>203</v>
      </c>
      <c r="G7" s="9">
        <v>1500</v>
      </c>
      <c r="H7" s="9"/>
      <c r="I7" s="48"/>
      <c r="J7" s="21">
        <f t="shared" si="2"/>
        <v>29300</v>
      </c>
      <c r="K7" s="8" t="s">
        <v>203</v>
      </c>
      <c r="L7" s="9">
        <v>1500</v>
      </c>
      <c r="M7" s="9">
        <v>-1000</v>
      </c>
      <c r="N7" s="48"/>
      <c r="O7" s="21">
        <f t="shared" si="3"/>
        <v>39600</v>
      </c>
      <c r="P7" s="8" t="s">
        <v>203</v>
      </c>
      <c r="Q7" s="9">
        <v>-3000</v>
      </c>
      <c r="R7" s="9"/>
      <c r="S7" s="48"/>
      <c r="T7" s="21">
        <f t="shared" si="4"/>
        <v>35100</v>
      </c>
      <c r="U7" s="53">
        <f>IF($J7="","",ROUND(($J7-$J$3)/1000,1)+(_xlfn.RANK.AVG($J7,($J7,$O7,$T7),1)-2)*10)</f>
        <v>-15.7</v>
      </c>
      <c r="V7" s="54">
        <f>IF($O7="","",ROUND(($O7-$O$3)/1000,1)+(_xlfn.RANK.AVG($O7,($J7,$O7,$T7),1)-2)*10)</f>
        <v>14.6</v>
      </c>
      <c r="W7" s="55">
        <f>IF($T7="","",ROUND(($T7-$T$3)/1000,1)+(_xlfn.RANK.AVG($T7,($J7,$O7,$T7),1)-2)*10)</f>
        <v>0.1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213</v>
      </c>
      <c r="F8" s="8" t="s">
        <v>197</v>
      </c>
      <c r="G8" s="9">
        <v>36000</v>
      </c>
      <c r="H8" s="9">
        <v>2000</v>
      </c>
      <c r="I8" s="48">
        <v>2000</v>
      </c>
      <c r="J8" s="21">
        <f t="shared" si="2"/>
        <v>69300</v>
      </c>
      <c r="K8" s="8" t="s">
        <v>198</v>
      </c>
      <c r="L8" s="9">
        <v>-18000</v>
      </c>
      <c r="M8" s="9">
        <v>-1000</v>
      </c>
      <c r="N8" s="48">
        <v>-1000</v>
      </c>
      <c r="O8" s="21">
        <f t="shared" si="3"/>
        <v>19600</v>
      </c>
      <c r="P8" s="8" t="s">
        <v>198</v>
      </c>
      <c r="Q8" s="9">
        <v>-18000</v>
      </c>
      <c r="R8" s="9"/>
      <c r="S8" s="48">
        <v>-1000</v>
      </c>
      <c r="T8" s="21">
        <f t="shared" si="4"/>
        <v>16100</v>
      </c>
      <c r="U8" s="53">
        <f>IF($J8="","",ROUND(($J8-$J$3)/1000,1)+(_xlfn.RANK.AVG($J8,($J8,$O8,$T8),1)-2)*10)</f>
        <v>44.3</v>
      </c>
      <c r="V8" s="54">
        <f>IF($O8="","",ROUND(($O8-$O$3)/1000,1)+(_xlfn.RANK.AVG($O8,($J8,$O8,$T8),1)-2)*10)</f>
        <v>-15.4</v>
      </c>
      <c r="W8" s="55">
        <f>IF($T8="","",ROUND(($T8-$T$3)/1000,1)+(_xlfn.RANK.AVG($T8,($J8,$O8,$T8),1)-2)*10)</f>
        <v>-28.9</v>
      </c>
      <c r="Y8" s="8"/>
      <c r="Z8" s="34"/>
      <c r="AA8" s="26">
        <v>1</v>
      </c>
      <c r="AB8" s="26"/>
      <c r="AC8" s="26">
        <v>12</v>
      </c>
      <c r="AD8" s="30" t="s">
        <v>206</v>
      </c>
      <c r="AE8" s="40" t="s">
        <v>199</v>
      </c>
      <c r="AF8" s="41" t="s">
        <v>82</v>
      </c>
      <c r="AG8" s="41" t="s">
        <v>207</v>
      </c>
      <c r="AH8" s="41" t="s">
        <v>79</v>
      </c>
      <c r="AI8" s="41" t="s">
        <v>79</v>
      </c>
      <c r="AJ8" s="41" t="s">
        <v>79</v>
      </c>
      <c r="AK8" s="41" t="s">
        <v>79</v>
      </c>
      <c r="AL8" s="41" t="s">
        <v>200</v>
      </c>
      <c r="AM8" s="41" t="s">
        <v>86</v>
      </c>
      <c r="AN8" s="41" t="s">
        <v>104</v>
      </c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213</v>
      </c>
      <c r="F9" s="8" t="s">
        <v>204</v>
      </c>
      <c r="G9" s="9">
        <v>-3900</v>
      </c>
      <c r="H9" s="9"/>
      <c r="I9" s="48">
        <v>-3000</v>
      </c>
      <c r="J9" s="21">
        <f t="shared" si="2"/>
        <v>62400</v>
      </c>
      <c r="K9" s="8" t="s">
        <v>205</v>
      </c>
      <c r="L9" s="9">
        <v>3900</v>
      </c>
      <c r="M9" s="9">
        <v>1000</v>
      </c>
      <c r="N9" s="48">
        <v>3000</v>
      </c>
      <c r="O9" s="21">
        <f t="shared" si="3"/>
        <v>27500</v>
      </c>
      <c r="P9" s="8"/>
      <c r="Q9" s="9"/>
      <c r="R9" s="9">
        <v>-1000</v>
      </c>
      <c r="S9" s="48"/>
      <c r="T9" s="21">
        <f t="shared" si="4"/>
        <v>15100</v>
      </c>
      <c r="U9" s="53">
        <f>IF($J9="","",ROUND(($J9-$J$3)/1000,1)+(_xlfn.RANK.AVG($J9,($J9,$O9,$T9),1)-2)*10)</f>
        <v>37.4</v>
      </c>
      <c r="V9" s="54">
        <f>IF($O9="","",ROUND(($O9-$O$3)/1000,1)+(_xlfn.RANK.AVG($O9,($J9,$O9,$T9),1)-2)*10)</f>
        <v>-7.5</v>
      </c>
      <c r="W9" s="55">
        <f>IF($T9="","",ROUND(($T9-$T$3)/1000,1)+(_xlfn.RANK.AVG($T9,($J9,$O9,$T9),1)-2)*10)</f>
        <v>-29.9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210</v>
      </c>
      <c r="F10" s="8"/>
      <c r="G10" s="9"/>
      <c r="H10" s="9"/>
      <c r="I10" s="48"/>
      <c r="J10" s="21">
        <f t="shared" si="2"/>
        <v>62400</v>
      </c>
      <c r="K10" s="8" t="s">
        <v>205</v>
      </c>
      <c r="L10" s="9">
        <v>12000</v>
      </c>
      <c r="M10" s="9">
        <v>1000</v>
      </c>
      <c r="N10" s="48">
        <v>0</v>
      </c>
      <c r="O10" s="21">
        <f t="shared" si="3"/>
        <v>40500</v>
      </c>
      <c r="P10" s="8" t="s">
        <v>204</v>
      </c>
      <c r="Q10" s="9">
        <v>-12000</v>
      </c>
      <c r="R10" s="9">
        <v>-1000</v>
      </c>
      <c r="S10" s="48">
        <v>0</v>
      </c>
      <c r="T10" s="21">
        <f t="shared" si="4"/>
        <v>2100</v>
      </c>
      <c r="U10" s="53">
        <f>IF($J10="","",ROUND(($J10-$J$3)/1000,1)+(_xlfn.RANK.AVG($J10,($J10,$O10,$T10),1)-2)*10)</f>
        <v>37.4</v>
      </c>
      <c r="V10" s="54">
        <f>IF($O10="","",ROUND(($O10-$O$3)/1000,1)+(_xlfn.RANK.AVG($O10,($J10,$O10,$T10),1)-2)*10)</f>
        <v>5.5</v>
      </c>
      <c r="W10" s="55">
        <f>IF($T10="","",ROUND(($T10-$T$3)/1000,1)+(_xlfn.RANK.AVG($T10,($J10,$O10,$T10),1)-2)*10)</f>
        <v>-42.9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206</v>
      </c>
      <c r="AZ10" s="40" t="s">
        <v>104</v>
      </c>
      <c r="BA10" s="41" t="s">
        <v>86</v>
      </c>
      <c r="BB10" s="41" t="s">
        <v>86</v>
      </c>
      <c r="BC10" s="41" t="s">
        <v>200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210</v>
      </c>
      <c r="F11" s="8" t="s">
        <v>198</v>
      </c>
      <c r="G11" s="9">
        <v>-1500</v>
      </c>
      <c r="H11" s="9"/>
      <c r="I11" s="48">
        <v>-500</v>
      </c>
      <c r="J11" s="21">
        <f t="shared" si="2"/>
        <v>60400</v>
      </c>
      <c r="K11" s="8" t="s">
        <v>197</v>
      </c>
      <c r="L11" s="9">
        <v>3000</v>
      </c>
      <c r="M11" s="9"/>
      <c r="N11" s="48">
        <v>1000</v>
      </c>
      <c r="O11" s="21">
        <f t="shared" si="3"/>
        <v>44500</v>
      </c>
      <c r="P11" s="8" t="s">
        <v>198</v>
      </c>
      <c r="Q11" s="9">
        <v>-1500</v>
      </c>
      <c r="R11" s="9"/>
      <c r="S11" s="48">
        <v>-500</v>
      </c>
      <c r="T11" s="21">
        <f t="shared" si="4"/>
        <v>100</v>
      </c>
      <c r="U11" s="53">
        <f>IF($J11="","",ROUND(($J11-$J$3)/1000,1)+(_xlfn.RANK.AVG($J11,($J11,$O11,$T11),1)-2)*10)</f>
        <v>35.4</v>
      </c>
      <c r="V11" s="54">
        <f>IF($O11="","",ROUND(($O11-$O$3)/1000,1)+(_xlfn.RANK.AVG($O11,($J11,$O11,$T11),1)-2)*10)</f>
        <v>9.5</v>
      </c>
      <c r="W11" s="55">
        <f>IF($T11="","",ROUND(($T11-$T$3)/1000,1)+(_xlfn.RANK.AVG($T11,($J11,$O11,$T11),1)-2)*10)</f>
        <v>-44.9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85</v>
      </c>
      <c r="BA11" s="41" t="s">
        <v>200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210</v>
      </c>
      <c r="F12" s="8" t="s">
        <v>205</v>
      </c>
      <c r="G12" s="9">
        <v>2000</v>
      </c>
      <c r="H12" s="9"/>
      <c r="I12" s="48">
        <v>2000</v>
      </c>
      <c r="J12" s="21">
        <f t="shared" si="2"/>
        <v>64400</v>
      </c>
      <c r="K12" s="8" t="s">
        <v>204</v>
      </c>
      <c r="L12" s="9">
        <v>-2000</v>
      </c>
      <c r="M12" s="9"/>
      <c r="N12" s="48">
        <v>-2000</v>
      </c>
      <c r="O12" s="21">
        <f t="shared" si="3"/>
        <v>40500</v>
      </c>
      <c r="P12" s="8"/>
      <c r="Q12" s="9"/>
      <c r="R12" s="9"/>
      <c r="S12" s="48"/>
      <c r="T12" s="21">
        <f t="shared" si="4"/>
        <v>100</v>
      </c>
      <c r="U12" s="53">
        <f>IF($J12="","",ROUND(($J12-$J$3)/1000,1)+(_xlfn.RANK.AVG($J12,($J12,$O12,$T12),1)-2)*10)</f>
        <v>39.4</v>
      </c>
      <c r="V12" s="54">
        <f>IF($O12="","",ROUND(($O12-$O$3)/1000,1)+(_xlfn.RANK.AVG($O12,($J12,$O12,$T12),1)-2)*10)</f>
        <v>5.5</v>
      </c>
      <c r="W12" s="55">
        <f>IF($T12="","",ROUND(($T12-$T$3)/1000,1)+(_xlfn.RANK.AVG($T12,($J12,$O12,$T12),1)-2)*10)</f>
        <v>-44.9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104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203</v>
      </c>
      <c r="G13" s="9">
        <v>0</v>
      </c>
      <c r="H13" s="9"/>
      <c r="I13" s="48"/>
      <c r="J13" s="21">
        <f t="shared" si="2"/>
        <v>64400</v>
      </c>
      <c r="K13" s="8" t="s">
        <v>203</v>
      </c>
      <c r="L13" s="9">
        <v>0</v>
      </c>
      <c r="M13" s="9"/>
      <c r="N13" s="48"/>
      <c r="O13" s="21">
        <f t="shared" si="3"/>
        <v>40500</v>
      </c>
      <c r="P13" s="8" t="s">
        <v>203</v>
      </c>
      <c r="Q13" s="9">
        <v>0</v>
      </c>
      <c r="R13" s="9"/>
      <c r="S13" s="48"/>
      <c r="T13" s="21">
        <f t="shared" si="4"/>
        <v>100</v>
      </c>
      <c r="U13" s="53">
        <f>IF($J13="","",ROUND(($J13-$J$3)/1000,1)+(_xlfn.RANK.AVG($J13,($J13,$O13,$T13),1)-2)*10)</f>
        <v>39.4</v>
      </c>
      <c r="V13" s="54">
        <f>IF($O13="","",ROUND(($O13-$O$3)/1000,1)+(_xlfn.RANK.AVG($O13,($J13,$O13,$T13),1)-2)*10)</f>
        <v>5.5</v>
      </c>
      <c r="W13" s="55">
        <f>IF($T13="","",ROUND(($T13-$T$3)/1000,1)+(_xlfn.RANK.AVG($T13,($J13,$O13,$T13),1)-2)*10)</f>
        <v>-44.9</v>
      </c>
      <c r="Y13" s="8" t="s">
        <v>202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213</v>
      </c>
      <c r="F14" s="8" t="s">
        <v>198</v>
      </c>
      <c r="G14" s="9">
        <v>-10000</v>
      </c>
      <c r="H14" s="9"/>
      <c r="I14" s="48">
        <v>-500</v>
      </c>
      <c r="J14" s="21">
        <f t="shared" si="2"/>
        <v>53900</v>
      </c>
      <c r="K14" s="8" t="s">
        <v>198</v>
      </c>
      <c r="L14" s="9">
        <v>-6000</v>
      </c>
      <c r="M14" s="9"/>
      <c r="N14" s="48">
        <v>-500</v>
      </c>
      <c r="O14" s="21">
        <f t="shared" si="3"/>
        <v>34000</v>
      </c>
      <c r="P14" s="8" t="s">
        <v>197</v>
      </c>
      <c r="Q14" s="9">
        <v>16000</v>
      </c>
      <c r="R14" s="9"/>
      <c r="S14" s="48">
        <v>1000</v>
      </c>
      <c r="T14" s="21">
        <f t="shared" si="4"/>
        <v>17100</v>
      </c>
      <c r="U14" s="53">
        <f>IF($J14="","",ROUND(($J14-$J$3)/1000,1)+(_xlfn.RANK.AVG($J14,($J14,$O14,$T14),1)-2)*10)</f>
        <v>28.9</v>
      </c>
      <c r="V14" s="54">
        <f>IF($O14="","",ROUND(($O14-$O$3)/1000,1)+(_xlfn.RANK.AVG($O14,($J14,$O14,$T14),1)-2)*10)</f>
        <v>-1</v>
      </c>
      <c r="W14" s="55">
        <f>IF($T14="","",ROUND(($T14-$T$3)/1000,1)+(_xlfn.RANK.AVG($T14,($J14,$O14,$T14),1)-2)*10)</f>
        <v>-27.9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10</v>
      </c>
      <c r="BT14" s="30" t="s">
        <v>206</v>
      </c>
      <c r="BU14" s="40" t="s">
        <v>82</v>
      </c>
      <c r="BV14" s="41" t="s">
        <v>84</v>
      </c>
      <c r="BW14" s="41" t="s">
        <v>200</v>
      </c>
      <c r="BX14" s="41" t="s">
        <v>83</v>
      </c>
      <c r="BY14" s="41" t="s">
        <v>106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210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96E3650-4038-4F26-84B1-0AD87FDFF87D}">
      <formula1>"たかの,だいち,ただ,りくと,れんたろう,まっつん,のり,ぱぱ,ほたに,いっしー,"</formula1>
    </dataValidation>
    <dataValidation type="list" allowBlank="1" showInputMessage="1" showErrorMessage="1" sqref="E4:E30" xr:uid="{6705FE1D-71CC-4DFD-BAA8-C015D59898C0}">
      <formula1>$U$2:$W$2</formula1>
    </dataValidation>
    <dataValidation type="list" showInputMessage="1" showErrorMessage="1" sqref="K4:K30 P4:P30 F4:F30" xr:uid="{2D67A2CD-74D6-448A-9FA3-04D4E9F2DAA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2019-11-17T12:49:38Z</dcterms:modified>
</cp:coreProperties>
</file>