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D211CDFB-7889-43A9-9F16-2487C11E123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V13" i="21" s="1"/>
  <c r="J13" i="21"/>
  <c r="D13" i="21"/>
  <c r="C13" i="21"/>
  <c r="B13" i="21"/>
  <c r="A13" i="21"/>
  <c r="T12" i="21"/>
  <c r="O12" i="21"/>
  <c r="J12" i="21"/>
  <c r="U12" i="21" s="1"/>
  <c r="D12" i="21"/>
  <c r="C12" i="21"/>
  <c r="B12" i="21"/>
  <c r="A12" i="21"/>
  <c r="D11" i="21"/>
  <c r="D10" i="21"/>
  <c r="D9" i="21"/>
  <c r="C9" i="21"/>
  <c r="C10" i="21" s="1"/>
  <c r="C11" i="21" s="1"/>
  <c r="D8" i="21"/>
  <c r="C8" i="21"/>
  <c r="D7" i="21"/>
  <c r="C7" i="21"/>
  <c r="B7" i="21"/>
  <c r="B8" i="21" s="1"/>
  <c r="D6" i="21"/>
  <c r="B6" i="21"/>
  <c r="A6" i="21"/>
  <c r="O5" i="21"/>
  <c r="D5" i="21"/>
  <c r="C5" i="21"/>
  <c r="C6" i="21" s="1"/>
  <c r="B5" i="21"/>
  <c r="A5" i="21"/>
  <c r="T4" i="21"/>
  <c r="W4" i="21" s="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D12" i="20"/>
  <c r="C12" i="20"/>
  <c r="D11" i="20"/>
  <c r="D10" i="20"/>
  <c r="D9" i="20"/>
  <c r="D8" i="20"/>
  <c r="C8" i="20"/>
  <c r="C9" i="20" s="1"/>
  <c r="C10" i="20" s="1"/>
  <c r="C11" i="20" s="1"/>
  <c r="D7" i="20"/>
  <c r="C7" i="20"/>
  <c r="D6" i="20"/>
  <c r="C6" i="20"/>
  <c r="B6" i="20"/>
  <c r="B7" i="20" s="1"/>
  <c r="J5" i="20"/>
  <c r="J6" i="20" s="1"/>
  <c r="D5" i="20"/>
  <c r="C5" i="20"/>
  <c r="B5" i="20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W13" i="21" l="1"/>
  <c r="U13" i="21"/>
  <c r="V12" i="21"/>
  <c r="W12" i="21"/>
  <c r="A7" i="21"/>
  <c r="U4" i="21"/>
  <c r="B9" i="21"/>
  <c r="J5" i="21"/>
  <c r="V5" i="21" s="1"/>
  <c r="T5" i="21"/>
  <c r="A8" i="21"/>
  <c r="O6" i="21"/>
  <c r="U4" i="20"/>
  <c r="V4" i="20"/>
  <c r="W4" i="20"/>
  <c r="T6" i="20"/>
  <c r="B8" i="20"/>
  <c r="J7" i="20"/>
  <c r="O5" i="20"/>
  <c r="W5" i="20" s="1"/>
  <c r="A5" i="20"/>
  <c r="A6" i="20" s="1"/>
  <c r="A7" i="20" s="1"/>
  <c r="W3" i="19"/>
  <c r="V3" i="19"/>
  <c r="U3" i="19"/>
  <c r="A9" i="21" l="1"/>
  <c r="B10" i="21"/>
  <c r="W5" i="21"/>
  <c r="T6" i="21"/>
  <c r="U5" i="21"/>
  <c r="J6" i="21"/>
  <c r="V6" i="21" s="1"/>
  <c r="O7" i="21"/>
  <c r="A8" i="20"/>
  <c r="A9" i="20" s="1"/>
  <c r="J8" i="20"/>
  <c r="B9" i="20"/>
  <c r="T7" i="20"/>
  <c r="O6" i="20"/>
  <c r="V5" i="20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B11" i="21" l="1"/>
  <c r="A10" i="21"/>
  <c r="O8" i="21"/>
  <c r="U6" i="21"/>
  <c r="J7" i="21"/>
  <c r="W6" i="21"/>
  <c r="T7" i="21"/>
  <c r="J9" i="20"/>
  <c r="V6" i="20"/>
  <c r="O7" i="20"/>
  <c r="U6" i="20"/>
  <c r="W6" i="20"/>
  <c r="T8" i="20"/>
  <c r="B10" i="20"/>
  <c r="V13" i="19"/>
  <c r="W13" i="19"/>
  <c r="U13" i="19"/>
  <c r="W12" i="19"/>
  <c r="V12" i="19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11" i="21" l="1"/>
  <c r="U7" i="21"/>
  <c r="J8" i="21"/>
  <c r="V7" i="21"/>
  <c r="O9" i="21"/>
  <c r="W7" i="21"/>
  <c r="T8" i="21"/>
  <c r="W7" i="20"/>
  <c r="J10" i="20"/>
  <c r="T9" i="20"/>
  <c r="B11" i="20"/>
  <c r="A11" i="20" s="1"/>
  <c r="A10" i="20"/>
  <c r="V7" i="20"/>
  <c r="O8" i="20"/>
  <c r="U7" i="20"/>
  <c r="W5" i="19"/>
  <c r="V5" i="19"/>
  <c r="U5" i="19"/>
  <c r="V8" i="21" l="1"/>
  <c r="U8" i="21"/>
  <c r="J9" i="21"/>
  <c r="W8" i="21"/>
  <c r="T9" i="21"/>
  <c r="V9" i="21"/>
  <c r="O10" i="21"/>
  <c r="W8" i="20"/>
  <c r="B12" i="20"/>
  <c r="A12" i="20" s="1"/>
  <c r="T10" i="20"/>
  <c r="V8" i="20"/>
  <c r="O9" i="20"/>
  <c r="U8" i="20"/>
  <c r="J11" i="20"/>
  <c r="U9" i="21" l="1"/>
  <c r="J10" i="21"/>
  <c r="O11" i="21"/>
  <c r="W9" i="21"/>
  <c r="T10" i="21"/>
  <c r="W9" i="20"/>
  <c r="O10" i="20"/>
  <c r="V9" i="20"/>
  <c r="U9" i="20"/>
  <c r="T11" i="20"/>
  <c r="J12" i="20"/>
  <c r="B13" i="20"/>
  <c r="A13" i="20" s="1"/>
  <c r="U10" i="21" l="1"/>
  <c r="J11" i="21"/>
  <c r="W10" i="21"/>
  <c r="T11" i="21"/>
  <c r="V10" i="21"/>
  <c r="W10" i="20"/>
  <c r="J13" i="20"/>
  <c r="T12" i="20"/>
  <c r="V10" i="20"/>
  <c r="O11" i="20"/>
  <c r="U10" i="20"/>
  <c r="U11" i="21" l="1"/>
  <c r="V11" i="21"/>
  <c r="W11" i="21"/>
  <c r="O12" i="20"/>
  <c r="V11" i="20"/>
  <c r="U11" i="20"/>
  <c r="W11" i="20"/>
  <c r="W12" i="20"/>
  <c r="T13" i="20"/>
  <c r="V12" i="20" l="1"/>
  <c r="O13" i="20"/>
  <c r="U12" i="20"/>
  <c r="V13" i="20" l="1"/>
  <c r="U13" i="20"/>
  <c r="W13" i="20"/>
</calcChain>
</file>

<file path=xl/sharedStrings.xml><?xml version="1.0" encoding="utf-8"?>
<sst xmlns="http://schemas.openxmlformats.org/spreadsheetml/2006/main" count="833" uniqueCount="210">
  <si>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</si>
  <si>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</si>
  <si>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</si>
  <si>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</si>
  <si>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</si>
  <si>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</si>
  <si>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</si>
  <si>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</si>
  <si>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</si>
  <si>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</si>
  <si>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</si>
  <si>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</si>
  <si>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</si>
  <si>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</si>
  <si>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</si>
  <si>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</si>
  <si>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</si>
  <si>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</si>
  <si>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</si>
  <si>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</si>
  <si>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</si>
  <si>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</si>
  <si>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</si>
  <si>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</si>
  <si>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</si>
  <si>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</si>
  <si>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</si>
  <si>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</si>
  <si>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</si>
  <si>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</si>
  <si>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</si>
  <si>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</si>
  <si>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</si>
  <si>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</si>
  <si>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</si>
  <si>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</si>
  <si>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</si>
  <si>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</si>
  <si>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</si>
  <si>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</si>
  <si>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</si>
  <si>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</si>
  <si>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</si>
  <si>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</si>
  <si>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</si>
  <si>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</si>
  <si>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</si>
  <si>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</si>
  <si>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</si>
  <si>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</si>
  <si>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</si>
  <si>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</si>
  <si>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</si>
  <si>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</si>
  <si>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</si>
  <si>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</si>
  <si>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</si>
  <si>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</si>
  <si>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</si>
  <si>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</si>
  <si>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</si>
  <si>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</si>
  <si>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</si>
  <si>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</si>
  <si>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</si>
  <si>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</si>
  <si>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</si>
  <si>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</si>
  <si>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</si>
  <si>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</si>
  <si>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</si>
  <si>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</si>
  <si>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</si>
  <si>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</si>
  <si>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</si>
  <si>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</si>
  <si>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</si>
  <si>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</si>
  <si>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</si>
  <si>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</si>
  <si>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</si>
  <si>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</si>
  <si>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</si>
  <si>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</si>
  <si>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</si>
  <si>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</si>
  <si>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</si>
  <si>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</si>
  <si>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</si>
  <si>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</si>
  <si>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</si>
  <si>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</si>
  <si>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</si>
  <si>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</si>
  <si>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</si>
  <si>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</si>
  <si>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</si>
  <si>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</si>
  <si>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</si>
  <si>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</si>
  <si>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</si>
  <si>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</si>
  <si>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</si>
  <si>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</si>
  <si>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</si>
  <si>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</si>
  <si>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</si>
  <si>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</si>
  <si>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</si>
  <si>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</si>
  <si>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</si>
  <si>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</si>
  <si>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</si>
  <si>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</si>
  <si>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</si>
  <si>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</si>
  <si>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</si>
  <si>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</si>
  <si>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</si>
  <si>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</si>
  <si>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</si>
  <si>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</si>
  <si>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</si>
  <si>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</si>
  <si>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</si>
  <si>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</si>
  <si>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</si>
  <si>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</si>
  <si>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</si>
  <si>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</si>
  <si>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</si>
  <si>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</si>
  <si>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</si>
  <si>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</si>
  <si>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</si>
  <si>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</si>
  <si>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</si>
  <si>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</si>
  <si>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</si>
  <si>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</si>
  <si>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</si>
  <si>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</si>
  <si>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</si>
  <si>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</si>
  <si>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</si>
  <si>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</si>
  <si>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</si>
  <si>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</si>
  <si>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</si>
  <si>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</si>
  <si>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</si>
  <si>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</si>
  <si>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</si>
  <si>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</si>
  <si>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</si>
  <si>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</si>
  <si>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</si>
  <si>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</si>
  <si>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</si>
  <si>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</si>
  <si>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</si>
  <si>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</si>
  <si>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</si>
  <si>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</si>
  <si>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</si>
  <si>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</si>
  <si>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</si>
  <si>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</si>
  <si>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</si>
  <si>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</si>
  <si>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</si>
  <si>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</si>
  <si>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</si>
  <si>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</si>
  <si>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</si>
  <si>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</si>
  <si>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</si>
  <si>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</si>
  <si>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</si>
  <si>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</si>
  <si>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</si>
  <si>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</si>
  <si>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</si>
  <si>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</si>
  <si>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</si>
  <si>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</si>
  <si>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</si>
  <si>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</si>
  <si>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</si>
  <si>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</si>
  <si>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</si>
  <si>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</si>
  <si>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</si>
  <si>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ただ</t>
  </si>
  <si>
    <t>ただ</t>
    <phoneticPr fontId="1"/>
  </si>
  <si>
    <t>だいち</t>
  </si>
  <si>
    <t>だいち</t>
    <phoneticPr fontId="1"/>
  </si>
  <si>
    <t>放銃</t>
  </si>
  <si>
    <t>ロン</t>
  </si>
  <si>
    <t>*</t>
  </si>
  <si>
    <t>52</t>
  </si>
  <si>
    <t>ツモ支払</t>
  </si>
  <si>
    <t>ツモ</t>
  </si>
  <si>
    <t>01</t>
  </si>
  <si>
    <t>02</t>
  </si>
  <si>
    <t>チョンボ</t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</si>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</sst>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199</v>
      </c>
      <c r="BU4" s="40" t="s">
        <v>104</v>
      </c>
      <c r="BV4" s="41" t="s">
        <v>86</v>
      </c>
      <c r="BW4" s="41" t="s">
        <v>86</v>
      </c>
      <c r="BX4" s="41" t="s">
        <v>200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-12000</v>
      </c>
      <c r="H5" s="9">
        <v>-1000</v>
      </c>
      <c r="I5" s="48">
        <v>-500</v>
      </c>
      <c r="J5" s="21">
        <f t="shared" ref="J5:J30" si="2">IF(COUNTA($F5,$K5,$P5)&gt;0,J4+SUM(G5:I5),"")</f>
        <v>9500</v>
      </c>
      <c r="K5" s="8" t="s">
        <v>201</v>
      </c>
      <c r="L5" s="9">
        <v>-12000</v>
      </c>
      <c r="M5" s="9"/>
      <c r="N5" s="48">
        <v>-500</v>
      </c>
      <c r="O5" s="21">
        <f t="shared" ref="O5:O30" si="3">IF(COUNTA($F5,$K5,$P5)&gt;0,O4+SUM(L5:N5),"")</f>
        <v>22500</v>
      </c>
      <c r="P5" s="8" t="s">
        <v>202</v>
      </c>
      <c r="Q5" s="9">
        <v>24000</v>
      </c>
      <c r="R5" s="9">
        <v>1000</v>
      </c>
      <c r="S5" s="48">
        <v>1000</v>
      </c>
      <c r="T5" s="21">
        <f t="shared" ref="T5:T30" si="4">IF(COUNTA($F5,$K5,$P5)&gt;0,T4+SUM(Q5:S5),"")</f>
        <v>73000</v>
      </c>
      <c r="U5" s="53">
        <f>IF($J5="","",ROUND(($J5-$J$3)/1000,1)+(_xlfn.RANK.AVG($J5,($J5,$O5,$T5),1)-2)*10)</f>
        <v>-35.5</v>
      </c>
      <c r="V5" s="54">
        <f>IF($O5="","",ROUND(($O5-$O$3)/1000,1)+(_xlfn.RANK.AVG($O5,($J5,$O5,$T5),1)-2)*10)</f>
        <v>-12.5</v>
      </c>
      <c r="W5" s="55">
        <f>IF($T5="","",ROUND(($T5-$T$3)/1000,1)+(_xlfn.RANK.AVG($T5,($J5,$O5,$T5),1)-2)*10)</f>
        <v>48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8</v>
      </c>
      <c r="BT5" s="30" t="s">
        <v>199</v>
      </c>
      <c r="BU5" s="40" t="s">
        <v>82</v>
      </c>
      <c r="BV5" s="41" t="s">
        <v>85</v>
      </c>
      <c r="BW5" s="41" t="s">
        <v>96</v>
      </c>
      <c r="BX5" s="41" t="s">
        <v>200</v>
      </c>
      <c r="BY5" s="41" t="s">
        <v>79</v>
      </c>
      <c r="BZ5" s="41" t="s">
        <v>79</v>
      </c>
      <c r="CA5" s="41" t="s">
        <v>79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202</v>
      </c>
      <c r="G6" s="9">
        <v>12000</v>
      </c>
      <c r="H6" s="9"/>
      <c r="I6" s="48">
        <v>2000</v>
      </c>
      <c r="J6" s="21">
        <f t="shared" si="2"/>
        <v>23500</v>
      </c>
      <c r="K6" s="8" t="s">
        <v>201</v>
      </c>
      <c r="L6" s="9">
        <v>-4500</v>
      </c>
      <c r="M6" s="9"/>
      <c r="N6" s="48">
        <v>-1000</v>
      </c>
      <c r="O6" s="21">
        <f t="shared" si="3"/>
        <v>17000</v>
      </c>
      <c r="P6" s="8" t="s">
        <v>201</v>
      </c>
      <c r="Q6" s="9">
        <v>-7500</v>
      </c>
      <c r="R6" s="9"/>
      <c r="S6" s="48">
        <v>-1000</v>
      </c>
      <c r="T6" s="21">
        <f t="shared" si="4"/>
        <v>64500</v>
      </c>
      <c r="U6" s="53">
        <f>IF($J6="","",ROUND(($J6-$J$3)/1000,1)+(_xlfn.RANK.AVG($J6,($J6,$O6,$T6),1)-2)*10)</f>
        <v>-11.5</v>
      </c>
      <c r="V6" s="54">
        <f>IF($O6="","",ROUND(($O6-$O$3)/1000,1)+(_xlfn.RANK.AVG($O6,($J6,$O6,$T6),1)-2)*10)</f>
        <v>-28</v>
      </c>
      <c r="W6" s="55">
        <f>IF($T6="","",ROUND(($T6-$T$3)/1000,1)+(_xlfn.RANK.AVG($T6,($J6,$O6,$T6),1)-2)*10)</f>
        <v>39.5</v>
      </c>
      <c r="Y6" s="8"/>
      <c r="Z6" s="34"/>
      <c r="AA6" s="26">
        <v>1</v>
      </c>
      <c r="AB6" s="26"/>
      <c r="AC6" s="26">
        <v>7</v>
      </c>
      <c r="AD6" s="30" t="s">
        <v>199</v>
      </c>
      <c r="AE6" s="40" t="s">
        <v>203</v>
      </c>
      <c r="AF6" s="41" t="s">
        <v>82</v>
      </c>
      <c r="AG6" s="41" t="s">
        <v>204</v>
      </c>
      <c r="AH6" s="41" t="s">
        <v>86</v>
      </c>
      <c r="AI6" s="41" t="s">
        <v>200</v>
      </c>
      <c r="AJ6" s="41" t="s">
        <v>200</v>
      </c>
      <c r="AK6" s="41" t="s">
        <v>79</v>
      </c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-5000</v>
      </c>
      <c r="H7" s="9"/>
      <c r="I7" s="48">
        <v>0</v>
      </c>
      <c r="J7" s="21">
        <f t="shared" si="2"/>
        <v>18500</v>
      </c>
      <c r="K7" s="8" t="s">
        <v>201</v>
      </c>
      <c r="L7" s="9">
        <v>-3000</v>
      </c>
      <c r="M7" s="9">
        <v>-1000</v>
      </c>
      <c r="N7" s="48">
        <v>0</v>
      </c>
      <c r="O7" s="21">
        <f t="shared" si="3"/>
        <v>13000</v>
      </c>
      <c r="P7" s="8" t="s">
        <v>202</v>
      </c>
      <c r="Q7" s="9">
        <v>8000</v>
      </c>
      <c r="R7" s="9">
        <v>1000</v>
      </c>
      <c r="S7" s="48">
        <v>0</v>
      </c>
      <c r="T7" s="21">
        <f t="shared" si="4"/>
        <v>73500</v>
      </c>
      <c r="U7" s="53">
        <f>IF($J7="","",ROUND(($J7-$J$3)/1000,1)+(_xlfn.RANK.AVG($J7,($J7,$O7,$T7),1)-2)*10)</f>
        <v>-16.5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48.5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4</v>
      </c>
      <c r="BT7" s="30">
        <v>40</v>
      </c>
      <c r="BU7" s="40" t="s">
        <v>82</v>
      </c>
      <c r="BV7" s="41" t="s">
        <v>86</v>
      </c>
      <c r="BW7" s="41" t="s">
        <v>79</v>
      </c>
      <c r="BX7" s="41" t="s">
        <v>200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193</v>
      </c>
      <c r="F8" s="8"/>
      <c r="G8" s="9"/>
      <c r="H8" s="9">
        <v>-1000</v>
      </c>
      <c r="I8" s="48"/>
      <c r="J8" s="21">
        <f t="shared" si="2"/>
        <v>17500</v>
      </c>
      <c r="K8" s="8" t="s">
        <v>198</v>
      </c>
      <c r="L8" s="9">
        <v>5800</v>
      </c>
      <c r="M8" s="9">
        <v>1000</v>
      </c>
      <c r="N8" s="48">
        <v>0</v>
      </c>
      <c r="O8" s="21">
        <f t="shared" si="3"/>
        <v>19800</v>
      </c>
      <c r="P8" s="8" t="s">
        <v>197</v>
      </c>
      <c r="Q8" s="9">
        <v>-5800</v>
      </c>
      <c r="R8" s="9"/>
      <c r="S8" s="48">
        <v>0</v>
      </c>
      <c r="T8" s="21">
        <f t="shared" si="4"/>
        <v>67700</v>
      </c>
      <c r="U8" s="53">
        <f>IF($J8="","",ROUND(($J8-$J$3)/1000,1)+(_xlfn.RANK.AVG($J8,($J8,$O8,$T8),1)-2)*10)</f>
        <v>-27.5</v>
      </c>
      <c r="V8" s="54">
        <f>IF($O8="","",ROUND(($O8-$O$3)/1000,1)+(_xlfn.RANK.AVG($O8,($J8,$O8,$T8),1)-2)*10)</f>
        <v>-15.2</v>
      </c>
      <c r="W8" s="55">
        <f>IF($T8="","",ROUND(($T8-$T$3)/1000,1)+(_xlfn.RANK.AVG($T8,($J8,$O8,$T8),1)-2)*10)</f>
        <v>42.7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30</v>
      </c>
      <c r="AZ8" s="40" t="s">
        <v>203</v>
      </c>
      <c r="BA8" s="41" t="s">
        <v>83</v>
      </c>
      <c r="BB8" s="41" t="s">
        <v>84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17500</v>
      </c>
      <c r="K9" s="8" t="s">
        <v>198</v>
      </c>
      <c r="L9" s="9">
        <v>1500</v>
      </c>
      <c r="M9" s="9"/>
      <c r="N9" s="48">
        <v>1000</v>
      </c>
      <c r="O9" s="21">
        <f t="shared" si="3"/>
        <v>22300</v>
      </c>
      <c r="P9" s="8" t="s">
        <v>197</v>
      </c>
      <c r="Q9" s="9">
        <v>-1500</v>
      </c>
      <c r="R9" s="9"/>
      <c r="S9" s="48">
        <v>-1000</v>
      </c>
      <c r="T9" s="21">
        <f t="shared" si="4"/>
        <v>65200</v>
      </c>
      <c r="U9" s="53">
        <f>IF($J9="","",ROUND(($J9-$J$3)/1000,1)+(_xlfn.RANK.AVG($J9,($J9,$O9,$T9),1)-2)*10)</f>
        <v>-27.5</v>
      </c>
      <c r="V9" s="54">
        <f>IF($O9="","",ROUND(($O9-$O$3)/1000,1)+(_xlfn.RANK.AVG($O9,($J9,$O9,$T9),1)-2)*10)</f>
        <v>-12.7</v>
      </c>
      <c r="W9" s="55">
        <f>IF($T9="","",ROUND(($T9-$T$3)/1000,1)+(_xlfn.RANK.AVG($T9,($J9,$O9,$T9),1)-2)*10)</f>
        <v>40.200000000000003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86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193</v>
      </c>
      <c r="F10" s="8" t="s">
        <v>205</v>
      </c>
      <c r="G10" s="9">
        <v>6000</v>
      </c>
      <c r="H10" s="9"/>
      <c r="I10" s="48"/>
      <c r="J10" s="21">
        <f t="shared" si="2"/>
        <v>23500</v>
      </c>
      <c r="K10" s="8" t="s">
        <v>205</v>
      </c>
      <c r="L10" s="9">
        <v>-12000</v>
      </c>
      <c r="M10" s="9"/>
      <c r="N10" s="48"/>
      <c r="O10" s="21">
        <f t="shared" si="3"/>
        <v>10300</v>
      </c>
      <c r="P10" s="8" t="s">
        <v>205</v>
      </c>
      <c r="Q10" s="9">
        <v>6000</v>
      </c>
      <c r="R10" s="9"/>
      <c r="S10" s="48"/>
      <c r="T10" s="21">
        <f t="shared" si="4"/>
        <v>71200</v>
      </c>
      <c r="U10" s="53">
        <f>IF($J10="","",ROUND(($J10-$J$3)/1000,1)+(_xlfn.RANK.AVG($J10,($J10,$O10,$T10),1)-2)*10)</f>
        <v>-11.5</v>
      </c>
      <c r="V10" s="54">
        <f>IF($O10="","",ROUND(($O10-$O$3)/1000,1)+(_xlfn.RANK.AVG($O10,($J10,$O10,$T10),1)-2)*10)</f>
        <v>-34.700000000000003</v>
      </c>
      <c r="W10" s="55">
        <f>IF($T10="","",ROUND(($T10-$T$3)/1000,1)+(_xlfn.RANK.AVG($T10,($J10,$O10,$T10),1)-2)*10)</f>
        <v>46.2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>
        <v>1</v>
      </c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195</v>
      </c>
      <c r="F11" s="8" t="s">
        <v>197</v>
      </c>
      <c r="G11" s="9">
        <v>-12000</v>
      </c>
      <c r="H11" s="9"/>
      <c r="I11" s="48">
        <v>-2000</v>
      </c>
      <c r="J11" s="21">
        <f t="shared" si="2"/>
        <v>9500</v>
      </c>
      <c r="K11" s="8" t="s">
        <v>198</v>
      </c>
      <c r="L11" s="9">
        <v>12000</v>
      </c>
      <c r="M11" s="9"/>
      <c r="N11" s="48">
        <v>2000</v>
      </c>
      <c r="O11" s="21">
        <f t="shared" si="3"/>
        <v>24300</v>
      </c>
      <c r="P11" s="8"/>
      <c r="Q11" s="9"/>
      <c r="R11" s="9"/>
      <c r="S11" s="48"/>
      <c r="T11" s="21">
        <f t="shared" si="4"/>
        <v>71200</v>
      </c>
      <c r="U11" s="53">
        <f>IF($J11="","",ROUND(($J11-$J$3)/1000,1)+(_xlfn.RANK.AVG($J11,($J11,$O11,$T11),1)-2)*10)</f>
        <v>-35.5</v>
      </c>
      <c r="V11" s="54">
        <f>IF($O11="","",ROUND(($O11-$O$3)/1000,1)+(_xlfn.RANK.AVG($O11,($J11,$O11,$T11),1)-2)*10)</f>
        <v>-10.7</v>
      </c>
      <c r="W11" s="55">
        <f>IF($T11="","",ROUND(($T11-$T$3)/1000,1)+(_xlfn.RANK.AVG($T11,($J11,$O11,$T11),1)-2)*10)</f>
        <v>46.2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199</v>
      </c>
      <c r="AZ11" s="40" t="s">
        <v>104</v>
      </c>
      <c r="BA11" s="41" t="s">
        <v>86</v>
      </c>
      <c r="BB11" s="41" t="s">
        <v>79</v>
      </c>
      <c r="BC11" s="41" t="s">
        <v>79</v>
      </c>
      <c r="BD11" s="41" t="s">
        <v>79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197</v>
      </c>
      <c r="G12" s="9">
        <v>-8000</v>
      </c>
      <c r="H12" s="9"/>
      <c r="I12" s="48">
        <v>0</v>
      </c>
      <c r="J12" s="21">
        <f t="shared" si="2"/>
        <v>1500</v>
      </c>
      <c r="K12" s="8"/>
      <c r="L12" s="9"/>
      <c r="M12" s="9"/>
      <c r="N12" s="48"/>
      <c r="O12" s="21">
        <f t="shared" si="3"/>
        <v>24300</v>
      </c>
      <c r="P12" s="8" t="s">
        <v>198</v>
      </c>
      <c r="Q12" s="9">
        <v>8000</v>
      </c>
      <c r="R12" s="9"/>
      <c r="S12" s="48">
        <v>0</v>
      </c>
      <c r="T12" s="21">
        <f t="shared" si="4"/>
        <v>79200</v>
      </c>
      <c r="U12" s="53">
        <f>IF($J12="","",ROUND(($J12-$J$3)/1000,1)+(_xlfn.RANK.AVG($J12,($J12,$O12,$T12),1)-2)*10)</f>
        <v>-43.5</v>
      </c>
      <c r="V12" s="54">
        <f>IF($O12="","",ROUND(($O12-$O$3)/1000,1)+(_xlfn.RANK.AVG($O12,($J12,$O12,$T12),1)-2)*10)</f>
        <v>-10.7</v>
      </c>
      <c r="W12" s="55">
        <f>IF($T12="","",ROUND(($T12-$T$3)/1000,1)+(_xlfn.RANK.AVG($T12,($J12,$O12,$T12),1)-2)*10)</f>
        <v>54.2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40</v>
      </c>
      <c r="BU12" s="40" t="s">
        <v>203</v>
      </c>
      <c r="BV12" s="41" t="s">
        <v>79</v>
      </c>
      <c r="BW12" s="41" t="s">
        <v>79</v>
      </c>
      <c r="BX12" s="41" t="s">
        <v>200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197</v>
      </c>
      <c r="G13" s="9">
        <v>-12000</v>
      </c>
      <c r="H13" s="9"/>
      <c r="I13" s="48">
        <v>0</v>
      </c>
      <c r="J13" s="21">
        <f t="shared" si="2"/>
        <v>-10500</v>
      </c>
      <c r="K13" s="8"/>
      <c r="L13" s="9"/>
      <c r="M13" s="9"/>
      <c r="N13" s="48"/>
      <c r="O13" s="21">
        <f t="shared" si="3"/>
        <v>24300</v>
      </c>
      <c r="P13" s="8" t="s">
        <v>198</v>
      </c>
      <c r="Q13" s="9">
        <v>12000</v>
      </c>
      <c r="R13" s="9"/>
      <c r="S13" s="48">
        <v>0</v>
      </c>
      <c r="T13" s="21">
        <f t="shared" si="4"/>
        <v>91200</v>
      </c>
      <c r="U13" s="53">
        <f>IF($J13="","",ROUND(($J13-$J$3)/1000,1)+(_xlfn.RANK.AVG($J13,($J13,$O13,$T13),1)-2)*10)</f>
        <v>-55.5</v>
      </c>
      <c r="V13" s="54">
        <f>IF($O13="","",ROUND(($O13-$O$3)/1000,1)+(_xlfn.RANK.AVG($O13,($J13,$O13,$T13),1)-2)*10)</f>
        <v>-10.7</v>
      </c>
      <c r="W13" s="55">
        <f>IF($T13="","",ROUND(($T13-$T$3)/1000,1)+(_xlfn.RANK.AVG($T13,($J13,$O13,$T13),1)-2)*10)</f>
        <v>66.2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7</v>
      </c>
      <c r="BT13" s="30" t="s">
        <v>199</v>
      </c>
      <c r="BU13" s="40" t="s">
        <v>106</v>
      </c>
      <c r="BV13" s="41" t="s">
        <v>200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AC09864-2B22-4F06-BAF8-41216C4DB306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B276-4388-4C20-A57C-76A8CF66B41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196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40</v>
      </c>
      <c r="AZ4" s="40" t="s">
        <v>104</v>
      </c>
      <c r="BA4" s="41" t="s">
        <v>86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202</v>
      </c>
      <c r="L5" s="9">
        <v>18000</v>
      </c>
      <c r="M5" s="9"/>
      <c r="N5" s="48">
        <v>0</v>
      </c>
      <c r="O5" s="21">
        <f t="shared" ref="O5:O30" si="3">IF(COUNTA($F5,$K5,$P5)&gt;0,O4+SUM(L5:N5),"")</f>
        <v>61000</v>
      </c>
      <c r="P5" s="8" t="s">
        <v>201</v>
      </c>
      <c r="Q5" s="9">
        <v>-9000</v>
      </c>
      <c r="R5" s="9"/>
      <c r="S5" s="48">
        <v>0</v>
      </c>
      <c r="T5" s="21">
        <f t="shared" ref="T5:T30" si="4">IF(COUNTA($F5,$K5,$P5)&gt;0,T4+SUM(Q5:S5),"")</f>
        <v>18000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36</v>
      </c>
      <c r="W5" s="55">
        <f>IF($T5="","",ROUND(($T5-$T$3)/1000,1)+(_xlfn.RANK.AVG($T5,($J5,$O5,$T5),1)-2)*10)</f>
        <v>-27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199</v>
      </c>
      <c r="AZ5" s="40" t="s">
        <v>203</v>
      </c>
      <c r="BA5" s="41" t="s">
        <v>82</v>
      </c>
      <c r="BB5" s="41" t="s">
        <v>204</v>
      </c>
      <c r="BC5" s="41" t="s">
        <v>86</v>
      </c>
      <c r="BD5" s="41" t="s">
        <v>79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202</v>
      </c>
      <c r="G6" s="9">
        <v>8000</v>
      </c>
      <c r="H6" s="9"/>
      <c r="I6" s="48">
        <v>1000</v>
      </c>
      <c r="J6" s="21">
        <f t="shared" si="2"/>
        <v>35000</v>
      </c>
      <c r="K6" s="8" t="s">
        <v>201</v>
      </c>
      <c r="L6" s="9">
        <v>-5000</v>
      </c>
      <c r="M6" s="9"/>
      <c r="N6" s="48">
        <v>-500</v>
      </c>
      <c r="O6" s="21">
        <f t="shared" si="3"/>
        <v>55500</v>
      </c>
      <c r="P6" s="8" t="s">
        <v>201</v>
      </c>
      <c r="Q6" s="9">
        <v>-3000</v>
      </c>
      <c r="R6" s="9"/>
      <c r="S6" s="48">
        <v>-500</v>
      </c>
      <c r="T6" s="21">
        <f t="shared" si="4"/>
        <v>14500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30.5</v>
      </c>
      <c r="W6" s="55">
        <f>IF($T6="","",ROUND(($T6-$T$3)/1000,1)+(_xlfn.RANK.AVG($T6,($J6,$O6,$T6),1)-2)*10)</f>
        <v>-30.5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203</v>
      </c>
      <c r="AF6" s="41" t="s">
        <v>82</v>
      </c>
      <c r="AG6" s="41" t="s">
        <v>204</v>
      </c>
      <c r="AH6" s="41" t="s">
        <v>79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5200</v>
      </c>
      <c r="H7" s="9"/>
      <c r="I7" s="48">
        <v>0</v>
      </c>
      <c r="J7" s="21">
        <f t="shared" si="2"/>
        <v>40200</v>
      </c>
      <c r="K7" s="8"/>
      <c r="L7" s="9"/>
      <c r="M7" s="9"/>
      <c r="N7" s="48"/>
      <c r="O7" s="21">
        <f t="shared" si="3"/>
        <v>55500</v>
      </c>
      <c r="P7" s="8" t="s">
        <v>197</v>
      </c>
      <c r="Q7" s="9">
        <v>-5200</v>
      </c>
      <c r="R7" s="9"/>
      <c r="S7" s="48">
        <v>0</v>
      </c>
      <c r="T7" s="21">
        <f t="shared" si="4"/>
        <v>9300</v>
      </c>
      <c r="U7" s="53">
        <f>IF($J7="","",ROUND(($J7-$J$3)/1000,1)+(_xlfn.RANK.AVG($J7,($J7,$O7,$T7),1)-2)*10)</f>
        <v>5.2</v>
      </c>
      <c r="V7" s="54">
        <f>IF($O7="","",ROUND(($O7-$O$3)/1000,1)+(_xlfn.RANK.AVG($O7,($J7,$O7,$T7),1)-2)*10)</f>
        <v>30.5</v>
      </c>
      <c r="W7" s="55">
        <f>IF($T7="","",ROUND(($T7-$T$3)/1000,1)+(_xlfn.RANK.AVG($T7,($J7,$O7,$T7),1)-2)*10)</f>
        <v>-35.700000000000003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203</v>
      </c>
      <c r="AF7" s="41" t="s">
        <v>200</v>
      </c>
      <c r="AG7" s="41" t="s">
        <v>80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202</v>
      </c>
      <c r="G8" s="9">
        <v>12000</v>
      </c>
      <c r="H8" s="9"/>
      <c r="I8" s="48">
        <v>0</v>
      </c>
      <c r="J8" s="21">
        <f t="shared" si="2"/>
        <v>52200</v>
      </c>
      <c r="K8" s="8" t="s">
        <v>201</v>
      </c>
      <c r="L8" s="9">
        <v>-6000</v>
      </c>
      <c r="M8" s="9"/>
      <c r="N8" s="48">
        <v>0</v>
      </c>
      <c r="O8" s="21">
        <f t="shared" si="3"/>
        <v>49500</v>
      </c>
      <c r="P8" s="8" t="s">
        <v>201</v>
      </c>
      <c r="Q8" s="9">
        <v>-6000</v>
      </c>
      <c r="R8" s="9"/>
      <c r="S8" s="48">
        <v>0</v>
      </c>
      <c r="T8" s="21">
        <f t="shared" si="4"/>
        <v>3300</v>
      </c>
      <c r="U8" s="53">
        <f>IF($J8="","",ROUND(($J8-$J$3)/1000,1)+(_xlfn.RANK.AVG($J8,($J8,$O8,$T8),1)-2)*10)</f>
        <v>27.2</v>
      </c>
      <c r="V8" s="54">
        <f>IF($O8="","",ROUND(($O8-$O$3)/1000,1)+(_xlfn.RANK.AVG($O8,($J8,$O8,$T8),1)-2)*10)</f>
        <v>14.5</v>
      </c>
      <c r="W8" s="55">
        <f>IF($T8="","",ROUND(($T8-$T$3)/1000,1)+(_xlfn.RANK.AVG($T8,($J8,$O8,$T8),1)-2)*10)</f>
        <v>-41.7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203</v>
      </c>
      <c r="AF8" s="41" t="s">
        <v>82</v>
      </c>
      <c r="AG8" s="41" t="s">
        <v>86</v>
      </c>
      <c r="AH8" s="41" t="s">
        <v>200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195</v>
      </c>
      <c r="F9" s="8" t="s">
        <v>208</v>
      </c>
      <c r="G9" s="9">
        <v>3000</v>
      </c>
      <c r="H9" s="9"/>
      <c r="I9" s="48"/>
      <c r="J9" s="21">
        <f t="shared" si="2"/>
        <v>55200</v>
      </c>
      <c r="K9" s="8" t="s">
        <v>208</v>
      </c>
      <c r="L9" s="9">
        <v>-1500</v>
      </c>
      <c r="M9" s="9"/>
      <c r="N9" s="48"/>
      <c r="O9" s="21">
        <f t="shared" si="3"/>
        <v>48000</v>
      </c>
      <c r="P9" s="8" t="s">
        <v>208</v>
      </c>
      <c r="Q9" s="9">
        <v>-1500</v>
      </c>
      <c r="R9" s="9"/>
      <c r="S9" s="48"/>
      <c r="T9" s="21">
        <f t="shared" si="4"/>
        <v>1800</v>
      </c>
      <c r="U9" s="53">
        <f>IF($J9="","",ROUND(($J9-$J$3)/1000,1)+(_xlfn.RANK.AVG($J9,($J9,$O9,$T9),1)-2)*10)</f>
        <v>30.2</v>
      </c>
      <c r="V9" s="54">
        <f>IF($O9="","",ROUND(($O9-$O$3)/1000,1)+(_xlfn.RANK.AVG($O9,($J9,$O9,$T9),1)-2)*10)</f>
        <v>13</v>
      </c>
      <c r="W9" s="55">
        <f>IF($T9="","",ROUND(($T9-$T$3)/1000,1)+(_xlfn.RANK.AVG($T9,($J9,$O9,$T9),1)-2)*10)</f>
        <v>-43.2</v>
      </c>
      <c r="Y9" s="8" t="s">
        <v>206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195</v>
      </c>
      <c r="F10" s="8" t="s">
        <v>198</v>
      </c>
      <c r="G10" s="9">
        <v>12000</v>
      </c>
      <c r="H10" s="9"/>
      <c r="I10" s="48">
        <v>2000</v>
      </c>
      <c r="J10" s="21">
        <f t="shared" si="2"/>
        <v>69200</v>
      </c>
      <c r="K10" s="8" t="s">
        <v>197</v>
      </c>
      <c r="L10" s="9">
        <v>-12000</v>
      </c>
      <c r="M10" s="9"/>
      <c r="N10" s="48">
        <v>-2000</v>
      </c>
      <c r="O10" s="21">
        <f t="shared" si="3"/>
        <v>34000</v>
      </c>
      <c r="P10" s="8"/>
      <c r="Q10" s="9"/>
      <c r="R10" s="9"/>
      <c r="S10" s="48"/>
      <c r="T10" s="21">
        <f t="shared" si="4"/>
        <v>1800</v>
      </c>
      <c r="U10" s="53">
        <f>IF($J10="","",ROUND(($J10-$J$3)/1000,1)+(_xlfn.RANK.AVG($J10,($J10,$O10,$T10),1)-2)*10)</f>
        <v>44.2</v>
      </c>
      <c r="V10" s="54">
        <f>IF($O10="","",ROUND(($O10-$O$3)/1000,1)+(_xlfn.RANK.AVG($O10,($J10,$O10,$T10),1)-2)*10)</f>
        <v>-1</v>
      </c>
      <c r="W10" s="55">
        <f>IF($T10="","",ROUND(($T10-$T$3)/1000,1)+(_xlfn.RANK.AVG($T10,($J10,$O10,$T10),1)-2)*10)</f>
        <v>-43.2</v>
      </c>
      <c r="Y10" s="8"/>
      <c r="Z10" s="34"/>
      <c r="AA10" s="26"/>
      <c r="AB10" s="26"/>
      <c r="AC10" s="26">
        <v>4</v>
      </c>
      <c r="AD10" s="30">
        <v>40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195</v>
      </c>
      <c r="F11" s="8" t="s">
        <v>202</v>
      </c>
      <c r="G11" s="9">
        <v>6000</v>
      </c>
      <c r="H11" s="9">
        <v>1000</v>
      </c>
      <c r="I11" s="48">
        <v>3000</v>
      </c>
      <c r="J11" s="21">
        <f t="shared" si="2"/>
        <v>79200</v>
      </c>
      <c r="K11" s="8" t="s">
        <v>201</v>
      </c>
      <c r="L11" s="9">
        <v>-3000</v>
      </c>
      <c r="M11" s="9"/>
      <c r="N11" s="48">
        <v>-1500</v>
      </c>
      <c r="O11" s="21">
        <f t="shared" si="3"/>
        <v>29500</v>
      </c>
      <c r="P11" s="8" t="s">
        <v>201</v>
      </c>
      <c r="Q11" s="9">
        <v>-3000</v>
      </c>
      <c r="R11" s="9">
        <v>-1000</v>
      </c>
      <c r="S11" s="48">
        <v>-1500</v>
      </c>
      <c r="T11" s="21">
        <f t="shared" si="4"/>
        <v>-3700</v>
      </c>
      <c r="U11" s="53">
        <f>IF($J11="","",ROUND(($J11-$J$3)/1000,1)+(_xlfn.RANK.AVG($J11,($J11,$O11,$T11),1)-2)*10)</f>
        <v>54.2</v>
      </c>
      <c r="V11" s="54">
        <f>IF($O11="","",ROUND(($O11-$O$3)/1000,1)+(_xlfn.RANK.AVG($O11,($J11,$O11,$T11),1)-2)*10)</f>
        <v>-5.5</v>
      </c>
      <c r="W11" s="55">
        <f>IF($T11="","",ROUND(($T11-$T$3)/1000,1)+(_xlfn.RANK.AVG($T11,($J11,$O11,$T11),1)-2)*10)</f>
        <v>-48.7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203</v>
      </c>
      <c r="AF11" s="41" t="s">
        <v>82</v>
      </c>
      <c r="AG11" s="41" t="s">
        <v>79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C820745-18A3-4634-A7BB-C0BEB835F6BD}">
      <formula1>"たかの,だいち,ただ,りくと,れんたろう,まっつん,のり,ぱぱ,ほたに,いっしー,"</formula1>
    </dataValidation>
    <dataValidation type="list" showInputMessage="1" showErrorMessage="1" sqref="K4:K30 P4:P30 F4:F30" xr:uid="{612E12E2-89C5-43FB-883A-37FB5E21296F}">
      <formula1>"ロン,ツモ,放銃,ツモ支払,流局,チョンボ"</formula1>
    </dataValidation>
    <dataValidation type="list" allowBlank="1" showInputMessage="1" showErrorMessage="1" sqref="E4:E30" xr:uid="{F6201FDC-507C-4344-A654-ACEDCA50A70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B98A0-27B3-4A77-9C8D-6555F190098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196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4800</v>
      </c>
      <c r="H4" s="9"/>
      <c r="I4" s="48">
        <v>0</v>
      </c>
      <c r="J4" s="21">
        <f>IF(COUNTA($F4,$K4,$P4)&gt;0,J3+SUM(G4:I4),"")</f>
        <v>39800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IF($J4="","",ROUND(($J4-$J$3)/1000,1)+(_xlfn.RANK.AVG($J4,($J4,$O4,$T4),1)-2)*10)</f>
        <v>14.8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-14.8</v>
      </c>
      <c r="Y4" s="8"/>
      <c r="Z4" s="34"/>
      <c r="AA4" s="26">
        <v>1</v>
      </c>
      <c r="AB4" s="26"/>
      <c r="AC4" s="26">
        <v>3</v>
      </c>
      <c r="AD4" s="30">
        <v>25</v>
      </c>
      <c r="AE4" s="40" t="s">
        <v>203</v>
      </c>
      <c r="AF4" s="41" t="s">
        <v>101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202</v>
      </c>
      <c r="G5" s="9">
        <v>12000</v>
      </c>
      <c r="H5" s="9">
        <v>1000</v>
      </c>
      <c r="I5" s="48">
        <v>1000</v>
      </c>
      <c r="J5" s="21">
        <f t="shared" ref="J5:J30" si="2">IF(COUNTA($F5,$K5,$P5)&gt;0,J4+SUM(G5:I5),"")</f>
        <v>53800</v>
      </c>
      <c r="K5" s="8" t="s">
        <v>201</v>
      </c>
      <c r="L5" s="9">
        <v>-6000</v>
      </c>
      <c r="M5" s="9">
        <v>-1000</v>
      </c>
      <c r="N5" s="48">
        <v>-500</v>
      </c>
      <c r="O5" s="21">
        <f t="shared" ref="O5:O30" si="3">IF(COUNTA($F5,$K5,$P5)&gt;0,O4+SUM(L5:N5),"")</f>
        <v>27500</v>
      </c>
      <c r="P5" s="8" t="s">
        <v>201</v>
      </c>
      <c r="Q5" s="9">
        <v>-6000</v>
      </c>
      <c r="R5" s="9"/>
      <c r="S5" s="48">
        <v>-500</v>
      </c>
      <c r="T5" s="21">
        <f t="shared" ref="T5:T30" si="4">IF(COUNTA($F5,$K5,$P5)&gt;0,T4+SUM(Q5:S5),"")</f>
        <v>23700</v>
      </c>
      <c r="U5" s="53">
        <f>IF($J5="","",ROUND(($J5-$J$3)/1000,1)+(_xlfn.RANK.AVG($J5,($J5,$O5,$T5),1)-2)*10)</f>
        <v>28.8</v>
      </c>
      <c r="V5" s="54">
        <f>IF($O5="","",ROUND(($O5-$O$3)/1000,1)+(_xlfn.RANK.AVG($O5,($J5,$O5,$T5),1)-2)*10)</f>
        <v>-7.5</v>
      </c>
      <c r="W5" s="55">
        <f>IF($T5="","",ROUND(($T5-$T$3)/1000,1)+(_xlfn.RANK.AVG($T5,($J5,$O5,$T5),1)-2)*10)</f>
        <v>-21.3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203</v>
      </c>
      <c r="AF5" s="41" t="s">
        <v>82</v>
      </c>
      <c r="AG5" s="41" t="s">
        <v>89</v>
      </c>
      <c r="AH5" s="41" t="s">
        <v>200</v>
      </c>
      <c r="AI5" s="41" t="s">
        <v>80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201</v>
      </c>
      <c r="G6" s="9">
        <v>-2500</v>
      </c>
      <c r="H6" s="9"/>
      <c r="I6" s="48">
        <v>-1000</v>
      </c>
      <c r="J6" s="21">
        <f t="shared" si="2"/>
        <v>50300</v>
      </c>
      <c r="K6" s="8" t="s">
        <v>201</v>
      </c>
      <c r="L6" s="9">
        <v>-1500</v>
      </c>
      <c r="M6" s="9"/>
      <c r="N6" s="48">
        <v>-1000</v>
      </c>
      <c r="O6" s="21">
        <f t="shared" si="3"/>
        <v>25000</v>
      </c>
      <c r="P6" s="8" t="s">
        <v>202</v>
      </c>
      <c r="Q6" s="9">
        <v>4000</v>
      </c>
      <c r="R6" s="9"/>
      <c r="S6" s="48">
        <v>2000</v>
      </c>
      <c r="T6" s="21">
        <f t="shared" si="4"/>
        <v>29700</v>
      </c>
      <c r="U6" s="53">
        <f>IF($J6="","",ROUND(($J6-$J$3)/1000,1)+(_xlfn.RANK.AVG($J6,($J6,$O6,$T6),1)-2)*10)</f>
        <v>25.3</v>
      </c>
      <c r="V6" s="54">
        <f>IF($O6="","",ROUND(($O6-$O$3)/1000,1)+(_xlfn.RANK.AVG($O6,($J6,$O6,$T6),1)-2)*10)</f>
        <v>-20</v>
      </c>
      <c r="W6" s="55">
        <f>IF($T6="","",ROUND(($T6-$T$3)/1000,1)+(_xlfn.RANK.AVG($T6,($J6,$O6,$T6),1)-2)*10)</f>
        <v>-5.3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30</v>
      </c>
      <c r="BU6" s="40" t="s">
        <v>203</v>
      </c>
      <c r="BV6" s="41" t="s">
        <v>200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208</v>
      </c>
      <c r="G7" s="9">
        <v>-1500</v>
      </c>
      <c r="H7" s="9"/>
      <c r="I7" s="48"/>
      <c r="J7" s="21">
        <f t="shared" si="2"/>
        <v>48800</v>
      </c>
      <c r="K7" s="8" t="s">
        <v>208</v>
      </c>
      <c r="L7" s="9">
        <v>3000</v>
      </c>
      <c r="M7" s="9">
        <v>-1000</v>
      </c>
      <c r="N7" s="48"/>
      <c r="O7" s="21">
        <f t="shared" si="3"/>
        <v>27000</v>
      </c>
      <c r="P7" s="8" t="s">
        <v>208</v>
      </c>
      <c r="Q7" s="9">
        <v>-1500</v>
      </c>
      <c r="R7" s="9"/>
      <c r="S7" s="48"/>
      <c r="T7" s="21">
        <f t="shared" si="4"/>
        <v>28200</v>
      </c>
      <c r="U7" s="53">
        <f>IF($J7="","",ROUND(($J7-$J$3)/1000,1)+(_xlfn.RANK.AVG($J7,($J7,$O7,$T7),1)-2)*10)</f>
        <v>23.8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-6.8</v>
      </c>
      <c r="Y7" s="8" t="s">
        <v>207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207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">
        <v>193</v>
      </c>
      <c r="F8" s="8" t="s">
        <v>201</v>
      </c>
      <c r="G8" s="9">
        <v>-6000</v>
      </c>
      <c r="H8" s="9"/>
      <c r="I8" s="48">
        <v>-500</v>
      </c>
      <c r="J8" s="21">
        <f t="shared" si="2"/>
        <v>42300</v>
      </c>
      <c r="K8" s="8" t="s">
        <v>201</v>
      </c>
      <c r="L8" s="9">
        <v>-10000</v>
      </c>
      <c r="M8" s="9"/>
      <c r="N8" s="48">
        <v>-500</v>
      </c>
      <c r="O8" s="21">
        <f t="shared" si="3"/>
        <v>16500</v>
      </c>
      <c r="P8" s="8" t="s">
        <v>202</v>
      </c>
      <c r="Q8" s="9">
        <v>16000</v>
      </c>
      <c r="R8" s="9">
        <v>1000</v>
      </c>
      <c r="S8" s="48">
        <v>1000</v>
      </c>
      <c r="T8" s="21">
        <f t="shared" si="4"/>
        <v>46200</v>
      </c>
      <c r="U8" s="53">
        <f>IF($J8="","",ROUND(($J8-$J$3)/1000,1)+(_xlfn.RANK.AVG($J8,($J8,$O8,$T8),1)-2)*10)</f>
        <v>7.3</v>
      </c>
      <c r="V8" s="54">
        <f>IF($O8="","",ROUND(($O8-$O$3)/1000,1)+(_xlfn.RANK.AVG($O8,($J8,$O8,$T8),1)-2)*10)</f>
        <v>-28.5</v>
      </c>
      <c r="W8" s="55">
        <f>IF($T8="","",ROUND(($T8-$T$3)/1000,1)+(_xlfn.RANK.AVG($T8,($J8,$O8,$T8),1)-2)*10)</f>
        <v>21.2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8</v>
      </c>
      <c r="BT8" s="30" t="s">
        <v>199</v>
      </c>
      <c r="BU8" s="40" t="s">
        <v>82</v>
      </c>
      <c r="BV8" s="41" t="s">
        <v>204</v>
      </c>
      <c r="BW8" s="41" t="s">
        <v>79</v>
      </c>
      <c r="BX8" s="41" t="s">
        <v>79</v>
      </c>
      <c r="BY8" s="41" t="s">
        <v>83</v>
      </c>
      <c r="BZ8" s="41" t="s">
        <v>84</v>
      </c>
      <c r="CA8" s="41" t="s">
        <v>209</v>
      </c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42300</v>
      </c>
      <c r="K9" s="8" t="s">
        <v>198</v>
      </c>
      <c r="L9" s="9">
        <v>7700</v>
      </c>
      <c r="M9" s="9">
        <v>1000</v>
      </c>
      <c r="N9" s="48">
        <v>0</v>
      </c>
      <c r="O9" s="21">
        <f t="shared" si="3"/>
        <v>25200</v>
      </c>
      <c r="P9" s="8" t="s">
        <v>197</v>
      </c>
      <c r="Q9" s="9">
        <v>-7700</v>
      </c>
      <c r="R9" s="9">
        <v>-1000</v>
      </c>
      <c r="S9" s="48">
        <v>0</v>
      </c>
      <c r="T9" s="21">
        <f t="shared" si="4"/>
        <v>37500</v>
      </c>
      <c r="U9" s="53">
        <f>IF($J9="","",ROUND(($J9-$J$3)/1000,1)+(_xlfn.RANK.AVG($J9,($J9,$O9,$T9),1)-2)*10)</f>
        <v>17.3</v>
      </c>
      <c r="V9" s="54">
        <f>IF($O9="","",ROUND(($O9-$O$3)/1000,1)+(_xlfn.RANK.AVG($O9,($J9,$O9,$T9),1)-2)*10)</f>
        <v>-19.8</v>
      </c>
      <c r="W9" s="55">
        <f>IF($T9="","",ROUND(($T9-$T$3)/1000,1)+(_xlfn.RANK.AVG($T9,($J9,$O9,$T9),1)-2)*10)</f>
        <v>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79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42300</v>
      </c>
      <c r="K10" s="8" t="s">
        <v>198</v>
      </c>
      <c r="L10" s="9">
        <v>2000</v>
      </c>
      <c r="M10" s="9">
        <v>1000</v>
      </c>
      <c r="N10" s="48">
        <v>0</v>
      </c>
      <c r="O10" s="21">
        <f t="shared" si="3"/>
        <v>28200</v>
      </c>
      <c r="P10" s="8" t="s">
        <v>197</v>
      </c>
      <c r="Q10" s="9">
        <v>-2000</v>
      </c>
      <c r="R10" s="9">
        <v>-1000</v>
      </c>
      <c r="S10" s="48">
        <v>0</v>
      </c>
      <c r="T10" s="21">
        <f t="shared" si="4"/>
        <v>34500</v>
      </c>
      <c r="U10" s="53">
        <f>IF($J10="","",ROUND(($J10-$J$3)/1000,1)+(_xlfn.RANK.AVG($J10,($J10,$O10,$T10),1)-2)*10)</f>
        <v>17.3</v>
      </c>
      <c r="V10" s="54">
        <f>IF($O10="","",ROUND(($O10-$O$3)/1000,1)+(_xlfn.RANK.AVG($O10,($J10,$O10,$T10),1)-2)*10)</f>
        <v>-16.8</v>
      </c>
      <c r="W10" s="55">
        <f>IF($T10="","",ROUND(($T10-$T$3)/1000,1)+(_xlfn.RANK.AVG($T10,($J10,$O10,$T10),1)-2)*10)</f>
        <v>-0.5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200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201</v>
      </c>
      <c r="G11" s="9">
        <v>-1500</v>
      </c>
      <c r="H11" s="9"/>
      <c r="I11" s="48">
        <v>0</v>
      </c>
      <c r="J11" s="21">
        <f t="shared" si="2"/>
        <v>40800</v>
      </c>
      <c r="K11" s="8" t="s">
        <v>202</v>
      </c>
      <c r="L11" s="9">
        <v>3000</v>
      </c>
      <c r="M11" s="9"/>
      <c r="N11" s="48">
        <v>0</v>
      </c>
      <c r="O11" s="21">
        <f t="shared" si="3"/>
        <v>31200</v>
      </c>
      <c r="P11" s="8" t="s">
        <v>201</v>
      </c>
      <c r="Q11" s="9">
        <v>-1500</v>
      </c>
      <c r="R11" s="9"/>
      <c r="S11" s="48">
        <v>0</v>
      </c>
      <c r="T11" s="21">
        <f t="shared" si="4"/>
        <v>33000</v>
      </c>
      <c r="U11" s="53">
        <f>IF($J11="","",ROUND(($J11-$J$3)/1000,1)+(_xlfn.RANK.AVG($J11,($J11,$O11,$T11),1)-2)*10)</f>
        <v>15.8</v>
      </c>
      <c r="V11" s="54">
        <f>IF($O11="","",ROUND(($O11-$O$3)/1000,1)+(_xlfn.RANK.AVG($O11,($J11,$O11,$T11),1)-2)*10)</f>
        <v>-13.8</v>
      </c>
      <c r="W11" s="55">
        <f>IF($T11="","",ROUND(($T11-$T$3)/1000,1)+(_xlfn.RANK.AVG($T11,($J11,$O11,$T11),1)-2)*10)</f>
        <v>-2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2</v>
      </c>
      <c r="AY11" s="30">
        <v>30</v>
      </c>
      <c r="AZ11" s="40" t="s">
        <v>82</v>
      </c>
      <c r="BA11" s="41" t="s">
        <v>85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198</v>
      </c>
      <c r="G12" s="9">
        <v>1300</v>
      </c>
      <c r="H12" s="9"/>
      <c r="I12" s="48">
        <v>1000</v>
      </c>
      <c r="J12" s="21">
        <f t="shared" si="2"/>
        <v>43100</v>
      </c>
      <c r="K12" s="8"/>
      <c r="L12" s="9"/>
      <c r="M12" s="9"/>
      <c r="N12" s="48"/>
      <c r="O12" s="21">
        <f t="shared" si="3"/>
        <v>31200</v>
      </c>
      <c r="P12" s="8" t="s">
        <v>197</v>
      </c>
      <c r="Q12" s="9">
        <v>-1300</v>
      </c>
      <c r="R12" s="9"/>
      <c r="S12" s="48">
        <v>-1000</v>
      </c>
      <c r="T12" s="21">
        <f t="shared" si="4"/>
        <v>30700</v>
      </c>
      <c r="U12" s="53">
        <f>IF($J12="","",ROUND(($J12-$J$3)/1000,1)+(_xlfn.RANK.AVG($J12,($J12,$O12,$T12),1)-2)*10)</f>
        <v>18.100000000000001</v>
      </c>
      <c r="V12" s="54">
        <f>IF($O12="","",ROUND(($O12-$O$3)/1000,1)+(_xlfn.RANK.AVG($O12,($J12,$O12,$T12),1)-2)*10)</f>
        <v>-3.8</v>
      </c>
      <c r="W12" s="55">
        <f>IF($T12="","",ROUND(($T12-$T$3)/1000,1)+(_xlfn.RANK.AVG($T12,($J12,$O12,$T12),1)-2)*10)</f>
        <v>-14.3</v>
      </c>
      <c r="Y12" s="8"/>
      <c r="Z12" s="34"/>
      <c r="AA12" s="26"/>
      <c r="AB12" s="26"/>
      <c r="AC12" s="26">
        <v>1</v>
      </c>
      <c r="AD12" s="30">
        <v>40</v>
      </c>
      <c r="AE12" s="40" t="s">
        <v>86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201</v>
      </c>
      <c r="G13" s="9">
        <v>-2400</v>
      </c>
      <c r="H13" s="9"/>
      <c r="I13" s="48">
        <v>0</v>
      </c>
      <c r="J13" s="21">
        <f t="shared" si="2"/>
        <v>40700</v>
      </c>
      <c r="K13" s="8" t="s">
        <v>202</v>
      </c>
      <c r="L13" s="9">
        <v>6400</v>
      </c>
      <c r="M13" s="9"/>
      <c r="N13" s="48">
        <v>0</v>
      </c>
      <c r="O13" s="21">
        <f t="shared" si="3"/>
        <v>37600</v>
      </c>
      <c r="P13" s="8" t="s">
        <v>201</v>
      </c>
      <c r="Q13" s="9">
        <v>-4000</v>
      </c>
      <c r="R13" s="9"/>
      <c r="S13" s="48">
        <v>0</v>
      </c>
      <c r="T13" s="21">
        <f t="shared" si="4"/>
        <v>26700</v>
      </c>
      <c r="U13" s="53">
        <f>IF($J13="","",ROUND(($J13-$J$3)/1000,1)+(_xlfn.RANK.AVG($J13,($J13,$O13,$T13),1)-2)*10)</f>
        <v>15.7</v>
      </c>
      <c r="V13" s="54">
        <f>IF($O13="","",ROUND(($O13-$O$3)/1000,1)+(_xlfn.RANK.AVG($O13,($J13,$O13,$T13),1)-2)*10)</f>
        <v>2.6</v>
      </c>
      <c r="W13" s="55">
        <f>IF($T13="","",ROUND(($T13-$T$3)/1000,1)+(_xlfn.RANK.AVG($T13,($J13,$O13,$T13),1)-2)*10)</f>
        <v>-18.3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25</v>
      </c>
      <c r="AZ13" s="40" t="s">
        <v>203</v>
      </c>
      <c r="BA13" s="41" t="s">
        <v>82</v>
      </c>
      <c r="BB13" s="41" t="s">
        <v>101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813D2A2D-5065-42A9-A12A-3ADF54F66FD0}">
      <formula1>$U$2:$W$2</formula1>
    </dataValidation>
    <dataValidation type="list" showInputMessage="1" showErrorMessage="1" sqref="K4:K30 P4:P30 F4:F30" xr:uid="{2EF9638A-2A04-407A-A839-A2157D023FD9}">
      <formula1>"ロン,ツモ,放銃,ツモ支払,流局,チョンボ"</formula1>
    </dataValidation>
    <dataValidation type="list" allowBlank="1" showInputMessage="1" sqref="F1:T1" xr:uid="{1520743D-22B8-4529-B1B2-C6373F3ADBE2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2019-11-24T11:50:30Z</dcterms:modified>
</cp:coreProperties>
</file>