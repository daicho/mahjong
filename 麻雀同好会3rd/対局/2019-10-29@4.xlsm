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C2AFF150-4392-4926-A65F-32572ADE669B}" xr6:coauthVersionLast="41" xr6:coauthVersionMax="41" xr10:uidLastSave="{00000000-0000-0000-0000-000000000000}"/>
  <bookViews>
    <workbookView xWindow="-120" yWindow="-120" windowWidth="20730" windowHeight="11310" activeTab="5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4" l="1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D12" i="24"/>
  <c r="C12" i="24"/>
  <c r="D11" i="24"/>
  <c r="C11" i="24"/>
  <c r="D9" i="24"/>
  <c r="D10" i="24" s="1"/>
  <c r="D8" i="24"/>
  <c r="D7" i="24"/>
  <c r="C7" i="24"/>
  <c r="C8" i="24" s="1"/>
  <c r="C9" i="24" s="1"/>
  <c r="C10" i="24" s="1"/>
  <c r="D6" i="24"/>
  <c r="C6" i="24"/>
  <c r="B6" i="24"/>
  <c r="B7" i="24" s="1"/>
  <c r="T5" i="24"/>
  <c r="D5" i="24"/>
  <c r="C5" i="24"/>
  <c r="B5" i="24"/>
  <c r="A5" i="24" s="1"/>
  <c r="T4" i="24"/>
  <c r="O4" i="24"/>
  <c r="O5" i="24" s="1"/>
  <c r="J4" i="24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O12" i="23"/>
  <c r="J12" i="23"/>
  <c r="D12" i="23"/>
  <c r="C12" i="23"/>
  <c r="B12" i="23"/>
  <c r="A12" i="23"/>
  <c r="D11" i="23"/>
  <c r="C11" i="23"/>
  <c r="D10" i="23"/>
  <c r="C10" i="23"/>
  <c r="D9" i="23"/>
  <c r="C9" i="23"/>
  <c r="D8" i="23"/>
  <c r="C8" i="23"/>
  <c r="D7" i="23"/>
  <c r="C7" i="23"/>
  <c r="J6" i="23"/>
  <c r="D6" i="23"/>
  <c r="C6" i="23"/>
  <c r="T5" i="23"/>
  <c r="O5" i="23"/>
  <c r="J5" i="23"/>
  <c r="D5" i="23"/>
  <c r="C5" i="23"/>
  <c r="B5" i="23"/>
  <c r="B6" i="23" s="1"/>
  <c r="T4" i="23"/>
  <c r="O4" i="23"/>
  <c r="J4" i="23"/>
  <c r="U4" i="23" s="1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O11" i="22"/>
  <c r="J11" i="22"/>
  <c r="D11" i="22"/>
  <c r="C11" i="22"/>
  <c r="B11" i="22"/>
  <c r="A11" i="22"/>
  <c r="T10" i="22"/>
  <c r="O10" i="22"/>
  <c r="J10" i="22"/>
  <c r="U10" i="22" s="1"/>
  <c r="D10" i="22"/>
  <c r="C10" i="22"/>
  <c r="B10" i="22"/>
  <c r="A10" i="22" s="1"/>
  <c r="D9" i="22"/>
  <c r="C9" i="22"/>
  <c r="D8" i="22"/>
  <c r="C8" i="22"/>
  <c r="D7" i="22"/>
  <c r="C7" i="22"/>
  <c r="D6" i="22"/>
  <c r="C6" i="22"/>
  <c r="T5" i="22"/>
  <c r="T6" i="22" s="1"/>
  <c r="O5" i="22"/>
  <c r="D5" i="22"/>
  <c r="C5" i="22"/>
  <c r="B5" i="22"/>
  <c r="T4" i="22"/>
  <c r="O4" i="22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D10" i="21"/>
  <c r="C10" i="21"/>
  <c r="D9" i="21"/>
  <c r="C9" i="21"/>
  <c r="D8" i="21"/>
  <c r="C8" i="21"/>
  <c r="D7" i="21"/>
  <c r="C7" i="21"/>
  <c r="D6" i="21"/>
  <c r="T5" i="21"/>
  <c r="O5" i="21"/>
  <c r="D5" i="21"/>
  <c r="C5" i="21"/>
  <c r="C6" i="21" s="1"/>
  <c r="B5" i="21"/>
  <c r="T4" i="21"/>
  <c r="O4" i="21"/>
  <c r="J4" i="21"/>
  <c r="J5" i="21" s="1"/>
  <c r="W3" i="21"/>
  <c r="V3" i="21"/>
  <c r="U3" i="21"/>
  <c r="W2" i="21"/>
  <c r="V2" i="21"/>
  <c r="U2" i="21"/>
  <c r="BO1" i="21"/>
  <c r="AT1" i="21"/>
  <c r="Y1" i="21"/>
  <c r="A6" i="24" l="1"/>
  <c r="W4" i="24"/>
  <c r="V4" i="24"/>
  <c r="O6" i="24"/>
  <c r="B8" i="24"/>
  <c r="A7" i="24"/>
  <c r="J5" i="24"/>
  <c r="W5" i="24" s="1"/>
  <c r="U4" i="24"/>
  <c r="T6" i="24"/>
  <c r="U12" i="23"/>
  <c r="V12" i="23"/>
  <c r="W12" i="23"/>
  <c r="U5" i="23"/>
  <c r="V5" i="23"/>
  <c r="W5" i="23"/>
  <c r="V4" i="23"/>
  <c r="W4" i="23"/>
  <c r="B7" i="23"/>
  <c r="A7" i="23" s="1"/>
  <c r="O6" i="23"/>
  <c r="A5" i="23"/>
  <c r="T6" i="23"/>
  <c r="J7" i="23"/>
  <c r="A6" i="23"/>
  <c r="U11" i="22"/>
  <c r="V11" i="22"/>
  <c r="W11" i="22"/>
  <c r="V10" i="22"/>
  <c r="W10" i="22"/>
  <c r="U4" i="22"/>
  <c r="W4" i="22"/>
  <c r="T7" i="22"/>
  <c r="B6" i="22"/>
  <c r="J5" i="22"/>
  <c r="V4" i="22"/>
  <c r="O6" i="22"/>
  <c r="A5" i="22"/>
  <c r="V5" i="21"/>
  <c r="W5" i="21"/>
  <c r="V4" i="21"/>
  <c r="W4" i="21"/>
  <c r="U4" i="21"/>
  <c r="J6" i="21"/>
  <c r="U5" i="21"/>
  <c r="B6" i="21"/>
  <c r="O6" i="21"/>
  <c r="A5" i="21"/>
  <c r="T6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T11" i="20"/>
  <c r="O11" i="20"/>
  <c r="J11" i="20"/>
  <c r="U11" i="20" s="1"/>
  <c r="D11" i="20"/>
  <c r="C11" i="20"/>
  <c r="B11" i="20"/>
  <c r="A11" i="20" s="1"/>
  <c r="D10" i="20"/>
  <c r="C10" i="20"/>
  <c r="D9" i="20"/>
  <c r="C9" i="20"/>
  <c r="D8" i="20"/>
  <c r="C8" i="20"/>
  <c r="D7" i="20"/>
  <c r="C7" i="20"/>
  <c r="D6" i="20"/>
  <c r="D5" i="20"/>
  <c r="C5" i="20"/>
  <c r="C6" i="20" s="1"/>
  <c r="B5" i="20"/>
  <c r="T4" i="20"/>
  <c r="T5" i="20" s="1"/>
  <c r="O4" i="20"/>
  <c r="J4" i="20"/>
  <c r="J5" i="20" s="1"/>
  <c r="W3" i="20"/>
  <c r="V3" i="20"/>
  <c r="U3" i="20"/>
  <c r="W2" i="20"/>
  <c r="V2" i="20"/>
  <c r="U2" i="20"/>
  <c r="BO1" i="20"/>
  <c r="AT1" i="20"/>
  <c r="Y1" i="20"/>
  <c r="A8" i="24" l="1"/>
  <c r="J6" i="24"/>
  <c r="W6" i="24" s="1"/>
  <c r="U5" i="24"/>
  <c r="B9" i="24"/>
  <c r="O7" i="24"/>
  <c r="T7" i="24"/>
  <c r="V5" i="24"/>
  <c r="J8" i="23"/>
  <c r="W6" i="23"/>
  <c r="T7" i="23"/>
  <c r="V6" i="23"/>
  <c r="O7" i="23"/>
  <c r="U6" i="23"/>
  <c r="B8" i="23"/>
  <c r="O7" i="22"/>
  <c r="W5" i="22"/>
  <c r="U5" i="22"/>
  <c r="J6" i="22"/>
  <c r="V6" i="22" s="1"/>
  <c r="B7" i="22"/>
  <c r="A7" i="22" s="1"/>
  <c r="A6" i="22"/>
  <c r="T8" i="22"/>
  <c r="V5" i="22"/>
  <c r="T7" i="21"/>
  <c r="W6" i="21"/>
  <c r="V6" i="21"/>
  <c r="O7" i="21"/>
  <c r="B7" i="21"/>
  <c r="A7" i="21" s="1"/>
  <c r="A6" i="21"/>
  <c r="U6" i="21"/>
  <c r="J7" i="21"/>
  <c r="W11" i="20"/>
  <c r="V11" i="20"/>
  <c r="W4" i="20"/>
  <c r="U4" i="20"/>
  <c r="T6" i="20"/>
  <c r="J6" i="20"/>
  <c r="B6" i="20"/>
  <c r="O5" i="20"/>
  <c r="V4" i="20"/>
  <c r="A5" i="20"/>
  <c r="U6" i="24" l="1"/>
  <c r="J7" i="24"/>
  <c r="V7" i="24" s="1"/>
  <c r="W7" i="24"/>
  <c r="T8" i="24"/>
  <c r="B10" i="24"/>
  <c r="A10" i="24" s="1"/>
  <c r="O8" i="24"/>
  <c r="V6" i="24"/>
  <c r="A9" i="24"/>
  <c r="B9" i="23"/>
  <c r="A9" i="23" s="1"/>
  <c r="O8" i="23"/>
  <c r="U8" i="23" s="1"/>
  <c r="V7" i="23"/>
  <c r="W7" i="23"/>
  <c r="T8" i="23"/>
  <c r="J9" i="23"/>
  <c r="A8" i="23"/>
  <c r="U7" i="23"/>
  <c r="T9" i="22"/>
  <c r="B8" i="22"/>
  <c r="A8" i="22" s="1"/>
  <c r="U6" i="22"/>
  <c r="J7" i="22"/>
  <c r="W6" i="22"/>
  <c r="V7" i="22"/>
  <c r="O8" i="22"/>
  <c r="J8" i="21"/>
  <c r="U7" i="21"/>
  <c r="W7" i="21"/>
  <c r="T8" i="21"/>
  <c r="B8" i="21"/>
  <c r="V7" i="21"/>
  <c r="O8" i="21"/>
  <c r="A6" i="20"/>
  <c r="T7" i="20"/>
  <c r="V5" i="20"/>
  <c r="O6" i="20"/>
  <c r="W6" i="20" s="1"/>
  <c r="U6" i="20"/>
  <c r="J7" i="20"/>
  <c r="B7" i="20"/>
  <c r="A7" i="20" s="1"/>
  <c r="U5" i="20"/>
  <c r="W5" i="20"/>
  <c r="O9" i="24" l="1"/>
  <c r="B11" i="24"/>
  <c r="A11" i="24" s="1"/>
  <c r="T9" i="24"/>
  <c r="U7" i="24"/>
  <c r="J8" i="24"/>
  <c r="W8" i="24" s="1"/>
  <c r="W8" i="23"/>
  <c r="T9" i="23"/>
  <c r="V8" i="23"/>
  <c r="O9" i="23"/>
  <c r="U9" i="23"/>
  <c r="J10" i="23"/>
  <c r="B10" i="23"/>
  <c r="A10" i="23" s="1"/>
  <c r="J8" i="22"/>
  <c r="V8" i="22" s="1"/>
  <c r="U7" i="22"/>
  <c r="W7" i="22"/>
  <c r="B9" i="22"/>
  <c r="A9" i="22" s="1"/>
  <c r="O9" i="22"/>
  <c r="U8" i="21"/>
  <c r="J9" i="21"/>
  <c r="V8" i="21"/>
  <c r="O9" i="21"/>
  <c r="B9" i="21"/>
  <c r="A8" i="21"/>
  <c r="W8" i="21"/>
  <c r="T9" i="21"/>
  <c r="T8" i="20"/>
  <c r="B8" i="20"/>
  <c r="J8" i="20"/>
  <c r="U7" i="20"/>
  <c r="V6" i="20"/>
  <c r="O7" i="20"/>
  <c r="W7" i="20" s="1"/>
  <c r="V8" i="24" l="1"/>
  <c r="O10" i="24"/>
  <c r="U8" i="24"/>
  <c r="J9" i="24"/>
  <c r="V9" i="24" s="1"/>
  <c r="T10" i="24"/>
  <c r="B12" i="24"/>
  <c r="A12" i="24" s="1"/>
  <c r="J11" i="23"/>
  <c r="B11" i="23"/>
  <c r="A11" i="23" s="1"/>
  <c r="V9" i="23"/>
  <c r="O10" i="23"/>
  <c r="W9" i="23"/>
  <c r="T10" i="23"/>
  <c r="U8" i="22"/>
  <c r="J9" i="22"/>
  <c r="W8" i="22"/>
  <c r="A9" i="21"/>
  <c r="B10" i="21"/>
  <c r="A10" i="21" s="1"/>
  <c r="J10" i="21"/>
  <c r="U9" i="21"/>
  <c r="T10" i="21"/>
  <c r="W9" i="21"/>
  <c r="V9" i="21"/>
  <c r="O10" i="21"/>
  <c r="B9" i="20"/>
  <c r="T9" i="20"/>
  <c r="O8" i="20"/>
  <c r="W8" i="20" s="1"/>
  <c r="V7" i="20"/>
  <c r="U8" i="20"/>
  <c r="J9" i="20"/>
  <c r="A8" i="20"/>
  <c r="W9" i="24" l="1"/>
  <c r="O11" i="24"/>
  <c r="T11" i="24"/>
  <c r="U9" i="24"/>
  <c r="J10" i="24"/>
  <c r="W10" i="23"/>
  <c r="T11" i="23"/>
  <c r="V10" i="23"/>
  <c r="O11" i="23"/>
  <c r="U11" i="23"/>
  <c r="U10" i="23"/>
  <c r="U9" i="22"/>
  <c r="W9" i="22"/>
  <c r="V9" i="22"/>
  <c r="V10" i="21"/>
  <c r="W10" i="21"/>
  <c r="U10" i="21"/>
  <c r="A9" i="20"/>
  <c r="B10" i="20"/>
  <c r="A10" i="20" s="1"/>
  <c r="U9" i="20"/>
  <c r="J10" i="20"/>
  <c r="V8" i="20"/>
  <c r="O9" i="20"/>
  <c r="W9" i="20"/>
  <c r="T10" i="20"/>
  <c r="V10" i="24" l="1"/>
  <c r="O12" i="24"/>
  <c r="V11" i="24"/>
  <c r="U10" i="24"/>
  <c r="J11" i="24"/>
  <c r="W11" i="24"/>
  <c r="T12" i="24"/>
  <c r="W10" i="24"/>
  <c r="V11" i="23"/>
  <c r="W11" i="23"/>
  <c r="V9" i="20"/>
  <c r="O10" i="20"/>
  <c r="V10" i="20" s="1"/>
  <c r="W12" i="24" l="1"/>
  <c r="U11" i="24"/>
  <c r="J12" i="24"/>
  <c r="U12" i="24" s="1"/>
  <c r="W10" i="20"/>
  <c r="U10" i="20"/>
  <c r="V12" i="24" l="1"/>
  <c r="W3" i="19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10" i="19" l="1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<sst xmlns="http://schemas.openxmlformats.org/spreadsheetml/2006/main" count="1083" uniqueCount="214">
  <si>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</si>
  <si>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</si>
  <si>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</si>
  <si>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</si>
  <si>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</si>
  <si>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</si>
  <si>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</si>
  <si>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</si>
  <si>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</si>
  <si>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</si>
  <si>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</si>
  <si>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</si>
  <si>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</si>
  <si>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</si>
  <si>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</si>
  <si>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</si>
  <si>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</si>
  <si>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</si>
  <si>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</si>
  <si>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</si>
  <si>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</si>
  <si>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</si>
  <si>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</si>
  <si>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</si>
  <si>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</si>
  <si>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</si>
  <si>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</si>
  <si>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</si>
  <si>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</si>
  <si>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</si>
  <si>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</si>
  <si>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</si>
  <si>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</si>
  <si>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</si>
  <si>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</si>
  <si>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</si>
  <si>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</si>
  <si>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</si>
  <si>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</si>
  <si>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</si>
  <si>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</si>
  <si>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</si>
  <si>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</si>
  <si>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</si>
  <si>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</si>
  <si>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</si>
  <si>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</si>
  <si>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</si>
  <si>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</si>
  <si>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</si>
  <si>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</si>
  <si>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</si>
  <si>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</si>
  <si>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</si>
  <si>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</si>
  <si>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</si>
  <si>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</si>
  <si>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</si>
  <si>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</si>
  <si>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</si>
  <si>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</si>
  <si>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</si>
  <si>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</si>
  <si>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</si>
  <si>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</si>
  <si>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</si>
  <si>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</si>
  <si>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</si>
  <si>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</si>
  <si>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</si>
  <si>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</si>
  <si>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</si>
  <si>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</si>
  <si>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</si>
  <si>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</si>
  <si>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</si>
  <si>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</si>
  <si>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</si>
  <si>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</si>
  <si>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</si>
  <si>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</si>
  <si>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</si>
  <si>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</si>
  <si>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</si>
  <si>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</si>
  <si>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</si>
  <si>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</si>
  <si>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</si>
  <si>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</si>
  <si>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</si>
  <si>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</si>
  <si>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</si>
  <si>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</si>
  <si>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</si>
  <si>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</si>
  <si>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</si>
  <si>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</si>
  <si>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</si>
  <si>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</si>
  <si>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</si>
  <si>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</si>
  <si>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</si>
  <si>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</si>
  <si>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</si>
  <si>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</si>
  <si>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</si>
  <si>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</si>
  <si>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</si>
  <si>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</si>
  <si>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</si>
  <si>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</si>
  <si>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</si>
  <si>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</si>
  <si>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</si>
  <si>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</si>
  <si>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</si>
  <si>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</si>
  <si>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</si>
  <si>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</si>
  <si>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</si>
  <si>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</si>
  <si>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</si>
  <si>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</si>
  <si>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</si>
  <si>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</si>
  <si>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</si>
  <si>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</si>
  <si>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</si>
  <si>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</si>
  <si>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</si>
  <si>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</si>
  <si>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</si>
  <si>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</si>
  <si>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</si>
  <si>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</si>
  <si>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</si>
  <si>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</si>
  <si>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</si>
  <si>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</si>
  <si>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</si>
  <si>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</si>
  <si>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</si>
  <si>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</si>
  <si>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</si>
  <si>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</si>
  <si>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</si>
  <si>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</si>
  <si>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</si>
  <si>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</si>
  <si>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</si>
  <si>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</si>
  <si>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</si>
  <si>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</si>
  <si>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</si>
  <si>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</si>
  <si>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</si>
  <si>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</si>
  <si>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</si>
  <si>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</si>
  <si>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</si>
  <si>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</si>
  <si>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</si>
  <si>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</si>
  <si>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</si>
  <si>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</si>
  <si>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</si>
  <si>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</si>
  <si>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</si>
  <si>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</si>
  <si>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</si>
  <si>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</si>
  <si>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</si>
  <si>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</si>
  <si>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</si>
  <si>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</si>
  <si>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</si>
  <si>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</si>
  <si>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</si>
  <si>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</si>
  <si>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</si>
  <si>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</si>
  <si>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</si>
  <si>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</si>
  <si>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</si>
  <si>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</si>
  <si>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</si>
  <si>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</si>
  <si>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</si>
  <si>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</si>
  <si>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</si>
  <si>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</si>
  <si>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</si>
  <si>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</si>
  <si>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まっつん</t>
  </si>
  <si>
    <t>まっつん</t>
    <phoneticPr fontId="1"/>
  </si>
  <si>
    <t>れんたろう</t>
  </si>
  <si>
    <t>れんたろう</t>
    <phoneticPr fontId="1"/>
  </si>
  <si>
    <t>ツモ支払</t>
  </si>
  <si>
    <t>ツモ</t>
  </si>
  <si>
    <t>*</t>
  </si>
  <si>
    <t>01</t>
  </si>
  <si>
    <t>02</t>
  </si>
  <si>
    <t>52</t>
  </si>
  <si>
    <t>ロン</t>
  </si>
  <si>
    <t>放銃</t>
  </si>
  <si>
    <t>ぱぱ</t>
  </si>
  <si>
    <t>51</t>
  </si>
  <si>
    <t>りくと</t>
  </si>
  <si>
    <t>りくと</t>
    <phoneticPr fontId="1"/>
  </si>
  <si>
    <t>だいち</t>
  </si>
  <si>
    <t>だいち</t>
    <phoneticPr fontId="1"/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</si>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</sst>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たかの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まっつん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まっつん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-3000</v>
      </c>
      <c r="H4" s="9"/>
      <c r="I4" s="48">
        <v>0</v>
      </c>
      <c r="J4" s="21">
        <f>IF(COUNTA($F4,$K4,$P4)&gt;0,J3+SUM(G4:I4),"")</f>
        <v>32000</v>
      </c>
      <c r="K4" s="8" t="s">
        <v>197</v>
      </c>
      <c r="L4" s="9">
        <v>-5000</v>
      </c>
      <c r="M4" s="9"/>
      <c r="N4" s="48">
        <v>0</v>
      </c>
      <c r="O4" s="21">
        <f>IF(COUNTA($F4,$K4,$P4)&gt;0,O3+SUM(L4:N4),"")</f>
        <v>30000</v>
      </c>
      <c r="P4" s="8" t="s">
        <v>198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-3</v>
      </c>
      <c r="V4" s="54">
        <f>IF($O4="","",ROUND(($O4-$O$3)/1000,1)+(_xlfn.RANK.AVG($O4,($J4,$O4,$T4),1)-2)*10)</f>
        <v>-15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200</v>
      </c>
      <c r="BV4" s="41" t="s">
        <v>82</v>
      </c>
      <c r="BW4" s="41" t="s">
        <v>201</v>
      </c>
      <c r="BX4" s="41" t="s">
        <v>202</v>
      </c>
      <c r="BY4" s="41" t="s">
        <v>86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197</v>
      </c>
      <c r="G5" s="9">
        <v>-800</v>
      </c>
      <c r="H5" s="9"/>
      <c r="I5" s="48">
        <v>0</v>
      </c>
      <c r="J5" s="21">
        <f t="shared" ref="J5:J30" si="2">IF(COUNTA($F5,$K5,$P5)&gt;0,J4+SUM(G5:I5),"")</f>
        <v>31200</v>
      </c>
      <c r="K5" s="8" t="s">
        <v>197</v>
      </c>
      <c r="L5" s="9">
        <v>-800</v>
      </c>
      <c r="M5" s="9"/>
      <c r="N5" s="48">
        <v>0</v>
      </c>
      <c r="O5" s="21">
        <f t="shared" ref="O5:O30" si="3">IF(COUNTA($F5,$K5,$P5)&gt;0,O4+SUM(L5:N5),"")</f>
        <v>29200</v>
      </c>
      <c r="P5" s="8" t="s">
        <v>198</v>
      </c>
      <c r="Q5" s="9">
        <v>1600</v>
      </c>
      <c r="R5" s="9"/>
      <c r="S5" s="48">
        <v>0</v>
      </c>
      <c r="T5" s="21">
        <f t="shared" ref="T5:T30" si="4">IF(COUNTA($F5,$K5,$P5)&gt;0,T4+SUM(Q5:S5),"")</f>
        <v>44600</v>
      </c>
      <c r="U5" s="53">
        <f>IF($J5="","",ROUND(($J5-$J$3)/1000,1)+(_xlfn.RANK.AVG($J5,($J5,$O5,$T5),1)-2)*10)</f>
        <v>-3.8</v>
      </c>
      <c r="V5" s="54">
        <f>IF($O5="","",ROUND(($O5-$O$3)/1000,1)+(_xlfn.RANK.AVG($O5,($J5,$O5,$T5),1)-2)*10)</f>
        <v>-15.8</v>
      </c>
      <c r="W5" s="55">
        <f>IF($T5="","",ROUND(($T5-$T$3)/1000,1)+(_xlfn.RANK.AVG($T5,($J5,$O5,$T5),1)-2)*10)</f>
        <v>19.600000000000001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</v>
      </c>
      <c r="BT5" s="30">
        <v>30</v>
      </c>
      <c r="BU5" s="40" t="s">
        <v>82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198</v>
      </c>
      <c r="G6" s="9">
        <v>12000</v>
      </c>
      <c r="H6" s="9">
        <v>1000</v>
      </c>
      <c r="I6" s="48">
        <v>1000</v>
      </c>
      <c r="J6" s="21">
        <f t="shared" si="2"/>
        <v>45200</v>
      </c>
      <c r="K6" s="8" t="s">
        <v>197</v>
      </c>
      <c r="L6" s="9">
        <v>-4500</v>
      </c>
      <c r="M6" s="9"/>
      <c r="N6" s="48">
        <v>-500</v>
      </c>
      <c r="O6" s="21">
        <f t="shared" si="3"/>
        <v>24200</v>
      </c>
      <c r="P6" s="8" t="s">
        <v>197</v>
      </c>
      <c r="Q6" s="9">
        <v>-7500</v>
      </c>
      <c r="R6" s="9">
        <v>-1000</v>
      </c>
      <c r="S6" s="48">
        <v>-500</v>
      </c>
      <c r="T6" s="21">
        <f t="shared" si="4"/>
        <v>35600</v>
      </c>
      <c r="U6" s="53">
        <f>IF($J6="","",ROUND(($J6-$J$3)/1000,1)+(_xlfn.RANK.AVG($J6,($J6,$O6,$T6),1)-2)*10)</f>
        <v>20.2</v>
      </c>
      <c r="V6" s="54">
        <f>IF($O6="","",ROUND(($O6-$O$3)/1000,1)+(_xlfn.RANK.AVG($O6,($J6,$O6,$T6),1)-2)*10)</f>
        <v>-20.8</v>
      </c>
      <c r="W6" s="55">
        <f>IF($T6="","",ROUND(($T6-$T$3)/1000,1)+(_xlfn.RANK.AVG($T6,($J6,$O6,$T6),1)-2)*10)</f>
        <v>0.6</v>
      </c>
      <c r="Y6" s="8"/>
      <c r="Z6" s="34"/>
      <c r="AA6" s="26">
        <v>1</v>
      </c>
      <c r="AB6" s="26"/>
      <c r="AC6" s="26">
        <v>6</v>
      </c>
      <c r="AD6" s="30" t="s">
        <v>199</v>
      </c>
      <c r="AE6" s="40" t="s">
        <v>200</v>
      </c>
      <c r="AF6" s="41" t="s">
        <v>83</v>
      </c>
      <c r="AG6" s="41" t="s">
        <v>85</v>
      </c>
      <c r="AH6" s="41" t="s">
        <v>202</v>
      </c>
      <c r="AI6" s="41" t="s">
        <v>84</v>
      </c>
      <c r="AJ6" s="41" t="s">
        <v>82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/>
      <c r="G7" s="9"/>
      <c r="H7" s="9"/>
      <c r="I7" s="48"/>
      <c r="J7" s="21">
        <f t="shared" si="2"/>
        <v>45200</v>
      </c>
      <c r="K7" s="8" t="s">
        <v>203</v>
      </c>
      <c r="L7" s="9">
        <v>8000</v>
      </c>
      <c r="M7" s="9">
        <v>1000</v>
      </c>
      <c r="N7" s="48">
        <v>0</v>
      </c>
      <c r="O7" s="21">
        <f t="shared" si="3"/>
        <v>33200</v>
      </c>
      <c r="P7" s="8" t="s">
        <v>204</v>
      </c>
      <c r="Q7" s="9">
        <v>-8000</v>
      </c>
      <c r="R7" s="9">
        <v>-1000</v>
      </c>
      <c r="S7" s="48">
        <v>0</v>
      </c>
      <c r="T7" s="21">
        <f t="shared" si="4"/>
        <v>26600</v>
      </c>
      <c r="U7" s="53">
        <f>IF($J7="","",ROUND(($J7-$J$3)/1000,1)+(_xlfn.RANK.AVG($J7,($J7,$O7,$T7),1)-2)*10)</f>
        <v>20.2</v>
      </c>
      <c r="V7" s="54">
        <f>IF($O7="","",ROUND(($O7-$O$3)/1000,1)+(_xlfn.RANK.AVG($O7,($J7,$O7,$T7),1)-2)*10)</f>
        <v>-1.8</v>
      </c>
      <c r="W7" s="55">
        <f>IF($T7="","",ROUND(($T7-$T$3)/1000,1)+(_xlfn.RANK.AVG($T7,($J7,$O7,$T7),1)-2)*10)</f>
        <v>-18.399999999999999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5</v>
      </c>
      <c r="AY7" s="30" t="s">
        <v>199</v>
      </c>
      <c r="AZ7" s="40" t="s">
        <v>85</v>
      </c>
      <c r="BA7" s="41" t="s">
        <v>79</v>
      </c>
      <c r="BB7" s="41" t="s">
        <v>79</v>
      </c>
      <c r="BC7" s="41" t="s">
        <v>79</v>
      </c>
      <c r="BD7" s="41" t="s">
        <v>202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203</v>
      </c>
      <c r="G8" s="9">
        <v>1600</v>
      </c>
      <c r="H8" s="9"/>
      <c r="I8" s="48">
        <v>0</v>
      </c>
      <c r="J8" s="21">
        <f t="shared" si="2"/>
        <v>46800</v>
      </c>
      <c r="K8" s="8" t="s">
        <v>204</v>
      </c>
      <c r="L8" s="9">
        <v>-1600</v>
      </c>
      <c r="M8" s="9"/>
      <c r="N8" s="48">
        <v>0</v>
      </c>
      <c r="O8" s="21">
        <f t="shared" si="3"/>
        <v>31600</v>
      </c>
      <c r="P8" s="8"/>
      <c r="Q8" s="9"/>
      <c r="R8" s="9"/>
      <c r="S8" s="48"/>
      <c r="T8" s="21">
        <f t="shared" si="4"/>
        <v>26600</v>
      </c>
      <c r="U8" s="53">
        <f>IF($J8="","",ROUND(($J8-$J$3)/1000,1)+(_xlfn.RANK.AVG($J8,($J8,$O8,$T8),1)-2)*10)</f>
        <v>21.8</v>
      </c>
      <c r="V8" s="54">
        <f>IF($O8="","",ROUND(($O8-$O$3)/1000,1)+(_xlfn.RANK.AVG($O8,($J8,$O8,$T8),1)-2)*10)</f>
        <v>-3.4</v>
      </c>
      <c r="W8" s="55">
        <f>IF($T8="","",ROUND(($T8-$T$3)/1000,1)+(_xlfn.RANK.AVG($T8,($J8,$O8,$T8),1)-2)*10)</f>
        <v>-18.399999999999999</v>
      </c>
      <c r="Y8" s="8"/>
      <c r="Z8" s="34"/>
      <c r="AA8" s="26"/>
      <c r="AB8" s="26"/>
      <c r="AC8" s="26">
        <v>2</v>
      </c>
      <c r="AD8" s="30">
        <v>25</v>
      </c>
      <c r="AE8" s="40" t="s">
        <v>101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203</v>
      </c>
      <c r="G9" s="9">
        <v>1000</v>
      </c>
      <c r="H9" s="9"/>
      <c r="I9" s="48">
        <v>0</v>
      </c>
      <c r="J9" s="21">
        <f t="shared" si="2"/>
        <v>47800</v>
      </c>
      <c r="K9" s="8" t="s">
        <v>204</v>
      </c>
      <c r="L9" s="9">
        <v>-1000</v>
      </c>
      <c r="M9" s="9"/>
      <c r="N9" s="48">
        <v>0</v>
      </c>
      <c r="O9" s="21">
        <f t="shared" si="3"/>
        <v>30600</v>
      </c>
      <c r="P9" s="8"/>
      <c r="Q9" s="9"/>
      <c r="R9" s="9"/>
      <c r="S9" s="48"/>
      <c r="T9" s="21">
        <f t="shared" si="4"/>
        <v>26600</v>
      </c>
      <c r="U9" s="53">
        <f>IF($J9="","",ROUND(($J9-$J$3)/1000,1)+(_xlfn.RANK.AVG($J9,($J9,$O9,$T9),1)-2)*10)</f>
        <v>22.8</v>
      </c>
      <c r="V9" s="54">
        <f>IF($O9="","",ROUND(($O9-$O$3)/1000,1)+(_xlfn.RANK.AVG($O9,($J9,$O9,$T9),1)-2)*10)</f>
        <v>-4.4000000000000004</v>
      </c>
      <c r="W9" s="55">
        <f>IF($T9="","",ROUND(($T9-$T$3)/1000,1)+(_xlfn.RANK.AVG($T9,($J9,$O9,$T9),1)-2)*10)</f>
        <v>-18.399999999999999</v>
      </c>
      <c r="Y9" s="8"/>
      <c r="Z9" s="34"/>
      <c r="AA9" s="26"/>
      <c r="AB9" s="26">
        <v>1</v>
      </c>
      <c r="AC9" s="26">
        <v>1</v>
      </c>
      <c r="AD9" s="30">
        <v>30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203</v>
      </c>
      <c r="G10" s="9">
        <v>3900</v>
      </c>
      <c r="H10" s="9"/>
      <c r="I10" s="48">
        <v>0</v>
      </c>
      <c r="J10" s="21">
        <f t="shared" si="2"/>
        <v>51700</v>
      </c>
      <c r="K10" s="8"/>
      <c r="L10" s="9"/>
      <c r="M10" s="9"/>
      <c r="N10" s="48"/>
      <c r="O10" s="21">
        <f t="shared" si="3"/>
        <v>30600</v>
      </c>
      <c r="P10" s="8" t="s">
        <v>204</v>
      </c>
      <c r="Q10" s="9">
        <v>-3900</v>
      </c>
      <c r="R10" s="9"/>
      <c r="S10" s="48">
        <v>0</v>
      </c>
      <c r="T10" s="21">
        <f t="shared" si="4"/>
        <v>22700</v>
      </c>
      <c r="U10" s="53">
        <f>IF($J10="","",ROUND(($J10-$J$3)/1000,1)+(_xlfn.RANK.AVG($J10,($J10,$O10,$T10),1)-2)*10)</f>
        <v>26.7</v>
      </c>
      <c r="V10" s="54">
        <f>IF($O10="","",ROUND(($O10-$O$3)/1000,1)+(_xlfn.RANK.AVG($O10,($J10,$O10,$T10),1)-2)*10)</f>
        <v>-4.4000000000000004</v>
      </c>
      <c r="W10" s="55">
        <f>IF($T10="","",ROUND(($T10-$T$3)/1000,1)+(_xlfn.RANK.AVG($T10,($J10,$O10,$T10),1)-2)*10)</f>
        <v>-22.3</v>
      </c>
      <c r="Y10" s="8"/>
      <c r="Z10" s="34"/>
      <c r="AA10" s="26"/>
      <c r="AB10" s="26"/>
      <c r="AC10" s="26">
        <v>2</v>
      </c>
      <c r="AD10" s="30">
        <v>40</v>
      </c>
      <c r="AE10" s="40" t="s">
        <v>84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68C71F4-066E-4B90-8F74-115DFAFAD60F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4241D-5D02-48F6-B572-1C03AE60488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たかの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まっつん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まっつん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-3000</v>
      </c>
      <c r="H4" s="9"/>
      <c r="I4" s="48">
        <v>0</v>
      </c>
      <c r="J4" s="21">
        <f>IF(COUNTA($F4,$K4,$P4)&gt;0,J3+SUM(G4:I4),"")</f>
        <v>32000</v>
      </c>
      <c r="K4" s="8" t="s">
        <v>198</v>
      </c>
      <c r="L4" s="9">
        <v>6000</v>
      </c>
      <c r="M4" s="9"/>
      <c r="N4" s="48">
        <v>0</v>
      </c>
      <c r="O4" s="21">
        <f>IF(COUNTA($F4,$K4,$P4)&gt;0,O3+SUM(L4:N4),"")</f>
        <v>41000</v>
      </c>
      <c r="P4" s="8" t="s">
        <v>197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-8</v>
      </c>
      <c r="V4" s="54">
        <f>IF($O4="","",ROUND(($O4-$O$3)/1000,1)+(_xlfn.RANK.AVG($O4,($J4,$O4,$T4),1)-2)*10)</f>
        <v>16</v>
      </c>
      <c r="W4" s="55">
        <f>IF($T4="","",ROUND(($T4-$T$3)/1000,1)+(_xlfn.RANK.AVG($T4,($J4,$O4,$T4),1)-2)*10)</f>
        <v>-8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200</v>
      </c>
      <c r="BA4" s="41" t="s">
        <v>82</v>
      </c>
      <c r="BB4" s="41" t="s">
        <v>202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-1500</v>
      </c>
      <c r="H5" s="9"/>
      <c r="I5" s="48">
        <v>-500</v>
      </c>
      <c r="J5" s="21">
        <f t="shared" ref="J5:J30" si="2">IF(COUNTA($F5,$K5,$P5)&gt;0,J4+SUM(G5:I5),"")</f>
        <v>30000</v>
      </c>
      <c r="K5" s="8" t="s">
        <v>197</v>
      </c>
      <c r="L5" s="9">
        <v>-2500</v>
      </c>
      <c r="M5" s="9"/>
      <c r="N5" s="48">
        <v>-500</v>
      </c>
      <c r="O5" s="21">
        <f t="shared" ref="O5:O30" si="3">IF(COUNTA($F5,$K5,$P5)&gt;0,O4+SUM(L5:N5),"")</f>
        <v>38000</v>
      </c>
      <c r="P5" s="8" t="s">
        <v>198</v>
      </c>
      <c r="Q5" s="9">
        <v>4000</v>
      </c>
      <c r="R5" s="9"/>
      <c r="S5" s="48">
        <v>1000</v>
      </c>
      <c r="T5" s="21">
        <f t="shared" ref="T5:T30" si="4">IF(COUNTA($F5,$K5,$P5)&gt;0,T4+SUM(Q5:S5),"")</f>
        <v>37000</v>
      </c>
      <c r="U5" s="53">
        <f>IF($J5="","",ROUND(($J5-$J$3)/1000,1)+(_xlfn.RANK.AVG($J5,($J5,$O5,$T5),1)-2)*10)</f>
        <v>-15</v>
      </c>
      <c r="V5" s="54">
        <f>IF($O5="","",ROUND(($O5-$O$3)/1000,1)+(_xlfn.RANK.AVG($O5,($J5,$O5,$T5),1)-2)*10)</f>
        <v>13</v>
      </c>
      <c r="W5" s="55">
        <f>IF($T5="","",ROUND(($T5-$T$3)/1000,1)+(_xlfn.RANK.AVG($T5,($J5,$O5,$T5),1)-2)*10)</f>
        <v>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30</v>
      </c>
      <c r="BU5" s="40" t="s">
        <v>200</v>
      </c>
      <c r="BV5" s="41" t="s">
        <v>82</v>
      </c>
      <c r="BW5" s="41" t="s">
        <v>202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198</v>
      </c>
      <c r="G6" s="9">
        <v>1200</v>
      </c>
      <c r="H6" s="9">
        <v>1000</v>
      </c>
      <c r="I6" s="48">
        <v>0</v>
      </c>
      <c r="J6" s="21">
        <f t="shared" si="2"/>
        <v>32200</v>
      </c>
      <c r="K6" s="8" t="s">
        <v>197</v>
      </c>
      <c r="L6" s="9">
        <v>-500</v>
      </c>
      <c r="M6" s="9"/>
      <c r="N6" s="48">
        <v>0</v>
      </c>
      <c r="O6" s="21">
        <f t="shared" si="3"/>
        <v>37500</v>
      </c>
      <c r="P6" s="8" t="s">
        <v>197</v>
      </c>
      <c r="Q6" s="9">
        <v>-700</v>
      </c>
      <c r="R6" s="9">
        <v>-1000</v>
      </c>
      <c r="S6" s="48">
        <v>0</v>
      </c>
      <c r="T6" s="21">
        <f t="shared" si="4"/>
        <v>35300</v>
      </c>
      <c r="U6" s="53">
        <f>IF($J6="","",ROUND(($J6-$J$3)/1000,1)+(_xlfn.RANK.AVG($J6,($J6,$O6,$T6),1)-2)*10)</f>
        <v>-12.8</v>
      </c>
      <c r="V6" s="54">
        <f>IF($O6="","",ROUND(($O6-$O$3)/1000,1)+(_xlfn.RANK.AVG($O6,($J6,$O6,$T6),1)-2)*10)</f>
        <v>12.5</v>
      </c>
      <c r="W6" s="55">
        <f>IF($T6="","",ROUND(($T6-$T$3)/1000,1)+(_xlfn.RANK.AVG($T6,($J6,$O6,$T6),1)-2)*10)</f>
        <v>0.3</v>
      </c>
      <c r="Y6" s="8"/>
      <c r="Z6" s="34"/>
      <c r="AA6" s="26"/>
      <c r="AB6" s="26"/>
      <c r="AC6" s="26">
        <v>1</v>
      </c>
      <c r="AD6" s="30">
        <v>30</v>
      </c>
      <c r="AE6" s="40" t="s">
        <v>82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197</v>
      </c>
      <c r="G7" s="9">
        <v>-4800</v>
      </c>
      <c r="H7" s="9"/>
      <c r="I7" s="48">
        <v>0</v>
      </c>
      <c r="J7" s="21">
        <f t="shared" si="2"/>
        <v>27400</v>
      </c>
      <c r="K7" s="8" t="s">
        <v>197</v>
      </c>
      <c r="L7" s="9">
        <v>-2900</v>
      </c>
      <c r="M7" s="9"/>
      <c r="N7" s="48">
        <v>0</v>
      </c>
      <c r="O7" s="21">
        <f t="shared" si="3"/>
        <v>34600</v>
      </c>
      <c r="P7" s="8" t="s">
        <v>198</v>
      </c>
      <c r="Q7" s="9">
        <v>7700</v>
      </c>
      <c r="R7" s="9"/>
      <c r="S7" s="48">
        <v>0</v>
      </c>
      <c r="T7" s="21">
        <f t="shared" si="4"/>
        <v>43000</v>
      </c>
      <c r="U7" s="53">
        <f>IF($J7="","",ROUND(($J7-$J$3)/1000,1)+(_xlfn.RANK.AVG($J7,($J7,$O7,$T7),1)-2)*10)</f>
        <v>-17.600000000000001</v>
      </c>
      <c r="V7" s="54">
        <f>IF($O7="","",ROUND(($O7-$O$3)/1000,1)+(_xlfn.RANK.AVG($O7,($J7,$O7,$T7),1)-2)*10)</f>
        <v>-0.4</v>
      </c>
      <c r="W7" s="55">
        <f>IF($T7="","",ROUND(($T7-$T$3)/1000,1)+(_xlfn.RANK.AVG($T7,($J7,$O7,$T7),1)-2)*10)</f>
        <v>18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30</v>
      </c>
      <c r="BU7" s="40" t="s">
        <v>104</v>
      </c>
      <c r="BV7" s="41" t="s">
        <v>86</v>
      </c>
      <c r="BW7" s="41" t="s">
        <v>86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27400</v>
      </c>
      <c r="K8" s="8" t="s">
        <v>204</v>
      </c>
      <c r="L8" s="9">
        <v>-8000</v>
      </c>
      <c r="M8" s="9">
        <v>-1000</v>
      </c>
      <c r="N8" s="48">
        <v>0</v>
      </c>
      <c r="O8" s="21">
        <f t="shared" si="3"/>
        <v>25600</v>
      </c>
      <c r="P8" s="8" t="s">
        <v>203</v>
      </c>
      <c r="Q8" s="9">
        <v>8000</v>
      </c>
      <c r="R8" s="9">
        <v>1000</v>
      </c>
      <c r="S8" s="48">
        <v>0</v>
      </c>
      <c r="T8" s="21">
        <f t="shared" si="4"/>
        <v>52000</v>
      </c>
      <c r="U8" s="53">
        <f>IF($J8="","",ROUND(($J8-$J$3)/1000,1)+(_xlfn.RANK.AVG($J8,($J8,$O8,$T8),1)-2)*10)</f>
        <v>-7.6</v>
      </c>
      <c r="V8" s="54">
        <f>IF($O8="","",ROUND(($O8-$O$3)/1000,1)+(_xlfn.RANK.AVG($O8,($J8,$O8,$T8),1)-2)*10)</f>
        <v>-19.399999999999999</v>
      </c>
      <c r="W8" s="55">
        <f>IF($T8="","",ROUND(($T8-$T$3)/1000,1)+(_xlfn.RANK.AVG($T8,($J8,$O8,$T8),1)-2)*10)</f>
        <v>27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199</v>
      </c>
      <c r="BU8" s="40" t="s">
        <v>200</v>
      </c>
      <c r="BV8" s="41" t="s">
        <v>104</v>
      </c>
      <c r="BW8" s="41" t="s">
        <v>84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197</v>
      </c>
      <c r="G9" s="9">
        <v>-6000</v>
      </c>
      <c r="H9" s="9"/>
      <c r="I9" s="48">
        <v>0</v>
      </c>
      <c r="J9" s="21">
        <f t="shared" si="2"/>
        <v>21400</v>
      </c>
      <c r="K9" s="8" t="s">
        <v>197</v>
      </c>
      <c r="L9" s="9">
        <v>-6000</v>
      </c>
      <c r="M9" s="9"/>
      <c r="N9" s="48">
        <v>0</v>
      </c>
      <c r="O9" s="21">
        <f t="shared" si="3"/>
        <v>19600</v>
      </c>
      <c r="P9" s="8" t="s">
        <v>198</v>
      </c>
      <c r="Q9" s="9">
        <v>12000</v>
      </c>
      <c r="R9" s="9"/>
      <c r="S9" s="48">
        <v>0</v>
      </c>
      <c r="T9" s="21">
        <f t="shared" si="4"/>
        <v>64000</v>
      </c>
      <c r="U9" s="53">
        <f>IF($J9="","",ROUND(($J9-$J$3)/1000,1)+(_xlfn.RANK.AVG($J9,($J9,$O9,$T9),1)-2)*10)</f>
        <v>-13.6</v>
      </c>
      <c r="V9" s="54">
        <f>IF($O9="","",ROUND(($O9-$O$3)/1000,1)+(_xlfn.RANK.AVG($O9,($J9,$O9,$T9),1)-2)*10)</f>
        <v>-25.4</v>
      </c>
      <c r="W9" s="55">
        <f>IF($T9="","",ROUND(($T9-$T$3)/1000,1)+(_xlfn.RANK.AVG($T9,($J9,$O9,$T9),1)-2)*10)</f>
        <v>39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199</v>
      </c>
      <c r="BU9" s="40" t="s">
        <v>200</v>
      </c>
      <c r="BV9" s="41" t="s">
        <v>82</v>
      </c>
      <c r="BW9" s="41" t="s">
        <v>87</v>
      </c>
      <c r="BX9" s="41" t="s">
        <v>86</v>
      </c>
      <c r="BY9" s="41" t="s">
        <v>202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195</v>
      </c>
      <c r="F10" s="8" t="s">
        <v>197</v>
      </c>
      <c r="G10" s="9">
        <v>-500</v>
      </c>
      <c r="H10" s="9">
        <v>-1000</v>
      </c>
      <c r="I10" s="48">
        <v>-500</v>
      </c>
      <c r="J10" s="21">
        <f t="shared" si="2"/>
        <v>19400</v>
      </c>
      <c r="K10" s="8" t="s">
        <v>198</v>
      </c>
      <c r="L10" s="9">
        <v>1200</v>
      </c>
      <c r="M10" s="9">
        <v>1000</v>
      </c>
      <c r="N10" s="48">
        <v>1000</v>
      </c>
      <c r="O10" s="21">
        <f t="shared" si="3"/>
        <v>22800</v>
      </c>
      <c r="P10" s="8" t="s">
        <v>197</v>
      </c>
      <c r="Q10" s="9">
        <v>-700</v>
      </c>
      <c r="R10" s="9"/>
      <c r="S10" s="48">
        <v>-500</v>
      </c>
      <c r="T10" s="21">
        <f t="shared" si="4"/>
        <v>62800</v>
      </c>
      <c r="U10" s="53">
        <f>IF($J10="","",ROUND(($J10-$J$3)/1000,1)+(_xlfn.RANK.AVG($J10,($J10,$O10,$T10),1)-2)*10)</f>
        <v>-25.6</v>
      </c>
      <c r="V10" s="54">
        <f>IF($O10="","",ROUND(($O10-$O$3)/1000,1)+(_xlfn.RANK.AVG($O10,($J10,$O10,$T10),1)-2)*10)</f>
        <v>-12.2</v>
      </c>
      <c r="W10" s="55">
        <f>IF($T10="","",ROUND(($T10-$T$3)/1000,1)+(_xlfn.RANK.AVG($T10,($J10,$O10,$T10),1)-2)*10)</f>
        <v>37.799999999999997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1</v>
      </c>
      <c r="AY10" s="30">
        <v>30</v>
      </c>
      <c r="AZ10" s="40" t="s">
        <v>200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197</v>
      </c>
      <c r="G11" s="9">
        <v>-3300</v>
      </c>
      <c r="H11" s="9"/>
      <c r="I11" s="48">
        <v>0</v>
      </c>
      <c r="J11" s="21">
        <f t="shared" si="2"/>
        <v>16100</v>
      </c>
      <c r="K11" s="8" t="s">
        <v>197</v>
      </c>
      <c r="L11" s="9">
        <v>-2000</v>
      </c>
      <c r="M11" s="9"/>
      <c r="N11" s="48">
        <v>0</v>
      </c>
      <c r="O11" s="21">
        <f t="shared" si="3"/>
        <v>20800</v>
      </c>
      <c r="P11" s="8" t="s">
        <v>198</v>
      </c>
      <c r="Q11" s="9">
        <v>5300</v>
      </c>
      <c r="R11" s="9"/>
      <c r="S11" s="48">
        <v>0</v>
      </c>
      <c r="T11" s="21">
        <f t="shared" si="4"/>
        <v>68100</v>
      </c>
      <c r="U11" s="53">
        <f>IF($J11="","",ROUND(($J11-$J$3)/1000,1)+(_xlfn.RANK.AVG($J11,($J11,$O11,$T11),1)-2)*10)</f>
        <v>-28.9</v>
      </c>
      <c r="V11" s="54">
        <f>IF($O11="","",ROUND(($O11-$O$3)/1000,1)+(_xlfn.RANK.AVG($O11,($J11,$O11,$T11),1)-2)*10)</f>
        <v>-14.2</v>
      </c>
      <c r="W11" s="55">
        <f>IF($T11="","",ROUND(($T11-$T$3)/1000,1)+(_xlfn.RANK.AVG($T11,($J11,$O11,$T11),1)-2)*10)</f>
        <v>43.1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20</v>
      </c>
      <c r="BU11" s="40" t="s">
        <v>200</v>
      </c>
      <c r="BV11" s="41" t="s">
        <v>82</v>
      </c>
      <c r="BW11" s="41" t="s">
        <v>83</v>
      </c>
      <c r="BX11" s="41" t="s">
        <v>84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193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E8E2F851-EF95-472A-BCFB-3B8F7D8E1F83}">
      <formula1>"ロン,ツモ,放銃,ツモ支払,流局,チョンボ"</formula1>
    </dataValidation>
    <dataValidation type="list" allowBlank="1" showInputMessage="1" showErrorMessage="1" sqref="E4:E30" xr:uid="{F9258538-370C-423D-933C-B6FF4C9FB29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70470-FC9B-46D1-A2B6-9FDDA2666074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205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ぱぱ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まっつん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ぱぱ</v>
      </c>
      <c r="V2" s="76" t="str">
        <f>$K$1</f>
        <v>まっつん</v>
      </c>
      <c r="W2" s="16" t="str">
        <f>$P$1</f>
        <v>れんたろう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1200</v>
      </c>
      <c r="H4" s="9"/>
      <c r="I4" s="48">
        <v>0</v>
      </c>
      <c r="J4" s="21">
        <f>IF(COUNTA($F4,$K4,$P4)&gt;0,J3+SUM(G4:I4),"")</f>
        <v>36200</v>
      </c>
      <c r="K4" s="8" t="s">
        <v>197</v>
      </c>
      <c r="L4" s="9">
        <v>-700</v>
      </c>
      <c r="M4" s="9"/>
      <c r="N4" s="48">
        <v>0</v>
      </c>
      <c r="O4" s="21">
        <f>IF(COUNTA($F4,$K4,$P4)&gt;0,O3+SUM(L4:N4),"")</f>
        <v>34300</v>
      </c>
      <c r="P4" s="8" t="s">
        <v>197</v>
      </c>
      <c r="Q4" s="9">
        <v>-500</v>
      </c>
      <c r="R4" s="9"/>
      <c r="S4" s="48">
        <v>0</v>
      </c>
      <c r="T4" s="21">
        <f>IF(COUNTA($F4,$K4,$P4)&gt;0,T3+SUM(Q4:S4),"")</f>
        <v>34500</v>
      </c>
      <c r="U4" s="53">
        <f>IF($J4="","",ROUND(($J4-$J$3)/1000,1)+(_xlfn.RANK.AVG($J4,($J4,$O4,$T4),1)-2)*10)</f>
        <v>11.2</v>
      </c>
      <c r="V4" s="54">
        <f>IF($O4="","",ROUND(($O4-$O$3)/1000,1)+(_xlfn.RANK.AVG($O4,($J4,$O4,$T4),1)-2)*10)</f>
        <v>-10.7</v>
      </c>
      <c r="W4" s="55">
        <f>IF($T4="","",ROUND(($T4-$T$3)/1000,1)+(_xlfn.RANK.AVG($T4,($J4,$O4,$T4),1)-2)*10)</f>
        <v>-0.5</v>
      </c>
      <c r="Y4" s="8"/>
      <c r="Z4" s="34"/>
      <c r="AA4" s="26"/>
      <c r="AB4" s="26"/>
      <c r="AC4" s="26">
        <v>1</v>
      </c>
      <c r="AD4" s="30">
        <v>30</v>
      </c>
      <c r="AE4" s="40" t="s">
        <v>82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198</v>
      </c>
      <c r="G5" s="9">
        <v>12000</v>
      </c>
      <c r="H5" s="9">
        <v>1000</v>
      </c>
      <c r="I5" s="48">
        <v>0</v>
      </c>
      <c r="J5" s="21">
        <f t="shared" ref="J5:J30" si="2">IF(COUNTA($F5,$K5,$P5)&gt;0,J4+SUM(G5:I5),"")</f>
        <v>49200</v>
      </c>
      <c r="K5" s="8" t="s">
        <v>197</v>
      </c>
      <c r="L5" s="9">
        <v>-4500</v>
      </c>
      <c r="M5" s="9"/>
      <c r="N5" s="48">
        <v>0</v>
      </c>
      <c r="O5" s="21">
        <f t="shared" ref="O5:O30" si="3">IF(COUNTA($F5,$K5,$P5)&gt;0,O4+SUM(L5:N5),"")</f>
        <v>29800</v>
      </c>
      <c r="P5" s="8" t="s">
        <v>197</v>
      </c>
      <c r="Q5" s="9">
        <v>-7500</v>
      </c>
      <c r="R5" s="9">
        <v>-1000</v>
      </c>
      <c r="S5" s="48">
        <v>0</v>
      </c>
      <c r="T5" s="21">
        <f t="shared" ref="T5:T30" si="4">IF(COUNTA($F5,$K5,$P5)&gt;0,T4+SUM(Q5:S5),"")</f>
        <v>26000</v>
      </c>
      <c r="U5" s="53">
        <f>IF($J5="","",ROUND(($J5-$J$3)/1000,1)+(_xlfn.RANK.AVG($J5,($J5,$O5,$T5),1)-2)*10)</f>
        <v>24.2</v>
      </c>
      <c r="V5" s="54">
        <f>IF($O5="","",ROUND(($O5-$O$3)/1000,1)+(_xlfn.RANK.AVG($O5,($J5,$O5,$T5),1)-2)*10)</f>
        <v>-5.2</v>
      </c>
      <c r="W5" s="55">
        <f>IF($T5="","",ROUND(($T5-$T$3)/1000,1)+(_xlfn.RANK.AVG($T5,($J5,$O5,$T5),1)-2)*10)</f>
        <v>-19</v>
      </c>
      <c r="Y5" s="8"/>
      <c r="Z5" s="34"/>
      <c r="AA5" s="26"/>
      <c r="AB5" s="26">
        <v>1</v>
      </c>
      <c r="AC5" s="26">
        <v>6</v>
      </c>
      <c r="AD5" s="30" t="s">
        <v>199</v>
      </c>
      <c r="AE5" s="40" t="s">
        <v>104</v>
      </c>
      <c r="AF5" s="41" t="s">
        <v>86</v>
      </c>
      <c r="AG5" s="41" t="s">
        <v>79</v>
      </c>
      <c r="AH5" s="41" t="s">
        <v>79</v>
      </c>
      <c r="AI5" s="41" t="s">
        <v>79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205</v>
      </c>
      <c r="F6" s="8" t="s">
        <v>197</v>
      </c>
      <c r="G6" s="9">
        <v>-5000</v>
      </c>
      <c r="H6" s="9"/>
      <c r="I6" s="48">
        <v>0</v>
      </c>
      <c r="J6" s="21">
        <f t="shared" si="2"/>
        <v>44200</v>
      </c>
      <c r="K6" s="8" t="s">
        <v>197</v>
      </c>
      <c r="L6" s="9">
        <v>-3000</v>
      </c>
      <c r="M6" s="9"/>
      <c r="N6" s="48">
        <v>0</v>
      </c>
      <c r="O6" s="21">
        <f t="shared" si="3"/>
        <v>26800</v>
      </c>
      <c r="P6" s="8" t="s">
        <v>198</v>
      </c>
      <c r="Q6" s="9">
        <v>8000</v>
      </c>
      <c r="R6" s="9"/>
      <c r="S6" s="48">
        <v>0</v>
      </c>
      <c r="T6" s="21">
        <f t="shared" si="4"/>
        <v>34000</v>
      </c>
      <c r="U6" s="53">
        <f>IF($J6="","",ROUND(($J6-$J$3)/1000,1)+(_xlfn.RANK.AVG($J6,($J6,$O6,$T6),1)-2)*10)</f>
        <v>19.2</v>
      </c>
      <c r="V6" s="54">
        <f>IF($O6="","",ROUND(($O6-$O$3)/1000,1)+(_xlfn.RANK.AVG($O6,($J6,$O6,$T6),1)-2)*10)</f>
        <v>-18.2</v>
      </c>
      <c r="W6" s="55">
        <f>IF($T6="","",ROUND(($T6-$T$3)/1000,1)+(_xlfn.RANK.AVG($T6,($J6,$O6,$T6),1)-2)*10)</f>
        <v>-1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199</v>
      </c>
      <c r="BU6" s="40" t="s">
        <v>206</v>
      </c>
      <c r="BV6" s="41" t="s">
        <v>82</v>
      </c>
      <c r="BW6" s="41" t="s">
        <v>86</v>
      </c>
      <c r="BX6" s="41" t="s">
        <v>80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198</v>
      </c>
      <c r="G7" s="9">
        <v>5300</v>
      </c>
      <c r="H7" s="9">
        <v>1000</v>
      </c>
      <c r="I7" s="48">
        <v>0</v>
      </c>
      <c r="J7" s="21">
        <f t="shared" si="2"/>
        <v>50500</v>
      </c>
      <c r="K7" s="8" t="s">
        <v>197</v>
      </c>
      <c r="L7" s="9">
        <v>-3300</v>
      </c>
      <c r="M7" s="9"/>
      <c r="N7" s="48">
        <v>0</v>
      </c>
      <c r="O7" s="21">
        <f t="shared" si="3"/>
        <v>23500</v>
      </c>
      <c r="P7" s="8" t="s">
        <v>197</v>
      </c>
      <c r="Q7" s="9">
        <v>-2000</v>
      </c>
      <c r="R7" s="9">
        <v>-1000</v>
      </c>
      <c r="S7" s="48">
        <v>0</v>
      </c>
      <c r="T7" s="21">
        <f t="shared" si="4"/>
        <v>31000</v>
      </c>
      <c r="U7" s="53">
        <f>IF($J7="","",ROUND(($J7-$J$3)/1000,1)+(_xlfn.RANK.AVG($J7,($J7,$O7,$T7),1)-2)*10)</f>
        <v>25.5</v>
      </c>
      <c r="V7" s="54">
        <f>IF($O7="","",ROUND(($O7-$O$3)/1000,1)+(_xlfn.RANK.AVG($O7,($J7,$O7,$T7),1)-2)*10)</f>
        <v>-21.5</v>
      </c>
      <c r="W7" s="55">
        <f>IF($T7="","",ROUND(($T7-$T$3)/1000,1)+(_xlfn.RANK.AVG($T7,($J7,$O7,$T7),1)-2)*10)</f>
        <v>-4</v>
      </c>
      <c r="Y7" s="8"/>
      <c r="Z7" s="34"/>
      <c r="AA7" s="26">
        <v>1</v>
      </c>
      <c r="AB7" s="26"/>
      <c r="AC7" s="26">
        <v>3</v>
      </c>
      <c r="AD7" s="30">
        <v>40</v>
      </c>
      <c r="AE7" s="40" t="s">
        <v>82</v>
      </c>
      <c r="AF7" s="41" t="s">
        <v>200</v>
      </c>
      <c r="AG7" s="41" t="s">
        <v>80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197</v>
      </c>
      <c r="G8" s="9">
        <v>-6000</v>
      </c>
      <c r="H8" s="9"/>
      <c r="I8" s="48">
        <v>0</v>
      </c>
      <c r="J8" s="21">
        <f t="shared" si="2"/>
        <v>44500</v>
      </c>
      <c r="K8" s="8" t="s">
        <v>198</v>
      </c>
      <c r="L8" s="9">
        <v>16000</v>
      </c>
      <c r="M8" s="9"/>
      <c r="N8" s="48">
        <v>0</v>
      </c>
      <c r="O8" s="21">
        <f t="shared" si="3"/>
        <v>39500</v>
      </c>
      <c r="P8" s="8" t="s">
        <v>197</v>
      </c>
      <c r="Q8" s="9">
        <v>-10000</v>
      </c>
      <c r="R8" s="9"/>
      <c r="S8" s="48">
        <v>0</v>
      </c>
      <c r="T8" s="21">
        <f t="shared" si="4"/>
        <v>21000</v>
      </c>
      <c r="U8" s="53">
        <f>IF($J8="","",ROUND(($J8-$J$3)/1000,1)+(_xlfn.RANK.AVG($J8,($J8,$O8,$T8),1)-2)*10)</f>
        <v>19.5</v>
      </c>
      <c r="V8" s="54">
        <f>IF($O8="","",ROUND(($O8-$O$3)/1000,1)+(_xlfn.RANK.AVG($O8,($J8,$O8,$T8),1)-2)*10)</f>
        <v>4.5</v>
      </c>
      <c r="W8" s="55">
        <f>IF($T8="","",ROUND(($T8-$T$3)/1000,1)+(_xlfn.RANK.AVG($T8,($J8,$O8,$T8),1)-2)*10)</f>
        <v>-24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9</v>
      </c>
      <c r="AY8" s="30" t="s">
        <v>199</v>
      </c>
      <c r="AZ8" s="40" t="s">
        <v>82</v>
      </c>
      <c r="BA8" s="41" t="s">
        <v>200</v>
      </c>
      <c r="BB8" s="41" t="s">
        <v>79</v>
      </c>
      <c r="BC8" s="41" t="s">
        <v>202</v>
      </c>
      <c r="BD8" s="41" t="s">
        <v>80</v>
      </c>
      <c r="BE8" s="41" t="s">
        <v>80</v>
      </c>
      <c r="BF8" s="41" t="s">
        <v>80</v>
      </c>
      <c r="BG8" s="41" t="s">
        <v>96</v>
      </c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205</v>
      </c>
      <c r="F9" s="8" t="s">
        <v>203</v>
      </c>
      <c r="G9" s="9">
        <v>2000</v>
      </c>
      <c r="H9" s="9"/>
      <c r="I9" s="48">
        <v>0</v>
      </c>
      <c r="J9" s="21">
        <f t="shared" si="2"/>
        <v>46500</v>
      </c>
      <c r="K9" s="8" t="s">
        <v>204</v>
      </c>
      <c r="L9" s="9">
        <v>-2000</v>
      </c>
      <c r="M9" s="9"/>
      <c r="N9" s="48">
        <v>0</v>
      </c>
      <c r="O9" s="21">
        <f t="shared" si="3"/>
        <v>37500</v>
      </c>
      <c r="P9" s="8"/>
      <c r="Q9" s="9"/>
      <c r="R9" s="9"/>
      <c r="S9" s="48"/>
      <c r="T9" s="21">
        <f t="shared" si="4"/>
        <v>21000</v>
      </c>
      <c r="U9" s="53">
        <f>IF($J9="","",ROUND(($J9-$J$3)/1000,1)+(_xlfn.RANK.AVG($J9,($J9,$O9,$T9),1)-2)*10)</f>
        <v>21.5</v>
      </c>
      <c r="V9" s="54">
        <f>IF($O9="","",ROUND(($O9-$O$3)/1000,1)+(_xlfn.RANK.AVG($O9,($J9,$O9,$T9),1)-2)*10)</f>
        <v>2.5</v>
      </c>
      <c r="W9" s="55">
        <f>IF($T9="","",ROUND(($T9-$T$3)/1000,1)+(_xlfn.RANK.AVG($T9,($J9,$O9,$T9),1)-2)*10)</f>
        <v>-24</v>
      </c>
      <c r="Y9" s="8"/>
      <c r="Z9" s="34"/>
      <c r="AA9" s="26"/>
      <c r="AB9" s="26"/>
      <c r="AC9" s="26">
        <v>1</v>
      </c>
      <c r="AD9" s="30">
        <v>40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showInputMessage="1" showErrorMessage="1" sqref="K4:K30 P4:P30 F4:F30" xr:uid="{04714D02-CD07-49CD-A08B-63D36EB751BB}">
      <formula1>"ロン,ツモ,放銃,ツモ支払,流局,チョンボ"</formula1>
    </dataValidation>
    <dataValidation type="list" allowBlank="1" showInputMessage="1" showErrorMessage="1" sqref="E4:E30" xr:uid="{6C1F5568-5595-4175-86F7-9D67CE2F3422}">
      <formula1>$U$2:$W$2</formula1>
    </dataValidation>
    <dataValidation type="list" allowBlank="1" showInputMessage="1" sqref="F1:T1" xr:uid="{387C7C94-0004-40B5-B9C3-0E830F458C10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659E2-8B7B-4E68-8458-A938CD4C84A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205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ぱぱ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まっつん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ぱぱ</v>
      </c>
      <c r="V2" s="76" t="str">
        <f>$K$1</f>
        <v>まっつん</v>
      </c>
      <c r="W2" s="16" t="str">
        <f>$P$1</f>
        <v>れんたろう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/>
      <c r="G4" s="9"/>
      <c r="H4" s="9"/>
      <c r="I4" s="48"/>
      <c r="J4" s="21">
        <f>IF(COUNTA($F4,$K4,$P4)&gt;0,J3+SUM(G4:I4),"")</f>
        <v>35000</v>
      </c>
      <c r="K4" s="8" t="s">
        <v>203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204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5</v>
      </c>
      <c r="AY4" s="30" t="s">
        <v>199</v>
      </c>
      <c r="AZ4" s="40" t="s">
        <v>104</v>
      </c>
      <c r="BA4" s="41" t="s">
        <v>101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204</v>
      </c>
      <c r="L5" s="9">
        <v>-7700</v>
      </c>
      <c r="M5" s="9"/>
      <c r="N5" s="48">
        <v>0</v>
      </c>
      <c r="O5" s="21">
        <f t="shared" ref="O5:O30" si="3">IF(COUNTA($F5,$K5,$P5)&gt;0,O4+SUM(L5:N5),"")</f>
        <v>35300</v>
      </c>
      <c r="P5" s="8" t="s">
        <v>203</v>
      </c>
      <c r="Q5" s="9">
        <v>7700</v>
      </c>
      <c r="R5" s="9"/>
      <c r="S5" s="48">
        <v>0</v>
      </c>
      <c r="T5" s="21">
        <f t="shared" ref="T5:T30" si="4">IF(COUNTA($F5,$K5,$P5)&gt;0,T4+SUM(Q5:S5),"")</f>
        <v>34700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10.3</v>
      </c>
      <c r="W5" s="55">
        <f>IF($T5="","",ROUND(($T5-$T$3)/1000,1)+(_xlfn.RANK.AVG($T5,($J5,$O5,$T5),1)-2)*10)</f>
        <v>-10.3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200</v>
      </c>
      <c r="BV5" s="41" t="s">
        <v>202</v>
      </c>
      <c r="BW5" s="41" t="s">
        <v>79</v>
      </c>
      <c r="BX5" s="41" t="s">
        <v>83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197</v>
      </c>
      <c r="G6" s="9">
        <v>-4800</v>
      </c>
      <c r="H6" s="9"/>
      <c r="I6" s="48">
        <v>0</v>
      </c>
      <c r="J6" s="21">
        <f t="shared" si="2"/>
        <v>30200</v>
      </c>
      <c r="K6" s="8" t="s">
        <v>197</v>
      </c>
      <c r="L6" s="9">
        <v>-4800</v>
      </c>
      <c r="M6" s="9">
        <v>-1000</v>
      </c>
      <c r="N6" s="48">
        <v>0</v>
      </c>
      <c r="O6" s="21">
        <f t="shared" si="3"/>
        <v>29500</v>
      </c>
      <c r="P6" s="8" t="s">
        <v>198</v>
      </c>
      <c r="Q6" s="9">
        <v>9600</v>
      </c>
      <c r="R6" s="9">
        <v>1000</v>
      </c>
      <c r="S6" s="48">
        <v>0</v>
      </c>
      <c r="T6" s="21">
        <f t="shared" si="4"/>
        <v>45300</v>
      </c>
      <c r="U6" s="53">
        <f>IF($J6="","",ROUND(($J6-$J$3)/1000,1)+(_xlfn.RANK.AVG($J6,($J6,$O6,$T6),1)-2)*10)</f>
        <v>-4.8</v>
      </c>
      <c r="V6" s="54">
        <f>IF($O6="","",ROUND(($O6-$O$3)/1000,1)+(_xlfn.RANK.AVG($O6,($J6,$O6,$T6),1)-2)*10)</f>
        <v>-15.5</v>
      </c>
      <c r="W6" s="55">
        <f>IF($T6="","",ROUND(($T6-$T$3)/1000,1)+(_xlfn.RANK.AVG($T6,($J6,$O6,$T6),1)-2)*10)</f>
        <v>20.3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3</v>
      </c>
      <c r="BT6" s="30">
        <v>50</v>
      </c>
      <c r="BU6" s="40" t="s">
        <v>82</v>
      </c>
      <c r="BV6" s="41" t="s">
        <v>86</v>
      </c>
      <c r="BW6" s="41" t="s">
        <v>86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204</v>
      </c>
      <c r="G7" s="9">
        <v>-7700</v>
      </c>
      <c r="H7" s="9"/>
      <c r="I7" s="48">
        <v>-1000</v>
      </c>
      <c r="J7" s="21">
        <f t="shared" si="2"/>
        <v>21500</v>
      </c>
      <c r="K7" s="8" t="s">
        <v>203</v>
      </c>
      <c r="L7" s="9">
        <v>7700</v>
      </c>
      <c r="M7" s="9"/>
      <c r="N7" s="48">
        <v>1000</v>
      </c>
      <c r="O7" s="21">
        <f t="shared" si="3"/>
        <v>38200</v>
      </c>
      <c r="P7" s="8"/>
      <c r="Q7" s="9"/>
      <c r="R7" s="9"/>
      <c r="S7" s="48"/>
      <c r="T7" s="21">
        <f t="shared" si="4"/>
        <v>45300</v>
      </c>
      <c r="U7" s="53">
        <f>IF($J7="","",ROUND(($J7-$J$3)/1000,1)+(_xlfn.RANK.AVG($J7,($J7,$O7,$T7),1)-2)*10)</f>
        <v>-23.5</v>
      </c>
      <c r="V7" s="54">
        <f>IF($O7="","",ROUND(($O7-$O$3)/1000,1)+(_xlfn.RANK.AVG($O7,($J7,$O7,$T7),1)-2)*10)</f>
        <v>3.2</v>
      </c>
      <c r="W7" s="55">
        <f>IF($T7="","",ROUND(($T7-$T$3)/1000,1)+(_xlfn.RANK.AVG($T7,($J7,$O7,$T7),1)-2)*10)</f>
        <v>20.3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30</v>
      </c>
      <c r="AZ7" s="40" t="s">
        <v>200</v>
      </c>
      <c r="BA7" s="41" t="s">
        <v>84</v>
      </c>
      <c r="BB7" s="41" t="s">
        <v>83</v>
      </c>
      <c r="BC7" s="41" t="s">
        <v>80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205</v>
      </c>
      <c r="F8" s="8"/>
      <c r="G8" s="9"/>
      <c r="H8" s="9"/>
      <c r="I8" s="48"/>
      <c r="J8" s="21">
        <f t="shared" si="2"/>
        <v>21500</v>
      </c>
      <c r="K8" s="8" t="s">
        <v>203</v>
      </c>
      <c r="L8" s="9">
        <v>12000</v>
      </c>
      <c r="M8" s="9"/>
      <c r="N8" s="48">
        <v>0</v>
      </c>
      <c r="O8" s="21">
        <f t="shared" si="3"/>
        <v>50200</v>
      </c>
      <c r="P8" s="8" t="s">
        <v>204</v>
      </c>
      <c r="Q8" s="9">
        <v>-12000</v>
      </c>
      <c r="R8" s="9"/>
      <c r="S8" s="48">
        <v>0</v>
      </c>
      <c r="T8" s="21">
        <f t="shared" si="4"/>
        <v>33300</v>
      </c>
      <c r="U8" s="53">
        <f>IF($J8="","",ROUND(($J8-$J$3)/1000,1)+(_xlfn.RANK.AVG($J8,($J8,$O8,$T8),1)-2)*10)</f>
        <v>-23.5</v>
      </c>
      <c r="V8" s="54">
        <f>IF($O8="","",ROUND(($O8-$O$3)/1000,1)+(_xlfn.RANK.AVG($O8,($J8,$O8,$T8),1)-2)*10)</f>
        <v>25.2</v>
      </c>
      <c r="W8" s="55">
        <f>IF($T8="","",ROUND(($T8-$T$3)/1000,1)+(_xlfn.RANK.AVG($T8,($J8,$O8,$T8),1)-2)*10)</f>
        <v>-1.7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199</v>
      </c>
      <c r="AZ8" s="40" t="s">
        <v>200</v>
      </c>
      <c r="BA8" s="41" t="s">
        <v>202</v>
      </c>
      <c r="BB8" s="41" t="s">
        <v>79</v>
      </c>
      <c r="BC8" s="41" t="s">
        <v>79</v>
      </c>
      <c r="BD8" s="41" t="s">
        <v>79</v>
      </c>
      <c r="BE8" s="41" t="s">
        <v>202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21500</v>
      </c>
      <c r="K9" s="8" t="s">
        <v>203</v>
      </c>
      <c r="L9" s="9">
        <v>5800</v>
      </c>
      <c r="M9" s="9"/>
      <c r="N9" s="48">
        <v>0</v>
      </c>
      <c r="O9" s="21">
        <f t="shared" si="3"/>
        <v>56000</v>
      </c>
      <c r="P9" s="8" t="s">
        <v>204</v>
      </c>
      <c r="Q9" s="9">
        <v>-5800</v>
      </c>
      <c r="R9" s="9"/>
      <c r="S9" s="48">
        <v>0</v>
      </c>
      <c r="T9" s="21">
        <f t="shared" si="4"/>
        <v>27500</v>
      </c>
      <c r="U9" s="53">
        <f>IF($J9="","",ROUND(($J9-$J$3)/1000,1)+(_xlfn.RANK.AVG($J9,($J9,$O9,$T9),1)-2)*10)</f>
        <v>-23.5</v>
      </c>
      <c r="V9" s="54">
        <f>IF($O9="","",ROUND(($O9-$O$3)/1000,1)+(_xlfn.RANK.AVG($O9,($J9,$O9,$T9),1)-2)*10)</f>
        <v>31</v>
      </c>
      <c r="W9" s="55">
        <f>IF($T9="","",ROUND(($T9-$T$3)/1000,1)+(_xlfn.RANK.AVG($T9,($J9,$O9,$T9),1)-2)*10)</f>
        <v>-7.5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3</v>
      </c>
      <c r="AY9" s="30">
        <v>30</v>
      </c>
      <c r="AZ9" s="40" t="s">
        <v>83</v>
      </c>
      <c r="BA9" s="41" t="s">
        <v>79</v>
      </c>
      <c r="BB9" s="41" t="s">
        <v>202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197</v>
      </c>
      <c r="G10" s="9">
        <v>-1100</v>
      </c>
      <c r="H10" s="9"/>
      <c r="I10" s="48">
        <v>-500</v>
      </c>
      <c r="J10" s="21">
        <f t="shared" si="2"/>
        <v>19900</v>
      </c>
      <c r="K10" s="8" t="s">
        <v>197</v>
      </c>
      <c r="L10" s="9">
        <v>-1700</v>
      </c>
      <c r="M10" s="9"/>
      <c r="N10" s="48">
        <v>-500</v>
      </c>
      <c r="O10" s="21">
        <f t="shared" si="3"/>
        <v>53800</v>
      </c>
      <c r="P10" s="8" t="s">
        <v>198</v>
      </c>
      <c r="Q10" s="9">
        <v>2800</v>
      </c>
      <c r="R10" s="9"/>
      <c r="S10" s="48">
        <v>1000</v>
      </c>
      <c r="T10" s="21">
        <f t="shared" si="4"/>
        <v>31300</v>
      </c>
      <c r="U10" s="53">
        <f>IF($J10="","",ROUND(($J10-$J$3)/1000,1)+(_xlfn.RANK.AVG($J10,($J10,$O10,$T10),1)-2)*10)</f>
        <v>-25.1</v>
      </c>
      <c r="V10" s="54">
        <f>IF($O10="","",ROUND(($O10-$O$3)/1000,1)+(_xlfn.RANK.AVG($O10,($J10,$O10,$T10),1)-2)*10)</f>
        <v>28.8</v>
      </c>
      <c r="W10" s="55">
        <f>IF($T10="","",ROUND(($T10-$T$3)/1000,1)+(_xlfn.RANK.AVG($T10,($J10,$O10,$T10),1)-2)*10)</f>
        <v>-3.7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3</v>
      </c>
      <c r="BT10" s="30">
        <v>20</v>
      </c>
      <c r="BU10" s="40" t="s">
        <v>82</v>
      </c>
      <c r="BV10" s="41" t="s">
        <v>202</v>
      </c>
      <c r="BW10" s="41" t="s">
        <v>83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/>
      <c r="G11" s="9"/>
      <c r="H11" s="9"/>
      <c r="I11" s="48"/>
      <c r="J11" s="21">
        <f t="shared" si="2"/>
        <v>19900</v>
      </c>
      <c r="K11" s="8" t="s">
        <v>203</v>
      </c>
      <c r="L11" s="9">
        <v>1300</v>
      </c>
      <c r="M11" s="9"/>
      <c r="N11" s="48">
        <v>0</v>
      </c>
      <c r="O11" s="21">
        <f t="shared" si="3"/>
        <v>55100</v>
      </c>
      <c r="P11" s="8" t="s">
        <v>204</v>
      </c>
      <c r="Q11" s="9">
        <v>-1300</v>
      </c>
      <c r="R11" s="9"/>
      <c r="S11" s="48">
        <v>0</v>
      </c>
      <c r="T11" s="21">
        <f t="shared" si="4"/>
        <v>30000</v>
      </c>
      <c r="U11" s="53">
        <f>IF($J11="","",ROUND(($J11-$J$3)/1000,1)+(_xlfn.RANK.AVG($J11,($J11,$O11,$T11),1)-2)*10)</f>
        <v>-25.1</v>
      </c>
      <c r="V11" s="54">
        <f>IF($O11="","",ROUND(($O11-$O$3)/1000,1)+(_xlfn.RANK.AVG($O11,($J11,$O11,$T11),1)-2)*10)</f>
        <v>30.1</v>
      </c>
      <c r="W11" s="55">
        <f>IF($T11="","",ROUND(($T11-$T$3)/1000,1)+(_xlfn.RANK.AVG($T11,($J11,$O11,$T11),1)-2)*10)</f>
        <v>-5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1</v>
      </c>
      <c r="AY11" s="30">
        <v>40</v>
      </c>
      <c r="AZ11" s="40" t="s">
        <v>86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993527D0-3BFA-4D6B-A08C-7351669CA045}">
      <formula1>$U$2:$W$2</formula1>
    </dataValidation>
    <dataValidation type="list" showInputMessage="1" showErrorMessage="1" sqref="K4:K30 P4:P30 F4:F30" xr:uid="{4DE5A750-BAE2-4113-A72E-821E32C14460}">
      <formula1>"ロン,ツモ,放銃,ツモ支払,流局,チョンボ"</formula1>
    </dataValidation>
    <dataValidation type="list" allowBlank="1" showInputMessage="1" sqref="F1:T1" xr:uid="{982D17D9-7FDF-445F-9BBB-359B742DD98E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CE276-B93D-4104-BAA0-D4C82987CBAF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208</v>
      </c>
      <c r="G1" s="78"/>
      <c r="H1" s="78"/>
      <c r="I1" s="79"/>
      <c r="J1" s="80"/>
      <c r="K1" s="77" t="s">
        <v>210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だいち</v>
      </c>
      <c r="W2" s="16" t="str">
        <f>$P$1</f>
        <v>れんたろう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213</v>
      </c>
      <c r="G4" s="9">
        <v>-3000</v>
      </c>
      <c r="H4" s="9"/>
      <c r="I4" s="48"/>
      <c r="J4" s="21">
        <f>IF(COUNTA($F4,$K4,$P4)&gt;0,J3+SUM(G4:I4),"")</f>
        <v>32000</v>
      </c>
      <c r="K4" s="8" t="s">
        <v>213</v>
      </c>
      <c r="L4" s="9">
        <v>1500</v>
      </c>
      <c r="M4" s="9"/>
      <c r="N4" s="48"/>
      <c r="O4" s="21">
        <f>IF(COUNTA($F4,$K4,$P4)&gt;0,O3+SUM(L4:N4),"")</f>
        <v>36500</v>
      </c>
      <c r="P4" s="8" t="s">
        <v>213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11.5</v>
      </c>
      <c r="W4" s="55">
        <f>IF($T4="","",ROUND(($T4-$T$3)/1000,1)+(_xlfn.RANK.AVG($T4,($J4,$O4,$T4),1)-2)*10)</f>
        <v>0.5</v>
      </c>
      <c r="Y4" s="8" t="s">
        <v>211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212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212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195</v>
      </c>
      <c r="F5" s="8" t="s">
        <v>197</v>
      </c>
      <c r="G5" s="9">
        <v>-3000</v>
      </c>
      <c r="H5" s="9">
        <v>-1000</v>
      </c>
      <c r="I5" s="48">
        <v>-500</v>
      </c>
      <c r="J5" s="21">
        <f t="shared" ref="J5:J30" si="2">IF(COUNTA($F5,$K5,$P5)&gt;0,J4+SUM(G5:I5),"")</f>
        <v>27500</v>
      </c>
      <c r="K5" s="8" t="s">
        <v>198</v>
      </c>
      <c r="L5" s="9">
        <v>8000</v>
      </c>
      <c r="M5" s="9">
        <v>2000</v>
      </c>
      <c r="N5" s="48">
        <v>1000</v>
      </c>
      <c r="O5" s="21">
        <f t="shared" ref="O5:O30" si="3">IF(COUNTA($F5,$K5,$P5)&gt;0,O4+SUM(L5:N5),"")</f>
        <v>47500</v>
      </c>
      <c r="P5" s="8" t="s">
        <v>197</v>
      </c>
      <c r="Q5" s="9">
        <v>-5000</v>
      </c>
      <c r="R5" s="9"/>
      <c r="S5" s="48">
        <v>-500</v>
      </c>
      <c r="T5" s="21">
        <f t="shared" ref="T5:T30" si="4">IF(COUNTA($F5,$K5,$P5)&gt;0,T4+SUM(Q5:S5),"")</f>
        <v>30000</v>
      </c>
      <c r="U5" s="53">
        <f>IF($J5="","",ROUND(($J5-$J$3)/1000,1)+(_xlfn.RANK.AVG($J5,($J5,$O5,$T5),1)-2)*10)</f>
        <v>-17.5</v>
      </c>
      <c r="V5" s="54">
        <f>IF($O5="","",ROUND(($O5-$O$3)/1000,1)+(_xlfn.RANK.AVG($O5,($J5,$O5,$T5),1)-2)*10)</f>
        <v>22.5</v>
      </c>
      <c r="W5" s="55">
        <f>IF($T5="","",ROUND(($T5-$T$3)/1000,1)+(_xlfn.RANK.AVG($T5,($J5,$O5,$T5),1)-2)*10)</f>
        <v>-5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199</v>
      </c>
      <c r="AZ5" s="40" t="s">
        <v>200</v>
      </c>
      <c r="BA5" s="41" t="s">
        <v>82</v>
      </c>
      <c r="BB5" s="41" t="s">
        <v>79</v>
      </c>
      <c r="BC5" s="41" t="s">
        <v>79</v>
      </c>
      <c r="BD5" s="41" t="s">
        <v>79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207</v>
      </c>
      <c r="F6" s="8" t="s">
        <v>203</v>
      </c>
      <c r="G6" s="9">
        <v>5800</v>
      </c>
      <c r="H6" s="9"/>
      <c r="I6" s="48">
        <v>0</v>
      </c>
      <c r="J6" s="21">
        <f t="shared" si="2"/>
        <v>33300</v>
      </c>
      <c r="K6" s="8" t="s">
        <v>203</v>
      </c>
      <c r="L6" s="9">
        <v>6400</v>
      </c>
      <c r="M6" s="9"/>
      <c r="N6" s="48"/>
      <c r="O6" s="21">
        <f t="shared" si="3"/>
        <v>53900</v>
      </c>
      <c r="P6" s="8" t="s">
        <v>204</v>
      </c>
      <c r="Q6" s="9">
        <v>-12200</v>
      </c>
      <c r="R6" s="9"/>
      <c r="S6" s="48">
        <v>0</v>
      </c>
      <c r="T6" s="21">
        <f t="shared" si="4"/>
        <v>17800</v>
      </c>
      <c r="U6" s="53">
        <f>IF($J6="","",ROUND(($J6-$J$3)/1000,1)+(_xlfn.RANK.AVG($J6,($J6,$O6,$T6),1)-2)*10)</f>
        <v>-1.7</v>
      </c>
      <c r="V6" s="54">
        <f>IF($O6="","",ROUND(($O6-$O$3)/1000,1)+(_xlfn.RANK.AVG($O6,($J6,$O6,$T6),1)-2)*10)</f>
        <v>28.9</v>
      </c>
      <c r="W6" s="55">
        <f>IF($T6="","",ROUND(($T6-$T$3)/1000,1)+(_xlfn.RANK.AVG($T6,($J6,$O6,$T6),1)-2)*10)</f>
        <v>-27.2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86</v>
      </c>
      <c r="AF6" s="41" t="s">
        <v>202</v>
      </c>
      <c r="AG6" s="41" t="s">
        <v>202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25</v>
      </c>
      <c r="AZ6" s="40" t="s">
        <v>101</v>
      </c>
      <c r="BA6" s="41" t="s">
        <v>79</v>
      </c>
      <c r="BB6" s="41" t="s">
        <v>79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207</v>
      </c>
      <c r="F7" s="8" t="s">
        <v>203</v>
      </c>
      <c r="G7" s="9">
        <v>11600</v>
      </c>
      <c r="H7" s="9"/>
      <c r="I7" s="48">
        <v>1000</v>
      </c>
      <c r="J7" s="21">
        <f t="shared" si="2"/>
        <v>45900</v>
      </c>
      <c r="K7" s="8" t="s">
        <v>204</v>
      </c>
      <c r="L7" s="9">
        <v>-11600</v>
      </c>
      <c r="M7" s="9"/>
      <c r="N7" s="48">
        <v>-1000</v>
      </c>
      <c r="O7" s="21">
        <f t="shared" si="3"/>
        <v>41300</v>
      </c>
      <c r="P7" s="8"/>
      <c r="Q7" s="9"/>
      <c r="R7" s="9"/>
      <c r="S7" s="48"/>
      <c r="T7" s="21">
        <f t="shared" si="4"/>
        <v>17800</v>
      </c>
      <c r="U7" s="53">
        <f>IF($J7="","",ROUND(($J7-$J$3)/1000,1)+(_xlfn.RANK.AVG($J7,($J7,$O7,$T7),1)-2)*10)</f>
        <v>20.9</v>
      </c>
      <c r="V7" s="54">
        <f>IF($O7="","",ROUND(($O7-$O$3)/1000,1)+(_xlfn.RANK.AVG($O7,($J7,$O7,$T7),1)-2)*10)</f>
        <v>6.3</v>
      </c>
      <c r="W7" s="55">
        <f>IF($T7="","",ROUND(($T7-$T$3)/1000,1)+(_xlfn.RANK.AVG($T7,($J7,$O7,$T7),1)-2)*10)</f>
        <v>-27.2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200</v>
      </c>
      <c r="AF7" s="41" t="s">
        <v>201</v>
      </c>
      <c r="AG7" s="41" t="s">
        <v>83</v>
      </c>
      <c r="AH7" s="41" t="s">
        <v>85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207</v>
      </c>
      <c r="F8" s="8" t="s">
        <v>213</v>
      </c>
      <c r="G8" s="9">
        <v>-1500</v>
      </c>
      <c r="H8" s="9"/>
      <c r="I8" s="48"/>
      <c r="J8" s="21">
        <f t="shared" si="2"/>
        <v>44400</v>
      </c>
      <c r="K8" s="8" t="s">
        <v>213</v>
      </c>
      <c r="L8" s="9">
        <v>3000</v>
      </c>
      <c r="M8" s="9"/>
      <c r="N8" s="48"/>
      <c r="O8" s="21">
        <f t="shared" si="3"/>
        <v>44300</v>
      </c>
      <c r="P8" s="8" t="s">
        <v>213</v>
      </c>
      <c r="Q8" s="9">
        <v>-1500</v>
      </c>
      <c r="R8" s="9"/>
      <c r="S8" s="48"/>
      <c r="T8" s="21">
        <f t="shared" si="4"/>
        <v>16300</v>
      </c>
      <c r="U8" s="53">
        <f>IF($J8="","",ROUND(($J8-$J$3)/1000,1)+(_xlfn.RANK.AVG($J8,($J8,$O8,$T8),1)-2)*10)</f>
        <v>19.399999999999999</v>
      </c>
      <c r="V8" s="54">
        <f>IF($O8="","",ROUND(($O8-$O$3)/1000,1)+(_xlfn.RANK.AVG($O8,($J8,$O8,$T8),1)-2)*10)</f>
        <v>9.3000000000000007</v>
      </c>
      <c r="W8" s="55">
        <f>IF($T8="","",ROUND(($T8-$T$3)/1000,1)+(_xlfn.RANK.AVG($T8,($J8,$O8,$T8),1)-2)*10)</f>
        <v>-28.7</v>
      </c>
      <c r="Y8" s="8" t="s">
        <v>211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212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211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209</v>
      </c>
      <c r="F9" s="8" t="s">
        <v>213</v>
      </c>
      <c r="G9" s="9">
        <v>1500</v>
      </c>
      <c r="H9" s="9">
        <v>-1000</v>
      </c>
      <c r="I9" s="48"/>
      <c r="J9" s="21">
        <f t="shared" si="2"/>
        <v>44900</v>
      </c>
      <c r="K9" s="8" t="s">
        <v>213</v>
      </c>
      <c r="L9" s="9">
        <v>-3000</v>
      </c>
      <c r="M9" s="9"/>
      <c r="N9" s="48"/>
      <c r="O9" s="21">
        <f t="shared" si="3"/>
        <v>41300</v>
      </c>
      <c r="P9" s="8" t="s">
        <v>213</v>
      </c>
      <c r="Q9" s="9">
        <v>1500</v>
      </c>
      <c r="R9" s="9"/>
      <c r="S9" s="48"/>
      <c r="T9" s="21">
        <f t="shared" si="4"/>
        <v>17800</v>
      </c>
      <c r="U9" s="53">
        <f>IF($J9="","",ROUND(($J9-$J$3)/1000,1)+(_xlfn.RANK.AVG($J9,($J9,$O9,$T9),1)-2)*10)</f>
        <v>19.899999999999999</v>
      </c>
      <c r="V9" s="54">
        <f>IF($O9="","",ROUND(($O9-$O$3)/1000,1)+(_xlfn.RANK.AVG($O9,($J9,$O9,$T9),1)-2)*10)</f>
        <v>6.3</v>
      </c>
      <c r="W9" s="55">
        <f>IF($T9="","",ROUND(($T9-$T$3)/1000,1)+(_xlfn.RANK.AVG($T9,($J9,$O9,$T9),1)-2)*10)</f>
        <v>-27.2</v>
      </c>
      <c r="Y9" s="8" t="s">
        <v>212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211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212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4</v>
      </c>
      <c r="D10" s="18">
        <f t="shared" si="1"/>
        <v>1</v>
      </c>
      <c r="E10" s="4" t="s">
        <v>195</v>
      </c>
      <c r="F10" s="8"/>
      <c r="G10" s="9"/>
      <c r="H10" s="9"/>
      <c r="I10" s="48"/>
      <c r="J10" s="21">
        <f t="shared" si="2"/>
        <v>44900</v>
      </c>
      <c r="K10" s="8" t="s">
        <v>203</v>
      </c>
      <c r="L10" s="9">
        <v>3900</v>
      </c>
      <c r="M10" s="9">
        <v>1000</v>
      </c>
      <c r="N10" s="48">
        <v>4000</v>
      </c>
      <c r="O10" s="21">
        <f t="shared" si="3"/>
        <v>50200</v>
      </c>
      <c r="P10" s="8" t="s">
        <v>204</v>
      </c>
      <c r="Q10" s="9">
        <v>-3900</v>
      </c>
      <c r="R10" s="9"/>
      <c r="S10" s="48">
        <v>-4000</v>
      </c>
      <c r="T10" s="21">
        <f t="shared" si="4"/>
        <v>9900</v>
      </c>
      <c r="U10" s="53">
        <f>IF($J10="","",ROUND(($J10-$J$3)/1000,1)+(_xlfn.RANK.AVG($J10,($J10,$O10,$T10),1)-2)*10)</f>
        <v>9.9</v>
      </c>
      <c r="V10" s="54">
        <f>IF($O10="","",ROUND(($O10-$O$3)/1000,1)+(_xlfn.RANK.AVG($O10,($J10,$O10,$T10),1)-2)*10)</f>
        <v>25.2</v>
      </c>
      <c r="W10" s="55">
        <f>IF($T10="","",ROUND(($T10-$T$3)/1000,1)+(_xlfn.RANK.AVG($T10,($J10,$O10,$T10),1)-2)*10)</f>
        <v>-35.1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30</v>
      </c>
      <c r="AZ10" s="40" t="s">
        <v>200</v>
      </c>
      <c r="BA10" s="41" t="s">
        <v>83</v>
      </c>
      <c r="BB10" s="41" t="s">
        <v>202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207</v>
      </c>
      <c r="F11" s="8" t="s">
        <v>204</v>
      </c>
      <c r="G11" s="9">
        <v>-3900</v>
      </c>
      <c r="H11" s="9"/>
      <c r="I11" s="48">
        <v>0</v>
      </c>
      <c r="J11" s="21">
        <f t="shared" si="2"/>
        <v>41000</v>
      </c>
      <c r="K11" s="8" t="s">
        <v>203</v>
      </c>
      <c r="L11" s="9">
        <v>3900</v>
      </c>
      <c r="M11" s="9"/>
      <c r="N11" s="48">
        <v>0</v>
      </c>
      <c r="O11" s="21">
        <f t="shared" si="3"/>
        <v>54100</v>
      </c>
      <c r="P11" s="8"/>
      <c r="Q11" s="9"/>
      <c r="R11" s="9"/>
      <c r="S11" s="48"/>
      <c r="T11" s="21">
        <f t="shared" si="4"/>
        <v>9900</v>
      </c>
      <c r="U11" s="53">
        <f>IF($J11="","",ROUND(($J11-$J$3)/1000,1)+(_xlfn.RANK.AVG($J11,($J11,$O11,$T11),1)-2)*10)</f>
        <v>6</v>
      </c>
      <c r="V11" s="54">
        <f>IF($O11="","",ROUND(($O11-$O$3)/1000,1)+(_xlfn.RANK.AVG($O11,($J11,$O11,$T11),1)-2)*10)</f>
        <v>29.1</v>
      </c>
      <c r="W11" s="55">
        <f>IF($T11="","",ROUND(($T11-$T$3)/1000,1)+(_xlfn.RANK.AVG($T11,($J11,$O11,$T11),1)-2)*10)</f>
        <v>-35.1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86</v>
      </c>
      <c r="BA11" s="41" t="s">
        <v>86</v>
      </c>
      <c r="BB11" s="41" t="s">
        <v>79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209</v>
      </c>
      <c r="F12" s="8" t="s">
        <v>197</v>
      </c>
      <c r="G12" s="9">
        <v>-2000</v>
      </c>
      <c r="H12" s="9">
        <v>-1000</v>
      </c>
      <c r="I12" s="48">
        <v>0</v>
      </c>
      <c r="J12" s="21">
        <f t="shared" si="2"/>
        <v>38000</v>
      </c>
      <c r="K12" s="8" t="s">
        <v>198</v>
      </c>
      <c r="L12" s="9">
        <v>4000</v>
      </c>
      <c r="M12" s="9">
        <v>1000</v>
      </c>
      <c r="N12" s="48">
        <v>0</v>
      </c>
      <c r="O12" s="21">
        <f t="shared" si="3"/>
        <v>59100</v>
      </c>
      <c r="P12" s="8" t="s">
        <v>197</v>
      </c>
      <c r="Q12" s="9">
        <v>-2000</v>
      </c>
      <c r="R12" s="9"/>
      <c r="S12" s="48">
        <v>0</v>
      </c>
      <c r="T12" s="21">
        <f t="shared" si="4"/>
        <v>7900</v>
      </c>
      <c r="U12" s="53">
        <f>IF($J12="","",ROUND(($J12-$J$3)/1000,1)+(_xlfn.RANK.AVG($J12,($J12,$O12,$T12),1)-2)*10)</f>
        <v>3</v>
      </c>
      <c r="V12" s="54">
        <f>IF($O12="","",ROUND(($O12-$O$3)/1000,1)+(_xlfn.RANK.AVG($O12,($J12,$O12,$T12),1)-2)*10)</f>
        <v>34.1</v>
      </c>
      <c r="W12" s="55">
        <f>IF($T12="","",ROUND(($T12-$T$3)/1000,1)+(_xlfn.RANK.AVG($T12,($J12,$O12,$T12),1)-2)*10)</f>
        <v>-37.1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3</v>
      </c>
      <c r="AY12" s="30">
        <v>20</v>
      </c>
      <c r="AZ12" s="40" t="s">
        <v>82</v>
      </c>
      <c r="BA12" s="41" t="s">
        <v>83</v>
      </c>
      <c r="BB12" s="41" t="s">
        <v>85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D490ECD3-2004-4A29-8003-37FA6D285191}">
      <formula1>"たかの,だいち,ただ,りくと,れんたろう,まっつん,のり,ぱぱ,ほたに,いっしー,"</formula1>
    </dataValidation>
    <dataValidation type="list" showInputMessage="1" showErrorMessage="1" sqref="K4:K30 P4:P30 F4:F30" xr:uid="{D247137F-50EB-4ABA-8D23-23CAA0FD4AA4}">
      <formula1>"ロン,ツモ,放銃,ツモ支払,流局,チョンボ"</formula1>
    </dataValidation>
    <dataValidation type="list" allowBlank="1" showInputMessage="1" showErrorMessage="1" sqref="E4:E30" xr:uid="{9EE17F93-EE3F-47BA-8298-355F72AA80F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F0B94-25C1-4942-9AB6-4D1A56B5BCB7}">
  <sheetPr codeName="Sheet15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194</v>
      </c>
      <c r="G1" s="78"/>
      <c r="H1" s="78"/>
      <c r="I1" s="79"/>
      <c r="J1" s="80"/>
      <c r="K1" s="77" t="s">
        <v>208</v>
      </c>
      <c r="L1" s="78"/>
      <c r="M1" s="78"/>
      <c r="N1" s="79"/>
      <c r="O1" s="80"/>
      <c r="P1" s="77" t="s">
        <v>210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まっつん</v>
      </c>
      <c r="V2" s="76" t="str">
        <f>$K$1</f>
        <v>りくと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 t="s">
        <v>197</v>
      </c>
      <c r="G4" s="9">
        <v>-3000</v>
      </c>
      <c r="H4" s="9"/>
      <c r="I4" s="48">
        <v>0</v>
      </c>
      <c r="J4" s="21">
        <f>IF(COUNTA($F4,$K4,$P4)&gt;0,J3+SUM(G4:I4),"")</f>
        <v>32000</v>
      </c>
      <c r="K4" s="8" t="s">
        <v>197</v>
      </c>
      <c r="L4" s="9">
        <v>-5000</v>
      </c>
      <c r="M4" s="9">
        <v>-1000</v>
      </c>
      <c r="N4" s="48">
        <v>0</v>
      </c>
      <c r="O4" s="21">
        <f>IF(COUNTA($F4,$K4,$P4)&gt;0,O3+SUM(L4:N4),"")</f>
        <v>29000</v>
      </c>
      <c r="P4" s="8" t="s">
        <v>198</v>
      </c>
      <c r="Q4" s="9">
        <v>8000</v>
      </c>
      <c r="R4" s="9">
        <v>1000</v>
      </c>
      <c r="S4" s="48">
        <v>0</v>
      </c>
      <c r="T4" s="21">
        <f>IF(COUNTA($F4,$K4,$P4)&gt;0,T3+SUM(Q4:S4),"")</f>
        <v>44000</v>
      </c>
      <c r="U4" s="53">
        <f>IF($J4="","",ROUND(($J4-$J$3)/1000,1)+(_xlfn.RANK.AVG($J4,($J4,$O4,$T4),1)-2)*10)</f>
        <v>-3</v>
      </c>
      <c r="V4" s="54">
        <f>IF($O4="","",ROUND(($O4-$O$3)/1000,1)+(_xlfn.RANK.AVG($O4,($J4,$O4,$T4),1)-2)*10)</f>
        <v>-16</v>
      </c>
      <c r="W4" s="55">
        <f>IF($T4="","",ROUND(($T4-$T$3)/1000,1)+(_xlfn.RANK.AVG($T4,($J4,$O4,$T4),1)-2)*10)</f>
        <v>19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200</v>
      </c>
      <c r="BV4" s="41" t="s">
        <v>82</v>
      </c>
      <c r="BW4" s="41" t="s">
        <v>79</v>
      </c>
      <c r="BX4" s="41" t="s">
        <v>79</v>
      </c>
      <c r="BY4" s="41" t="s">
        <v>79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209</v>
      </c>
      <c r="F5" s="8" t="s">
        <v>204</v>
      </c>
      <c r="G5" s="9">
        <v>-1000</v>
      </c>
      <c r="H5" s="9">
        <v>-1000</v>
      </c>
      <c r="I5" s="48">
        <v>0</v>
      </c>
      <c r="J5" s="21">
        <f t="shared" ref="J5:J30" si="2">IF(COUNTA($F5,$K5,$P5)&gt;0,J4+SUM(G5:I5),"")</f>
        <v>30000</v>
      </c>
      <c r="K5" s="8" t="s">
        <v>203</v>
      </c>
      <c r="L5" s="9">
        <v>1000</v>
      </c>
      <c r="M5" s="9">
        <v>1000</v>
      </c>
      <c r="N5" s="48">
        <v>0</v>
      </c>
      <c r="O5" s="21">
        <f t="shared" ref="O5:O30" si="3">IF(COUNTA($F5,$K5,$P5)&gt;0,O4+SUM(L5:N5),"")</f>
        <v>31000</v>
      </c>
      <c r="P5" s="8"/>
      <c r="Q5" s="9"/>
      <c r="R5" s="9"/>
      <c r="S5" s="48"/>
      <c r="T5" s="21">
        <f t="shared" ref="T5:T30" si="4">IF(COUNTA($F5,$K5,$P5)&gt;0,T4+SUM(Q5:S5),"")</f>
        <v>44000</v>
      </c>
      <c r="U5" s="53">
        <f>IF($J5="","",ROUND(($J5-$J$3)/1000,1)+(_xlfn.RANK.AVG($J5,($J5,$O5,$T5),1)-2)*10)</f>
        <v>-15</v>
      </c>
      <c r="V5" s="54">
        <f>IF($O5="","",ROUND(($O5-$O$3)/1000,1)+(_xlfn.RANK.AVG($O5,($J5,$O5,$T5),1)-2)*10)</f>
        <v>-4</v>
      </c>
      <c r="W5" s="55">
        <f>IF($T5="","",ROUND(($T5-$T$3)/1000,1)+(_xlfn.RANK.AVG($T5,($J5,$O5,$T5),1)-2)*10)</f>
        <v>19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1</v>
      </c>
      <c r="AY5" s="30">
        <v>30</v>
      </c>
      <c r="AZ5" s="40" t="s">
        <v>86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203</v>
      </c>
      <c r="G6" s="9">
        <v>12000</v>
      </c>
      <c r="H6" s="9"/>
      <c r="I6" s="48">
        <v>0</v>
      </c>
      <c r="J6" s="21">
        <f t="shared" si="2"/>
        <v>42000</v>
      </c>
      <c r="K6" s="8" t="s">
        <v>204</v>
      </c>
      <c r="L6" s="9">
        <v>-12000</v>
      </c>
      <c r="M6" s="9"/>
      <c r="N6" s="48">
        <v>0</v>
      </c>
      <c r="O6" s="21">
        <f t="shared" si="3"/>
        <v>19000</v>
      </c>
      <c r="P6" s="8"/>
      <c r="Q6" s="9"/>
      <c r="R6" s="9"/>
      <c r="S6" s="48"/>
      <c r="T6" s="21">
        <f t="shared" si="4"/>
        <v>44000</v>
      </c>
      <c r="U6" s="53">
        <f>IF($J6="","",ROUND(($J6-$J$3)/1000,1)+(_xlfn.RANK.AVG($J6,($J6,$O6,$T6),1)-2)*10)</f>
        <v>7</v>
      </c>
      <c r="V6" s="54">
        <f>IF($O6="","",ROUND(($O6-$O$3)/1000,1)+(_xlfn.RANK.AVG($O6,($J6,$O6,$T6),1)-2)*10)</f>
        <v>-26</v>
      </c>
      <c r="W6" s="55">
        <f>IF($T6="","",ROUND(($T6-$T$3)/1000,1)+(_xlfn.RANK.AVG($T6,($J6,$O6,$T6),1)-2)*10)</f>
        <v>19</v>
      </c>
      <c r="Y6" s="8"/>
      <c r="Z6" s="34"/>
      <c r="AA6" s="26">
        <v>1</v>
      </c>
      <c r="AB6" s="26"/>
      <c r="AC6" s="26">
        <v>4</v>
      </c>
      <c r="AD6" s="30">
        <v>40</v>
      </c>
      <c r="AE6" s="40" t="s">
        <v>200</v>
      </c>
      <c r="AF6" s="41" t="s">
        <v>85</v>
      </c>
      <c r="AG6" s="41" t="s">
        <v>202</v>
      </c>
      <c r="AH6" s="41" t="s">
        <v>88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204</v>
      </c>
      <c r="G7" s="9">
        <v>-8000</v>
      </c>
      <c r="H7" s="9">
        <v>-1000</v>
      </c>
      <c r="I7" s="48">
        <v>-1000</v>
      </c>
      <c r="J7" s="21">
        <f t="shared" si="2"/>
        <v>32000</v>
      </c>
      <c r="K7" s="8"/>
      <c r="L7" s="9"/>
      <c r="M7" s="9"/>
      <c r="N7" s="48"/>
      <c r="O7" s="21">
        <f t="shared" si="3"/>
        <v>19000</v>
      </c>
      <c r="P7" s="8" t="s">
        <v>203</v>
      </c>
      <c r="Q7" s="9">
        <v>8000</v>
      </c>
      <c r="R7" s="9">
        <v>1000</v>
      </c>
      <c r="S7" s="48">
        <v>1000</v>
      </c>
      <c r="T7" s="21">
        <f t="shared" si="4"/>
        <v>54000</v>
      </c>
      <c r="U7" s="53">
        <f>IF($J7="","",ROUND(($J7-$J$3)/1000,1)+(_xlfn.RANK.AVG($J7,($J7,$O7,$T7),1)-2)*10)</f>
        <v>-3</v>
      </c>
      <c r="V7" s="54">
        <f>IF($O7="","",ROUND(($O7-$O$3)/1000,1)+(_xlfn.RANK.AVG($O7,($J7,$O7,$T7),1)-2)*10)</f>
        <v>-26</v>
      </c>
      <c r="W7" s="55">
        <f>IF($T7="","",ROUND(($T7-$T$3)/1000,1)+(_xlfn.RANK.AVG($T7,($J7,$O7,$T7),1)-2)*10)</f>
        <v>29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4</v>
      </c>
      <c r="BT7" s="30">
        <v>50</v>
      </c>
      <c r="BU7" s="40" t="s">
        <v>104</v>
      </c>
      <c r="BV7" s="41" t="s">
        <v>86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207</v>
      </c>
      <c r="F8" s="8"/>
      <c r="G8" s="9"/>
      <c r="H8" s="9"/>
      <c r="I8" s="48"/>
      <c r="J8" s="21">
        <f t="shared" si="2"/>
        <v>32000</v>
      </c>
      <c r="K8" s="8" t="s">
        <v>204</v>
      </c>
      <c r="L8" s="9">
        <v>-8000</v>
      </c>
      <c r="M8" s="9"/>
      <c r="N8" s="48">
        <v>0</v>
      </c>
      <c r="O8" s="21">
        <f t="shared" si="3"/>
        <v>11000</v>
      </c>
      <c r="P8" s="8" t="s">
        <v>203</v>
      </c>
      <c r="Q8" s="9">
        <v>8000</v>
      </c>
      <c r="R8" s="9"/>
      <c r="S8" s="48">
        <v>0</v>
      </c>
      <c r="T8" s="21">
        <f t="shared" si="4"/>
        <v>62000</v>
      </c>
      <c r="U8" s="53">
        <f>IF($J8="","",ROUND(($J8-$J$3)/1000,1)+(_xlfn.RANK.AVG($J8,($J8,$O8,$T8),1)-2)*10)</f>
        <v>-3</v>
      </c>
      <c r="V8" s="54">
        <f>IF($O8="","",ROUND(($O8-$O$3)/1000,1)+(_xlfn.RANK.AVG($O8,($J8,$O8,$T8),1)-2)*10)</f>
        <v>-34</v>
      </c>
      <c r="W8" s="55">
        <f>IF($T8="","",ROUND(($T8-$T$3)/1000,1)+(_xlfn.RANK.AVG($T8,($J8,$O8,$T8),1)-2)*10)</f>
        <v>37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199</v>
      </c>
      <c r="BU8" s="40" t="s">
        <v>200</v>
      </c>
      <c r="BV8" s="41" t="s">
        <v>83</v>
      </c>
      <c r="BW8" s="41" t="s">
        <v>79</v>
      </c>
      <c r="BX8" s="41" t="s">
        <v>80</v>
      </c>
      <c r="BY8" s="41" t="s">
        <v>201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209</v>
      </c>
      <c r="F9" s="8" t="s">
        <v>198</v>
      </c>
      <c r="G9" s="9">
        <v>2100</v>
      </c>
      <c r="H9" s="9"/>
      <c r="I9" s="48">
        <v>0</v>
      </c>
      <c r="J9" s="21">
        <f t="shared" si="2"/>
        <v>34100</v>
      </c>
      <c r="K9" s="8" t="s">
        <v>197</v>
      </c>
      <c r="L9" s="9">
        <v>-800</v>
      </c>
      <c r="M9" s="9"/>
      <c r="N9" s="48">
        <v>0</v>
      </c>
      <c r="O9" s="21">
        <f t="shared" si="3"/>
        <v>10200</v>
      </c>
      <c r="P9" s="8" t="s">
        <v>197</v>
      </c>
      <c r="Q9" s="9">
        <v>-1300</v>
      </c>
      <c r="R9" s="9"/>
      <c r="S9" s="48">
        <v>0</v>
      </c>
      <c r="T9" s="21">
        <f t="shared" si="4"/>
        <v>60700</v>
      </c>
      <c r="U9" s="53">
        <f>IF($J9="","",ROUND(($J9-$J$3)/1000,1)+(_xlfn.RANK.AVG($J9,($J9,$O9,$T9),1)-2)*10)</f>
        <v>-0.9</v>
      </c>
      <c r="V9" s="54">
        <f>IF($O9="","",ROUND(($O9-$O$3)/1000,1)+(_xlfn.RANK.AVG($O9,($J9,$O9,$T9),1)-2)*10)</f>
        <v>-34.799999999999997</v>
      </c>
      <c r="W9" s="55">
        <f>IF($T9="","",ROUND(($T9-$T$3)/1000,1)+(_xlfn.RANK.AVG($T9,($J9,$O9,$T9),1)-2)*10)</f>
        <v>35.700000000000003</v>
      </c>
      <c r="Y9" s="8"/>
      <c r="Z9" s="34"/>
      <c r="AA9" s="26">
        <v>1</v>
      </c>
      <c r="AB9" s="26"/>
      <c r="AC9" s="26">
        <v>2</v>
      </c>
      <c r="AD9" s="30">
        <v>30</v>
      </c>
      <c r="AE9" s="40" t="s">
        <v>200</v>
      </c>
      <c r="AF9" s="41" t="s">
        <v>82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/>
      <c r="G10" s="9"/>
      <c r="H10" s="9">
        <v>-1000</v>
      </c>
      <c r="I10" s="48"/>
      <c r="J10" s="21">
        <f t="shared" si="2"/>
        <v>33100</v>
      </c>
      <c r="K10" s="8" t="s">
        <v>203</v>
      </c>
      <c r="L10" s="9">
        <v>8000</v>
      </c>
      <c r="M10" s="9">
        <v>1000</v>
      </c>
      <c r="N10" s="48">
        <v>0</v>
      </c>
      <c r="O10" s="21">
        <f t="shared" si="3"/>
        <v>19200</v>
      </c>
      <c r="P10" s="8" t="s">
        <v>204</v>
      </c>
      <c r="Q10" s="9">
        <v>-8000</v>
      </c>
      <c r="R10" s="9"/>
      <c r="S10" s="48">
        <v>0</v>
      </c>
      <c r="T10" s="21">
        <f t="shared" si="4"/>
        <v>52700</v>
      </c>
      <c r="U10" s="53">
        <f>IF($J10="","",ROUND(($J10-$J$3)/1000,1)+(_xlfn.RANK.AVG($J10,($J10,$O10,$T10),1)-2)*10)</f>
        <v>-1.9</v>
      </c>
      <c r="V10" s="54">
        <f>IF($O10="","",ROUND(($O10-$O$3)/1000,1)+(_xlfn.RANK.AVG($O10,($J10,$O10,$T10),1)-2)*10)</f>
        <v>-25.8</v>
      </c>
      <c r="W10" s="55">
        <f>IF($T10="","",ROUND(($T10-$T$3)/1000,1)+(_xlfn.RANK.AVG($T10,($J10,$O10,$T10),1)-2)*10)</f>
        <v>27.7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4</v>
      </c>
      <c r="AY10" s="30">
        <v>40</v>
      </c>
      <c r="AZ10" s="40" t="s">
        <v>200</v>
      </c>
      <c r="BA10" s="41" t="s">
        <v>79</v>
      </c>
      <c r="BB10" s="41" t="s">
        <v>79</v>
      </c>
      <c r="BC10" s="41" t="s">
        <v>202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207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5E9D9F8A-A037-465F-B48B-5BE5B16C885A}">
      <formula1>$U$2:$W$2</formula1>
    </dataValidation>
    <dataValidation type="list" showInputMessage="1" showErrorMessage="1" sqref="K4:K30 P4:P30 F4:F30" xr:uid="{BCD204FF-4439-44C6-B30F-48B5DC01A660}">
      <formula1>"ロン,ツモ,放銃,ツモ支払,流局,チョンボ"</formula1>
    </dataValidation>
    <dataValidation type="list" allowBlank="1" showInputMessage="1" sqref="F1:T1" xr:uid="{3F6602B3-504E-4366-9CAE-38C82396CC34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2019-10-29T15:07:50Z</dcterms:modified>
</cp:coreProperties>
</file>