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3B731005-9DD9-4DE9-BA10-7909EBA7D583}" xr6:coauthVersionLast="41" xr6:coauthVersionMax="41" xr10:uidLastSave="{00000000-0000-0000-0000-000000000000}"/>
  <bookViews>
    <workbookView xWindow="-108" yWindow="-108" windowWidth="23256" windowHeight="12720" activeTab="4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役一覧" sheetId="15" state="hidden" r:id="rId6"/>
    <sheet name="点数表(親ロン)" sheetId="4" state="hidden" r:id="rId7"/>
    <sheet name="点数表(親ツモ)" sheetId="9" state="hidden" r:id="rId8"/>
    <sheet name="点数表(子→親)" sheetId="7" state="hidden" r:id="rId9"/>
    <sheet name="点数表(子ロン)" sheetId="3" state="hidden" r:id="rId10"/>
    <sheet name="点数表(子ツモ)" sheetId="10" state="hidden" r:id="rId11"/>
    <sheet name="点数表(子→子)" sheetId="5" state="hidden" r:id="rId12"/>
    <sheet name="点数表(親→子)" sheetId="6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3" l="1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 s="1"/>
  <c r="T13" i="23"/>
  <c r="W13" i="23" s="1"/>
  <c r="O13" i="23"/>
  <c r="J13" i="23"/>
  <c r="D13" i="23"/>
  <c r="C13" i="23"/>
  <c r="B13" i="23"/>
  <c r="A13" i="23" s="1"/>
  <c r="T12" i="23"/>
  <c r="O12" i="23"/>
  <c r="J12" i="23"/>
  <c r="D12" i="23"/>
  <c r="C12" i="23"/>
  <c r="B12" i="23"/>
  <c r="A12" i="23" s="1"/>
  <c r="T11" i="23"/>
  <c r="O11" i="23"/>
  <c r="J11" i="23"/>
  <c r="U11" i="23" s="1"/>
  <c r="D11" i="23"/>
  <c r="C11" i="23"/>
  <c r="B11" i="23"/>
  <c r="A11" i="23"/>
  <c r="D10" i="23"/>
  <c r="D9" i="23"/>
  <c r="D8" i="23"/>
  <c r="D7" i="23"/>
  <c r="D6" i="23"/>
  <c r="C6" i="23"/>
  <c r="C7" i="23" s="1"/>
  <c r="C8" i="23" s="1"/>
  <c r="C9" i="23" s="1"/>
  <c r="C10" i="23" s="1"/>
  <c r="B6" i="23"/>
  <c r="A6" i="23"/>
  <c r="D5" i="23"/>
  <c r="C5" i="23"/>
  <c r="B5" i="23"/>
  <c r="A5" i="23" s="1"/>
  <c r="T4" i="23"/>
  <c r="T5" i="23" s="1"/>
  <c r="O4" i="23"/>
  <c r="J4" i="23"/>
  <c r="W3" i="23"/>
  <c r="V3" i="23"/>
  <c r="U3" i="23"/>
  <c r="W2" i="23"/>
  <c r="V2" i="23"/>
  <c r="U2" i="23"/>
  <c r="BO1" i="23"/>
  <c r="AT1" i="23"/>
  <c r="Y1" i="23"/>
  <c r="U13" i="23" l="1"/>
  <c r="V13" i="23"/>
  <c r="U12" i="23"/>
  <c r="W12" i="23"/>
  <c r="V12" i="23"/>
  <c r="W11" i="23"/>
  <c r="V11" i="23"/>
  <c r="V4" i="23"/>
  <c r="W4" i="23"/>
  <c r="W5" i="23"/>
  <c r="T6" i="23"/>
  <c r="U4" i="23"/>
  <c r="O5" i="23"/>
  <c r="B7" i="23"/>
  <c r="A7" i="23" s="1"/>
  <c r="J5" i="23"/>
  <c r="U5" i="23" l="1"/>
  <c r="J6" i="23"/>
  <c r="B8" i="23"/>
  <c r="A8" i="23" s="1"/>
  <c r="V5" i="23"/>
  <c r="O6" i="23"/>
  <c r="T7" i="23"/>
  <c r="W6" i="23" l="1"/>
  <c r="T8" i="23"/>
  <c r="O7" i="23"/>
  <c r="V6" i="23"/>
  <c r="U6" i="23"/>
  <c r="J7" i="23"/>
  <c r="W7" i="23" s="1"/>
  <c r="B9" i="23"/>
  <c r="A9" i="23" s="1"/>
  <c r="B10" i="23" l="1"/>
  <c r="A10" i="23" s="1"/>
  <c r="T9" i="23"/>
  <c r="J8" i="23"/>
  <c r="U7" i="23"/>
  <c r="O8" i="23"/>
  <c r="V7" i="23"/>
  <c r="V8" i="23" l="1"/>
  <c r="O9" i="23"/>
  <c r="U8" i="23"/>
  <c r="J9" i="23"/>
  <c r="T10" i="23"/>
  <c r="W8" i="23"/>
  <c r="V9" i="23" l="1"/>
  <c r="O10" i="23"/>
  <c r="V10" i="23" s="1"/>
  <c r="W9" i="23"/>
  <c r="U9" i="23"/>
  <c r="J10" i="23"/>
  <c r="U10" i="23" s="1"/>
  <c r="W10" i="23" l="1"/>
  <c r="T30" i="22" l="1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D15" i="22"/>
  <c r="D14" i="22"/>
  <c r="C14" i="22"/>
  <c r="C15" i="22" s="1"/>
  <c r="D13" i="22"/>
  <c r="D12" i="22"/>
  <c r="D11" i="22"/>
  <c r="D10" i="22"/>
  <c r="D9" i="22"/>
  <c r="C9" i="22"/>
  <c r="C10" i="22" s="1"/>
  <c r="C11" i="22" s="1"/>
  <c r="C12" i="22" s="1"/>
  <c r="C13" i="22" s="1"/>
  <c r="D8" i="22"/>
  <c r="C8" i="22"/>
  <c r="D7" i="22"/>
  <c r="C7" i="22"/>
  <c r="D6" i="22"/>
  <c r="D5" i="22"/>
  <c r="C5" i="22"/>
  <c r="C6" i="22" s="1"/>
  <c r="B5" i="22"/>
  <c r="B6" i="22" s="1"/>
  <c r="T4" i="22"/>
  <c r="T5" i="22" s="1"/>
  <c r="O4" i="22"/>
  <c r="J4" i="22"/>
  <c r="W3" i="22"/>
  <c r="V3" i="22"/>
  <c r="U3" i="22"/>
  <c r="W2" i="22"/>
  <c r="V2" i="22"/>
  <c r="U2" i="22"/>
  <c r="BO1" i="22"/>
  <c r="AT1" i="22"/>
  <c r="Y1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O15" i="21"/>
  <c r="J15" i="21"/>
  <c r="D15" i="21"/>
  <c r="C15" i="21"/>
  <c r="B15" i="21"/>
  <c r="A15" i="21" s="1"/>
  <c r="T14" i="21"/>
  <c r="O14" i="21"/>
  <c r="J14" i="21"/>
  <c r="D14" i="21"/>
  <c r="C14" i="21"/>
  <c r="B14" i="21"/>
  <c r="A14" i="21" s="1"/>
  <c r="T13" i="21"/>
  <c r="O13" i="21"/>
  <c r="J13" i="21"/>
  <c r="D13" i="21"/>
  <c r="C13" i="21"/>
  <c r="B13" i="21"/>
  <c r="A13" i="21" s="1"/>
  <c r="T12" i="21"/>
  <c r="O12" i="21"/>
  <c r="J12" i="21"/>
  <c r="U12" i="21" s="1"/>
  <c r="D12" i="21"/>
  <c r="C12" i="21"/>
  <c r="B12" i="21"/>
  <c r="A12" i="21"/>
  <c r="T11" i="21"/>
  <c r="O11" i="21"/>
  <c r="J11" i="21"/>
  <c r="D11" i="21"/>
  <c r="C11" i="21"/>
  <c r="B11" i="21"/>
  <c r="A11" i="21"/>
  <c r="D10" i="21"/>
  <c r="C10" i="21"/>
  <c r="D9" i="21"/>
  <c r="C9" i="21"/>
  <c r="D8" i="21"/>
  <c r="C8" i="21"/>
  <c r="D7" i="21"/>
  <c r="C7" i="21"/>
  <c r="D6" i="21"/>
  <c r="B6" i="21"/>
  <c r="B7" i="21" s="1"/>
  <c r="A6" i="21"/>
  <c r="D5" i="21"/>
  <c r="C5" i="21"/>
  <c r="C6" i="21" s="1"/>
  <c r="B5" i="21"/>
  <c r="A5" i="21"/>
  <c r="T4" i="21"/>
  <c r="T5" i="21" s="1"/>
  <c r="O4" i="21"/>
  <c r="J4" i="21"/>
  <c r="J5" i="21" s="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D12" i="20"/>
  <c r="D11" i="20"/>
  <c r="D10" i="20"/>
  <c r="C10" i="20"/>
  <c r="C11" i="20" s="1"/>
  <c r="C12" i="20" s="1"/>
  <c r="D9" i="20"/>
  <c r="D7" i="20"/>
  <c r="D8" i="20" s="1"/>
  <c r="D6" i="20"/>
  <c r="C6" i="20"/>
  <c r="C7" i="20" s="1"/>
  <c r="C8" i="20" s="1"/>
  <c r="C9" i="20" s="1"/>
  <c r="B6" i="20"/>
  <c r="B7" i="20" s="1"/>
  <c r="A6" i="20"/>
  <c r="J5" i="20"/>
  <c r="D5" i="20"/>
  <c r="C5" i="20"/>
  <c r="B5" i="20"/>
  <c r="A5" i="20" s="1"/>
  <c r="T4" i="20"/>
  <c r="O4" i="20"/>
  <c r="O5" i="20" s="1"/>
  <c r="J4" i="20"/>
  <c r="U4" i="20" s="1"/>
  <c r="W3" i="20"/>
  <c r="V3" i="20"/>
  <c r="U3" i="20"/>
  <c r="W2" i="20"/>
  <c r="V2" i="20"/>
  <c r="U2" i="20"/>
  <c r="BO1" i="20"/>
  <c r="AT1" i="20"/>
  <c r="Y1" i="20"/>
  <c r="V4" i="22" l="1"/>
  <c r="W4" i="22"/>
  <c r="T6" i="22"/>
  <c r="B7" i="22"/>
  <c r="A7" i="22" s="1"/>
  <c r="J5" i="22"/>
  <c r="U4" i="22"/>
  <c r="O5" i="22"/>
  <c r="A5" i="22"/>
  <c r="A6" i="22"/>
  <c r="W15" i="21"/>
  <c r="U15" i="21"/>
  <c r="V15" i="21"/>
  <c r="V14" i="21"/>
  <c r="U14" i="21"/>
  <c r="W14" i="21"/>
  <c r="W13" i="21"/>
  <c r="V13" i="21"/>
  <c r="U13" i="21"/>
  <c r="V12" i="21"/>
  <c r="W12" i="21"/>
  <c r="W11" i="21"/>
  <c r="U11" i="21"/>
  <c r="V11" i="21"/>
  <c r="V4" i="21"/>
  <c r="A7" i="21"/>
  <c r="B8" i="21"/>
  <c r="T6" i="21"/>
  <c r="J6" i="21"/>
  <c r="U4" i="21"/>
  <c r="O5" i="21"/>
  <c r="W4" i="21"/>
  <c r="V4" i="20"/>
  <c r="O6" i="20"/>
  <c r="A7" i="20"/>
  <c r="B8" i="20"/>
  <c r="A8" i="20" s="1"/>
  <c r="T5" i="20"/>
  <c r="V5" i="20" s="1"/>
  <c r="J6" i="20"/>
  <c r="W4" i="20"/>
  <c r="W3" i="19"/>
  <c r="V3" i="19"/>
  <c r="U3" i="19"/>
  <c r="W5" i="22" l="1"/>
  <c r="V5" i="22"/>
  <c r="O6" i="22"/>
  <c r="T7" i="22"/>
  <c r="U5" i="22"/>
  <c r="J6" i="22"/>
  <c r="B8" i="22"/>
  <c r="A8" i="22" s="1"/>
  <c r="B9" i="21"/>
  <c r="A9" i="21" s="1"/>
  <c r="J7" i="21"/>
  <c r="A8" i="21"/>
  <c r="V5" i="21"/>
  <c r="O6" i="21"/>
  <c r="W6" i="21" s="1"/>
  <c r="U5" i="21"/>
  <c r="T7" i="21"/>
  <c r="W5" i="21"/>
  <c r="O7" i="20"/>
  <c r="J7" i="20"/>
  <c r="W5" i="20"/>
  <c r="T6" i="20"/>
  <c r="V6" i="20" s="1"/>
  <c r="U5" i="20"/>
  <c r="B9" i="20"/>
  <c r="A9" i="20" s="1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O12" i="19"/>
  <c r="J12" i="19"/>
  <c r="U12" i="19" s="1"/>
  <c r="D12" i="19"/>
  <c r="C12" i="19"/>
  <c r="B12" i="19"/>
  <c r="A12" i="19" s="1"/>
  <c r="T11" i="19"/>
  <c r="O11" i="19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V6" i="22" l="1"/>
  <c r="O7" i="22"/>
  <c r="B9" i="22"/>
  <c r="A9" i="22"/>
  <c r="U6" i="22"/>
  <c r="J7" i="22"/>
  <c r="W7" i="22" s="1"/>
  <c r="T8" i="22"/>
  <c r="W6" i="22"/>
  <c r="U6" i="21"/>
  <c r="T8" i="21"/>
  <c r="B10" i="21"/>
  <c r="A10" i="21" s="1"/>
  <c r="O7" i="21"/>
  <c r="W7" i="21" s="1"/>
  <c r="V6" i="21"/>
  <c r="J8" i="21"/>
  <c r="U6" i="20"/>
  <c r="B10" i="20"/>
  <c r="A10" i="20" s="1"/>
  <c r="W6" i="20"/>
  <c r="T7" i="20"/>
  <c r="U7" i="20"/>
  <c r="J8" i="20"/>
  <c r="O8" i="20"/>
  <c r="V7" i="20"/>
  <c r="W12" i="19"/>
  <c r="V12" i="19"/>
  <c r="V11" i="19"/>
  <c r="W11" i="19"/>
  <c r="V9" i="19"/>
  <c r="U9" i="19"/>
  <c r="W8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T9" i="22" l="1"/>
  <c r="O8" i="22"/>
  <c r="V7" i="22"/>
  <c r="U7" i="22"/>
  <c r="J8" i="22"/>
  <c r="W8" i="22" s="1"/>
  <c r="B10" i="22"/>
  <c r="A10" i="22" s="1"/>
  <c r="U7" i="21"/>
  <c r="T9" i="21"/>
  <c r="J9" i="21"/>
  <c r="O8" i="21"/>
  <c r="W8" i="21" s="1"/>
  <c r="V7" i="21"/>
  <c r="B11" i="20"/>
  <c r="O9" i="20"/>
  <c r="J9" i="20"/>
  <c r="T8" i="20"/>
  <c r="V8" i="20" s="1"/>
  <c r="W7" i="20"/>
  <c r="W5" i="19"/>
  <c r="V5" i="19"/>
  <c r="U5" i="19"/>
  <c r="B11" i="22" l="1"/>
  <c r="U8" i="22"/>
  <c r="J9" i="22"/>
  <c r="T10" i="22"/>
  <c r="V8" i="22"/>
  <c r="O9" i="22"/>
  <c r="W9" i="22" s="1"/>
  <c r="J10" i="21"/>
  <c r="T10" i="21"/>
  <c r="V8" i="21"/>
  <c r="O9" i="21"/>
  <c r="U9" i="21" s="1"/>
  <c r="U8" i="21"/>
  <c r="B12" i="20"/>
  <c r="A11" i="20"/>
  <c r="W8" i="20"/>
  <c r="T9" i="20"/>
  <c r="U8" i="20"/>
  <c r="U9" i="20"/>
  <c r="J10" i="20"/>
  <c r="V9" i="20"/>
  <c r="O10" i="20"/>
  <c r="V9" i="22" l="1"/>
  <c r="O10" i="22"/>
  <c r="T11" i="22"/>
  <c r="U9" i="22"/>
  <c r="J10" i="22"/>
  <c r="B12" i="22"/>
  <c r="A12" i="22" s="1"/>
  <c r="A11" i="22"/>
  <c r="W9" i="21"/>
  <c r="V9" i="21"/>
  <c r="O10" i="21"/>
  <c r="V10" i="21" s="1"/>
  <c r="A12" i="20"/>
  <c r="O11" i="20"/>
  <c r="J11" i="20"/>
  <c r="W9" i="20"/>
  <c r="T10" i="20"/>
  <c r="U10" i="20" s="1"/>
  <c r="W10" i="22" l="1"/>
  <c r="V10" i="22"/>
  <c r="O11" i="22"/>
  <c r="B13" i="22"/>
  <c r="A13" i="22"/>
  <c r="U10" i="22"/>
  <c r="J11" i="22"/>
  <c r="W11" i="22"/>
  <c r="T12" i="22"/>
  <c r="U10" i="21"/>
  <c r="W10" i="21"/>
  <c r="V10" i="20"/>
  <c r="O12" i="20"/>
  <c r="V11" i="20"/>
  <c r="W10" i="20"/>
  <c r="T11" i="20"/>
  <c r="U11" i="20"/>
  <c r="J12" i="20"/>
  <c r="W12" i="22" l="1"/>
  <c r="T13" i="22"/>
  <c r="B14" i="22"/>
  <c r="A14" i="22"/>
  <c r="U11" i="22"/>
  <c r="J12" i="22"/>
  <c r="O12" i="22"/>
  <c r="V11" i="22"/>
  <c r="T12" i="20"/>
  <c r="W12" i="20" s="1"/>
  <c r="W11" i="20"/>
  <c r="V12" i="22" l="1"/>
  <c r="O13" i="22"/>
  <c r="T14" i="22"/>
  <c r="U12" i="22"/>
  <c r="J13" i="22"/>
  <c r="B15" i="22"/>
  <c r="A15" i="22"/>
  <c r="V12" i="20"/>
  <c r="U12" i="20"/>
  <c r="W14" i="22" l="1"/>
  <c r="T15" i="22"/>
  <c r="V13" i="22"/>
  <c r="O14" i="22"/>
  <c r="U13" i="22"/>
  <c r="J14" i="22"/>
  <c r="W13" i="22"/>
  <c r="U14" i="22" l="1"/>
  <c r="J15" i="22"/>
  <c r="V14" i="22"/>
  <c r="O15" i="22"/>
  <c r="V15" i="22" s="1"/>
  <c r="U15" i="22" l="1"/>
  <c r="W15" i="22"/>
</calcChain>
</file>

<file path=xl/sharedStrings.xml><?xml version="1.0" encoding="utf-8"?>
<sst xmlns="http://schemas.openxmlformats.org/spreadsheetml/2006/main" count="1070" uniqueCount="212">
  <si>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</si>
  <si>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</si>
  <si>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</si>
  <si>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</si>
  <si>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</si>
  <si>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</si>
  <si>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</si>
  <si>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</si>
  <si>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</si>
  <si>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</si>
  <si>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</si>
  <si>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</si>
  <si>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</si>
  <si>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</si>
  <si>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</si>
  <si>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</si>
  <si>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</si>
  <si>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</si>
  <si>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</si>
  <si>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</si>
  <si>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</si>
  <si>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</si>
  <si>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</si>
  <si>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</si>
  <si>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</si>
  <si>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</si>
  <si>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</si>
  <si>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</si>
  <si>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</si>
  <si>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</si>
  <si>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</si>
  <si>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</si>
  <si>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</si>
  <si>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</si>
  <si>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</si>
  <si>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</si>
  <si>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</si>
  <si>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</si>
  <si>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</si>
  <si>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</si>
  <si>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</si>
  <si>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</si>
  <si>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</si>
  <si>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</si>
  <si>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</si>
  <si>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</si>
  <si>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</si>
  <si>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</si>
  <si>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</si>
  <si>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</si>
  <si>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</si>
  <si>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</si>
  <si>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</si>
  <si>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</si>
  <si>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</si>
  <si>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</si>
  <si>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</si>
  <si>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</si>
  <si>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</si>
  <si>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</si>
  <si>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</si>
  <si>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</si>
  <si>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</si>
  <si>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</si>
  <si>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</si>
  <si>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</si>
  <si>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</si>
  <si>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</si>
  <si>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</si>
  <si>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</si>
  <si>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</si>
  <si>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</si>
  <si>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</si>
  <si>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</si>
  <si>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</si>
  <si>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</si>
  <si>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</si>
  <si>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</si>
  <si>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</si>
  <si>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</si>
  <si>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</si>
  <si>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</si>
  <si>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</si>
  <si>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</si>
  <si>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</si>
  <si>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</si>
  <si>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</si>
  <si>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</si>
  <si>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</si>
  <si>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</si>
  <si>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</si>
  <si>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</si>
  <si>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</si>
  <si>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</si>
  <si>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</si>
  <si>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</si>
  <si>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</si>
  <si>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</si>
  <si>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</si>
  <si>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</si>
  <si>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</si>
  <si>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</si>
  <si>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</si>
  <si>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</si>
  <si>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</si>
  <si>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</si>
  <si>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</si>
  <si>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</si>
  <si>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</si>
  <si>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</si>
  <si>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</si>
  <si>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</si>
  <si>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</si>
  <si>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</si>
  <si>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</si>
  <si>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</si>
  <si>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</si>
  <si>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</si>
  <si>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</si>
  <si>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</si>
  <si>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</si>
  <si>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</si>
  <si>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</si>
  <si>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</si>
  <si>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</si>
  <si>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</si>
  <si>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</si>
  <si>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</si>
  <si>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</si>
  <si>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</si>
  <si>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</si>
  <si>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</si>
  <si>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</si>
  <si>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</si>
  <si>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</si>
  <si>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</si>
  <si>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</si>
  <si>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</si>
  <si>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</si>
  <si>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</si>
  <si>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</si>
  <si>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</si>
  <si>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</si>
  <si>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</si>
  <si>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</si>
  <si>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</si>
  <si>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</si>
  <si>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</si>
  <si>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</si>
  <si>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</si>
  <si>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</si>
  <si>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</si>
  <si>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</si>
  <si>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</si>
  <si>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</si>
  <si>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</si>
  <si>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</si>
  <si>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</si>
  <si>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</si>
  <si>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</si>
  <si>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</si>
  <si>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</si>
  <si>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</si>
  <si>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</si>
  <si>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</si>
  <si>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</si>
  <si>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</si>
  <si>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</si>
  <si>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</si>
  <si>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</si>
  <si>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</si>
  <si>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</si>
  <si>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</si>
  <si>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</si>
  <si>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</si>
  <si>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</si>
  <si>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</si>
  <si>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</si>
  <si>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</si>
  <si>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</si>
  <si>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</si>
  <si>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</si>
  <si>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</si>
  <si>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</si>
  <si>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</si>
  <si>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</si>
  <si>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</si>
  <si>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</si>
  <si>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</si>
  <si>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</si>
  <si>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</si>
  <si>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まっつん</t>
  </si>
  <si>
    <t>まっつん</t>
    <phoneticPr fontId="1"/>
  </si>
  <si>
    <t>だいち</t>
  </si>
  <si>
    <t>だいち</t>
    <phoneticPr fontId="1"/>
  </si>
  <si>
    <t>れんたろう</t>
  </si>
  <si>
    <t>れんたろう</t>
    <phoneticPr fontId="1"/>
  </si>
  <si>
    <t>ツモ支払</t>
  </si>
  <si>
    <t>ツモ</t>
  </si>
  <si>
    <t>*</t>
  </si>
  <si>
    <t>51</t>
  </si>
  <si>
    <t>52</t>
  </si>
  <si>
    <t>01</t>
  </si>
  <si>
    <t>放銃</t>
  </si>
  <si>
    <t>ロン</t>
  </si>
  <si>
    <t>N</t>
  </si>
  <si>
    <t>T</t>
  </si>
  <si>
    <t>流局</t>
    <phoneticPr fontId="1"/>
  </si>
  <si>
    <t>02</t>
  </si>
  <si>
    <t>たかの</t>
  </si>
  <si>
    <t>たかの</t>
    <phoneticPr fontId="1"/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</si>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</sst>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2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まっつん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まっつん</v>
      </c>
      <c r="V2" s="64" t="str">
        <f>$K$1</f>
        <v>だいち</v>
      </c>
      <c r="W2" s="16" t="str">
        <f>$P$1</f>
        <v>れんたろう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197</v>
      </c>
      <c r="G4" s="9">
        <v>-10000</v>
      </c>
      <c r="H4" s="9"/>
      <c r="I4" s="48">
        <v>0</v>
      </c>
      <c r="J4" s="21">
        <f>IF(COUNTA($F4,$K4,$P4)&gt;0,J3+SUM(G4:I4),"")</f>
        <v>25000</v>
      </c>
      <c r="K4" s="8" t="s">
        <v>197</v>
      </c>
      <c r="L4" s="9">
        <v>-6000</v>
      </c>
      <c r="M4" s="9">
        <v>-1000</v>
      </c>
      <c r="N4" s="48">
        <v>0</v>
      </c>
      <c r="O4" s="21">
        <f>IF(COUNTA($F4,$K4,$P4)&gt;0,O3+SUM(L4:N4),"")</f>
        <v>28000</v>
      </c>
      <c r="P4" s="8" t="s">
        <v>198</v>
      </c>
      <c r="Q4" s="9">
        <v>16000</v>
      </c>
      <c r="R4" s="9">
        <v>1000</v>
      </c>
      <c r="S4" s="48">
        <v>0</v>
      </c>
      <c r="T4" s="21">
        <f>IF(COUNTA($F4,$K4,$P4)&gt;0,T3+SUM(Q4:S4),"")</f>
        <v>52000</v>
      </c>
      <c r="U4" s="53">
        <f>IF($J4="","",ROUND(($J4-$J$3)/1000,1)+(_xlfn.RANK.AVG($J4,($J4,$O4,$T4),1)-2)*10)</f>
        <v>-20</v>
      </c>
      <c r="V4" s="54">
        <f>IF($O4="","",ROUND(($O4-$O$3)/1000,1)+(_xlfn.RANK.AVG($O4,($J4,$O4,$T4),1)-2)*10)</f>
        <v>-7</v>
      </c>
      <c r="W4" s="55">
        <f>IF($T4="","",ROUND(($T4-$T$3)/1000,1)+(_xlfn.RANK.AVG($T4,($J4,$O4,$T4),1)-2)*10)</f>
        <v>27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8</v>
      </c>
      <c r="BT4" s="30" t="s">
        <v>199</v>
      </c>
      <c r="BU4" s="40" t="s">
        <v>200</v>
      </c>
      <c r="BV4" s="41" t="s">
        <v>82</v>
      </c>
      <c r="BW4" s="41" t="s">
        <v>83</v>
      </c>
      <c r="BX4" s="41" t="s">
        <v>79</v>
      </c>
      <c r="BY4" s="41" t="s">
        <v>79</v>
      </c>
      <c r="BZ4" s="41" t="s">
        <v>201</v>
      </c>
      <c r="CA4" s="41" t="s">
        <v>80</v>
      </c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198</v>
      </c>
      <c r="G5" s="9">
        <v>7700</v>
      </c>
      <c r="H5" s="9">
        <v>1000</v>
      </c>
      <c r="I5" s="48">
        <v>0</v>
      </c>
      <c r="J5" s="21">
        <f t="shared" ref="J5:J30" si="2">IF(COUNTA($F5,$K5,$P5)&gt;0,J4+SUM(G5:I5),"")</f>
        <v>33700</v>
      </c>
      <c r="K5" s="8" t="s">
        <v>197</v>
      </c>
      <c r="L5" s="9">
        <v>-4800</v>
      </c>
      <c r="M5" s="9">
        <v>-1000</v>
      </c>
      <c r="N5" s="48">
        <v>0</v>
      </c>
      <c r="O5" s="21">
        <f t="shared" ref="O5:O30" si="3">IF(COUNTA($F5,$K5,$P5)&gt;0,O4+SUM(L5:N5),"")</f>
        <v>22200</v>
      </c>
      <c r="P5" s="8" t="s">
        <v>197</v>
      </c>
      <c r="Q5" s="9">
        <v>-2900</v>
      </c>
      <c r="R5" s="9"/>
      <c r="S5" s="48">
        <v>0</v>
      </c>
      <c r="T5" s="21">
        <f t="shared" ref="T5:T30" si="4">IF(COUNTA($F5,$K5,$P5)&gt;0,T4+SUM(Q5:S5),"")</f>
        <v>49100</v>
      </c>
      <c r="U5" s="53">
        <f>IF($J5="","",ROUND(($J5-$J$3)/1000,1)+(_xlfn.RANK.AVG($J5,($J5,$O5,$T5),1)-2)*10)</f>
        <v>-1.3</v>
      </c>
      <c r="V5" s="54">
        <f>IF($O5="","",ROUND(($O5-$O$3)/1000,1)+(_xlfn.RANK.AVG($O5,($J5,$O5,$T5),1)-2)*10)</f>
        <v>-22.8</v>
      </c>
      <c r="W5" s="55">
        <f>IF($T5="","",ROUND(($T5-$T$3)/1000,1)+(_xlfn.RANK.AVG($T5,($J5,$O5,$T5),1)-2)*10)</f>
        <v>24.1</v>
      </c>
      <c r="Y5" s="8"/>
      <c r="Z5" s="34"/>
      <c r="AA5" s="26">
        <v>1</v>
      </c>
      <c r="AB5" s="26"/>
      <c r="AC5" s="26">
        <v>4</v>
      </c>
      <c r="AD5" s="30">
        <v>30</v>
      </c>
      <c r="AE5" s="40" t="s">
        <v>202</v>
      </c>
      <c r="AF5" s="41" t="s">
        <v>82</v>
      </c>
      <c r="AG5" s="41" t="s">
        <v>86</v>
      </c>
      <c r="AH5" s="41" t="s">
        <v>201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/>
      <c r="G6" s="9"/>
      <c r="H6" s="9"/>
      <c r="I6" s="48"/>
      <c r="J6" s="21">
        <f t="shared" si="2"/>
        <v>33700</v>
      </c>
      <c r="K6" s="8" t="s">
        <v>203</v>
      </c>
      <c r="L6" s="9">
        <v>-7700</v>
      </c>
      <c r="M6" s="9"/>
      <c r="N6" s="48">
        <v>0</v>
      </c>
      <c r="O6" s="21">
        <f t="shared" si="3"/>
        <v>14500</v>
      </c>
      <c r="P6" s="8" t="s">
        <v>204</v>
      </c>
      <c r="Q6" s="9">
        <v>7700</v>
      </c>
      <c r="R6" s="9"/>
      <c r="S6" s="48">
        <v>0</v>
      </c>
      <c r="T6" s="21">
        <f t="shared" si="4"/>
        <v>56800</v>
      </c>
      <c r="U6" s="53">
        <f>IF($J6="","",ROUND(($J6-$J$3)/1000,1)+(_xlfn.RANK.AVG($J6,($J6,$O6,$T6),1)-2)*10)</f>
        <v>-1.3</v>
      </c>
      <c r="V6" s="54">
        <f>IF($O6="","",ROUND(($O6-$O$3)/1000,1)+(_xlfn.RANK.AVG($O6,($J6,$O6,$T6),1)-2)*10)</f>
        <v>-30.5</v>
      </c>
      <c r="W6" s="55">
        <f>IF($T6="","",ROUND(($T6-$T$3)/1000,1)+(_xlfn.RANK.AVG($T6,($J6,$O6,$T6),1)-2)*10)</f>
        <v>31.8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3</v>
      </c>
      <c r="BT6" s="30">
        <v>40</v>
      </c>
      <c r="BU6" s="40" t="s">
        <v>202</v>
      </c>
      <c r="BV6" s="41" t="s">
        <v>92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195</v>
      </c>
      <c r="F7" s="8" t="s">
        <v>207</v>
      </c>
      <c r="G7" s="9">
        <v>-1500</v>
      </c>
      <c r="H7" s="9"/>
      <c r="I7" s="48"/>
      <c r="J7" s="21">
        <f t="shared" si="2"/>
        <v>32200</v>
      </c>
      <c r="K7" s="8" t="s">
        <v>207</v>
      </c>
      <c r="L7" s="9">
        <v>-1500</v>
      </c>
      <c r="M7" s="9"/>
      <c r="N7" s="48"/>
      <c r="O7" s="21">
        <f t="shared" si="3"/>
        <v>13000</v>
      </c>
      <c r="P7" s="8" t="s">
        <v>207</v>
      </c>
      <c r="Q7" s="9">
        <v>3000</v>
      </c>
      <c r="R7" s="9">
        <v>-1000</v>
      </c>
      <c r="S7" s="48"/>
      <c r="T7" s="21">
        <f t="shared" si="4"/>
        <v>58800</v>
      </c>
      <c r="U7" s="53">
        <f>IF($J7="","",ROUND(($J7-$J$3)/1000,1)+(_xlfn.RANK.AVG($J7,($J7,$O7,$T7),1)-2)*10)</f>
        <v>-2.8</v>
      </c>
      <c r="V7" s="54">
        <f>IF($O7="","",ROUND(($O7-$O$3)/1000,1)+(_xlfn.RANK.AVG($O7,($J7,$O7,$T7),1)-2)*10)</f>
        <v>-32</v>
      </c>
      <c r="W7" s="55">
        <f>IF($T7="","",ROUND(($T7-$T$3)/1000,1)+(_xlfn.RANK.AVG($T7,($J7,$O7,$T7),1)-2)*10)</f>
        <v>33.799999999999997</v>
      </c>
      <c r="Y7" s="8" t="s">
        <v>205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205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206</v>
      </c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1</v>
      </c>
      <c r="E8" s="4" t="s">
        <v>195</v>
      </c>
      <c r="F8" s="8"/>
      <c r="G8" s="9"/>
      <c r="H8" s="9"/>
      <c r="I8" s="48"/>
      <c r="J8" s="21">
        <f t="shared" si="2"/>
        <v>32200</v>
      </c>
      <c r="K8" s="8" t="s">
        <v>203</v>
      </c>
      <c r="L8" s="9">
        <v>-2000</v>
      </c>
      <c r="M8" s="9"/>
      <c r="N8" s="48">
        <v>-2000</v>
      </c>
      <c r="O8" s="21">
        <f t="shared" si="3"/>
        <v>9000</v>
      </c>
      <c r="P8" s="8" t="s">
        <v>204</v>
      </c>
      <c r="Q8" s="9">
        <v>2000</v>
      </c>
      <c r="R8" s="9">
        <v>1000</v>
      </c>
      <c r="S8" s="48">
        <v>2000</v>
      </c>
      <c r="T8" s="21">
        <f t="shared" si="4"/>
        <v>63800</v>
      </c>
      <c r="U8" s="53">
        <f>IF($J8="","",ROUND(($J8-$J$3)/1000,1)+(_xlfn.RANK.AVG($J8,($J8,$O8,$T8),1)-2)*10)</f>
        <v>-2.8</v>
      </c>
      <c r="V8" s="54">
        <f>IF($O8="","",ROUND(($O8-$O$3)/1000,1)+(_xlfn.RANK.AVG($O8,($J8,$O8,$T8),1)-2)*10)</f>
        <v>-36</v>
      </c>
      <c r="W8" s="55">
        <f>IF($T8="","",ROUND(($T8-$T$3)/1000,1)+(_xlfn.RANK.AVG($T8,($J8,$O8,$T8),1)-2)*10)</f>
        <v>38.799999999999997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1</v>
      </c>
      <c r="BT8" s="30">
        <v>40</v>
      </c>
      <c r="BU8" s="40" t="s">
        <v>85</v>
      </c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3</v>
      </c>
      <c r="D9" s="18">
        <f t="shared" si="1"/>
        <v>0</v>
      </c>
      <c r="E9" s="4" t="s">
        <v>195</v>
      </c>
      <c r="F9" s="8"/>
      <c r="G9" s="9"/>
      <c r="H9" s="9"/>
      <c r="I9" s="48"/>
      <c r="J9" s="21">
        <f t="shared" si="2"/>
        <v>32200</v>
      </c>
      <c r="K9" s="8" t="s">
        <v>204</v>
      </c>
      <c r="L9" s="9">
        <v>32000</v>
      </c>
      <c r="M9" s="9"/>
      <c r="N9" s="48">
        <v>3000</v>
      </c>
      <c r="O9" s="21">
        <f t="shared" si="3"/>
        <v>44000</v>
      </c>
      <c r="P9" s="8" t="s">
        <v>203</v>
      </c>
      <c r="Q9" s="9">
        <v>-32000</v>
      </c>
      <c r="R9" s="9"/>
      <c r="S9" s="48">
        <v>-3000</v>
      </c>
      <c r="T9" s="21">
        <f t="shared" si="4"/>
        <v>28800</v>
      </c>
      <c r="U9" s="53">
        <f>IF($J9="","",ROUND(($J9-$J$3)/1000,1)+(_xlfn.RANK.AVG($J9,($J9,$O9,$T9),1)-2)*10)</f>
        <v>-2.8</v>
      </c>
      <c r="V9" s="54">
        <f>IF($O9="","",ROUND(($O9-$O$3)/1000,1)+(_xlfn.RANK.AVG($O9,($J9,$O9,$T9),1)-2)*10)</f>
        <v>19</v>
      </c>
      <c r="W9" s="55">
        <f>IF($T9="","",ROUND(($T9-$T$3)/1000,1)+(_xlfn.RANK.AVG($T9,($J9,$O9,$T9),1)-2)*10)</f>
        <v>-16.2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13</v>
      </c>
      <c r="AY9" s="30" t="s">
        <v>199</v>
      </c>
      <c r="AZ9" s="40" t="s">
        <v>110</v>
      </c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191</v>
      </c>
      <c r="F10" s="8" t="s">
        <v>204</v>
      </c>
      <c r="G10" s="9">
        <v>11600</v>
      </c>
      <c r="H10" s="9"/>
      <c r="I10" s="48">
        <v>0</v>
      </c>
      <c r="J10" s="21">
        <f t="shared" si="2"/>
        <v>43800</v>
      </c>
      <c r="K10" s="8" t="s">
        <v>203</v>
      </c>
      <c r="L10" s="9">
        <v>-11600</v>
      </c>
      <c r="M10" s="9"/>
      <c r="N10" s="48">
        <v>0</v>
      </c>
      <c r="O10" s="21">
        <f t="shared" si="3"/>
        <v>32400</v>
      </c>
      <c r="P10" s="8"/>
      <c r="Q10" s="9"/>
      <c r="R10" s="9"/>
      <c r="S10" s="48"/>
      <c r="T10" s="21">
        <f t="shared" si="4"/>
        <v>28800</v>
      </c>
      <c r="U10" s="53">
        <f>IF($J10="","",ROUND(($J10-$J$3)/1000,1)+(_xlfn.RANK.AVG($J10,($J10,$O10,$T10),1)-2)*10)</f>
        <v>18.8</v>
      </c>
      <c r="V10" s="54">
        <f>IF($O10="","",ROUND(($O10-$O$3)/1000,1)+(_xlfn.RANK.AVG($O10,($J10,$O10,$T10),1)-2)*10)</f>
        <v>-2.6</v>
      </c>
      <c r="W10" s="55">
        <f>IF($T10="","",ROUND(($T10-$T$3)/1000,1)+(_xlfn.RANK.AVG($T10,($J10,$O10,$T10),1)-2)*10)</f>
        <v>-16.2</v>
      </c>
      <c r="Y10" s="8"/>
      <c r="Z10" s="34"/>
      <c r="AA10" s="26"/>
      <c r="AB10" s="26">
        <v>1</v>
      </c>
      <c r="AC10" s="26">
        <v>4</v>
      </c>
      <c r="AD10" s="30">
        <v>30</v>
      </c>
      <c r="AE10" s="40" t="s">
        <v>86</v>
      </c>
      <c r="AF10" s="41" t="s">
        <v>79</v>
      </c>
      <c r="AG10" s="41" t="s">
        <v>79</v>
      </c>
      <c r="AH10" s="41" t="s">
        <v>79</v>
      </c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0</v>
      </c>
      <c r="E11" s="4" t="s">
        <v>191</v>
      </c>
      <c r="F11" s="8" t="s">
        <v>204</v>
      </c>
      <c r="G11" s="9">
        <v>18000</v>
      </c>
      <c r="H11" s="9"/>
      <c r="I11" s="48">
        <v>1000</v>
      </c>
      <c r="J11" s="21">
        <f t="shared" si="2"/>
        <v>62800</v>
      </c>
      <c r="K11" s="8"/>
      <c r="L11" s="9"/>
      <c r="M11" s="9"/>
      <c r="N11" s="48"/>
      <c r="O11" s="21">
        <f t="shared" si="3"/>
        <v>32400</v>
      </c>
      <c r="P11" s="8" t="s">
        <v>203</v>
      </c>
      <c r="Q11" s="9">
        <v>-18000</v>
      </c>
      <c r="R11" s="9"/>
      <c r="S11" s="48">
        <v>-1000</v>
      </c>
      <c r="T11" s="21">
        <f t="shared" si="4"/>
        <v>9800</v>
      </c>
      <c r="U11" s="53">
        <f>IF($J11="","",ROUND(($J11-$J$3)/1000,1)+(_xlfn.RANK.AVG($J11,($J11,$O11,$T11),1)-2)*10)</f>
        <v>37.799999999999997</v>
      </c>
      <c r="V11" s="54">
        <f>IF($O11="","",ROUND(($O11-$O$3)/1000,1)+(_xlfn.RANK.AVG($O11,($J11,$O11,$T11),1)-2)*10)</f>
        <v>-2.6</v>
      </c>
      <c r="W11" s="55">
        <f>IF($T11="","",ROUND(($T11-$T$3)/1000,1)+(_xlfn.RANK.AVG($T11,($J11,$O11,$T11),1)-2)*10)</f>
        <v>-35.200000000000003</v>
      </c>
      <c r="Y11" s="8"/>
      <c r="Z11" s="34"/>
      <c r="AA11" s="26">
        <v>1</v>
      </c>
      <c r="AB11" s="26"/>
      <c r="AC11" s="26">
        <v>6</v>
      </c>
      <c r="AD11" s="30" t="s">
        <v>199</v>
      </c>
      <c r="AE11" s="40" t="s">
        <v>202</v>
      </c>
      <c r="AF11" s="41" t="s">
        <v>208</v>
      </c>
      <c r="AG11" s="41" t="s">
        <v>86</v>
      </c>
      <c r="AH11" s="41" t="s">
        <v>104</v>
      </c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1</v>
      </c>
      <c r="C12" s="18">
        <f t="shared" si="6"/>
        <v>2</v>
      </c>
      <c r="D12" s="18">
        <f t="shared" si="1"/>
        <v>0</v>
      </c>
      <c r="E12" s="4" t="s">
        <v>191</v>
      </c>
      <c r="F12" s="8" t="s">
        <v>198</v>
      </c>
      <c r="G12" s="9">
        <v>18000</v>
      </c>
      <c r="H12" s="9"/>
      <c r="I12" s="48">
        <v>2000</v>
      </c>
      <c r="J12" s="21">
        <f t="shared" si="2"/>
        <v>82800</v>
      </c>
      <c r="K12" s="8" t="s">
        <v>197</v>
      </c>
      <c r="L12" s="9">
        <v>-9000</v>
      </c>
      <c r="M12" s="9"/>
      <c r="N12" s="48">
        <v>-1000</v>
      </c>
      <c r="O12" s="21">
        <f t="shared" si="3"/>
        <v>22400</v>
      </c>
      <c r="P12" s="8" t="s">
        <v>197</v>
      </c>
      <c r="Q12" s="9">
        <v>-9000</v>
      </c>
      <c r="R12" s="9"/>
      <c r="S12" s="48">
        <v>-1000</v>
      </c>
      <c r="T12" s="21">
        <f t="shared" si="4"/>
        <v>-200</v>
      </c>
      <c r="U12" s="53">
        <f>IF($J12="","",ROUND(($J12-$J$3)/1000,1)+(_xlfn.RANK.AVG($J12,($J12,$O12,$T12),1)-2)*10)</f>
        <v>57.8</v>
      </c>
      <c r="V12" s="54">
        <f>IF($O12="","",ROUND(($O12-$O$3)/1000,1)+(_xlfn.RANK.AVG($O12,($J12,$O12,$T12),1)-2)*10)</f>
        <v>-12.6</v>
      </c>
      <c r="W12" s="55">
        <f>IF($T12="","",ROUND(($T12-$T$3)/1000,1)+(_xlfn.RANK.AVG($T12,($J12,$O12,$T12),1)-2)*10)</f>
        <v>-45.2</v>
      </c>
      <c r="Y12" s="8"/>
      <c r="Z12" s="34"/>
      <c r="AA12" s="26">
        <v>1</v>
      </c>
      <c r="AB12" s="26"/>
      <c r="AC12" s="26">
        <v>7</v>
      </c>
      <c r="AD12" s="30" t="s">
        <v>199</v>
      </c>
      <c r="AE12" s="40" t="s">
        <v>202</v>
      </c>
      <c r="AF12" s="41" t="s">
        <v>82</v>
      </c>
      <c r="AG12" s="41" t="s">
        <v>83</v>
      </c>
      <c r="AH12" s="41" t="s">
        <v>79</v>
      </c>
      <c r="AI12" s="41" t="s">
        <v>79</v>
      </c>
      <c r="AJ12" s="41" t="s">
        <v>80</v>
      </c>
      <c r="AK12" s="41" t="s">
        <v>201</v>
      </c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9C42CA8C-42F8-401C-9DD5-C24C1D672F39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7471D-4795-4117-970E-529143C2C2B8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まっつん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まっつん</v>
      </c>
      <c r="V2" s="69" t="str">
        <f>$K$1</f>
        <v>だいち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197</v>
      </c>
      <c r="G4" s="9">
        <v>-5000</v>
      </c>
      <c r="H4" s="9"/>
      <c r="I4" s="48">
        <v>0</v>
      </c>
      <c r="J4" s="21">
        <f>IF(COUNTA($F4,$K4,$P4)&gt;0,J3+SUM(G4:I4),"")</f>
        <v>30000</v>
      </c>
      <c r="K4" s="8" t="s">
        <v>197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198</v>
      </c>
      <c r="Q4" s="9">
        <v>8000</v>
      </c>
      <c r="R4" s="9"/>
      <c r="S4" s="48">
        <v>0</v>
      </c>
      <c r="T4" s="21">
        <f>IF(COUNTA($F4,$K4,$P4)&gt;0,T3+SUM(Q4:S4),"")</f>
        <v>43000</v>
      </c>
      <c r="U4" s="53">
        <f>IF($J4="","",ROUND(($J4-$J$3)/1000,1)+(_xlfn.RANK.AVG($J4,($J4,$O4,$T4),1)-2)*10)</f>
        <v>-15</v>
      </c>
      <c r="V4" s="54">
        <f>IF($O4="","",ROUND(($O4-$O$3)/1000,1)+(_xlfn.RANK.AVG($O4,($J4,$O4,$T4),1)-2)*10)</f>
        <v>-3</v>
      </c>
      <c r="W4" s="55">
        <f>IF($T4="","",ROUND(($T4-$T$3)/1000,1)+(_xlfn.RANK.AVG($T4,($J4,$O4,$T4),1)-2)*10)</f>
        <v>18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5</v>
      </c>
      <c r="BT4" s="30" t="s">
        <v>199</v>
      </c>
      <c r="BU4" s="40" t="s">
        <v>202</v>
      </c>
      <c r="BV4" s="41" t="s">
        <v>82</v>
      </c>
      <c r="BW4" s="41" t="s">
        <v>83</v>
      </c>
      <c r="BX4" s="41" t="s">
        <v>201</v>
      </c>
      <c r="BY4" s="41" t="s">
        <v>80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197</v>
      </c>
      <c r="G5" s="9">
        <v>-1100</v>
      </c>
      <c r="H5" s="9">
        <v>-1000</v>
      </c>
      <c r="I5" s="48">
        <v>0</v>
      </c>
      <c r="J5" s="21">
        <f t="shared" ref="J5:J30" si="2">IF(COUNTA($F5,$K5,$P5)&gt;0,J4+SUM(G5:I5),"")</f>
        <v>27900</v>
      </c>
      <c r="K5" s="8" t="s">
        <v>198</v>
      </c>
      <c r="L5" s="9">
        <v>2200</v>
      </c>
      <c r="M5" s="9">
        <v>1000</v>
      </c>
      <c r="N5" s="48">
        <v>0</v>
      </c>
      <c r="O5" s="21">
        <f t="shared" ref="O5:O30" si="3">IF(COUNTA($F5,$K5,$P5)&gt;0,O4+SUM(L5:N5),"")</f>
        <v>35200</v>
      </c>
      <c r="P5" s="8" t="s">
        <v>197</v>
      </c>
      <c r="Q5" s="9">
        <v>-1100</v>
      </c>
      <c r="R5" s="9"/>
      <c r="S5" s="48">
        <v>0</v>
      </c>
      <c r="T5" s="21">
        <f t="shared" ref="T5:T30" si="4">IF(COUNTA($F5,$K5,$P5)&gt;0,T4+SUM(Q5:S5),"")</f>
        <v>41900</v>
      </c>
      <c r="U5" s="53">
        <f>IF($J5="","",ROUND(($J5-$J$3)/1000,1)+(_xlfn.RANK.AVG($J5,($J5,$O5,$T5),1)-2)*10)</f>
        <v>-17.100000000000001</v>
      </c>
      <c r="V5" s="54">
        <f>IF($O5="","",ROUND(($O5-$O$3)/1000,1)+(_xlfn.RANK.AVG($O5,($J5,$O5,$T5),1)-2)*10)</f>
        <v>0.2</v>
      </c>
      <c r="W5" s="55">
        <f>IF($T5="","",ROUND(($T5-$T$3)/1000,1)+(_xlfn.RANK.AVG($T5,($J5,$O5,$T5),1)-2)*10)</f>
        <v>16.899999999999999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1</v>
      </c>
      <c r="AY5" s="30">
        <v>40</v>
      </c>
      <c r="AZ5" s="40" t="s">
        <v>86</v>
      </c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193</v>
      </c>
      <c r="F6" s="8" t="s">
        <v>197</v>
      </c>
      <c r="G6" s="9">
        <v>-3000</v>
      </c>
      <c r="H6" s="9"/>
      <c r="I6" s="48">
        <v>-500</v>
      </c>
      <c r="J6" s="21">
        <f t="shared" si="2"/>
        <v>24400</v>
      </c>
      <c r="K6" s="8" t="s">
        <v>197</v>
      </c>
      <c r="L6" s="9">
        <v>-5000</v>
      </c>
      <c r="M6" s="9"/>
      <c r="N6" s="48">
        <v>-500</v>
      </c>
      <c r="O6" s="21">
        <f t="shared" si="3"/>
        <v>29700</v>
      </c>
      <c r="P6" s="8" t="s">
        <v>198</v>
      </c>
      <c r="Q6" s="9">
        <v>8000</v>
      </c>
      <c r="R6" s="9"/>
      <c r="S6" s="48">
        <v>1000</v>
      </c>
      <c r="T6" s="21">
        <f t="shared" si="4"/>
        <v>50900</v>
      </c>
      <c r="U6" s="53">
        <f>IF($J6="","",ROUND(($J6-$J$3)/1000,1)+(_xlfn.RANK.AVG($J6,($J6,$O6,$T6),1)-2)*10)</f>
        <v>-20.6</v>
      </c>
      <c r="V6" s="54">
        <f>IF($O6="","",ROUND(($O6-$O$3)/1000,1)+(_xlfn.RANK.AVG($O6,($J6,$O6,$T6),1)-2)*10)</f>
        <v>-5.3</v>
      </c>
      <c r="W6" s="55">
        <f>IF($T6="","",ROUND(($T6-$T$3)/1000,1)+(_xlfn.RANK.AVG($T6,($J6,$O6,$T6),1)-2)*10)</f>
        <v>25.9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5</v>
      </c>
      <c r="BT6" s="30" t="s">
        <v>199</v>
      </c>
      <c r="BU6" s="40" t="s">
        <v>202</v>
      </c>
      <c r="BV6" s="41" t="s">
        <v>82</v>
      </c>
      <c r="BW6" s="41" t="s">
        <v>86</v>
      </c>
      <c r="BX6" s="41" t="s">
        <v>79</v>
      </c>
      <c r="BY6" s="41" t="s">
        <v>208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195</v>
      </c>
      <c r="F7" s="8" t="s">
        <v>198</v>
      </c>
      <c r="G7" s="9">
        <v>8000</v>
      </c>
      <c r="H7" s="9"/>
      <c r="I7" s="48">
        <v>0</v>
      </c>
      <c r="J7" s="21">
        <f t="shared" si="2"/>
        <v>32400</v>
      </c>
      <c r="K7" s="8" t="s">
        <v>197</v>
      </c>
      <c r="L7" s="9">
        <v>-3000</v>
      </c>
      <c r="M7" s="9"/>
      <c r="N7" s="48">
        <v>0</v>
      </c>
      <c r="O7" s="21">
        <f t="shared" si="3"/>
        <v>26700</v>
      </c>
      <c r="P7" s="8" t="s">
        <v>197</v>
      </c>
      <c r="Q7" s="9">
        <v>-5000</v>
      </c>
      <c r="R7" s="9"/>
      <c r="S7" s="48">
        <v>0</v>
      </c>
      <c r="T7" s="21">
        <f t="shared" si="4"/>
        <v>45900</v>
      </c>
      <c r="U7" s="53">
        <f>IF($J7="","",ROUND(($J7-$J$3)/1000,1)+(_xlfn.RANK.AVG($J7,($J7,$O7,$T7),1)-2)*10)</f>
        <v>-2.6</v>
      </c>
      <c r="V7" s="54">
        <f>IF($O7="","",ROUND(($O7-$O$3)/1000,1)+(_xlfn.RANK.AVG($O7,($J7,$O7,$T7),1)-2)*10)</f>
        <v>-18.3</v>
      </c>
      <c r="W7" s="55">
        <f>IF($T7="","",ROUND(($T7-$T$3)/1000,1)+(_xlfn.RANK.AVG($T7,($J7,$O7,$T7),1)-2)*10)</f>
        <v>20.9</v>
      </c>
      <c r="Y7" s="8"/>
      <c r="Z7" s="34"/>
      <c r="AA7" s="26">
        <v>1</v>
      </c>
      <c r="AB7" s="26"/>
      <c r="AC7" s="26">
        <v>5</v>
      </c>
      <c r="AD7" s="30" t="s">
        <v>199</v>
      </c>
      <c r="AE7" s="40" t="s">
        <v>202</v>
      </c>
      <c r="AF7" s="41" t="s">
        <v>82</v>
      </c>
      <c r="AG7" s="41" t="s">
        <v>83</v>
      </c>
      <c r="AH7" s="41" t="s">
        <v>201</v>
      </c>
      <c r="AI7" s="41" t="s">
        <v>79</v>
      </c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197</v>
      </c>
      <c r="G8" s="9">
        <v>-10000</v>
      </c>
      <c r="H8" s="9">
        <v>-1000</v>
      </c>
      <c r="I8" s="48">
        <v>0</v>
      </c>
      <c r="J8" s="21">
        <f t="shared" si="2"/>
        <v>21400</v>
      </c>
      <c r="K8" s="8" t="s">
        <v>197</v>
      </c>
      <c r="L8" s="9">
        <v>-6000</v>
      </c>
      <c r="M8" s="9"/>
      <c r="N8" s="48">
        <v>0</v>
      </c>
      <c r="O8" s="21">
        <f t="shared" si="3"/>
        <v>20700</v>
      </c>
      <c r="P8" s="8" t="s">
        <v>198</v>
      </c>
      <c r="Q8" s="9">
        <v>16000</v>
      </c>
      <c r="R8" s="9">
        <v>1000</v>
      </c>
      <c r="S8" s="48">
        <v>0</v>
      </c>
      <c r="T8" s="21">
        <f t="shared" si="4"/>
        <v>62900</v>
      </c>
      <c r="U8" s="53">
        <f>IF($J8="","",ROUND(($J8-$J$3)/1000,1)+(_xlfn.RANK.AVG($J8,($J8,$O8,$T8),1)-2)*10)</f>
        <v>-13.6</v>
      </c>
      <c r="V8" s="54">
        <f>IF($O8="","",ROUND(($O8-$O$3)/1000,1)+(_xlfn.RANK.AVG($O8,($J8,$O8,$T8),1)-2)*10)</f>
        <v>-24.3</v>
      </c>
      <c r="W8" s="55">
        <f>IF($T8="","",ROUND(($T8-$T$3)/1000,1)+(_xlfn.RANK.AVG($T8,($J8,$O8,$T8),1)-2)*10)</f>
        <v>37.9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8</v>
      </c>
      <c r="BT8" s="30" t="s">
        <v>199</v>
      </c>
      <c r="BU8" s="40" t="s">
        <v>99</v>
      </c>
      <c r="BV8" s="41" t="s">
        <v>104</v>
      </c>
      <c r="BW8" s="41" t="s">
        <v>86</v>
      </c>
      <c r="BX8" s="41" t="s">
        <v>86</v>
      </c>
      <c r="BY8" s="41" t="s">
        <v>86</v>
      </c>
      <c r="BZ8" s="41" t="s">
        <v>79</v>
      </c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204</v>
      </c>
      <c r="G9" s="9">
        <v>12000</v>
      </c>
      <c r="H9" s="9"/>
      <c r="I9" s="48">
        <v>0</v>
      </c>
      <c r="J9" s="21">
        <f t="shared" si="2"/>
        <v>33400</v>
      </c>
      <c r="K9" s="8"/>
      <c r="L9" s="9"/>
      <c r="M9" s="9"/>
      <c r="N9" s="48"/>
      <c r="O9" s="21">
        <f t="shared" si="3"/>
        <v>20700</v>
      </c>
      <c r="P9" s="8" t="s">
        <v>203</v>
      </c>
      <c r="Q9" s="9">
        <v>-12000</v>
      </c>
      <c r="R9" s="9"/>
      <c r="S9" s="48">
        <v>0</v>
      </c>
      <c r="T9" s="21">
        <f t="shared" si="4"/>
        <v>50900</v>
      </c>
      <c r="U9" s="53">
        <f>IF($J9="","",ROUND(($J9-$J$3)/1000,1)+(_xlfn.RANK.AVG($J9,($J9,$O9,$T9),1)-2)*10)</f>
        <v>-1.6</v>
      </c>
      <c r="V9" s="54">
        <f>IF($O9="","",ROUND(($O9-$O$3)/1000,1)+(_xlfn.RANK.AVG($O9,($J9,$O9,$T9),1)-2)*10)</f>
        <v>-24.3</v>
      </c>
      <c r="W9" s="55">
        <f>IF($T9="","",ROUND(($T9-$T$3)/1000,1)+(_xlfn.RANK.AVG($T9,($J9,$O9,$T9),1)-2)*10)</f>
        <v>25.9</v>
      </c>
      <c r="Y9" s="8"/>
      <c r="Z9" s="34"/>
      <c r="AA9" s="26">
        <v>1</v>
      </c>
      <c r="AB9" s="26"/>
      <c r="AC9" s="26">
        <v>6</v>
      </c>
      <c r="AD9" s="30" t="s">
        <v>199</v>
      </c>
      <c r="AE9" s="40" t="s">
        <v>202</v>
      </c>
      <c r="AF9" s="41" t="s">
        <v>201</v>
      </c>
      <c r="AG9" s="41" t="s">
        <v>86</v>
      </c>
      <c r="AH9" s="41" t="s">
        <v>80</v>
      </c>
      <c r="AI9" s="41" t="s">
        <v>80</v>
      </c>
      <c r="AJ9" s="41" t="s">
        <v>80</v>
      </c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195</v>
      </c>
      <c r="F10" s="8" t="s">
        <v>203</v>
      </c>
      <c r="G10" s="9">
        <v>-2900</v>
      </c>
      <c r="H10" s="9"/>
      <c r="I10" s="48">
        <v>0</v>
      </c>
      <c r="J10" s="21">
        <f t="shared" si="2"/>
        <v>30500</v>
      </c>
      <c r="K10" s="8"/>
      <c r="L10" s="9"/>
      <c r="M10" s="9"/>
      <c r="N10" s="48"/>
      <c r="O10" s="21">
        <f t="shared" si="3"/>
        <v>20700</v>
      </c>
      <c r="P10" s="8" t="s">
        <v>204</v>
      </c>
      <c r="Q10" s="9">
        <v>2900</v>
      </c>
      <c r="R10" s="9"/>
      <c r="S10" s="48">
        <v>0</v>
      </c>
      <c r="T10" s="21">
        <f t="shared" si="4"/>
        <v>53800</v>
      </c>
      <c r="U10" s="53">
        <f>IF($J10="","",ROUND(($J10-$J$3)/1000,1)+(_xlfn.RANK.AVG($J10,($J10,$O10,$T10),1)-2)*10)</f>
        <v>-4.5</v>
      </c>
      <c r="V10" s="54">
        <f>IF($O10="","",ROUND(($O10-$O$3)/1000,1)+(_xlfn.RANK.AVG($O10,($J10,$O10,$T10),1)-2)*10)</f>
        <v>-24.3</v>
      </c>
      <c r="W10" s="55">
        <f>IF($T10="","",ROUND(($T10-$T$3)/1000,1)+(_xlfn.RANK.AVG($T10,($J10,$O10,$T10),1)-2)*10)</f>
        <v>28.8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>
        <v>2</v>
      </c>
      <c r="BT10" s="30">
        <v>30</v>
      </c>
      <c r="BU10" s="40" t="s">
        <v>83</v>
      </c>
      <c r="BV10" s="41" t="s">
        <v>201</v>
      </c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qref="F1:T1" xr:uid="{84DB72E5-C00B-4BDD-9853-502EA39A641C}">
      <formula1>"たかの,だいち,ただ,りくと,れんたろう,まっつん,のり,ぱぱ,ほたに,いっしー,"</formula1>
    </dataValidation>
    <dataValidation type="list" showInputMessage="1" showErrorMessage="1" sqref="K4:K30 P4:P30 F4:F30" xr:uid="{1E8AEB37-6506-486C-A6E3-E2B1110BEA8F}">
      <formula1>"ロン,ツモ,放銃,ツモ支払,流局,チョンボ"</formula1>
    </dataValidation>
    <dataValidation type="list" allowBlank="1" showInputMessage="1" showErrorMessage="1" sqref="E4:E30" xr:uid="{F81F923B-C160-42F8-813B-C0956E27B5EB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8EE84-F84B-41CE-AFBD-E657F376FE7B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210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たかの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まっつん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たかの</v>
      </c>
      <c r="V2" s="69" t="str">
        <f>$K$1</f>
        <v>まっつん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209</v>
      </c>
      <c r="F4" s="8" t="s">
        <v>204</v>
      </c>
      <c r="G4" s="9">
        <v>2900</v>
      </c>
      <c r="H4" s="9"/>
      <c r="I4" s="48">
        <v>0</v>
      </c>
      <c r="J4" s="21">
        <f>IF(COUNTA($F4,$K4,$P4)&gt;0,J3+SUM(G4:I4),"")</f>
        <v>37900</v>
      </c>
      <c r="K4" s="8"/>
      <c r="L4" s="9"/>
      <c r="M4" s="9"/>
      <c r="N4" s="48"/>
      <c r="O4" s="21">
        <f>IF(COUNTA($F4,$K4,$P4)&gt;0,O3+SUM(L4:N4),"")</f>
        <v>35000</v>
      </c>
      <c r="P4" s="8" t="s">
        <v>203</v>
      </c>
      <c r="Q4" s="9">
        <v>-2900</v>
      </c>
      <c r="R4" s="9"/>
      <c r="S4" s="48">
        <v>0</v>
      </c>
      <c r="T4" s="21">
        <f>IF(COUNTA($F4,$K4,$P4)&gt;0,T3+SUM(Q4:S4),"")</f>
        <v>32100</v>
      </c>
      <c r="U4" s="53">
        <f>IF($J4="","",ROUND(($J4-$J$3)/1000,1)+(_xlfn.RANK.AVG($J4,($J4,$O4,$T4),1)-2)*10)</f>
        <v>12.9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-12.9</v>
      </c>
      <c r="Y4" s="8"/>
      <c r="Z4" s="34"/>
      <c r="AA4" s="26"/>
      <c r="AB4" s="26">
        <v>1</v>
      </c>
      <c r="AC4" s="26">
        <v>2</v>
      </c>
      <c r="AD4" s="30">
        <v>30</v>
      </c>
      <c r="AE4" s="40" t="s">
        <v>86</v>
      </c>
      <c r="AF4" s="41" t="s">
        <v>86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209</v>
      </c>
      <c r="F5" s="8" t="s">
        <v>204</v>
      </c>
      <c r="G5" s="9">
        <v>2000</v>
      </c>
      <c r="H5" s="9"/>
      <c r="I5" s="48">
        <v>1000</v>
      </c>
      <c r="J5" s="21">
        <f t="shared" ref="J5:J30" si="2">IF(COUNTA($F5,$K5,$P5)&gt;0,J4+SUM(G5:I5),"")</f>
        <v>40900</v>
      </c>
      <c r="K5" s="8" t="s">
        <v>203</v>
      </c>
      <c r="L5" s="9">
        <v>-2000</v>
      </c>
      <c r="M5" s="9"/>
      <c r="N5" s="48">
        <v>-1000</v>
      </c>
      <c r="O5" s="21">
        <f t="shared" ref="O5:O30" si="3">IF(COUNTA($F5,$K5,$P5)&gt;0,O4+SUM(L5:N5),"")</f>
        <v>32000</v>
      </c>
      <c r="P5" s="8"/>
      <c r="Q5" s="9"/>
      <c r="R5" s="9"/>
      <c r="S5" s="48"/>
      <c r="T5" s="21">
        <f t="shared" ref="T5:T30" si="4">IF(COUNTA($F5,$K5,$P5)&gt;0,T4+SUM(Q5:S5),"")</f>
        <v>32100</v>
      </c>
      <c r="U5" s="53">
        <f>IF($J5="","",ROUND(($J5-$J$3)/1000,1)+(_xlfn.RANK.AVG($J5,($J5,$O5,$T5),1)-2)*10)</f>
        <v>15.9</v>
      </c>
      <c r="V5" s="54">
        <f>IF($O5="","",ROUND(($O5-$O$3)/1000,1)+(_xlfn.RANK.AVG($O5,($J5,$O5,$T5),1)-2)*10)</f>
        <v>-13</v>
      </c>
      <c r="W5" s="55">
        <f>IF($T5="","",ROUND(($T5-$T$3)/1000,1)+(_xlfn.RANK.AVG($T5,($J5,$O5,$T5),1)-2)*10)</f>
        <v>-2.9</v>
      </c>
      <c r="Y5" s="8"/>
      <c r="Z5" s="34"/>
      <c r="AA5" s="26"/>
      <c r="AB5" s="26"/>
      <c r="AC5" s="26">
        <v>1</v>
      </c>
      <c r="AD5" s="30">
        <v>40</v>
      </c>
      <c r="AE5" s="40" t="s">
        <v>85</v>
      </c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209</v>
      </c>
      <c r="F6" s="8" t="s">
        <v>203</v>
      </c>
      <c r="G6" s="9">
        <v>-3900</v>
      </c>
      <c r="H6" s="9"/>
      <c r="I6" s="48">
        <v>-2000</v>
      </c>
      <c r="J6" s="21">
        <f t="shared" si="2"/>
        <v>35000</v>
      </c>
      <c r="K6" s="8" t="s">
        <v>204</v>
      </c>
      <c r="L6" s="9">
        <v>3900</v>
      </c>
      <c r="M6" s="9"/>
      <c r="N6" s="48">
        <v>2000</v>
      </c>
      <c r="O6" s="21">
        <f t="shared" si="3"/>
        <v>37900</v>
      </c>
      <c r="P6" s="8"/>
      <c r="Q6" s="9"/>
      <c r="R6" s="9"/>
      <c r="S6" s="48"/>
      <c r="T6" s="21">
        <f t="shared" si="4"/>
        <v>32100</v>
      </c>
      <c r="U6" s="53">
        <f>IF($J6="","",ROUND(($J6-$J$3)/1000,1)+(_xlfn.RANK.AVG($J6,($J6,$O6,$T6),1)-2)*10)</f>
        <v>0</v>
      </c>
      <c r="V6" s="54">
        <f>IF($O6="","",ROUND(($O6-$O$3)/1000,1)+(_xlfn.RANK.AVG($O6,($J6,$O6,$T6),1)-2)*10)</f>
        <v>12.9</v>
      </c>
      <c r="W6" s="55">
        <f>IF($T6="","",ROUND(($T6-$T$3)/1000,1)+(_xlfn.RANK.AVG($T6,($J6,$O6,$T6),1)-2)*10)</f>
        <v>-12.9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3</v>
      </c>
      <c r="AY6" s="30">
        <v>30</v>
      </c>
      <c r="AZ6" s="40" t="s">
        <v>86</v>
      </c>
      <c r="BA6" s="41" t="s">
        <v>104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197</v>
      </c>
      <c r="G7" s="9">
        <v>-4500</v>
      </c>
      <c r="H7" s="9"/>
      <c r="I7" s="48">
        <v>0</v>
      </c>
      <c r="J7" s="21">
        <f t="shared" si="2"/>
        <v>30500</v>
      </c>
      <c r="K7" s="8" t="s">
        <v>197</v>
      </c>
      <c r="L7" s="9">
        <v>-7500</v>
      </c>
      <c r="M7" s="9"/>
      <c r="N7" s="48">
        <v>0</v>
      </c>
      <c r="O7" s="21">
        <f t="shared" si="3"/>
        <v>30400</v>
      </c>
      <c r="P7" s="8" t="s">
        <v>198</v>
      </c>
      <c r="Q7" s="9">
        <v>12000</v>
      </c>
      <c r="R7" s="9"/>
      <c r="S7" s="48">
        <v>0</v>
      </c>
      <c r="T7" s="21">
        <f t="shared" si="4"/>
        <v>44100</v>
      </c>
      <c r="U7" s="53">
        <f>IF($J7="","",ROUND(($J7-$J$3)/1000,1)+(_xlfn.RANK.AVG($J7,($J7,$O7,$T7),1)-2)*10)</f>
        <v>-4.5</v>
      </c>
      <c r="V7" s="54">
        <f>IF($O7="","",ROUND(($O7-$O$3)/1000,1)+(_xlfn.RANK.AVG($O7,($J7,$O7,$T7),1)-2)*10)</f>
        <v>-14.6</v>
      </c>
      <c r="W7" s="55">
        <f>IF($T7="","",ROUND(($T7-$T$3)/1000,1)+(_xlfn.RANK.AVG($T7,($J7,$O7,$T7),1)-2)*10)</f>
        <v>19.100000000000001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6</v>
      </c>
      <c r="BT7" s="30" t="s">
        <v>199</v>
      </c>
      <c r="BU7" s="40" t="s">
        <v>202</v>
      </c>
      <c r="BV7" s="41" t="s">
        <v>86</v>
      </c>
      <c r="BW7" s="41" t="s">
        <v>79</v>
      </c>
      <c r="BX7" s="41" t="s">
        <v>104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195</v>
      </c>
      <c r="F8" s="8" t="s">
        <v>204</v>
      </c>
      <c r="G8" s="9">
        <v>8000</v>
      </c>
      <c r="H8" s="9"/>
      <c r="I8" s="48">
        <v>0</v>
      </c>
      <c r="J8" s="21">
        <f t="shared" si="2"/>
        <v>38500</v>
      </c>
      <c r="K8" s="8"/>
      <c r="L8" s="9"/>
      <c r="M8" s="9"/>
      <c r="N8" s="48"/>
      <c r="O8" s="21">
        <f t="shared" si="3"/>
        <v>30400</v>
      </c>
      <c r="P8" s="8" t="s">
        <v>203</v>
      </c>
      <c r="Q8" s="9">
        <v>-8000</v>
      </c>
      <c r="R8" s="9"/>
      <c r="S8" s="48">
        <v>0</v>
      </c>
      <c r="T8" s="21">
        <f t="shared" si="4"/>
        <v>36100</v>
      </c>
      <c r="U8" s="53">
        <f>IF($J8="","",ROUND(($J8-$J$3)/1000,1)+(_xlfn.RANK.AVG($J8,($J8,$O8,$T8),1)-2)*10)</f>
        <v>13.5</v>
      </c>
      <c r="V8" s="54">
        <f>IF($O8="","",ROUND(($O8-$O$3)/1000,1)+(_xlfn.RANK.AVG($O8,($J8,$O8,$T8),1)-2)*10)</f>
        <v>-14.6</v>
      </c>
      <c r="W8" s="55">
        <f>IF($T8="","",ROUND(($T8-$T$3)/1000,1)+(_xlfn.RANK.AVG($T8,($J8,$O8,$T8),1)-2)*10)</f>
        <v>1.1000000000000001</v>
      </c>
      <c r="Y8" s="8"/>
      <c r="Z8" s="34"/>
      <c r="AA8" s="26"/>
      <c r="AB8" s="26">
        <v>1</v>
      </c>
      <c r="AC8" s="26">
        <v>5</v>
      </c>
      <c r="AD8" s="30" t="s">
        <v>199</v>
      </c>
      <c r="AE8" s="40" t="s">
        <v>79</v>
      </c>
      <c r="AF8" s="41" t="s">
        <v>79</v>
      </c>
      <c r="AG8" s="41" t="s">
        <v>79</v>
      </c>
      <c r="AH8" s="41" t="s">
        <v>201</v>
      </c>
      <c r="AI8" s="41" t="s">
        <v>86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209</v>
      </c>
      <c r="F9" s="8" t="s">
        <v>198</v>
      </c>
      <c r="G9" s="9">
        <v>24000</v>
      </c>
      <c r="H9" s="9">
        <v>1000</v>
      </c>
      <c r="I9" s="48">
        <v>0</v>
      </c>
      <c r="J9" s="21">
        <f t="shared" si="2"/>
        <v>63500</v>
      </c>
      <c r="K9" s="8" t="s">
        <v>197</v>
      </c>
      <c r="L9" s="9">
        <v>-12000</v>
      </c>
      <c r="M9" s="9">
        <v>-1000</v>
      </c>
      <c r="N9" s="48">
        <v>0</v>
      </c>
      <c r="O9" s="21">
        <f t="shared" si="3"/>
        <v>17400</v>
      </c>
      <c r="P9" s="8" t="s">
        <v>197</v>
      </c>
      <c r="Q9" s="9">
        <v>-12000</v>
      </c>
      <c r="R9" s="9"/>
      <c r="S9" s="48">
        <v>0</v>
      </c>
      <c r="T9" s="21">
        <f t="shared" si="4"/>
        <v>24100</v>
      </c>
      <c r="U9" s="53">
        <f>IF($J9="","",ROUND(($J9-$J$3)/1000,1)+(_xlfn.RANK.AVG($J9,($J9,$O9,$T9),1)-2)*10)</f>
        <v>38.5</v>
      </c>
      <c r="V9" s="54">
        <f>IF($O9="","",ROUND(($O9-$O$3)/1000,1)+(_xlfn.RANK.AVG($O9,($J9,$O9,$T9),1)-2)*10)</f>
        <v>-27.6</v>
      </c>
      <c r="W9" s="55">
        <f>IF($T9="","",ROUND(($T9-$T$3)/1000,1)+(_xlfn.RANK.AVG($T9,($J9,$O9,$T9),1)-2)*10)</f>
        <v>-10.9</v>
      </c>
      <c r="Y9" s="8"/>
      <c r="Z9" s="34"/>
      <c r="AA9" s="26">
        <v>1</v>
      </c>
      <c r="AB9" s="26"/>
      <c r="AC9" s="26">
        <v>8</v>
      </c>
      <c r="AD9" s="30" t="s">
        <v>199</v>
      </c>
      <c r="AE9" s="40" t="s">
        <v>202</v>
      </c>
      <c r="AF9" s="41" t="s">
        <v>82</v>
      </c>
      <c r="AG9" s="41" t="s">
        <v>79</v>
      </c>
      <c r="AH9" s="41" t="s">
        <v>79</v>
      </c>
      <c r="AI9" s="41" t="s">
        <v>79</v>
      </c>
      <c r="AJ9" s="41" t="s">
        <v>79</v>
      </c>
      <c r="AK9" s="41" t="s">
        <v>80</v>
      </c>
      <c r="AL9" s="41" t="s">
        <v>80</v>
      </c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">
        <v>209</v>
      </c>
      <c r="F10" s="8" t="s">
        <v>211</v>
      </c>
      <c r="G10" s="9">
        <v>-3000</v>
      </c>
      <c r="H10" s="9"/>
      <c r="I10" s="48"/>
      <c r="J10" s="21">
        <f t="shared" si="2"/>
        <v>60500</v>
      </c>
      <c r="K10" s="8" t="s">
        <v>211</v>
      </c>
      <c r="L10" s="9">
        <v>1500</v>
      </c>
      <c r="M10" s="9"/>
      <c r="N10" s="48"/>
      <c r="O10" s="21">
        <f t="shared" si="3"/>
        <v>18900</v>
      </c>
      <c r="P10" s="8" t="s">
        <v>211</v>
      </c>
      <c r="Q10" s="9">
        <v>1500</v>
      </c>
      <c r="R10" s="9">
        <v>-1000</v>
      </c>
      <c r="S10" s="48"/>
      <c r="T10" s="21">
        <f t="shared" si="4"/>
        <v>24600</v>
      </c>
      <c r="U10" s="53">
        <f>IF($J10="","",ROUND(($J10-$J$3)/1000,1)+(_xlfn.RANK.AVG($J10,($J10,$O10,$T10),1)-2)*10)</f>
        <v>35.5</v>
      </c>
      <c r="V10" s="54">
        <f>IF($O10="","",ROUND(($O10-$O$3)/1000,1)+(_xlfn.RANK.AVG($O10,($J10,$O10,$T10),1)-2)*10)</f>
        <v>-26.1</v>
      </c>
      <c r="W10" s="55">
        <f>IF($T10="","",ROUND(($T10-$T$3)/1000,1)+(_xlfn.RANK.AVG($T10,($J10,$O10,$T10),1)-2)*10)</f>
        <v>-10.4</v>
      </c>
      <c r="Y10" s="8" t="s">
        <v>205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206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206</v>
      </c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2</v>
      </c>
      <c r="D11" s="18">
        <f t="shared" si="1"/>
        <v>1</v>
      </c>
      <c r="E11" s="4" t="s">
        <v>191</v>
      </c>
      <c r="F11" s="8" t="s">
        <v>203</v>
      </c>
      <c r="G11" s="9">
        <v>-36000</v>
      </c>
      <c r="H11" s="9"/>
      <c r="I11" s="48">
        <v>-2000</v>
      </c>
      <c r="J11" s="21">
        <f t="shared" si="2"/>
        <v>22500</v>
      </c>
      <c r="K11" s="8" t="s">
        <v>204</v>
      </c>
      <c r="L11" s="9">
        <v>36000</v>
      </c>
      <c r="M11" s="9">
        <v>1000</v>
      </c>
      <c r="N11" s="48">
        <v>2000</v>
      </c>
      <c r="O11" s="21">
        <f t="shared" si="3"/>
        <v>57900</v>
      </c>
      <c r="P11" s="8"/>
      <c r="Q11" s="9"/>
      <c r="R11" s="9"/>
      <c r="S11" s="48"/>
      <c r="T11" s="21">
        <f t="shared" si="4"/>
        <v>24600</v>
      </c>
      <c r="U11" s="53">
        <f>IF($J11="","",ROUND(($J11-$J$3)/1000,1)+(_xlfn.RANK.AVG($J11,($J11,$O11,$T11),1)-2)*10)</f>
        <v>-22.5</v>
      </c>
      <c r="V11" s="54">
        <f>IF($O11="","",ROUND(($O11-$O$3)/1000,1)+(_xlfn.RANK.AVG($O11,($J11,$O11,$T11),1)-2)*10)</f>
        <v>32.9</v>
      </c>
      <c r="W11" s="55">
        <f>IF($T11="","",ROUND(($T11-$T$3)/1000,1)+(_xlfn.RANK.AVG($T11,($J11,$O11,$T11),1)-2)*10)</f>
        <v>-10.4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12</v>
      </c>
      <c r="AY11" s="30" t="s">
        <v>199</v>
      </c>
      <c r="AZ11" s="40" t="s">
        <v>86</v>
      </c>
      <c r="BA11" s="41" t="s">
        <v>86</v>
      </c>
      <c r="BB11" s="41" t="s">
        <v>86</v>
      </c>
      <c r="BC11" s="41" t="s">
        <v>98</v>
      </c>
      <c r="BD11" s="41" t="s">
        <v>100</v>
      </c>
      <c r="BE11" s="41" t="s">
        <v>79</v>
      </c>
      <c r="BF11" s="41" t="s">
        <v>79</v>
      </c>
      <c r="BG11" s="41" t="s">
        <v>79</v>
      </c>
      <c r="BH11" s="41" t="s">
        <v>104</v>
      </c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3</v>
      </c>
      <c r="D12" s="18">
        <f t="shared" si="1"/>
        <v>0</v>
      </c>
      <c r="E12" s="4" t="s">
        <v>191</v>
      </c>
      <c r="F12" s="8" t="s">
        <v>203</v>
      </c>
      <c r="G12" s="9">
        <v>-3900</v>
      </c>
      <c r="H12" s="9"/>
      <c r="I12" s="48">
        <v>-3000</v>
      </c>
      <c r="J12" s="21">
        <f t="shared" si="2"/>
        <v>15600</v>
      </c>
      <c r="K12" s="8" t="s">
        <v>204</v>
      </c>
      <c r="L12" s="9">
        <v>3900</v>
      </c>
      <c r="M12" s="9"/>
      <c r="N12" s="48">
        <v>3000</v>
      </c>
      <c r="O12" s="21">
        <f t="shared" si="3"/>
        <v>64800</v>
      </c>
      <c r="P12" s="8"/>
      <c r="Q12" s="9"/>
      <c r="R12" s="9"/>
      <c r="S12" s="48"/>
      <c r="T12" s="21">
        <f t="shared" si="4"/>
        <v>24600</v>
      </c>
      <c r="U12" s="53">
        <f>IF($J12="","",ROUND(($J12-$J$3)/1000,1)+(_xlfn.RANK.AVG($J12,($J12,$O12,$T12),1)-2)*10)</f>
        <v>-29.4</v>
      </c>
      <c r="V12" s="54">
        <f>IF($O12="","",ROUND(($O12-$O$3)/1000,1)+(_xlfn.RANK.AVG($O12,($J12,$O12,$T12),1)-2)*10)</f>
        <v>39.799999999999997</v>
      </c>
      <c r="W12" s="55">
        <f>IF($T12="","",ROUND(($T12-$T$3)/1000,1)+(_xlfn.RANK.AVG($T12,($J12,$O12,$T12),1)-2)*10)</f>
        <v>-10.4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2</v>
      </c>
      <c r="AY12" s="30">
        <v>40</v>
      </c>
      <c r="AZ12" s="40" t="s">
        <v>79</v>
      </c>
      <c r="BA12" s="41" t="s">
        <v>202</v>
      </c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2</v>
      </c>
      <c r="C13" s="18">
        <f t="shared" si="6"/>
        <v>4</v>
      </c>
      <c r="D13" s="18">
        <f t="shared" si="1"/>
        <v>0</v>
      </c>
      <c r="E13" s="4" t="s">
        <v>191</v>
      </c>
      <c r="F13" s="8" t="s">
        <v>204</v>
      </c>
      <c r="G13" s="9">
        <v>8000</v>
      </c>
      <c r="H13" s="9"/>
      <c r="I13" s="48">
        <v>4000</v>
      </c>
      <c r="J13" s="21">
        <f t="shared" si="2"/>
        <v>27600</v>
      </c>
      <c r="K13" s="8" t="s">
        <v>203</v>
      </c>
      <c r="L13" s="9">
        <v>-8000</v>
      </c>
      <c r="M13" s="9"/>
      <c r="N13" s="48">
        <v>-4000</v>
      </c>
      <c r="O13" s="21">
        <f t="shared" si="3"/>
        <v>52800</v>
      </c>
      <c r="P13" s="8"/>
      <c r="Q13" s="9"/>
      <c r="R13" s="9"/>
      <c r="S13" s="48"/>
      <c r="T13" s="21">
        <f t="shared" si="4"/>
        <v>24600</v>
      </c>
      <c r="U13" s="53">
        <f>IF($J13="","",ROUND(($J13-$J$3)/1000,1)+(_xlfn.RANK.AVG($J13,($J13,$O13,$T13),1)-2)*10)</f>
        <v>-7.4</v>
      </c>
      <c r="V13" s="54">
        <f>IF($O13="","",ROUND(($O13-$O$3)/1000,1)+(_xlfn.RANK.AVG($O13,($J13,$O13,$T13),1)-2)*10)</f>
        <v>27.8</v>
      </c>
      <c r="W13" s="55">
        <f>IF($T13="","",ROUND(($T13-$T$3)/1000,1)+(_xlfn.RANK.AVG($T13,($J13,$O13,$T13),1)-2)*10)</f>
        <v>-20.399999999999999</v>
      </c>
      <c r="Y13" s="8"/>
      <c r="Z13" s="34"/>
      <c r="AA13" s="26"/>
      <c r="AB13" s="26"/>
      <c r="AC13" s="26">
        <v>4</v>
      </c>
      <c r="AD13" s="30">
        <v>40</v>
      </c>
      <c r="AE13" s="40" t="s">
        <v>85</v>
      </c>
      <c r="AF13" s="41" t="s">
        <v>84</v>
      </c>
      <c r="AG13" s="41" t="s">
        <v>79</v>
      </c>
      <c r="AH13" s="41" t="s">
        <v>79</v>
      </c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">
        <v>195</v>
      </c>
      <c r="F14" s="8"/>
      <c r="G14" s="9"/>
      <c r="H14" s="9"/>
      <c r="I14" s="48"/>
      <c r="J14" s="21">
        <f t="shared" si="2"/>
        <v>27600</v>
      </c>
      <c r="K14" s="8" t="s">
        <v>203</v>
      </c>
      <c r="L14" s="9">
        <v>-12000</v>
      </c>
      <c r="M14" s="9"/>
      <c r="N14" s="48">
        <v>0</v>
      </c>
      <c r="O14" s="21">
        <f t="shared" si="3"/>
        <v>40800</v>
      </c>
      <c r="P14" s="8" t="s">
        <v>204</v>
      </c>
      <c r="Q14" s="9">
        <v>12000</v>
      </c>
      <c r="R14" s="9"/>
      <c r="S14" s="48">
        <v>0</v>
      </c>
      <c r="T14" s="21">
        <f t="shared" si="4"/>
        <v>36600</v>
      </c>
      <c r="U14" s="53">
        <f>IF($J14="","",ROUND(($J14-$J$3)/1000,1)+(_xlfn.RANK.AVG($J14,($J14,$O14,$T14),1)-2)*10)</f>
        <v>-17.399999999999999</v>
      </c>
      <c r="V14" s="54">
        <f>IF($O14="","",ROUND(($O14-$O$3)/1000,1)+(_xlfn.RANK.AVG($O14,($J14,$O14,$T14),1)-2)*10)</f>
        <v>15.8</v>
      </c>
      <c r="W14" s="55">
        <f>IF($T14="","",ROUND(($T14-$T$3)/1000,1)+(_xlfn.RANK.AVG($T14,($J14,$O14,$T14),1)-2)*10)</f>
        <v>1.6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>
        <v>1</v>
      </c>
      <c r="BR14" s="26"/>
      <c r="BS14" s="26">
        <v>4</v>
      </c>
      <c r="BT14" s="30">
        <v>50</v>
      </c>
      <c r="BU14" s="40" t="s">
        <v>202</v>
      </c>
      <c r="BV14" s="41" t="s">
        <v>84</v>
      </c>
      <c r="BW14" s="41" t="s">
        <v>80</v>
      </c>
      <c r="BX14" s="41" t="s">
        <v>80</v>
      </c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>南</v>
      </c>
      <c r="B15" s="18">
        <f t="shared" si="5"/>
        <v>3</v>
      </c>
      <c r="C15" s="18">
        <f t="shared" si="6"/>
        <v>1</v>
      </c>
      <c r="D15" s="18">
        <f t="shared" si="1"/>
        <v>0</v>
      </c>
      <c r="E15" s="4" t="s">
        <v>195</v>
      </c>
      <c r="F15" s="8" t="s">
        <v>203</v>
      </c>
      <c r="G15" s="9">
        <v>-1300</v>
      </c>
      <c r="H15" s="9"/>
      <c r="I15" s="48">
        <v>-1000</v>
      </c>
      <c r="J15" s="21">
        <f t="shared" si="2"/>
        <v>25300</v>
      </c>
      <c r="K15" s="8" t="s">
        <v>204</v>
      </c>
      <c r="L15" s="9">
        <v>1300</v>
      </c>
      <c r="M15" s="9"/>
      <c r="N15" s="48">
        <v>1000</v>
      </c>
      <c r="O15" s="21">
        <f t="shared" si="3"/>
        <v>43100</v>
      </c>
      <c r="P15" s="8"/>
      <c r="Q15" s="9"/>
      <c r="R15" s="9"/>
      <c r="S15" s="48"/>
      <c r="T15" s="21">
        <f t="shared" si="4"/>
        <v>36600</v>
      </c>
      <c r="U15" s="53">
        <f>IF($J15="","",ROUND(($J15-$J$3)/1000,1)+(_xlfn.RANK.AVG($J15,($J15,$O15,$T15),1)-2)*10)</f>
        <v>-19.7</v>
      </c>
      <c r="V15" s="54">
        <f>IF($O15="","",ROUND(($O15-$O$3)/1000,1)+(_xlfn.RANK.AVG($O15,($J15,$O15,$T15),1)-2)*10)</f>
        <v>18.100000000000001</v>
      </c>
      <c r="W15" s="55">
        <f>IF($T15="","",ROUND(($T15-$T$3)/1000,1)+(_xlfn.RANK.AVG($T15,($J15,$O15,$T15),1)-2)*10)</f>
        <v>1.6</v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>
        <v>1</v>
      </c>
      <c r="AW15" s="26"/>
      <c r="AX15" s="26">
        <v>1</v>
      </c>
      <c r="AY15" s="30">
        <v>40</v>
      </c>
      <c r="AZ15" s="40" t="s">
        <v>202</v>
      </c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>
        <v>1</v>
      </c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834FEA39-7C1C-46E7-853B-5BFD50EA3E12}">
      <formula1>$U$2:$W$2</formula1>
    </dataValidation>
    <dataValidation type="list" showInputMessage="1" showErrorMessage="1" sqref="K4:K30 P4:P30 F4:F30" xr:uid="{F33F6B27-6235-4B8D-B6EF-E967773943D5}">
      <formula1>"ロン,ツモ,放銃,ツモ支払,流局,チョンボ"</formula1>
    </dataValidation>
    <dataValidation type="list" allowBlank="1" showInputMessage="1" sqref="F1:T1" xr:uid="{2C6E8615-984E-471B-B5DC-71EA54F22360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2D974-45C2-4CD2-B42D-A70E361D8A8E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210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たかの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まっつん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たかの</v>
      </c>
      <c r="V2" s="69" t="str">
        <f>$K$1</f>
        <v>まっつん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204</v>
      </c>
      <c r="G4" s="9">
        <v>2600</v>
      </c>
      <c r="H4" s="9">
        <v>1000</v>
      </c>
      <c r="I4" s="48">
        <v>0</v>
      </c>
      <c r="J4" s="21">
        <f>IF(COUNTA($F4,$K4,$P4)&gt;0,J3+SUM(G4:I4),"")</f>
        <v>38600</v>
      </c>
      <c r="K4" s="8" t="s">
        <v>203</v>
      </c>
      <c r="L4" s="9">
        <v>-2600</v>
      </c>
      <c r="M4" s="9"/>
      <c r="N4" s="48">
        <v>0</v>
      </c>
      <c r="O4" s="21">
        <f>IF(COUNTA($F4,$K4,$P4)&gt;0,O3+SUM(L4:N4),"")</f>
        <v>32400</v>
      </c>
      <c r="P4" s="8"/>
      <c r="Q4" s="9"/>
      <c r="R4" s="9">
        <v>-1000</v>
      </c>
      <c r="S4" s="48"/>
      <c r="T4" s="21">
        <f>IF(COUNTA($F4,$K4,$P4)&gt;0,T3+SUM(Q4:S4),"")</f>
        <v>34000</v>
      </c>
      <c r="U4" s="53">
        <f>IF($J4="","",ROUND(($J4-$J$3)/1000,1)+(_xlfn.RANK.AVG($J4,($J4,$O4,$T4),1)-2)*10)</f>
        <v>13.6</v>
      </c>
      <c r="V4" s="54">
        <f>IF($O4="","",ROUND(($O4-$O$3)/1000,1)+(_xlfn.RANK.AVG($O4,($J4,$O4,$T4),1)-2)*10)</f>
        <v>-12.6</v>
      </c>
      <c r="W4" s="55">
        <f>IF($T4="","",ROUND(($T4-$T$3)/1000,1)+(_xlfn.RANK.AVG($T4,($J4,$O4,$T4),1)-2)*10)</f>
        <v>-1</v>
      </c>
      <c r="Y4" s="8"/>
      <c r="Z4" s="34"/>
      <c r="AA4" s="26">
        <v>1</v>
      </c>
      <c r="AB4" s="26"/>
      <c r="AC4" s="26">
        <v>2</v>
      </c>
      <c r="AD4" s="30">
        <v>40</v>
      </c>
      <c r="AE4" s="40" t="s">
        <v>202</v>
      </c>
      <c r="AF4" s="41" t="s">
        <v>86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209</v>
      </c>
      <c r="F5" s="8" t="s">
        <v>197</v>
      </c>
      <c r="G5" s="9">
        <v>-7500</v>
      </c>
      <c r="H5" s="9"/>
      <c r="I5" s="48">
        <v>0</v>
      </c>
      <c r="J5" s="21">
        <f t="shared" ref="J5:J30" si="2">IF(COUNTA($F5,$K5,$P5)&gt;0,J4+SUM(G5:I5),"")</f>
        <v>31100</v>
      </c>
      <c r="K5" s="8" t="s">
        <v>197</v>
      </c>
      <c r="L5" s="9">
        <v>-4500</v>
      </c>
      <c r="M5" s="9"/>
      <c r="N5" s="48">
        <v>0</v>
      </c>
      <c r="O5" s="21">
        <f t="shared" ref="O5:O30" si="3">IF(COUNTA($F5,$K5,$P5)&gt;0,O4+SUM(L5:N5),"")</f>
        <v>27900</v>
      </c>
      <c r="P5" s="8" t="s">
        <v>198</v>
      </c>
      <c r="Q5" s="9">
        <v>12000</v>
      </c>
      <c r="R5" s="9"/>
      <c r="S5" s="48">
        <v>0</v>
      </c>
      <c r="T5" s="21">
        <f t="shared" ref="T5:T30" si="4">IF(COUNTA($F5,$K5,$P5)&gt;0,T4+SUM(Q5:S5),"")</f>
        <v>46000</v>
      </c>
      <c r="U5" s="53">
        <f>IF($J5="","",ROUND(($J5-$J$3)/1000,1)+(_xlfn.RANK.AVG($J5,($J5,$O5,$T5),1)-2)*10)</f>
        <v>-3.9</v>
      </c>
      <c r="V5" s="54">
        <f>IF($O5="","",ROUND(($O5-$O$3)/1000,1)+(_xlfn.RANK.AVG($O5,($J5,$O5,$T5),1)-2)*10)</f>
        <v>-17.100000000000001</v>
      </c>
      <c r="W5" s="55">
        <f>IF($T5="","",ROUND(($T5-$T$3)/1000,1)+(_xlfn.RANK.AVG($T5,($J5,$O5,$T5),1)-2)*10)</f>
        <v>21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6</v>
      </c>
      <c r="BT5" s="30" t="s">
        <v>199</v>
      </c>
      <c r="BU5" s="40" t="s">
        <v>202</v>
      </c>
      <c r="BV5" s="41" t="s">
        <v>82</v>
      </c>
      <c r="BW5" s="41" t="s">
        <v>83</v>
      </c>
      <c r="BX5" s="41" t="s">
        <v>79</v>
      </c>
      <c r="BY5" s="41" t="s">
        <v>80</v>
      </c>
      <c r="BZ5" s="41" t="s">
        <v>201</v>
      </c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197</v>
      </c>
      <c r="G6" s="9">
        <v>-9000</v>
      </c>
      <c r="H6" s="9"/>
      <c r="I6" s="48">
        <v>0</v>
      </c>
      <c r="J6" s="21">
        <f t="shared" si="2"/>
        <v>22100</v>
      </c>
      <c r="K6" s="8" t="s">
        <v>198</v>
      </c>
      <c r="L6" s="9">
        <v>18000</v>
      </c>
      <c r="M6" s="9">
        <v>1000</v>
      </c>
      <c r="N6" s="48">
        <v>0</v>
      </c>
      <c r="O6" s="21">
        <f t="shared" si="3"/>
        <v>46900</v>
      </c>
      <c r="P6" s="8" t="s">
        <v>197</v>
      </c>
      <c r="Q6" s="9">
        <v>-9000</v>
      </c>
      <c r="R6" s="9">
        <v>-1000</v>
      </c>
      <c r="S6" s="48">
        <v>0</v>
      </c>
      <c r="T6" s="21">
        <f t="shared" si="4"/>
        <v>36000</v>
      </c>
      <c r="U6" s="53">
        <f>IF($J6="","",ROUND(($J6-$J$3)/1000,1)+(_xlfn.RANK.AVG($J6,($J6,$O6,$T6),1)-2)*10)</f>
        <v>-22.9</v>
      </c>
      <c r="V6" s="54">
        <f>IF($O6="","",ROUND(($O6-$O$3)/1000,1)+(_xlfn.RANK.AVG($O6,($J6,$O6,$T6),1)-2)*10)</f>
        <v>21.9</v>
      </c>
      <c r="W6" s="55">
        <f>IF($T6="","",ROUND(($T6-$T$3)/1000,1)+(_xlfn.RANK.AVG($T6,($J6,$O6,$T6),1)-2)*10)</f>
        <v>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6</v>
      </c>
      <c r="AY6" s="30" t="s">
        <v>199</v>
      </c>
      <c r="AZ6" s="40" t="s">
        <v>202</v>
      </c>
      <c r="BA6" s="41" t="s">
        <v>82</v>
      </c>
      <c r="BB6" s="41" t="s">
        <v>79</v>
      </c>
      <c r="BC6" s="41" t="s">
        <v>79</v>
      </c>
      <c r="BD6" s="41" t="s">
        <v>79</v>
      </c>
      <c r="BE6" s="41" t="s">
        <v>201</v>
      </c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191</v>
      </c>
      <c r="F7" s="8"/>
      <c r="G7" s="9"/>
      <c r="H7" s="9"/>
      <c r="I7" s="48"/>
      <c r="J7" s="21">
        <f t="shared" si="2"/>
        <v>22100</v>
      </c>
      <c r="K7" s="8" t="s">
        <v>204</v>
      </c>
      <c r="L7" s="9">
        <v>11600</v>
      </c>
      <c r="M7" s="9"/>
      <c r="N7" s="48">
        <v>1000</v>
      </c>
      <c r="O7" s="21">
        <f t="shared" si="3"/>
        <v>59500</v>
      </c>
      <c r="P7" s="8" t="s">
        <v>203</v>
      </c>
      <c r="Q7" s="9">
        <v>-11600</v>
      </c>
      <c r="R7" s="9"/>
      <c r="S7" s="48">
        <v>-1000</v>
      </c>
      <c r="T7" s="21">
        <f t="shared" si="4"/>
        <v>23400</v>
      </c>
      <c r="U7" s="53">
        <f>IF($J7="","",ROUND(($J7-$J$3)/1000,1)+(_xlfn.RANK.AVG($J7,($J7,$O7,$T7),1)-2)*10)</f>
        <v>-22.9</v>
      </c>
      <c r="V7" s="54">
        <f>IF($O7="","",ROUND(($O7-$O$3)/1000,1)+(_xlfn.RANK.AVG($O7,($J7,$O7,$T7),1)-2)*10)</f>
        <v>34.5</v>
      </c>
      <c r="W7" s="55">
        <f>IF($T7="","",ROUND(($T7-$T$3)/1000,1)+(_xlfn.RANK.AVG($T7,($J7,$O7,$T7),1)-2)*10)</f>
        <v>-11.6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4</v>
      </c>
      <c r="AY7" s="30">
        <v>30</v>
      </c>
      <c r="AZ7" s="40" t="s">
        <v>202</v>
      </c>
      <c r="BA7" s="41" t="s">
        <v>83</v>
      </c>
      <c r="BB7" s="41" t="s">
        <v>201</v>
      </c>
      <c r="BC7" s="41" t="s">
        <v>79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">
        <v>191</v>
      </c>
      <c r="F8" s="8" t="s">
        <v>197</v>
      </c>
      <c r="G8" s="9">
        <v>-9000</v>
      </c>
      <c r="H8" s="9"/>
      <c r="I8" s="48">
        <v>-1000</v>
      </c>
      <c r="J8" s="21">
        <f t="shared" si="2"/>
        <v>12100</v>
      </c>
      <c r="K8" s="8" t="s">
        <v>198</v>
      </c>
      <c r="L8" s="9">
        <v>18000</v>
      </c>
      <c r="M8" s="9"/>
      <c r="N8" s="48">
        <v>2000</v>
      </c>
      <c r="O8" s="21">
        <f t="shared" si="3"/>
        <v>79500</v>
      </c>
      <c r="P8" s="8" t="s">
        <v>197</v>
      </c>
      <c r="Q8" s="9">
        <v>-9000</v>
      </c>
      <c r="R8" s="9"/>
      <c r="S8" s="48">
        <v>-1000</v>
      </c>
      <c r="T8" s="21">
        <f t="shared" si="4"/>
        <v>13400</v>
      </c>
      <c r="U8" s="53">
        <f>IF($J8="","",ROUND(($J8-$J$3)/1000,1)+(_xlfn.RANK.AVG($J8,($J8,$O8,$T8),1)-2)*10)</f>
        <v>-32.9</v>
      </c>
      <c r="V8" s="54">
        <f>IF($O8="","",ROUND(($O8-$O$3)/1000,1)+(_xlfn.RANK.AVG($O8,($J8,$O8,$T8),1)-2)*10)</f>
        <v>54.5</v>
      </c>
      <c r="W8" s="55">
        <f>IF($T8="","",ROUND(($T8-$T$3)/1000,1)+(_xlfn.RANK.AVG($T8,($J8,$O8,$T8),1)-2)*10)</f>
        <v>-21.6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6</v>
      </c>
      <c r="AY8" s="30" t="s">
        <v>199</v>
      </c>
      <c r="AZ8" s="40" t="s">
        <v>82</v>
      </c>
      <c r="BA8" s="41" t="s">
        <v>202</v>
      </c>
      <c r="BB8" s="41" t="s">
        <v>79</v>
      </c>
      <c r="BC8" s="41" t="s">
        <v>79</v>
      </c>
      <c r="BD8" s="41" t="s">
        <v>79</v>
      </c>
      <c r="BE8" s="41" t="s">
        <v>80</v>
      </c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3</v>
      </c>
      <c r="D9" s="18">
        <f t="shared" si="1"/>
        <v>0</v>
      </c>
      <c r="E9" s="4" t="s">
        <v>191</v>
      </c>
      <c r="F9" s="8" t="s">
        <v>203</v>
      </c>
      <c r="G9" s="9">
        <v>-2900</v>
      </c>
      <c r="H9" s="9"/>
      <c r="I9" s="48">
        <v>-3000</v>
      </c>
      <c r="J9" s="21">
        <f t="shared" si="2"/>
        <v>6200</v>
      </c>
      <c r="K9" s="8" t="s">
        <v>204</v>
      </c>
      <c r="L9" s="9">
        <v>2900</v>
      </c>
      <c r="M9" s="9"/>
      <c r="N9" s="48">
        <v>3000</v>
      </c>
      <c r="O9" s="21">
        <f t="shared" si="3"/>
        <v>85400</v>
      </c>
      <c r="P9" s="8"/>
      <c r="Q9" s="9"/>
      <c r="R9" s="9"/>
      <c r="S9" s="48"/>
      <c r="T9" s="21">
        <f t="shared" si="4"/>
        <v>13400</v>
      </c>
      <c r="U9" s="53">
        <f>IF($J9="","",ROUND(($J9-$J$3)/1000,1)+(_xlfn.RANK.AVG($J9,($J9,$O9,$T9),1)-2)*10)</f>
        <v>-38.799999999999997</v>
      </c>
      <c r="V9" s="54">
        <f>IF($O9="","",ROUND(($O9-$O$3)/1000,1)+(_xlfn.RANK.AVG($O9,($J9,$O9,$T9),1)-2)*10)</f>
        <v>60.4</v>
      </c>
      <c r="W9" s="55">
        <f>IF($T9="","",ROUND(($T9-$T$3)/1000,1)+(_xlfn.RANK.AVG($T9,($J9,$O9,$T9),1)-2)*10)</f>
        <v>-21.6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2</v>
      </c>
      <c r="AY9" s="30">
        <v>30</v>
      </c>
      <c r="AZ9" s="40" t="s">
        <v>86</v>
      </c>
      <c r="BA9" s="41" t="s">
        <v>86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3</v>
      </c>
      <c r="C10" s="18">
        <f t="shared" si="6"/>
        <v>4</v>
      </c>
      <c r="D10" s="18">
        <f t="shared" si="1"/>
        <v>0</v>
      </c>
      <c r="E10" s="4" t="s">
        <v>191</v>
      </c>
      <c r="F10" s="8" t="s">
        <v>197</v>
      </c>
      <c r="G10" s="9">
        <v>-6000</v>
      </c>
      <c r="H10" s="9"/>
      <c r="I10" s="48">
        <v>-2000</v>
      </c>
      <c r="J10" s="21">
        <f t="shared" si="2"/>
        <v>-1800</v>
      </c>
      <c r="K10" s="8" t="s">
        <v>198</v>
      </c>
      <c r="L10" s="9">
        <v>12000</v>
      </c>
      <c r="M10" s="9"/>
      <c r="N10" s="48">
        <v>4000</v>
      </c>
      <c r="O10" s="21">
        <f t="shared" si="3"/>
        <v>101400</v>
      </c>
      <c r="P10" s="8" t="s">
        <v>197</v>
      </c>
      <c r="Q10" s="9">
        <v>-6000</v>
      </c>
      <c r="R10" s="9"/>
      <c r="S10" s="48">
        <v>-2000</v>
      </c>
      <c r="T10" s="21">
        <f t="shared" si="4"/>
        <v>5400</v>
      </c>
      <c r="U10" s="53">
        <f>IF($J10="","",ROUND(($J10-$J$3)/1000,1)+(_xlfn.RANK.AVG($J10,($J10,$O10,$T10),1)-2)*10)</f>
        <v>-46.8</v>
      </c>
      <c r="V10" s="54">
        <f>IF($O10="","",ROUND(($O10-$O$3)/1000,1)+(_xlfn.RANK.AVG($O10,($J10,$O10,$T10),1)-2)*10)</f>
        <v>76.400000000000006</v>
      </c>
      <c r="W10" s="55">
        <f>IF($T10="","",ROUND(($T10-$T$3)/1000,1)+(_xlfn.RANK.AVG($T10,($J10,$O10,$T10),1)-2)*10)</f>
        <v>-29.6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5</v>
      </c>
      <c r="AY10" s="30" t="s">
        <v>199</v>
      </c>
      <c r="AZ10" s="40" t="s">
        <v>202</v>
      </c>
      <c r="BA10" s="41" t="s">
        <v>82</v>
      </c>
      <c r="BB10" s="41" t="s">
        <v>208</v>
      </c>
      <c r="BC10" s="41" t="s">
        <v>96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FA5C648A-7972-4139-A201-A3A8A7B20DBC}">
      <formula1>"たかの,だいち,ただ,りくと,れんたろう,まっつん,のり,ぱぱ,ほたに,いっしー,"</formula1>
    </dataValidation>
    <dataValidation type="list" showInputMessage="1" showErrorMessage="1" sqref="K4:K30 P4:P30 F4:F30" xr:uid="{A0CDC6B3-F2FB-49E3-BA95-1F0B1C023AFA}">
      <formula1>"ロン,ツモ,放銃,ツモ支払,流局,チョンボ"</formula1>
    </dataValidation>
    <dataValidation type="list" allowBlank="1" showInputMessage="1" showErrorMessage="1" sqref="E4:E30" xr:uid="{A7F54949-B850-4467-8EEA-E4615AE9338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D971C-AA22-4361-9733-F60246E7C346}">
  <sheetPr codeName="Sheet14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210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たかの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まっつん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たかの</v>
      </c>
      <c r="V2" s="69" t="str">
        <f>$K$1</f>
        <v>まっつん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204</v>
      </c>
      <c r="G4" s="9">
        <v>7700</v>
      </c>
      <c r="H4" s="9"/>
      <c r="I4" s="48">
        <v>0</v>
      </c>
      <c r="J4" s="21">
        <f>IF(COUNTA($F4,$K4,$P4)&gt;0,J3+SUM(G4:I4),"")</f>
        <v>42700</v>
      </c>
      <c r="K4" s="8"/>
      <c r="L4" s="9"/>
      <c r="M4" s="9"/>
      <c r="N4" s="48"/>
      <c r="O4" s="21">
        <f>IF(COUNTA($F4,$K4,$P4)&gt;0,O3+SUM(L4:N4),"")</f>
        <v>35000</v>
      </c>
      <c r="P4" s="8" t="s">
        <v>203</v>
      </c>
      <c r="Q4" s="9">
        <v>-7700</v>
      </c>
      <c r="R4" s="9"/>
      <c r="S4" s="48">
        <v>0</v>
      </c>
      <c r="T4" s="21">
        <f>IF(COUNTA($F4,$K4,$P4)&gt;0,T3+SUM(Q4:S4),"")</f>
        <v>27300</v>
      </c>
      <c r="U4" s="53">
        <f>IF($J4="","",ROUND(($J4-$J$3)/1000,1)+(_xlfn.RANK.AVG($J4,($J4,$O4,$T4),1)-2)*10)</f>
        <v>17.7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-17.7</v>
      </c>
      <c r="Y4" s="8"/>
      <c r="Z4" s="34"/>
      <c r="AA4" s="26"/>
      <c r="AB4" s="26">
        <v>1</v>
      </c>
      <c r="AC4" s="26">
        <v>4</v>
      </c>
      <c r="AD4" s="30">
        <v>30</v>
      </c>
      <c r="AE4" s="40" t="s">
        <v>86</v>
      </c>
      <c r="AF4" s="41" t="s">
        <v>201</v>
      </c>
      <c r="AG4" s="41" t="s">
        <v>201</v>
      </c>
      <c r="AH4" s="41" t="s">
        <v>79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197</v>
      </c>
      <c r="G5" s="9">
        <v>-9000</v>
      </c>
      <c r="H5" s="9"/>
      <c r="I5" s="48">
        <v>0</v>
      </c>
      <c r="J5" s="21">
        <f t="shared" ref="J5:J30" si="2">IF(COUNTA($F5,$K5,$P5)&gt;0,J4+SUM(G5:I5),"")</f>
        <v>33700</v>
      </c>
      <c r="K5" s="8" t="s">
        <v>197</v>
      </c>
      <c r="L5" s="9">
        <v>-9000</v>
      </c>
      <c r="M5" s="9"/>
      <c r="N5" s="48">
        <v>0</v>
      </c>
      <c r="O5" s="21">
        <f t="shared" ref="O5:O30" si="3">IF(COUNTA($F5,$K5,$P5)&gt;0,O4+SUM(L5:N5),"")</f>
        <v>26000</v>
      </c>
      <c r="P5" s="8" t="s">
        <v>198</v>
      </c>
      <c r="Q5" s="9">
        <v>18000</v>
      </c>
      <c r="R5" s="9"/>
      <c r="S5" s="48">
        <v>0</v>
      </c>
      <c r="T5" s="21">
        <f t="shared" ref="T5:T30" si="4">IF(COUNTA($F5,$K5,$P5)&gt;0,T4+SUM(Q5:S5),"")</f>
        <v>45300</v>
      </c>
      <c r="U5" s="53">
        <f>IF($J5="","",ROUND(($J5-$J$3)/1000,1)+(_xlfn.RANK.AVG($J5,($J5,$O5,$T5),1)-2)*10)</f>
        <v>-1.3</v>
      </c>
      <c r="V5" s="54">
        <f>IF($O5="","",ROUND(($O5-$O$3)/1000,1)+(_xlfn.RANK.AVG($O5,($J5,$O5,$T5),1)-2)*10)</f>
        <v>-19</v>
      </c>
      <c r="W5" s="55">
        <f>IF($T5="","",ROUND(($T5-$T$3)/1000,1)+(_xlfn.RANK.AVG($T5,($J5,$O5,$T5),1)-2)*10)</f>
        <v>20.3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7</v>
      </c>
      <c r="BT5" s="30" t="s">
        <v>199</v>
      </c>
      <c r="BU5" s="40" t="s">
        <v>87</v>
      </c>
      <c r="BV5" s="41" t="s">
        <v>201</v>
      </c>
      <c r="BW5" s="41" t="s">
        <v>106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195</v>
      </c>
      <c r="F6" s="8" t="s">
        <v>197</v>
      </c>
      <c r="G6" s="9">
        <v>-12000</v>
      </c>
      <c r="H6" s="9"/>
      <c r="I6" s="48">
        <v>-500</v>
      </c>
      <c r="J6" s="21">
        <f t="shared" si="2"/>
        <v>21200</v>
      </c>
      <c r="K6" s="8" t="s">
        <v>197</v>
      </c>
      <c r="L6" s="9">
        <v>-12000</v>
      </c>
      <c r="M6" s="9">
        <v>-1000</v>
      </c>
      <c r="N6" s="48">
        <v>-500</v>
      </c>
      <c r="O6" s="21">
        <f t="shared" si="3"/>
        <v>12500</v>
      </c>
      <c r="P6" s="8" t="s">
        <v>198</v>
      </c>
      <c r="Q6" s="9">
        <v>24000</v>
      </c>
      <c r="R6" s="9">
        <v>1000</v>
      </c>
      <c r="S6" s="48">
        <v>1000</v>
      </c>
      <c r="T6" s="21">
        <f t="shared" si="4"/>
        <v>71300</v>
      </c>
      <c r="U6" s="53">
        <f>IF($J6="","",ROUND(($J6-$J$3)/1000,1)+(_xlfn.RANK.AVG($J6,($J6,$O6,$T6),1)-2)*10)</f>
        <v>-13.8</v>
      </c>
      <c r="V6" s="54">
        <f>IF($O6="","",ROUND(($O6-$O$3)/1000,1)+(_xlfn.RANK.AVG($O6,($J6,$O6,$T6),1)-2)*10)</f>
        <v>-32.5</v>
      </c>
      <c r="W6" s="55">
        <f>IF($T6="","",ROUND(($T6-$T$3)/1000,1)+(_xlfn.RANK.AVG($T6,($J6,$O6,$T6),1)-2)*10)</f>
        <v>46.3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8</v>
      </c>
      <c r="BT6" s="30" t="s">
        <v>199</v>
      </c>
      <c r="BU6" s="40" t="s">
        <v>202</v>
      </c>
      <c r="BV6" s="41" t="s">
        <v>82</v>
      </c>
      <c r="BW6" s="41" t="s">
        <v>104</v>
      </c>
      <c r="BX6" s="41" t="s">
        <v>86</v>
      </c>
      <c r="BY6" s="41" t="s">
        <v>86</v>
      </c>
      <c r="BZ6" s="41" t="s">
        <v>201</v>
      </c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195</v>
      </c>
      <c r="F7" s="8" t="s">
        <v>211</v>
      </c>
      <c r="G7" s="9">
        <v>1500</v>
      </c>
      <c r="H7" s="9"/>
      <c r="I7" s="48"/>
      <c r="J7" s="21">
        <f t="shared" si="2"/>
        <v>22700</v>
      </c>
      <c r="K7" s="8" t="s">
        <v>211</v>
      </c>
      <c r="L7" s="9">
        <v>1500</v>
      </c>
      <c r="M7" s="9">
        <v>-1000</v>
      </c>
      <c r="N7" s="48"/>
      <c r="O7" s="21">
        <f t="shared" si="3"/>
        <v>13000</v>
      </c>
      <c r="P7" s="8" t="s">
        <v>211</v>
      </c>
      <c r="Q7" s="9">
        <v>-3000</v>
      </c>
      <c r="R7" s="9"/>
      <c r="S7" s="48"/>
      <c r="T7" s="21">
        <f t="shared" si="4"/>
        <v>68300</v>
      </c>
      <c r="U7" s="53">
        <f>IF($J7="","",ROUND(($J7-$J$3)/1000,1)+(_xlfn.RANK.AVG($J7,($J7,$O7,$T7),1)-2)*10)</f>
        <v>-12.3</v>
      </c>
      <c r="V7" s="54">
        <f>IF($O7="","",ROUND(($O7-$O$3)/1000,1)+(_xlfn.RANK.AVG($O7,($J7,$O7,$T7),1)-2)*10)</f>
        <v>-32</v>
      </c>
      <c r="W7" s="55">
        <f>IF($T7="","",ROUND(($T7-$T$3)/1000,1)+(_xlfn.RANK.AVG($T7,($J7,$O7,$T7),1)-2)*10)</f>
        <v>43.3</v>
      </c>
      <c r="Y7" s="8" t="s">
        <v>206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206</v>
      </c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205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3</v>
      </c>
      <c r="D8" s="18">
        <f t="shared" si="1"/>
        <v>1</v>
      </c>
      <c r="E8" s="4" t="s">
        <v>209</v>
      </c>
      <c r="F8" s="8" t="s">
        <v>204</v>
      </c>
      <c r="G8" s="9">
        <v>12000</v>
      </c>
      <c r="H8" s="9">
        <v>1000</v>
      </c>
      <c r="I8" s="48">
        <v>3000</v>
      </c>
      <c r="J8" s="21">
        <f t="shared" si="2"/>
        <v>38700</v>
      </c>
      <c r="K8" s="8"/>
      <c r="L8" s="9"/>
      <c r="M8" s="9"/>
      <c r="N8" s="48"/>
      <c r="O8" s="21">
        <f t="shared" si="3"/>
        <v>13000</v>
      </c>
      <c r="P8" s="8" t="s">
        <v>203</v>
      </c>
      <c r="Q8" s="9">
        <v>-12000</v>
      </c>
      <c r="R8" s="9"/>
      <c r="S8" s="48">
        <v>-3000</v>
      </c>
      <c r="T8" s="21">
        <f t="shared" si="4"/>
        <v>53300</v>
      </c>
      <c r="U8" s="53">
        <f>IF($J8="","",ROUND(($J8-$J$3)/1000,1)+(_xlfn.RANK.AVG($J8,($J8,$O8,$T8),1)-2)*10)</f>
        <v>3.7</v>
      </c>
      <c r="V8" s="54">
        <f>IF($O8="","",ROUND(($O8-$O$3)/1000,1)+(_xlfn.RANK.AVG($O8,($J8,$O8,$T8),1)-2)*10)</f>
        <v>-32</v>
      </c>
      <c r="W8" s="55">
        <f>IF($T8="","",ROUND(($T8-$T$3)/1000,1)+(_xlfn.RANK.AVG($T8,($J8,$O8,$T8),1)-2)*10)</f>
        <v>28.3</v>
      </c>
      <c r="Y8" s="8"/>
      <c r="Z8" s="34"/>
      <c r="AA8" s="26"/>
      <c r="AB8" s="26">
        <v>1</v>
      </c>
      <c r="AC8" s="26">
        <v>5</v>
      </c>
      <c r="AD8" s="30" t="s">
        <v>199</v>
      </c>
      <c r="AE8" s="40" t="s">
        <v>86</v>
      </c>
      <c r="AF8" s="41" t="s">
        <v>86</v>
      </c>
      <c r="AG8" s="41" t="s">
        <v>79</v>
      </c>
      <c r="AH8" s="41" t="s">
        <v>79</v>
      </c>
      <c r="AI8" s="41" t="s">
        <v>93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4</v>
      </c>
      <c r="D9" s="18">
        <f t="shared" si="1"/>
        <v>0</v>
      </c>
      <c r="E9" s="4" t="s">
        <v>209</v>
      </c>
      <c r="F9" s="8" t="s">
        <v>198</v>
      </c>
      <c r="G9" s="9">
        <v>18000</v>
      </c>
      <c r="H9" s="9"/>
      <c r="I9" s="48">
        <v>4000</v>
      </c>
      <c r="J9" s="21">
        <f t="shared" si="2"/>
        <v>60700</v>
      </c>
      <c r="K9" s="8" t="s">
        <v>197</v>
      </c>
      <c r="L9" s="9">
        <v>-9000</v>
      </c>
      <c r="M9" s="9"/>
      <c r="N9" s="48">
        <v>-2000</v>
      </c>
      <c r="O9" s="21">
        <f t="shared" si="3"/>
        <v>2000</v>
      </c>
      <c r="P9" s="8" t="s">
        <v>197</v>
      </c>
      <c r="Q9" s="9">
        <v>-9000</v>
      </c>
      <c r="R9" s="9"/>
      <c r="S9" s="48">
        <v>-2000</v>
      </c>
      <c r="T9" s="21">
        <f t="shared" si="4"/>
        <v>42300</v>
      </c>
      <c r="U9" s="53">
        <f>IF($J9="","",ROUND(($J9-$J$3)/1000,1)+(_xlfn.RANK.AVG($J9,($J9,$O9,$T9),1)-2)*10)</f>
        <v>35.700000000000003</v>
      </c>
      <c r="V9" s="54">
        <f>IF($O9="","",ROUND(($O9-$O$3)/1000,1)+(_xlfn.RANK.AVG($O9,($J9,$O9,$T9),1)-2)*10)</f>
        <v>-43</v>
      </c>
      <c r="W9" s="55">
        <f>IF($T9="","",ROUND(($T9-$T$3)/1000,1)+(_xlfn.RANK.AVG($T9,($J9,$O9,$T9),1)-2)*10)</f>
        <v>7.3</v>
      </c>
      <c r="Y9" s="8"/>
      <c r="Z9" s="34"/>
      <c r="AA9" s="26"/>
      <c r="AB9" s="26"/>
      <c r="AC9" s="26">
        <v>6</v>
      </c>
      <c r="AD9" s="30" t="s">
        <v>199</v>
      </c>
      <c r="AE9" s="40" t="s">
        <v>82</v>
      </c>
      <c r="AF9" s="41" t="s">
        <v>83</v>
      </c>
      <c r="AG9" s="41" t="s">
        <v>85</v>
      </c>
      <c r="AH9" s="41" t="s">
        <v>201</v>
      </c>
      <c r="AI9" s="41" t="s">
        <v>201</v>
      </c>
      <c r="AJ9" s="41" t="s">
        <v>79</v>
      </c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3</v>
      </c>
      <c r="C10" s="18">
        <f t="shared" si="6"/>
        <v>5</v>
      </c>
      <c r="D10" s="18">
        <f t="shared" si="1"/>
        <v>0</v>
      </c>
      <c r="E10" s="4" t="s">
        <v>209</v>
      </c>
      <c r="F10" s="8" t="s">
        <v>203</v>
      </c>
      <c r="G10" s="9">
        <v>-2600</v>
      </c>
      <c r="H10" s="9"/>
      <c r="I10" s="48">
        <v>-5000</v>
      </c>
      <c r="J10" s="21">
        <f t="shared" si="2"/>
        <v>53100</v>
      </c>
      <c r="K10" s="8" t="s">
        <v>204</v>
      </c>
      <c r="L10" s="9">
        <v>2600</v>
      </c>
      <c r="M10" s="9"/>
      <c r="N10" s="48">
        <v>5000</v>
      </c>
      <c r="O10" s="21">
        <f t="shared" si="3"/>
        <v>9600</v>
      </c>
      <c r="P10" s="8"/>
      <c r="Q10" s="9"/>
      <c r="R10" s="9"/>
      <c r="S10" s="48"/>
      <c r="T10" s="21">
        <f t="shared" si="4"/>
        <v>42300</v>
      </c>
      <c r="U10" s="53">
        <f>IF($J10="","",ROUND(($J10-$J$3)/1000,1)+(_xlfn.RANK.AVG($J10,($J10,$O10,$T10),1)-2)*10)</f>
        <v>28.1</v>
      </c>
      <c r="V10" s="54">
        <f>IF($O10="","",ROUND(($O10-$O$3)/1000,1)+(_xlfn.RANK.AVG($O10,($J10,$O10,$T10),1)-2)*10)</f>
        <v>-35.4</v>
      </c>
      <c r="W10" s="55">
        <f>IF($T10="","",ROUND(($T10-$T$3)/1000,1)+(_xlfn.RANK.AVG($T10,($J10,$O10,$T10),1)-2)*10)</f>
        <v>7.3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2</v>
      </c>
      <c r="AY10" s="30">
        <v>40</v>
      </c>
      <c r="AZ10" s="40" t="s">
        <v>202</v>
      </c>
      <c r="BA10" s="41" t="s">
        <v>79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191</v>
      </c>
      <c r="F11" s="8" t="s">
        <v>204</v>
      </c>
      <c r="G11" s="9">
        <v>6400</v>
      </c>
      <c r="H11" s="9"/>
      <c r="I11" s="48">
        <v>0</v>
      </c>
      <c r="J11" s="21">
        <f t="shared" si="2"/>
        <v>59500</v>
      </c>
      <c r="K11" s="8"/>
      <c r="L11" s="9"/>
      <c r="M11" s="9"/>
      <c r="N11" s="48"/>
      <c r="O11" s="21">
        <f t="shared" si="3"/>
        <v>9600</v>
      </c>
      <c r="P11" s="8" t="s">
        <v>203</v>
      </c>
      <c r="Q11" s="9">
        <v>-6400</v>
      </c>
      <c r="R11" s="9"/>
      <c r="S11" s="48">
        <v>0</v>
      </c>
      <c r="T11" s="21">
        <f t="shared" si="4"/>
        <v>35900</v>
      </c>
      <c r="U11" s="53">
        <f>IF($J11="","",ROUND(($J11-$J$3)/1000,1)+(_xlfn.RANK.AVG($J11,($J11,$O11,$T11),1)-2)*10)</f>
        <v>34.5</v>
      </c>
      <c r="V11" s="54">
        <f>IF($O11="","",ROUND(($O11-$O$3)/1000,1)+(_xlfn.RANK.AVG($O11,($J11,$O11,$T11),1)-2)*10)</f>
        <v>-35.4</v>
      </c>
      <c r="W11" s="55">
        <f>IF($T11="","",ROUND(($T11-$T$3)/1000,1)+(_xlfn.RANK.AVG($T11,($J11,$O11,$T11),1)-2)*10)</f>
        <v>0.9</v>
      </c>
      <c r="Y11" s="8"/>
      <c r="Z11" s="34"/>
      <c r="AA11" s="26"/>
      <c r="AB11" s="26"/>
      <c r="AC11" s="26">
        <v>4</v>
      </c>
      <c r="AD11" s="30">
        <v>25</v>
      </c>
      <c r="AE11" s="40" t="s">
        <v>101</v>
      </c>
      <c r="AF11" s="41" t="s">
        <v>201</v>
      </c>
      <c r="AG11" s="41" t="s">
        <v>201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195</v>
      </c>
      <c r="F12" s="8" t="s">
        <v>198</v>
      </c>
      <c r="G12" s="9">
        <v>5300</v>
      </c>
      <c r="H12" s="9"/>
      <c r="I12" s="48">
        <v>0</v>
      </c>
      <c r="J12" s="21">
        <f t="shared" si="2"/>
        <v>64800</v>
      </c>
      <c r="K12" s="8" t="s">
        <v>197</v>
      </c>
      <c r="L12" s="9">
        <v>-2000</v>
      </c>
      <c r="M12" s="9"/>
      <c r="N12" s="48">
        <v>0</v>
      </c>
      <c r="O12" s="21">
        <f t="shared" si="3"/>
        <v>7600</v>
      </c>
      <c r="P12" s="8" t="s">
        <v>197</v>
      </c>
      <c r="Q12" s="9">
        <v>-3300</v>
      </c>
      <c r="R12" s="9"/>
      <c r="S12" s="48">
        <v>0</v>
      </c>
      <c r="T12" s="21">
        <f t="shared" si="4"/>
        <v>32600</v>
      </c>
      <c r="U12" s="53">
        <f>IF($J12="","",ROUND(($J12-$J$3)/1000,1)+(_xlfn.RANK.AVG($J12,($J12,$O12,$T12),1)-2)*10)</f>
        <v>39.799999999999997</v>
      </c>
      <c r="V12" s="54">
        <f>IF($O12="","",ROUND(($O12-$O$3)/1000,1)+(_xlfn.RANK.AVG($O12,($J12,$O12,$T12),1)-2)*10)</f>
        <v>-37.4</v>
      </c>
      <c r="W12" s="55">
        <f>IF($T12="","",ROUND(($T12-$T$3)/1000,1)+(_xlfn.RANK.AVG($T12,($J12,$O12,$T12),1)-2)*10)</f>
        <v>-2.4</v>
      </c>
      <c r="Y12" s="8"/>
      <c r="Z12" s="34"/>
      <c r="AA12" s="26"/>
      <c r="AB12" s="26"/>
      <c r="AC12" s="26">
        <v>4</v>
      </c>
      <c r="AD12" s="30">
        <v>20</v>
      </c>
      <c r="AE12" s="40" t="s">
        <v>82</v>
      </c>
      <c r="AF12" s="41" t="s">
        <v>201</v>
      </c>
      <c r="AG12" s="41" t="s">
        <v>201</v>
      </c>
      <c r="AH12" s="41" t="s">
        <v>83</v>
      </c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209</v>
      </c>
      <c r="F13" s="8" t="s">
        <v>211</v>
      </c>
      <c r="G13" s="9">
        <v>-3000</v>
      </c>
      <c r="H13" s="9"/>
      <c r="I13" s="48"/>
      <c r="J13" s="21">
        <f t="shared" si="2"/>
        <v>61800</v>
      </c>
      <c r="K13" s="8" t="s">
        <v>211</v>
      </c>
      <c r="L13" s="9">
        <v>1500</v>
      </c>
      <c r="M13" s="9"/>
      <c r="N13" s="48"/>
      <c r="O13" s="21">
        <f t="shared" si="3"/>
        <v>9100</v>
      </c>
      <c r="P13" s="8" t="s">
        <v>211</v>
      </c>
      <c r="Q13" s="9">
        <v>1500</v>
      </c>
      <c r="R13" s="9"/>
      <c r="S13" s="48"/>
      <c r="T13" s="21">
        <f t="shared" si="4"/>
        <v>34100</v>
      </c>
      <c r="U13" s="53">
        <f>IF($J13="","",ROUND(($J13-$J$3)/1000,1)+(_xlfn.RANK.AVG($J13,($J13,$O13,$T13),1)-2)*10)</f>
        <v>36.799999999999997</v>
      </c>
      <c r="V13" s="54">
        <f>IF($O13="","",ROUND(($O13-$O$3)/1000,1)+(_xlfn.RANK.AVG($O13,($J13,$O13,$T13),1)-2)*10)</f>
        <v>-35.9</v>
      </c>
      <c r="W13" s="55">
        <f>IF($T13="","",ROUND(($T13-$T$3)/1000,1)+(_xlfn.RANK.AVG($T13,($J13,$O13,$T13),1)-2)*10)</f>
        <v>-0.9</v>
      </c>
      <c r="Y13" s="8" t="s">
        <v>205</v>
      </c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 t="s">
        <v>206</v>
      </c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 t="s">
        <v>206</v>
      </c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西</v>
      </c>
      <c r="B14" s="18">
        <f t="shared" si="5"/>
        <v>1</v>
      </c>
      <c r="C14" s="18">
        <f t="shared" si="6"/>
        <v>1</v>
      </c>
      <c r="D14" s="18">
        <f t="shared" si="1"/>
        <v>0</v>
      </c>
      <c r="E14" s="4" t="s">
        <v>191</v>
      </c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8EC907D1-72D8-423A-9E8D-EEB52A7BE0EB}">
      <formula1>$U$2:$W$2</formula1>
    </dataValidation>
    <dataValidation type="list" showInputMessage="1" showErrorMessage="1" sqref="K4:K30 P4:P30 F4:F30" xr:uid="{D8D4DFF1-B4F4-4AEF-9382-0AFBD55641C5}">
      <formula1>"ロン,ツモ,放銃,ツモ支払,流局,チョンボ"</formula1>
    </dataValidation>
    <dataValidation type="list" allowBlank="1" showInputMessage="1" sqref="F1:T1" xr:uid="{538913BE-5414-4D21-BFD2-10E7517020D7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2019-11-29T08:43:21Z</dcterms:modified>
</cp:coreProperties>
</file>