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012EDF62-77AB-4C01-857A-F5688425FA3E}" xr6:coauthVersionLast="41" xr6:coauthVersionMax="41" xr10:uidLastSave="{00000000-0000-0000-0000-000000000000}"/>
  <bookViews>
    <workbookView xWindow="-120" yWindow="-120" windowWidth="29040" windowHeight="16440" activeTab="1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D16" i="22"/>
  <c r="C16" i="22"/>
  <c r="D15" i="22"/>
  <c r="C15" i="22"/>
  <c r="D11" i="22"/>
  <c r="D12" i="22" s="1"/>
  <c r="D13" i="22" s="1"/>
  <c r="D14" i="22" s="1"/>
  <c r="C11" i="22"/>
  <c r="C12" i="22" s="1"/>
  <c r="C13" i="22" s="1"/>
  <c r="C14" i="22" s="1"/>
  <c r="D10" i="22"/>
  <c r="C10" i="22"/>
  <c r="D9" i="22"/>
  <c r="C9" i="22"/>
  <c r="D7" i="22"/>
  <c r="D8" i="22" s="1"/>
  <c r="C7" i="22"/>
  <c r="C8" i="22" s="1"/>
  <c r="D6" i="22"/>
  <c r="C6" i="22"/>
  <c r="T5" i="22"/>
  <c r="O5" i="22"/>
  <c r="D5" i="22"/>
  <c r="C5" i="22"/>
  <c r="B5" i="22"/>
  <c r="B6" i="22" s="1"/>
  <c r="T4" i="22"/>
  <c r="W4" i="22" s="1"/>
  <c r="O4" i="22"/>
  <c r="J4" i="22"/>
  <c r="J5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 s="1"/>
  <c r="T16" i="21"/>
  <c r="O16" i="21"/>
  <c r="J16" i="21"/>
  <c r="U16" i="21" s="1"/>
  <c r="D16" i="21"/>
  <c r="C16" i="21"/>
  <c r="B16" i="21"/>
  <c r="A16" i="21" s="1"/>
  <c r="T15" i="21"/>
  <c r="O15" i="21"/>
  <c r="V15" i="21" s="1"/>
  <c r="J15" i="21"/>
  <c r="D15" i="21"/>
  <c r="C15" i="21"/>
  <c r="B15" i="21"/>
  <c r="A15" i="21"/>
  <c r="T14" i="21"/>
  <c r="O14" i="21"/>
  <c r="J14" i="21"/>
  <c r="D14" i="21"/>
  <c r="C14" i="21"/>
  <c r="B14" i="21"/>
  <c r="A14" i="21"/>
  <c r="T13" i="21"/>
  <c r="W13" i="21" s="1"/>
  <c r="O13" i="21"/>
  <c r="J13" i="21"/>
  <c r="D13" i="21"/>
  <c r="C13" i="21"/>
  <c r="B13" i="21"/>
  <c r="A13" i="21" s="1"/>
  <c r="T12" i="21"/>
  <c r="O12" i="21"/>
  <c r="V12" i="21" s="1"/>
  <c r="J12" i="21"/>
  <c r="D12" i="21"/>
  <c r="C12" i="21"/>
  <c r="B12" i="21"/>
  <c r="A12" i="21"/>
  <c r="T11" i="21"/>
  <c r="O11" i="21"/>
  <c r="J11" i="21"/>
  <c r="U11" i="21" s="1"/>
  <c r="D11" i="21"/>
  <c r="C11" i="21"/>
  <c r="B11" i="21"/>
  <c r="A11" i="21"/>
  <c r="T10" i="21"/>
  <c r="O10" i="21"/>
  <c r="J10" i="21"/>
  <c r="D10" i="21"/>
  <c r="C10" i="21"/>
  <c r="B10" i="21"/>
  <c r="A10" i="21" s="1"/>
  <c r="T9" i="21"/>
  <c r="O9" i="21"/>
  <c r="J9" i="21"/>
  <c r="U9" i="21" s="1"/>
  <c r="D9" i="21"/>
  <c r="C9" i="21"/>
  <c r="B9" i="21"/>
  <c r="A9" i="21" s="1"/>
  <c r="D8" i="21"/>
  <c r="D6" i="21"/>
  <c r="D7" i="21" s="1"/>
  <c r="C6" i="21"/>
  <c r="C7" i="21" s="1"/>
  <c r="C8" i="21" s="1"/>
  <c r="O5" i="21"/>
  <c r="J5" i="21"/>
  <c r="D5" i="21"/>
  <c r="C5" i="21"/>
  <c r="B5" i="21"/>
  <c r="B6" i="21" s="1"/>
  <c r="A5" i="2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D13" i="20"/>
  <c r="C13" i="20"/>
  <c r="C14" i="20" s="1"/>
  <c r="D12" i="20"/>
  <c r="D11" i="20"/>
  <c r="C11" i="20"/>
  <c r="C12" i="20" s="1"/>
  <c r="D10" i="20"/>
  <c r="D9" i="20"/>
  <c r="C9" i="20"/>
  <c r="C10" i="20" s="1"/>
  <c r="D8" i="20"/>
  <c r="D7" i="20"/>
  <c r="C7" i="20"/>
  <c r="C8" i="20" s="1"/>
  <c r="D6" i="20"/>
  <c r="C6" i="20"/>
  <c r="T5" i="20"/>
  <c r="T6" i="20" s="1"/>
  <c r="O5" i="20"/>
  <c r="D5" i="20"/>
  <c r="C5" i="20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W5" i="22" l="1"/>
  <c r="A5" i="22"/>
  <c r="V4" i="22"/>
  <c r="U4" i="22"/>
  <c r="U5" i="22"/>
  <c r="J6" i="22"/>
  <c r="V5" i="22"/>
  <c r="B7" i="22"/>
  <c r="A7" i="22" s="1"/>
  <c r="O6" i="22"/>
  <c r="T6" i="22"/>
  <c r="A6" i="22"/>
  <c r="V16" i="21"/>
  <c r="W16" i="21"/>
  <c r="U15" i="21"/>
  <c r="W15" i="21"/>
  <c r="W14" i="21"/>
  <c r="U14" i="21"/>
  <c r="V14" i="21"/>
  <c r="U13" i="21"/>
  <c r="V13" i="21"/>
  <c r="W12" i="21"/>
  <c r="U12" i="21"/>
  <c r="V11" i="21"/>
  <c r="W11" i="21"/>
  <c r="U10" i="21"/>
  <c r="V10" i="21"/>
  <c r="W10" i="21"/>
  <c r="V9" i="21"/>
  <c r="W9" i="21"/>
  <c r="W4" i="21"/>
  <c r="A6" i="21"/>
  <c r="B7" i="21"/>
  <c r="A7" i="21" s="1"/>
  <c r="V4" i="21"/>
  <c r="T5" i="21"/>
  <c r="V5" i="21" s="1"/>
  <c r="J6" i="21"/>
  <c r="O6" i="21"/>
  <c r="V4" i="20"/>
  <c r="W4" i="20"/>
  <c r="U4" i="20"/>
  <c r="T7" i="20"/>
  <c r="B6" i="20"/>
  <c r="J5" i="20"/>
  <c r="O6" i="20"/>
  <c r="W3" i="19"/>
  <c r="V3" i="19"/>
  <c r="U3" i="19"/>
  <c r="V6" i="22" l="1"/>
  <c r="O7" i="22"/>
  <c r="W6" i="22"/>
  <c r="T7" i="22"/>
  <c r="B8" i="22"/>
  <c r="A8" i="22" s="1"/>
  <c r="U6" i="22"/>
  <c r="J7" i="22"/>
  <c r="U6" i="21"/>
  <c r="J7" i="21"/>
  <c r="O7" i="21"/>
  <c r="U5" i="21"/>
  <c r="W5" i="21"/>
  <c r="T6" i="21"/>
  <c r="V6" i="21" s="1"/>
  <c r="B8" i="21"/>
  <c r="A8" i="21" s="1"/>
  <c r="T8" i="20"/>
  <c r="W5" i="20"/>
  <c r="U5" i="20"/>
  <c r="J6" i="20"/>
  <c r="B7" i="20"/>
  <c r="A7" i="20" s="1"/>
  <c r="A6" i="20"/>
  <c r="O7" i="20"/>
  <c r="V6" i="20"/>
  <c r="V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 s="1"/>
  <c r="T14" i="19"/>
  <c r="O14" i="19"/>
  <c r="J14" i="19"/>
  <c r="D14" i="19"/>
  <c r="C14" i="19"/>
  <c r="B14" i="19"/>
  <c r="A14" i="19" s="1"/>
  <c r="T13" i="19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W10" i="19" s="1"/>
  <c r="O10" i="19"/>
  <c r="V10" i="19" s="1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W6" i="19" s="1"/>
  <c r="O6" i="19"/>
  <c r="V6" i="19" s="1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T8" i="22" l="1"/>
  <c r="W7" i="22"/>
  <c r="U7" i="22"/>
  <c r="J8" i="22"/>
  <c r="B9" i="22"/>
  <c r="A9" i="22" s="1"/>
  <c r="O8" i="22"/>
  <c r="V7" i="22"/>
  <c r="W6" i="21"/>
  <c r="T7" i="21"/>
  <c r="J8" i="21"/>
  <c r="O8" i="21"/>
  <c r="V7" i="21"/>
  <c r="T9" i="20"/>
  <c r="O8" i="20"/>
  <c r="U6" i="20"/>
  <c r="J7" i="20"/>
  <c r="V7" i="20" s="1"/>
  <c r="W6" i="20"/>
  <c r="B8" i="20"/>
  <c r="U14" i="19"/>
  <c r="V14" i="19"/>
  <c r="W14" i="19"/>
  <c r="U13" i="19"/>
  <c r="W13" i="19"/>
  <c r="V13" i="19"/>
  <c r="V12" i="19"/>
  <c r="W12" i="19"/>
  <c r="U12" i="19"/>
  <c r="V11" i="19"/>
  <c r="W11" i="19"/>
  <c r="V9" i="19"/>
  <c r="W9" i="19"/>
  <c r="U8" i="19"/>
  <c r="V8" i="19"/>
  <c r="W8" i="19"/>
  <c r="V7" i="19"/>
  <c r="W7" i="19"/>
  <c r="U7" i="19"/>
  <c r="U6" i="19"/>
  <c r="V4" i="19"/>
  <c r="U4" i="19"/>
  <c r="T5" i="19"/>
  <c r="W4" i="19"/>
  <c r="J5" i="19"/>
  <c r="O5" i="19"/>
  <c r="W8" i="22" l="1"/>
  <c r="T9" i="22"/>
  <c r="V8" i="22"/>
  <c r="O9" i="22"/>
  <c r="B10" i="22"/>
  <c r="U8" i="22"/>
  <c r="J9" i="22"/>
  <c r="T8" i="21"/>
  <c r="V8" i="21" s="1"/>
  <c r="W7" i="21"/>
  <c r="U7" i="21"/>
  <c r="B9" i="20"/>
  <c r="J8" i="20"/>
  <c r="V8" i="20" s="1"/>
  <c r="U7" i="20"/>
  <c r="W7" i="20"/>
  <c r="O9" i="20"/>
  <c r="T10" i="20"/>
  <c r="A8" i="20"/>
  <c r="V5" i="19"/>
  <c r="W5" i="19"/>
  <c r="U5" i="19"/>
  <c r="B11" i="22" l="1"/>
  <c r="V9" i="22"/>
  <c r="O10" i="22"/>
  <c r="W9" i="22"/>
  <c r="T10" i="22"/>
  <c r="J10" i="22"/>
  <c r="U9" i="22"/>
  <c r="A10" i="22"/>
  <c r="W8" i="21"/>
  <c r="U8" i="21"/>
  <c r="A9" i="20"/>
  <c r="T11" i="20"/>
  <c r="B10" i="20"/>
  <c r="O10" i="20"/>
  <c r="U8" i="20"/>
  <c r="J9" i="20"/>
  <c r="W8" i="20"/>
  <c r="A11" i="22" l="1"/>
  <c r="V10" i="22"/>
  <c r="O11" i="22"/>
  <c r="W10" i="22"/>
  <c r="T11" i="22"/>
  <c r="B12" i="22"/>
  <c r="A12" i="22" s="1"/>
  <c r="U10" i="22"/>
  <c r="J11" i="22"/>
  <c r="U9" i="20"/>
  <c r="J10" i="20"/>
  <c r="W9" i="20"/>
  <c r="T12" i="20"/>
  <c r="V9" i="20"/>
  <c r="B11" i="20"/>
  <c r="A11" i="20" s="1"/>
  <c r="V10" i="20"/>
  <c r="O11" i="20"/>
  <c r="A10" i="20"/>
  <c r="W11" i="22" l="1"/>
  <c r="T12" i="22"/>
  <c r="O12" i="22"/>
  <c r="V11" i="22"/>
  <c r="U11" i="22"/>
  <c r="J12" i="22"/>
  <c r="B13" i="22"/>
  <c r="A13" i="22" s="1"/>
  <c r="B12" i="20"/>
  <c r="T13" i="20"/>
  <c r="O12" i="20"/>
  <c r="U10" i="20"/>
  <c r="J11" i="20"/>
  <c r="W10" i="20"/>
  <c r="B14" i="22" l="1"/>
  <c r="A14" i="22" s="1"/>
  <c r="U12" i="22"/>
  <c r="J13" i="22"/>
  <c r="V12" i="22"/>
  <c r="O13" i="22"/>
  <c r="W12" i="22"/>
  <c r="T13" i="22"/>
  <c r="U11" i="20"/>
  <c r="J12" i="20"/>
  <c r="W11" i="20"/>
  <c r="V11" i="20"/>
  <c r="T14" i="20"/>
  <c r="B13" i="20"/>
  <c r="A13" i="20" s="1"/>
  <c r="A12" i="20"/>
  <c r="V12" i="20"/>
  <c r="O13" i="20"/>
  <c r="W13" i="22" l="1"/>
  <c r="T14" i="22"/>
  <c r="V13" i="22"/>
  <c r="O14" i="22"/>
  <c r="U13" i="22"/>
  <c r="J14" i="22"/>
  <c r="B15" i="22"/>
  <c r="U12" i="20"/>
  <c r="J13" i="20"/>
  <c r="W12" i="20"/>
  <c r="B14" i="20"/>
  <c r="A14" i="20" s="1"/>
  <c r="V13" i="20"/>
  <c r="O14" i="20"/>
  <c r="B16" i="22" l="1"/>
  <c r="A16" i="22" s="1"/>
  <c r="U14" i="22"/>
  <c r="J15" i="22"/>
  <c r="W14" i="22"/>
  <c r="T15" i="22"/>
  <c r="A15" i="22"/>
  <c r="V14" i="22"/>
  <c r="O15" i="22"/>
  <c r="J14" i="20"/>
  <c r="U13" i="20"/>
  <c r="W13" i="20"/>
  <c r="U15" i="22" l="1"/>
  <c r="J16" i="22"/>
  <c r="W15" i="22"/>
  <c r="T16" i="22"/>
  <c r="O16" i="22"/>
  <c r="V15" i="22"/>
  <c r="U14" i="20"/>
  <c r="W14" i="20"/>
  <c r="V14" i="20"/>
  <c r="V16" i="22" l="1"/>
  <c r="W16" i="22"/>
  <c r="U16" i="22"/>
</calcChain>
</file>

<file path=xl/sharedStrings.xml><?xml version="1.0" encoding="utf-8"?>
<sst xmlns="http://schemas.openxmlformats.org/spreadsheetml/2006/main" count="963" uniqueCount="208">
  <si>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</si>
  <si>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</si>
  <si>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</si>
  <si>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</si>
  <si>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</si>
  <si>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</si>
  <si>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</si>
  <si>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</si>
  <si>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</si>
  <si>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</si>
  <si>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</si>
  <si>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</si>
  <si>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</si>
  <si>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</si>
  <si>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</si>
  <si>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</si>
  <si>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</si>
  <si>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</si>
  <si>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</si>
  <si>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</si>
  <si>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</si>
  <si>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</si>
  <si>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</si>
  <si>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</si>
  <si>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</si>
  <si>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</si>
  <si>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</si>
  <si>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</si>
  <si>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</si>
  <si>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</si>
  <si>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</si>
  <si>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</si>
  <si>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</si>
  <si>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</si>
  <si>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</si>
  <si>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</si>
  <si>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</si>
  <si>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</si>
  <si>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</si>
  <si>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</si>
  <si>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</si>
  <si>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</si>
  <si>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</si>
  <si>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</si>
  <si>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</si>
  <si>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</si>
  <si>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</si>
  <si>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</si>
  <si>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</si>
  <si>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</si>
  <si>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</si>
  <si>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</si>
  <si>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</si>
  <si>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</si>
  <si>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</si>
  <si>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</si>
  <si>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</si>
  <si>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</si>
  <si>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</si>
  <si>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</si>
  <si>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</si>
  <si>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</si>
  <si>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</si>
  <si>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</si>
  <si>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</si>
  <si>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</si>
  <si>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</si>
  <si>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</si>
  <si>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</si>
  <si>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</si>
  <si>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</si>
  <si>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</si>
  <si>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</si>
  <si>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</si>
  <si>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</si>
  <si>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</si>
  <si>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</si>
  <si>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</si>
  <si>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</si>
  <si>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</si>
  <si>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</si>
  <si>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</si>
  <si>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</si>
  <si>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</si>
  <si>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</si>
  <si>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</si>
  <si>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</si>
  <si>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</si>
  <si>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</si>
  <si>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</si>
  <si>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</si>
  <si>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</si>
  <si>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</si>
  <si>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</si>
  <si>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</si>
  <si>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</si>
  <si>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</si>
  <si>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</si>
  <si>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</si>
  <si>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</si>
  <si>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</si>
  <si>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</si>
  <si>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</si>
  <si>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</si>
  <si>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</si>
  <si>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</si>
  <si>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</si>
  <si>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</si>
  <si>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</si>
  <si>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</si>
  <si>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</si>
  <si>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</si>
  <si>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</si>
  <si>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</si>
  <si>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</si>
  <si>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</si>
  <si>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</si>
  <si>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</si>
  <si>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</si>
  <si>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</si>
  <si>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</si>
  <si>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</si>
  <si>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</si>
  <si>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</si>
  <si>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</si>
  <si>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</si>
  <si>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</si>
  <si>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</si>
  <si>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</si>
  <si>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</si>
  <si>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</si>
  <si>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</si>
  <si>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</si>
  <si>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</si>
  <si>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</si>
  <si>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</si>
  <si>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</si>
  <si>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</si>
  <si>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</si>
  <si>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</si>
  <si>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</si>
  <si>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</si>
  <si>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</si>
  <si>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</si>
  <si>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</si>
  <si>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</si>
  <si>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</si>
  <si>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</si>
  <si>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</si>
  <si>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</si>
  <si>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</si>
  <si>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</si>
  <si>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</si>
  <si>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</si>
  <si>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</si>
  <si>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</si>
  <si>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</si>
  <si>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</si>
  <si>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</si>
  <si>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</si>
  <si>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</si>
  <si>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</si>
  <si>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</si>
  <si>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</si>
  <si>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</si>
  <si>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</si>
  <si>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</si>
  <si>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</si>
  <si>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</si>
  <si>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</si>
  <si>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</si>
  <si>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</si>
  <si>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</si>
  <si>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</si>
  <si>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</si>
  <si>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</si>
  <si>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</si>
  <si>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</si>
  <si>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</si>
  <si>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</si>
  <si>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</si>
  <si>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</si>
  <si>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</si>
  <si>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</si>
  <si>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</si>
  <si>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</si>
  <si>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</si>
  <si>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</si>
  <si>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</si>
  <si>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</si>
  <si>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</si>
  <si>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</si>
  <si>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だいち</t>
  </si>
  <si>
    <t>ただ</t>
  </si>
  <si>
    <t>まっつん</t>
    <phoneticPr fontId="1"/>
  </si>
  <si>
    <t>ロン</t>
  </si>
  <si>
    <t>放銃</t>
  </si>
  <si>
    <t>*</t>
  </si>
  <si>
    <t>ツモ支払</t>
  </si>
  <si>
    <t>ツモ</t>
  </si>
  <si>
    <t>01</t>
  </si>
  <si>
    <t>02</t>
  </si>
  <si>
    <t>52</t>
  </si>
  <si>
    <t>T</t>
  </si>
  <si>
    <t>N</t>
  </si>
  <si>
    <t>流局</t>
    <phoneticPr fontId="1"/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</si>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</sst>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196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7</v>
      </c>
      <c r="AY4" s="30" t="s">
        <v>197</v>
      </c>
      <c r="AZ4" s="40" t="s">
        <v>86</v>
      </c>
      <c r="BA4" s="41" t="s">
        <v>86</v>
      </c>
      <c r="BB4" s="41" t="s">
        <v>104</v>
      </c>
      <c r="BC4" s="41" t="s">
        <v>88</v>
      </c>
      <c r="BD4" s="41" t="s">
        <v>98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198</v>
      </c>
      <c r="G5" s="9">
        <v>-2900</v>
      </c>
      <c r="H5" s="9"/>
      <c r="I5" s="48">
        <v>0</v>
      </c>
      <c r="J5" s="21">
        <f t="shared" ref="J5:J30" si="2">IF(COUNTA($F5,$K5,$P5)&gt;0,J4+SUM(G5:I5),"")</f>
        <v>32100</v>
      </c>
      <c r="K5" s="8" t="s">
        <v>198</v>
      </c>
      <c r="L5" s="9">
        <v>-4800</v>
      </c>
      <c r="M5" s="9">
        <v>-1000</v>
      </c>
      <c r="N5" s="48">
        <v>0</v>
      </c>
      <c r="O5" s="21">
        <f t="shared" ref="O5:O30" si="3">IF(COUNTA($F5,$K5,$P5)&gt;0,O4+SUM(L5:N5),"")</f>
        <v>41200</v>
      </c>
      <c r="P5" s="8" t="s">
        <v>199</v>
      </c>
      <c r="Q5" s="9">
        <v>7700</v>
      </c>
      <c r="R5" s="9">
        <v>1000</v>
      </c>
      <c r="S5" s="48">
        <v>0</v>
      </c>
      <c r="T5" s="21">
        <f t="shared" ref="T5:T30" si="4">IF(COUNTA($F5,$K5,$P5)&gt;0,T4+SUM(Q5:S5),"")</f>
        <v>31700</v>
      </c>
      <c r="U5" s="53">
        <f>IF($J5="","",ROUND(($J5-$J$3)/1000,1)+(_xlfn.RANK.AVG($J5,($J5,$O5,$T5),1)-2)*10)</f>
        <v>-2.9</v>
      </c>
      <c r="V5" s="54">
        <f>IF($O5="","",ROUND(($O5-$O$3)/1000,1)+(_xlfn.RANK.AVG($O5,($J5,$O5,$T5),1)-2)*10)</f>
        <v>16.2</v>
      </c>
      <c r="W5" s="55">
        <f>IF($T5="","",ROUND(($T5-$T$3)/1000,1)+(_xlfn.RANK.AVG($T5,($J5,$O5,$T5),1)-2)*10)</f>
        <v>-13.3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200</v>
      </c>
      <c r="BV5" s="41" t="s">
        <v>82</v>
      </c>
      <c r="BW5" s="41" t="s">
        <v>201</v>
      </c>
      <c r="BX5" s="41" t="s">
        <v>79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196</v>
      </c>
      <c r="G6" s="9">
        <v>-12000</v>
      </c>
      <c r="H6" s="9"/>
      <c r="I6" s="48">
        <v>0</v>
      </c>
      <c r="J6" s="21">
        <f t="shared" si="2"/>
        <v>20100</v>
      </c>
      <c r="K6" s="8"/>
      <c r="L6" s="9"/>
      <c r="M6" s="9"/>
      <c r="N6" s="48"/>
      <c r="O6" s="21">
        <f t="shared" si="3"/>
        <v>41200</v>
      </c>
      <c r="P6" s="8" t="s">
        <v>195</v>
      </c>
      <c r="Q6" s="9">
        <v>12000</v>
      </c>
      <c r="R6" s="9"/>
      <c r="S6" s="48">
        <v>0</v>
      </c>
      <c r="T6" s="21">
        <f t="shared" si="4"/>
        <v>43700</v>
      </c>
      <c r="U6" s="53">
        <f>IF($J6="","",ROUND(($J6-$J$3)/1000,1)+(_xlfn.RANK.AVG($J6,($J6,$O6,$T6),1)-2)*10)</f>
        <v>-24.9</v>
      </c>
      <c r="V6" s="54">
        <f>IF($O6="","",ROUND(($O6-$O$3)/1000,1)+(_xlfn.RANK.AVG($O6,($J6,$O6,$T6),1)-2)*10)</f>
        <v>6.2</v>
      </c>
      <c r="W6" s="55">
        <f>IF($T6="","",ROUND(($T6-$T$3)/1000,1)+(_xlfn.RANK.AVG($T6,($J6,$O6,$T6),1)-2)*10)</f>
        <v>18.7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197</v>
      </c>
      <c r="BU6" s="40" t="s">
        <v>202</v>
      </c>
      <c r="BV6" s="41" t="s">
        <v>86</v>
      </c>
      <c r="BW6" s="41" t="s">
        <v>79</v>
      </c>
      <c r="BX6" s="41" t="s">
        <v>79</v>
      </c>
      <c r="BY6" s="41" t="s">
        <v>79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196</v>
      </c>
      <c r="G7" s="9">
        <v>-2900</v>
      </c>
      <c r="H7" s="9"/>
      <c r="I7" s="48">
        <v>-1000</v>
      </c>
      <c r="J7" s="21">
        <f t="shared" si="2"/>
        <v>16200</v>
      </c>
      <c r="K7" s="8"/>
      <c r="L7" s="9"/>
      <c r="M7" s="9"/>
      <c r="N7" s="48"/>
      <c r="O7" s="21">
        <f t="shared" si="3"/>
        <v>41200</v>
      </c>
      <c r="P7" s="8" t="s">
        <v>195</v>
      </c>
      <c r="Q7" s="9">
        <v>2900</v>
      </c>
      <c r="R7" s="9"/>
      <c r="S7" s="48">
        <v>1000</v>
      </c>
      <c r="T7" s="21">
        <f t="shared" si="4"/>
        <v>47600</v>
      </c>
      <c r="U7" s="53">
        <f>IF($J7="","",ROUND(($J7-$J$3)/1000,1)+(_xlfn.RANK.AVG($J7,($J7,$O7,$T7),1)-2)*10)</f>
        <v>-28.8</v>
      </c>
      <c r="V7" s="54">
        <f>IF($O7="","",ROUND(($O7-$O$3)/1000,1)+(_xlfn.RANK.AVG($O7,($J7,$O7,$T7),1)-2)*10)</f>
        <v>6.2</v>
      </c>
      <c r="W7" s="55">
        <f>IF($T7="","",ROUND(($T7-$T$3)/1000,1)+(_xlfn.RANK.AVG($T7,($J7,$O7,$T7),1)-2)*10)</f>
        <v>22.6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86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16200</v>
      </c>
      <c r="K8" s="8" t="s">
        <v>195</v>
      </c>
      <c r="L8" s="9">
        <v>12000</v>
      </c>
      <c r="M8" s="9"/>
      <c r="N8" s="48">
        <v>2000</v>
      </c>
      <c r="O8" s="21">
        <f t="shared" si="3"/>
        <v>55200</v>
      </c>
      <c r="P8" s="8" t="s">
        <v>196</v>
      </c>
      <c r="Q8" s="9">
        <v>-12000</v>
      </c>
      <c r="R8" s="9"/>
      <c r="S8" s="48">
        <v>-2000</v>
      </c>
      <c r="T8" s="21">
        <f t="shared" si="4"/>
        <v>33600</v>
      </c>
      <c r="U8" s="53">
        <f>IF($J8="","",ROUND(($J8-$J$3)/1000,1)+(_xlfn.RANK.AVG($J8,($J8,$O8,$T8),1)-2)*10)</f>
        <v>-28.8</v>
      </c>
      <c r="V8" s="54">
        <f>IF($O8="","",ROUND(($O8-$O$3)/1000,1)+(_xlfn.RANK.AVG($O8,($J8,$O8,$T8),1)-2)*10)</f>
        <v>30.2</v>
      </c>
      <c r="W8" s="55">
        <f>IF($T8="","",ROUND(($T8-$T$3)/1000,1)+(_xlfn.RANK.AVG($T8,($J8,$O8,$T8),1)-2)*10)</f>
        <v>-1.4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7</v>
      </c>
      <c r="AY8" s="30" t="s">
        <v>197</v>
      </c>
      <c r="AZ8" s="40" t="s">
        <v>200</v>
      </c>
      <c r="BA8" s="41" t="s">
        <v>83</v>
      </c>
      <c r="BB8" s="41" t="s">
        <v>201</v>
      </c>
      <c r="BC8" s="41" t="s">
        <v>202</v>
      </c>
      <c r="BD8" s="41" t="s">
        <v>202</v>
      </c>
      <c r="BE8" s="41" t="s">
        <v>98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199</v>
      </c>
      <c r="G9" s="9">
        <v>6000</v>
      </c>
      <c r="H9" s="9">
        <v>2000</v>
      </c>
      <c r="I9" s="48">
        <v>0</v>
      </c>
      <c r="J9" s="21">
        <f t="shared" si="2"/>
        <v>24200</v>
      </c>
      <c r="K9" s="8" t="s">
        <v>198</v>
      </c>
      <c r="L9" s="9">
        <v>-3000</v>
      </c>
      <c r="M9" s="9">
        <v>-1000</v>
      </c>
      <c r="N9" s="48">
        <v>0</v>
      </c>
      <c r="O9" s="21">
        <f t="shared" si="3"/>
        <v>51200</v>
      </c>
      <c r="P9" s="8" t="s">
        <v>198</v>
      </c>
      <c r="Q9" s="9">
        <v>-3000</v>
      </c>
      <c r="R9" s="9">
        <v>-1000</v>
      </c>
      <c r="S9" s="48">
        <v>0</v>
      </c>
      <c r="T9" s="21">
        <f t="shared" si="4"/>
        <v>29600</v>
      </c>
      <c r="U9" s="53">
        <f>IF($J9="","",ROUND(($J9-$J$3)/1000,1)+(_xlfn.RANK.AVG($J9,($J9,$O9,$T9),1)-2)*10)</f>
        <v>-20.8</v>
      </c>
      <c r="V9" s="54">
        <f>IF($O9="","",ROUND(($O9-$O$3)/1000,1)+(_xlfn.RANK.AVG($O9,($J9,$O9,$T9),1)-2)*10)</f>
        <v>26.2</v>
      </c>
      <c r="W9" s="55">
        <f>IF($T9="","",ROUND(($T9-$T$3)/1000,1)+(_xlfn.RANK.AVG($T9,($J9,$O9,$T9),1)-2)*10)</f>
        <v>-5.4</v>
      </c>
      <c r="Y9" s="8"/>
      <c r="Z9" s="34"/>
      <c r="AA9" s="26">
        <v>1</v>
      </c>
      <c r="AB9" s="26"/>
      <c r="AC9" s="26">
        <v>3</v>
      </c>
      <c r="AD9" s="30">
        <v>30</v>
      </c>
      <c r="AE9" s="40" t="s">
        <v>200</v>
      </c>
      <c r="AF9" s="41" t="s">
        <v>82</v>
      </c>
      <c r="AG9" s="41" t="s">
        <v>86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>
        <f t="shared" si="2"/>
        <v>24200</v>
      </c>
      <c r="K10" s="8" t="s">
        <v>196</v>
      </c>
      <c r="L10" s="9">
        <v>-8000</v>
      </c>
      <c r="M10" s="9"/>
      <c r="N10" s="48">
        <v>-1000</v>
      </c>
      <c r="O10" s="21">
        <f t="shared" si="3"/>
        <v>42200</v>
      </c>
      <c r="P10" s="8" t="s">
        <v>195</v>
      </c>
      <c r="Q10" s="9">
        <v>8000</v>
      </c>
      <c r="R10" s="9"/>
      <c r="S10" s="48">
        <v>1000</v>
      </c>
      <c r="T10" s="21">
        <f t="shared" si="4"/>
        <v>38600</v>
      </c>
      <c r="U10" s="53">
        <f>IF($J10="","",ROUND(($J10-$J$3)/1000,1)+(_xlfn.RANK.AVG($J10,($J10,$O10,$T10),1)-2)*10)</f>
        <v>-20.8</v>
      </c>
      <c r="V10" s="54">
        <f>IF($O10="","",ROUND(($O10-$O$3)/1000,1)+(_xlfn.RANK.AVG($O10,($J10,$O10,$T10),1)-2)*10)</f>
        <v>17.2</v>
      </c>
      <c r="W10" s="55">
        <f>IF($T10="","",ROUND(($T10-$T$3)/1000,1)+(_xlfn.RANK.AVG($T10,($J10,$O10,$T10),1)-2)*10)</f>
        <v>3.6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197</v>
      </c>
      <c r="BU10" s="40" t="s">
        <v>200</v>
      </c>
      <c r="BV10" s="41" t="s">
        <v>79</v>
      </c>
      <c r="BW10" s="41" t="s">
        <v>79</v>
      </c>
      <c r="BX10" s="41" t="s">
        <v>79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192</v>
      </c>
      <c r="F11" s="8" t="s">
        <v>196</v>
      </c>
      <c r="G11" s="9">
        <v>-18000</v>
      </c>
      <c r="H11" s="9"/>
      <c r="I11" s="48">
        <v>0</v>
      </c>
      <c r="J11" s="21">
        <f t="shared" si="2"/>
        <v>6200</v>
      </c>
      <c r="K11" s="8" t="s">
        <v>195</v>
      </c>
      <c r="L11" s="9">
        <v>18000</v>
      </c>
      <c r="M11" s="9"/>
      <c r="N11" s="48">
        <v>0</v>
      </c>
      <c r="O11" s="21">
        <f t="shared" si="3"/>
        <v>60200</v>
      </c>
      <c r="P11" s="8"/>
      <c r="Q11" s="9"/>
      <c r="R11" s="9"/>
      <c r="S11" s="48"/>
      <c r="T11" s="21">
        <f t="shared" si="4"/>
        <v>38600</v>
      </c>
      <c r="U11" s="53">
        <f>IF($J11="","",ROUND(($J11-$J$3)/1000,1)+(_xlfn.RANK.AVG($J11,($J11,$O11,$T11),1)-2)*10)</f>
        <v>-38.799999999999997</v>
      </c>
      <c r="V11" s="54">
        <f>IF($O11="","",ROUND(($O11-$O$3)/1000,1)+(_xlfn.RANK.AVG($O11,($J11,$O11,$T11),1)-2)*10)</f>
        <v>35.200000000000003</v>
      </c>
      <c r="W11" s="55">
        <f>IF($T11="","",ROUND(($T11-$T$3)/1000,1)+(_xlfn.RANK.AVG($T11,($J11,$O11,$T11),1)-2)*10)</f>
        <v>3.6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6</v>
      </c>
      <c r="AY11" s="30" t="s">
        <v>197</v>
      </c>
      <c r="AZ11" s="40" t="s">
        <v>86</v>
      </c>
      <c r="BA11" s="41" t="s">
        <v>202</v>
      </c>
      <c r="BB11" s="41" t="s">
        <v>202</v>
      </c>
      <c r="BC11" s="41" t="s">
        <v>79</v>
      </c>
      <c r="BD11" s="41" t="s">
        <v>79</v>
      </c>
      <c r="BE11" s="41" t="s">
        <v>79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192</v>
      </c>
      <c r="F12" s="8" t="s">
        <v>198</v>
      </c>
      <c r="G12" s="9">
        <v>-2900</v>
      </c>
      <c r="H12" s="9"/>
      <c r="I12" s="48">
        <v>-500</v>
      </c>
      <c r="J12" s="21">
        <f t="shared" si="2"/>
        <v>2800</v>
      </c>
      <c r="K12" s="8" t="s">
        <v>198</v>
      </c>
      <c r="L12" s="9">
        <v>-4800</v>
      </c>
      <c r="M12" s="9"/>
      <c r="N12" s="48">
        <v>-500</v>
      </c>
      <c r="O12" s="21">
        <f t="shared" si="3"/>
        <v>54900</v>
      </c>
      <c r="P12" s="8" t="s">
        <v>199</v>
      </c>
      <c r="Q12" s="9">
        <v>7700</v>
      </c>
      <c r="R12" s="9"/>
      <c r="S12" s="48">
        <v>1000</v>
      </c>
      <c r="T12" s="21">
        <f t="shared" si="4"/>
        <v>47300</v>
      </c>
      <c r="U12" s="53">
        <f>IF($J12="","",ROUND(($J12-$J$3)/1000,1)+(_xlfn.RANK.AVG($J12,($J12,$O12,$T12),1)-2)*10)</f>
        <v>-42.2</v>
      </c>
      <c r="V12" s="54">
        <f>IF($O12="","",ROUND(($O12-$O$3)/1000,1)+(_xlfn.RANK.AVG($O12,($J12,$O12,$T12),1)-2)*10)</f>
        <v>29.9</v>
      </c>
      <c r="W12" s="55">
        <f>IF($T12="","",ROUND(($T12-$T$3)/1000,1)+(_xlfn.RANK.AVG($T12,($J12,$O12,$T12),1)-2)*10)</f>
        <v>12.3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30</v>
      </c>
      <c r="BU12" s="40" t="s">
        <v>200</v>
      </c>
      <c r="BV12" s="41" t="s">
        <v>82</v>
      </c>
      <c r="BW12" s="41" t="s">
        <v>79</v>
      </c>
      <c r="BX12" s="41" t="s">
        <v>85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205</v>
      </c>
      <c r="G13" s="9">
        <v>1500</v>
      </c>
      <c r="H13" s="9"/>
      <c r="I13" s="48"/>
      <c r="J13" s="21">
        <f t="shared" si="2"/>
        <v>4300</v>
      </c>
      <c r="K13" s="8" t="s">
        <v>205</v>
      </c>
      <c r="L13" s="9">
        <v>-3000</v>
      </c>
      <c r="M13" s="9"/>
      <c r="N13" s="48"/>
      <c r="O13" s="21">
        <f t="shared" si="3"/>
        <v>51900</v>
      </c>
      <c r="P13" s="8" t="s">
        <v>205</v>
      </c>
      <c r="Q13" s="9">
        <v>1500</v>
      </c>
      <c r="R13" s="9"/>
      <c r="S13" s="48"/>
      <c r="T13" s="21">
        <f t="shared" si="4"/>
        <v>48800</v>
      </c>
      <c r="U13" s="53">
        <f>IF($J13="","",ROUND(($J13-$J$3)/1000,1)+(_xlfn.RANK.AVG($J13,($J13,$O13,$T13),1)-2)*10)</f>
        <v>-40.700000000000003</v>
      </c>
      <c r="V13" s="54">
        <f>IF($O13="","",ROUND(($O13-$O$3)/1000,1)+(_xlfn.RANK.AVG($O13,($J13,$O13,$T13),1)-2)*10)</f>
        <v>26.9</v>
      </c>
      <c r="W13" s="55">
        <f>IF($T13="","",ROUND(($T13-$T$3)/1000,1)+(_xlfn.RANK.AVG($T13,($J13,$O13,$T13),1)-2)*10)</f>
        <v>13.8</v>
      </c>
      <c r="Y13" s="8" t="s">
        <v>203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204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203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193</v>
      </c>
      <c r="F14" s="8" t="s">
        <v>198</v>
      </c>
      <c r="G14" s="9">
        <v>-3000</v>
      </c>
      <c r="H14" s="9"/>
      <c r="I14" s="48">
        <v>-500</v>
      </c>
      <c r="J14" s="21">
        <f t="shared" si="2"/>
        <v>800</v>
      </c>
      <c r="K14" s="8" t="s">
        <v>198</v>
      </c>
      <c r="L14" s="9">
        <v>-3000</v>
      </c>
      <c r="M14" s="9"/>
      <c r="N14" s="48">
        <v>-500</v>
      </c>
      <c r="O14" s="21">
        <f t="shared" si="3"/>
        <v>48400</v>
      </c>
      <c r="P14" s="8" t="s">
        <v>199</v>
      </c>
      <c r="Q14" s="9">
        <v>6000</v>
      </c>
      <c r="R14" s="9"/>
      <c r="S14" s="48">
        <v>1000</v>
      </c>
      <c r="T14" s="21">
        <f t="shared" si="4"/>
        <v>55800</v>
      </c>
      <c r="U14" s="53">
        <f>IF($J14="","",ROUND(($J14-$J$3)/1000,1)+(_xlfn.RANK.AVG($J14,($J14,$O14,$T14),1)-2)*10)</f>
        <v>-44.2</v>
      </c>
      <c r="V14" s="54">
        <f>IF($O14="","",ROUND(($O14-$O$3)/1000,1)+(_xlfn.RANK.AVG($O14,($J14,$O14,$T14),1)-2)*10)</f>
        <v>13.4</v>
      </c>
      <c r="W14" s="55">
        <f>IF($T14="","",ROUND(($T14-$T$3)/1000,1)+(_xlfn.RANK.AVG($T14,($J14,$O14,$T14),1)-2)*10)</f>
        <v>30.8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3</v>
      </c>
      <c r="BT14" s="30">
        <v>30</v>
      </c>
      <c r="BU14" s="40" t="s">
        <v>200</v>
      </c>
      <c r="BV14" s="41" t="s">
        <v>82</v>
      </c>
      <c r="BW14" s="41" t="s">
        <v>80</v>
      </c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9407640-CD09-48A3-A059-53AF1BD43218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BAD57-020C-4C7A-9E57-468232142DF7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198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199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198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197</v>
      </c>
      <c r="AZ4" s="40" t="s">
        <v>86</v>
      </c>
      <c r="BA4" s="41" t="s">
        <v>86</v>
      </c>
      <c r="BB4" s="41" t="s">
        <v>104</v>
      </c>
      <c r="BC4" s="41" t="s">
        <v>98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196</v>
      </c>
      <c r="G5" s="9">
        <v>-4800</v>
      </c>
      <c r="H5" s="9">
        <v>-1000</v>
      </c>
      <c r="I5" s="48">
        <v>0</v>
      </c>
      <c r="J5" s="21">
        <f t="shared" ref="J5:J30" si="2">IF(COUNTA($F5,$K5,$P5)&gt;0,J4+SUM(G5:I5),"")</f>
        <v>21700</v>
      </c>
      <c r="K5" s="8" t="s">
        <v>195</v>
      </c>
      <c r="L5" s="9">
        <v>4800</v>
      </c>
      <c r="M5" s="9">
        <v>1000</v>
      </c>
      <c r="N5" s="48">
        <v>0</v>
      </c>
      <c r="O5" s="21">
        <f t="shared" ref="O5:O30" si="3">IF(COUNTA($F5,$K5,$P5)&gt;0,O4+SUM(L5:N5),"")</f>
        <v>52800</v>
      </c>
      <c r="P5" s="8"/>
      <c r="Q5" s="9"/>
      <c r="R5" s="9"/>
      <c r="S5" s="48"/>
      <c r="T5" s="21">
        <f t="shared" ref="T5:T30" si="4">IF(COUNTA($F5,$K5,$P5)&gt;0,T4+SUM(Q5:S5),"")</f>
        <v>30500</v>
      </c>
      <c r="U5" s="53">
        <f>IF($J5="","",ROUND(($J5-$J$3)/1000,1)+(_xlfn.RANK.AVG($J5,($J5,$O5,$T5),1)-2)*10)</f>
        <v>-23.3</v>
      </c>
      <c r="V5" s="54">
        <f>IF($O5="","",ROUND(($O5-$O$3)/1000,1)+(_xlfn.RANK.AVG($O5,($J5,$O5,$T5),1)-2)*10)</f>
        <v>27.8</v>
      </c>
      <c r="W5" s="55">
        <f>IF($T5="","",ROUND(($T5-$T$3)/1000,1)+(_xlfn.RANK.AVG($T5,($J5,$O5,$T5),1)-2)*10)</f>
        <v>-4.5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>
        <v>2</v>
      </c>
      <c r="AY5" s="30">
        <v>50</v>
      </c>
      <c r="AZ5" s="40" t="s">
        <v>86</v>
      </c>
      <c r="BA5" s="41" t="s">
        <v>79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192</v>
      </c>
      <c r="F6" s="8" t="s">
        <v>206</v>
      </c>
      <c r="G6" s="9">
        <v>-1500</v>
      </c>
      <c r="H6" s="9"/>
      <c r="I6" s="48"/>
      <c r="J6" s="21">
        <f t="shared" si="2"/>
        <v>20200</v>
      </c>
      <c r="K6" s="8" t="s">
        <v>206</v>
      </c>
      <c r="L6" s="9">
        <v>-1500</v>
      </c>
      <c r="M6" s="9"/>
      <c r="N6" s="48"/>
      <c r="O6" s="21">
        <f t="shared" si="3"/>
        <v>51300</v>
      </c>
      <c r="P6" s="8" t="s">
        <v>206</v>
      </c>
      <c r="Q6" s="9">
        <v>3000</v>
      </c>
      <c r="R6" s="9">
        <v>-1000</v>
      </c>
      <c r="S6" s="48"/>
      <c r="T6" s="21">
        <f t="shared" si="4"/>
        <v>32500</v>
      </c>
      <c r="U6" s="53">
        <f>IF($J6="","",ROUND(($J6-$J$3)/1000,1)+(_xlfn.RANK.AVG($J6,($J6,$O6,$T6),1)-2)*10)</f>
        <v>-24.8</v>
      </c>
      <c r="V6" s="54">
        <f>IF($O6="","",ROUND(($O6-$O$3)/1000,1)+(_xlfn.RANK.AVG($O6,($J6,$O6,$T6),1)-2)*10)</f>
        <v>26.3</v>
      </c>
      <c r="W6" s="55">
        <f>IF($T6="","",ROUND(($T6-$T$3)/1000,1)+(_xlfn.RANK.AVG($T6,($J6,$O6,$T6),1)-2)*10)</f>
        <v>-2.5</v>
      </c>
      <c r="Y6" s="8" t="s">
        <v>204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204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203</v>
      </c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2</v>
      </c>
      <c r="D7" s="18">
        <f t="shared" si="1"/>
        <v>1</v>
      </c>
      <c r="E7" s="4" t="s">
        <v>193</v>
      </c>
      <c r="F7" s="8" t="s">
        <v>198</v>
      </c>
      <c r="G7" s="9">
        <v>-9000</v>
      </c>
      <c r="H7" s="9"/>
      <c r="I7" s="48">
        <v>-1000</v>
      </c>
      <c r="J7" s="21">
        <f t="shared" si="2"/>
        <v>10200</v>
      </c>
      <c r="K7" s="8" t="s">
        <v>198</v>
      </c>
      <c r="L7" s="9">
        <v>-9000</v>
      </c>
      <c r="M7" s="9">
        <v>-1000</v>
      </c>
      <c r="N7" s="48">
        <v>-1000</v>
      </c>
      <c r="O7" s="21">
        <f t="shared" si="3"/>
        <v>40300</v>
      </c>
      <c r="P7" s="8" t="s">
        <v>199</v>
      </c>
      <c r="Q7" s="9">
        <v>18000</v>
      </c>
      <c r="R7" s="9">
        <v>2000</v>
      </c>
      <c r="S7" s="48">
        <v>2000</v>
      </c>
      <c r="T7" s="21">
        <f t="shared" si="4"/>
        <v>54500</v>
      </c>
      <c r="U7" s="53">
        <f>IF($J7="","",ROUND(($J7-$J$3)/1000,1)+(_xlfn.RANK.AVG($J7,($J7,$O7,$T7),1)-2)*10)</f>
        <v>-34.799999999999997</v>
      </c>
      <c r="V7" s="54">
        <f>IF($O7="","",ROUND(($O7-$O$3)/1000,1)+(_xlfn.RANK.AVG($O7,($J7,$O7,$T7),1)-2)*10)</f>
        <v>5.3</v>
      </c>
      <c r="W7" s="55">
        <f>IF($T7="","",ROUND(($T7-$T$3)/1000,1)+(_xlfn.RANK.AVG($T7,($J7,$O7,$T7),1)-2)*10)</f>
        <v>29.5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6</v>
      </c>
      <c r="BT7" s="30" t="s">
        <v>197</v>
      </c>
      <c r="BU7" s="40" t="s">
        <v>82</v>
      </c>
      <c r="BV7" s="41" t="s">
        <v>202</v>
      </c>
      <c r="BW7" s="41" t="s">
        <v>79</v>
      </c>
      <c r="BX7" s="41" t="s">
        <v>79</v>
      </c>
      <c r="BY7" s="41" t="s">
        <v>101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0</v>
      </c>
      <c r="E8" s="4" t="s">
        <v>193</v>
      </c>
      <c r="F8" s="8" t="s">
        <v>196</v>
      </c>
      <c r="G8" s="9">
        <v>-18000</v>
      </c>
      <c r="H8" s="9"/>
      <c r="I8" s="48">
        <v>-3000</v>
      </c>
      <c r="J8" s="21">
        <f t="shared" si="2"/>
        <v>-10800</v>
      </c>
      <c r="K8" s="8"/>
      <c r="L8" s="9"/>
      <c r="M8" s="9"/>
      <c r="N8" s="48"/>
      <c r="O8" s="21">
        <f t="shared" si="3"/>
        <v>40300</v>
      </c>
      <c r="P8" s="8" t="s">
        <v>195</v>
      </c>
      <c r="Q8" s="9">
        <v>18000</v>
      </c>
      <c r="R8" s="9"/>
      <c r="S8" s="48">
        <v>3000</v>
      </c>
      <c r="T8" s="21">
        <f t="shared" si="4"/>
        <v>75500</v>
      </c>
      <c r="U8" s="53">
        <f>IF($J8="","",ROUND(($J8-$J$3)/1000,1)+(_xlfn.RANK.AVG($J8,($J8,$O8,$T8),1)-2)*10)</f>
        <v>-55.8</v>
      </c>
      <c r="V8" s="54">
        <f>IF($O8="","",ROUND(($O8-$O$3)/1000,1)+(_xlfn.RANK.AVG($O8,($J8,$O8,$T8),1)-2)*10)</f>
        <v>5.3</v>
      </c>
      <c r="W8" s="55">
        <f>IF($T8="","",ROUND(($T8-$T$3)/1000,1)+(_xlfn.RANK.AVG($T8,($J8,$O8,$T8),1)-2)*10)</f>
        <v>50.5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6</v>
      </c>
      <c r="BT8" s="30" t="s">
        <v>197</v>
      </c>
      <c r="BU8" s="40" t="s">
        <v>104</v>
      </c>
      <c r="BV8" s="41" t="s">
        <v>79</v>
      </c>
      <c r="BW8" s="41" t="s">
        <v>79</v>
      </c>
      <c r="BX8" s="41" t="s">
        <v>79</v>
      </c>
      <c r="BY8" s="41" t="s">
        <v>202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40C9B154-D1F9-43F0-8FC9-EF6B9AE0FEC8}">
      <formula1>"たかの,だいち,ただ,りくと,れんたろう,まっつん,のり,ぱぱ,ほたに,"</formula1>
    </dataValidation>
    <dataValidation type="list" showInputMessage="1" showErrorMessage="1" sqref="K4:K30 P4:P30 F4:F30" xr:uid="{6EC5927D-852A-4E32-9E82-BB4F5AA39F1B}">
      <formula1>"ロン,ツモ,放銃,ツモ支払,流局,チョンボ"</formula1>
    </dataValidation>
    <dataValidation type="list" allowBlank="1" showInputMessage="1" showErrorMessage="1" sqref="E4:E30" xr:uid="{7EA5262F-55B9-481A-9E80-434C8E3AB79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7AD26-6A26-4229-9622-C4A62EFF73A3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198</v>
      </c>
      <c r="G4" s="9">
        <v>-1100</v>
      </c>
      <c r="H4" s="9"/>
      <c r="I4" s="48">
        <v>0</v>
      </c>
      <c r="J4" s="21">
        <f>IF(COUNTA($F4,$K4,$P4)&gt;0,J3+SUM(G4:I4),"")</f>
        <v>33900</v>
      </c>
      <c r="K4" s="8" t="s">
        <v>198</v>
      </c>
      <c r="L4" s="9">
        <v>-1100</v>
      </c>
      <c r="M4" s="9"/>
      <c r="N4" s="48">
        <v>0</v>
      </c>
      <c r="O4" s="21">
        <f>IF(COUNTA($F4,$K4,$P4)&gt;0,O3+SUM(L4:N4),"")</f>
        <v>33900</v>
      </c>
      <c r="P4" s="8" t="s">
        <v>199</v>
      </c>
      <c r="Q4" s="9">
        <v>2200</v>
      </c>
      <c r="R4" s="9"/>
      <c r="S4" s="48">
        <v>0</v>
      </c>
      <c r="T4" s="21">
        <f>IF(COUNTA($F4,$K4,$P4)&gt;0,T3+SUM(Q4:S4),"")</f>
        <v>37200</v>
      </c>
      <c r="U4" s="53">
        <f>IF($J4="","",ROUND(($J4-$J$3)/1000,1)+(_xlfn.RANK.AVG($J4,($J4,$O4,$T4),1)-2)*10)</f>
        <v>-6.1</v>
      </c>
      <c r="V4" s="54">
        <f>IF($O4="","",ROUND(($O4-$O$3)/1000,1)+(_xlfn.RANK.AVG($O4,($J4,$O4,$T4),1)-2)*10)</f>
        <v>-6.1</v>
      </c>
      <c r="W4" s="55">
        <f>IF($T4="","",ROUND(($T4-$T$3)/1000,1)+(_xlfn.RANK.AVG($T4,($J4,$O4,$T4),1)-2)*10)</f>
        <v>12.2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1</v>
      </c>
      <c r="BT4" s="30">
        <v>40</v>
      </c>
      <c r="BU4" s="40" t="s">
        <v>86</v>
      </c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199</v>
      </c>
      <c r="G5" s="9">
        <v>16000</v>
      </c>
      <c r="H5" s="9"/>
      <c r="I5" s="48">
        <v>1000</v>
      </c>
      <c r="J5" s="21">
        <f t="shared" ref="J5:J30" si="2">IF(COUNTA($F5,$K5,$P5)&gt;0,J4+SUM(G5:I5),"")</f>
        <v>50900</v>
      </c>
      <c r="K5" s="8" t="s">
        <v>198</v>
      </c>
      <c r="L5" s="9">
        <v>-6000</v>
      </c>
      <c r="M5" s="9"/>
      <c r="N5" s="48">
        <v>-500</v>
      </c>
      <c r="O5" s="21">
        <f t="shared" ref="O5:O30" si="3">IF(COUNTA($F5,$K5,$P5)&gt;0,O4+SUM(L5:N5),"")</f>
        <v>27400</v>
      </c>
      <c r="P5" s="8" t="s">
        <v>198</v>
      </c>
      <c r="Q5" s="9">
        <v>-10000</v>
      </c>
      <c r="R5" s="9"/>
      <c r="S5" s="48">
        <v>-500</v>
      </c>
      <c r="T5" s="21">
        <f t="shared" ref="T5:T30" si="4">IF(COUNTA($F5,$K5,$P5)&gt;0,T4+SUM(Q5:S5),"")</f>
        <v>26700</v>
      </c>
      <c r="U5" s="53">
        <f>IF($J5="","",ROUND(($J5-$J$3)/1000,1)+(_xlfn.RANK.AVG($J5,($J5,$O5,$T5),1)-2)*10)</f>
        <v>25.9</v>
      </c>
      <c r="V5" s="54">
        <f>IF($O5="","",ROUND(($O5-$O$3)/1000,1)+(_xlfn.RANK.AVG($O5,($J5,$O5,$T5),1)-2)*10)</f>
        <v>-7.6</v>
      </c>
      <c r="W5" s="55">
        <f>IF($T5="","",ROUND(($T5-$T$3)/1000,1)+(_xlfn.RANK.AVG($T5,($J5,$O5,$T5),1)-2)*10)</f>
        <v>-18.3</v>
      </c>
      <c r="Y5" s="8"/>
      <c r="Z5" s="34"/>
      <c r="AA5" s="26">
        <v>1</v>
      </c>
      <c r="AB5" s="26"/>
      <c r="AC5" s="26">
        <v>8</v>
      </c>
      <c r="AD5" s="30" t="s">
        <v>197</v>
      </c>
      <c r="AE5" s="40" t="s">
        <v>200</v>
      </c>
      <c r="AF5" s="41" t="s">
        <v>82</v>
      </c>
      <c r="AG5" s="41" t="s">
        <v>79</v>
      </c>
      <c r="AH5" s="41" t="s">
        <v>79</v>
      </c>
      <c r="AI5" s="41" t="s">
        <v>79</v>
      </c>
      <c r="AJ5" s="41" t="s">
        <v>79</v>
      </c>
      <c r="AK5" s="41" t="s">
        <v>80</v>
      </c>
      <c r="AL5" s="41" t="s">
        <v>86</v>
      </c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195</v>
      </c>
      <c r="G6" s="9">
        <v>2000</v>
      </c>
      <c r="H6" s="9"/>
      <c r="I6" s="48">
        <v>0</v>
      </c>
      <c r="J6" s="21">
        <f t="shared" si="2"/>
        <v>52900</v>
      </c>
      <c r="K6" s="8"/>
      <c r="L6" s="9"/>
      <c r="M6" s="9"/>
      <c r="N6" s="48"/>
      <c r="O6" s="21">
        <f t="shared" si="3"/>
        <v>27400</v>
      </c>
      <c r="P6" s="8" t="s">
        <v>196</v>
      </c>
      <c r="Q6" s="9">
        <v>-2000</v>
      </c>
      <c r="R6" s="9"/>
      <c r="S6" s="48">
        <v>0</v>
      </c>
      <c r="T6" s="21">
        <f t="shared" si="4"/>
        <v>24700</v>
      </c>
      <c r="U6" s="53">
        <f>IF($J6="","",ROUND(($J6-$J$3)/1000,1)+(_xlfn.RANK.AVG($J6,($J6,$O6,$T6),1)-2)*10)</f>
        <v>27.9</v>
      </c>
      <c r="V6" s="54">
        <f>IF($O6="","",ROUND(($O6-$O$3)/1000,1)+(_xlfn.RANK.AVG($O6,($J6,$O6,$T6),1)-2)*10)</f>
        <v>-7.6</v>
      </c>
      <c r="W6" s="55">
        <f>IF($T6="","",ROUND(($T6-$T$3)/1000,1)+(_xlfn.RANK.AVG($T6,($J6,$O6,$T6),1)-2)*10)</f>
        <v>-20.3</v>
      </c>
      <c r="Y6" s="8"/>
      <c r="Z6" s="34"/>
      <c r="AA6" s="26">
        <v>1</v>
      </c>
      <c r="AB6" s="26"/>
      <c r="AC6" s="26">
        <v>1</v>
      </c>
      <c r="AD6" s="30">
        <v>40</v>
      </c>
      <c r="AE6" s="40" t="s">
        <v>200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1</v>
      </c>
      <c r="D7" s="18">
        <f t="shared" si="1"/>
        <v>0</v>
      </c>
      <c r="E7" s="4" t="s">
        <v>191</v>
      </c>
      <c r="F7" s="8" t="s">
        <v>206</v>
      </c>
      <c r="G7" s="9">
        <v>1500</v>
      </c>
      <c r="H7" s="9">
        <v>-1000</v>
      </c>
      <c r="I7" s="48"/>
      <c r="J7" s="21">
        <f t="shared" si="2"/>
        <v>53400</v>
      </c>
      <c r="K7" s="8" t="s">
        <v>206</v>
      </c>
      <c r="L7" s="9">
        <v>-3000</v>
      </c>
      <c r="M7" s="9"/>
      <c r="N7" s="48"/>
      <c r="O7" s="21">
        <f t="shared" si="3"/>
        <v>24400</v>
      </c>
      <c r="P7" s="8" t="s">
        <v>206</v>
      </c>
      <c r="Q7" s="9">
        <v>1500</v>
      </c>
      <c r="R7" s="9"/>
      <c r="S7" s="48"/>
      <c r="T7" s="21">
        <f t="shared" si="4"/>
        <v>26200</v>
      </c>
      <c r="U7" s="53">
        <f>IF($J7="","",ROUND(($J7-$J$3)/1000,1)+(_xlfn.RANK.AVG($J7,($J7,$O7,$T7),1)-2)*10)</f>
        <v>28.4</v>
      </c>
      <c r="V7" s="54">
        <f>IF($O7="","",ROUND(($O7-$O$3)/1000,1)+(_xlfn.RANK.AVG($O7,($J7,$O7,$T7),1)-2)*10)</f>
        <v>-20.6</v>
      </c>
      <c r="W7" s="55">
        <f>IF($T7="","",ROUND(($T7-$T$3)/1000,1)+(_xlfn.RANK.AVG($T7,($J7,$O7,$T7),1)-2)*10)</f>
        <v>-8.8000000000000007</v>
      </c>
      <c r="Y7" s="8" t="s">
        <v>203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204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203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2</v>
      </c>
      <c r="D8" s="18">
        <f t="shared" si="1"/>
        <v>1</v>
      </c>
      <c r="E8" s="4" t="s">
        <v>191</v>
      </c>
      <c r="F8" s="8"/>
      <c r="G8" s="9"/>
      <c r="H8" s="9"/>
      <c r="I8" s="48"/>
      <c r="J8" s="21">
        <f t="shared" si="2"/>
        <v>53400</v>
      </c>
      <c r="K8" s="8" t="s">
        <v>196</v>
      </c>
      <c r="L8" s="9">
        <v>-5200</v>
      </c>
      <c r="M8" s="9"/>
      <c r="N8" s="48">
        <v>-2000</v>
      </c>
      <c r="O8" s="21">
        <f t="shared" si="3"/>
        <v>17200</v>
      </c>
      <c r="P8" s="8" t="s">
        <v>195</v>
      </c>
      <c r="Q8" s="9">
        <v>5200</v>
      </c>
      <c r="R8" s="9">
        <v>1000</v>
      </c>
      <c r="S8" s="48">
        <v>2000</v>
      </c>
      <c r="T8" s="21">
        <f t="shared" si="4"/>
        <v>34400</v>
      </c>
      <c r="U8" s="53">
        <f>IF($J8="","",ROUND(($J8-$J$3)/1000,1)+(_xlfn.RANK.AVG($J8,($J8,$O8,$T8),1)-2)*10)</f>
        <v>28.4</v>
      </c>
      <c r="V8" s="54">
        <f>IF($O8="","",ROUND(($O8-$O$3)/1000,1)+(_xlfn.RANK.AVG($O8,($J8,$O8,$T8),1)-2)*10)</f>
        <v>-27.8</v>
      </c>
      <c r="W8" s="55">
        <f>IF($T8="","",ROUND(($T8-$T$3)/1000,1)+(_xlfn.RANK.AVG($T8,($J8,$O8,$T8),1)-2)*10)</f>
        <v>-0.6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40</v>
      </c>
      <c r="BU8" s="40" t="s">
        <v>200</v>
      </c>
      <c r="BV8" s="41" t="s">
        <v>79</v>
      </c>
      <c r="BW8" s="41" t="s">
        <v>86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207</v>
      </c>
      <c r="G9" s="9">
        <v>-8000</v>
      </c>
      <c r="H9" s="9"/>
      <c r="I9" s="48"/>
      <c r="J9" s="21">
        <f t="shared" si="2"/>
        <v>45400</v>
      </c>
      <c r="K9" s="8" t="s">
        <v>207</v>
      </c>
      <c r="L9" s="9">
        <v>5000</v>
      </c>
      <c r="M9" s="9"/>
      <c r="N9" s="48"/>
      <c r="O9" s="21">
        <f t="shared" si="3"/>
        <v>22200</v>
      </c>
      <c r="P9" s="8" t="s">
        <v>207</v>
      </c>
      <c r="Q9" s="9">
        <v>3000</v>
      </c>
      <c r="R9" s="9"/>
      <c r="S9" s="48"/>
      <c r="T9" s="21">
        <f t="shared" si="4"/>
        <v>37400</v>
      </c>
      <c r="U9" s="53">
        <f>IF($J9="","",ROUND(($J9-$J$3)/1000,1)+(_xlfn.RANK.AVG($J9,($J9,$O9,$T9),1)-2)*10)</f>
        <v>20.399999999999999</v>
      </c>
      <c r="V9" s="54">
        <f>IF($O9="","",ROUND(($O9-$O$3)/1000,1)+(_xlfn.RANK.AVG($O9,($J9,$O9,$T9),1)-2)*10)</f>
        <v>-22.8</v>
      </c>
      <c r="W9" s="55">
        <f>IF($T9="","",ROUND(($T9-$T$3)/1000,1)+(_xlfn.RANK.AVG($T9,($J9,$O9,$T9),1)-2)*10)</f>
        <v>2.4</v>
      </c>
      <c r="Y9" s="8"/>
      <c r="Z9" s="34">
        <v>1</v>
      </c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192</v>
      </c>
      <c r="F10" s="8" t="s">
        <v>199</v>
      </c>
      <c r="G10" s="9">
        <v>7700</v>
      </c>
      <c r="H10" s="9"/>
      <c r="I10" s="48">
        <v>0</v>
      </c>
      <c r="J10" s="21">
        <f t="shared" si="2"/>
        <v>53100</v>
      </c>
      <c r="K10" s="8" t="s">
        <v>198</v>
      </c>
      <c r="L10" s="9">
        <v>-4800</v>
      </c>
      <c r="M10" s="9"/>
      <c r="N10" s="48">
        <v>0</v>
      </c>
      <c r="O10" s="21">
        <f t="shared" si="3"/>
        <v>17400</v>
      </c>
      <c r="P10" s="8" t="s">
        <v>198</v>
      </c>
      <c r="Q10" s="9">
        <v>-2900</v>
      </c>
      <c r="R10" s="9"/>
      <c r="S10" s="48">
        <v>0</v>
      </c>
      <c r="T10" s="21">
        <f t="shared" si="4"/>
        <v>34500</v>
      </c>
      <c r="U10" s="53">
        <f>IF($J10="","",ROUND(($J10-$J$3)/1000,1)+(_xlfn.RANK.AVG($J10,($J10,$O10,$T10),1)-2)*10)</f>
        <v>28.1</v>
      </c>
      <c r="V10" s="54">
        <f>IF($O10="","",ROUND(($O10-$O$3)/1000,1)+(_xlfn.RANK.AVG($O10,($J10,$O10,$T10),1)-2)*10)</f>
        <v>-27.6</v>
      </c>
      <c r="W10" s="55">
        <f>IF($T10="","",ROUND(($T10-$T$3)/1000,1)+(_xlfn.RANK.AVG($T10,($J10,$O10,$T10),1)-2)*10)</f>
        <v>-0.5</v>
      </c>
      <c r="Y10" s="8"/>
      <c r="Z10" s="34"/>
      <c r="AA10" s="26"/>
      <c r="AB10" s="26">
        <v>1</v>
      </c>
      <c r="AC10" s="26">
        <v>3</v>
      </c>
      <c r="AD10" s="30">
        <v>60</v>
      </c>
      <c r="AE10" s="40" t="s">
        <v>98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193</v>
      </c>
      <c r="F11" s="8" t="s">
        <v>206</v>
      </c>
      <c r="G11" s="9">
        <v>-3000</v>
      </c>
      <c r="H11" s="9"/>
      <c r="I11" s="48"/>
      <c r="J11" s="21">
        <f t="shared" si="2"/>
        <v>50100</v>
      </c>
      <c r="K11" s="8" t="s">
        <v>206</v>
      </c>
      <c r="L11" s="9">
        <v>1500</v>
      </c>
      <c r="M11" s="9">
        <v>-1000</v>
      </c>
      <c r="N11" s="48"/>
      <c r="O11" s="21">
        <f t="shared" si="3"/>
        <v>17900</v>
      </c>
      <c r="P11" s="8" t="s">
        <v>206</v>
      </c>
      <c r="Q11" s="9">
        <v>1500</v>
      </c>
      <c r="R11" s="9">
        <v>-1000</v>
      </c>
      <c r="S11" s="48"/>
      <c r="T11" s="21">
        <f t="shared" si="4"/>
        <v>35000</v>
      </c>
      <c r="U11" s="53">
        <f>IF($J11="","",ROUND(($J11-$J$3)/1000,1)+(_xlfn.RANK.AVG($J11,($J11,$O11,$T11),1)-2)*10)</f>
        <v>25.1</v>
      </c>
      <c r="V11" s="54">
        <f>IF($O11="","",ROUND(($O11-$O$3)/1000,1)+(_xlfn.RANK.AVG($O11,($J11,$O11,$T11),1)-2)*10)</f>
        <v>-27.1</v>
      </c>
      <c r="W11" s="55">
        <f>IF($T11="","",ROUND(($T11-$T$3)/1000,1)+(_xlfn.RANK.AVG($T11,($J11,$O11,$T11),1)-2)*10)</f>
        <v>0</v>
      </c>
      <c r="Y11" s="8" t="s">
        <v>204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203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203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2</v>
      </c>
      <c r="E12" s="4" t="s">
        <v>193</v>
      </c>
      <c r="F12" s="8" t="s">
        <v>206</v>
      </c>
      <c r="G12" s="9">
        <v>1500</v>
      </c>
      <c r="H12" s="9">
        <v>-1000</v>
      </c>
      <c r="I12" s="48"/>
      <c r="J12" s="21">
        <f t="shared" si="2"/>
        <v>50600</v>
      </c>
      <c r="K12" s="8" t="s">
        <v>206</v>
      </c>
      <c r="L12" s="9">
        <v>-3000</v>
      </c>
      <c r="M12" s="9"/>
      <c r="N12" s="48"/>
      <c r="O12" s="21">
        <f t="shared" si="3"/>
        <v>14900</v>
      </c>
      <c r="P12" s="8" t="s">
        <v>206</v>
      </c>
      <c r="Q12" s="9">
        <v>1500</v>
      </c>
      <c r="R12" s="9"/>
      <c r="S12" s="48"/>
      <c r="T12" s="21">
        <f t="shared" si="4"/>
        <v>36500</v>
      </c>
      <c r="U12" s="53">
        <f>IF($J12="","",ROUND(($J12-$J$3)/1000,1)+(_xlfn.RANK.AVG($J12,($J12,$O12,$T12),1)-2)*10)</f>
        <v>25.6</v>
      </c>
      <c r="V12" s="54">
        <f>IF($O12="","",ROUND(($O12-$O$3)/1000,1)+(_xlfn.RANK.AVG($O12,($J12,$O12,$T12),1)-2)*10)</f>
        <v>-30.1</v>
      </c>
      <c r="W12" s="55">
        <f>IF($T12="","",ROUND(($T12-$T$3)/1000,1)+(_xlfn.RANK.AVG($T12,($J12,$O12,$T12),1)-2)*10)</f>
        <v>1.5</v>
      </c>
      <c r="Y12" s="8" t="s">
        <v>203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204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3</v>
      </c>
      <c r="E13" s="4" t="s">
        <v>193</v>
      </c>
      <c r="F13" s="8" t="s">
        <v>206</v>
      </c>
      <c r="G13" s="9">
        <v>1500</v>
      </c>
      <c r="H13" s="9">
        <v>-1000</v>
      </c>
      <c r="I13" s="48"/>
      <c r="J13" s="21">
        <f t="shared" si="2"/>
        <v>51100</v>
      </c>
      <c r="K13" s="8" t="s">
        <v>206</v>
      </c>
      <c r="L13" s="9">
        <v>-3000</v>
      </c>
      <c r="M13" s="9"/>
      <c r="N13" s="48"/>
      <c r="O13" s="21">
        <f t="shared" si="3"/>
        <v>11900</v>
      </c>
      <c r="P13" s="8" t="s">
        <v>206</v>
      </c>
      <c r="Q13" s="9">
        <v>1500</v>
      </c>
      <c r="R13" s="9">
        <v>-1000</v>
      </c>
      <c r="S13" s="48"/>
      <c r="T13" s="21">
        <f t="shared" si="4"/>
        <v>37000</v>
      </c>
      <c r="U13" s="53">
        <f>IF($J13="","",ROUND(($J13-$J$3)/1000,1)+(_xlfn.RANK.AVG($J13,($J13,$O13,$T13),1)-2)*10)</f>
        <v>26.1</v>
      </c>
      <c r="V13" s="54">
        <f>IF($O13="","",ROUND(($O13-$O$3)/1000,1)+(_xlfn.RANK.AVG($O13,($J13,$O13,$T13),1)-2)*10)</f>
        <v>-33.1</v>
      </c>
      <c r="W13" s="55">
        <f>IF($T13="","",ROUND(($T13-$T$3)/1000,1)+(_xlfn.RANK.AVG($T13,($J13,$O13,$T13),1)-2)*10)</f>
        <v>2</v>
      </c>
      <c r="Y13" s="8" t="s">
        <v>203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204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203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3</v>
      </c>
      <c r="D14" s="18">
        <f t="shared" si="1"/>
        <v>5</v>
      </c>
      <c r="E14" s="4" t="s">
        <v>193</v>
      </c>
      <c r="F14" s="8" t="s">
        <v>199</v>
      </c>
      <c r="G14" s="9">
        <v>2100</v>
      </c>
      <c r="H14" s="9">
        <v>5000</v>
      </c>
      <c r="I14" s="48">
        <v>3000</v>
      </c>
      <c r="J14" s="21">
        <f t="shared" si="2"/>
        <v>61200</v>
      </c>
      <c r="K14" s="8" t="s">
        <v>198</v>
      </c>
      <c r="L14" s="9">
        <v>-800</v>
      </c>
      <c r="M14" s="9"/>
      <c r="N14" s="48">
        <v>-1500</v>
      </c>
      <c r="O14" s="21">
        <f t="shared" si="3"/>
        <v>9600</v>
      </c>
      <c r="P14" s="8" t="s">
        <v>198</v>
      </c>
      <c r="Q14" s="9">
        <v>-1300</v>
      </c>
      <c r="R14" s="9"/>
      <c r="S14" s="48">
        <v>-1500</v>
      </c>
      <c r="T14" s="21">
        <f t="shared" si="4"/>
        <v>34200</v>
      </c>
      <c r="U14" s="53">
        <f>IF($J14="","",ROUND(($J14-$J$3)/1000,1)+(_xlfn.RANK.AVG($J14,($J14,$O14,$T14),1)-2)*10)</f>
        <v>36.200000000000003</v>
      </c>
      <c r="V14" s="54">
        <f>IF($O14="","",ROUND(($O14-$O$3)/1000,1)+(_xlfn.RANK.AVG($O14,($J14,$O14,$T14),1)-2)*10)</f>
        <v>-35.4</v>
      </c>
      <c r="W14" s="55">
        <f>IF($T14="","",ROUND(($T14-$T$3)/1000,1)+(_xlfn.RANK.AVG($T14,($J14,$O14,$T14),1)-2)*10)</f>
        <v>-0.8</v>
      </c>
      <c r="Y14" s="8"/>
      <c r="Z14" s="34"/>
      <c r="AA14" s="26"/>
      <c r="AB14" s="26">
        <v>1</v>
      </c>
      <c r="AC14" s="26">
        <v>2</v>
      </c>
      <c r="AD14" s="30">
        <v>30</v>
      </c>
      <c r="AE14" s="40" t="s">
        <v>86</v>
      </c>
      <c r="AF14" s="41" t="s">
        <v>86</v>
      </c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191</v>
      </c>
      <c r="F15" s="8"/>
      <c r="G15" s="9"/>
      <c r="H15" s="9"/>
      <c r="I15" s="48"/>
      <c r="J15" s="21">
        <f t="shared" si="2"/>
        <v>61200</v>
      </c>
      <c r="K15" s="8" t="s">
        <v>195</v>
      </c>
      <c r="L15" s="9">
        <v>2600</v>
      </c>
      <c r="M15" s="9"/>
      <c r="N15" s="48">
        <v>0</v>
      </c>
      <c r="O15" s="21">
        <f t="shared" si="3"/>
        <v>12200</v>
      </c>
      <c r="P15" s="8" t="s">
        <v>196</v>
      </c>
      <c r="Q15" s="9">
        <v>-2600</v>
      </c>
      <c r="R15" s="9"/>
      <c r="S15" s="48">
        <v>0</v>
      </c>
      <c r="T15" s="21">
        <f t="shared" si="4"/>
        <v>31600</v>
      </c>
      <c r="U15" s="53">
        <f>IF($J15="","",ROUND(($J15-$J$3)/1000,1)+(_xlfn.RANK.AVG($J15,($J15,$O15,$T15),1)-2)*10)</f>
        <v>36.200000000000003</v>
      </c>
      <c r="V15" s="54">
        <f>IF($O15="","",ROUND(($O15-$O$3)/1000,1)+(_xlfn.RANK.AVG($O15,($J15,$O15,$T15),1)-2)*10)</f>
        <v>-32.799999999999997</v>
      </c>
      <c r="W15" s="55">
        <f>IF($T15="","",ROUND(($T15-$T$3)/1000,1)+(_xlfn.RANK.AVG($T15,($J15,$O15,$T15),1)-2)*10)</f>
        <v>-3.4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>
        <v>2</v>
      </c>
      <c r="AY15" s="30">
        <v>40</v>
      </c>
      <c r="AZ15" s="40" t="s">
        <v>98</v>
      </c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">
        <v>192</v>
      </c>
      <c r="F16" s="8" t="s">
        <v>198</v>
      </c>
      <c r="G16" s="9">
        <v>-4500</v>
      </c>
      <c r="H16" s="9"/>
      <c r="I16" s="48">
        <v>0</v>
      </c>
      <c r="J16" s="21">
        <f t="shared" si="2"/>
        <v>56700</v>
      </c>
      <c r="K16" s="8" t="s">
        <v>198</v>
      </c>
      <c r="L16" s="9">
        <v>-7500</v>
      </c>
      <c r="M16" s="9"/>
      <c r="N16" s="48">
        <v>0</v>
      </c>
      <c r="O16" s="21">
        <f t="shared" si="3"/>
        <v>4700</v>
      </c>
      <c r="P16" s="8" t="s">
        <v>199</v>
      </c>
      <c r="Q16" s="9">
        <v>12000</v>
      </c>
      <c r="R16" s="9"/>
      <c r="S16" s="48">
        <v>0</v>
      </c>
      <c r="T16" s="21">
        <f t="shared" si="4"/>
        <v>43600</v>
      </c>
      <c r="U16" s="53">
        <f>IF($J16="","",ROUND(($J16-$J$3)/1000,1)+(_xlfn.RANK.AVG($J16,($J16,$O16,$T16),1)-2)*10)</f>
        <v>31.7</v>
      </c>
      <c r="V16" s="54">
        <f>IF($O16="","",ROUND(($O16-$O$3)/1000,1)+(_xlfn.RANK.AVG($O16,($J16,$O16,$T16),1)-2)*10)</f>
        <v>-40.299999999999997</v>
      </c>
      <c r="W16" s="55">
        <f>IF($T16="","",ROUND(($T16-$T$3)/1000,1)+(_xlfn.RANK.AVG($T16,($J16,$O16,$T16),1)-2)*10)</f>
        <v>8.6</v>
      </c>
      <c r="Y16" s="8"/>
      <c r="Z16" s="34"/>
      <c r="AA16" s="26"/>
      <c r="AB16" s="26">
        <v>1</v>
      </c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>
        <v>1</v>
      </c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>
        <v>6</v>
      </c>
      <c r="BT16" s="30" t="s">
        <v>197</v>
      </c>
      <c r="BU16" s="40" t="s">
        <v>200</v>
      </c>
      <c r="BV16" s="41" t="s">
        <v>82</v>
      </c>
      <c r="BW16" s="41" t="s">
        <v>101</v>
      </c>
      <c r="BX16" s="41" t="s">
        <v>79</v>
      </c>
      <c r="BY16" s="41" t="s">
        <v>79</v>
      </c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926C3F15-310C-4BB5-B72F-738DB7B951C2}">
      <formula1>$U$2:$W$2</formula1>
    </dataValidation>
    <dataValidation type="list" showInputMessage="1" showErrorMessage="1" sqref="K4:K30 P4:P30 F4:F30" xr:uid="{FAFEACAF-CE60-48FD-B64D-F0B428295537}">
      <formula1>"ロン,ツモ,放銃,ツモ支払,流局,チョンボ"</formula1>
    </dataValidation>
    <dataValidation type="list" allowBlank="1" showInputMessage="1" sqref="F1:T1" xr:uid="{F0AF35D5-8AE3-4AC6-BB8A-BFC3732933E5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B7788-D2C8-4E75-B28E-A87ADCEEBAED}">
  <sheetPr codeName="Sheet13">
    <pageSetUpPr fitToPage="1"/>
  </sheetPr>
  <dimension ref="A1:CI30"/>
  <sheetViews>
    <sheetView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195</v>
      </c>
      <c r="G4" s="9">
        <v>7700</v>
      </c>
      <c r="H4" s="9"/>
      <c r="I4" s="48">
        <v>0</v>
      </c>
      <c r="J4" s="21">
        <f>IF(COUNTA($F4,$K4,$P4)&gt;0,J3+SUM(G4:I4),"")</f>
        <v>42700</v>
      </c>
      <c r="K4" s="8"/>
      <c r="L4" s="9"/>
      <c r="M4" s="9"/>
      <c r="N4" s="48"/>
      <c r="O4" s="21">
        <f>IF(COUNTA($F4,$K4,$P4)&gt;0,O3+SUM(L4:N4),"")</f>
        <v>35000</v>
      </c>
      <c r="P4" s="8" t="s">
        <v>196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17.7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-17.7</v>
      </c>
      <c r="Y4" s="8"/>
      <c r="Z4" s="34"/>
      <c r="AA4" s="26"/>
      <c r="AB4" s="26">
        <v>1</v>
      </c>
      <c r="AC4" s="26">
        <v>3</v>
      </c>
      <c r="AD4" s="30">
        <v>40</v>
      </c>
      <c r="AE4" s="40" t="s">
        <v>104</v>
      </c>
      <c r="AF4" s="41" t="s">
        <v>202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195</v>
      </c>
      <c r="G5" s="9">
        <v>3900</v>
      </c>
      <c r="H5" s="9"/>
      <c r="I5" s="48">
        <v>1000</v>
      </c>
      <c r="J5" s="21">
        <f t="shared" ref="J5:J30" si="2">IF(COUNTA($F5,$K5,$P5)&gt;0,J4+SUM(G5:I5),"")</f>
        <v>47600</v>
      </c>
      <c r="K5" s="8"/>
      <c r="L5" s="9"/>
      <c r="M5" s="9"/>
      <c r="N5" s="48"/>
      <c r="O5" s="21">
        <f t="shared" ref="O5:O30" si="3">IF(COUNTA($F5,$K5,$P5)&gt;0,O4+SUM(L5:N5),"")</f>
        <v>35000</v>
      </c>
      <c r="P5" s="8" t="s">
        <v>196</v>
      </c>
      <c r="Q5" s="9">
        <v>-3900</v>
      </c>
      <c r="R5" s="9"/>
      <c r="S5" s="48">
        <v>-1000</v>
      </c>
      <c r="T5" s="21">
        <f t="shared" ref="T5:T30" si="4">IF(COUNTA($F5,$K5,$P5)&gt;0,T4+SUM(Q5:S5),"")</f>
        <v>22400</v>
      </c>
      <c r="U5" s="53">
        <f>IF($J5="","",ROUND(($J5-$J$3)/1000,1)+(_xlfn.RANK.AVG($J5,($J5,$O5,$T5),1)-2)*10)</f>
        <v>22.6</v>
      </c>
      <c r="V5" s="54">
        <f>IF($O5="","",ROUND(($O5-$O$3)/1000,1)+(_xlfn.RANK.AVG($O5,($J5,$O5,$T5),1)-2)*10)</f>
        <v>0</v>
      </c>
      <c r="W5" s="55">
        <f>IF($T5="","",ROUND(($T5-$T$3)/1000,1)+(_xlfn.RANK.AVG($T5,($J5,$O5,$T5),1)-2)*10)</f>
        <v>-22.6</v>
      </c>
      <c r="Y5" s="8"/>
      <c r="Z5" s="34"/>
      <c r="AA5" s="26"/>
      <c r="AB5" s="26">
        <v>1</v>
      </c>
      <c r="AC5" s="26">
        <v>2</v>
      </c>
      <c r="AD5" s="30">
        <v>40</v>
      </c>
      <c r="AE5" s="40" t="s">
        <v>86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 t="s">
        <v>195</v>
      </c>
      <c r="G6" s="9">
        <v>5800</v>
      </c>
      <c r="H6" s="9"/>
      <c r="I6" s="48">
        <v>2000</v>
      </c>
      <c r="J6" s="21">
        <f t="shared" si="2"/>
        <v>55400</v>
      </c>
      <c r="K6" s="8"/>
      <c r="L6" s="9"/>
      <c r="M6" s="9"/>
      <c r="N6" s="48"/>
      <c r="O6" s="21">
        <f t="shared" si="3"/>
        <v>35000</v>
      </c>
      <c r="P6" s="8" t="s">
        <v>196</v>
      </c>
      <c r="Q6" s="9">
        <v>-5800</v>
      </c>
      <c r="R6" s="9"/>
      <c r="S6" s="48">
        <v>-2000</v>
      </c>
      <c r="T6" s="21">
        <f t="shared" si="4"/>
        <v>14600</v>
      </c>
      <c r="U6" s="53">
        <f>IF($J6="","",ROUND(($J6-$J$3)/1000,1)+(_xlfn.RANK.AVG($J6,($J6,$O6,$T6),1)-2)*10)</f>
        <v>30.4</v>
      </c>
      <c r="V6" s="54">
        <f>IF($O6="","",ROUND(($O6-$O$3)/1000,1)+(_xlfn.RANK.AVG($O6,($J6,$O6,$T6),1)-2)*10)</f>
        <v>0</v>
      </c>
      <c r="W6" s="55">
        <f>IF($T6="","",ROUND(($T6-$T$3)/1000,1)+(_xlfn.RANK.AVG($T6,($J6,$O6,$T6),1)-2)*10)</f>
        <v>-30.4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86</v>
      </c>
      <c r="AF6" s="41" t="s">
        <v>79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191</v>
      </c>
      <c r="F7" s="8"/>
      <c r="G7" s="9"/>
      <c r="H7" s="9"/>
      <c r="I7" s="48"/>
      <c r="J7" s="21">
        <f t="shared" si="2"/>
        <v>55400</v>
      </c>
      <c r="K7" s="8" t="s">
        <v>195</v>
      </c>
      <c r="L7" s="9">
        <v>5200</v>
      </c>
      <c r="M7" s="9"/>
      <c r="N7" s="48">
        <v>3000</v>
      </c>
      <c r="O7" s="21">
        <f t="shared" si="3"/>
        <v>43200</v>
      </c>
      <c r="P7" s="8" t="s">
        <v>196</v>
      </c>
      <c r="Q7" s="9">
        <v>-5200</v>
      </c>
      <c r="R7" s="9"/>
      <c r="S7" s="48">
        <v>-3000</v>
      </c>
      <c r="T7" s="21">
        <f t="shared" si="4"/>
        <v>6400</v>
      </c>
      <c r="U7" s="53">
        <f>IF($J7="","",ROUND(($J7-$J$3)/1000,1)+(_xlfn.RANK.AVG($J7,($J7,$O7,$T7),1)-2)*10)</f>
        <v>30.4</v>
      </c>
      <c r="V7" s="54">
        <f>IF($O7="","",ROUND(($O7-$O$3)/1000,1)+(_xlfn.RANK.AVG($O7,($J7,$O7,$T7),1)-2)*10)</f>
        <v>8.1999999999999993</v>
      </c>
      <c r="W7" s="55">
        <f>IF($T7="","",ROUND(($T7-$T$3)/1000,1)+(_xlfn.RANK.AVG($T7,($J7,$O7,$T7),1)-2)*10)</f>
        <v>-38.6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3</v>
      </c>
      <c r="AY7" s="30">
        <v>40</v>
      </c>
      <c r="AZ7" s="40" t="s">
        <v>85</v>
      </c>
      <c r="BA7" s="41" t="s">
        <v>79</v>
      </c>
      <c r="BB7" s="41" t="s">
        <v>79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/>
      <c r="G8" s="9"/>
      <c r="H8" s="9"/>
      <c r="I8" s="48"/>
      <c r="J8" s="21">
        <f t="shared" si="2"/>
        <v>55400</v>
      </c>
      <c r="K8" s="8" t="s">
        <v>196</v>
      </c>
      <c r="L8" s="9">
        <v>-5200</v>
      </c>
      <c r="M8" s="9"/>
      <c r="N8" s="48">
        <v>0</v>
      </c>
      <c r="O8" s="21">
        <f t="shared" si="3"/>
        <v>38000</v>
      </c>
      <c r="P8" s="8" t="s">
        <v>195</v>
      </c>
      <c r="Q8" s="9">
        <v>5200</v>
      </c>
      <c r="R8" s="9"/>
      <c r="S8" s="48">
        <v>0</v>
      </c>
      <c r="T8" s="21">
        <f t="shared" si="4"/>
        <v>11600</v>
      </c>
      <c r="U8" s="53">
        <f>IF($J8="","",ROUND(($J8-$J$3)/1000,1)+(_xlfn.RANK.AVG($J8,($J8,$O8,$T8),1)-2)*10)</f>
        <v>30.4</v>
      </c>
      <c r="V8" s="54">
        <f>IF($O8="","",ROUND(($O8-$O$3)/1000,1)+(_xlfn.RANK.AVG($O8,($J8,$O8,$T8),1)-2)*10)</f>
        <v>3</v>
      </c>
      <c r="W8" s="55">
        <f>IF($T8="","",ROUND(($T8-$T$3)/1000,1)+(_xlfn.RANK.AVG($T8,($J8,$O8,$T8),1)-2)*10)</f>
        <v>-33.4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40</v>
      </c>
      <c r="BU8" s="40" t="s">
        <v>104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198</v>
      </c>
      <c r="G9" s="9">
        <v>-5800</v>
      </c>
      <c r="H9" s="9"/>
      <c r="I9" s="48">
        <v>0</v>
      </c>
      <c r="J9" s="21">
        <f t="shared" si="2"/>
        <v>49600</v>
      </c>
      <c r="K9" s="8" t="s">
        <v>198</v>
      </c>
      <c r="L9" s="9">
        <v>-5800</v>
      </c>
      <c r="M9" s="9"/>
      <c r="N9" s="48">
        <v>0</v>
      </c>
      <c r="O9" s="21">
        <f t="shared" si="3"/>
        <v>32200</v>
      </c>
      <c r="P9" s="8" t="s">
        <v>199</v>
      </c>
      <c r="Q9" s="9">
        <v>11600</v>
      </c>
      <c r="R9" s="9"/>
      <c r="S9" s="48">
        <v>0</v>
      </c>
      <c r="T9" s="21">
        <f t="shared" si="4"/>
        <v>23200</v>
      </c>
      <c r="U9" s="53">
        <f>IF($J9="","",ROUND(($J9-$J$3)/1000,1)+(_xlfn.RANK.AVG($J9,($J9,$O9,$T9),1)-2)*10)</f>
        <v>24.6</v>
      </c>
      <c r="V9" s="54">
        <f>IF($O9="","",ROUND(($O9-$O$3)/1000,1)+(_xlfn.RANK.AVG($O9,($J9,$O9,$T9),1)-2)*10)</f>
        <v>-2.8</v>
      </c>
      <c r="W9" s="55">
        <f>IF($T9="","",ROUND(($T9-$T$3)/1000,1)+(_xlfn.RANK.AVG($T9,($J9,$O9,$T9),1)-2)*10)</f>
        <v>-21.8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200</v>
      </c>
      <c r="BV9" s="41" t="s">
        <v>82</v>
      </c>
      <c r="BW9" s="41" t="s">
        <v>92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206</v>
      </c>
      <c r="G10" s="9">
        <v>-1500</v>
      </c>
      <c r="H10" s="9"/>
      <c r="I10" s="48"/>
      <c r="J10" s="21">
        <f t="shared" si="2"/>
        <v>48100</v>
      </c>
      <c r="K10" s="8" t="s">
        <v>206</v>
      </c>
      <c r="L10" s="9">
        <v>-1500</v>
      </c>
      <c r="M10" s="9"/>
      <c r="N10" s="48"/>
      <c r="O10" s="21">
        <f t="shared" si="3"/>
        <v>30700</v>
      </c>
      <c r="P10" s="8" t="s">
        <v>206</v>
      </c>
      <c r="Q10" s="9">
        <v>3000</v>
      </c>
      <c r="R10" s="9"/>
      <c r="S10" s="48"/>
      <c r="T10" s="21">
        <f t="shared" si="4"/>
        <v>26200</v>
      </c>
      <c r="U10" s="53">
        <f>IF($J10="","",ROUND(($J10-$J$3)/1000,1)+(_xlfn.RANK.AVG($J10,($J10,$O10,$T10),1)-2)*10)</f>
        <v>23.1</v>
      </c>
      <c r="V10" s="54">
        <f>IF($O10="","",ROUND(($O10-$O$3)/1000,1)+(_xlfn.RANK.AVG($O10,($J10,$O10,$T10),1)-2)*10)</f>
        <v>-4.3</v>
      </c>
      <c r="W10" s="55">
        <f>IF($T10="","",ROUND(($T10-$T$3)/1000,1)+(_xlfn.RANK.AVG($T10,($J10,$O10,$T10),1)-2)*10)</f>
        <v>-18.8</v>
      </c>
      <c r="Y10" s="8" t="s">
        <v>204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204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2</v>
      </c>
      <c r="D11" s="18">
        <f t="shared" si="1"/>
        <v>0</v>
      </c>
      <c r="E11" s="4" t="s">
        <v>193</v>
      </c>
      <c r="F11" s="8" t="s">
        <v>198</v>
      </c>
      <c r="G11" s="9">
        <v>-2000</v>
      </c>
      <c r="H11" s="9"/>
      <c r="I11" s="48">
        <v>-1000</v>
      </c>
      <c r="J11" s="21">
        <f t="shared" si="2"/>
        <v>45100</v>
      </c>
      <c r="K11" s="8" t="s">
        <v>199</v>
      </c>
      <c r="L11" s="9">
        <v>5300</v>
      </c>
      <c r="M11" s="9">
        <v>1000</v>
      </c>
      <c r="N11" s="48">
        <v>2000</v>
      </c>
      <c r="O11" s="21">
        <f t="shared" si="3"/>
        <v>39000</v>
      </c>
      <c r="P11" s="8" t="s">
        <v>198</v>
      </c>
      <c r="Q11" s="9">
        <v>-3300</v>
      </c>
      <c r="R11" s="9">
        <v>-1000</v>
      </c>
      <c r="S11" s="48">
        <v>-1000</v>
      </c>
      <c r="T11" s="21">
        <f t="shared" si="4"/>
        <v>20900</v>
      </c>
      <c r="U11" s="53">
        <f>IF($J11="","",ROUND(($J11-$J$3)/1000,1)+(_xlfn.RANK.AVG($J11,($J11,$O11,$T11),1)-2)*10)</f>
        <v>20.100000000000001</v>
      </c>
      <c r="V11" s="54">
        <f>IF($O11="","",ROUND(($O11-$O$3)/1000,1)+(_xlfn.RANK.AVG($O11,($J11,$O11,$T11),1)-2)*10)</f>
        <v>4</v>
      </c>
      <c r="W11" s="55">
        <f>IF($T11="","",ROUND(($T11-$T$3)/1000,1)+(_xlfn.RANK.AVG($T11,($J11,$O11,$T11),1)-2)*10)</f>
        <v>-24.1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3</v>
      </c>
      <c r="AY11" s="30">
        <v>40</v>
      </c>
      <c r="AZ11" s="40" t="s">
        <v>200</v>
      </c>
      <c r="BA11" s="41" t="s">
        <v>82</v>
      </c>
      <c r="BB11" s="41" t="s">
        <v>86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191</v>
      </c>
      <c r="F12" s="8" t="s">
        <v>198</v>
      </c>
      <c r="G12" s="9">
        <v>-5000</v>
      </c>
      <c r="H12" s="9"/>
      <c r="I12" s="48">
        <v>0</v>
      </c>
      <c r="J12" s="21">
        <f t="shared" si="2"/>
        <v>40100</v>
      </c>
      <c r="K12" s="8" t="s">
        <v>198</v>
      </c>
      <c r="L12" s="9">
        <v>-3000</v>
      </c>
      <c r="M12" s="9"/>
      <c r="N12" s="48">
        <v>0</v>
      </c>
      <c r="O12" s="21">
        <f t="shared" si="3"/>
        <v>36000</v>
      </c>
      <c r="P12" s="8" t="s">
        <v>199</v>
      </c>
      <c r="Q12" s="9">
        <v>8000</v>
      </c>
      <c r="R12" s="9"/>
      <c r="S12" s="48">
        <v>0</v>
      </c>
      <c r="T12" s="21">
        <f t="shared" si="4"/>
        <v>28900</v>
      </c>
      <c r="U12" s="53">
        <f>IF($J12="","",ROUND(($J12-$J$3)/1000,1)+(_xlfn.RANK.AVG($J12,($J12,$O12,$T12),1)-2)*10)</f>
        <v>15.1</v>
      </c>
      <c r="V12" s="54">
        <f>IF($O12="","",ROUND(($O12-$O$3)/1000,1)+(_xlfn.RANK.AVG($O12,($J12,$O12,$T12),1)-2)*10)</f>
        <v>1</v>
      </c>
      <c r="W12" s="55">
        <f>IF($T12="","",ROUND(($T12-$T$3)/1000,1)+(_xlfn.RANK.AVG($T12,($J12,$O12,$T12),1)-2)*10)</f>
        <v>-16.100000000000001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5</v>
      </c>
      <c r="BT12" s="30" t="s">
        <v>197</v>
      </c>
      <c r="BU12" s="40" t="s">
        <v>86</v>
      </c>
      <c r="BV12" s="41" t="s">
        <v>202</v>
      </c>
      <c r="BW12" s="41" t="s">
        <v>202</v>
      </c>
      <c r="BX12" s="41" t="s">
        <v>79</v>
      </c>
      <c r="BY12" s="41" t="s">
        <v>79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192</v>
      </c>
      <c r="F13" s="8" t="s">
        <v>198</v>
      </c>
      <c r="G13" s="9">
        <v>-2000</v>
      </c>
      <c r="H13" s="9"/>
      <c r="I13" s="48">
        <v>0</v>
      </c>
      <c r="J13" s="21">
        <f t="shared" si="2"/>
        <v>38100</v>
      </c>
      <c r="K13" s="8" t="s">
        <v>199</v>
      </c>
      <c r="L13" s="9">
        <v>4000</v>
      </c>
      <c r="M13" s="9"/>
      <c r="N13" s="48">
        <v>0</v>
      </c>
      <c r="O13" s="21">
        <f t="shared" si="3"/>
        <v>40000</v>
      </c>
      <c r="P13" s="8" t="s">
        <v>198</v>
      </c>
      <c r="Q13" s="9">
        <v>-2000</v>
      </c>
      <c r="R13" s="9"/>
      <c r="S13" s="48">
        <v>0</v>
      </c>
      <c r="T13" s="21">
        <f t="shared" si="4"/>
        <v>26900</v>
      </c>
      <c r="U13" s="53">
        <f>IF($J13="","",ROUND(($J13-$J$3)/1000,1)+(_xlfn.RANK.AVG($J13,($J13,$O13,$T13),1)-2)*10)</f>
        <v>3.1</v>
      </c>
      <c r="V13" s="54">
        <f>IF($O13="","",ROUND(($O13-$O$3)/1000,1)+(_xlfn.RANK.AVG($O13,($J13,$O13,$T13),1)-2)*10)</f>
        <v>15</v>
      </c>
      <c r="W13" s="55">
        <f>IF($T13="","",ROUND(($T13-$T$3)/1000,1)+(_xlfn.RANK.AVG($T13,($J13,$O13,$T13),1)-2)*10)</f>
        <v>-18.100000000000001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>
        <v>2</v>
      </c>
      <c r="AY13" s="30">
        <v>40</v>
      </c>
      <c r="AZ13" s="40" t="s">
        <v>82</v>
      </c>
      <c r="BA13" s="41" t="s">
        <v>79</v>
      </c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">
        <v>192</v>
      </c>
      <c r="F14" s="8" t="s">
        <v>198</v>
      </c>
      <c r="G14" s="9">
        <v>-6000</v>
      </c>
      <c r="H14" s="9"/>
      <c r="I14" s="48">
        <v>-500</v>
      </c>
      <c r="J14" s="21">
        <f t="shared" si="2"/>
        <v>31600</v>
      </c>
      <c r="K14" s="8" t="s">
        <v>198</v>
      </c>
      <c r="L14" s="9">
        <v>-10000</v>
      </c>
      <c r="M14" s="9"/>
      <c r="N14" s="48">
        <v>-500</v>
      </c>
      <c r="O14" s="21">
        <f t="shared" si="3"/>
        <v>29500</v>
      </c>
      <c r="P14" s="8" t="s">
        <v>199</v>
      </c>
      <c r="Q14" s="9">
        <v>16000</v>
      </c>
      <c r="R14" s="9"/>
      <c r="S14" s="48">
        <v>1000</v>
      </c>
      <c r="T14" s="21">
        <f t="shared" si="4"/>
        <v>43900</v>
      </c>
      <c r="U14" s="53">
        <f>IF($J14="","",ROUND(($J14-$J$3)/1000,1)+(_xlfn.RANK.AVG($J14,($J14,$O14,$T14),1)-2)*10)</f>
        <v>-3.4</v>
      </c>
      <c r="V14" s="54">
        <f>IF($O14="","",ROUND(($O14-$O$3)/1000,1)+(_xlfn.RANK.AVG($O14,($J14,$O14,$T14),1)-2)*10)</f>
        <v>-15.5</v>
      </c>
      <c r="W14" s="55">
        <f>IF($T14="","",ROUND(($T14-$T$3)/1000,1)+(_xlfn.RANK.AVG($T14,($J14,$O14,$T14),1)-2)*10)</f>
        <v>18.899999999999999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9</v>
      </c>
      <c r="BT14" s="30" t="s">
        <v>197</v>
      </c>
      <c r="BU14" s="40" t="s">
        <v>82</v>
      </c>
      <c r="BV14" s="41" t="s">
        <v>202</v>
      </c>
      <c r="BW14" s="41" t="s">
        <v>84</v>
      </c>
      <c r="BX14" s="41" t="s">
        <v>106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193</v>
      </c>
      <c r="F15" s="8"/>
      <c r="G15" s="9"/>
      <c r="H15" s="9"/>
      <c r="I15" s="48"/>
      <c r="J15" s="21">
        <f t="shared" si="2"/>
        <v>31600</v>
      </c>
      <c r="K15" s="8" t="s">
        <v>196</v>
      </c>
      <c r="L15" s="9">
        <v>-5800</v>
      </c>
      <c r="M15" s="9"/>
      <c r="N15" s="48">
        <v>0</v>
      </c>
      <c r="O15" s="21">
        <f t="shared" si="3"/>
        <v>23700</v>
      </c>
      <c r="P15" s="8" t="s">
        <v>195</v>
      </c>
      <c r="Q15" s="9">
        <v>5800</v>
      </c>
      <c r="R15" s="9"/>
      <c r="S15" s="48">
        <v>0</v>
      </c>
      <c r="T15" s="21">
        <f t="shared" si="4"/>
        <v>49700</v>
      </c>
      <c r="U15" s="53">
        <f>IF($J15="","",ROUND(($J15-$J$3)/1000,1)+(_xlfn.RANK.AVG($J15,($J15,$O15,$T15),1)-2)*10)</f>
        <v>-3.4</v>
      </c>
      <c r="V15" s="54">
        <f>IF($O15="","",ROUND(($O15-$O$3)/1000,1)+(_xlfn.RANK.AVG($O15,($J15,$O15,$T15),1)-2)*10)</f>
        <v>-21.3</v>
      </c>
      <c r="W15" s="55">
        <f>IF($T15="","",ROUND(($T15-$T$3)/1000,1)+(_xlfn.RANK.AVG($T15,($J15,$O15,$T15),1)-2)*10)</f>
        <v>24.7</v>
      </c>
      <c r="Y15" s="8"/>
      <c r="Z15" s="34"/>
      <c r="AA15" s="26"/>
      <c r="AB15" s="26">
        <v>1</v>
      </c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>
        <v>3</v>
      </c>
      <c r="BT15" s="30">
        <v>30</v>
      </c>
      <c r="BU15" s="40" t="s">
        <v>86</v>
      </c>
      <c r="BV15" s="41" t="s">
        <v>79</v>
      </c>
      <c r="BW15" s="41" t="s">
        <v>202</v>
      </c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">
        <v>193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C1C70F8B-711C-4B3D-8273-1B4058B86853}">
      <formula1>"たかの,だいち,ただ,りくと,れんたろう,まっつん,のり,ぱぱ,ほたに,"</formula1>
    </dataValidation>
    <dataValidation type="list" showInputMessage="1" showErrorMessage="1" sqref="K4:K30 P4:P30 F4:F30" xr:uid="{7452ACCA-3B90-4B6C-A8ED-8D913BCD01AD}">
      <formula1>"ロン,ツモ,放銃,ツモ支払,流局,チョンボ"</formula1>
    </dataValidation>
    <dataValidation type="list" allowBlank="1" showInputMessage="1" showErrorMessage="1" sqref="E4:E30" xr:uid="{502046DD-3399-4AAF-A117-BE9BBA8E635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2019-10-04T17:30:18Z</dcterms:modified>
</cp:coreProperties>
</file>