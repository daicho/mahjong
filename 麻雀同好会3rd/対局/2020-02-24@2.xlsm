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4670D606-B678-477D-998F-20C91636BC56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T14" i="19"/>
  <c r="O14" i="19"/>
  <c r="J14" i="19"/>
  <c r="D14" i="19"/>
  <c r="C14" i="19"/>
  <c r="B14" i="19"/>
  <c r="A14" i="19" s="1"/>
  <c r="T13" i="19"/>
  <c r="O13" i="19"/>
  <c r="J13" i="19"/>
  <c r="U13" i="19" s="1"/>
  <c r="D13" i="19"/>
  <c r="C13" i="19"/>
  <c r="B13" i="19"/>
  <c r="A13" i="19" s="1"/>
  <c r="T12" i="19"/>
  <c r="O12" i="19"/>
  <c r="J12" i="19"/>
  <c r="D12" i="19"/>
  <c r="C12" i="19"/>
  <c r="B12" i="19"/>
  <c r="A12" i="19"/>
  <c r="T11" i="19"/>
  <c r="O11" i="19"/>
  <c r="V11" i="19" s="1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4" i="19" l="1"/>
  <c r="W14" i="19"/>
  <c r="V14" i="19"/>
  <c r="W13" i="19"/>
  <c r="V13" i="19"/>
  <c r="U12" i="19"/>
  <c r="W12" i="19"/>
  <c r="V12" i="19"/>
  <c r="U11" i="19"/>
  <c r="W11" i="19"/>
  <c r="U9" i="19"/>
  <c r="V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<sst xmlns="http://schemas.openxmlformats.org/spreadsheetml/2006/main" count="611" uniqueCount="207">
  <si>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</si>
  <si>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</si>
  <si>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</si>
  <si>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</si>
  <si>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</si>
  <si>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</si>
  <si>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</si>
  <si>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</si>
  <si>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</si>
  <si>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</si>
  <si>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</si>
  <si>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</si>
  <si>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</si>
  <si>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</si>
  <si>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</si>
  <si>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</si>
  <si>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</si>
  <si>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</si>
  <si>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</si>
  <si>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</si>
  <si>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</si>
  <si>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</si>
  <si>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</si>
  <si>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</si>
  <si>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</si>
  <si>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</si>
  <si>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</si>
  <si>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</si>
  <si>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</si>
  <si>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</si>
  <si>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</si>
  <si>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</si>
  <si>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</si>
  <si>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</si>
  <si>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</si>
  <si>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</si>
  <si>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</si>
  <si>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</si>
  <si>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</si>
  <si>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</si>
  <si>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</si>
  <si>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</si>
  <si>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</si>
  <si>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</si>
  <si>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</si>
  <si>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</si>
  <si>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</si>
  <si>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</si>
  <si>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</si>
  <si>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</si>
  <si>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</si>
  <si>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</si>
  <si>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</si>
  <si>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</si>
  <si>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</si>
  <si>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</si>
  <si>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</si>
  <si>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</si>
  <si>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</si>
  <si>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</si>
  <si>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</si>
  <si>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</si>
  <si>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</si>
  <si>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</si>
  <si>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</si>
  <si>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</si>
  <si>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</si>
  <si>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</si>
  <si>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</si>
  <si>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</si>
  <si>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</si>
  <si>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</si>
  <si>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</si>
  <si>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</si>
  <si>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</si>
  <si>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</si>
  <si>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</si>
  <si>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</si>
  <si>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</si>
  <si>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</si>
  <si>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</si>
  <si>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</si>
  <si>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</si>
  <si>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</si>
  <si>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</si>
  <si>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</si>
  <si>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</si>
  <si>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</si>
  <si>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</si>
  <si>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</si>
  <si>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</si>
  <si>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</si>
  <si>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</si>
  <si>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</si>
  <si>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</si>
  <si>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</si>
  <si>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</si>
  <si>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</si>
  <si>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</si>
  <si>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</si>
  <si>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</si>
  <si>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</si>
  <si>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</si>
  <si>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</si>
  <si>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</si>
  <si>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</si>
  <si>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</si>
  <si>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</si>
  <si>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</si>
  <si>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</si>
  <si>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</si>
  <si>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</si>
  <si>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</si>
  <si>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</si>
  <si>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</si>
  <si>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</si>
  <si>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</si>
  <si>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</si>
  <si>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</si>
  <si>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</si>
  <si>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</si>
  <si>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</si>
  <si>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</si>
  <si>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</si>
  <si>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</si>
  <si>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</si>
  <si>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</si>
  <si>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</si>
  <si>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</si>
  <si>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</si>
  <si>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</si>
  <si>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</si>
  <si>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</si>
  <si>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</si>
  <si>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</si>
  <si>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</si>
  <si>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</si>
  <si>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</si>
  <si>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</si>
  <si>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</si>
  <si>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</si>
  <si>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</si>
  <si>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</si>
  <si>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</si>
  <si>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</si>
  <si>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</si>
  <si>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</si>
  <si>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</si>
  <si>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</si>
  <si>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</si>
  <si>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</si>
  <si>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</si>
  <si>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</si>
  <si>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</si>
  <si>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</si>
  <si>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</si>
  <si>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</si>
  <si>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</si>
  <si>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</si>
  <si>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</si>
  <si>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</si>
  <si>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</si>
  <si>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</si>
  <si>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</si>
  <si>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</si>
  <si>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</si>
  <si>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</si>
  <si>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</si>
  <si>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</si>
  <si>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</si>
  <si>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</si>
  <si>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</si>
  <si>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</si>
  <si>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</si>
  <si>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</si>
  <si>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</si>
  <si>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</si>
  <si>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</si>
  <si>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</si>
  <si>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</si>
  <si>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</si>
  <si>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</si>
  <si>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</si>
  <si>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</si>
  <si>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</si>
  <si>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</si>
  <si>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</si>
  <si>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</si>
  <si>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</si>
  <si>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</si>
  <si>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</si>
  <si>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</si>
  <si>
    <t>ただ</t>
    <phoneticPr fontId="1"/>
  </si>
  <si>
    <t>れんたろう</t>
  </si>
  <si>
    <t>れんたろう</t>
    <phoneticPr fontId="1"/>
  </si>
  <si>
    <t>だいち</t>
  </si>
  <si>
    <t>だいち</t>
    <phoneticPr fontId="1"/>
  </si>
  <si>
    <t>T</t>
  </si>
  <si>
    <t>N</t>
  </si>
  <si>
    <t>流局</t>
    <phoneticPr fontId="1"/>
  </si>
  <si>
    <t>ツモ</t>
  </si>
  <si>
    <t>ツモ支払</t>
  </si>
  <si>
    <t>*</t>
  </si>
  <si>
    <t>01</t>
  </si>
  <si>
    <t>ロン</t>
  </si>
  <si>
    <t>放銃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</si>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</sst>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192</v>
      </c>
      <c r="G1" s="67"/>
      <c r="H1" s="67"/>
      <c r="I1" s="68"/>
      <c r="J1" s="69"/>
      <c r="K1" s="66" t="s">
        <v>194</v>
      </c>
      <c r="L1" s="67"/>
      <c r="M1" s="67"/>
      <c r="N1" s="68"/>
      <c r="O1" s="69"/>
      <c r="P1" s="66" t="s">
        <v>196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ただ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れんたろう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だいち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ただ</v>
      </c>
      <c r="F4" s="8" t="s">
        <v>199</v>
      </c>
      <c r="G4" s="9">
        <v>1500</v>
      </c>
      <c r="H4" s="9"/>
      <c r="I4" s="48"/>
      <c r="J4" s="21">
        <f>IF(COUNTA($F4,$K4,$P4)&gt;0,J3+SUM(G4:I4),"")</f>
        <v>36500</v>
      </c>
      <c r="K4" s="8" t="s">
        <v>199</v>
      </c>
      <c r="L4" s="9">
        <v>-3000</v>
      </c>
      <c r="M4" s="9"/>
      <c r="N4" s="48"/>
      <c r="O4" s="21">
        <f>IF(COUNTA($F4,$K4,$P4)&gt;0,O3+SUM(L4:N4),"")</f>
        <v>32000</v>
      </c>
      <c r="P4" s="8" t="s">
        <v>199</v>
      </c>
      <c r="Q4" s="9">
        <v>1500</v>
      </c>
      <c r="R4" s="9"/>
      <c r="S4" s="48"/>
      <c r="T4" s="21">
        <f>IF(COUNTA($F4,$K4,$P4)&gt;0,T3+SUM(Q4:S4),"")</f>
        <v>36500</v>
      </c>
      <c r="U4" s="53">
        <f>IF($J4="","",ROUND(($J4-$J$3)/1000,1)+(_xlfn.RANK.AVG($J4,($J4,$O4,$T4),1)-2)*10)</f>
        <v>6.5</v>
      </c>
      <c r="V4" s="54">
        <f>IF($O4="","",ROUND(($O4-$O$3)/1000,1)+(_xlfn.RANK.AVG($O4,($J4,$O4,$T4),1)-2)*10)</f>
        <v>-13</v>
      </c>
      <c r="W4" s="55">
        <f>IF($T4="","",ROUND(($T4-$T$3)/1000,1)+(_xlfn.RANK.AVG($T4,($J4,$O4,$T4),1)-2)*10)</f>
        <v>6.5</v>
      </c>
      <c r="Y4" s="8" t="s">
        <v>197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198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197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200</v>
      </c>
      <c r="G5" s="9">
        <v>12000</v>
      </c>
      <c r="H5" s="9"/>
      <c r="I5" s="48">
        <v>1000</v>
      </c>
      <c r="J5" s="21">
        <f t="shared" ref="J5:J30" si="2">IF(COUNTA($F5,$K5,$P5)&gt;0,J4+SUM(G5:I5),"")</f>
        <v>49500</v>
      </c>
      <c r="K5" s="8" t="s">
        <v>201</v>
      </c>
      <c r="L5" s="9">
        <v>-6000</v>
      </c>
      <c r="M5" s="9"/>
      <c r="N5" s="48">
        <v>-500</v>
      </c>
      <c r="O5" s="21">
        <f t="shared" ref="O5:O30" si="3">IF(COUNTA($F5,$K5,$P5)&gt;0,O4+SUM(L5:N5),"")</f>
        <v>25500</v>
      </c>
      <c r="P5" s="8" t="s">
        <v>201</v>
      </c>
      <c r="Q5" s="9">
        <v>-6000</v>
      </c>
      <c r="R5" s="9"/>
      <c r="S5" s="48">
        <v>-500</v>
      </c>
      <c r="T5" s="21">
        <f t="shared" ref="T5:T30" si="4">IF(COUNTA($F5,$K5,$P5)&gt;0,T4+SUM(Q5:S5),"")</f>
        <v>30000</v>
      </c>
      <c r="U5" s="53">
        <f>IF($J5="","",ROUND(($J5-$J$3)/1000,1)+(_xlfn.RANK.AVG($J5,($J5,$O5,$T5),1)-2)*10)</f>
        <v>24.5</v>
      </c>
      <c r="V5" s="54">
        <f>IF($O5="","",ROUND(($O5-$O$3)/1000,1)+(_xlfn.RANK.AVG($O5,($J5,$O5,$T5),1)-2)*10)</f>
        <v>-19.5</v>
      </c>
      <c r="W5" s="55">
        <f>IF($T5="","",ROUND(($T5-$T$3)/1000,1)+(_xlfn.RANK.AVG($T5,($J5,$O5,$T5),1)-2)*10)</f>
        <v>-5</v>
      </c>
      <c r="Y5" s="8"/>
      <c r="Z5" s="34"/>
      <c r="AA5" s="26"/>
      <c r="AB5" s="26"/>
      <c r="AC5" s="26">
        <v>5</v>
      </c>
      <c r="AD5" s="30" t="s">
        <v>202</v>
      </c>
      <c r="AE5" s="40" t="s">
        <v>104</v>
      </c>
      <c r="AF5" s="41" t="s">
        <v>86</v>
      </c>
      <c r="AG5" s="41" t="s">
        <v>82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201</v>
      </c>
      <c r="G6" s="9">
        <v>-5000</v>
      </c>
      <c r="H6" s="9"/>
      <c r="I6" s="48">
        <v>-1000</v>
      </c>
      <c r="J6" s="21">
        <f t="shared" si="2"/>
        <v>43500</v>
      </c>
      <c r="K6" s="8" t="s">
        <v>200</v>
      </c>
      <c r="L6" s="9">
        <v>8000</v>
      </c>
      <c r="M6" s="9">
        <v>1000</v>
      </c>
      <c r="N6" s="48">
        <v>2000</v>
      </c>
      <c r="O6" s="21">
        <f t="shared" si="3"/>
        <v>36500</v>
      </c>
      <c r="P6" s="8" t="s">
        <v>201</v>
      </c>
      <c r="Q6" s="9">
        <v>-3000</v>
      </c>
      <c r="R6" s="9">
        <v>-1000</v>
      </c>
      <c r="S6" s="48">
        <v>-1000</v>
      </c>
      <c r="T6" s="21">
        <f t="shared" si="4"/>
        <v>25000</v>
      </c>
      <c r="U6" s="53">
        <f>IF($J6="","",ROUND(($J6-$J$3)/1000,1)+(_xlfn.RANK.AVG($J6,($J6,$O6,$T6),1)-2)*10)</f>
        <v>18.5</v>
      </c>
      <c r="V6" s="54">
        <f>IF($O6="","",ROUND(($O6-$O$3)/1000,1)+(_xlfn.RANK.AVG($O6,($J6,$O6,$T6),1)-2)*10)</f>
        <v>1.5</v>
      </c>
      <c r="W6" s="55">
        <f>IF($T6="","",ROUND(($T6-$T$3)/1000,1)+(_xlfn.RANK.AVG($T6,($J6,$O6,$T6),1)-2)*10)</f>
        <v>-20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202</v>
      </c>
      <c r="AZ6" s="40" t="s">
        <v>203</v>
      </c>
      <c r="BA6" s="41" t="s">
        <v>82</v>
      </c>
      <c r="BB6" s="41" t="s">
        <v>83</v>
      </c>
      <c r="BC6" s="41" t="s">
        <v>79</v>
      </c>
      <c r="BD6" s="41" t="s">
        <v>80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43500</v>
      </c>
      <c r="K7" s="8" t="s">
        <v>204</v>
      </c>
      <c r="L7" s="9">
        <v>7700</v>
      </c>
      <c r="M7" s="9"/>
      <c r="N7" s="48">
        <v>0</v>
      </c>
      <c r="O7" s="21">
        <f t="shared" si="3"/>
        <v>44200</v>
      </c>
      <c r="P7" s="8" t="s">
        <v>205</v>
      </c>
      <c r="Q7" s="9">
        <v>-7700</v>
      </c>
      <c r="R7" s="9"/>
      <c r="S7" s="48">
        <v>0</v>
      </c>
      <c r="T7" s="21">
        <f t="shared" si="4"/>
        <v>17300</v>
      </c>
      <c r="U7" s="53">
        <f>IF($J7="","",ROUND(($J7-$J$3)/1000,1)+(_xlfn.RANK.AVG($J7,($J7,$O7,$T7),1)-2)*10)</f>
        <v>8.5</v>
      </c>
      <c r="V7" s="54">
        <f>IF($O7="","",ROUND(($O7-$O$3)/1000,1)+(_xlfn.RANK.AVG($O7,($J7,$O7,$T7),1)-2)*10)</f>
        <v>19.2</v>
      </c>
      <c r="W7" s="55">
        <f>IF($T7="","",ROUND(($T7-$T$3)/1000,1)+(_xlfn.RANK.AVG($T7,($J7,$O7,$T7),1)-2)*10)</f>
        <v>-27.7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203</v>
      </c>
      <c r="BA7" s="41" t="s">
        <v>206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193</v>
      </c>
      <c r="F8" s="8" t="s">
        <v>200</v>
      </c>
      <c r="G8" s="9">
        <v>1200</v>
      </c>
      <c r="H8" s="9"/>
      <c r="I8" s="48">
        <v>1000</v>
      </c>
      <c r="J8" s="21">
        <f t="shared" si="2"/>
        <v>45700</v>
      </c>
      <c r="K8" s="8" t="s">
        <v>201</v>
      </c>
      <c r="L8" s="9">
        <v>-700</v>
      </c>
      <c r="M8" s="9"/>
      <c r="N8" s="48">
        <v>-500</v>
      </c>
      <c r="O8" s="21">
        <f t="shared" si="3"/>
        <v>43000</v>
      </c>
      <c r="P8" s="8" t="s">
        <v>201</v>
      </c>
      <c r="Q8" s="9">
        <v>-500</v>
      </c>
      <c r="R8" s="9"/>
      <c r="S8" s="48">
        <v>-500</v>
      </c>
      <c r="T8" s="21">
        <f t="shared" si="4"/>
        <v>16300</v>
      </c>
      <c r="U8" s="53">
        <f>IF($J8="","",ROUND(($J8-$J$3)/1000,1)+(_xlfn.RANK.AVG($J8,($J8,$O8,$T8),1)-2)*10)</f>
        <v>20.7</v>
      </c>
      <c r="V8" s="54">
        <f>IF($O8="","",ROUND(($O8-$O$3)/1000,1)+(_xlfn.RANK.AVG($O8,($J8,$O8,$T8),1)-2)*10)</f>
        <v>8</v>
      </c>
      <c r="W8" s="55">
        <f>IF($T8="","",ROUND(($T8-$T$3)/1000,1)+(_xlfn.RANK.AVG($T8,($J8,$O8,$T8),1)-2)*10)</f>
        <v>-28.7</v>
      </c>
      <c r="Y8" s="8"/>
      <c r="Z8" s="34"/>
      <c r="AA8" s="26"/>
      <c r="AB8" s="26">
        <v>1</v>
      </c>
      <c r="AC8" s="26">
        <v>1</v>
      </c>
      <c r="AD8" s="30">
        <v>30</v>
      </c>
      <c r="AE8" s="40" t="s">
        <v>86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205</v>
      </c>
      <c r="G9" s="9">
        <v>-2000</v>
      </c>
      <c r="H9" s="9">
        <v>-1000</v>
      </c>
      <c r="I9" s="48">
        <v>0</v>
      </c>
      <c r="J9" s="21">
        <f t="shared" si="2"/>
        <v>42700</v>
      </c>
      <c r="K9" s="8" t="s">
        <v>204</v>
      </c>
      <c r="L9" s="9">
        <v>2000</v>
      </c>
      <c r="M9" s="9">
        <v>1000</v>
      </c>
      <c r="N9" s="48">
        <v>0</v>
      </c>
      <c r="O9" s="21">
        <f t="shared" si="3"/>
        <v>46000</v>
      </c>
      <c r="P9" s="8"/>
      <c r="Q9" s="9"/>
      <c r="R9" s="9"/>
      <c r="S9" s="48"/>
      <c r="T9" s="21">
        <f t="shared" si="4"/>
        <v>16300</v>
      </c>
      <c r="U9" s="53">
        <f>IF($J9="","",ROUND(($J9-$J$3)/1000,1)+(_xlfn.RANK.AVG($J9,($J9,$O9,$T9),1)-2)*10)</f>
        <v>7.7</v>
      </c>
      <c r="V9" s="54">
        <f>IF($O9="","",ROUND(($O9-$O$3)/1000,1)+(_xlfn.RANK.AVG($O9,($J9,$O9,$T9),1)-2)*10)</f>
        <v>21</v>
      </c>
      <c r="W9" s="55">
        <f>IF($T9="","",ROUND(($T9-$T$3)/1000,1)+(_xlfn.RANK.AVG($T9,($J9,$O9,$T9),1)-2)*10)</f>
        <v>-28.7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2</v>
      </c>
      <c r="AY9" s="30">
        <v>30</v>
      </c>
      <c r="AZ9" s="40" t="s">
        <v>203</v>
      </c>
      <c r="BA9" s="41" t="s">
        <v>83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/>
      <c r="G10" s="9"/>
      <c r="H10" s="9"/>
      <c r="I10" s="48"/>
      <c r="J10" s="21">
        <f t="shared" si="2"/>
        <v>42700</v>
      </c>
      <c r="K10" s="8" t="s">
        <v>204</v>
      </c>
      <c r="L10" s="9">
        <v>8000</v>
      </c>
      <c r="M10" s="9"/>
      <c r="N10" s="48">
        <v>0</v>
      </c>
      <c r="O10" s="21">
        <f t="shared" si="3"/>
        <v>54000</v>
      </c>
      <c r="P10" s="8" t="s">
        <v>205</v>
      </c>
      <c r="Q10" s="9">
        <v>-8000</v>
      </c>
      <c r="R10" s="9"/>
      <c r="S10" s="48">
        <v>0</v>
      </c>
      <c r="T10" s="21">
        <f t="shared" si="4"/>
        <v>8300</v>
      </c>
      <c r="U10" s="53">
        <f>IF($J10="","",ROUND(($J10-$J$3)/1000,1)+(_xlfn.RANK.AVG($J10,($J10,$O10,$T10),1)-2)*10)</f>
        <v>7.7</v>
      </c>
      <c r="V10" s="54">
        <f>IF($O10="","",ROUND(($O10-$O$3)/1000,1)+(_xlfn.RANK.AVG($O10,($J10,$O10,$T10),1)-2)*10)</f>
        <v>29</v>
      </c>
      <c r="W10" s="55">
        <f>IF($T10="","",ROUND(($T10-$T$3)/1000,1)+(_xlfn.RANK.AVG($T10,($J10,$O10,$T10),1)-2)*10)</f>
        <v>-36.700000000000003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202</v>
      </c>
      <c r="AZ10" s="40" t="s">
        <v>203</v>
      </c>
      <c r="BA10" s="41" t="s">
        <v>83</v>
      </c>
      <c r="BB10" s="41" t="s">
        <v>79</v>
      </c>
      <c r="BC10" s="41" t="s">
        <v>80</v>
      </c>
      <c r="BD10" s="41" t="s">
        <v>80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193</v>
      </c>
      <c r="F11" s="8"/>
      <c r="G11" s="9"/>
      <c r="H11" s="9"/>
      <c r="I11" s="48"/>
      <c r="J11" s="21">
        <f t="shared" si="2"/>
        <v>42700</v>
      </c>
      <c r="K11" s="8" t="s">
        <v>205</v>
      </c>
      <c r="L11" s="9">
        <v>-6400</v>
      </c>
      <c r="M11" s="9">
        <v>-1000</v>
      </c>
      <c r="N11" s="48">
        <v>0</v>
      </c>
      <c r="O11" s="21">
        <f t="shared" si="3"/>
        <v>46600</v>
      </c>
      <c r="P11" s="8" t="s">
        <v>204</v>
      </c>
      <c r="Q11" s="9">
        <v>6400</v>
      </c>
      <c r="R11" s="9">
        <v>1000</v>
      </c>
      <c r="S11" s="48">
        <v>0</v>
      </c>
      <c r="T11" s="21">
        <f t="shared" si="4"/>
        <v>15700</v>
      </c>
      <c r="U11" s="53">
        <f>IF($J11="","",ROUND(($J11-$J$3)/1000,1)+(_xlfn.RANK.AVG($J11,($J11,$O11,$T11),1)-2)*10)</f>
        <v>7.7</v>
      </c>
      <c r="V11" s="54">
        <f>IF($O11="","",ROUND(($O11-$O$3)/1000,1)+(_xlfn.RANK.AVG($O11,($J11,$O11,$T11),1)-2)*10)</f>
        <v>21.6</v>
      </c>
      <c r="W11" s="55">
        <f>IF($T11="","",ROUND(($T11-$T$3)/1000,1)+(_xlfn.RANK.AVG($T11,($J11,$O11,$T11),1)-2)*10)</f>
        <v>-29.3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3</v>
      </c>
      <c r="BT11" s="30">
        <v>50</v>
      </c>
      <c r="BU11" s="40" t="s">
        <v>98</v>
      </c>
      <c r="BV11" s="41" t="s">
        <v>86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201</v>
      </c>
      <c r="G12" s="9">
        <v>-3900</v>
      </c>
      <c r="H12" s="9"/>
      <c r="I12" s="48">
        <v>0</v>
      </c>
      <c r="J12" s="21">
        <f t="shared" si="2"/>
        <v>38800</v>
      </c>
      <c r="K12" s="8" t="s">
        <v>201</v>
      </c>
      <c r="L12" s="9">
        <v>-3900</v>
      </c>
      <c r="M12" s="9"/>
      <c r="N12" s="48">
        <v>0</v>
      </c>
      <c r="O12" s="21">
        <f t="shared" si="3"/>
        <v>42700</v>
      </c>
      <c r="P12" s="8" t="s">
        <v>200</v>
      </c>
      <c r="Q12" s="9">
        <v>7800</v>
      </c>
      <c r="R12" s="9"/>
      <c r="S12" s="48">
        <v>0</v>
      </c>
      <c r="T12" s="21">
        <f t="shared" si="4"/>
        <v>23500</v>
      </c>
      <c r="U12" s="53">
        <f>IF($J12="","",ROUND(($J12-$J$3)/1000,1)+(_xlfn.RANK.AVG($J12,($J12,$O12,$T12),1)-2)*10)</f>
        <v>3.8</v>
      </c>
      <c r="V12" s="54">
        <f>IF($O12="","",ROUND(($O12-$O$3)/1000,1)+(_xlfn.RANK.AVG($O12,($J12,$O12,$T12),1)-2)*10)</f>
        <v>17.7</v>
      </c>
      <c r="W12" s="55">
        <f>IF($T12="","",ROUND(($T12-$T$3)/1000,1)+(_xlfn.RANK.AVG($T12,($J12,$O12,$T12),1)-2)*10)</f>
        <v>-21.5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3</v>
      </c>
      <c r="BT12" s="30">
        <v>40</v>
      </c>
      <c r="BU12" s="40" t="s">
        <v>203</v>
      </c>
      <c r="BV12" s="41" t="s">
        <v>82</v>
      </c>
      <c r="BW12" s="41" t="s">
        <v>79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195</v>
      </c>
      <c r="F13" s="8" t="s">
        <v>201</v>
      </c>
      <c r="G13" s="9">
        <v>-6000</v>
      </c>
      <c r="H13" s="9"/>
      <c r="I13" s="48">
        <v>-500</v>
      </c>
      <c r="J13" s="21">
        <f t="shared" si="2"/>
        <v>32300</v>
      </c>
      <c r="K13" s="8" t="s">
        <v>201</v>
      </c>
      <c r="L13" s="9">
        <v>-6000</v>
      </c>
      <c r="M13" s="9"/>
      <c r="N13" s="48">
        <v>-500</v>
      </c>
      <c r="O13" s="21">
        <f t="shared" si="3"/>
        <v>36200</v>
      </c>
      <c r="P13" s="8" t="s">
        <v>200</v>
      </c>
      <c r="Q13" s="9">
        <v>12000</v>
      </c>
      <c r="R13" s="9"/>
      <c r="S13" s="48">
        <v>1000</v>
      </c>
      <c r="T13" s="21">
        <f t="shared" si="4"/>
        <v>36500</v>
      </c>
      <c r="U13" s="53">
        <f>IF($J13="","",ROUND(($J13-$J$3)/1000,1)+(_xlfn.RANK.AVG($J13,($J13,$O13,$T13),1)-2)*10)</f>
        <v>-12.7</v>
      </c>
      <c r="V13" s="54">
        <f>IF($O13="","",ROUND(($O13-$O$3)/1000,1)+(_xlfn.RANK.AVG($O13,($J13,$O13,$T13),1)-2)*10)</f>
        <v>1.2</v>
      </c>
      <c r="W13" s="55">
        <f>IF($T13="","",ROUND(($T13-$T$3)/1000,1)+(_xlfn.RANK.AVG($T13,($J13,$O13,$T13),1)-2)*10)</f>
        <v>11.5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4</v>
      </c>
      <c r="BT13" s="30">
        <v>40</v>
      </c>
      <c r="BU13" s="40" t="s">
        <v>104</v>
      </c>
      <c r="BV13" s="41" t="s">
        <v>86</v>
      </c>
      <c r="BW13" s="41" t="s">
        <v>206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2</v>
      </c>
      <c r="D14" s="18">
        <f t="shared" si="1"/>
        <v>0</v>
      </c>
      <c r="E14" s="4" t="s">
        <v>195</v>
      </c>
      <c r="F14" s="8" t="s">
        <v>201</v>
      </c>
      <c r="G14" s="9">
        <v>-6000</v>
      </c>
      <c r="H14" s="9"/>
      <c r="I14" s="48">
        <v>-1000</v>
      </c>
      <c r="J14" s="21">
        <f t="shared" si="2"/>
        <v>25300</v>
      </c>
      <c r="K14" s="8" t="s">
        <v>200</v>
      </c>
      <c r="L14" s="9">
        <v>16000</v>
      </c>
      <c r="M14" s="9"/>
      <c r="N14" s="48">
        <v>2000</v>
      </c>
      <c r="O14" s="21">
        <f t="shared" si="3"/>
        <v>54200</v>
      </c>
      <c r="P14" s="8" t="s">
        <v>201</v>
      </c>
      <c r="Q14" s="9">
        <v>-10000</v>
      </c>
      <c r="R14" s="9"/>
      <c r="S14" s="48">
        <v>-1000</v>
      </c>
      <c r="T14" s="21">
        <f t="shared" si="4"/>
        <v>25500</v>
      </c>
      <c r="U14" s="53">
        <f>IF($J14="","",ROUND(($J14-$J$3)/1000,1)+(_xlfn.RANK.AVG($J14,($J14,$O14,$T14),1)-2)*10)</f>
        <v>-19.7</v>
      </c>
      <c r="V14" s="54">
        <f>IF($O14="","",ROUND(($O14-$O$3)/1000,1)+(_xlfn.RANK.AVG($O14,($J14,$O14,$T14),1)-2)*10)</f>
        <v>29.2</v>
      </c>
      <c r="W14" s="55">
        <f>IF($T14="","",ROUND(($T14-$T$3)/1000,1)+(_xlfn.RANK.AVG($T14,($J14,$O14,$T14),1)-2)*10)</f>
        <v>-9.5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9</v>
      </c>
      <c r="AY14" s="30" t="s">
        <v>202</v>
      </c>
      <c r="AZ14" s="40" t="s">
        <v>104</v>
      </c>
      <c r="BA14" s="41" t="s">
        <v>86</v>
      </c>
      <c r="BB14" s="41" t="s">
        <v>86</v>
      </c>
      <c r="BC14" s="41" t="s">
        <v>86</v>
      </c>
      <c r="BD14" s="41" t="s">
        <v>79</v>
      </c>
      <c r="BE14" s="41" t="s">
        <v>79</v>
      </c>
      <c r="BF14" s="41" t="s">
        <v>98</v>
      </c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西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191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40AFE5A-3EF8-4797-905C-C027082FD569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2020-02-24T02:16:12Z</dcterms:modified>
</cp:coreProperties>
</file>