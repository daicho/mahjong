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0FF36F12-F3E6-43BC-A48C-29CDDFBD4E5F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O12" i="21"/>
  <c r="J12" i="21"/>
  <c r="D12" i="21"/>
  <c r="C12" i="21"/>
  <c r="B12" i="21"/>
  <c r="A12" i="21"/>
  <c r="T11" i="21"/>
  <c r="O11" i="21"/>
  <c r="J11" i="21"/>
  <c r="U11" i="21" s="1"/>
  <c r="D11" i="21"/>
  <c r="C11" i="21"/>
  <c r="B11" i="21"/>
  <c r="A11" i="21"/>
  <c r="T10" i="21"/>
  <c r="O10" i="21"/>
  <c r="J10" i="21"/>
  <c r="U10" i="21" s="1"/>
  <c r="D10" i="21"/>
  <c r="C10" i="21"/>
  <c r="B10" i="21"/>
  <c r="A10" i="21" s="1"/>
  <c r="D8" i="21"/>
  <c r="D9" i="21" s="1"/>
  <c r="D7" i="21"/>
  <c r="D6" i="21"/>
  <c r="D5" i="21"/>
  <c r="C5" i="21"/>
  <c r="C6" i="21" s="1"/>
  <c r="C7" i="21" s="1"/>
  <c r="C8" i="21" s="1"/>
  <c r="C9" i="21" s="1"/>
  <c r="B5" i="21"/>
  <c r="B6" i="21" s="1"/>
  <c r="T4" i="21"/>
  <c r="W4" i="21" s="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C10" i="20"/>
  <c r="C11" i="20" s="1"/>
  <c r="D9" i="20"/>
  <c r="C9" i="20"/>
  <c r="D8" i="20"/>
  <c r="C8" i="20"/>
  <c r="D7" i="20"/>
  <c r="C7" i="20"/>
  <c r="D6" i="20"/>
  <c r="C6" i="20"/>
  <c r="D5" i="20"/>
  <c r="C5" i="20"/>
  <c r="B5" i="20"/>
  <c r="B6" i="20" s="1"/>
  <c r="T4" i="20"/>
  <c r="O4" i="20"/>
  <c r="V4" i="20" s="1"/>
  <c r="J4" i="20"/>
  <c r="J5" i="20" s="1"/>
  <c r="W3" i="20"/>
  <c r="V3" i="20"/>
  <c r="U3" i="20"/>
  <c r="W2" i="20"/>
  <c r="V2" i="20"/>
  <c r="U2" i="20"/>
  <c r="BO1" i="20"/>
  <c r="AT1" i="20"/>
  <c r="Y1" i="20"/>
  <c r="V12" i="21" l="1"/>
  <c r="W12" i="21"/>
  <c r="U12" i="21"/>
  <c r="W11" i="21"/>
  <c r="V11" i="21"/>
  <c r="V10" i="21"/>
  <c r="W10" i="21"/>
  <c r="J6" i="21"/>
  <c r="O6" i="21"/>
  <c r="B7" i="21"/>
  <c r="U4" i="21"/>
  <c r="V4" i="21"/>
  <c r="T5" i="21"/>
  <c r="V5" i="21" s="1"/>
  <c r="A5" i="21"/>
  <c r="A6" i="21" s="1"/>
  <c r="W4" i="20"/>
  <c r="J6" i="20"/>
  <c r="B7" i="20"/>
  <c r="U4" i="20"/>
  <c r="O5" i="20"/>
  <c r="U5" i="20" s="1"/>
  <c r="T5" i="20"/>
  <c r="A5" i="20"/>
  <c r="A6" i="20" s="1"/>
  <c r="W3" i="19"/>
  <c r="V3" i="19"/>
  <c r="U3" i="19"/>
  <c r="A7" i="21" l="1"/>
  <c r="U5" i="21"/>
  <c r="B8" i="21"/>
  <c r="A8" i="21" s="1"/>
  <c r="O7" i="21"/>
  <c r="W5" i="21"/>
  <c r="T6" i="21"/>
  <c r="V6" i="21" s="1"/>
  <c r="U6" i="21"/>
  <c r="J7" i="21"/>
  <c r="V5" i="20"/>
  <c r="O6" i="20"/>
  <c r="W5" i="20"/>
  <c r="T6" i="20"/>
  <c r="B8" i="20"/>
  <c r="A7" i="20"/>
  <c r="J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O8" i="21" l="1"/>
  <c r="J8" i="21"/>
  <c r="W6" i="21"/>
  <c r="T7" i="21"/>
  <c r="B9" i="21"/>
  <c r="A9" i="21" s="1"/>
  <c r="A8" i="20"/>
  <c r="U6" i="20"/>
  <c r="B9" i="20"/>
  <c r="A9" i="20" s="1"/>
  <c r="V6" i="20"/>
  <c r="O7" i="20"/>
  <c r="J8" i="20"/>
  <c r="W6" i="20"/>
  <c r="T7" i="20"/>
  <c r="V11" i="19"/>
  <c r="W11" i="19"/>
  <c r="V10" i="19"/>
  <c r="W10" i="19"/>
  <c r="W9" i="19"/>
  <c r="V9" i="19"/>
  <c r="U8" i="19"/>
  <c r="V8" i="19"/>
  <c r="W8" i="19"/>
  <c r="U7" i="19"/>
  <c r="W7" i="19"/>
  <c r="V7" i="19"/>
  <c r="V6" i="19"/>
  <c r="U6" i="19"/>
  <c r="W6" i="19"/>
  <c r="U4" i="19"/>
  <c r="V4" i="19"/>
  <c r="T5" i="19"/>
  <c r="W4" i="19"/>
  <c r="J5" i="19"/>
  <c r="O5" i="19"/>
  <c r="V5" i="19" s="1"/>
  <c r="T8" i="21" l="1"/>
  <c r="U8" i="21" s="1"/>
  <c r="W7" i="21"/>
  <c r="J9" i="21"/>
  <c r="U7" i="21"/>
  <c r="V7" i="21"/>
  <c r="O9" i="21"/>
  <c r="T8" i="20"/>
  <c r="W7" i="20"/>
  <c r="J9" i="20"/>
  <c r="O8" i="20"/>
  <c r="V7" i="20"/>
  <c r="U7" i="20"/>
  <c r="B10" i="20"/>
  <c r="A10" i="20" s="1"/>
  <c r="U5" i="19"/>
  <c r="W5" i="19"/>
  <c r="V8" i="21" l="1"/>
  <c r="W8" i="21"/>
  <c r="T9" i="21"/>
  <c r="W9" i="21" s="1"/>
  <c r="A11" i="20"/>
  <c r="B11" i="20"/>
  <c r="V8" i="20"/>
  <c r="O9" i="20"/>
  <c r="W8" i="20"/>
  <c r="T9" i="20"/>
  <c r="J10" i="20"/>
  <c r="U8" i="20"/>
  <c r="U9" i="21" l="1"/>
  <c r="V9" i="21"/>
  <c r="U9" i="20"/>
  <c r="U10" i="20"/>
  <c r="J11" i="20"/>
  <c r="W9" i="20"/>
  <c r="T10" i="20"/>
  <c r="V9" i="20"/>
  <c r="O10" i="20"/>
  <c r="U11" i="20" l="1"/>
  <c r="O11" i="20"/>
  <c r="V11" i="20" s="1"/>
  <c r="V10" i="20"/>
  <c r="W10" i="20"/>
  <c r="T11" i="20"/>
  <c r="W11" i="20" s="1"/>
</calcChain>
</file>

<file path=xl/sharedStrings.xml><?xml version="1.0" encoding="utf-8"?>
<sst xmlns="http://schemas.openxmlformats.org/spreadsheetml/2006/main" count="795" uniqueCount="208">
  <si>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</si>
  <si>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</si>
  <si>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</si>
  <si>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</si>
  <si>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</si>
  <si>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</si>
  <si>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</si>
  <si>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</si>
  <si>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</si>
  <si>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</si>
  <si>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</si>
  <si>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</si>
  <si>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</si>
  <si>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</si>
  <si>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</si>
  <si>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</si>
  <si>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</si>
  <si>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</si>
  <si>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</si>
  <si>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</si>
  <si>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</si>
  <si>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</si>
  <si>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</si>
  <si>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</si>
  <si>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</si>
  <si>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</si>
  <si>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</si>
  <si>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</si>
  <si>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</si>
  <si>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</si>
  <si>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</si>
  <si>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</si>
  <si>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</si>
  <si>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</si>
  <si>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</si>
  <si>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</si>
  <si>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</si>
  <si>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</si>
  <si>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</si>
  <si>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</si>
  <si>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</si>
  <si>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</si>
  <si>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</si>
  <si>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</si>
  <si>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</si>
  <si>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</si>
  <si>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</si>
  <si>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</si>
  <si>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</si>
  <si>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</si>
  <si>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</si>
  <si>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</si>
  <si>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</si>
  <si>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</si>
  <si>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</si>
  <si>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</si>
  <si>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</si>
  <si>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</si>
  <si>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</si>
  <si>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</si>
  <si>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</si>
  <si>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</si>
  <si>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</si>
  <si>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</si>
  <si>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</si>
  <si>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</si>
  <si>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</si>
  <si>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</si>
  <si>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</si>
  <si>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</si>
  <si>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</si>
  <si>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</si>
  <si>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</si>
  <si>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</si>
  <si>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</si>
  <si>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</si>
  <si>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</si>
  <si>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</si>
  <si>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</si>
  <si>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</si>
  <si>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</si>
  <si>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</si>
  <si>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</si>
  <si>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</si>
  <si>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</si>
  <si>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</si>
  <si>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</si>
  <si>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</si>
  <si>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</si>
  <si>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</si>
  <si>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</si>
  <si>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</si>
  <si>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</si>
  <si>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</si>
  <si>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</si>
  <si>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</si>
  <si>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</si>
  <si>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</si>
  <si>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</si>
  <si>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</si>
  <si>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</si>
  <si>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</si>
  <si>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</si>
  <si>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</si>
  <si>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</si>
  <si>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</si>
  <si>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</si>
  <si>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</si>
  <si>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</si>
  <si>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</si>
  <si>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</si>
  <si>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</si>
  <si>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</si>
  <si>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</si>
  <si>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</si>
  <si>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</si>
  <si>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</si>
  <si>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</si>
  <si>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</si>
  <si>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</si>
  <si>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</si>
  <si>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</si>
  <si>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</si>
  <si>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</si>
  <si>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</si>
  <si>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</si>
  <si>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</si>
  <si>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</si>
  <si>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</si>
  <si>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</si>
  <si>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</si>
  <si>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</si>
  <si>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</si>
  <si>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</si>
  <si>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</si>
  <si>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</si>
  <si>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</si>
  <si>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</si>
  <si>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</si>
  <si>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</si>
  <si>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</si>
  <si>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</si>
  <si>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</si>
  <si>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</si>
  <si>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</si>
  <si>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</si>
  <si>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</si>
  <si>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</si>
  <si>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</si>
  <si>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</si>
  <si>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</si>
  <si>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</si>
  <si>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</si>
  <si>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</si>
  <si>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</si>
  <si>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</si>
  <si>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</si>
  <si>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</si>
  <si>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</si>
  <si>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</si>
  <si>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</si>
  <si>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</si>
  <si>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</si>
  <si>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</si>
  <si>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</si>
  <si>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</si>
  <si>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</si>
  <si>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</si>
  <si>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</si>
  <si>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</si>
  <si>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</si>
  <si>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</si>
  <si>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</si>
  <si>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</si>
  <si>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</si>
  <si>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</si>
  <si>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</si>
  <si>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</si>
  <si>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</si>
  <si>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</si>
  <si>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</si>
  <si>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</si>
  <si>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</si>
  <si>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</si>
  <si>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</si>
  <si>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</si>
  <si>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</si>
  <si>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</si>
  <si>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</si>
  <si>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</si>
  <si>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</si>
  <si>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</si>
  <si>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</si>
  <si>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まっつん</t>
  </si>
  <si>
    <t>まっつん</t>
    <phoneticPr fontId="1"/>
  </si>
  <si>
    <t>ただ</t>
  </si>
  <si>
    <t>ただ</t>
    <phoneticPr fontId="1"/>
  </si>
  <si>
    <t>放銃</t>
  </si>
  <si>
    <t>ロン</t>
  </si>
  <si>
    <t>*</t>
  </si>
  <si>
    <t>01</t>
  </si>
  <si>
    <t>02</t>
  </si>
  <si>
    <t>ツモ支払</t>
  </si>
  <si>
    <t>ツモ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</si>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</sst>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topLeftCell="B1" zoomScale="85" zoomScaleNormal="85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-18000</v>
      </c>
      <c r="H4" s="9">
        <v>-1000</v>
      </c>
      <c r="I4" s="48">
        <v>0</v>
      </c>
      <c r="J4" s="21">
        <f>IF(COUNTA($F4,$K4,$P4)&gt;0,J3+SUM(G4:I4),"")</f>
        <v>16000</v>
      </c>
      <c r="K4" s="8" t="s">
        <v>198</v>
      </c>
      <c r="L4" s="9">
        <v>18000</v>
      </c>
      <c r="M4" s="9">
        <v>1000</v>
      </c>
      <c r="N4" s="48">
        <v>0</v>
      </c>
      <c r="O4" s="21">
        <f>IF(COUNTA($F4,$K4,$P4)&gt;0,O3+SUM(L4:N4),"")</f>
        <v>54000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-29</v>
      </c>
      <c r="V4" s="54">
        <f>IF($O4="","",ROUND(($O4-$O$3)/1000,1)+(_xlfn.RANK.AVG($O4,($J4,$O4,$T4),1)-2)*10)</f>
        <v>29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199</v>
      </c>
      <c r="AZ4" s="40" t="s">
        <v>200</v>
      </c>
      <c r="BA4" s="41" t="s">
        <v>201</v>
      </c>
      <c r="BB4" s="41" t="s">
        <v>79</v>
      </c>
      <c r="BC4" s="41" t="s">
        <v>79</v>
      </c>
      <c r="BD4" s="41" t="s">
        <v>101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-3000</v>
      </c>
      <c r="H5" s="9">
        <v>-1000</v>
      </c>
      <c r="I5" s="48">
        <v>-500</v>
      </c>
      <c r="J5" s="21">
        <f t="shared" ref="J5:J30" si="2">IF(COUNTA($F5,$K5,$P5)&gt;0,J4+SUM(G5:I5),"")</f>
        <v>11500</v>
      </c>
      <c r="K5" s="8" t="s">
        <v>202</v>
      </c>
      <c r="L5" s="9">
        <v>-5000</v>
      </c>
      <c r="M5" s="9"/>
      <c r="N5" s="48">
        <v>-500</v>
      </c>
      <c r="O5" s="21">
        <f t="shared" ref="O5:O30" si="3">IF(COUNTA($F5,$K5,$P5)&gt;0,O4+SUM(L5:N5),"")</f>
        <v>48500</v>
      </c>
      <c r="P5" s="8" t="s">
        <v>203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45000</v>
      </c>
      <c r="U5" s="53">
        <f>IF($J5="","",ROUND(($J5-$J$3)/1000,1)+(_xlfn.RANK.AVG($J5,($J5,$O5,$T5),1)-2)*10)</f>
        <v>-33.5</v>
      </c>
      <c r="V5" s="54">
        <f>IF($O5="","",ROUND(($O5-$O$3)/1000,1)+(_xlfn.RANK.AVG($O5,($J5,$O5,$T5),1)-2)*10)</f>
        <v>23.5</v>
      </c>
      <c r="W5" s="55">
        <f>IF($T5="","",ROUND(($T5-$T$3)/1000,1)+(_xlfn.RANK.AVG($T5,($J5,$O5,$T5),1)-2)*10)</f>
        <v>10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199</v>
      </c>
      <c r="BU5" s="40" t="s">
        <v>86</v>
      </c>
      <c r="BV5" s="41" t="s">
        <v>86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11500</v>
      </c>
      <c r="K6" s="8" t="s">
        <v>198</v>
      </c>
      <c r="L6" s="9">
        <v>3900</v>
      </c>
      <c r="M6" s="9"/>
      <c r="N6" s="48">
        <v>0</v>
      </c>
      <c r="O6" s="21">
        <f t="shared" si="3"/>
        <v>52400</v>
      </c>
      <c r="P6" s="8" t="s">
        <v>197</v>
      </c>
      <c r="Q6" s="9">
        <v>-3900</v>
      </c>
      <c r="R6" s="9"/>
      <c r="S6" s="48">
        <v>0</v>
      </c>
      <c r="T6" s="21">
        <f t="shared" si="4"/>
        <v>41100</v>
      </c>
      <c r="U6" s="53">
        <f>IF($J6="","",ROUND(($J6-$J$3)/1000,1)+(_xlfn.RANK.AVG($J6,($J6,$O6,$T6),1)-2)*10)</f>
        <v>-33.5</v>
      </c>
      <c r="V6" s="54">
        <f>IF($O6="","",ROUND(($O6-$O$3)/1000,1)+(_xlfn.RANK.AVG($O6,($J6,$O6,$T6),1)-2)*10)</f>
        <v>27.4</v>
      </c>
      <c r="W6" s="55">
        <f>IF($T6="","",ROUND(($T6-$T$3)/1000,1)+(_xlfn.RANK.AVG($T6,($J6,$O6,$T6),1)-2)*10)</f>
        <v>6.1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200</v>
      </c>
      <c r="BA6" s="41" t="s">
        <v>83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-700</v>
      </c>
      <c r="H7" s="9">
        <v>-1000</v>
      </c>
      <c r="I7" s="48">
        <v>0</v>
      </c>
      <c r="J7" s="21">
        <f t="shared" si="2"/>
        <v>9800</v>
      </c>
      <c r="K7" s="8" t="s">
        <v>203</v>
      </c>
      <c r="L7" s="9">
        <v>1200</v>
      </c>
      <c r="M7" s="9">
        <v>2000</v>
      </c>
      <c r="N7" s="48">
        <v>0</v>
      </c>
      <c r="O7" s="21">
        <f t="shared" si="3"/>
        <v>55600</v>
      </c>
      <c r="P7" s="8" t="s">
        <v>202</v>
      </c>
      <c r="Q7" s="9">
        <v>-500</v>
      </c>
      <c r="R7" s="9">
        <v>-1000</v>
      </c>
      <c r="S7" s="48">
        <v>0</v>
      </c>
      <c r="T7" s="21">
        <f t="shared" si="4"/>
        <v>39600</v>
      </c>
      <c r="U7" s="53">
        <f>IF($J7="","",ROUND(($J7-$J$3)/1000,1)+(_xlfn.RANK.AVG($J7,($J7,$O7,$T7),1)-2)*10)</f>
        <v>-35.200000000000003</v>
      </c>
      <c r="V7" s="54">
        <f>IF($O7="","",ROUND(($O7-$O$3)/1000,1)+(_xlfn.RANK.AVG($O7,($J7,$O7,$T7),1)-2)*10)</f>
        <v>30.6</v>
      </c>
      <c r="W7" s="55">
        <f>IF($T7="","",ROUND(($T7-$T$3)/1000,1)+(_xlfn.RANK.AVG($T7,($J7,$O7,$T7),1)-2)*10)</f>
        <v>4.5999999999999996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30</v>
      </c>
      <c r="AZ7" s="40" t="s">
        <v>85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9800</v>
      </c>
      <c r="K8" s="8" t="s">
        <v>198</v>
      </c>
      <c r="L8" s="9">
        <v>11600</v>
      </c>
      <c r="M8" s="9"/>
      <c r="N8" s="48">
        <v>0</v>
      </c>
      <c r="O8" s="21">
        <f t="shared" si="3"/>
        <v>67200</v>
      </c>
      <c r="P8" s="8" t="s">
        <v>197</v>
      </c>
      <c r="Q8" s="9">
        <v>-11600</v>
      </c>
      <c r="R8" s="9"/>
      <c r="S8" s="48">
        <v>0</v>
      </c>
      <c r="T8" s="21">
        <f t="shared" si="4"/>
        <v>28000</v>
      </c>
      <c r="U8" s="53">
        <f>IF($J8="","",ROUND(($J8-$J$3)/1000,1)+(_xlfn.RANK.AVG($J8,($J8,$O8,$T8),1)-2)*10)</f>
        <v>-35.200000000000003</v>
      </c>
      <c r="V8" s="54">
        <f>IF($O8="","",ROUND(($O8-$O$3)/1000,1)+(_xlfn.RANK.AVG($O8,($J8,$O8,$T8),1)-2)*10)</f>
        <v>42.2</v>
      </c>
      <c r="W8" s="55">
        <f>IF($T8="","",ROUND(($T8-$T$3)/1000,1)+(_xlfn.RANK.AVG($T8,($J8,$O8,$T8),1)-2)*10)</f>
        <v>-7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86</v>
      </c>
      <c r="BB8" s="41" t="s">
        <v>79</v>
      </c>
      <c r="BC8" s="41" t="s">
        <v>204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9800</v>
      </c>
      <c r="K9" s="8" t="s">
        <v>197</v>
      </c>
      <c r="L9" s="9">
        <v>-1300</v>
      </c>
      <c r="M9" s="9">
        <v>-1000</v>
      </c>
      <c r="N9" s="48">
        <v>-1000</v>
      </c>
      <c r="O9" s="21">
        <f t="shared" si="3"/>
        <v>63900</v>
      </c>
      <c r="P9" s="8" t="s">
        <v>198</v>
      </c>
      <c r="Q9" s="9">
        <v>1300</v>
      </c>
      <c r="R9" s="9">
        <v>1000</v>
      </c>
      <c r="S9" s="48">
        <v>1000</v>
      </c>
      <c r="T9" s="21">
        <f t="shared" si="4"/>
        <v>31300</v>
      </c>
      <c r="U9" s="53">
        <f>IF($J9="","",ROUND(($J9-$J$3)/1000,1)+(_xlfn.RANK.AVG($J9,($J9,$O9,$T9),1)-2)*10)</f>
        <v>-35.200000000000003</v>
      </c>
      <c r="V9" s="54">
        <f>IF($O9="","",ROUND(($O9-$O$3)/1000,1)+(_xlfn.RANK.AVG($O9,($J9,$O9,$T9),1)-2)*10)</f>
        <v>38.9</v>
      </c>
      <c r="W9" s="55">
        <f>IF($T9="","",ROUND(($T9-$T$3)/1000,1)+(_xlfn.RANK.AVG($T9,($J9,$O9,$T9),1)-2)*10)</f>
        <v>-3.7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40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-7700</v>
      </c>
      <c r="H10" s="9"/>
      <c r="I10" s="48">
        <v>0</v>
      </c>
      <c r="J10" s="21">
        <f t="shared" si="2"/>
        <v>2100</v>
      </c>
      <c r="K10" s="8"/>
      <c r="L10" s="9"/>
      <c r="M10" s="9">
        <v>-1000</v>
      </c>
      <c r="N10" s="48"/>
      <c r="O10" s="21">
        <f t="shared" si="3"/>
        <v>62900</v>
      </c>
      <c r="P10" s="8" t="s">
        <v>198</v>
      </c>
      <c r="Q10" s="9">
        <v>7700</v>
      </c>
      <c r="R10" s="9">
        <v>1000</v>
      </c>
      <c r="S10" s="48">
        <v>0</v>
      </c>
      <c r="T10" s="21">
        <f t="shared" si="4"/>
        <v>40000</v>
      </c>
      <c r="U10" s="53">
        <f>IF($J10="","",ROUND(($J10-$J$3)/1000,1)+(_xlfn.RANK.AVG($J10,($J10,$O10,$T10),1)-2)*10)</f>
        <v>-42.9</v>
      </c>
      <c r="V10" s="54">
        <f>IF($O10="","",ROUND(($O10-$O$3)/1000,1)+(_xlfn.RANK.AVG($O10,($J10,$O10,$T10),1)-2)*10)</f>
        <v>37.9</v>
      </c>
      <c r="W10" s="55">
        <f>IF($T10="","",ROUND(($T10-$T$3)/1000,1)+(_xlfn.RANK.AVG($T10,($J10,$O10,$T10),1)-2)*10)</f>
        <v>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200</v>
      </c>
      <c r="BV10" s="41" t="s">
        <v>79</v>
      </c>
      <c r="BW10" s="41" t="s">
        <v>204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202</v>
      </c>
      <c r="G11" s="9">
        <v>-6000</v>
      </c>
      <c r="H11" s="9"/>
      <c r="I11" s="48">
        <v>-500</v>
      </c>
      <c r="J11" s="21">
        <f t="shared" si="2"/>
        <v>-4400</v>
      </c>
      <c r="K11" s="8" t="s">
        <v>202</v>
      </c>
      <c r="L11" s="9">
        <v>-6000</v>
      </c>
      <c r="M11" s="9"/>
      <c r="N11" s="48">
        <v>-500</v>
      </c>
      <c r="O11" s="21">
        <f t="shared" si="3"/>
        <v>56400</v>
      </c>
      <c r="P11" s="8" t="s">
        <v>203</v>
      </c>
      <c r="Q11" s="9">
        <v>12000</v>
      </c>
      <c r="R11" s="9"/>
      <c r="S11" s="48">
        <v>1000</v>
      </c>
      <c r="T11" s="21">
        <f t="shared" si="4"/>
        <v>53000</v>
      </c>
      <c r="U11" s="53">
        <f>IF($J11="","",ROUND(($J11-$J$3)/1000,1)+(_xlfn.RANK.AVG($J11,($J11,$O11,$T11),1)-2)*10)</f>
        <v>-49.4</v>
      </c>
      <c r="V11" s="54">
        <f>IF($O11="","",ROUND(($O11-$O$3)/1000,1)+(_xlfn.RANK.AVG($O11,($J11,$O11,$T11),1)-2)*10)</f>
        <v>31.4</v>
      </c>
      <c r="W11" s="55">
        <f>IF($T11="","",ROUND(($T11-$T$3)/1000,1)+(_xlfn.RANK.AVG($T11,($J11,$O11,$T11),1)-2)*10)</f>
        <v>18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199</v>
      </c>
      <c r="BU11" s="40" t="s">
        <v>200</v>
      </c>
      <c r="BV11" s="41" t="s">
        <v>82</v>
      </c>
      <c r="BW11" s="41" t="s">
        <v>79</v>
      </c>
      <c r="BX11" s="41" t="s">
        <v>80</v>
      </c>
      <c r="BY11" s="41" t="s">
        <v>86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D2F6DB5-1B5A-48C9-AD3C-0C9946309E80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E20B6-80C3-4560-8220-4086E74EE55D}">
  <sheetPr codeName="Sheet11">
    <pageSetUpPr fitToPage="1"/>
  </sheetPr>
  <dimension ref="A1:CI30"/>
  <sheetViews>
    <sheetView zoomScale="85" zoomScaleNormal="85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-3000</v>
      </c>
      <c r="H4" s="9">
        <v>-1000</v>
      </c>
      <c r="I4" s="48">
        <v>0</v>
      </c>
      <c r="J4" s="21">
        <f>IF(COUNTA($F4,$K4,$P4)&gt;0,J3+SUM(G4:I4),"")</f>
        <v>31000</v>
      </c>
      <c r="K4" s="8" t="s">
        <v>202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203</v>
      </c>
      <c r="Q4" s="9">
        <v>6000</v>
      </c>
      <c r="R4" s="9">
        <v>1000</v>
      </c>
      <c r="S4" s="48">
        <v>0</v>
      </c>
      <c r="T4" s="21">
        <f>IF(COUNTA($F4,$K4,$P4)&gt;0,T3+SUM(Q4:S4),"")</f>
        <v>42000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200</v>
      </c>
      <c r="BV4" s="41" t="s">
        <v>82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202</v>
      </c>
      <c r="G5" s="9">
        <v>-5800</v>
      </c>
      <c r="H5" s="9"/>
      <c r="I5" s="48">
        <v>-500</v>
      </c>
      <c r="J5" s="21">
        <f t="shared" ref="J5:J30" si="2">IF(COUNTA($F5,$K5,$P5)&gt;0,J4+SUM(G5:I5),"")</f>
        <v>24700</v>
      </c>
      <c r="K5" s="8" t="s">
        <v>202</v>
      </c>
      <c r="L5" s="9">
        <v>-5800</v>
      </c>
      <c r="M5" s="9"/>
      <c r="N5" s="48">
        <v>-500</v>
      </c>
      <c r="O5" s="21">
        <f t="shared" ref="O5:O30" si="3">IF(COUNTA($F5,$K5,$P5)&gt;0,O4+SUM(L5:N5),"")</f>
        <v>25700</v>
      </c>
      <c r="P5" s="8" t="s">
        <v>203</v>
      </c>
      <c r="Q5" s="9">
        <v>11600</v>
      </c>
      <c r="R5" s="9"/>
      <c r="S5" s="48">
        <v>1000</v>
      </c>
      <c r="T5" s="21">
        <f t="shared" ref="T5:T30" si="4">IF(COUNTA($F5,$K5,$P5)&gt;0,T4+SUM(Q5:S5),"")</f>
        <v>54600</v>
      </c>
      <c r="U5" s="53">
        <f>IF($J5="","",ROUND(($J5-$J$3)/1000,1)+(_xlfn.RANK.AVG($J5,($J5,$O5,$T5),1)-2)*10)</f>
        <v>-20.3</v>
      </c>
      <c r="V5" s="54">
        <f>IF($O5="","",ROUND(($O5-$O$3)/1000,1)+(_xlfn.RANK.AVG($O5,($J5,$O5,$T5),1)-2)*10)</f>
        <v>-9.3000000000000007</v>
      </c>
      <c r="W5" s="55">
        <f>IF($T5="","",ROUND(($T5-$T$3)/1000,1)+(_xlfn.RANK.AVG($T5,($J5,$O5,$T5),1)-2)*10)</f>
        <v>29.6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4</v>
      </c>
      <c r="BT5" s="30">
        <v>30</v>
      </c>
      <c r="BU5" s="40" t="s">
        <v>82</v>
      </c>
      <c r="BV5" s="41" t="s">
        <v>204</v>
      </c>
      <c r="BW5" s="41" t="s">
        <v>204</v>
      </c>
      <c r="BX5" s="41" t="s">
        <v>84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202</v>
      </c>
      <c r="G6" s="9">
        <v>-12000</v>
      </c>
      <c r="H6" s="9">
        <v>-1000</v>
      </c>
      <c r="I6" s="48">
        <v>-1000</v>
      </c>
      <c r="J6" s="21">
        <f t="shared" si="2"/>
        <v>10700</v>
      </c>
      <c r="K6" s="8" t="s">
        <v>202</v>
      </c>
      <c r="L6" s="9">
        <v>-12000</v>
      </c>
      <c r="M6" s="9"/>
      <c r="N6" s="48">
        <v>-1000</v>
      </c>
      <c r="O6" s="21">
        <f t="shared" si="3"/>
        <v>12700</v>
      </c>
      <c r="P6" s="8" t="s">
        <v>203</v>
      </c>
      <c r="Q6" s="9">
        <v>24000</v>
      </c>
      <c r="R6" s="9">
        <v>1000</v>
      </c>
      <c r="S6" s="48">
        <v>2000</v>
      </c>
      <c r="T6" s="21">
        <f t="shared" si="4"/>
        <v>81600</v>
      </c>
      <c r="U6" s="53">
        <f>IF($J6="","",ROUND(($J6-$J$3)/1000,1)+(_xlfn.RANK.AVG($J6,($J6,$O6,$T6),1)-2)*10)</f>
        <v>-34.299999999999997</v>
      </c>
      <c r="V6" s="54">
        <f>IF($O6="","",ROUND(($O6-$O$3)/1000,1)+(_xlfn.RANK.AVG($O6,($J6,$O6,$T6),1)-2)*10)</f>
        <v>-22.3</v>
      </c>
      <c r="W6" s="55">
        <f>IF($T6="","",ROUND(($T6-$T$3)/1000,1)+(_xlfn.RANK.AVG($T6,($J6,$O6,$T6),1)-2)*10)</f>
        <v>56.6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8</v>
      </c>
      <c r="BT6" s="30" t="s">
        <v>199</v>
      </c>
      <c r="BU6" s="40" t="s">
        <v>200</v>
      </c>
      <c r="BV6" s="41" t="s">
        <v>82</v>
      </c>
      <c r="BW6" s="41" t="s">
        <v>201</v>
      </c>
      <c r="BX6" s="41" t="s">
        <v>79</v>
      </c>
      <c r="BY6" s="41" t="s">
        <v>79</v>
      </c>
      <c r="BZ6" s="41" t="s">
        <v>79</v>
      </c>
      <c r="CA6" s="41" t="s">
        <v>79</v>
      </c>
      <c r="CB6" s="41" t="s">
        <v>79</v>
      </c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10700</v>
      </c>
      <c r="K7" s="8" t="s">
        <v>197</v>
      </c>
      <c r="L7" s="9">
        <v>-5800</v>
      </c>
      <c r="M7" s="9"/>
      <c r="N7" s="48">
        <v>-3000</v>
      </c>
      <c r="O7" s="21">
        <f t="shared" si="3"/>
        <v>3900</v>
      </c>
      <c r="P7" s="8" t="s">
        <v>198</v>
      </c>
      <c r="Q7" s="9">
        <v>5800</v>
      </c>
      <c r="R7" s="9"/>
      <c r="S7" s="48">
        <v>3000</v>
      </c>
      <c r="T7" s="21">
        <f t="shared" si="4"/>
        <v>90400</v>
      </c>
      <c r="U7" s="53">
        <f>IF($J7="","",ROUND(($J7-$J$3)/1000,1)+(_xlfn.RANK.AVG($J7,($J7,$O7,$T7),1)-2)*10)</f>
        <v>-24.3</v>
      </c>
      <c r="V7" s="54">
        <f>IF($O7="","",ROUND(($O7-$O$3)/1000,1)+(_xlfn.RANK.AVG($O7,($J7,$O7,$T7),1)-2)*10)</f>
        <v>-41.1</v>
      </c>
      <c r="W7" s="55">
        <f>IF($T7="","",ROUND(($T7-$T$3)/1000,1)+(_xlfn.RANK.AVG($T7,($J7,$O7,$T7),1)-2)*10)</f>
        <v>65.400000000000006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86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195</v>
      </c>
      <c r="F8" s="8" t="s">
        <v>207</v>
      </c>
      <c r="G8" s="9">
        <v>1500</v>
      </c>
      <c r="H8" s="9">
        <v>-1000</v>
      </c>
      <c r="I8" s="48"/>
      <c r="J8" s="21">
        <f t="shared" si="2"/>
        <v>11200</v>
      </c>
      <c r="K8" s="8" t="s">
        <v>207</v>
      </c>
      <c r="L8" s="9">
        <v>1500</v>
      </c>
      <c r="M8" s="9">
        <v>-1000</v>
      </c>
      <c r="N8" s="48"/>
      <c r="O8" s="21">
        <f t="shared" si="3"/>
        <v>4400</v>
      </c>
      <c r="P8" s="8" t="s">
        <v>207</v>
      </c>
      <c r="Q8" s="9">
        <v>-3000</v>
      </c>
      <c r="R8" s="9"/>
      <c r="S8" s="48"/>
      <c r="T8" s="21">
        <f t="shared" si="4"/>
        <v>87400</v>
      </c>
      <c r="U8" s="53">
        <f>IF($J8="","",ROUND(($J8-$J$3)/1000,1)+(_xlfn.RANK.AVG($J8,($J8,$O8,$T8),1)-2)*10)</f>
        <v>-23.8</v>
      </c>
      <c r="V8" s="54">
        <f>IF($O8="","",ROUND(($O8-$O$3)/1000,1)+(_xlfn.RANK.AVG($O8,($J8,$O8,$T8),1)-2)*10)</f>
        <v>-40.6</v>
      </c>
      <c r="W8" s="55">
        <f>IF($T8="","",ROUND(($T8-$T$3)/1000,1)+(_xlfn.RANK.AVG($T8,($J8,$O8,$T8),1)-2)*10)</f>
        <v>62.4</v>
      </c>
      <c r="Y8" s="8" t="s">
        <v>205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206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2</v>
      </c>
      <c r="E9" s="4" t="s">
        <v>191</v>
      </c>
      <c r="F9" s="8" t="s">
        <v>203</v>
      </c>
      <c r="G9" s="9">
        <v>6000</v>
      </c>
      <c r="H9" s="9">
        <v>2000</v>
      </c>
      <c r="I9" s="48">
        <v>5000</v>
      </c>
      <c r="J9" s="21">
        <f t="shared" si="2"/>
        <v>24200</v>
      </c>
      <c r="K9" s="8" t="s">
        <v>202</v>
      </c>
      <c r="L9" s="9">
        <v>-3000</v>
      </c>
      <c r="M9" s="9"/>
      <c r="N9" s="48">
        <v>-2500</v>
      </c>
      <c r="O9" s="21">
        <f t="shared" si="3"/>
        <v>-1100</v>
      </c>
      <c r="P9" s="8" t="s">
        <v>202</v>
      </c>
      <c r="Q9" s="9">
        <v>-3000</v>
      </c>
      <c r="R9" s="9"/>
      <c r="S9" s="48">
        <v>-2500</v>
      </c>
      <c r="T9" s="21">
        <f t="shared" si="4"/>
        <v>81900</v>
      </c>
      <c r="U9" s="53">
        <f>IF($J9="","",ROUND(($J9-$J$3)/1000,1)+(_xlfn.RANK.AVG($J9,($J9,$O9,$T9),1)-2)*10)</f>
        <v>-10.8</v>
      </c>
      <c r="V9" s="54">
        <f>IF($O9="","",ROUND(($O9-$O$3)/1000,1)+(_xlfn.RANK.AVG($O9,($J9,$O9,$T9),1)-2)*10)</f>
        <v>-46.1</v>
      </c>
      <c r="W9" s="55">
        <f>IF($T9="","",ROUND(($T9-$T$3)/1000,1)+(_xlfn.RANK.AVG($T9,($J9,$O9,$T9),1)-2)*10)</f>
        <v>56.9</v>
      </c>
      <c r="Y9" s="8"/>
      <c r="Z9" s="34"/>
      <c r="AA9" s="26">
        <v>1</v>
      </c>
      <c r="AB9" s="26"/>
      <c r="AC9" s="26">
        <v>3</v>
      </c>
      <c r="AD9" s="30">
        <v>30</v>
      </c>
      <c r="AE9" s="40" t="s">
        <v>200</v>
      </c>
      <c r="AF9" s="41" t="s">
        <v>82</v>
      </c>
      <c r="AG9" s="41" t="s">
        <v>204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59D01558-736A-4310-BB45-B242E7F1477D}">
      <formula1>"たかの,だいち,ただ,りくと,れんたろう,まっつん,のり,ぱぱ,ほたに,"</formula1>
    </dataValidation>
    <dataValidation type="list" showInputMessage="1" showErrorMessage="1" sqref="K4:K30 P4:P30 F4:F30" xr:uid="{D0AEE8E8-327B-4240-B247-A3D68E71598B}">
      <formula1>"ロン,ツモ,放銃,ツモ支払,流局,チョンボ"</formula1>
    </dataValidation>
    <dataValidation type="list" allowBlank="1" showInputMessage="1" showErrorMessage="1" sqref="E4:E30" xr:uid="{2CBE1EDA-679F-4A3A-B465-75994DBC884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32AB9-55CC-4525-A769-77F4B3A94202}">
  <sheetPr codeName="Sheet12">
    <pageSetUpPr fitToPage="1"/>
  </sheetPr>
  <dimension ref="A1:CI30"/>
  <sheetViews>
    <sheetView topLeftCell="C1" zoomScale="85" zoomScaleNormal="85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 t="s">
        <v>197</v>
      </c>
      <c r="Q4" s="9">
        <v>-8000</v>
      </c>
      <c r="R4" s="9">
        <v>-1000</v>
      </c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19</v>
      </c>
      <c r="W4" s="55">
        <f>IF($T4="","",ROUND(($T4-$T$3)/1000,1)+(_xlfn.RANK.AVG($T4,($J4,$O4,$T4),1)-2)*10)</f>
        <v>-19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199</v>
      </c>
      <c r="AZ4" s="40" t="s">
        <v>200</v>
      </c>
      <c r="BA4" s="41" t="s">
        <v>79</v>
      </c>
      <c r="BB4" s="41" t="s">
        <v>79</v>
      </c>
      <c r="BC4" s="41" t="s">
        <v>101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197</v>
      </c>
      <c r="L5" s="9">
        <v>-1000</v>
      </c>
      <c r="M5" s="9">
        <v>-1000</v>
      </c>
      <c r="N5" s="48">
        <v>0</v>
      </c>
      <c r="O5" s="21">
        <f t="shared" ref="O5:O30" si="3">IF(COUNTA($F5,$K5,$P5)&gt;0,O4+SUM(L5:N5),"")</f>
        <v>42000</v>
      </c>
      <c r="P5" s="8" t="s">
        <v>198</v>
      </c>
      <c r="Q5" s="9">
        <v>1000</v>
      </c>
      <c r="R5" s="9">
        <v>1000</v>
      </c>
      <c r="S5" s="48">
        <v>0</v>
      </c>
      <c r="T5" s="21">
        <f t="shared" ref="T5:T30" si="4">IF(COUNTA($F5,$K5,$P5)&gt;0,T4+SUM(Q5:S5),"")</f>
        <v>28000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-17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30</v>
      </c>
      <c r="BU5" s="40" t="s">
        <v>93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202</v>
      </c>
      <c r="G6" s="9">
        <v>-9000</v>
      </c>
      <c r="H6" s="9"/>
      <c r="I6" s="48">
        <v>0</v>
      </c>
      <c r="J6" s="21">
        <f t="shared" si="2"/>
        <v>26000</v>
      </c>
      <c r="K6" s="8" t="s">
        <v>202</v>
      </c>
      <c r="L6" s="9">
        <v>-9000</v>
      </c>
      <c r="M6" s="9"/>
      <c r="N6" s="48">
        <v>0</v>
      </c>
      <c r="O6" s="21">
        <f t="shared" si="3"/>
        <v>33000</v>
      </c>
      <c r="P6" s="8" t="s">
        <v>203</v>
      </c>
      <c r="Q6" s="9">
        <v>18000</v>
      </c>
      <c r="R6" s="9"/>
      <c r="S6" s="48">
        <v>0</v>
      </c>
      <c r="T6" s="21">
        <f t="shared" si="4"/>
        <v>46000</v>
      </c>
      <c r="U6" s="53">
        <f>IF($J6="","",ROUND(($J6-$J$3)/1000,1)+(_xlfn.RANK.AVG($J6,($J6,$O6,$T6),1)-2)*10)</f>
        <v>-19</v>
      </c>
      <c r="V6" s="54">
        <f>IF($O6="","",ROUND(($O6-$O$3)/1000,1)+(_xlfn.RANK.AVG($O6,($J6,$O6,$T6),1)-2)*10)</f>
        <v>-2</v>
      </c>
      <c r="W6" s="55">
        <f>IF($T6="","",ROUND(($T6-$T$3)/1000,1)+(_xlfn.RANK.AVG($T6,($J6,$O6,$T6),1)-2)*10)</f>
        <v>21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199</v>
      </c>
      <c r="BU6" s="40" t="s">
        <v>200</v>
      </c>
      <c r="BV6" s="41" t="s">
        <v>82</v>
      </c>
      <c r="BW6" s="41" t="s">
        <v>96</v>
      </c>
      <c r="BX6" s="41" t="s">
        <v>86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/>
      <c r="I7" s="48">
        <v>1000</v>
      </c>
      <c r="J7" s="21">
        <f t="shared" si="2"/>
        <v>35000</v>
      </c>
      <c r="K7" s="8" t="s">
        <v>197</v>
      </c>
      <c r="L7" s="9">
        <v>-8000</v>
      </c>
      <c r="M7" s="9"/>
      <c r="N7" s="48">
        <v>-1000</v>
      </c>
      <c r="O7" s="21">
        <f t="shared" si="3"/>
        <v>24000</v>
      </c>
      <c r="P7" s="8"/>
      <c r="Q7" s="9"/>
      <c r="R7" s="9"/>
      <c r="S7" s="48"/>
      <c r="T7" s="21">
        <f t="shared" si="4"/>
        <v>46000</v>
      </c>
      <c r="U7" s="53">
        <f>IF($J7="","",ROUND(($J7-$J$3)/1000,1)+(_xlfn.RANK.AVG($J7,($J7,$O7,$T7),1)-2)*10)</f>
        <v>0</v>
      </c>
      <c r="V7" s="54">
        <f>IF($O7="","",ROUND(($O7-$O$3)/1000,1)+(_xlfn.RANK.AVG($O7,($J7,$O7,$T7),1)-2)*10)</f>
        <v>-21</v>
      </c>
      <c r="W7" s="55">
        <f>IF($T7="","",ROUND(($T7-$T$3)/1000,1)+(_xlfn.RANK.AVG($T7,($J7,$O7,$T7),1)-2)*10)</f>
        <v>21</v>
      </c>
      <c r="Y7" s="8"/>
      <c r="Z7" s="34"/>
      <c r="AA7" s="26"/>
      <c r="AB7" s="26">
        <v>1</v>
      </c>
      <c r="AC7" s="26">
        <v>5</v>
      </c>
      <c r="AD7" s="30" t="s">
        <v>199</v>
      </c>
      <c r="AE7" s="40" t="s">
        <v>86</v>
      </c>
      <c r="AF7" s="41" t="s">
        <v>86</v>
      </c>
      <c r="AG7" s="41" t="s">
        <v>79</v>
      </c>
      <c r="AH7" s="41" t="s">
        <v>104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18000</v>
      </c>
      <c r="H8" s="9"/>
      <c r="I8" s="48">
        <v>0</v>
      </c>
      <c r="J8" s="21">
        <f t="shared" si="2"/>
        <v>53000</v>
      </c>
      <c r="K8" s="8"/>
      <c r="L8" s="9"/>
      <c r="M8" s="9"/>
      <c r="N8" s="48"/>
      <c r="O8" s="21">
        <f t="shared" si="3"/>
        <v>24000</v>
      </c>
      <c r="P8" s="8" t="s">
        <v>197</v>
      </c>
      <c r="Q8" s="9">
        <v>-18000</v>
      </c>
      <c r="R8" s="9"/>
      <c r="S8" s="48">
        <v>0</v>
      </c>
      <c r="T8" s="21">
        <f t="shared" si="4"/>
        <v>28000</v>
      </c>
      <c r="U8" s="53">
        <f>IF($J8="","",ROUND(($J8-$J$3)/1000,1)+(_xlfn.RANK.AVG($J8,($J8,$O8,$T8),1)-2)*10)</f>
        <v>28</v>
      </c>
      <c r="V8" s="54">
        <f>IF($O8="","",ROUND(($O8-$O$3)/1000,1)+(_xlfn.RANK.AVG($O8,($J8,$O8,$T8),1)-2)*10)</f>
        <v>-21</v>
      </c>
      <c r="W8" s="55">
        <f>IF($T8="","",ROUND(($T8-$T$3)/1000,1)+(_xlfn.RANK.AVG($T8,($J8,$O8,$T8),1)-2)*10)</f>
        <v>-7</v>
      </c>
      <c r="Y8" s="8"/>
      <c r="Z8" s="34"/>
      <c r="AA8" s="26"/>
      <c r="AB8" s="26">
        <v>1</v>
      </c>
      <c r="AC8" s="26">
        <v>7</v>
      </c>
      <c r="AD8" s="30" t="s">
        <v>199</v>
      </c>
      <c r="AE8" s="40" t="s">
        <v>104</v>
      </c>
      <c r="AF8" s="41" t="s">
        <v>86</v>
      </c>
      <c r="AG8" s="41" t="s">
        <v>86</v>
      </c>
      <c r="AH8" s="41" t="s">
        <v>86</v>
      </c>
      <c r="AI8" s="41" t="s">
        <v>98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53000</v>
      </c>
      <c r="K9" s="8" t="s">
        <v>198</v>
      </c>
      <c r="L9" s="9">
        <v>3900</v>
      </c>
      <c r="M9" s="9"/>
      <c r="N9" s="48">
        <v>1000</v>
      </c>
      <c r="O9" s="21">
        <f t="shared" si="3"/>
        <v>28900</v>
      </c>
      <c r="P9" s="8" t="s">
        <v>197</v>
      </c>
      <c r="Q9" s="9">
        <v>-3900</v>
      </c>
      <c r="R9" s="9"/>
      <c r="S9" s="48">
        <v>-1000</v>
      </c>
      <c r="T9" s="21">
        <f t="shared" si="4"/>
        <v>23100</v>
      </c>
      <c r="U9" s="53">
        <f>IF($J9="","",ROUND(($J9-$J$3)/1000,1)+(_xlfn.RANK.AVG($J9,($J9,$O9,$T9),1)-2)*10)</f>
        <v>28</v>
      </c>
      <c r="V9" s="54">
        <f>IF($O9="","",ROUND(($O9-$O$3)/1000,1)+(_xlfn.RANK.AVG($O9,($J9,$O9,$T9),1)-2)*10)</f>
        <v>-6.1</v>
      </c>
      <c r="W9" s="55">
        <f>IF($T9="","",ROUND(($T9-$T$3)/1000,1)+(_xlfn.RANK.AVG($T9,($J9,$O9,$T9),1)-2)*10)</f>
        <v>-21.9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86</v>
      </c>
      <c r="BA9" s="41" t="s">
        <v>79</v>
      </c>
      <c r="BB9" s="41" t="s">
        <v>86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198</v>
      </c>
      <c r="G10" s="9">
        <v>8000</v>
      </c>
      <c r="H10" s="9"/>
      <c r="I10" s="48">
        <v>0</v>
      </c>
      <c r="J10" s="21">
        <f t="shared" si="2"/>
        <v>61000</v>
      </c>
      <c r="K10" s="8" t="s">
        <v>197</v>
      </c>
      <c r="L10" s="9">
        <v>-8000</v>
      </c>
      <c r="M10" s="9"/>
      <c r="N10" s="48">
        <v>0</v>
      </c>
      <c r="O10" s="21">
        <f t="shared" si="3"/>
        <v>20900</v>
      </c>
      <c r="P10" s="8"/>
      <c r="Q10" s="9"/>
      <c r="R10" s="9"/>
      <c r="S10" s="48"/>
      <c r="T10" s="21">
        <f t="shared" si="4"/>
        <v>23100</v>
      </c>
      <c r="U10" s="53">
        <f>IF($J10="","",ROUND(($J10-$J$3)/1000,1)+(_xlfn.RANK.AVG($J10,($J10,$O10,$T10),1)-2)*10)</f>
        <v>36</v>
      </c>
      <c r="V10" s="54">
        <f>IF($O10="","",ROUND(($O10-$O$3)/1000,1)+(_xlfn.RANK.AVG($O10,($J10,$O10,$T10),1)-2)*10)</f>
        <v>-24.1</v>
      </c>
      <c r="W10" s="55">
        <f>IF($T10="","",ROUND(($T10-$T$3)/1000,1)+(_xlfn.RANK.AVG($T10,($J10,$O10,$T10),1)-2)*10)</f>
        <v>-11.9</v>
      </c>
      <c r="Y10" s="8"/>
      <c r="Z10" s="34"/>
      <c r="AA10" s="26"/>
      <c r="AB10" s="26">
        <v>1</v>
      </c>
      <c r="AC10" s="26">
        <v>5</v>
      </c>
      <c r="AD10" s="30" t="s">
        <v>199</v>
      </c>
      <c r="AE10" s="40" t="s">
        <v>86</v>
      </c>
      <c r="AF10" s="41" t="s">
        <v>86</v>
      </c>
      <c r="AG10" s="41" t="s">
        <v>86</v>
      </c>
      <c r="AH10" s="41" t="s">
        <v>104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197</v>
      </c>
      <c r="G11" s="9">
        <v>-12000</v>
      </c>
      <c r="H11" s="9"/>
      <c r="I11" s="48">
        <v>0</v>
      </c>
      <c r="J11" s="21">
        <f t="shared" si="2"/>
        <v>49000</v>
      </c>
      <c r="K11" s="8"/>
      <c r="L11" s="9"/>
      <c r="M11" s="9"/>
      <c r="N11" s="48"/>
      <c r="O11" s="21">
        <f t="shared" si="3"/>
        <v>20900</v>
      </c>
      <c r="P11" s="8" t="s">
        <v>198</v>
      </c>
      <c r="Q11" s="9">
        <v>12000</v>
      </c>
      <c r="R11" s="9"/>
      <c r="S11" s="48">
        <v>0</v>
      </c>
      <c r="T11" s="21">
        <f t="shared" si="4"/>
        <v>35100</v>
      </c>
      <c r="U11" s="53">
        <f>IF($J11="","",ROUND(($J11-$J$3)/1000,1)+(_xlfn.RANK.AVG($J11,($J11,$O11,$T11),1)-2)*10)</f>
        <v>24</v>
      </c>
      <c r="V11" s="54">
        <f>IF($O11="","",ROUND(($O11-$O$3)/1000,1)+(_xlfn.RANK.AVG($O11,($J11,$O11,$T11),1)-2)*10)</f>
        <v>-24.1</v>
      </c>
      <c r="W11" s="55">
        <f>IF($T11="","",ROUND(($T11-$T$3)/1000,1)+(_xlfn.RANK.AVG($T11,($J11,$O11,$T11),1)-2)*10)</f>
        <v>0.1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4</v>
      </c>
      <c r="BT11" s="30">
        <v>40</v>
      </c>
      <c r="BU11" s="40" t="s">
        <v>86</v>
      </c>
      <c r="BV11" s="41" t="s">
        <v>86</v>
      </c>
      <c r="BW11" s="41" t="s">
        <v>104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 t="s">
        <v>202</v>
      </c>
      <c r="G12" s="9">
        <v>-5800</v>
      </c>
      <c r="H12" s="9"/>
      <c r="I12" s="48">
        <v>-500</v>
      </c>
      <c r="J12" s="21">
        <f t="shared" si="2"/>
        <v>42700</v>
      </c>
      <c r="K12" s="8" t="s">
        <v>202</v>
      </c>
      <c r="L12" s="9">
        <v>-5800</v>
      </c>
      <c r="M12" s="9"/>
      <c r="N12" s="48">
        <v>-500</v>
      </c>
      <c r="O12" s="21">
        <f t="shared" si="3"/>
        <v>14600</v>
      </c>
      <c r="P12" s="8" t="s">
        <v>203</v>
      </c>
      <c r="Q12" s="9">
        <v>11600</v>
      </c>
      <c r="R12" s="9"/>
      <c r="S12" s="48">
        <v>1000</v>
      </c>
      <c r="T12" s="21">
        <f t="shared" si="4"/>
        <v>47700</v>
      </c>
      <c r="U12" s="53">
        <f>IF($J12="","",ROUND(($J12-$J$3)/1000,1)+(_xlfn.RANK.AVG($J12,($J12,$O12,$T12),1)-2)*10)</f>
        <v>7.7</v>
      </c>
      <c r="V12" s="54">
        <f>IF($O12="","",ROUND(($O12-$O$3)/1000,1)+(_xlfn.RANK.AVG($O12,($J12,$O12,$T12),1)-2)*10)</f>
        <v>-30.4</v>
      </c>
      <c r="W12" s="55">
        <f>IF($T12="","",ROUND(($T12-$T$3)/1000,1)+(_xlfn.RANK.AVG($T12,($J12,$O12,$T12),1)-2)*10)</f>
        <v>22.7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30</v>
      </c>
      <c r="BU12" s="40" t="s">
        <v>86</v>
      </c>
      <c r="BV12" s="41" t="s">
        <v>204</v>
      </c>
      <c r="BW12" s="41" t="s">
        <v>79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71214C49-6300-4480-A3A5-7C5A76D834EC}">
      <formula1>$U$2:$W$2</formula1>
    </dataValidation>
    <dataValidation type="list" showInputMessage="1" showErrorMessage="1" sqref="K4:K30 P4:P30 F4:F30" xr:uid="{D14D9BAD-43E6-4CA5-BC61-7F20DE06900A}">
      <formula1>"ロン,ツモ,放銃,ツモ支払,流局,チョンボ"</formula1>
    </dataValidation>
    <dataValidation type="list" allowBlank="1" showInputMessage="1" sqref="F1:T1" xr:uid="{D7783FF9-2D9D-41C0-88D2-81801C6D6E9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2019-10-03T15:39:35Z</dcterms:modified>
</cp:coreProperties>
</file>