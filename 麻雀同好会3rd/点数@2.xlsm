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"/>
    </mc:Choice>
  </mc:AlternateContent>
  <xr:revisionPtr revIDLastSave="0" documentId="13_ncr:1_{90709E5F-C4FE-4D55-89DC-A2B434CD3019}" xr6:coauthVersionLast="41" xr6:coauthVersionMax="41" xr10:uidLastSave="{00000000-0000-0000-0000-000000000000}"/>
  <bookViews>
    <workbookView xWindow="-120" yWindow="-120" windowWidth="29040" windowHeight="1644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1" l="1"/>
  <c r="C6" i="1"/>
  <c r="E6" i="1"/>
  <c r="B3" i="1" l="1"/>
  <c r="B2" i="1" l="1"/>
  <c r="C7" i="1" l="1"/>
  <c r="D7" i="1"/>
  <c r="C8" i="1" l="1"/>
  <c r="E7" i="1"/>
  <c r="D8" i="1"/>
  <c r="E5" i="1" l="1"/>
  <c r="C5" i="1"/>
  <c r="D5" i="1"/>
  <c r="E8" i="1"/>
</calcChain>
</file>

<file path=xl/sharedStrings.xml><?xml version="1.0" encoding="utf-8"?>
<sst xmlns="http://schemas.openxmlformats.org/spreadsheetml/2006/main" count="7" uniqueCount="7">
  <si>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</si>
  <si>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</si>
  <si>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</si>
  <si>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</si>
  <si>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</si>
  <si>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]</t>
    <phoneticPr fontId="2"/>
  </si>
  <si>
    <t>2019-09-28@2.xlsm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</si>
</sst>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E8"/>
  <sheetViews>
    <sheetView showGridLines="0" showRowColHeaders="0" tabSelected="1" topLeftCell="A2" zoomScale="75" zoomScaleNormal="50" workbookViewId="0">
      <selection activeCell="I8" sqref="I8"/>
    </sheetView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1:5" ht="13.5" customHeight="1" x14ac:dyDescent="0.4">
      <c r="A1" t="s">
        <v>5</v>
      </c>
    </row>
    <row r="2" spans="1:5" ht="123.75" customHeight="1" x14ac:dyDescent="0.4">
      <c r="B2" s="18" t="str">
        <f ca="1">MJINFO(Book!$B$1,1)&amp;MJINFO(Book!$B$1,2)&amp;"局"</f>
        <v>南3局</v>
      </c>
      <c r="C2" s="18"/>
      <c r="D2" s="18"/>
      <c r="E2" s="18"/>
    </row>
    <row r="3" spans="1:5" ht="76.5" customHeight="1" x14ac:dyDescent="0.4">
      <c r="B3" s="17" t="str">
        <f ca="1">""&amp;MJINFO(Book!$B$1,3)&amp;"本場 供託"&amp;MJINFO(Book!$B$1,4)</f>
        <v>1本場 供託0</v>
      </c>
      <c r="C3" s="17"/>
      <c r="D3" s="17"/>
      <c r="E3" s="17"/>
    </row>
    <row r="4" spans="1:5" ht="19.5" thickBot="1" x14ac:dyDescent="0.45"/>
    <row r="5" spans="1:5" ht="97.5" customHeight="1" x14ac:dyDescent="0.4">
      <c r="B5" s="1" t="s">
        <v>1</v>
      </c>
      <c r="C5" s="8">
        <f ca="1">_xlfn.RANK.EQ(C$7,$C$7:$E$7)</f>
        <v>1</v>
      </c>
      <c r="D5" s="9">
        <f ca="1">_xlfn.RANK.EQ(D$7,$C$7:$E$7)</f>
        <v>3</v>
      </c>
      <c r="E5" s="10">
        <f ca="1">_xlfn.RANK.EQ(E$7,$C$7:$E$7)</f>
        <v>2</v>
      </c>
    </row>
    <row r="6" spans="1:5" ht="154.5" customHeight="1" x14ac:dyDescent="0.4">
      <c r="B6" s="2" t="s">
        <v>2</v>
      </c>
      <c r="C6" s="3" t="str">
        <f ca="1">NAME(Book!$B$1,0)</f>
        <v>たかの</v>
      </c>
      <c r="D6" s="4" t="str">
        <f ca="1">NAME(Book!$B$1,1)</f>
        <v>だいち</v>
      </c>
      <c r="E6" s="5" t="str">
        <f ca="1">NAME(Book!$B$1,2)</f>
        <v>ただ</v>
      </c>
    </row>
    <row r="7" spans="1:5" ht="154.5" customHeight="1" x14ac:dyDescent="0.4">
      <c r="B7" s="2" t="s">
        <v>3</v>
      </c>
      <c r="C7" s="11">
        <f ca="1">POINT(Book!$B$1,0)</f>
        <v>42400</v>
      </c>
      <c r="D7" s="12">
        <f ca="1">POINT(Book!$B$1,1)</f>
        <v>22300</v>
      </c>
      <c r="E7" s="13">
        <f ca="1">POINT(Book!$B$1,2)</f>
        <v>40300</v>
      </c>
    </row>
    <row r="8" spans="1:5" ht="97.5" customHeight="1" thickBot="1" x14ac:dyDescent="0.45">
      <c r="B8" s="6" t="s">
        <v>4</v>
      </c>
      <c r="C8" s="14">
        <f ca="1">score(Book!$B$1,0)</f>
        <v>17.399999999999999</v>
      </c>
      <c r="D8" s="15">
        <f ca="1">score(Book!$B$1,1)</f>
        <v>-22.7</v>
      </c>
      <c r="E8" s="16">
        <f ca="1">score(Book!$B$1,2)</f>
        <v>5.3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6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2019-06-06T00:02:58Z</dcterms:created>
  <dcterms:modified xsi:type="dcterms:W3CDTF">2019-09-28T16:26:13Z</dcterms:modified>
</cp:coreProperties>
</file>