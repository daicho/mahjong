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8BC4F615-887E-4AA2-8FDC-C32DF960D26E}" xr6:coauthVersionLast="41" xr6:coauthVersionMax="41" xr10:uidLastSave="{00000000-0000-0000-0000-000000000000}"/>
  <bookViews>
    <workbookView xWindow="-110" yWindow="-110" windowWidth="18220" windowHeight="1162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2" i="1" l="1"/>
  <c r="B3" i="1"/>
  <c r="E7" i="1" l="1"/>
  <c r="C7" i="1"/>
  <c r="D7" i="1"/>
  <c r="D5" i="1" l="1"/>
  <c r="C5" i="1"/>
  <c r="E5" i="1"/>
  <c r="E8" i="1"/>
  <c r="D8" i="1"/>
  <c r="C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<sst xmlns="http://schemas.openxmlformats.org/spreadsheetml/2006/main" count="7" uniqueCount="7">
  <si>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</si>
  <si>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</si>
  <si>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</si>
  <si>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</si>
  <si>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</si>
  <si>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</si>
  <si>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2019-10-09@3.xlsm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</si>
</sst>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位&quot;"/>
    <numFmt numFmtId="165" formatCode="\+0.0;\-0.0;\±0"/>
  </numFmts>
  <fonts count="7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96"/>
      <color theme="1"/>
      <name val="Calibri"/>
      <family val="2"/>
      <charset val="128"/>
      <scheme val="minor"/>
    </font>
    <font>
      <sz val="60"/>
      <color theme="1"/>
      <name val="Calibri"/>
      <family val="2"/>
      <charset val="128"/>
      <scheme val="minor"/>
    </font>
    <font>
      <sz val="48"/>
      <color theme="1"/>
      <name val="Calibri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64" fontId="4" fillId="0" borderId="7" xfId="0" applyNumberFormat="1" applyFont="1" applyBorder="1" applyAlignment="1">
      <alignment horizontal="center" vertical="center" shrinkToFit="1"/>
    </xf>
    <xf numFmtId="164" fontId="4" fillId="0" borderId="2" xfId="0" applyNumberFormat="1" applyFont="1" applyBorder="1" applyAlignment="1">
      <alignment horizontal="center" vertical="center" shrinkToFit="1"/>
    </xf>
    <xf numFmtId="164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65" fontId="4" fillId="0" borderId="9" xfId="0" applyNumberFormat="1" applyFont="1" applyBorder="1" applyAlignment="1">
      <alignment horizontal="center" vertical="center" shrinkToFit="1"/>
    </xf>
    <xf numFmtId="165" fontId="4" fillId="0" borderId="5" xfId="0" applyNumberFormat="1" applyFont="1" applyBorder="1" applyAlignment="1">
      <alignment horizontal="center" vertical="center" shrinkToFit="1"/>
    </xf>
    <xf numFmtId="165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88900</xdr:rowOff>
        </xdr:from>
        <xdr:to>
          <xdr:col>1</xdr:col>
          <xdr:colOff>717550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63" zoomScaleNormal="50" workbookViewId="0">
      <selection activeCell="B3" sqref="B3:E3"/>
    </sheetView>
  </sheetViews>
  <sheetFormatPr defaultRowHeight="14.5"/>
  <cols>
    <col min="1" max="1" width="1" customWidth="1"/>
    <col min="2" max="2" width="23.453125" customWidth="1"/>
    <col min="3" max="5" width="70.6328125" customWidth="1"/>
  </cols>
  <sheetData>
    <row r="1" spans="1:5" ht="13.5" customHeight="1">
      <c r="A1" t="s">
        <v>5</v>
      </c>
    </row>
    <row r="2" spans="1:5" ht="123.75" customHeight="1">
      <c r="B2" s="18" t="str">
        <f ca="1">MJINFO(Book!$B$1,1)&amp;MJINFO(Book!$B$1,2)&amp;"局"</f>
        <v>西1局</v>
      </c>
      <c r="C2" s="18"/>
      <c r="D2" s="18"/>
      <c r="E2" s="18"/>
    </row>
    <row r="3" spans="1:5" ht="76.5" customHeight="1">
      <c r="B3" s="17" t="str">
        <f ca="1">""&amp;MJINFO(Book!$B$1,3)&amp;"本場 供託"&amp;MJINFO(Book!$B$1,4)</f>
        <v>0本場 供託0</v>
      </c>
      <c r="C3" s="17"/>
      <c r="D3" s="17"/>
      <c r="E3" s="17"/>
    </row>
    <row r="4" spans="1:5" ht="15" thickBot="1"/>
    <row r="5" spans="1:5" ht="97.5" customHeight="1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1:5" ht="154.5" customHeight="1">
      <c r="B6" s="2" t="s">
        <v>2</v>
      </c>
      <c r="C6" s="3" t="str">
        <f ca="1">NAME(Book!$B$1,0)</f>
        <v>りくと</v>
      </c>
      <c r="D6" s="4" t="str">
        <f ca="1">NAME(Book!$B$1,1)</f>
        <v>まっつん</v>
      </c>
      <c r="E6" s="5" t="str">
        <f ca="1">NAME(Book!$B$1,2)</f>
        <v>ほたに</v>
      </c>
    </row>
    <row r="7" spans="1:5" ht="154.5" customHeight="1">
      <c r="B7" s="2" t="s">
        <v>3</v>
      </c>
      <c r="C7" s="11">
        <f ca="1">POINT(Book!$B$1,0)</f>
        <v>13700</v>
      </c>
      <c r="D7" s="12">
        <f ca="1">POINT(Book!$B$1,1)</f>
        <v>41000</v>
      </c>
      <c r="E7" s="13">
        <f ca="1">POINT(Book!$B$1,2)</f>
        <v>50300</v>
      </c>
    </row>
    <row r="8" spans="1:5" ht="97.5" customHeight="1" thickBot="1">
      <c r="B8" s="6" t="s">
        <v>4</v>
      </c>
      <c r="C8" s="14">
        <f ca="1">score(Book!$B$1,0)</f>
        <v>-31.3</v>
      </c>
      <c r="D8" s="15">
        <f ca="1">score(Book!$B$1,1)</f>
        <v>6</v>
      </c>
      <c r="E8" s="16">
        <f ca="1">score(Book!$B$1,2)</f>
        <v>25.3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4.5"/>
  <cols>
    <col min="1" max="1" width="11" customWidth="1"/>
    <col min="2" max="2" width="19.36328125" customWidth="1"/>
  </cols>
  <sheetData>
    <row r="1" spans="1:2">
      <c r="A1" t="s">
        <v>0</v>
      </c>
      <c r="B1" t="s">
        <v>6</v>
      </c>
    </row>
    <row r="2" spans="1:2">
      <c r="A2" s="7"/>
      <c r="B2" s="7"/>
    </row>
    <row r="3" spans="1:2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88900</xdr:rowOff>
                  </from>
                  <to>
                    <xdr:col>1</xdr:col>
                    <xdr:colOff>717550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2019-06-06T00:02:58Z</dcterms:created>
  <dcterms:modified xsi:type="dcterms:W3CDTF">2019-10-09T14:49:57Z</dcterms:modified>
</cp:coreProperties>
</file>