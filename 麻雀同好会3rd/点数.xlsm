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A17214A-101E-4185-89BF-A3AEAC771EE8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E7" i="1"/>
  <c r="D7" i="1"/>
  <c r="C7" i="1"/>
  <c r="D8" i="1"/>
  <c r="C8" i="1"/>
  <c r="E8" i="1"/>
  <c r="C5" i="1" l="1"/>
  <c r="D5" i="1"/>
  <c r="E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<sst xmlns="http://schemas.openxmlformats.org/spreadsheetml/2006/main" count="6" uniqueCount="6">
  <si>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</si>
  <si>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</si>
  <si>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</si>
  <si>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</si>
  <si>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</si>
  <si>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2019-10-28@4.xlsm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</si>
</sst>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8" t="str">
        <f ca="1">MJINFO(Book!$B$1,1)&amp;MJINFO(Book!$B$1,2)&amp;"局"</f>
        <v>東3局</v>
      </c>
      <c r="C2" s="18"/>
      <c r="D2" s="18"/>
      <c r="E2" s="18"/>
    </row>
    <row r="3" spans="2:5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</row>
    <row r="4" spans="2:5" ht="19.5" thickBot="1" x14ac:dyDescent="0.45"/>
    <row r="5" spans="2:5" ht="97.5" customHeight="1" x14ac:dyDescent="0.4">
      <c r="B5" s="1" t="s">
        <v>1</v>
      </c>
      <c r="C5" s="8">
        <f ca="1">_xlfn.RANK.EQ(C$7,$C$7:$E$7)</f>
        <v>2</v>
      </c>
      <c r="D5" s="9">
        <f ca="1">_xlfn.RANK.EQ(D$7,$C$7:$E$7)</f>
        <v>1</v>
      </c>
      <c r="E5" s="10">
        <f ca="1">_xlfn.RANK.EQ(E$7,$C$7:$E$7)</f>
        <v>3</v>
      </c>
    </row>
    <row r="6" spans="2:5" ht="154.5" customHeight="1" x14ac:dyDescent="0.4">
      <c r="B6" s="2" t="s">
        <v>2</v>
      </c>
      <c r="C6" s="3" t="str">
        <f ca="1">NAME(Book!$B$1,0)</f>
        <v>まっつん</v>
      </c>
      <c r="D6" s="4" t="str">
        <f ca="1">NAME(Book!$B$1,1)</f>
        <v>れんたろう</v>
      </c>
      <c r="E6" s="5" t="str">
        <f ca="1">NAME(Book!$B$1,2)</f>
        <v>ぱぱ</v>
      </c>
    </row>
    <row r="7" spans="2:5" ht="154.5" customHeight="1" x14ac:dyDescent="0.4">
      <c r="B7" s="2" t="s">
        <v>3</v>
      </c>
      <c r="C7" s="11">
        <f ca="1">POINT(Book!$B$1,0)</f>
        <v>45300</v>
      </c>
      <c r="D7" s="12">
        <f ca="1">POINT(Book!$B$1,1)</f>
        <v>60100</v>
      </c>
      <c r="E7" s="13">
        <f ca="1">POINT(Book!$B$1,2)</f>
        <v>-400</v>
      </c>
    </row>
    <row r="8" spans="2:5" ht="97.5" customHeight="1" thickBot="1" x14ac:dyDescent="0.45">
      <c r="B8" s="6" t="s">
        <v>4</v>
      </c>
      <c r="C8" s="14">
        <f ca="1">score(Book!$B$1,0)</f>
        <v>10.3</v>
      </c>
      <c r="D8" s="15">
        <f ca="1">score(Book!$B$1,1)</f>
        <v>35.1</v>
      </c>
      <c r="E8" s="16">
        <f ca="1">score(Book!$B$1,2)</f>
        <v>-45.4</v>
      </c>
    </row>
  </sheetData>
  <mergeCells count="2">
    <mergeCell ref="B3:E3"/>
    <mergeCell ref="B2:E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24.25" bestFit="1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Search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2019-10-28T12:31:28Z</dcterms:modified>
</cp:coreProperties>
</file>