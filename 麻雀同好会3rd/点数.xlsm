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"/>
    </mc:Choice>
  </mc:AlternateContent>
  <xr:revisionPtr revIDLastSave="0" documentId="13_ncr:1_{04582264-CCB6-4A26-B2B6-67EEE20AE845}" xr6:coauthVersionLast="41" xr6:coauthVersionMax="41" xr10:uidLastSave="{00000000-0000-0000-0000-000000000000}"/>
  <bookViews>
    <workbookView xWindow="-110" yWindow="-110" windowWidth="18220" windowHeight="116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 l="1"/>
  <c r="B2" i="1"/>
  <c r="D7" i="1" l="1"/>
  <c r="E7" i="1"/>
  <c r="C7" i="1"/>
  <c r="C5" i="1" l="1"/>
  <c r="E5" i="1"/>
  <c r="D5" i="1"/>
  <c r="C8" i="1"/>
  <c r="E8" i="1"/>
  <c r="D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<sst xmlns="http://schemas.openxmlformats.org/spreadsheetml/2006/main" count="4" uniqueCount="4">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</sst>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位&quot;"/>
    <numFmt numFmtId="165" formatCode="\+0.0;\-0.0;\±0"/>
  </numFmts>
  <fonts count="5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96"/>
      <color theme="1"/>
      <name val="Calibri"/>
      <family val="2"/>
      <charset val="128"/>
      <scheme val="minor"/>
    </font>
    <font>
      <sz val="60"/>
      <color theme="1"/>
      <name val="Calibri"/>
      <family val="2"/>
      <charset val="128"/>
      <scheme val="minor"/>
    </font>
    <font>
      <sz val="48"/>
      <color theme="1"/>
      <name val="Calibri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64" fontId="3" fillId="0" borderId="7" xfId="0" applyNumberFormat="1" applyFont="1" applyBorder="1" applyAlignment="1">
      <alignment horizontal="center" vertical="center" shrinkToFit="1"/>
    </xf>
    <xf numFmtId="164" fontId="3" fillId="0" borderId="2" xfId="0" applyNumberFormat="1" applyFont="1" applyBorder="1" applyAlignment="1">
      <alignment horizontal="center" vertical="center" shrinkToFit="1"/>
    </xf>
    <xf numFmtId="164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65" fontId="3" fillId="0" borderId="9" xfId="0" applyNumberFormat="1" applyFont="1" applyBorder="1" applyAlignment="1">
      <alignment horizontal="center" vertical="center" shrinkToFit="1"/>
    </xf>
    <xf numFmtId="165" fontId="3" fillId="0" borderId="5" xfId="0" applyNumberFormat="1" applyFont="1" applyBorder="1" applyAlignment="1">
      <alignment horizontal="center" vertical="center" shrinkToFit="1"/>
    </xf>
    <xf numFmtId="165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70" workbookViewId="0"/>
  </sheetViews>
  <sheetFormatPr defaultRowHeight="14.5"/>
  <cols>
    <col min="1" max="1" width="1" customWidth="1"/>
    <col min="2" max="2" width="23.453125" customWidth="1"/>
    <col min="3" max="5" width="70.6328125" customWidth="1"/>
  </cols>
  <sheetData>
    <row r="1" spans="2:5" ht="13.5" customHeight="1"/>
    <row r="2" spans="2:5" ht="123.75" customHeight="1">
      <c r="B2" s="17" t="str">
        <f ca="1">MJINFO(MJFILE(),1)&amp;MJINFO(MJFILE(),2)&amp;"局"</f>
        <v>南3局</v>
      </c>
      <c r="C2" s="17"/>
      <c r="D2" s="17"/>
      <c r="E2" s="17"/>
    </row>
    <row r="3" spans="2:5" ht="76.5" customHeight="1">
      <c r="B3" s="16" t="str">
        <f ca="1">""&amp;MJINFO(MJFILE(),3)&amp;"本場 供託"&amp;MJINFO(MJFILE(),4)</f>
        <v>1本場 供託0</v>
      </c>
      <c r="C3" s="16"/>
      <c r="D3" s="16"/>
      <c r="E3" s="16"/>
    </row>
    <row r="4" spans="2:5" ht="15" thickBot="1"/>
    <row r="5" spans="2:5" ht="97.5" customHeight="1">
      <c r="B5" s="1" t="s">
        <v>0</v>
      </c>
      <c r="C5" s="7">
        <f ca="1">_xlfn.RANK.EQ(C$7,$C$7:$E$7)</f>
        <v>2</v>
      </c>
      <c r="D5" s="8">
        <f ca="1">_xlfn.RANK.EQ(D$7,$C$7:$E$7)</f>
        <v>1</v>
      </c>
      <c r="E5" s="9">
        <f ca="1">_xlfn.RANK.EQ(E$7,$C$7:$E$7)</f>
        <v>3</v>
      </c>
    </row>
    <row r="6" spans="2:5" ht="154.5" customHeight="1">
      <c r="B6" s="2" t="s">
        <v>1</v>
      </c>
      <c r="C6" s="3" t="str">
        <f ca="1">NAME(MJFILE(),0)</f>
        <v>ただ</v>
      </c>
      <c r="D6" s="4" t="str">
        <f ca="1">NAME(MJFILE(),1)</f>
        <v>ともき</v>
      </c>
      <c r="E6" s="5" t="str">
        <f ca="1">NAME(MJFILE(),2)</f>
        <v>りくと</v>
      </c>
    </row>
    <row r="7" spans="2:5" ht="154.5" customHeight="1">
      <c r="B7" s="2" t="s">
        <v>2</v>
      </c>
      <c r="C7" s="10">
        <f ca="1">point(MJFILE(),0)</f>
        <v>35900</v>
      </c>
      <c r="D7" s="11">
        <f ca="1">point(MJFILE(),1)</f>
        <v>65900</v>
      </c>
      <c r="E7" s="12">
        <f ca="1">point(MJFILE(),2)</f>
        <v>3200</v>
      </c>
    </row>
    <row r="8" spans="2:5" ht="97.5" customHeight="1" thickBot="1">
      <c r="B8" s="6" t="s">
        <v>3</v>
      </c>
      <c r="C8" s="13">
        <f ca="1">score(MJFILE(),0)</f>
        <v>0.9</v>
      </c>
      <c r="D8" s="14">
        <f ca="1">score(MJFILE(),1)</f>
        <v>40.9</v>
      </c>
      <c r="E8" s="15">
        <f ca="1">score(MJFILE(),2)</f>
        <v>-41.8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2019-06-06T00:02:58Z</dcterms:created>
  <dcterms:modified xsi:type="dcterms:W3CDTF">2019-12-10T11:13:59Z</dcterms:modified>
</cp:coreProperties>
</file>