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286E2489-6778-4698-815F-CF5A6C4D755F}" xr6:coauthVersionLast="41" xr6:coauthVersionMax="41" xr10:uidLastSave="{00000000-0000-0000-0000-000000000000}"/>
  <bookViews>
    <workbookView xWindow="-108" yWindow="-108" windowWidth="23256" windowHeight="1272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" i="1" l="1"/>
  <c r="D6" i="1"/>
  <c r="C6" i="1"/>
  <c r="B3" i="1"/>
  <c r="E7" i="1" l="1"/>
  <c r="D7" i="1" l="1"/>
  <c r="C7" i="1" l="1"/>
  <c r="C5" i="1" l="1"/>
  <c r="E5" i="1"/>
  <c r="D5" i="1"/>
  <c r="B2" i="1"/>
  <c r="E8" i="1"/>
  <c r="D8" i="1"/>
  <c r="C8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<sst xmlns="http://schemas.openxmlformats.org/spreadsheetml/2006/main" count="4" uniqueCount="4">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</sst>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9" zoomScaleNormal="70" workbookViewId="0"/>
  </sheetViews>
  <sheetFormatPr defaultRowHeight="18" x14ac:dyDescent="0.45"/>
  <cols>
    <col min="1" max="1" width="1" customWidth="1"/>
    <col min="2" max="2" width="23.5" customWidth="1"/>
    <col min="3" max="5" width="70.59765625" customWidth="1"/>
  </cols>
  <sheetData>
    <row r="1" spans="2:5" ht="13.5" customHeight="1" x14ac:dyDescent="0.45"/>
    <row r="2" spans="2:5" ht="123.75" customHeight="1" x14ac:dyDescent="0.45">
      <c r="B2" s="17" t="str">
        <f ca="1">MJINFO(MJFILE(),1)&amp;MJINFO(MJFILE(),2)&amp;"局"</f>
        <v>西1局</v>
      </c>
      <c r="C2" s="17"/>
      <c r="D2" s="17"/>
      <c r="E2" s="17"/>
    </row>
    <row r="3" spans="2:5" ht="76.5" customHeight="1" x14ac:dyDescent="0.45">
      <c r="B3" s="16" t="str">
        <f ca="1">""&amp;MJINFO(MJFILE(),3)&amp;"本場 供託"&amp;MJINFO(MJFILE(),4)</f>
        <v>0本場 供託0</v>
      </c>
      <c r="C3" s="16"/>
      <c r="D3" s="16"/>
      <c r="E3" s="16"/>
    </row>
    <row r="4" spans="2:5" ht="18.600000000000001" thickBot="1" x14ac:dyDescent="0.5"/>
    <row r="5" spans="2:5" ht="97.5" customHeight="1" x14ac:dyDescent="0.45">
      <c r="B5" s="1" t="s">
        <v>0</v>
      </c>
      <c r="C5" s="7">
        <f ca="1">_xlfn.RANK.EQ(C$7,$C$7:$E$7)</f>
        <v>2</v>
      </c>
      <c r="D5" s="8">
        <f ca="1">_xlfn.RANK.EQ(D$7,$C$7:$E$7)</f>
        <v>1</v>
      </c>
      <c r="E5" s="9">
        <f ca="1">_xlfn.RANK.EQ(E$7,$C$7:$E$7)</f>
        <v>3</v>
      </c>
    </row>
    <row r="6" spans="2:5" ht="154.5" customHeight="1" x14ac:dyDescent="0.45">
      <c r="B6" s="2" t="s">
        <v>1</v>
      </c>
      <c r="C6" s="3" t="str">
        <f ca="1">NAME(MJFILE(),0)</f>
        <v>りくと</v>
      </c>
      <c r="D6" s="4" t="str">
        <f ca="1">NAME(MJFILE(),1)</f>
        <v>ただ</v>
      </c>
      <c r="E6" s="5" t="str">
        <f ca="1">NAME(MJFILE(),2)</f>
        <v>だいち</v>
      </c>
    </row>
    <row r="7" spans="2:5" ht="154.5" customHeight="1" x14ac:dyDescent="0.45">
      <c r="B7" s="2" t="s">
        <v>2</v>
      </c>
      <c r="C7" s="10">
        <f ca="1">point(MJFILE(),0)</f>
        <v>35600</v>
      </c>
      <c r="D7" s="11">
        <f ca="1">point(MJFILE(),1)</f>
        <v>43100</v>
      </c>
      <c r="E7" s="12">
        <f ca="1">point(MJFILE(),2)</f>
        <v>26300</v>
      </c>
    </row>
    <row r="8" spans="2:5" ht="97.5" customHeight="1" thickBot="1" x14ac:dyDescent="0.5">
      <c r="B8" s="6" t="s">
        <v>3</v>
      </c>
      <c r="C8" s="13">
        <f ca="1">score(MJFILE(),0)</f>
        <v>0.6</v>
      </c>
      <c r="D8" s="14">
        <f ca="1">score(MJFILE(),1)</f>
        <v>18.100000000000001</v>
      </c>
      <c r="E8" s="15">
        <f ca="1">score(MJFILE(),2)</f>
        <v>-18.7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2019-11-29T14:11:42Z</dcterms:modified>
</cp:coreProperties>
</file>