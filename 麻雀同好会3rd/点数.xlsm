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6250D017-F11C-47F8-B70D-EA8CF2A0B602}" xr6:coauthVersionLast="41" xr6:coauthVersionMax="41" xr10:uidLastSave="{00000000-0000-0000-0000-000000000000}"/>
  <bookViews>
    <workbookView xWindow="-120" yWindow="-120" windowWidth="29040" windowHeight="1644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E6" i="1"/>
  <c r="C6" i="1"/>
  <c r="B3" i="1"/>
  <c r="B2" i="1" l="1"/>
  <c r="C7" i="1" l="1"/>
  <c r="E7" i="1"/>
  <c r="D7" i="1"/>
  <c r="D5" i="1" l="1"/>
  <c r="E5" i="1"/>
  <c r="C5" i="1"/>
  <c r="E8" i="1"/>
  <c r="D8" i="1"/>
  <c r="C8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<sst xmlns="http://schemas.openxmlformats.org/spreadsheetml/2006/main" count="4" uniqueCount="4">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</sst>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0" zoomScaleNormal="7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7" t="str">
        <f ca="1">MJINFO(MJFILE(),1)&amp;MJINFO(MJFILE(),2)&amp;"局"</f>
        <v>西1局</v>
      </c>
      <c r="C2" s="17"/>
      <c r="D2" s="17"/>
      <c r="E2" s="17"/>
    </row>
    <row r="3" spans="2:5" ht="76.5" customHeight="1" x14ac:dyDescent="0.4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9.5" thickBot="1" x14ac:dyDescent="0.45"/>
    <row r="5" spans="2:5" ht="97.5" customHeight="1" x14ac:dyDescent="0.4">
      <c r="B5" s="1" t="s">
        <v>0</v>
      </c>
      <c r="C5" s="7">
        <f ca="1">_xlfn.RANK.EQ(C$7,$C$7:$E$7)</f>
        <v>3</v>
      </c>
      <c r="D5" s="8">
        <f ca="1">_xlfn.RANK.EQ(D$7,$C$7:$E$7)</f>
        <v>1</v>
      </c>
      <c r="E5" s="9">
        <f ca="1">_xlfn.RANK.EQ(E$7,$C$7:$E$7)</f>
        <v>2</v>
      </c>
    </row>
    <row r="6" spans="2:5" ht="154.5" customHeight="1" x14ac:dyDescent="0.4">
      <c r="B6" s="2" t="s">
        <v>1</v>
      </c>
      <c r="C6" s="3" t="str">
        <f ca="1">NAME(MJFILE(),0)</f>
        <v>たかの</v>
      </c>
      <c r="D6" s="4" t="str">
        <f ca="1">NAME(MJFILE(),1)</f>
        <v>だいち</v>
      </c>
      <c r="E6" s="5" t="str">
        <f ca="1">NAME(MJFILE(),2)</f>
        <v>まっつん</v>
      </c>
    </row>
    <row r="7" spans="2:5" ht="154.5" customHeight="1" x14ac:dyDescent="0.4">
      <c r="B7" s="2" t="s">
        <v>2</v>
      </c>
      <c r="C7" s="10">
        <f ca="1">point(MJFILE(),0)</f>
        <v>3900</v>
      </c>
      <c r="D7" s="11">
        <f ca="1">point(MJFILE(),1)</f>
        <v>71900</v>
      </c>
      <c r="E7" s="12">
        <f ca="1">point(MJFILE(),2)</f>
        <v>29200</v>
      </c>
    </row>
    <row r="8" spans="2:5" ht="97.5" customHeight="1" thickBot="1" x14ac:dyDescent="0.45">
      <c r="B8" s="6" t="s">
        <v>3</v>
      </c>
      <c r="C8" s="13">
        <f ca="1">score(MJFILE(),0)</f>
        <v>-41.1</v>
      </c>
      <c r="D8" s="14">
        <f ca="1">score(MJFILE(),1)</f>
        <v>46.9</v>
      </c>
      <c r="E8" s="15">
        <f ca="1">score(MJFILE(),2)</f>
        <v>-5.8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2019-11-05T15:29:55Z</dcterms:modified>
</cp:coreProperties>
</file>