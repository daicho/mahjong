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0551AE9E-963C-4D50-80A9-0136BA788517}" xr6:coauthVersionLast="41" xr6:coauthVersionMax="41" xr10:uidLastSave="{00000000-0000-0000-0000-000000000000}"/>
  <bookViews>
    <workbookView xWindow="-120" yWindow="-120" windowWidth="29040" windowHeight="15990" xr2:uid="{104DD447-7576-4543-B2BB-CF60142807AB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6" i="1" l="1"/>
  <c r="E6" i="1"/>
  <c r="C6" i="1"/>
  <c r="B2" i="1"/>
  <c r="B3" i="1"/>
  <c r="D7" i="1"/>
  <c r="C7" i="1"/>
  <c r="E7" i="1"/>
  <c r="D8" i="1"/>
  <c r="C8" i="1"/>
  <c r="E8" i="1"/>
  <c r="E5" i="1" l="1"/>
  <c r="C5" i="1"/>
  <c r="D5" i="1"/>
</calcChain>
</file>

<file path=xl/sharedStrings.xml><?xml version="1.0" encoding="utf-8"?>
<sst xmlns="http://schemas.openxmlformats.org/spreadsheetml/2006/main" count="6" uniqueCount="6">
  <si>
    <t>ファイル名</t>
    <rPh sb="4" eb="5">
      <t>メイ</t>
    </rPh>
    <phoneticPr fontId="1"/>
  </si>
  <si>
    <t>順位</t>
    <rPh sb="0" eb="2">
      <t>ジュンイ</t>
    </rPh>
    <phoneticPr fontId="2"/>
  </si>
  <si>
    <t>名前</t>
    <rPh sb="0" eb="2">
      <t>ナマエ</t>
    </rPh>
    <phoneticPr fontId="2"/>
  </si>
  <si>
    <t>点数</t>
    <rPh sb="0" eb="2">
      <t>テンスウ</t>
    </rPh>
    <phoneticPr fontId="2"/>
  </si>
  <si>
    <t>スコア</t>
    <phoneticPr fontId="2"/>
  </si>
  <si>
    <t>2019-10-25@2.xlsm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</si>
</sst>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7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5" fillId="0" borderId="10" xfId="0" applyFont="1" applyBorder="1" applyAlignment="1">
      <alignment horizontal="center" vertical="center" shrinkToFit="1"/>
    </xf>
    <xf numFmtId="0" fontId="5" fillId="0" borderId="11" xfId="0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0" fontId="5" fillId="0" borderId="12" xfId="0" applyFont="1" applyBorder="1" applyAlignment="1">
      <alignment horizontal="center" vertical="center" shrinkToFit="1"/>
    </xf>
    <xf numFmtId="0" fontId="0" fillId="0" borderId="0" xfId="0" applyAlignment="1">
      <alignment vertical="center"/>
    </xf>
    <xf numFmtId="176" fontId="4" fillId="0" borderId="7" xfId="0" applyNumberFormat="1" applyFont="1" applyBorder="1" applyAlignment="1">
      <alignment horizontal="center" vertical="center" shrinkToFit="1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1" fontId="3" fillId="0" borderId="8" xfId="0" applyNumberFormat="1" applyFont="1" applyBorder="1" applyAlignment="1">
      <alignment horizontal="center" vertical="center" shrinkToFit="1"/>
    </xf>
    <xf numFmtId="1" fontId="3" fillId="0" borderId="1" xfId="0" applyNumberFormat="1" applyFont="1" applyBorder="1" applyAlignment="1">
      <alignment horizontal="center" vertical="center" shrinkToFit="1"/>
    </xf>
    <xf numFmtId="1" fontId="3" fillId="0" borderId="4" xfId="0" applyNumberFormat="1" applyFont="1" applyBorder="1" applyAlignment="1">
      <alignment horizontal="center" vertical="center" shrinkToFit="1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723900</xdr:colOff>
          <xdr:row>1</xdr:row>
          <xdr:rowOff>85725</xdr:rowOff>
        </xdr:from>
        <xdr:to>
          <xdr:col>1</xdr:col>
          <xdr:colOff>714375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B1:E8"/>
  <sheetViews>
    <sheetView showGridLines="0" showRowColHeaders="0" tabSelected="1" zoomScale="69" zoomScaleNormal="55" workbookViewId="0"/>
  </sheetViews>
  <sheetFormatPr defaultRowHeight="18.75" x14ac:dyDescent="0.4"/>
  <cols>
    <col min="1" max="1" width="1" customWidth="1"/>
    <col min="2" max="2" width="23.5" customWidth="1"/>
    <col min="3" max="5" width="70.625" customWidth="1"/>
  </cols>
  <sheetData>
    <row r="1" spans="2:5" ht="13.5" customHeight="1" x14ac:dyDescent="0.4"/>
    <row r="2" spans="2:5" ht="123.75" customHeight="1" x14ac:dyDescent="0.4">
      <c r="B2" s="18" t="e">
        <f ca="1">MJINFO(Book!$B$1,1)&amp;MJINFO(Book!$B$1,2)&amp;"局"</f>
        <v>#VALUE!</v>
      </c>
      <c r="C2" s="18"/>
      <c r="D2" s="18"/>
      <c r="E2" s="18"/>
    </row>
    <row r="3" spans="2:5" ht="76.5" customHeight="1" x14ac:dyDescent="0.4">
      <c r="B3" s="17" t="e">
        <f ca="1">""&amp;MJINFO(Book!$B$1,3)&amp;"本場 供託"&amp;MJINFO(Book!$B$1,4)</f>
        <v>#VALUE!</v>
      </c>
      <c r="C3" s="17"/>
      <c r="D3" s="17"/>
      <c r="E3" s="17"/>
    </row>
    <row r="4" spans="2:5" ht="19.5" thickBot="1" x14ac:dyDescent="0.45"/>
    <row r="5" spans="2:5" ht="97.5" customHeight="1" x14ac:dyDescent="0.4">
      <c r="B5" s="1" t="s">
        <v>1</v>
      </c>
      <c r="C5" s="8" t="e">
        <f ca="1">_xlfn.RANK.EQ(C$7,$C$7:$E$7)</f>
        <v>#VALUE!</v>
      </c>
      <c r="D5" s="9" t="e">
        <f ca="1">_xlfn.RANK.EQ(D$7,$C$7:$E$7)</f>
        <v>#VALUE!</v>
      </c>
      <c r="E5" s="10" t="e">
        <f ca="1">_xlfn.RANK.EQ(E$7,$C$7:$E$7)</f>
        <v>#VALUE!</v>
      </c>
    </row>
    <row r="6" spans="2:5" ht="154.5" customHeight="1" x14ac:dyDescent="0.4">
      <c r="B6" s="2" t="s">
        <v>2</v>
      </c>
      <c r="C6" s="3" t="e">
        <f ca="1">NAME(Book!$B$1,0)</f>
        <v>#VALUE!</v>
      </c>
      <c r="D6" s="4" t="e">
        <f ca="1">NAME(Book!$B$1,1)</f>
        <v>#VALUE!</v>
      </c>
      <c r="E6" s="5" t="e">
        <f ca="1">NAME(Book!$B$1,2)</f>
        <v>#VALUE!</v>
      </c>
    </row>
    <row r="7" spans="2:5" ht="154.5" customHeight="1" x14ac:dyDescent="0.4">
      <c r="B7" s="2" t="s">
        <v>3</v>
      </c>
      <c r="C7" s="11" t="e">
        <f ca="1">POINT(Book!$B$1,0)</f>
        <v>#VALUE!</v>
      </c>
      <c r="D7" s="12" t="e">
        <f ca="1">POINT(Book!$B$1,1)</f>
        <v>#VALUE!</v>
      </c>
      <c r="E7" s="13" t="e">
        <f ca="1">POINT(Book!$B$1,2)</f>
        <v>#VALUE!</v>
      </c>
    </row>
    <row r="8" spans="2:5" ht="97.5" customHeight="1" thickBot="1" x14ac:dyDescent="0.45">
      <c r="B8" s="6" t="s">
        <v>4</v>
      </c>
      <c r="C8" s="14" t="e">
        <f ca="1">score(Book!$B$1,0)</f>
        <v>#VALUE!</v>
      </c>
      <c r="D8" s="15" t="e">
        <f ca="1">score(Book!$B$1,1)</f>
        <v>#VALUE!</v>
      </c>
      <c r="E8" s="16" t="e">
        <f ca="1">score(Book!$B$1,2)</f>
        <v>#VALUE!</v>
      </c>
    </row>
  </sheetData>
  <mergeCells count="2">
    <mergeCell ref="B3:E3"/>
    <mergeCell ref="B2:E2"/>
  </mergeCells>
  <phoneticPr fontId="2"/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6E70EA54-BD81-451D-B1AD-B9A2B7994C3F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64421-C75A-4322-8EE2-1AAA08196D68}">
  <sheetPr codeName="Sheet2"/>
  <dimension ref="A1:B3"/>
  <sheetViews>
    <sheetView workbookViewId="0"/>
  </sheetViews>
  <sheetFormatPr defaultRowHeight="18.75" x14ac:dyDescent="0.4"/>
  <cols>
    <col min="1" max="1" width="11" customWidth="1"/>
    <col min="2" max="2" width="24.25" bestFit="1" customWidth="1"/>
  </cols>
  <sheetData>
    <row r="1" spans="1:2" x14ac:dyDescent="0.4">
      <c r="A1" t="s">
        <v>0</v>
      </c>
      <c r="B1" t="s">
        <v>5</v>
      </c>
    </row>
    <row r="2" spans="1:2" x14ac:dyDescent="0.4">
      <c r="A2" s="7"/>
      <c r="B2" s="7"/>
    </row>
    <row r="3" spans="1:2" x14ac:dyDescent="0.4">
      <c r="A3" s="7"/>
      <c r="B3" s="7"/>
    </row>
  </sheetData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Search">
                <anchor moveWithCells="1">
                  <from>
                    <xdr:col>0</xdr:col>
                    <xdr:colOff>723900</xdr:colOff>
                    <xdr:row>1</xdr:row>
                    <xdr:rowOff>85725</xdr:rowOff>
                  </from>
                  <to>
                    <xdr:col>1</xdr:col>
                    <xdr:colOff>714375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2019-06-06T00:02:58Z</dcterms:created>
  <dcterms:modified xsi:type="dcterms:W3CDTF">2019-10-25T19:25:57Z</dcterms:modified>
</cp:coreProperties>
</file>