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2697691F-CB74-4F01-8290-A3D491411BE1}" xr6:coauthVersionLast="41" xr6:coauthVersionMax="41" xr10:uidLastSave="{00000000-0000-0000-0000-000000000000}"/>
  <bookViews>
    <workbookView xWindow="-120" yWindow="-120" windowWidth="29040" windowHeight="1599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/>
  <c r="T9" i="19"/>
  <c r="W9" i="19" s="1"/>
  <c r="O9" i="19"/>
  <c r="V9" i="19" s="1"/>
  <c r="J9" i="19"/>
  <c r="U9" i="19" s="1"/>
  <c r="D9" i="19"/>
  <c r="C9" i="19"/>
  <c r="B9" i="19"/>
  <c r="A9" i="19"/>
  <c r="T8" i="19"/>
  <c r="W8" i="19" s="1"/>
  <c r="O8" i="19"/>
  <c r="V8" i="19" s="1"/>
  <c r="J8" i="19"/>
  <c r="U8" i="19" s="1"/>
  <c r="D8" i="19"/>
  <c r="C8" i="19"/>
  <c r="B8" i="19"/>
  <c r="A8" i="19"/>
  <c r="T7" i="19"/>
  <c r="W7" i="19" s="1"/>
  <c r="O7" i="19"/>
  <c r="V7" i="19" s="1"/>
  <c r="J7" i="19"/>
  <c r="U7" i="19" s="1"/>
  <c r="D7" i="19"/>
  <c r="C7" i="19"/>
  <c r="B7" i="19"/>
  <c r="A7" i="19"/>
  <c r="T6" i="19"/>
  <c r="W6" i="19" s="1"/>
  <c r="O6" i="19"/>
  <c r="V6" i="19" s="1"/>
  <c r="J6" i="19"/>
  <c r="U6" i="19" s="1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U4" i="19" l="1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<sst xmlns="http://schemas.openxmlformats.org/spreadsheetml/2006/main" count="530" uniqueCount="194">
  <si>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</si>
  <si>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</si>
  <si>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</si>
  <si>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</si>
  <si>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</si>
  <si>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</si>
  <si>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</si>
  <si>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</si>
  <si>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</si>
  <si>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</si>
  <si>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</si>
  <si>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</si>
  <si>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</si>
  <si>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</si>
  <si>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</si>
  <si>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</si>
  <si>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</si>
  <si>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</si>
  <si>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</si>
  <si>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</si>
  <si>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</si>
  <si>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</si>
  <si>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</si>
  <si>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</si>
  <si>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</si>
  <si>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</si>
  <si>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</si>
  <si>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</si>
  <si>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</si>
  <si>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</si>
  <si>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</si>
  <si>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</si>
  <si>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</si>
  <si>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</si>
  <si>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</si>
  <si>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</si>
  <si>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</si>
  <si>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</si>
  <si>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</si>
  <si>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</si>
  <si>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</si>
  <si>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</si>
  <si>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</si>
  <si>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</si>
  <si>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</si>
  <si>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</si>
  <si>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</si>
  <si>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</si>
  <si>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</si>
  <si>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</si>
  <si>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</si>
  <si>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</si>
  <si>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</si>
  <si>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</si>
  <si>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</si>
  <si>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</si>
  <si>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</si>
  <si>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</si>
  <si>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</si>
  <si>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</si>
  <si>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</si>
  <si>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</si>
  <si>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</si>
  <si>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</si>
  <si>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</si>
  <si>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</si>
  <si>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</si>
  <si>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</si>
  <si>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</si>
  <si>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</si>
  <si>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</si>
  <si>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</si>
  <si>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</si>
  <si>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</si>
  <si>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</si>
  <si>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</si>
  <si>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</si>
  <si>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</si>
  <si>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</si>
  <si>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</si>
  <si>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</si>
  <si>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</si>
  <si>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</si>
  <si>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</si>
  <si>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</si>
  <si>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</si>
  <si>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</si>
  <si>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</si>
  <si>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</si>
  <si>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</si>
  <si>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</si>
  <si>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</si>
  <si>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</si>
  <si>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</si>
  <si>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</si>
  <si>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</si>
  <si>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</si>
  <si>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</si>
  <si>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</si>
  <si>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</si>
  <si>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</si>
  <si>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</si>
  <si>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</si>
  <si>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</si>
  <si>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</si>
  <si>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</si>
  <si>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</si>
  <si>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</si>
  <si>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</si>
  <si>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</si>
  <si>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</si>
  <si>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</si>
  <si>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</si>
  <si>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</si>
  <si>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</si>
  <si>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</si>
  <si>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</si>
  <si>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</si>
  <si>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</si>
  <si>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</si>
  <si>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</si>
  <si>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</si>
  <si>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</si>
  <si>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</si>
  <si>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</si>
  <si>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</si>
  <si>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</si>
  <si>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</si>
  <si>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</si>
  <si>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</si>
  <si>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</si>
  <si>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</si>
  <si>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</si>
  <si>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</si>
  <si>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Player3</t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</si>
  <si>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</si>
  <si>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</si>
  <si>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</si>
  <si>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</si>
  <si>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</si>
  <si>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</si>
  <si>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</si>
  <si>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</si>
  <si>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</si>
  <si>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</si>
  <si>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</si>
  <si>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</si>
  <si>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</si>
  <si>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</si>
  <si>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</si>
  <si>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</si>
  <si>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</si>
  <si>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</si>
  <si>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</si>
  <si>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</si>
  <si>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</si>
  <si>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</si>
  <si>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</si>
  <si>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</si>
  <si>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</si>
  <si>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</si>
  <si>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</si>
  <si>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</si>
  <si>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</si>
  <si>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</si>
  <si>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</si>
  <si>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</si>
  <si>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</si>
  <si>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</si>
  <si>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</si>
  <si>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</si>
  <si>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</si>
  <si>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</si>
  <si>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</si>
  <si>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</si>
  <si>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</si>
  <si>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</si>
  <si>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</si>
  <si>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</si>
  <si>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</si>
  <si>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</si>
  <si>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</si>
  <si>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</si>
  <si>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</si>
  <si>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</si>
  <si>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</si>
  <si>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</si>
  <si>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</si>
  <si>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</si>
  <si>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Player2</t>
    <phoneticPr fontId="1"/>
  </si>
  <si>
    <t>Player1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</si>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</sst>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190</v>
      </c>
      <c r="G1" s="67"/>
      <c r="H1" s="67"/>
      <c r="I1" s="68"/>
      <c r="J1" s="69"/>
      <c r="K1" s="66" t="s">
        <v>189</v>
      </c>
      <c r="L1" s="67"/>
      <c r="M1" s="67"/>
      <c r="N1" s="68"/>
      <c r="O1" s="69"/>
      <c r="P1" s="66" t="s">
        <v>134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Player1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Player2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Player3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Player1</v>
      </c>
      <c r="V2" s="64" t="str">
        <f>$K$1</f>
        <v>Player2</v>
      </c>
      <c r="W2" s="16" t="str">
        <f>$P$1</f>
        <v>Player3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48"/>
      <c r="J4" s="21" t="str">
        <f>IF(COUNTA($F4,$K4,$P4)&gt;0,J3+SUM(G4:I4),"")</f>
        <v/>
      </c>
      <c r="K4" s="8"/>
      <c r="L4" s="9"/>
      <c r="M4" s="9"/>
      <c r="N4" s="48"/>
      <c r="O4" s="21" t="str">
        <f>IF(COUNTA($F4,$K4,$P4)&gt;0,O3+SUM(L4:N4),"")</f>
        <v/>
      </c>
      <c r="P4" s="8"/>
      <c r="Q4" s="9"/>
      <c r="R4" s="9"/>
      <c r="S4" s="48"/>
      <c r="T4" s="21" t="str">
        <f>IF(COUNTA($F4,$K4,$P4)&gt;0,T3+SUM(Q4:S4),"")</f>
        <v/>
      </c>
      <c r="U4" s="53" t="str">
        <f>IF($J4="","",ROUND(($J4-$J$3)/1000,1)+(_xlfn.RANK.AVG($J4,($J4,$O4,$T4),1)-2)*10)</f>
        <v/>
      </c>
      <c r="V4" s="54" t="str">
        <f>IF($O4="","",ROUND(($O4-$O$3)/1000,1)+(_xlfn.RANK.AVG($O4,($J4,$O4,$T4),1)-2)*10)</f>
        <v/>
      </c>
      <c r="W4" s="55" t="str">
        <f>IF($T4="","",ROUND(($T4-$T$3)/1000,1)+(_xlfn.RANK.AVG($T4,($J4,$O4,$T4),1)-2)*10)</f>
        <v/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48"/>
      <c r="J5" s="21" t="str">
        <f t="shared" ref="J5:J30" si="2">IF(COUNTA($F5,$K5,$P5)&gt;0,J4+SUM(G5:I5),"")</f>
        <v/>
      </c>
      <c r="K5" s="8"/>
      <c r="L5" s="9"/>
      <c r="M5" s="9"/>
      <c r="N5" s="48"/>
      <c r="O5" s="21" t="str">
        <f t="shared" ref="O5:O30" si="3">IF(COUNTA($F5,$K5,$P5)&gt;0,O4+SUM(L5:N5),"")</f>
        <v/>
      </c>
      <c r="P5" s="8"/>
      <c r="Q5" s="9"/>
      <c r="R5" s="9"/>
      <c r="S5" s="48"/>
      <c r="T5" s="21" t="str">
        <f t="shared" ref="T5:T30" si="4">IF(COUNTA($F5,$K5,$P5)&gt;0,T4+SUM(Q5:S5),"")</f>
        <v/>
      </c>
      <c r="U5" s="53" t="str">
        <f>IF($J5="","",ROUND(($J5-$J$3)/1000,1)+(_xlfn.RANK.AVG($J5,($J5,$O5,$T5),1)-2)*10)</f>
        <v/>
      </c>
      <c r="V5" s="54" t="str">
        <f>IF($O5="","",ROUND(($O5-$O$3)/1000,1)+(_xlfn.RANK.AVG($O5,($J5,$O5,$T5),1)-2)*10)</f>
        <v/>
      </c>
      <c r="W5" s="55" t="str">
        <f>IF($T5="","",ROUND(($T5-$T$3)/1000,1)+(_xlfn.RANK.AVG($T5,($J5,$O5,$T5),1)-2)*10)</f>
        <v/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IF($J6="","",ROUND(($J6-$J$3)/1000,1)+(_xlfn.RANK.AVG($J6,($J6,$O6,$T6),1)-2)*10)</f>
        <v/>
      </c>
      <c r="V6" s="54" t="str">
        <f>IF($O6="","",ROUND(($O6-$O$3)/1000,1)+(_xlfn.RANK.AVG($O6,($J6,$O6,$T6),1)-2)*10)</f>
        <v/>
      </c>
      <c r="W6" s="55" t="str">
        <f>IF($T6="","",ROUND(($T6-$T$3)/1000,1)+(_xlfn.RANK.AVG($T6,($J6,$O6,$T6),1)-2)*10)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IF($J7="","",ROUND(($J7-$J$3)/1000,1)+(_xlfn.RANK.AVG($J7,($J7,$O7,$T7),1)-2)*10)</f>
        <v/>
      </c>
      <c r="V7" s="54" t="str">
        <f>IF($O7="","",ROUND(($O7-$O$3)/1000,1)+(_xlfn.RANK.AVG($O7,($J7,$O7,$T7),1)-2)*10)</f>
        <v/>
      </c>
      <c r="W7" s="55" t="str">
        <f>IF($T7="","",ROUND(($T7-$T$3)/1000,1)+(_xlfn.RANK.AVG($T7,($J7,$O7,$T7),1)-2)*10)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IF($J8="","",ROUND(($J8-$J$3)/1000,1)+(_xlfn.RANK.AVG($J8,($J8,$O8,$T8),1)-2)*10)</f>
        <v/>
      </c>
      <c r="V8" s="54" t="str">
        <f>IF($O8="","",ROUND(($O8-$O$3)/1000,1)+(_xlfn.RANK.AVG($O8,($J8,$O8,$T8),1)-2)*10)</f>
        <v/>
      </c>
      <c r="W8" s="55" t="str">
        <f>IF($T8="","",ROUND(($T8-$T$3)/1000,1)+(_xlfn.RANK.AVG($T8,($J8,$O8,$T8),1)-2)*10)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139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140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149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142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143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141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145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147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146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148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160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161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162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163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158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150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156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166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152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167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151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168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169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155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165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157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153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164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154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170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171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172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173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174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175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176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177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178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179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180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181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182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183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184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185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186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187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188</v>
      </c>
      <c r="C51" s="15" t="s">
        <v>76</v>
      </c>
      <c r="D51" s="15">
        <v>13</v>
      </c>
    </row>
    <row r="52" spans="1:5" x14ac:dyDescent="0.4">
      <c r="A52" s="36" t="s">
        <v>135</v>
      </c>
      <c r="B52" s="36" t="s">
        <v>159</v>
      </c>
      <c r="C52" s="15" t="s">
        <v>136</v>
      </c>
      <c r="D52" s="15">
        <v>2</v>
      </c>
    </row>
    <row r="53" spans="1:5" x14ac:dyDescent="0.4">
      <c r="A53" s="36" t="s">
        <v>137</v>
      </c>
      <c r="B53" s="36" t="s">
        <v>144</v>
      </c>
      <c r="C53" s="15" t="s">
        <v>138</v>
      </c>
      <c r="D53" s="15">
        <v>1</v>
      </c>
      <c r="E53" s="15">
        <v>1</v>
      </c>
    </row>
    <row r="54" spans="1:5" x14ac:dyDescent="0.4">
      <c r="A54" s="36" t="s">
        <v>191</v>
      </c>
      <c r="B54" s="36" t="s">
        <v>192</v>
      </c>
      <c r="C54" s="15" t="s">
        <v>193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2019-10-17T11:45:50Z</dcterms:modified>
</cp:coreProperties>
</file>