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406F2195-1728-4C06-BB58-BE46D6DE45D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26" r:id="rId6"/>
    <sheet name="れんたろう" sheetId="6228" r:id="rId7"/>
    <sheet name="ともき" sheetId="6230" r:id="rId8"/>
    <sheet name="だいち" sheetId="6232" r:id="rId9"/>
    <sheet name="りくと" sheetId="6234" r:id="rId10"/>
    <sheet name="まっつん" sheetId="6236" r:id="rId11"/>
    <sheet name="たかの" sheetId="6238" r:id="rId12"/>
    <sheet name="のり" sheetId="6240" r:id="rId13"/>
    <sheet name="ただ" sheetId="6242" r:id="rId14"/>
    <sheet name="ぱぱ" sheetId="6244" r:id="rId15"/>
    <sheet name="ぱぱ2" sheetId="6245" state="hidden" r:id="rId16"/>
    <sheet name="ただ2" sheetId="6243" state="hidden" r:id="rId17"/>
    <sheet name="のり2" sheetId="6241" state="hidden" r:id="rId18"/>
    <sheet name="たかの2" sheetId="6239" state="hidden" r:id="rId19"/>
    <sheet name="まっつん2" sheetId="6237" state="hidden" r:id="rId20"/>
    <sheet name="りくと2" sheetId="6235" state="hidden" r:id="rId21"/>
    <sheet name="だいち2" sheetId="6233" state="hidden" r:id="rId22"/>
    <sheet name="ともき2" sheetId="6231" state="hidden" r:id="rId23"/>
    <sheet name="れんたろう2" sheetId="6229" state="hidden" r:id="rId24"/>
    <sheet name="全体2" sheetId="622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38" l="1"/>
  <c r="O19" i="6242"/>
  <c r="O18" i="6228" l="1"/>
  <c r="O17" i="6240"/>
  <c r="O15" i="6244" l="1"/>
  <c r="O16" i="6244"/>
  <c r="H47" i="6244"/>
  <c r="C46" i="6244"/>
  <c r="H44" i="6244"/>
  <c r="H38" i="6244"/>
  <c r="H37" i="6244"/>
  <c r="C36" i="6244"/>
  <c r="C34" i="6244"/>
  <c r="H30" i="6244"/>
  <c r="B29" i="6244"/>
  <c r="H29" i="6244"/>
  <c r="H26" i="6244"/>
  <c r="H24" i="6244"/>
  <c r="C21" i="6244"/>
  <c r="C20" i="6244"/>
  <c r="B19" i="6244"/>
  <c r="H50" i="6244" s="1"/>
  <c r="B18" i="6244"/>
  <c r="B28" i="6244" s="1"/>
  <c r="H11" i="6244"/>
  <c r="B17" i="6244"/>
  <c r="C17" i="6244" s="1"/>
  <c r="C16" i="6244"/>
  <c r="C15" i="6244"/>
  <c r="H19" i="6244"/>
  <c r="C14" i="6244"/>
  <c r="H18" i="6244"/>
  <c r="O12" i="6244"/>
  <c r="B12" i="6244"/>
  <c r="O11" i="6244"/>
  <c r="B11" i="6244"/>
  <c r="O10" i="6244"/>
  <c r="H5" i="6244"/>
  <c r="B10" i="6244"/>
  <c r="C9" i="6244"/>
  <c r="C8" i="6244"/>
  <c r="O7" i="6244"/>
  <c r="H9" i="6244"/>
  <c r="C7" i="6244"/>
  <c r="O6" i="6244"/>
  <c r="B6" i="6244"/>
  <c r="O5" i="6244"/>
  <c r="B5" i="6244"/>
  <c r="O4" i="6244"/>
  <c r="H6" i="6244"/>
  <c r="O3" i="6244"/>
  <c r="O2" i="6244"/>
  <c r="O21" i="6232"/>
  <c r="O17" i="6228"/>
  <c r="O18" i="6226"/>
  <c r="C18" i="6244" l="1"/>
  <c r="B13" i="6244"/>
  <c r="C24" i="6244"/>
  <c r="H48" i="6244"/>
  <c r="H41" i="6244"/>
  <c r="H31" i="6244"/>
  <c r="C19" i="6244"/>
  <c r="H33" i="6244"/>
  <c r="C48" i="6244"/>
  <c r="H22" i="6244"/>
  <c r="H42" i="6244"/>
  <c r="H49" i="6244"/>
  <c r="H2" i="6244"/>
  <c r="H12" i="6244"/>
  <c r="C25" i="6244"/>
  <c r="H34" i="6244"/>
  <c r="H17" i="6244"/>
  <c r="H27" i="6244"/>
  <c r="C42" i="6244"/>
  <c r="H16" i="6244"/>
  <c r="C38" i="6244"/>
  <c r="H3" i="6244"/>
  <c r="H13" i="6244"/>
  <c r="H15" i="6244"/>
  <c r="H8" i="6244"/>
  <c r="H4" i="6244"/>
  <c r="H23" i="6244"/>
  <c r="B26" i="6244"/>
  <c r="H36" i="6244"/>
  <c r="H43" i="6244"/>
  <c r="H39" i="6244"/>
  <c r="C44" i="6244"/>
  <c r="H51" i="6244"/>
  <c r="H10" i="6244"/>
  <c r="H20" i="6244"/>
  <c r="H21" i="6244"/>
  <c r="C22" i="6244"/>
  <c r="B27" i="6244"/>
  <c r="H40" i="6244"/>
  <c r="H45" i="6244"/>
  <c r="H7" i="6244"/>
  <c r="C23" i="6244"/>
  <c r="H14" i="6244"/>
  <c r="H35" i="6244"/>
  <c r="C40" i="6244"/>
  <c r="H46" i="6244"/>
  <c r="H52" i="6244"/>
  <c r="C39" i="6244"/>
  <c r="C43" i="6244"/>
  <c r="C47" i="6244"/>
  <c r="H25" i="6244"/>
  <c r="H28" i="6244"/>
  <c r="H32" i="6244"/>
  <c r="C37" i="6244"/>
  <c r="C41" i="6244"/>
  <c r="C45" i="6244"/>
  <c r="O16" i="6234" l="1"/>
  <c r="O15" i="6242"/>
  <c r="O16" i="6230"/>
  <c r="O19" i="6238"/>
  <c r="O20" i="6242" l="1"/>
  <c r="O15" i="6230"/>
  <c r="O18" i="6242"/>
  <c r="O16" i="6228"/>
  <c r="O15" i="6236" l="1"/>
  <c r="O17" i="6230"/>
  <c r="O20" i="6232"/>
  <c r="O18" i="6236"/>
  <c r="O17" i="6226"/>
  <c r="O17" i="6242"/>
  <c r="O16" i="6242"/>
  <c r="C34" i="6242"/>
  <c r="B29" i="6242"/>
  <c r="C20" i="6242"/>
  <c r="B19" i="6242"/>
  <c r="H50" i="6242" s="1"/>
  <c r="B18" i="6242"/>
  <c r="B28" i="6242" s="1"/>
  <c r="B17" i="6242"/>
  <c r="C17" i="6242" s="1"/>
  <c r="C16" i="6242"/>
  <c r="C15" i="6242"/>
  <c r="C14" i="6242"/>
  <c r="O12" i="6242"/>
  <c r="B12" i="6242"/>
  <c r="O11" i="6242"/>
  <c r="B11" i="6242"/>
  <c r="O10" i="6242"/>
  <c r="B10" i="6242"/>
  <c r="C9" i="6242"/>
  <c r="C8" i="6242"/>
  <c r="O7" i="6242"/>
  <c r="C7" i="6242"/>
  <c r="O6" i="6242"/>
  <c r="B6" i="6242"/>
  <c r="O5" i="6242"/>
  <c r="B5" i="6242"/>
  <c r="O4" i="6242"/>
  <c r="O3" i="6242"/>
  <c r="O2" i="6242"/>
  <c r="C18" i="6242" l="1"/>
  <c r="B13" i="6242"/>
  <c r="H22" i="6242"/>
  <c r="H9" i="6242"/>
  <c r="H17" i="6242"/>
  <c r="H2" i="6242"/>
  <c r="C39" i="6242"/>
  <c r="H43" i="6242"/>
  <c r="C21" i="6242"/>
  <c r="H12" i="6242"/>
  <c r="H20" i="6242"/>
  <c r="H23" i="6242"/>
  <c r="C22" i="6242"/>
  <c r="H42" i="6242"/>
  <c r="H21" i="6242"/>
  <c r="C43" i="6242"/>
  <c r="H18" i="6242"/>
  <c r="H33" i="6242"/>
  <c r="H3" i="6242"/>
  <c r="H14" i="6242"/>
  <c r="H5" i="6242"/>
  <c r="H24" i="6242"/>
  <c r="H31" i="6242"/>
  <c r="H44" i="6242"/>
  <c r="C46" i="6242"/>
  <c r="H37" i="6242"/>
  <c r="C19" i="6242"/>
  <c r="B26" i="6242"/>
  <c r="H38" i="6242"/>
  <c r="H8" i="6242"/>
  <c r="H10" i="6242"/>
  <c r="B27" i="6242"/>
  <c r="C38" i="6242"/>
  <c r="H47" i="6242"/>
  <c r="H28" i="6242"/>
  <c r="H25" i="6242"/>
  <c r="H39" i="6242"/>
  <c r="H48" i="6242"/>
  <c r="C48" i="6242"/>
  <c r="C25" i="6242"/>
  <c r="H34" i="6242"/>
  <c r="C42" i="6242"/>
  <c r="H49" i="6242"/>
  <c r="C23" i="6242"/>
  <c r="H35" i="6242"/>
  <c r="H40" i="6242"/>
  <c r="C44" i="6242"/>
  <c r="H51" i="6242"/>
  <c r="H7" i="6242"/>
  <c r="H11" i="6242"/>
  <c r="H6" i="6242"/>
  <c r="H13" i="6242"/>
  <c r="H19" i="6242"/>
  <c r="H15" i="6242"/>
  <c r="H27" i="6242"/>
  <c r="H36" i="6242"/>
  <c r="C40" i="6242"/>
  <c r="H45" i="6242"/>
  <c r="H4" i="6242"/>
  <c r="H30" i="6242"/>
  <c r="H16" i="6242"/>
  <c r="C24" i="6242"/>
  <c r="C36" i="6242"/>
  <c r="H41" i="6242"/>
  <c r="H46" i="6242"/>
  <c r="H52" i="6242"/>
  <c r="C47" i="6242"/>
  <c r="H26" i="6242"/>
  <c r="H29" i="6242"/>
  <c r="H32" i="6242"/>
  <c r="C37" i="6242"/>
  <c r="C41" i="6242"/>
  <c r="C45" i="6242"/>
  <c r="O18" i="6232" l="1"/>
  <c r="O21" i="6238"/>
  <c r="O21" i="6228"/>
  <c r="O17" i="6238"/>
  <c r="O17" i="6232" l="1"/>
  <c r="O19" i="6234"/>
  <c r="O22" i="6228"/>
  <c r="O19" i="6228"/>
  <c r="O15" i="6234"/>
  <c r="O19" i="6236"/>
  <c r="O16" i="6240" l="1"/>
  <c r="O19" i="6240"/>
  <c r="O20" i="6236"/>
  <c r="O21" i="6236"/>
  <c r="O15" i="6232"/>
  <c r="O19" i="6232"/>
  <c r="O18" i="6238"/>
  <c r="O15" i="6240"/>
  <c r="O18" i="6240"/>
  <c r="C34" i="6240"/>
  <c r="B29" i="6240"/>
  <c r="C20" i="6240"/>
  <c r="B19" i="6240"/>
  <c r="H5" i="6240" s="1"/>
  <c r="B18" i="6240"/>
  <c r="B28" i="6240" s="1"/>
  <c r="B17" i="6240"/>
  <c r="C17" i="6240" s="1"/>
  <c r="C16" i="6240"/>
  <c r="C15" i="6240"/>
  <c r="C14" i="6240"/>
  <c r="O12" i="6240"/>
  <c r="B12" i="6240"/>
  <c r="O11" i="6240"/>
  <c r="B11" i="6240"/>
  <c r="O10" i="6240"/>
  <c r="B10" i="6240"/>
  <c r="C9" i="6240"/>
  <c r="C8" i="6240"/>
  <c r="O7" i="6240"/>
  <c r="C7" i="6240"/>
  <c r="O6" i="6240"/>
  <c r="B6" i="6240"/>
  <c r="O5" i="6240"/>
  <c r="B5" i="6240"/>
  <c r="O4" i="6240"/>
  <c r="O3" i="6240"/>
  <c r="O2" i="6240"/>
  <c r="O18" i="6234"/>
  <c r="O21" i="6226"/>
  <c r="O20" i="6238"/>
  <c r="O15" i="6238"/>
  <c r="C34" i="6238"/>
  <c r="B29" i="6238"/>
  <c r="C20" i="6238"/>
  <c r="B19" i="6238"/>
  <c r="H52" i="6238" s="1"/>
  <c r="B18" i="6238"/>
  <c r="B28" i="6238" s="1"/>
  <c r="B17" i="6238"/>
  <c r="C17" i="6238" s="1"/>
  <c r="C16" i="6238"/>
  <c r="C15" i="6238"/>
  <c r="C14" i="6238"/>
  <c r="O12" i="6238"/>
  <c r="B12" i="6238"/>
  <c r="O11" i="6238"/>
  <c r="B11" i="6238"/>
  <c r="O10" i="6238"/>
  <c r="B10" i="6238"/>
  <c r="C9" i="6238"/>
  <c r="C8" i="6238"/>
  <c r="O7" i="6238"/>
  <c r="C7" i="6238"/>
  <c r="O6" i="6238"/>
  <c r="B6" i="6238"/>
  <c r="O5" i="6238"/>
  <c r="B5" i="6238"/>
  <c r="O4" i="6238"/>
  <c r="O3" i="6238"/>
  <c r="O2" i="6238"/>
  <c r="O17" i="6236"/>
  <c r="O16" i="6236"/>
  <c r="C34" i="6236"/>
  <c r="B29" i="6236"/>
  <c r="C20" i="6236"/>
  <c r="B19" i="6236"/>
  <c r="H21" i="6236" s="1"/>
  <c r="B18" i="6236"/>
  <c r="B28" i="6236" s="1"/>
  <c r="B17" i="6236"/>
  <c r="C17" i="6236" s="1"/>
  <c r="C16" i="6236"/>
  <c r="C15" i="6236"/>
  <c r="C14" i="6236"/>
  <c r="O12" i="6236"/>
  <c r="B12" i="6236"/>
  <c r="O11" i="6236"/>
  <c r="B11" i="6236"/>
  <c r="O10" i="6236"/>
  <c r="B10" i="6236"/>
  <c r="C9" i="6236"/>
  <c r="C8" i="6236"/>
  <c r="O7" i="6236"/>
  <c r="C7" i="6236"/>
  <c r="O6" i="6236"/>
  <c r="B6" i="6236"/>
  <c r="O5" i="6236"/>
  <c r="B5" i="6236"/>
  <c r="O4" i="6236"/>
  <c r="O3" i="6236"/>
  <c r="O2" i="6236"/>
  <c r="O16" i="6226"/>
  <c r="O20" i="6234"/>
  <c r="O17" i="6234"/>
  <c r="C34" i="6234"/>
  <c r="B29" i="6234"/>
  <c r="C20" i="6234"/>
  <c r="B19" i="6234"/>
  <c r="H50" i="6234" s="1"/>
  <c r="B18" i="6234"/>
  <c r="B28" i="6234" s="1"/>
  <c r="B17" i="6234"/>
  <c r="C17" i="6234" s="1"/>
  <c r="C16" i="6234"/>
  <c r="C15" i="6234"/>
  <c r="C14" i="6234"/>
  <c r="O12" i="6234"/>
  <c r="B12" i="6234"/>
  <c r="O11" i="6234"/>
  <c r="B11" i="6234"/>
  <c r="O10" i="6234"/>
  <c r="B10" i="6234"/>
  <c r="C9" i="6234"/>
  <c r="C8" i="6234"/>
  <c r="O7" i="6234"/>
  <c r="C7" i="6234"/>
  <c r="O6" i="6234"/>
  <c r="B6" i="6234"/>
  <c r="O5" i="6234"/>
  <c r="B5" i="6234"/>
  <c r="O4" i="6234"/>
  <c r="O3" i="6234"/>
  <c r="O2" i="6234"/>
  <c r="O22" i="6226"/>
  <c r="O20" i="6226"/>
  <c r="O16" i="6232"/>
  <c r="O22" i="6232"/>
  <c r="C34" i="6232"/>
  <c r="B29" i="6232"/>
  <c r="C20" i="6232"/>
  <c r="B19" i="6232"/>
  <c r="H51" i="6232" s="1"/>
  <c r="B18" i="6232"/>
  <c r="B28" i="6232" s="1"/>
  <c r="B17" i="6232"/>
  <c r="C17" i="6232" s="1"/>
  <c r="C16" i="6232"/>
  <c r="C15" i="6232"/>
  <c r="C14" i="6232"/>
  <c r="O12" i="6232"/>
  <c r="B12" i="6232"/>
  <c r="O11" i="6232"/>
  <c r="B11" i="6232"/>
  <c r="O10" i="6232"/>
  <c r="B10" i="6232"/>
  <c r="C9" i="6232"/>
  <c r="C8" i="6232"/>
  <c r="O7" i="6232"/>
  <c r="C7" i="6232"/>
  <c r="O6" i="6232"/>
  <c r="B6" i="6232"/>
  <c r="O5" i="6232"/>
  <c r="B5" i="6232"/>
  <c r="O4" i="6232"/>
  <c r="O3" i="6232"/>
  <c r="O2" i="6232"/>
  <c r="O18" i="6230"/>
  <c r="O19" i="6230"/>
  <c r="C34" i="6230"/>
  <c r="B29" i="6230"/>
  <c r="C20" i="6230"/>
  <c r="B19" i="6230"/>
  <c r="H50" i="6230" s="1"/>
  <c r="B18" i="6230"/>
  <c r="B28" i="6230" s="1"/>
  <c r="B17" i="6230"/>
  <c r="C17" i="6230" s="1"/>
  <c r="C16" i="6230"/>
  <c r="C15" i="6230"/>
  <c r="C14" i="6230"/>
  <c r="O12" i="6230"/>
  <c r="B12" i="6230"/>
  <c r="O11" i="6230"/>
  <c r="B11" i="6230"/>
  <c r="O10" i="6230"/>
  <c r="B10" i="6230"/>
  <c r="C9" i="6230"/>
  <c r="C8" i="6230"/>
  <c r="O7" i="6230"/>
  <c r="C7" i="6230"/>
  <c r="O6" i="6230"/>
  <c r="B6" i="6230"/>
  <c r="O5" i="6230"/>
  <c r="B5" i="6230"/>
  <c r="O4" i="6230"/>
  <c r="O3" i="6230"/>
  <c r="O2" i="6230"/>
  <c r="O19" i="6226"/>
  <c r="O20" i="6228"/>
  <c r="O15" i="6228"/>
  <c r="C34" i="6228"/>
  <c r="B29" i="6228"/>
  <c r="C20" i="6228"/>
  <c r="B19" i="6228"/>
  <c r="H51" i="6228" s="1"/>
  <c r="B18" i="6228"/>
  <c r="B28" i="6228" s="1"/>
  <c r="B17" i="6228"/>
  <c r="C17" i="6228" s="1"/>
  <c r="C16" i="6228"/>
  <c r="C15" i="6228"/>
  <c r="C14" i="6228"/>
  <c r="O12" i="6228"/>
  <c r="B12" i="6228"/>
  <c r="O11" i="6228"/>
  <c r="B11" i="6228"/>
  <c r="O10" i="6228"/>
  <c r="B10" i="6228"/>
  <c r="C9" i="6228"/>
  <c r="C8" i="6228"/>
  <c r="O7" i="6228"/>
  <c r="C7" i="6228"/>
  <c r="O6" i="6228"/>
  <c r="B6" i="6228"/>
  <c r="O5" i="6228"/>
  <c r="B5" i="6228"/>
  <c r="O4" i="6228"/>
  <c r="O3" i="6228"/>
  <c r="O2" i="6228"/>
  <c r="O23" i="6226"/>
  <c r="O15" i="6226"/>
  <c r="C34" i="6226"/>
  <c r="B29" i="6226"/>
  <c r="C20" i="6226"/>
  <c r="B19" i="6226"/>
  <c r="H51" i="6226" s="1"/>
  <c r="B18" i="6226"/>
  <c r="B28" i="6226" s="1"/>
  <c r="B17" i="6226"/>
  <c r="C17" i="6226" s="1"/>
  <c r="C16" i="6226"/>
  <c r="C15" i="6226"/>
  <c r="C14" i="6226"/>
  <c r="O12" i="6226"/>
  <c r="B12" i="6226"/>
  <c r="O11" i="6226"/>
  <c r="B11" i="6226"/>
  <c r="O10" i="6226"/>
  <c r="B10" i="6226"/>
  <c r="C9" i="6226"/>
  <c r="C8" i="6226"/>
  <c r="O7" i="6226"/>
  <c r="C7" i="6226"/>
  <c r="O6" i="6226"/>
  <c r="B6" i="6226"/>
  <c r="O5" i="6226"/>
  <c r="B5" i="6226"/>
  <c r="O4" i="6226"/>
  <c r="O3" i="6226"/>
  <c r="O2" i="6226"/>
  <c r="C18" i="6240" l="1"/>
  <c r="B13" i="6230"/>
  <c r="C39" i="6230"/>
  <c r="H21" i="6230"/>
  <c r="H18" i="6240"/>
  <c r="H7" i="6240"/>
  <c r="B13" i="6238"/>
  <c r="C18" i="6230"/>
  <c r="H2" i="6230"/>
  <c r="H14" i="6230"/>
  <c r="B13" i="6228"/>
  <c r="H24" i="6238"/>
  <c r="H31" i="6238"/>
  <c r="H41" i="6238"/>
  <c r="H26" i="6238"/>
  <c r="B13" i="6236"/>
  <c r="H35" i="6236"/>
  <c r="H7" i="6236"/>
  <c r="C18" i="6238"/>
  <c r="C18" i="6228"/>
  <c r="B13" i="6232"/>
  <c r="C18" i="6236"/>
  <c r="C18" i="6234"/>
  <c r="H52" i="6234"/>
  <c r="H4" i="6234"/>
  <c r="H27" i="6234"/>
  <c r="H22" i="6234"/>
  <c r="C24" i="6234"/>
  <c r="H7" i="6234"/>
  <c r="H18" i="6234"/>
  <c r="H33" i="6234"/>
  <c r="H24" i="6234"/>
  <c r="H21" i="6234"/>
  <c r="H42" i="6234"/>
  <c r="C19" i="6228"/>
  <c r="H41" i="6234"/>
  <c r="H3" i="6234"/>
  <c r="H13" i="6234"/>
  <c r="H34" i="6234"/>
  <c r="H43" i="6234"/>
  <c r="C25" i="6234"/>
  <c r="C43" i="6234"/>
  <c r="H15" i="6234"/>
  <c r="H46" i="6234"/>
  <c r="H16" i="6234"/>
  <c r="H2" i="6234"/>
  <c r="H9" i="6234"/>
  <c r="H19" i="6234"/>
  <c r="B26" i="6234"/>
  <c r="H37" i="6234"/>
  <c r="C46" i="6234"/>
  <c r="C36" i="6234"/>
  <c r="H26" i="6234"/>
  <c r="C38" i="6234"/>
  <c r="C47" i="6234"/>
  <c r="C21" i="6234"/>
  <c r="H17" i="6234"/>
  <c r="H39" i="6234"/>
  <c r="H48" i="6234"/>
  <c r="H38" i="6234"/>
  <c r="C42" i="6234"/>
  <c r="H47" i="6234"/>
  <c r="H5" i="6234"/>
  <c r="H10" i="6234"/>
  <c r="H23" i="6234"/>
  <c r="H25" i="6234"/>
  <c r="C22" i="6234"/>
  <c r="B27" i="6234"/>
  <c r="C39" i="6234"/>
  <c r="H44" i="6234"/>
  <c r="C48" i="6234"/>
  <c r="C23" i="6234"/>
  <c r="H8" i="6234"/>
  <c r="H35" i="6234"/>
  <c r="H40" i="6234"/>
  <c r="C44" i="6234"/>
  <c r="H49" i="6234"/>
  <c r="H11" i="6234"/>
  <c r="H6" i="6234"/>
  <c r="H12" i="6234"/>
  <c r="H20" i="6234"/>
  <c r="H14" i="6234"/>
  <c r="C19" i="6234"/>
  <c r="H29" i="6234"/>
  <c r="H31" i="6234"/>
  <c r="H36" i="6234"/>
  <c r="C40" i="6234"/>
  <c r="H45" i="6234"/>
  <c r="H51" i="6234"/>
  <c r="H2" i="6236"/>
  <c r="H26" i="6228"/>
  <c r="H14" i="6228"/>
  <c r="H9" i="6228"/>
  <c r="H3" i="6228"/>
  <c r="C24" i="6228"/>
  <c r="H39" i="6228"/>
  <c r="H30" i="6228"/>
  <c r="H38" i="6228"/>
  <c r="H45" i="6228"/>
  <c r="H13" i="6228"/>
  <c r="H19" i="6228"/>
  <c r="C46" i="6228"/>
  <c r="H24" i="6228"/>
  <c r="C38" i="6228"/>
  <c r="C25" i="6228"/>
  <c r="H35" i="6228"/>
  <c r="H40" i="6228"/>
  <c r="H48" i="6228"/>
  <c r="H17" i="6228"/>
  <c r="H49" i="6228"/>
  <c r="H15" i="6228"/>
  <c r="H11" i="6228"/>
  <c r="C21" i="6228"/>
  <c r="B26" i="6228"/>
  <c r="H43" i="6228"/>
  <c r="C48" i="6228"/>
  <c r="H10" i="6228"/>
  <c r="H12" i="6228"/>
  <c r="H4" i="6228"/>
  <c r="H36" i="6228"/>
  <c r="H25" i="6228"/>
  <c r="B27" i="6228"/>
  <c r="H21" i="6228"/>
  <c r="C42" i="6228"/>
  <c r="H50" i="6228"/>
  <c r="C44" i="6228"/>
  <c r="H6" i="6228"/>
  <c r="H16" i="6228"/>
  <c r="H2" i="6228"/>
  <c r="H20" i="6228"/>
  <c r="H28" i="6228"/>
  <c r="H31" i="6228"/>
  <c r="H42" i="6228"/>
  <c r="H18" i="6228"/>
  <c r="H7" i="6228"/>
  <c r="H23" i="6228"/>
  <c r="H27" i="6228"/>
  <c r="C22" i="6228"/>
  <c r="H33" i="6228"/>
  <c r="C36" i="6228"/>
  <c r="H44" i="6228"/>
  <c r="H22" i="6228"/>
  <c r="C44" i="6230"/>
  <c r="C22" i="6230"/>
  <c r="H3" i="6230"/>
  <c r="H12" i="6230"/>
  <c r="H51" i="6230"/>
  <c r="B27" i="6230"/>
  <c r="C21" i="6240"/>
  <c r="H35" i="6240"/>
  <c r="H24" i="6240"/>
  <c r="H36" i="6240"/>
  <c r="H40" i="6240"/>
  <c r="H14" i="6240"/>
  <c r="H20" i="6240"/>
  <c r="B26" i="6240"/>
  <c r="C40" i="6240"/>
  <c r="H11" i="6240"/>
  <c r="B27" i="6240"/>
  <c r="H41" i="6240"/>
  <c r="C22" i="6240"/>
  <c r="H45" i="6240"/>
  <c r="H52" i="6240"/>
  <c r="H9" i="6236"/>
  <c r="C22" i="6236"/>
  <c r="H20" i="6236"/>
  <c r="H46" i="6240"/>
  <c r="H47" i="6240"/>
  <c r="H2" i="6240"/>
  <c r="H15" i="6240"/>
  <c r="H12" i="6240"/>
  <c r="H21" i="6240"/>
  <c r="C23" i="6240"/>
  <c r="H29" i="6240"/>
  <c r="C36" i="6240"/>
  <c r="H42" i="6240"/>
  <c r="C47" i="6240"/>
  <c r="C24" i="6240"/>
  <c r="H37" i="6240"/>
  <c r="H43" i="6240"/>
  <c r="H48" i="6240"/>
  <c r="H8" i="6240"/>
  <c r="H4" i="6240"/>
  <c r="H9" i="6240"/>
  <c r="H16" i="6240"/>
  <c r="H19" i="6240"/>
  <c r="C19" i="6240"/>
  <c r="H10" i="6240"/>
  <c r="H30" i="6240"/>
  <c r="H38" i="6240"/>
  <c r="C43" i="6240"/>
  <c r="C48" i="6240"/>
  <c r="C25" i="6240"/>
  <c r="H31" i="6240"/>
  <c r="H39" i="6240"/>
  <c r="H44" i="6240"/>
  <c r="H49" i="6240"/>
  <c r="H3" i="6240"/>
  <c r="H6" i="6240"/>
  <c r="H17" i="6240"/>
  <c r="H23" i="6240"/>
  <c r="H27" i="6240"/>
  <c r="H33" i="6240"/>
  <c r="C39" i="6240"/>
  <c r="C44" i="6240"/>
  <c r="H51" i="6240"/>
  <c r="H18" i="6238"/>
  <c r="H23" i="6238"/>
  <c r="H9" i="6238"/>
  <c r="H32" i="6238"/>
  <c r="C19" i="6238"/>
  <c r="H7" i="6238"/>
  <c r="H13" i="6238"/>
  <c r="H14" i="6238"/>
  <c r="H37" i="6238"/>
  <c r="H5" i="6238"/>
  <c r="H15" i="6238"/>
  <c r="C22" i="6238"/>
  <c r="C40" i="6238"/>
  <c r="H6" i="6238"/>
  <c r="C23" i="6238"/>
  <c r="C43" i="6238"/>
  <c r="H11" i="6238"/>
  <c r="H25" i="6238"/>
  <c r="B13" i="6240"/>
  <c r="H25" i="6240"/>
  <c r="H28" i="6240"/>
  <c r="H32" i="6240"/>
  <c r="C37" i="6240"/>
  <c r="C41" i="6240"/>
  <c r="C45" i="6240"/>
  <c r="H50" i="6240"/>
  <c r="H22" i="6240"/>
  <c r="H26" i="6240"/>
  <c r="H13" i="6240"/>
  <c r="H34" i="6240"/>
  <c r="C38" i="6240"/>
  <c r="C42" i="6240"/>
  <c r="C46" i="6240"/>
  <c r="C25" i="6238"/>
  <c r="H36" i="6238"/>
  <c r="H44" i="6238"/>
  <c r="H29" i="6238"/>
  <c r="C44" i="6238"/>
  <c r="B26" i="6238"/>
  <c r="C36" i="6238"/>
  <c r="H45" i="6238"/>
  <c r="H3" i="6238"/>
  <c r="H2" i="6238"/>
  <c r="H17" i="6238"/>
  <c r="H27" i="6238"/>
  <c r="H30" i="6238"/>
  <c r="H38" i="6238"/>
  <c r="C47" i="6238"/>
  <c r="H8" i="6238"/>
  <c r="H19" i="6238"/>
  <c r="C21" i="6238"/>
  <c r="C39" i="6238"/>
  <c r="H48" i="6238"/>
  <c r="C48" i="6238"/>
  <c r="H20" i="6238"/>
  <c r="H22" i="6238"/>
  <c r="H49" i="6238"/>
  <c r="H28" i="6238"/>
  <c r="H21" i="6238"/>
  <c r="H33" i="6238"/>
  <c r="C37" i="6238"/>
  <c r="C41" i="6238"/>
  <c r="C45" i="6238"/>
  <c r="H50" i="6238"/>
  <c r="B27" i="6238"/>
  <c r="H34" i="6238"/>
  <c r="H39" i="6238"/>
  <c r="H42" i="6238"/>
  <c r="H46" i="6238"/>
  <c r="H51" i="6238"/>
  <c r="H12" i="6238"/>
  <c r="H16" i="6238"/>
  <c r="H10" i="6238"/>
  <c r="H35" i="6238"/>
  <c r="C38" i="6238"/>
  <c r="C42" i="6238"/>
  <c r="C46" i="6238"/>
  <c r="H4" i="6238"/>
  <c r="C24" i="6238"/>
  <c r="H40" i="6238"/>
  <c r="H43" i="6238"/>
  <c r="H47" i="6238"/>
  <c r="C42" i="6226"/>
  <c r="C46" i="6226"/>
  <c r="H50" i="6236"/>
  <c r="H11" i="6236"/>
  <c r="H5" i="6236"/>
  <c r="H3" i="6236"/>
  <c r="H38" i="6236"/>
  <c r="H10" i="6236"/>
  <c r="H24" i="6236"/>
  <c r="C24" i="6236"/>
  <c r="H27" i="6236"/>
  <c r="B26" i="6236"/>
  <c r="C38" i="6236"/>
  <c r="H8" i="6236"/>
  <c r="H42" i="6236"/>
  <c r="H26" i="6236"/>
  <c r="C19" i="6236"/>
  <c r="C42" i="6236"/>
  <c r="H17" i="6236"/>
  <c r="H46" i="6236"/>
  <c r="H23" i="6236"/>
  <c r="H19" i="6236"/>
  <c r="C46" i="6236"/>
  <c r="H40" i="6236"/>
  <c r="H44" i="6236"/>
  <c r="H48" i="6236"/>
  <c r="H52" i="6236"/>
  <c r="H14" i="6236"/>
  <c r="H28" i="6236"/>
  <c r="H18" i="6236"/>
  <c r="H32" i="6236"/>
  <c r="H36" i="6236"/>
  <c r="C39" i="6236"/>
  <c r="C43" i="6236"/>
  <c r="C47" i="6236"/>
  <c r="H6" i="6236"/>
  <c r="H22" i="6236"/>
  <c r="H25" i="6236"/>
  <c r="C21" i="6236"/>
  <c r="C25" i="6236"/>
  <c r="H37" i="6236"/>
  <c r="H41" i="6236"/>
  <c r="H45" i="6236"/>
  <c r="H49" i="6236"/>
  <c r="H4" i="6236"/>
  <c r="H13" i="6236"/>
  <c r="H12" i="6236"/>
  <c r="H30" i="6236"/>
  <c r="H16" i="6236"/>
  <c r="C36" i="6236"/>
  <c r="C40" i="6236"/>
  <c r="C44" i="6236"/>
  <c r="C48" i="6236"/>
  <c r="H29" i="6236"/>
  <c r="H31" i="6236"/>
  <c r="H33" i="6236"/>
  <c r="C37" i="6236"/>
  <c r="C41" i="6236"/>
  <c r="C45" i="6236"/>
  <c r="H51" i="6236"/>
  <c r="H15" i="6236"/>
  <c r="C23" i="6236"/>
  <c r="B27" i="6236"/>
  <c r="H34" i="6236"/>
  <c r="H39" i="6236"/>
  <c r="H43" i="6236"/>
  <c r="H47" i="6236"/>
  <c r="B13" i="6234"/>
  <c r="H28" i="6234"/>
  <c r="H30" i="6234"/>
  <c r="H32" i="6234"/>
  <c r="C37" i="6234"/>
  <c r="C41" i="6234"/>
  <c r="C45" i="6234"/>
  <c r="H30" i="6232"/>
  <c r="C23" i="6232"/>
  <c r="H25" i="6232"/>
  <c r="C25" i="6232"/>
  <c r="H18" i="6232"/>
  <c r="H7" i="6232"/>
  <c r="H40" i="6232"/>
  <c r="C18" i="6232"/>
  <c r="C38" i="6232"/>
  <c r="B26" i="6232"/>
  <c r="H41" i="6232"/>
  <c r="C42" i="6232"/>
  <c r="H32" i="6232"/>
  <c r="H19" i="6232"/>
  <c r="H45" i="6232"/>
  <c r="H22" i="6232"/>
  <c r="C21" i="6232"/>
  <c r="H36" i="6232"/>
  <c r="H48" i="6232"/>
  <c r="H8" i="6232"/>
  <c r="H14" i="6232"/>
  <c r="H26" i="6232"/>
  <c r="C47" i="6232"/>
  <c r="C43" i="6232"/>
  <c r="H49" i="6232"/>
  <c r="H4" i="6232"/>
  <c r="H11" i="6232"/>
  <c r="H23" i="6232"/>
  <c r="H31" i="6232"/>
  <c r="C22" i="6232"/>
  <c r="B27" i="6232"/>
  <c r="C39" i="6232"/>
  <c r="H46" i="6232"/>
  <c r="C48" i="6232"/>
  <c r="H42" i="6232"/>
  <c r="C44" i="6232"/>
  <c r="H50" i="6232"/>
  <c r="H10" i="6232"/>
  <c r="H6" i="6232"/>
  <c r="H12" i="6232"/>
  <c r="H17" i="6232"/>
  <c r="C19" i="6232"/>
  <c r="H33" i="6232"/>
  <c r="H35" i="6232"/>
  <c r="H38" i="6232"/>
  <c r="C40" i="6232"/>
  <c r="H27" i="6232"/>
  <c r="H15" i="6232"/>
  <c r="H9" i="6232"/>
  <c r="H16" i="6232"/>
  <c r="C24" i="6232"/>
  <c r="C36" i="6232"/>
  <c r="H43" i="6232"/>
  <c r="H47" i="6232"/>
  <c r="H5" i="6232"/>
  <c r="H37" i="6232"/>
  <c r="H28" i="6232"/>
  <c r="H2" i="6232"/>
  <c r="H3" i="6232"/>
  <c r="H29" i="6232"/>
  <c r="H13" i="6232"/>
  <c r="H20" i="6232"/>
  <c r="H39" i="6232"/>
  <c r="H44" i="6232"/>
  <c r="C46" i="6232"/>
  <c r="H52" i="6232"/>
  <c r="H24" i="6232"/>
  <c r="H34" i="6232"/>
  <c r="H21" i="6232"/>
  <c r="C37" i="6232"/>
  <c r="C41" i="6232"/>
  <c r="C45" i="6232"/>
  <c r="C18" i="6226"/>
  <c r="H8" i="6226"/>
  <c r="H35" i="6226"/>
  <c r="C23" i="6230"/>
  <c r="H8" i="6230"/>
  <c r="H35" i="6230"/>
  <c r="H40" i="6230"/>
  <c r="H45" i="6230"/>
  <c r="H5" i="6230"/>
  <c r="H9" i="6230"/>
  <c r="H6" i="6230"/>
  <c r="H11" i="6230"/>
  <c r="H16" i="6230"/>
  <c r="H19" i="6230"/>
  <c r="C19" i="6230"/>
  <c r="H25" i="6230"/>
  <c r="H29" i="6230"/>
  <c r="H36" i="6230"/>
  <c r="C40" i="6230"/>
  <c r="H46" i="6230"/>
  <c r="H52" i="6230"/>
  <c r="H22" i="6230"/>
  <c r="C24" i="6230"/>
  <c r="C36" i="6230"/>
  <c r="H41" i="6230"/>
  <c r="C46" i="6230"/>
  <c r="H4" i="6230"/>
  <c r="H17" i="6230"/>
  <c r="H26" i="6230"/>
  <c r="H30" i="6230"/>
  <c r="H37" i="6230"/>
  <c r="H42" i="6230"/>
  <c r="H47" i="6230"/>
  <c r="H10" i="6230"/>
  <c r="H20" i="6230"/>
  <c r="H23" i="6230"/>
  <c r="C25" i="6230"/>
  <c r="H31" i="6230"/>
  <c r="H38" i="6230"/>
  <c r="C42" i="6230"/>
  <c r="H48" i="6230"/>
  <c r="H18" i="6230"/>
  <c r="C21" i="6230"/>
  <c r="H27" i="6230"/>
  <c r="H33" i="6230"/>
  <c r="C38" i="6230"/>
  <c r="H43" i="6230"/>
  <c r="C48" i="6230"/>
  <c r="H7" i="6230"/>
  <c r="H15" i="6230"/>
  <c r="H13" i="6230"/>
  <c r="B26" i="6230"/>
  <c r="H34" i="6230"/>
  <c r="H39" i="6230"/>
  <c r="H44" i="6230"/>
  <c r="H49" i="6230"/>
  <c r="C43" i="6230"/>
  <c r="C47" i="6230"/>
  <c r="H24" i="6230"/>
  <c r="H28" i="6230"/>
  <c r="H32" i="6230"/>
  <c r="C37" i="6230"/>
  <c r="C41" i="6230"/>
  <c r="C45" i="6230"/>
  <c r="H34" i="6226"/>
  <c r="H48" i="6226"/>
  <c r="H49" i="6226"/>
  <c r="H40" i="6226"/>
  <c r="H7" i="6226"/>
  <c r="H14" i="6226"/>
  <c r="C36" i="6226"/>
  <c r="C23" i="6226"/>
  <c r="H31" i="6226"/>
  <c r="H30" i="6226"/>
  <c r="C22" i="6226"/>
  <c r="H23" i="6226"/>
  <c r="H9" i="6226"/>
  <c r="B27" i="6226"/>
  <c r="H44" i="6226"/>
  <c r="H41" i="6228"/>
  <c r="H46" i="6228"/>
  <c r="H5" i="6228"/>
  <c r="C23" i="6228"/>
  <c r="H8" i="6228"/>
  <c r="H37" i="6228"/>
  <c r="C40" i="6228"/>
  <c r="H47" i="6228"/>
  <c r="H52" i="6228"/>
  <c r="C39" i="6228"/>
  <c r="C43" i="6228"/>
  <c r="C47" i="6228"/>
  <c r="H29" i="6228"/>
  <c r="H32" i="6228"/>
  <c r="H34" i="6228"/>
  <c r="C37" i="6228"/>
  <c r="C41" i="6228"/>
  <c r="C45" i="6228"/>
  <c r="B13" i="6226"/>
  <c r="H21" i="6226"/>
  <c r="H22" i="6226"/>
  <c r="H41" i="6226"/>
  <c r="H45" i="6226"/>
  <c r="C48" i="6226"/>
  <c r="H50" i="6226"/>
  <c r="H11" i="6226"/>
  <c r="C19" i="6226"/>
  <c r="C38" i="6226"/>
  <c r="H10" i="6226"/>
  <c r="H6" i="6226"/>
  <c r="H12" i="6226"/>
  <c r="H15" i="6226"/>
  <c r="C25" i="6226"/>
  <c r="H38" i="6226"/>
  <c r="H42" i="6226"/>
  <c r="H20" i="6226"/>
  <c r="H33" i="6226"/>
  <c r="H16" i="6226"/>
  <c r="C44" i="6226"/>
  <c r="H25" i="6226"/>
  <c r="H43" i="6226"/>
  <c r="H32" i="6226"/>
  <c r="H5" i="6226"/>
  <c r="H4" i="6226"/>
  <c r="H18" i="6226"/>
  <c r="C24" i="6226"/>
  <c r="H19" i="6226"/>
  <c r="H46" i="6226"/>
  <c r="H29" i="6226"/>
  <c r="H2" i="6226"/>
  <c r="H3" i="6226"/>
  <c r="H24" i="6226"/>
  <c r="C21" i="6226"/>
  <c r="B26" i="6226"/>
  <c r="C40" i="6226"/>
  <c r="H47" i="6226"/>
  <c r="H52" i="6226"/>
  <c r="H17" i="6226"/>
  <c r="H36" i="6226"/>
  <c r="H13" i="6226"/>
  <c r="H37" i="6226"/>
  <c r="H39" i="6226"/>
  <c r="C39" i="6226"/>
  <c r="C43" i="6226"/>
  <c r="C47" i="6226"/>
  <c r="H27" i="6226"/>
  <c r="H28" i="6226"/>
  <c r="H26" i="6226"/>
  <c r="C37" i="6226"/>
  <c r="C41" i="6226"/>
  <c r="C45" i="622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<sst xmlns="http://schemas.openxmlformats.org/spreadsheetml/2006/main" count="2703" uniqueCount="233">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</sst>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</c:numCache>
            </c:numRef>
          </c:xVal>
          <c:yVal>
            <c:numRef>
              <c:f>全体!$L$2:$L$302</c:f>
              <c:numCache>
                <c:formatCode>\+0.0;\-0.0;\±0</c:formatCode>
                <c:ptCount val="301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B-4B02-9C9F-F67193D8D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-10.204081632653061</c:v>
                </c:pt>
                <c:pt idx="1">
                  <c:v>-3.4013605442176869</c:v>
                </c:pt>
                <c:pt idx="2">
                  <c:v>-7.1684587813620073</c:v>
                </c:pt>
                <c:pt idx="3">
                  <c:v>16.064257028112451</c:v>
                </c:pt>
                <c:pt idx="4">
                  <c:v>-57.017543859649123</c:v>
                </c:pt>
                <c:pt idx="5">
                  <c:v>77.777777777777771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9-488C-9D14-CC997FCC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53</c:v>
                </c:pt>
                <c:pt idx="1">
                  <c:v>126</c:v>
                </c:pt>
                <c:pt idx="2">
                  <c:v>120</c:v>
                </c:pt>
                <c:pt idx="3">
                  <c:v>127</c:v>
                </c:pt>
                <c:pt idx="4">
                  <c:v>99</c:v>
                </c:pt>
                <c:pt idx="5">
                  <c:v>65</c:v>
                </c:pt>
                <c:pt idx="6">
                  <c:v>41</c:v>
                </c:pt>
                <c:pt idx="7">
                  <c:v>17</c:v>
                </c:pt>
                <c:pt idx="8">
                  <c:v>11</c:v>
                </c:pt>
                <c:pt idx="9">
                  <c:v>9</c:v>
                </c:pt>
                <c:pt idx="10">
                  <c:v>4</c:v>
                </c:pt>
                <c:pt idx="11">
                  <c:v>2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9-4CEE-8AC3-B4851D8B5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れんたろう!$L$2:$L$56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D-4EA9-AD05-3F040927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-375</c:v>
                </c:pt>
                <c:pt idx="1">
                  <c:v>-1884.9056603773586</c:v>
                </c:pt>
                <c:pt idx="2">
                  <c:v>42.857142857142854</c:v>
                </c:pt>
                <c:pt idx="3">
                  <c:v>-1393.1818181818182</c:v>
                </c:pt>
                <c:pt idx="4">
                  <c:v>-125.58139534883721</c:v>
                </c:pt>
                <c:pt idx="5">
                  <c:v>2837.5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4-4E96-8ABF-FB29627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12</c:v>
                </c:pt>
                <c:pt idx="3">
                  <c:v>32</c:v>
                </c:pt>
                <c:pt idx="4">
                  <c:v>22</c:v>
                </c:pt>
                <c:pt idx="5">
                  <c:v>13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5-4FC4-95E5-1C44129DF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7-466B-B11E-287C381A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7-40A9-B6FC-249858CF3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9-4F15-BEF5-36DD3402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0-49C0-AD84-E59069369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652.05479452054794</c:v>
                </c:pt>
                <c:pt idx="1">
                  <c:v>2450</c:v>
                </c:pt>
                <c:pt idx="2">
                  <c:v>2583.8235294117649</c:v>
                </c:pt>
                <c:pt idx="3">
                  <c:v>1486.6666666666667</c:v>
                </c:pt>
                <c:pt idx="4">
                  <c:v>-663.15789473684208</c:v>
                </c:pt>
                <c:pt idx="5">
                  <c:v>2277.2727272727275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9-4ED3-8F2C-01B617EE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26</c:v>
                </c:pt>
                <c:pt idx="2">
                  <c:v>31</c:v>
                </c:pt>
                <c:pt idx="3">
                  <c:v>36</c:v>
                </c:pt>
                <c:pt idx="4">
                  <c:v>30</c:v>
                </c:pt>
                <c:pt idx="5">
                  <c:v>16</c:v>
                </c:pt>
                <c:pt idx="6">
                  <c:v>10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5E1-B850-547E8834B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2F-4D11-BB6A-64C8C1D4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-3853.3333333333335</c:v>
                </c:pt>
                <c:pt idx="1">
                  <c:v>1280</c:v>
                </c:pt>
                <c:pt idx="2">
                  <c:v>-1921.4285714285713</c:v>
                </c:pt>
                <c:pt idx="3">
                  <c:v>-939.13043478260875</c:v>
                </c:pt>
                <c:pt idx="4">
                  <c:v>1294.7368421052631</c:v>
                </c:pt>
                <c:pt idx="5">
                  <c:v>-4073.3333333333335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3F2-8D16-63BFDEE8D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13</c:v>
                </c:pt>
                <c:pt idx="2">
                  <c:v>14</c:v>
                </c:pt>
                <c:pt idx="3">
                  <c:v>9</c:v>
                </c:pt>
                <c:pt idx="4">
                  <c:v>6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6-44C1-9D2F-374718A6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まっつん!$L$2:$L$54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89-4C47-B244-8D7BB49DC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-225.49019607843138</c:v>
                </c:pt>
                <c:pt idx="1">
                  <c:v>-205.88235294117646</c:v>
                </c:pt>
                <c:pt idx="2">
                  <c:v>-894.11764705882354</c:v>
                </c:pt>
                <c:pt idx="3">
                  <c:v>1081.25</c:v>
                </c:pt>
                <c:pt idx="4">
                  <c:v>-509.30232558139534</c:v>
                </c:pt>
                <c:pt idx="5">
                  <c:v>-629.41176470588232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3-40ED-B340-4003BAB2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18</c:v>
                </c:pt>
                <c:pt idx="4">
                  <c:v>11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2-4EFA-ABDF-3E37AFCBD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5-4BEB-A31B-D871C1F9D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-1550</c:v>
                </c:pt>
                <c:pt idx="1">
                  <c:v>-354.83870967741933</c:v>
                </c:pt>
                <c:pt idx="2">
                  <c:v>2771.4285714285716</c:v>
                </c:pt>
                <c:pt idx="3">
                  <c:v>-1524</c:v>
                </c:pt>
                <c:pt idx="4">
                  <c:v>2370</c:v>
                </c:pt>
                <c:pt idx="5">
                  <c:v>905.55555555555554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3-41E5-A873-A4BE6EB1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15</c:v>
                </c:pt>
                <c:pt idx="3">
                  <c:v>9</c:v>
                </c:pt>
                <c:pt idx="4">
                  <c:v>14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9-4A0D-B140-D455E80C9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2-4BE3-9145-ACE154581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7-4800-925B-85A319A65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A-43C5-83AE-522CA5C95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3-4224-85CB-B602D5F0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829.0322580645161</c:v>
                </c:pt>
                <c:pt idx="1">
                  <c:v>-2534.375</c:v>
                </c:pt>
                <c:pt idx="2">
                  <c:v>-1613.3333333333333</c:v>
                </c:pt>
                <c:pt idx="3">
                  <c:v>366.66666666666669</c:v>
                </c:pt>
                <c:pt idx="4">
                  <c:v>-361.53846153846155</c:v>
                </c:pt>
                <c:pt idx="5">
                  <c:v>-2910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B-4A4F-8AC5-FCDFD602B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15</c:v>
                </c:pt>
                <c:pt idx="4">
                  <c:v>9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0-49CD-8B26-369D60994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F-4DAE-B4F9-2AD99154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73-4B36-95D9-D26B94F68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A-4ED5-BCE1-6CC29DA4D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ただ2!$B$3:$B$35</c:f>
              <c:numCache>
                <c:formatCode>\+0.0;\-0.0;\±0</c:formatCode>
                <c:ptCount val="3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ただ2!$C$3:$C$35</c:f>
              <c:numCache>
                <c:formatCode>\+0.0;\-0.0;\±0</c:formatCode>
                <c:ptCount val="33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  <c:pt idx="24">
                  <c:v>-2.8583333333333338</c:v>
                </c:pt>
                <c:pt idx="25">
                  <c:v>-1.9640000000000004</c:v>
                </c:pt>
                <c:pt idx="26">
                  <c:v>-2.2307692307692308</c:v>
                </c:pt>
                <c:pt idx="27">
                  <c:v>-2.3222222222222224</c:v>
                </c:pt>
                <c:pt idx="28">
                  <c:v>-3.7250000000000005</c:v>
                </c:pt>
                <c:pt idx="29">
                  <c:v>-4.8448275862068968</c:v>
                </c:pt>
                <c:pt idx="30">
                  <c:v>-6.0433333333333339</c:v>
                </c:pt>
                <c:pt idx="31">
                  <c:v>-5.8161290322580648</c:v>
                </c:pt>
                <c:pt idx="32">
                  <c:v>-6.2375000000000007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473903143468003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ただ2!$D$3:$D$35</c:f>
              <c:numCache>
                <c:formatCode>0.00\ "位"</c:formatCode>
                <c:ptCount val="33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2.129032258064516</c:v>
                </c:pt>
                <c:pt idx="32">
                  <c:v>2.15625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ただ2!$E$3:$E$35</c:f>
              <c:numCache>
                <c:formatCode>0.0%</c:formatCode>
                <c:ptCount val="3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ただ2!$F$3:$F$35</c:f>
              <c:numCache>
                <c:formatCode>0.0%</c:formatCode>
                <c:ptCount val="3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ただ2!$G$3:$G$35</c:f>
              <c:numCache>
                <c:formatCode>0.0%</c:formatCode>
                <c:ptCount val="33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  <c:pt idx="24">
                  <c:v>0.3193717277486911</c:v>
                </c:pt>
                <c:pt idx="25">
                  <c:v>0.32663316582914576</c:v>
                </c:pt>
                <c:pt idx="26">
                  <c:v>0.32038834951456313</c:v>
                </c:pt>
                <c:pt idx="27">
                  <c:v>0.31627906976744186</c:v>
                </c:pt>
                <c:pt idx="28">
                  <c:v>0.3108108108108108</c:v>
                </c:pt>
                <c:pt idx="29">
                  <c:v>0.30735930735930733</c:v>
                </c:pt>
                <c:pt idx="30">
                  <c:v>0.29957805907172996</c:v>
                </c:pt>
                <c:pt idx="31">
                  <c:v>0.29629629629629628</c:v>
                </c:pt>
                <c:pt idx="32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717299578059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ただ2!$H$3:$H$35</c:f>
              <c:numCache>
                <c:formatCode>0.0%</c:formatCode>
                <c:ptCount val="33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  <c:pt idx="24">
                  <c:v>0.19895287958115182</c:v>
                </c:pt>
                <c:pt idx="25">
                  <c:v>0.19597989949748743</c:v>
                </c:pt>
                <c:pt idx="26">
                  <c:v>0.1941747572815534</c:v>
                </c:pt>
                <c:pt idx="27">
                  <c:v>0.18604651162790697</c:v>
                </c:pt>
                <c:pt idx="28">
                  <c:v>0.18468468468468469</c:v>
                </c:pt>
                <c:pt idx="29">
                  <c:v>0.18181818181818182</c:v>
                </c:pt>
                <c:pt idx="30">
                  <c:v>0.18143459915611815</c:v>
                </c:pt>
                <c:pt idx="31">
                  <c:v>0.17695473251028807</c:v>
                </c:pt>
                <c:pt idx="32">
                  <c:v>0.17599999999999999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443037974683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ただ2!$I$3:$I$35</c:f>
              <c:numCache>
                <c:formatCode>0</c:formatCode>
                <c:ptCount val="33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  <c:pt idx="24">
                  <c:v>9042.622950819672</c:v>
                </c:pt>
                <c:pt idx="25">
                  <c:v>8783.0769230769238</c:v>
                </c:pt>
                <c:pt idx="26">
                  <c:v>8681.818181818182</c:v>
                </c:pt>
                <c:pt idx="27">
                  <c:v>8617.6470588235297</c:v>
                </c:pt>
                <c:pt idx="28">
                  <c:v>8523.188405797102</c:v>
                </c:pt>
                <c:pt idx="29">
                  <c:v>8347.8873239436616</c:v>
                </c:pt>
                <c:pt idx="30">
                  <c:v>8347.8873239436616</c:v>
                </c:pt>
                <c:pt idx="31">
                  <c:v>8343.0555555555547</c:v>
                </c:pt>
                <c:pt idx="32">
                  <c:v>8145.333333333333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86.21190130624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ただ2!$J$3:$J$35</c:f>
              <c:numCache>
                <c:formatCode>0</c:formatCode>
                <c:ptCount val="33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  <c:pt idx="24">
                  <c:v>-9378.9473684210534</c:v>
                </c:pt>
                <c:pt idx="25">
                  <c:v>-9212.8205128205136</c:v>
                </c:pt>
                <c:pt idx="26">
                  <c:v>-9007.5</c:v>
                </c:pt>
                <c:pt idx="27">
                  <c:v>-9007.5</c:v>
                </c:pt>
                <c:pt idx="28">
                  <c:v>-8975.6097560975613</c:v>
                </c:pt>
                <c:pt idx="29">
                  <c:v>-9142.8571428571431</c:v>
                </c:pt>
                <c:pt idx="30">
                  <c:v>-9116.2790697674427</c:v>
                </c:pt>
                <c:pt idx="31">
                  <c:v>-9116.2790697674427</c:v>
                </c:pt>
                <c:pt idx="32">
                  <c:v>-9090.9090909090901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33.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ただ2!$K$3:$K$35</c:f>
              <c:numCache>
                <c:formatCode>0.0%</c:formatCode>
                <c:ptCount val="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ただ2!$L$3:$L$35</c:f>
              <c:numCache>
                <c:formatCode>0.0%</c:formatCode>
                <c:ptCount val="33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  <c:pt idx="24">
                  <c:v>0.18324607329842932</c:v>
                </c:pt>
                <c:pt idx="25">
                  <c:v>0.17587939698492464</c:v>
                </c:pt>
                <c:pt idx="26">
                  <c:v>0.17475728155339806</c:v>
                </c:pt>
                <c:pt idx="27">
                  <c:v>0.16744186046511628</c:v>
                </c:pt>
                <c:pt idx="28">
                  <c:v>0.16216216216216217</c:v>
                </c:pt>
                <c:pt idx="29">
                  <c:v>0.16883116883116883</c:v>
                </c:pt>
                <c:pt idx="30">
                  <c:v>0.16877637130801687</c:v>
                </c:pt>
                <c:pt idx="31">
                  <c:v>0.16460905349794239</c:v>
                </c:pt>
                <c:pt idx="32">
                  <c:v>0.16400000000000001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974683544303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ただ2!$M$3:$M$35</c:f>
              <c:numCache>
                <c:formatCode>0.0%</c:formatCode>
                <c:ptCount val="33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  <c:pt idx="24">
                  <c:v>0.31413612565445026</c:v>
                </c:pt>
                <c:pt idx="25">
                  <c:v>0.30150753768844218</c:v>
                </c:pt>
                <c:pt idx="26">
                  <c:v>0.30582524271844658</c:v>
                </c:pt>
                <c:pt idx="27">
                  <c:v>0.30232558139534882</c:v>
                </c:pt>
                <c:pt idx="28">
                  <c:v>0.30180180180180183</c:v>
                </c:pt>
                <c:pt idx="29">
                  <c:v>0.29870129870129869</c:v>
                </c:pt>
                <c:pt idx="30">
                  <c:v>0.29535864978902954</c:v>
                </c:pt>
                <c:pt idx="31">
                  <c:v>0.29218106995884774</c:v>
                </c:pt>
                <c:pt idx="32">
                  <c:v>0.29599999999999999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65822784810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ただ2!$N$3:$N$35</c:f>
              <c:numCache>
                <c:formatCode>0.0%</c:formatCode>
                <c:ptCount val="33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  <c:pt idx="24">
                  <c:v>0.62857142857142856</c:v>
                </c:pt>
                <c:pt idx="25">
                  <c:v>0.62857142857142856</c:v>
                </c:pt>
                <c:pt idx="26">
                  <c:v>0.61111111111111116</c:v>
                </c:pt>
                <c:pt idx="27">
                  <c:v>0.61111111111111116</c:v>
                </c:pt>
                <c:pt idx="28">
                  <c:v>0.61111111111111116</c:v>
                </c:pt>
                <c:pt idx="29">
                  <c:v>0.61538461538461542</c:v>
                </c:pt>
                <c:pt idx="30">
                  <c:v>0.6</c:v>
                </c:pt>
                <c:pt idx="31">
                  <c:v>0.6</c:v>
                </c:pt>
                <c:pt idx="32">
                  <c:v>0.6097560975609756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19148936170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ただ2!$O$3:$O$35</c:f>
              <c:numCache>
                <c:formatCode>0.0%</c:formatCode>
                <c:ptCount val="33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  <c:pt idx="24">
                  <c:v>0.28333333333333333</c:v>
                </c:pt>
                <c:pt idx="25">
                  <c:v>0.28333333333333333</c:v>
                </c:pt>
                <c:pt idx="26">
                  <c:v>0.2857142857142857</c:v>
                </c:pt>
                <c:pt idx="27">
                  <c:v>0.29230769230769232</c:v>
                </c:pt>
                <c:pt idx="28">
                  <c:v>0.29850746268656714</c:v>
                </c:pt>
                <c:pt idx="29">
                  <c:v>0.28985507246376813</c:v>
                </c:pt>
                <c:pt idx="30">
                  <c:v>0.2857142857142857</c:v>
                </c:pt>
                <c:pt idx="31">
                  <c:v>0.29577464788732394</c:v>
                </c:pt>
                <c:pt idx="32">
                  <c:v>0.3108108108108108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ただ2!$A$3:$A$35</c:f>
              <c:numCache>
                <c:formatCode>0\ "回"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ただ2!$P$3:$P$35</c:f>
              <c:numCache>
                <c:formatCode>0.0%</c:formatCode>
                <c:ptCount val="33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  <c:pt idx="24">
                  <c:v>0.39344262295081966</c:v>
                </c:pt>
                <c:pt idx="25">
                  <c:v>0.36923076923076925</c:v>
                </c:pt>
                <c:pt idx="26">
                  <c:v>0.37878787878787878</c:v>
                </c:pt>
                <c:pt idx="27">
                  <c:v>0.39705882352941174</c:v>
                </c:pt>
                <c:pt idx="28">
                  <c:v>0.40579710144927539</c:v>
                </c:pt>
                <c:pt idx="29">
                  <c:v>0.39436619718309857</c:v>
                </c:pt>
                <c:pt idx="30">
                  <c:v>0.39436619718309857</c:v>
                </c:pt>
                <c:pt idx="31">
                  <c:v>0.3888888888888889</c:v>
                </c:pt>
                <c:pt idx="32">
                  <c:v>0.38666666666666666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89259796806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8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44010.871817129628</v>
      </c>
      <c r="C16" s="2" t="s">
        <v>127</v>
      </c>
    </row>
    <row r="17" spans="1:8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8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8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8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8" x14ac:dyDescent="0.45">
      <c r="A22" s="2" t="s">
        <v>226</v>
      </c>
      <c r="B22" s="3">
        <v>44002.934583333335</v>
      </c>
      <c r="C22" s="2" t="s">
        <v>127</v>
      </c>
    </row>
    <row r="23" spans="1:8" x14ac:dyDescent="0.45">
      <c r="A23" s="2" t="s">
        <v>227</v>
      </c>
      <c r="B23" s="3">
        <v>44004.533136574071</v>
      </c>
      <c r="C23" s="2" t="s">
        <v>127</v>
      </c>
    </row>
    <row r="24" spans="1:8" x14ac:dyDescent="0.45">
      <c r="A24" s="2" t="s">
        <v>228</v>
      </c>
      <c r="B24" s="3">
        <v>44010.870416666665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229</v>
      </c>
      <c r="B25" s="3">
        <v>44008.832615740743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230</v>
      </c>
      <c r="B26" s="3">
        <v>44010.870162037034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231</v>
      </c>
      <c r="B27" s="3">
        <v>44011.857037037036</v>
      </c>
      <c r="C27" s="2" t="s">
        <v>127</v>
      </c>
      <c r="D27" s="2" t="s">
        <v>191</v>
      </c>
    </row>
    <row r="28" spans="1:8" x14ac:dyDescent="0.45">
      <c r="A28" s="2" t="s">
        <v>232</v>
      </c>
      <c r="B28" s="3">
        <v>44012.677905092591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300</v>
      </c>
    </row>
    <row r="2" spans="1:2" x14ac:dyDescent="0.45">
      <c r="A2" t="s">
        <v>164</v>
      </c>
      <c r="B2">
        <v>54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73</v>
      </c>
    </row>
    <row r="5" spans="1:2" x14ac:dyDescent="0.45">
      <c r="A5" t="s">
        <v>194</v>
      </c>
      <c r="B5">
        <v>31</v>
      </c>
    </row>
    <row r="6" spans="1:2" x14ac:dyDescent="0.45">
      <c r="A6" t="s">
        <v>192</v>
      </c>
      <c r="B6">
        <v>52</v>
      </c>
    </row>
    <row r="7" spans="1:2" x14ac:dyDescent="0.45">
      <c r="A7" t="s">
        <v>193</v>
      </c>
      <c r="B7">
        <v>32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32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0.80759588669074656</v>
      </c>
      <c r="C2" s="142"/>
      <c r="D2" s="145"/>
      <c r="E2" s="146"/>
      <c r="F2" s="145"/>
      <c r="G2" s="146"/>
      <c r="H2" s="141">
        <v>-0.18483931058894373</v>
      </c>
      <c r="I2" s="142"/>
      <c r="J2" s="141">
        <v>0.8914841986616997</v>
      </c>
      <c r="K2" s="142"/>
      <c r="L2" s="141">
        <v>0.82944322791285707</v>
      </c>
      <c r="M2" s="142"/>
      <c r="N2" s="141">
        <v>0.89687324130248436</v>
      </c>
      <c r="O2" s="142"/>
      <c r="P2" s="141">
        <v>0.66857415357926353</v>
      </c>
      <c r="Q2" s="142"/>
      <c r="R2" s="141">
        <v>0.39459395789871604</v>
      </c>
      <c r="S2" s="142"/>
      <c r="T2" s="141">
        <v>0.50968075746311825</v>
      </c>
      <c r="U2" s="142"/>
      <c r="V2" s="141">
        <v>7.4516920399680567E-2</v>
      </c>
      <c r="W2" s="142"/>
      <c r="X2" s="141">
        <v>0.64479965238633186</v>
      </c>
      <c r="Y2" s="142"/>
      <c r="Z2" s="141">
        <v>0.21998733456417671</v>
      </c>
      <c r="AA2" s="142"/>
      <c r="AB2" s="141">
        <v>-0.20074970575687265</v>
      </c>
      <c r="AC2" s="142"/>
      <c r="AD2" s="141">
        <v>0.39873856569465099</v>
      </c>
      <c r="AE2" s="142"/>
      <c r="AF2" s="141">
        <v>0.10770532429977835</v>
      </c>
      <c r="AG2" s="142"/>
      <c r="AH2" s="141">
        <v>0.90830075301022695</v>
      </c>
      <c r="AI2" s="142"/>
      <c r="AJ2" s="141">
        <v>7.7805163890330944E-2</v>
      </c>
      <c r="AK2" s="142"/>
    </row>
    <row r="3" spans="1:37" x14ac:dyDescent="0.45">
      <c r="A3" s="40">
        <v>1</v>
      </c>
      <c r="B3" s="43" t="s">
        <v>139</v>
      </c>
      <c r="C3" s="117">
        <v>100</v>
      </c>
      <c r="D3" s="41" t="s">
        <v>126</v>
      </c>
      <c r="E3" s="42">
        <v>658.9000000000002</v>
      </c>
      <c r="F3" s="43" t="s">
        <v>126</v>
      </c>
      <c r="G3" s="62">
        <v>9.0260273972602771</v>
      </c>
      <c r="H3" s="43" t="s">
        <v>196</v>
      </c>
      <c r="I3" s="62">
        <v>7.6166666666666663</v>
      </c>
      <c r="J3" s="43" t="s">
        <v>126</v>
      </c>
      <c r="K3" s="44">
        <v>1.7808219178082192</v>
      </c>
      <c r="L3" s="43" t="s">
        <v>126</v>
      </c>
      <c r="M3" s="45">
        <v>0.42465753424657532</v>
      </c>
      <c r="N3" s="43" t="s">
        <v>196</v>
      </c>
      <c r="O3" s="45">
        <v>0.125</v>
      </c>
      <c r="P3" s="43" t="s">
        <v>126</v>
      </c>
      <c r="Q3" s="46">
        <v>0.31260794473229708</v>
      </c>
      <c r="R3" s="43" t="s">
        <v>196</v>
      </c>
      <c r="S3" s="46">
        <v>7.6923076923076927E-2</v>
      </c>
      <c r="T3" s="43" t="s">
        <v>164</v>
      </c>
      <c r="U3" s="47">
        <v>10310.9243697479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0.35269709543568467</v>
      </c>
      <c r="AD3" s="43" t="s">
        <v>213</v>
      </c>
      <c r="AE3" s="46">
        <v>0.70833333333333337</v>
      </c>
      <c r="AF3" s="43" t="s">
        <v>194</v>
      </c>
      <c r="AG3" s="46">
        <v>0.60526315789473684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73</v>
      </c>
      <c r="D4" s="49" t="s">
        <v>193</v>
      </c>
      <c r="E4" s="50">
        <v>76.100000000000009</v>
      </c>
      <c r="F4" s="51" t="s">
        <v>193</v>
      </c>
      <c r="G4" s="63">
        <v>2.3781250000000003</v>
      </c>
      <c r="H4" s="51" t="s">
        <v>194</v>
      </c>
      <c r="I4" s="63">
        <v>3.7018518518518491</v>
      </c>
      <c r="J4" s="51" t="s">
        <v>196</v>
      </c>
      <c r="K4" s="52">
        <v>1.875</v>
      </c>
      <c r="L4" s="51" t="s">
        <v>164</v>
      </c>
      <c r="M4" s="53">
        <v>0.37037037037037035</v>
      </c>
      <c r="N4" s="51" t="s">
        <v>126</v>
      </c>
      <c r="O4" s="53">
        <v>0.20547945205479451</v>
      </c>
      <c r="P4" s="51" t="s">
        <v>193</v>
      </c>
      <c r="Q4" s="54">
        <v>0.31120331950207469</v>
      </c>
      <c r="R4" s="51" t="s">
        <v>192</v>
      </c>
      <c r="S4" s="54">
        <v>0.11990407673860912</v>
      </c>
      <c r="T4" s="51" t="s">
        <v>126</v>
      </c>
      <c r="U4" s="55">
        <v>9761.8784530386747</v>
      </c>
      <c r="V4" s="51" t="s">
        <v>193</v>
      </c>
      <c r="W4" s="55">
        <v>-6827.272727272727</v>
      </c>
      <c r="X4" s="51" t="s">
        <v>213</v>
      </c>
      <c r="Y4" s="53">
        <v>0</v>
      </c>
      <c r="Z4" s="51" t="s">
        <v>164</v>
      </c>
      <c r="AA4" s="54">
        <v>0.29723502304147464</v>
      </c>
      <c r="AB4" s="51" t="s">
        <v>205</v>
      </c>
      <c r="AC4" s="54">
        <v>0.29599999999999999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54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1.96875</v>
      </c>
      <c r="L5" s="51" t="s">
        <v>193</v>
      </c>
      <c r="M5" s="53">
        <v>0.34375</v>
      </c>
      <c r="N5" s="51" t="s">
        <v>192</v>
      </c>
      <c r="O5" s="53">
        <v>0.30769230769230771</v>
      </c>
      <c r="P5" s="51" t="s">
        <v>213</v>
      </c>
      <c r="Q5" s="54">
        <v>0.3108108108108108</v>
      </c>
      <c r="R5" s="51" t="s">
        <v>193</v>
      </c>
      <c r="S5" s="54">
        <v>0.13692946058091288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6.8493150684931503E-2</v>
      </c>
      <c r="Z5" s="51" t="s">
        <v>196</v>
      </c>
      <c r="AA5" s="54">
        <v>0.29230769230769232</v>
      </c>
      <c r="AB5" s="51" t="s">
        <v>192</v>
      </c>
      <c r="AC5" s="54">
        <v>0.25179856115107913</v>
      </c>
      <c r="AD5" s="51" t="s">
        <v>193</v>
      </c>
      <c r="AE5" s="54">
        <v>0.625</v>
      </c>
      <c r="AF5" s="51" t="s">
        <v>189</v>
      </c>
      <c r="AG5" s="54">
        <v>0.5</v>
      </c>
      <c r="AH5" s="51" t="s">
        <v>126</v>
      </c>
      <c r="AI5" s="54">
        <v>0.52486187845303867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52</v>
      </c>
      <c r="D6" s="49" t="s">
        <v>139</v>
      </c>
      <c r="E6" s="50">
        <v>-2.8421709430404007E-14</v>
      </c>
      <c r="F6" s="51" t="s">
        <v>139</v>
      </c>
      <c r="G6" s="63">
        <v>-9.4739031434680031E-17</v>
      </c>
      <c r="H6" s="51" t="s">
        <v>193</v>
      </c>
      <c r="I6" s="63">
        <v>1.1157575757575746</v>
      </c>
      <c r="J6" s="51" t="s">
        <v>192</v>
      </c>
      <c r="K6" s="52">
        <v>1.9807692307692308</v>
      </c>
      <c r="L6" s="51" t="s">
        <v>139</v>
      </c>
      <c r="M6" s="53">
        <v>0.33333333333333331</v>
      </c>
      <c r="N6" s="51" t="s">
        <v>193</v>
      </c>
      <c r="O6" s="53">
        <v>0.3125</v>
      </c>
      <c r="P6" s="51" t="s">
        <v>205</v>
      </c>
      <c r="Q6" s="54">
        <v>0.3</v>
      </c>
      <c r="R6" s="51" t="s">
        <v>126</v>
      </c>
      <c r="S6" s="54">
        <v>0.14507772020725387</v>
      </c>
      <c r="T6" s="51" t="s">
        <v>139</v>
      </c>
      <c r="U6" s="55">
        <v>8786.2119013062402</v>
      </c>
      <c r="V6" s="51" t="s">
        <v>194</v>
      </c>
      <c r="W6" s="55">
        <v>-7342.5</v>
      </c>
      <c r="X6" s="51" t="s">
        <v>192</v>
      </c>
      <c r="Y6" s="53">
        <v>9.6153846153846159E-2</v>
      </c>
      <c r="Z6" s="51" t="s">
        <v>189</v>
      </c>
      <c r="AA6" s="54">
        <v>0.28378378378378377</v>
      </c>
      <c r="AB6" s="51" t="s">
        <v>139</v>
      </c>
      <c r="AC6" s="54">
        <v>0.21265822784810126</v>
      </c>
      <c r="AD6" s="51" t="s">
        <v>205</v>
      </c>
      <c r="AE6" s="54">
        <v>0.6097560975609756</v>
      </c>
      <c r="AF6" s="51" t="s">
        <v>126</v>
      </c>
      <c r="AG6" s="54">
        <v>0.48958333333333331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32</v>
      </c>
      <c r="D7" s="49" t="s">
        <v>213</v>
      </c>
      <c r="E7" s="50">
        <v>-41.599999999999994</v>
      </c>
      <c r="F7" s="51" t="s">
        <v>192</v>
      </c>
      <c r="G7" s="63">
        <v>-0.88653846153846116</v>
      </c>
      <c r="H7" s="51" t="s">
        <v>126</v>
      </c>
      <c r="I7" s="63">
        <v>0.30304261250497905</v>
      </c>
      <c r="J7" s="51" t="s">
        <v>139</v>
      </c>
      <c r="K7" s="52">
        <v>2</v>
      </c>
      <c r="L7" s="51" t="s">
        <v>192</v>
      </c>
      <c r="M7" s="53">
        <v>0.32692307692307693</v>
      </c>
      <c r="N7" s="51" t="s">
        <v>139</v>
      </c>
      <c r="O7" s="53">
        <v>0.33333333333333331</v>
      </c>
      <c r="P7" s="51" t="s">
        <v>139</v>
      </c>
      <c r="Q7" s="54">
        <v>0.29071729957805909</v>
      </c>
      <c r="R7" s="51" t="s">
        <v>139</v>
      </c>
      <c r="S7" s="54">
        <v>0.15443037974683543</v>
      </c>
      <c r="T7" s="51" t="s">
        <v>205</v>
      </c>
      <c r="U7" s="55">
        <v>8145.333333333333</v>
      </c>
      <c r="V7" s="51" t="s">
        <v>192</v>
      </c>
      <c r="W7" s="55">
        <v>-7786</v>
      </c>
      <c r="X7" s="51" t="s">
        <v>189</v>
      </c>
      <c r="Y7" s="53">
        <v>0.1111111111111111</v>
      </c>
      <c r="Z7" s="51" t="s">
        <v>126</v>
      </c>
      <c r="AA7" s="54">
        <v>0.25215889464594127</v>
      </c>
      <c r="AB7" s="51" t="s">
        <v>164</v>
      </c>
      <c r="AC7" s="54">
        <v>0.19354838709677419</v>
      </c>
      <c r="AD7" s="51" t="s">
        <v>126</v>
      </c>
      <c r="AE7" s="54">
        <v>0.58904109589041098</v>
      </c>
      <c r="AF7" s="51" t="s">
        <v>193</v>
      </c>
      <c r="AG7" s="54">
        <v>0.41176470588235292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205</v>
      </c>
      <c r="C8" s="118">
        <v>32</v>
      </c>
      <c r="D8" s="49" t="s">
        <v>192</v>
      </c>
      <c r="E8" s="50">
        <v>-46.09999999999998</v>
      </c>
      <c r="F8" s="51" t="s">
        <v>164</v>
      </c>
      <c r="G8" s="63">
        <v>-1.1814814814814827</v>
      </c>
      <c r="H8" s="51" t="s">
        <v>139</v>
      </c>
      <c r="I8" s="63">
        <v>0</v>
      </c>
      <c r="J8" s="51" t="s">
        <v>164</v>
      </c>
      <c r="K8" s="52">
        <v>2.0185185185185186</v>
      </c>
      <c r="L8" s="51" t="s">
        <v>205</v>
      </c>
      <c r="M8" s="53">
        <v>0.28125</v>
      </c>
      <c r="N8" s="51" t="s">
        <v>213</v>
      </c>
      <c r="O8" s="53">
        <v>0.33333333333333331</v>
      </c>
      <c r="P8" s="51" t="s">
        <v>192</v>
      </c>
      <c r="Q8" s="54">
        <v>0.28297362110311752</v>
      </c>
      <c r="R8" s="51" t="s">
        <v>194</v>
      </c>
      <c r="S8" s="54">
        <v>0.16949152542372881</v>
      </c>
      <c r="T8" s="51" t="s">
        <v>196</v>
      </c>
      <c r="U8" s="55">
        <v>7964.7058823529414</v>
      </c>
      <c r="V8" s="51" t="s">
        <v>139</v>
      </c>
      <c r="W8" s="55">
        <v>-7933.333333333333</v>
      </c>
      <c r="X8" s="51" t="s">
        <v>139</v>
      </c>
      <c r="Y8" s="53">
        <v>0.12</v>
      </c>
      <c r="Z8" s="51" t="s">
        <v>192</v>
      </c>
      <c r="AA8" s="54">
        <v>0.2446043165467626</v>
      </c>
      <c r="AB8" s="51" t="s">
        <v>126</v>
      </c>
      <c r="AC8" s="54">
        <v>0.16580310880829016</v>
      </c>
      <c r="AD8" s="51" t="s">
        <v>139</v>
      </c>
      <c r="AE8" s="54">
        <v>0.55319148936170215</v>
      </c>
      <c r="AF8" s="51" t="s">
        <v>139</v>
      </c>
      <c r="AG8" s="54">
        <v>0.4107142857142857</v>
      </c>
      <c r="AH8" s="51" t="s">
        <v>139</v>
      </c>
      <c r="AI8" s="54">
        <v>0.46589259796806964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194</v>
      </c>
      <c r="C9" s="118">
        <v>31</v>
      </c>
      <c r="D9" s="49" t="s">
        <v>164</v>
      </c>
      <c r="E9" s="50">
        <v>-63.800000000000061</v>
      </c>
      <c r="F9" s="51" t="s">
        <v>213</v>
      </c>
      <c r="G9" s="63">
        <v>-4.6222222222222218</v>
      </c>
      <c r="H9" s="51" t="s">
        <v>205</v>
      </c>
      <c r="I9" s="63">
        <v>-0.64656084656084778</v>
      </c>
      <c r="J9" s="51" t="s">
        <v>213</v>
      </c>
      <c r="K9" s="52">
        <v>2.1111111111111112</v>
      </c>
      <c r="L9" s="51" t="s">
        <v>196</v>
      </c>
      <c r="M9" s="53">
        <v>0.25</v>
      </c>
      <c r="N9" s="51" t="s">
        <v>164</v>
      </c>
      <c r="O9" s="53">
        <v>0.3888888888888889</v>
      </c>
      <c r="P9" s="51" t="s">
        <v>194</v>
      </c>
      <c r="Q9" s="54">
        <v>0.27542372881355931</v>
      </c>
      <c r="R9" s="51" t="s">
        <v>205</v>
      </c>
      <c r="S9" s="54">
        <v>0.17599999999999999</v>
      </c>
      <c r="T9" s="51" t="s">
        <v>192</v>
      </c>
      <c r="U9" s="55">
        <v>7774.5762711864409</v>
      </c>
      <c r="V9" s="51" t="s">
        <v>126</v>
      </c>
      <c r="W9" s="55">
        <v>-8021.4285714285716</v>
      </c>
      <c r="X9" s="51" t="s">
        <v>205</v>
      </c>
      <c r="Y9" s="53">
        <v>0.125</v>
      </c>
      <c r="Z9" s="51" t="s">
        <v>139</v>
      </c>
      <c r="AA9" s="54">
        <v>0.23797468354430379</v>
      </c>
      <c r="AB9" s="51" t="s">
        <v>194</v>
      </c>
      <c r="AC9" s="54">
        <v>0.16101694915254236</v>
      </c>
      <c r="AD9" s="51" t="s">
        <v>192</v>
      </c>
      <c r="AE9" s="54">
        <v>0.5490196078431373</v>
      </c>
      <c r="AF9" s="51" t="s">
        <v>164</v>
      </c>
      <c r="AG9" s="54">
        <v>0.36904761904761907</v>
      </c>
      <c r="AH9" s="51" t="s">
        <v>164</v>
      </c>
      <c r="AI9" s="54">
        <v>0.44537815126050423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205</v>
      </c>
      <c r="G10" s="63">
        <v>-6.2375000000000007</v>
      </c>
      <c r="H10" s="51" t="s">
        <v>164</v>
      </c>
      <c r="I10" s="63">
        <v>-0.73631868131867628</v>
      </c>
      <c r="J10" s="51" t="s">
        <v>205</v>
      </c>
      <c r="K10" s="52">
        <v>2.15625</v>
      </c>
      <c r="L10" s="51" t="s">
        <v>189</v>
      </c>
      <c r="M10" s="53">
        <v>0.22222222222222221</v>
      </c>
      <c r="N10" s="51" t="s">
        <v>205</v>
      </c>
      <c r="O10" s="53">
        <v>0.4375</v>
      </c>
      <c r="P10" s="51" t="s">
        <v>164</v>
      </c>
      <c r="Q10" s="54">
        <v>0.27419354838709675</v>
      </c>
      <c r="R10" s="51" t="s">
        <v>164</v>
      </c>
      <c r="S10" s="54">
        <v>0.18202764976958524</v>
      </c>
      <c r="T10" s="51" t="s">
        <v>193</v>
      </c>
      <c r="U10" s="55">
        <v>7746.666666666667</v>
      </c>
      <c r="V10" s="51" t="s">
        <v>164</v>
      </c>
      <c r="W10" s="55">
        <v>-8281.0126582278481</v>
      </c>
      <c r="X10" s="51" t="s">
        <v>164</v>
      </c>
      <c r="Y10" s="53">
        <v>0.16666666666666666</v>
      </c>
      <c r="Z10" s="51" t="s">
        <v>194</v>
      </c>
      <c r="AA10" s="54">
        <v>0.21186440677966101</v>
      </c>
      <c r="AB10" s="51" t="s">
        <v>196</v>
      </c>
      <c r="AC10" s="54">
        <v>0.13846153846153847</v>
      </c>
      <c r="AD10" s="51" t="s">
        <v>194</v>
      </c>
      <c r="AE10" s="54">
        <v>0.48</v>
      </c>
      <c r="AF10" s="51" t="s">
        <v>192</v>
      </c>
      <c r="AG10" s="54">
        <v>0.3619047619047619</v>
      </c>
      <c r="AH10" s="51" t="s">
        <v>192</v>
      </c>
      <c r="AI10" s="54">
        <v>0.43220338983050849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205</v>
      </c>
      <c r="E11" s="50">
        <v>-199.60000000000002</v>
      </c>
      <c r="F11" s="51" t="s">
        <v>194</v>
      </c>
      <c r="G11" s="63">
        <v>-9.2225806451612886</v>
      </c>
      <c r="H11" s="51" t="s">
        <v>192</v>
      </c>
      <c r="I11" s="63">
        <v>-1.5084494324045394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213</v>
      </c>
      <c r="S11" s="54">
        <v>0.1891891891891892</v>
      </c>
      <c r="T11" s="51" t="s">
        <v>194</v>
      </c>
      <c r="U11" s="55">
        <v>7644.6153846153848</v>
      </c>
      <c r="V11" s="51" t="s">
        <v>213</v>
      </c>
      <c r="W11" s="55">
        <v>-8671.4285714285706</v>
      </c>
      <c r="X11" s="51" t="s">
        <v>193</v>
      </c>
      <c r="Y11" s="53">
        <v>0.1875</v>
      </c>
      <c r="Z11" s="51" t="s">
        <v>205</v>
      </c>
      <c r="AA11" s="54">
        <v>0.16400000000000001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194</v>
      </c>
      <c r="AI11" s="54">
        <v>0.43076923076923079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-285.89999999999992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2.3225806451612905</v>
      </c>
      <c r="L12" s="51" t="s">
        <v>194</v>
      </c>
      <c r="M12" s="53">
        <v>0.19354838709677419</v>
      </c>
      <c r="N12" s="51" t="s">
        <v>194</v>
      </c>
      <c r="O12" s="53">
        <v>0.5161290322580645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-9090.9090909090901</v>
      </c>
      <c r="X12" s="51" t="s">
        <v>194</v>
      </c>
      <c r="Y12" s="53">
        <v>0.19354838709677419</v>
      </c>
      <c r="Z12" s="51" t="s">
        <v>193</v>
      </c>
      <c r="AA12" s="54">
        <v>0.13278008298755187</v>
      </c>
      <c r="AB12" s="51" t="s">
        <v>189</v>
      </c>
      <c r="AC12" s="54">
        <v>8.1081081081081086E-2</v>
      </c>
      <c r="AD12" s="51" t="s">
        <v>164</v>
      </c>
      <c r="AE12" s="54">
        <v>0.47286821705426357</v>
      </c>
      <c r="AF12" s="51" t="s">
        <v>205</v>
      </c>
      <c r="AG12" s="54">
        <v>0.3108108108108108</v>
      </c>
      <c r="AH12" s="51" t="s">
        <v>205</v>
      </c>
      <c r="AI12" s="54">
        <v>0.38666666666666666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7BF0-5A83-4F1C-8C62-71FEE6E93A35}">
  <sheetPr codeName="Sheet4"/>
  <dimension ref="A1:Q30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300</v>
      </c>
      <c r="C2" s="132"/>
      <c r="E2" s="28" t="s">
        <v>66</v>
      </c>
      <c r="F2" s="25" t="s">
        <v>22</v>
      </c>
      <c r="G2" s="13">
        <v>498</v>
      </c>
      <c r="H2" s="91">
        <f>IF(B$19=0,0,G2/B$19)</f>
        <v>0.72278664731494924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-10.204081632653061</v>
      </c>
      <c r="P2" s="80">
        <v>294</v>
      </c>
      <c r="Q2" s="67">
        <v>-3000</v>
      </c>
    </row>
    <row r="3" spans="1:17" x14ac:dyDescent="0.45">
      <c r="A3" s="21" t="s">
        <v>8</v>
      </c>
      <c r="B3" s="133">
        <v>2370</v>
      </c>
      <c r="C3" s="134"/>
      <c r="E3" s="29" t="s">
        <v>72</v>
      </c>
      <c r="F3" s="26" t="s">
        <v>27</v>
      </c>
      <c r="G3" s="14">
        <v>394</v>
      </c>
      <c r="H3" s="92">
        <f>IF(B$19=0,0,G3/B$19)</f>
        <v>0.57184325108853407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-3.4013605442176869</v>
      </c>
      <c r="P3" s="81">
        <v>294</v>
      </c>
      <c r="Q3" s="68">
        <v>-1000</v>
      </c>
    </row>
    <row r="4" spans="1:17" x14ac:dyDescent="0.45">
      <c r="A4" s="21" t="s">
        <v>6</v>
      </c>
      <c r="B4" s="135">
        <v>-2.8421709430404007E-14</v>
      </c>
      <c r="C4" s="136"/>
      <c r="E4" s="29" t="s">
        <v>64</v>
      </c>
      <c r="F4" s="26" t="s">
        <v>20</v>
      </c>
      <c r="G4" s="14">
        <v>304</v>
      </c>
      <c r="H4" s="92">
        <f>IF(B$19=0,0,G4/B$19)</f>
        <v>0.44121915820029028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-7.1684587813620073</v>
      </c>
      <c r="P4" s="81">
        <v>279</v>
      </c>
      <c r="Q4" s="68">
        <v>-2000</v>
      </c>
    </row>
    <row r="5" spans="1:17" x14ac:dyDescent="0.45">
      <c r="A5" s="21" t="s">
        <v>7</v>
      </c>
      <c r="B5" s="123">
        <f>IF(B$2=0,0,B$4/B$2)</f>
        <v>-9.4739031434680031E-17</v>
      </c>
      <c r="C5" s="124"/>
      <c r="E5" s="29" t="s">
        <v>160</v>
      </c>
      <c r="F5" s="26" t="s">
        <v>161</v>
      </c>
      <c r="G5" s="14">
        <v>287</v>
      </c>
      <c r="H5" s="92">
        <f>IF(B$19=0,0,G5/B$19)</f>
        <v>0.41654571843251087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16.064257028112451</v>
      </c>
      <c r="P5" s="81">
        <v>249</v>
      </c>
      <c r="Q5" s="68">
        <v>4000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210</v>
      </c>
      <c r="H6" s="92">
        <f>IF(B$19=0,0,G6/B$19)</f>
        <v>0.30478955007256892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-57.017543859649123</v>
      </c>
      <c r="P6" s="81">
        <v>228</v>
      </c>
      <c r="Q6" s="68">
        <v>-13000</v>
      </c>
    </row>
    <row r="7" spans="1:17" x14ac:dyDescent="0.45">
      <c r="A7" s="21" t="s">
        <v>2</v>
      </c>
      <c r="B7" s="14">
        <v>100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166</v>
      </c>
      <c r="H7" s="92">
        <f>IF(B$19=0,0,G7/B$19)</f>
        <v>0.24092888243831639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77.777777777777771</v>
      </c>
      <c r="P7" s="82">
        <v>180</v>
      </c>
      <c r="Q7" s="69">
        <v>14000</v>
      </c>
    </row>
    <row r="8" spans="1:17" x14ac:dyDescent="0.45">
      <c r="A8" s="21" t="s">
        <v>3</v>
      </c>
      <c r="B8" s="14">
        <v>100</v>
      </c>
      <c r="C8" s="8">
        <f t="shared" si="1"/>
        <v>0.33333333333333331</v>
      </c>
      <c r="E8" s="29" t="s">
        <v>89</v>
      </c>
      <c r="F8" s="26" t="s">
        <v>44</v>
      </c>
      <c r="G8" s="14">
        <v>100</v>
      </c>
      <c r="H8" s="92">
        <f>IF(B$19=0,0,G8/B$19)</f>
        <v>0.14513788098693758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100</v>
      </c>
      <c r="C9" s="9">
        <f t="shared" si="1"/>
        <v>0.33333333333333331</v>
      </c>
      <c r="E9" s="29" t="s">
        <v>69</v>
      </c>
      <c r="F9" s="26" t="s">
        <v>24</v>
      </c>
      <c r="G9" s="14">
        <v>94</v>
      </c>
      <c r="H9" s="92">
        <f>IF(B$19=0,0,G9/B$19)</f>
        <v>0.13642960812772134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40.268000000000001</v>
      </c>
      <c r="C10" s="114">
        <v>4026.7999999999997</v>
      </c>
      <c r="E10" s="29" t="s">
        <v>65</v>
      </c>
      <c r="F10" s="26" t="s">
        <v>21</v>
      </c>
      <c r="G10" s="14">
        <v>64</v>
      </c>
      <c r="H10" s="92">
        <f>IF(B$19=0,0,G10/B$19)</f>
        <v>9.2888243831640058E-2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-6.4139999999999961</v>
      </c>
      <c r="P10" s="80">
        <v>100</v>
      </c>
      <c r="Q10" s="71">
        <v>-641.39999999999964</v>
      </c>
    </row>
    <row r="11" spans="1:17" x14ac:dyDescent="0.45">
      <c r="A11" s="22" t="s">
        <v>186</v>
      </c>
      <c r="B11" s="113">
        <f>IF(B8=0,0,C11/B8)</f>
        <v>-3.2210000000000019</v>
      </c>
      <c r="C11" s="114">
        <v>-322.10000000000019</v>
      </c>
      <c r="E11" s="29" t="s">
        <v>70</v>
      </c>
      <c r="F11" s="26" t="s">
        <v>25</v>
      </c>
      <c r="G11" s="14">
        <v>58</v>
      </c>
      <c r="H11" s="92">
        <f>IF(B$19=0,0,G11/B$19)</f>
        <v>8.4179970972423801E-2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1.1359999999999995</v>
      </c>
      <c r="P11" s="81">
        <v>100</v>
      </c>
      <c r="Q11" s="72">
        <v>113.59999999999994</v>
      </c>
    </row>
    <row r="12" spans="1:17" x14ac:dyDescent="0.45">
      <c r="A12" s="22" t="s">
        <v>187</v>
      </c>
      <c r="B12" s="113">
        <f>IF(B9=0,0,C12/B9)</f>
        <v>-37.046999999999997</v>
      </c>
      <c r="C12" s="114">
        <v>-3704.6999999999994</v>
      </c>
      <c r="E12" s="29" t="s">
        <v>71</v>
      </c>
      <c r="F12" s="26" t="s">
        <v>26</v>
      </c>
      <c r="G12" s="14">
        <v>43</v>
      </c>
      <c r="H12" s="92">
        <f>IF(B$19=0,0,G12/B$19)</f>
        <v>6.2409288824383166E-2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5.2779999999999951</v>
      </c>
      <c r="P12" s="82">
        <v>100</v>
      </c>
      <c r="Q12" s="73">
        <v>527.7999999999995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39</v>
      </c>
      <c r="H13" s="92">
        <f>IF(B$19=0,0,G13/B$19)</f>
        <v>5.6603773584905662E-2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36</v>
      </c>
      <c r="C14" s="11">
        <f t="shared" si="1"/>
        <v>0.12</v>
      </c>
      <c r="E14" s="29" t="s">
        <v>83</v>
      </c>
      <c r="F14" s="26" t="s">
        <v>38</v>
      </c>
      <c r="G14" s="14">
        <v>36</v>
      </c>
      <c r="H14" s="92">
        <f>IF(B$19=0,0,G14/B$19)</f>
        <v>5.2249637155297533E-2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564</v>
      </c>
      <c r="C15" s="12">
        <f>IF(B$3=0,0,B15/B$3)</f>
        <v>0.23797468354430379</v>
      </c>
      <c r="E15" s="29" t="s">
        <v>78</v>
      </c>
      <c r="F15" s="26" t="s">
        <v>33</v>
      </c>
      <c r="G15" s="14">
        <v>21</v>
      </c>
      <c r="H15" s="92">
        <f>IF(B$19=0,0,G15/B$19)</f>
        <v>3.0478955007256895E-2</v>
      </c>
      <c r="I15" s="60">
        <v>7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504</v>
      </c>
      <c r="C16" s="8">
        <f>IF(B$3=0,0,B16/B$3)</f>
        <v>0.21265822784810126</v>
      </c>
      <c r="E16" s="29" t="s">
        <v>81</v>
      </c>
      <c r="F16" s="26" t="s">
        <v>36</v>
      </c>
      <c r="G16" s="14">
        <v>21</v>
      </c>
      <c r="H16" s="92">
        <f>IF(B$19=0,0,G16/B$19)</f>
        <v>3.0478955007256895E-2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13.833870967741937</v>
      </c>
      <c r="P16" s="81">
        <v>62</v>
      </c>
      <c r="Q16" s="72">
        <v>857.70000000000016</v>
      </c>
    </row>
    <row r="17" spans="1:17" x14ac:dyDescent="0.45">
      <c r="A17" s="20" t="s">
        <v>123</v>
      </c>
      <c r="B17" s="13">
        <f>B23</f>
        <v>312</v>
      </c>
      <c r="C17" s="6">
        <f>IF(B$15=0,0,B17/B$15)</f>
        <v>0.55319148936170215</v>
      </c>
      <c r="E17" s="29" t="s">
        <v>79</v>
      </c>
      <c r="F17" s="26" t="s">
        <v>34</v>
      </c>
      <c r="G17" s="14">
        <v>15</v>
      </c>
      <c r="H17" s="92">
        <f>IF(B$19=0,0,G17/B$19)</f>
        <v>2.1770682148040638E-2</v>
      </c>
      <c r="I17" s="60">
        <v>5</v>
      </c>
      <c r="K17" s="7">
        <v>15</v>
      </c>
      <c r="L17" s="65">
        <v>1.7763568394002505E-15</v>
      </c>
      <c r="N17" s="78" t="s">
        <v>205</v>
      </c>
      <c r="O17" s="87">
        <f>IF(P17=0,0,Q17/P17)</f>
        <v>9.3562499999999993</v>
      </c>
      <c r="P17" s="81">
        <v>64</v>
      </c>
      <c r="Q17" s="72">
        <v>598.79999999999995</v>
      </c>
    </row>
    <row r="18" spans="1:17" x14ac:dyDescent="0.45">
      <c r="A18" s="20" t="s">
        <v>124</v>
      </c>
      <c r="B18" s="13">
        <f>B24</f>
        <v>207</v>
      </c>
      <c r="C18" s="6">
        <f>IF(B$16=0,0,B18/B$16)</f>
        <v>0.4107142857142857</v>
      </c>
      <c r="E18" s="29" t="s">
        <v>91</v>
      </c>
      <c r="F18" s="26" t="s">
        <v>46</v>
      </c>
      <c r="G18" s="14">
        <v>14</v>
      </c>
      <c r="H18" s="92">
        <f>IF(B$19=0,0,G18/B$19)</f>
        <v>2.0319303338171262E-2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689</v>
      </c>
      <c r="C19" s="6">
        <f>IF(B$3=0,0,B19/B$3)</f>
        <v>0.29071729957805909</v>
      </c>
      <c r="E19" s="29" t="s">
        <v>92</v>
      </c>
      <c r="F19" s="26" t="s">
        <v>47</v>
      </c>
      <c r="G19" s="14">
        <v>9</v>
      </c>
      <c r="H19" s="92">
        <f>IF(B$19=0,0,G19/B$19)</f>
        <v>1.3062409288824383E-2</v>
      </c>
      <c r="I19" s="60">
        <v>6</v>
      </c>
      <c r="K19" s="7">
        <v>17</v>
      </c>
      <c r="L19" s="65">
        <v>-35.800000000000004</v>
      </c>
      <c r="N19" s="78" t="s">
        <v>164</v>
      </c>
      <c r="O19" s="87">
        <f>IF(P19=0,0,Q19/P19)</f>
        <v>1.7722222222222181</v>
      </c>
      <c r="P19" s="81">
        <v>108</v>
      </c>
      <c r="Q19" s="72">
        <v>191.39999999999955</v>
      </c>
    </row>
    <row r="20" spans="1:17" x14ac:dyDescent="0.45">
      <c r="A20" s="21" t="s">
        <v>13</v>
      </c>
      <c r="B20" s="14">
        <v>366</v>
      </c>
      <c r="C20" s="8">
        <f>IF(B$3=0,0,B20/B$3)</f>
        <v>0.15443037974683543</v>
      </c>
      <c r="E20" s="29" t="s">
        <v>156</v>
      </c>
      <c r="F20" s="26" t="s">
        <v>157</v>
      </c>
      <c r="G20" s="14">
        <v>9</v>
      </c>
      <c r="H20" s="92">
        <f>IF(B$19=0,0,G20/B$19)</f>
        <v>1.3062409288824383E-2</v>
      </c>
      <c r="I20" s="60">
        <v>2</v>
      </c>
      <c r="K20" s="7">
        <v>18</v>
      </c>
      <c r="L20" s="65">
        <v>-7.1054273576010019E-15</v>
      </c>
      <c r="N20" s="78" t="s">
        <v>192</v>
      </c>
      <c r="O20" s="87">
        <f>IF(P20=0,0,Q20/P20)</f>
        <v>1.3298076923076967</v>
      </c>
      <c r="P20" s="81">
        <v>104</v>
      </c>
      <c r="Q20" s="72">
        <v>138.30000000000047</v>
      </c>
    </row>
    <row r="21" spans="1:17" x14ac:dyDescent="0.45">
      <c r="A21" s="21" t="s">
        <v>12</v>
      </c>
      <c r="B21" s="14">
        <v>321</v>
      </c>
      <c r="C21" s="8">
        <f>IF(B$19=0,0,B21/B$19)</f>
        <v>0.46589259796806964</v>
      </c>
      <c r="E21" s="29" t="s">
        <v>77</v>
      </c>
      <c r="F21" s="26" t="s">
        <v>32</v>
      </c>
      <c r="G21" s="14">
        <v>4</v>
      </c>
      <c r="H21" s="92">
        <f>IF(B$19=0,0,G21/B$19)</f>
        <v>5.8055152394775036E-3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368</v>
      </c>
      <c r="C22" s="8">
        <f>IF(B$19=0,0,B22/B$19)</f>
        <v>0.5341074020319303</v>
      </c>
      <c r="E22" s="29" t="s">
        <v>85</v>
      </c>
      <c r="F22" s="26" t="s">
        <v>40</v>
      </c>
      <c r="G22" s="14">
        <v>3</v>
      </c>
      <c r="H22" s="92">
        <f>IF(B$19=0,0,G22/B$19)</f>
        <v>4.3541364296081275E-3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-3.5671874999999984</v>
      </c>
      <c r="P22" s="81">
        <v>64</v>
      </c>
      <c r="Q22" s="72">
        <v>-228.2999999999999</v>
      </c>
    </row>
    <row r="23" spans="1:17" x14ac:dyDescent="0.45">
      <c r="A23" s="21" t="s">
        <v>184</v>
      </c>
      <c r="B23" s="14">
        <v>312</v>
      </c>
      <c r="C23" s="8">
        <f>IF(B$19=0,0,B23/B$19)</f>
        <v>0.45283018867924529</v>
      </c>
      <c r="E23" s="29" t="s">
        <v>73</v>
      </c>
      <c r="F23" s="26" t="s">
        <v>28</v>
      </c>
      <c r="G23" s="14">
        <v>2</v>
      </c>
      <c r="H23" s="92">
        <f>IF(B$19=0,0,G23/B$19)</f>
        <v>2.9027576197387518E-3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-13.539041095890402</v>
      </c>
      <c r="P23" s="81">
        <v>146</v>
      </c>
      <c r="Q23" s="72">
        <v>-1976.6999999999987</v>
      </c>
    </row>
    <row r="24" spans="1:17" x14ac:dyDescent="0.45">
      <c r="A24" s="21" t="s">
        <v>182</v>
      </c>
      <c r="B24" s="14">
        <v>207</v>
      </c>
      <c r="C24" s="8">
        <f>IF(B$19=0,0,B24/B$19)</f>
        <v>0.30043541364296084</v>
      </c>
      <c r="E24" s="29" t="s">
        <v>75</v>
      </c>
      <c r="F24" s="26" t="s">
        <v>30</v>
      </c>
      <c r="G24" s="14">
        <v>2</v>
      </c>
      <c r="H24" s="92">
        <f>IF(B$19=0,0,G24/B$19)</f>
        <v>2.9027576197387518E-3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170</v>
      </c>
      <c r="C25" s="8">
        <f>IF(B$19=0,0,B25/B$19)</f>
        <v>0.2467343976777939</v>
      </c>
      <c r="E25" s="29" t="s">
        <v>87</v>
      </c>
      <c r="F25" s="26" t="s">
        <v>42</v>
      </c>
      <c r="G25" s="14">
        <v>2</v>
      </c>
      <c r="H25" s="92">
        <f>IF(B$19=0,0,G25/B$19)</f>
        <v>2.9027576197387518E-3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8786.2119013062402</v>
      </c>
      <c r="C26" s="10">
        <v>6053700</v>
      </c>
      <c r="E26" s="29" t="s">
        <v>93</v>
      </c>
      <c r="F26" s="26" t="s">
        <v>48</v>
      </c>
      <c r="G26" s="14">
        <v>2</v>
      </c>
      <c r="H26" s="92">
        <f>IF(B$19=0,0,G26/B$19)</f>
        <v>2.9027576197387518E-3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9319.5020746887967</v>
      </c>
      <c r="C27" s="100">
        <v>4492000</v>
      </c>
      <c r="E27" s="29" t="s">
        <v>84</v>
      </c>
      <c r="F27" s="26" t="s">
        <v>39</v>
      </c>
      <c r="G27" s="14">
        <v>1</v>
      </c>
      <c r="H27" s="92">
        <f>IF(B$19=0,0,G27/B$19)</f>
        <v>1.4513788098693759E-3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7544.4444444444443</v>
      </c>
      <c r="C28" s="100">
        <v>1561700</v>
      </c>
      <c r="E28" s="29" t="s">
        <v>88</v>
      </c>
      <c r="F28" s="26" t="s">
        <v>43</v>
      </c>
      <c r="G28" s="14">
        <v>1</v>
      </c>
      <c r="H28" s="92">
        <f>IF(B$19=0,0,G28/B$19)</f>
        <v>1.4513788098693759E-3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-7933.333333333333</v>
      </c>
      <c r="C29" s="100">
        <v>-2903600</v>
      </c>
      <c r="E29" s="29" t="s">
        <v>95</v>
      </c>
      <c r="F29" s="26" t="s">
        <v>50</v>
      </c>
      <c r="G29" s="14">
        <v>1</v>
      </c>
      <c r="H29" s="92">
        <f>IF(B$19=0,0,G29/B$19)</f>
        <v>1.4513788098693759E-3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1.4513788098693759E-3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0</v>
      </c>
      <c r="E31" s="29" t="s">
        <v>102</v>
      </c>
      <c r="F31" s="26" t="s">
        <v>57</v>
      </c>
      <c r="G31" s="14">
        <v>1</v>
      </c>
      <c r="H31" s="92">
        <f>IF(B$19=0,0,G31/B$19)</f>
        <v>1.4513788098693759E-3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106</v>
      </c>
      <c r="F32" s="26" t="s">
        <v>113</v>
      </c>
      <c r="G32" s="14">
        <v>1</v>
      </c>
      <c r="H32" s="92">
        <f>IF(B$19=0,0,G32/B$19)</f>
        <v>1.4513788098693759E-3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74</v>
      </c>
      <c r="F33" s="26" t="s">
        <v>29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5</v>
      </c>
      <c r="C34" s="11">
        <f>IF(B$3=0,0,B34/B$3)</f>
        <v>2.1097046413502108E-3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53</v>
      </c>
      <c r="C36" s="102">
        <f t="shared" ref="C36:C48" si="2">IF(B$19=0,0,B36/B$19)</f>
        <v>7.6923076923076927E-2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126</v>
      </c>
      <c r="C37" s="8">
        <f t="shared" si="2"/>
        <v>0.18287373004354138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120</v>
      </c>
      <c r="C38" s="8">
        <f t="shared" si="2"/>
        <v>0.17416545718432511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127</v>
      </c>
      <c r="C39" s="8">
        <f t="shared" si="2"/>
        <v>0.18432510885341075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99</v>
      </c>
      <c r="C40" s="8">
        <f t="shared" si="2"/>
        <v>0.14368650217706821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65</v>
      </c>
      <c r="C41" s="8">
        <f t="shared" si="2"/>
        <v>9.4339622641509441E-2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41</v>
      </c>
      <c r="C42" s="8">
        <f t="shared" si="2"/>
        <v>5.9506531204644414E-2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17</v>
      </c>
      <c r="C43" s="8">
        <f t="shared" si="2"/>
        <v>2.4673439767779391E-2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11</v>
      </c>
      <c r="C44" s="8">
        <f t="shared" si="2"/>
        <v>1.5965166908563134E-2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9</v>
      </c>
      <c r="C45" s="8">
        <f t="shared" si="2"/>
        <v>1.3062409288824383E-2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5.8055152394775036E-3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2</v>
      </c>
      <c r="C47" s="8">
        <f t="shared" si="2"/>
        <v>2.9027576197387518E-3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15</v>
      </c>
      <c r="C48" s="11">
        <f t="shared" si="2"/>
        <v>2.1770682148040638E-2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B73-26C9-4B70-9D00-4BAB0920B7D7}">
  <sheetPr codeName="Sheet7"/>
  <dimension ref="A1:Q5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54</v>
      </c>
      <c r="C2" s="132"/>
      <c r="E2" s="28" t="s">
        <v>66</v>
      </c>
      <c r="F2" s="25" t="s">
        <v>22</v>
      </c>
      <c r="G2" s="13">
        <v>105</v>
      </c>
      <c r="H2" s="91">
        <f>IF(B$19=0,0,G2/B$19)</f>
        <v>0.88235294117647056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-375</v>
      </c>
      <c r="P2" s="80">
        <v>52</v>
      </c>
      <c r="Q2" s="67">
        <v>-19500</v>
      </c>
    </row>
    <row r="3" spans="1:17" x14ac:dyDescent="0.45">
      <c r="A3" s="21" t="s">
        <v>8</v>
      </c>
      <c r="B3" s="133">
        <v>434</v>
      </c>
      <c r="C3" s="134"/>
      <c r="E3" s="29" t="s">
        <v>64</v>
      </c>
      <c r="F3" s="26" t="s">
        <v>20</v>
      </c>
      <c r="G3" s="14">
        <v>62</v>
      </c>
      <c r="H3" s="92">
        <f>IF(B$19=0,0,G3/B$19)</f>
        <v>0.52100840336134457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-1884.9056603773586</v>
      </c>
      <c r="P3" s="81">
        <v>53</v>
      </c>
      <c r="Q3" s="68">
        <v>-99900</v>
      </c>
    </row>
    <row r="4" spans="1:17" x14ac:dyDescent="0.45">
      <c r="A4" s="21" t="s">
        <v>6</v>
      </c>
      <c r="B4" s="135">
        <v>-63.800000000000061</v>
      </c>
      <c r="C4" s="136"/>
      <c r="E4" s="29" t="s">
        <v>72</v>
      </c>
      <c r="F4" s="26" t="s">
        <v>27</v>
      </c>
      <c r="G4" s="14">
        <v>62</v>
      </c>
      <c r="H4" s="92">
        <f>IF(B$19=0,0,G4/B$19)</f>
        <v>0.52100840336134457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42.857142857142854</v>
      </c>
      <c r="P4" s="81">
        <v>49</v>
      </c>
      <c r="Q4" s="68">
        <v>2100</v>
      </c>
    </row>
    <row r="5" spans="1:17" x14ac:dyDescent="0.45">
      <c r="A5" s="21" t="s">
        <v>7</v>
      </c>
      <c r="B5" s="123">
        <f>IF(B$2=0,0,B$4/B$2)</f>
        <v>-1.1814814814814827</v>
      </c>
      <c r="C5" s="124"/>
      <c r="E5" s="29" t="s">
        <v>160</v>
      </c>
      <c r="F5" s="26" t="s">
        <v>161</v>
      </c>
      <c r="G5" s="14">
        <v>59</v>
      </c>
      <c r="H5" s="92">
        <f>IF(B$19=0,0,G5/B$19)</f>
        <v>0.49579831932773111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-1393.1818181818182</v>
      </c>
      <c r="P5" s="81">
        <v>44</v>
      </c>
      <c r="Q5" s="68">
        <v>-61300</v>
      </c>
    </row>
    <row r="6" spans="1:17" x14ac:dyDescent="0.45">
      <c r="A6" s="21" t="s">
        <v>1</v>
      </c>
      <c r="B6" s="137">
        <f>IF(B$2=0,0,(B$7*1+B$8*2+B$9*3)/B$2)</f>
        <v>2.0185185185185186</v>
      </c>
      <c r="C6" s="138"/>
      <c r="E6" s="29" t="s">
        <v>68</v>
      </c>
      <c r="F6" s="26" t="s">
        <v>12</v>
      </c>
      <c r="G6" s="14">
        <v>36</v>
      </c>
      <c r="H6" s="92">
        <f>IF(B$19=0,0,G6/B$19)</f>
        <v>0.30252100840336132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-125.58139534883721</v>
      </c>
      <c r="P6" s="81">
        <v>43</v>
      </c>
      <c r="Q6" s="68">
        <v>-5400</v>
      </c>
    </row>
    <row r="7" spans="1:17" x14ac:dyDescent="0.45">
      <c r="A7" s="21" t="s">
        <v>2</v>
      </c>
      <c r="B7" s="14">
        <v>20</v>
      </c>
      <c r="C7" s="8">
        <f t="shared" ref="C7:C14" si="1">IF(B$2=0,0,B7/B$2)</f>
        <v>0.37037037037037035</v>
      </c>
      <c r="E7" s="29" t="s">
        <v>67</v>
      </c>
      <c r="F7" s="26" t="s">
        <v>23</v>
      </c>
      <c r="G7" s="14">
        <v>31</v>
      </c>
      <c r="H7" s="92">
        <f>IF(B$19=0,0,G7/B$19)</f>
        <v>0.26050420168067229</v>
      </c>
      <c r="I7" s="60">
        <v>3</v>
      </c>
      <c r="K7" s="7">
        <v>5</v>
      </c>
      <c r="L7" s="65">
        <v>18</v>
      </c>
      <c r="N7" s="79" t="s">
        <v>133</v>
      </c>
      <c r="O7" s="85">
        <f t="shared" si="0"/>
        <v>2837.5</v>
      </c>
      <c r="P7" s="82">
        <v>32</v>
      </c>
      <c r="Q7" s="69">
        <v>90800</v>
      </c>
    </row>
    <row r="8" spans="1:17" x14ac:dyDescent="0.45">
      <c r="A8" s="21" t="s">
        <v>3</v>
      </c>
      <c r="B8" s="14">
        <v>13</v>
      </c>
      <c r="C8" s="8">
        <f t="shared" si="1"/>
        <v>0.24074074074074073</v>
      </c>
      <c r="E8" s="29" t="s">
        <v>89</v>
      </c>
      <c r="F8" s="26" t="s">
        <v>44</v>
      </c>
      <c r="G8" s="14">
        <v>17</v>
      </c>
      <c r="H8" s="92">
        <f>IF(B$19=0,0,G8/B$19)</f>
        <v>0.14285714285714285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0.3888888888888889</v>
      </c>
      <c r="E9" s="29" t="s">
        <v>70</v>
      </c>
      <c r="F9" s="26" t="s">
        <v>25</v>
      </c>
      <c r="G9" s="14">
        <v>15</v>
      </c>
      <c r="H9" s="92">
        <f>IF(B$19=0,0,G9/B$19)</f>
        <v>0.12605042016806722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39.935000000000009</v>
      </c>
      <c r="C10" s="114">
        <v>798.70000000000016</v>
      </c>
      <c r="E10" s="29" t="s">
        <v>65</v>
      </c>
      <c r="F10" s="26" t="s">
        <v>21</v>
      </c>
      <c r="G10" s="14">
        <v>13</v>
      </c>
      <c r="H10" s="92">
        <f>IF(B$19=0,0,G10/B$19)</f>
        <v>0.1092436974789916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5">
      <c r="A11" s="22" t="s">
        <v>186</v>
      </c>
      <c r="B11" s="113">
        <f>IF(B8=0,0,C11/B8)</f>
        <v>-2.8153846153846156</v>
      </c>
      <c r="C11" s="114">
        <v>-36.6</v>
      </c>
      <c r="E11" s="29" t="s">
        <v>69</v>
      </c>
      <c r="F11" s="26" t="s">
        <v>24</v>
      </c>
      <c r="G11" s="14">
        <v>12</v>
      </c>
      <c r="H11" s="92">
        <f>IF(B$19=0,0,G11/B$19)</f>
        <v>0.10084033613445378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9.3176470588235301</v>
      </c>
      <c r="P11" s="81">
        <v>17</v>
      </c>
      <c r="Q11" s="72">
        <v>158.4</v>
      </c>
    </row>
    <row r="12" spans="1:17" x14ac:dyDescent="0.45">
      <c r="A12" s="22" t="s">
        <v>187</v>
      </c>
      <c r="B12" s="113">
        <f>IF(B9=0,0,C12/B9)</f>
        <v>-39.328571428571422</v>
      </c>
      <c r="C12" s="114">
        <v>-825.89999999999986</v>
      </c>
      <c r="E12" s="29" t="s">
        <v>86</v>
      </c>
      <c r="F12" s="26" t="s">
        <v>41</v>
      </c>
      <c r="G12" s="14">
        <v>11</v>
      </c>
      <c r="H12" s="92">
        <f>IF(B$19=0,0,G12/B$19)</f>
        <v>9.2436974789915971E-2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-1.4249999999999989</v>
      </c>
      <c r="P12" s="82">
        <v>20</v>
      </c>
      <c r="Q12" s="73">
        <v>-28.499999999999979</v>
      </c>
    </row>
    <row r="13" spans="1:17" x14ac:dyDescent="0.45">
      <c r="A13" s="22" t="s">
        <v>188</v>
      </c>
      <c r="B13" s="123">
        <f>AVERAGE(B10:B12)</f>
        <v>-0.73631868131867628</v>
      </c>
      <c r="C13" s="124"/>
      <c r="E13" s="29" t="s">
        <v>71</v>
      </c>
      <c r="F13" s="26" t="s">
        <v>26</v>
      </c>
      <c r="G13" s="14">
        <v>7</v>
      </c>
      <c r="H13" s="92">
        <f>IF(B$19=0,0,G13/B$19)</f>
        <v>5.8823529411764705E-2</v>
      </c>
      <c r="I13" s="60">
        <v>7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0.16666666666666666</v>
      </c>
      <c r="E14" s="29" t="s">
        <v>91</v>
      </c>
      <c r="F14" s="26" t="s">
        <v>46</v>
      </c>
      <c r="G14" s="14">
        <v>7</v>
      </c>
      <c r="H14" s="92">
        <f>IF(B$19=0,0,G14/B$19)</f>
        <v>5.8823529411764705E-2</v>
      </c>
      <c r="I14" s="60">
        <v>1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129</v>
      </c>
      <c r="C15" s="12">
        <f>IF(B$3=0,0,B15/B$3)</f>
        <v>0.29723502304147464</v>
      </c>
      <c r="E15" s="29" t="s">
        <v>81</v>
      </c>
      <c r="F15" s="26" t="s">
        <v>36</v>
      </c>
      <c r="G15" s="14">
        <v>5</v>
      </c>
      <c r="H15" s="92">
        <f>IF(B$19=0,0,G15/B$19)</f>
        <v>4.2016806722689079E-2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84</v>
      </c>
      <c r="C16" s="8">
        <f>IF(B$3=0,0,B16/B$3)</f>
        <v>0.19354838709677419</v>
      </c>
      <c r="E16" s="29" t="s">
        <v>78</v>
      </c>
      <c r="F16" s="26" t="s">
        <v>33</v>
      </c>
      <c r="G16" s="14">
        <v>4</v>
      </c>
      <c r="H16" s="92">
        <f>IF(B$19=0,0,G16/B$19)</f>
        <v>3.3613445378151259E-2</v>
      </c>
      <c r="I16" s="60">
        <v>5</v>
      </c>
      <c r="K16" s="7">
        <v>14</v>
      </c>
      <c r="L16" s="65">
        <v>15.100000000000001</v>
      </c>
      <c r="N16" s="78" t="s">
        <v>205</v>
      </c>
      <c r="O16" s="87">
        <f>IF(P16=0,0,Q16/P16)</f>
        <v>15.376923076923076</v>
      </c>
      <c r="P16" s="81">
        <v>13</v>
      </c>
      <c r="Q16" s="72">
        <v>199.89999999999998</v>
      </c>
    </row>
    <row r="17" spans="1:17" x14ac:dyDescent="0.45">
      <c r="A17" s="20" t="s">
        <v>123</v>
      </c>
      <c r="B17" s="13">
        <f>B23</f>
        <v>61</v>
      </c>
      <c r="C17" s="6">
        <f>IF(B$15=0,0,B17/B$15)</f>
        <v>0.47286821705426357</v>
      </c>
      <c r="E17" s="29" t="s">
        <v>79</v>
      </c>
      <c r="F17" s="26" t="s">
        <v>34</v>
      </c>
      <c r="G17" s="14">
        <v>3</v>
      </c>
      <c r="H17" s="92">
        <f>IF(B$19=0,0,G17/B$19)</f>
        <v>2.5210084033613446E-2</v>
      </c>
      <c r="I17" s="60">
        <v>3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31</v>
      </c>
      <c r="C18" s="6">
        <f>IF(B$16=0,0,B18/B$16)</f>
        <v>0.36904761904761907</v>
      </c>
      <c r="E18" s="29" t="s">
        <v>83</v>
      </c>
      <c r="F18" s="26" t="s">
        <v>38</v>
      </c>
      <c r="G18" s="14">
        <v>3</v>
      </c>
      <c r="H18" s="92">
        <f>IF(B$19=0,0,G18/B$19)</f>
        <v>2.5210084033613446E-2</v>
      </c>
      <c r="I18" s="60">
        <v>7</v>
      </c>
      <c r="K18" s="7">
        <v>16</v>
      </c>
      <c r="L18" s="65">
        <v>-10.8</v>
      </c>
      <c r="N18" s="78" t="s">
        <v>196</v>
      </c>
      <c r="O18" s="87">
        <f>IF(P18=0,0,Q18/P18)</f>
        <v>-0.29999999999999244</v>
      </c>
      <c r="P18" s="81">
        <v>3</v>
      </c>
      <c r="Q18" s="72">
        <v>-0.89999999999997726</v>
      </c>
    </row>
    <row r="19" spans="1:17" x14ac:dyDescent="0.45">
      <c r="A19" s="20" t="s">
        <v>10</v>
      </c>
      <c r="B19" s="13">
        <f>B22+B21</f>
        <v>119</v>
      </c>
      <c r="C19" s="6">
        <f>IF(B$3=0,0,B19/B$3)</f>
        <v>0.27419354838709675</v>
      </c>
      <c r="E19" s="29" t="s">
        <v>92</v>
      </c>
      <c r="F19" s="26" t="s">
        <v>47</v>
      </c>
      <c r="G19" s="14">
        <v>2</v>
      </c>
      <c r="H19" s="92">
        <f>IF(B$19=0,0,G19/B$19)</f>
        <v>1.680672268907563E-2</v>
      </c>
      <c r="I19" s="60">
        <v>2</v>
      </c>
      <c r="K19" s="7">
        <v>17</v>
      </c>
      <c r="L19" s="65">
        <v>-32.900000000000006</v>
      </c>
      <c r="N19" s="78" t="s">
        <v>192</v>
      </c>
      <c r="O19" s="87">
        <f>IF(P19=0,0,Q19/P19)</f>
        <v>-0.60952380952381036</v>
      </c>
      <c r="P19" s="81">
        <v>21</v>
      </c>
      <c r="Q19" s="72">
        <v>-12.800000000000018</v>
      </c>
    </row>
    <row r="20" spans="1:17" x14ac:dyDescent="0.45">
      <c r="A20" s="21" t="s">
        <v>13</v>
      </c>
      <c r="B20" s="14">
        <v>79</v>
      </c>
      <c r="C20" s="8">
        <f>IF(B$3=0,0,B20/B$3)</f>
        <v>0.18202764976958524</v>
      </c>
      <c r="E20" s="29" t="s">
        <v>75</v>
      </c>
      <c r="F20" s="26" t="s">
        <v>30</v>
      </c>
      <c r="G20" s="14">
        <v>1</v>
      </c>
      <c r="H20" s="92">
        <f>IF(B$19=0,0,G20/B$19)</f>
        <v>8.4033613445378148E-3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-2.6452380952380898</v>
      </c>
      <c r="P20" s="81">
        <v>42</v>
      </c>
      <c r="Q20" s="72">
        <v>-111.09999999999978</v>
      </c>
    </row>
    <row r="21" spans="1:17" x14ac:dyDescent="0.45">
      <c r="A21" s="21" t="s">
        <v>12</v>
      </c>
      <c r="B21" s="14">
        <v>53</v>
      </c>
      <c r="C21" s="8">
        <f>IF(B$19=0,0,B21/B$19)</f>
        <v>0.44537815126050423</v>
      </c>
      <c r="E21" s="29" t="s">
        <v>97</v>
      </c>
      <c r="F21" s="26" t="s">
        <v>52</v>
      </c>
      <c r="G21" s="14">
        <v>1</v>
      </c>
      <c r="H21" s="92">
        <f>IF(B$19=0,0,G21/B$19)</f>
        <v>8.4033613445378148E-3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-27.375</v>
      </c>
      <c r="P21" s="81">
        <v>8</v>
      </c>
      <c r="Q21" s="72">
        <v>-219</v>
      </c>
    </row>
    <row r="22" spans="1:17" x14ac:dyDescent="0.45">
      <c r="A22" s="21" t="s">
        <v>11</v>
      </c>
      <c r="B22" s="14">
        <v>66</v>
      </c>
      <c r="C22" s="8">
        <f>IF(B$19=0,0,B22/B$19)</f>
        <v>0.55462184873949583</v>
      </c>
      <c r="E22" s="29" t="s">
        <v>156</v>
      </c>
      <c r="F22" s="26" t="s">
        <v>157</v>
      </c>
      <c r="G22" s="14">
        <v>1</v>
      </c>
      <c r="H22" s="92">
        <f>IF(B$19=0,0,G22/B$19)</f>
        <v>8.4033613445378148E-3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>IF(P22=0,0,Q22/P22)</f>
        <v>-29.537500000000005</v>
      </c>
      <c r="P22" s="81">
        <v>8</v>
      </c>
      <c r="Q22" s="72">
        <v>-236.30000000000004</v>
      </c>
    </row>
    <row r="23" spans="1:17" x14ac:dyDescent="0.45">
      <c r="A23" s="21" t="s">
        <v>184</v>
      </c>
      <c r="B23" s="14">
        <v>61</v>
      </c>
      <c r="C23" s="8">
        <f>IF(B$19=0,0,B23/B$19)</f>
        <v>0.51260504201680668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31</v>
      </c>
      <c r="C24" s="8">
        <f>IF(B$19=0,0,B24/B$19)</f>
        <v>0.26050420168067229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27</v>
      </c>
      <c r="C25" s="8">
        <f>IF(B$19=0,0,B25/B$19)</f>
        <v>0.22689075630252101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10310.9243697479</v>
      </c>
      <c r="C26" s="10">
        <v>1227000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10986.363636363636</v>
      </c>
      <c r="C27" s="100">
        <v>966800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8393.5483870967746</v>
      </c>
      <c r="C28" s="100">
        <v>260200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-8281.0126582278481</v>
      </c>
      <c r="C29" s="100">
        <v>-654200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15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4.608294930875576E-3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3.3613445378151259E-2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2"/>
        <v>0.11764705882352941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12</v>
      </c>
      <c r="C38" s="8">
        <f t="shared" si="2"/>
        <v>0.10084033613445378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32</v>
      </c>
      <c r="C39" s="8">
        <f t="shared" si="2"/>
        <v>0.26890756302521007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22</v>
      </c>
      <c r="C40" s="8">
        <f t="shared" si="2"/>
        <v>0.18487394957983194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13</v>
      </c>
      <c r="C41" s="8">
        <f t="shared" si="2"/>
        <v>0.1092436974789916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2"/>
        <v>8.4033613445378158E-2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2"/>
        <v>4.2016806722689079E-2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2</v>
      </c>
      <c r="C44" s="8">
        <f t="shared" si="2"/>
        <v>1.680672268907563E-2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2</v>
      </c>
      <c r="C47" s="8">
        <f t="shared" si="2"/>
        <v>1.680672268907563E-2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2.5210084033613446E-2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5E909-0FDE-4FAD-98BB-1C76AA29A3B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617F9-1832-43E1-8C87-82B8DEC623ED}">
  <sheetPr codeName="Sheet11"/>
  <dimension ref="A1:Q7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73</v>
      </c>
      <c r="C2" s="132"/>
      <c r="E2" s="28" t="s">
        <v>66</v>
      </c>
      <c r="F2" s="25" t="s">
        <v>22</v>
      </c>
      <c r="G2" s="13">
        <v>120</v>
      </c>
      <c r="H2" s="91">
        <f>IF(B$19=0,0,G2/B$19)</f>
        <v>0.66298342541436461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652.05479452054794</v>
      </c>
      <c r="P2" s="80">
        <v>73</v>
      </c>
      <c r="Q2" s="67">
        <v>47600</v>
      </c>
    </row>
    <row r="3" spans="1:17" x14ac:dyDescent="0.45">
      <c r="A3" s="21" t="s">
        <v>8</v>
      </c>
      <c r="B3" s="133">
        <v>579</v>
      </c>
      <c r="C3" s="134"/>
      <c r="E3" s="29" t="s">
        <v>72</v>
      </c>
      <c r="F3" s="26" t="s">
        <v>27</v>
      </c>
      <c r="G3" s="14">
        <v>90</v>
      </c>
      <c r="H3" s="92">
        <f>IF(B$19=0,0,G3/B$19)</f>
        <v>0.49723756906077349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2450</v>
      </c>
      <c r="P3" s="81">
        <v>72</v>
      </c>
      <c r="Q3" s="68">
        <v>176400</v>
      </c>
    </row>
    <row r="4" spans="1:17" x14ac:dyDescent="0.45">
      <c r="A4" s="21" t="s">
        <v>6</v>
      </c>
      <c r="B4" s="135">
        <v>658.9000000000002</v>
      </c>
      <c r="C4" s="136"/>
      <c r="E4" s="29" t="s">
        <v>64</v>
      </c>
      <c r="F4" s="26" t="s">
        <v>20</v>
      </c>
      <c r="G4" s="14">
        <v>77</v>
      </c>
      <c r="H4" s="92">
        <f>IF(B$19=0,0,G4/B$19)</f>
        <v>0.425414364640884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2583.8235294117649</v>
      </c>
      <c r="P4" s="81">
        <v>68</v>
      </c>
      <c r="Q4" s="68">
        <v>175700</v>
      </c>
    </row>
    <row r="5" spans="1:17" x14ac:dyDescent="0.45">
      <c r="A5" s="21" t="s">
        <v>7</v>
      </c>
      <c r="B5" s="123">
        <f>IF(B$2=0,0,B$4/B$2)</f>
        <v>9.0260273972602771</v>
      </c>
      <c r="C5" s="124"/>
      <c r="E5" s="29" t="s">
        <v>160</v>
      </c>
      <c r="F5" s="26" t="s">
        <v>161</v>
      </c>
      <c r="G5" s="14">
        <v>77</v>
      </c>
      <c r="H5" s="92">
        <f>IF(B$19=0,0,G5/B$19)</f>
        <v>0.425414364640884</v>
      </c>
      <c r="I5" s="60">
        <v>5</v>
      </c>
      <c r="K5" s="7">
        <v>3</v>
      </c>
      <c r="L5" s="65">
        <v>98.1</v>
      </c>
      <c r="N5" s="78" t="s">
        <v>131</v>
      </c>
      <c r="O5" s="84">
        <f t="shared" si="0"/>
        <v>1486.6666666666667</v>
      </c>
      <c r="P5" s="81">
        <v>60</v>
      </c>
      <c r="Q5" s="68">
        <v>89200</v>
      </c>
    </row>
    <row r="6" spans="1:17" x14ac:dyDescent="0.45">
      <c r="A6" s="21" t="s">
        <v>1</v>
      </c>
      <c r="B6" s="137">
        <f>IF(B$2=0,0,(B$7*1+B$8*2+B$9*3)/B$2)</f>
        <v>1.7808219178082192</v>
      </c>
      <c r="C6" s="138"/>
      <c r="E6" s="29" t="s">
        <v>68</v>
      </c>
      <c r="F6" s="26" t="s">
        <v>12</v>
      </c>
      <c r="G6" s="14">
        <v>72</v>
      </c>
      <c r="H6" s="92">
        <f>IF(B$19=0,0,G6/B$19)</f>
        <v>0.39779005524861877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-663.15789473684208</v>
      </c>
      <c r="P6" s="81">
        <v>57</v>
      </c>
      <c r="Q6" s="68">
        <v>-37800</v>
      </c>
    </row>
    <row r="7" spans="1:17" x14ac:dyDescent="0.45">
      <c r="A7" s="21" t="s">
        <v>2</v>
      </c>
      <c r="B7" s="14">
        <v>31</v>
      </c>
      <c r="C7" s="8">
        <f t="shared" ref="C7:C14" si="1">IF(B$2=0,0,B7/B$2)</f>
        <v>0.42465753424657532</v>
      </c>
      <c r="E7" s="29" t="s">
        <v>67</v>
      </c>
      <c r="F7" s="26" t="s">
        <v>23</v>
      </c>
      <c r="G7" s="14">
        <v>47</v>
      </c>
      <c r="H7" s="92">
        <f>IF(B$19=0,0,G7/B$19)</f>
        <v>0.25966850828729282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2277.2727272727275</v>
      </c>
      <c r="P7" s="82">
        <v>44</v>
      </c>
      <c r="Q7" s="69">
        <v>100200</v>
      </c>
    </row>
    <row r="8" spans="1:17" x14ac:dyDescent="0.45">
      <c r="A8" s="21" t="s">
        <v>3</v>
      </c>
      <c r="B8" s="14">
        <v>27</v>
      </c>
      <c r="C8" s="8">
        <f t="shared" si="1"/>
        <v>0.36986301369863012</v>
      </c>
      <c r="E8" s="29" t="s">
        <v>69</v>
      </c>
      <c r="F8" s="26" t="s">
        <v>24</v>
      </c>
      <c r="G8" s="14">
        <v>32</v>
      </c>
      <c r="H8" s="92">
        <f>IF(B$19=0,0,G8/B$19)</f>
        <v>0.17679558011049723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0.20547945205479451</v>
      </c>
      <c r="E9" s="29" t="s">
        <v>89</v>
      </c>
      <c r="F9" s="26" t="s">
        <v>44</v>
      </c>
      <c r="G9" s="14">
        <v>31</v>
      </c>
      <c r="H9" s="92">
        <f>IF(B$19=0,0,G9/B$19)</f>
        <v>0.17127071823204421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40.948387096774198</v>
      </c>
      <c r="C10" s="114">
        <v>1269.4000000000001</v>
      </c>
      <c r="E10" s="29" t="s">
        <v>65</v>
      </c>
      <c r="F10" s="26" t="s">
        <v>21</v>
      </c>
      <c r="G10" s="14">
        <v>20</v>
      </c>
      <c r="H10" s="92">
        <f>IF(B$19=0,0,G10/B$19)</f>
        <v>0.11049723756906077</v>
      </c>
      <c r="I10" s="60">
        <v>4</v>
      </c>
      <c r="K10" s="7">
        <v>8</v>
      </c>
      <c r="L10" s="65">
        <v>132.6</v>
      </c>
      <c r="N10" s="77" t="s">
        <v>152</v>
      </c>
      <c r="O10" s="86">
        <f>IF(P10=0,0,Q10/P10)</f>
        <v>2.0291666666666668</v>
      </c>
      <c r="P10" s="80">
        <v>24</v>
      </c>
      <c r="Q10" s="71">
        <v>48.7</v>
      </c>
    </row>
    <row r="11" spans="1:17" x14ac:dyDescent="0.45">
      <c r="A11" s="22" t="s">
        <v>186</v>
      </c>
      <c r="B11" s="113">
        <f>IF(B8=0,0,C11/B8)</f>
        <v>-0.82592592592592584</v>
      </c>
      <c r="C11" s="114">
        <v>-22.299999999999997</v>
      </c>
      <c r="E11" s="29" t="s">
        <v>70</v>
      </c>
      <c r="F11" s="26" t="s">
        <v>25</v>
      </c>
      <c r="G11" s="14">
        <v>14</v>
      </c>
      <c r="H11" s="92">
        <f>IF(B$19=0,0,G11/B$19)</f>
        <v>7.7348066298342538E-2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8.0666666666666629</v>
      </c>
      <c r="P11" s="81">
        <v>27</v>
      </c>
      <c r="Q11" s="72">
        <v>217.7999999999999</v>
      </c>
    </row>
    <row r="12" spans="1:17" x14ac:dyDescent="0.45">
      <c r="A12" s="22" t="s">
        <v>187</v>
      </c>
      <c r="B12" s="113">
        <f>IF(B9=0,0,C12/B9)</f>
        <v>-39.213333333333338</v>
      </c>
      <c r="C12" s="114">
        <v>-588.20000000000005</v>
      </c>
      <c r="E12" s="29" t="s">
        <v>71</v>
      </c>
      <c r="F12" s="26" t="s">
        <v>26</v>
      </c>
      <c r="G12" s="14">
        <v>14</v>
      </c>
      <c r="H12" s="92">
        <f>IF(B$19=0,0,G12/B$19)</f>
        <v>7.7348066298342538E-2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17.83636363636364</v>
      </c>
      <c r="P12" s="82">
        <v>22</v>
      </c>
      <c r="Q12" s="73">
        <v>392.40000000000009</v>
      </c>
    </row>
    <row r="13" spans="1:17" x14ac:dyDescent="0.45">
      <c r="A13" s="22" t="s">
        <v>188</v>
      </c>
      <c r="B13" s="123">
        <f>AVERAGE(B10:B12)</f>
        <v>0.30304261250497905</v>
      </c>
      <c r="C13" s="124"/>
      <c r="E13" s="29" t="s">
        <v>86</v>
      </c>
      <c r="F13" s="26" t="s">
        <v>41</v>
      </c>
      <c r="G13" s="14">
        <v>14</v>
      </c>
      <c r="H13" s="92">
        <f>IF(B$19=0,0,G13/B$19)</f>
        <v>7.7348066298342538E-2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6.8493150684931503E-2</v>
      </c>
      <c r="E14" s="29" t="s">
        <v>83</v>
      </c>
      <c r="F14" s="26" t="s">
        <v>38</v>
      </c>
      <c r="G14" s="14">
        <v>8</v>
      </c>
      <c r="H14" s="92">
        <f>IF(B$19=0,0,G14/B$19)</f>
        <v>4.4198895027624308E-2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146</v>
      </c>
      <c r="C15" s="12">
        <f>IF(B$3=0,0,B15/B$3)</f>
        <v>0.25215889464594127</v>
      </c>
      <c r="E15" s="29" t="s">
        <v>156</v>
      </c>
      <c r="F15" s="26" t="s">
        <v>157</v>
      </c>
      <c r="G15" s="14">
        <v>7</v>
      </c>
      <c r="H15" s="92">
        <f>IF(B$19=0,0,G15/B$19)</f>
        <v>3.8674033149171269E-2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96</v>
      </c>
      <c r="C16" s="8">
        <f>IF(B$3=0,0,B16/B$3)</f>
        <v>0.16580310880829016</v>
      </c>
      <c r="E16" s="29" t="s">
        <v>81</v>
      </c>
      <c r="F16" s="26" t="s">
        <v>36</v>
      </c>
      <c r="G16" s="14">
        <v>6</v>
      </c>
      <c r="H16" s="92">
        <f>IF(B$19=0,0,G16/B$19)</f>
        <v>3.3149171270718231E-2</v>
      </c>
      <c r="I16" s="60">
        <v>3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86</v>
      </c>
      <c r="C17" s="6">
        <f>IF(B$15=0,0,B17/B$15)</f>
        <v>0.58904109589041098</v>
      </c>
      <c r="E17" s="29" t="s">
        <v>78</v>
      </c>
      <c r="F17" s="26" t="s">
        <v>33</v>
      </c>
      <c r="G17" s="14">
        <v>4</v>
      </c>
      <c r="H17" s="92">
        <f>IF(B$19=0,0,G17/B$19)</f>
        <v>2.2099447513812154E-2</v>
      </c>
      <c r="I17" s="60">
        <v>8</v>
      </c>
      <c r="K17" s="7">
        <v>15</v>
      </c>
      <c r="L17" s="65">
        <v>213.5</v>
      </c>
      <c r="N17" s="78" t="s">
        <v>194</v>
      </c>
      <c r="O17" s="87">
        <f>IF(P17=0,0,Q17/P17)</f>
        <v>25.135294117647064</v>
      </c>
      <c r="P17" s="81">
        <v>17</v>
      </c>
      <c r="Q17" s="72">
        <v>427.30000000000007</v>
      </c>
    </row>
    <row r="18" spans="1:17" x14ac:dyDescent="0.45">
      <c r="A18" s="20" t="s">
        <v>124</v>
      </c>
      <c r="B18" s="13">
        <f>B24</f>
        <v>47</v>
      </c>
      <c r="C18" s="6">
        <f>IF(B$16=0,0,B18/B$16)</f>
        <v>0.48958333333333331</v>
      </c>
      <c r="E18" s="29" t="s">
        <v>79</v>
      </c>
      <c r="F18" s="26" t="s">
        <v>34</v>
      </c>
      <c r="G18" s="14">
        <v>4</v>
      </c>
      <c r="H18" s="92">
        <f>IF(B$19=0,0,G18/B$19)</f>
        <v>2.2099447513812154E-2</v>
      </c>
      <c r="I18" s="60">
        <v>4</v>
      </c>
      <c r="K18" s="7">
        <v>16</v>
      </c>
      <c r="L18" s="65">
        <v>273.8</v>
      </c>
      <c r="N18" s="78" t="s">
        <v>193</v>
      </c>
      <c r="O18" s="87">
        <f>IF(P18=0,0,Q18/P18)</f>
        <v>24.086666666666662</v>
      </c>
      <c r="P18" s="81">
        <v>15</v>
      </c>
      <c r="Q18" s="72">
        <v>361.29999999999995</v>
      </c>
    </row>
    <row r="19" spans="1:17" x14ac:dyDescent="0.45">
      <c r="A19" s="20" t="s">
        <v>10</v>
      </c>
      <c r="B19" s="13">
        <f>B22+B21</f>
        <v>181</v>
      </c>
      <c r="C19" s="6">
        <f>IF(B$3=0,0,B19/B$3)</f>
        <v>0.31260794473229708</v>
      </c>
      <c r="E19" s="29" t="s">
        <v>92</v>
      </c>
      <c r="F19" s="26" t="s">
        <v>47</v>
      </c>
      <c r="G19" s="14">
        <v>3</v>
      </c>
      <c r="H19" s="92">
        <f>IF(B$19=0,0,G19/B$19)</f>
        <v>1.6574585635359115E-2</v>
      </c>
      <c r="I19" s="60">
        <v>3</v>
      </c>
      <c r="K19" s="7">
        <v>17</v>
      </c>
      <c r="L19" s="65">
        <v>242.8</v>
      </c>
      <c r="N19" s="78" t="s">
        <v>192</v>
      </c>
      <c r="O19" s="87">
        <f>IF(P19=0,0,Q19/P19)</f>
        <v>18.651724137931037</v>
      </c>
      <c r="P19" s="81">
        <v>29</v>
      </c>
      <c r="Q19" s="72">
        <v>540.90000000000009</v>
      </c>
    </row>
    <row r="20" spans="1:17" x14ac:dyDescent="0.45">
      <c r="A20" s="21" t="s">
        <v>13</v>
      </c>
      <c r="B20" s="14">
        <v>84</v>
      </c>
      <c r="C20" s="8">
        <f>IF(B$3=0,0,B20/B$3)</f>
        <v>0.14507772020725387</v>
      </c>
      <c r="E20" s="29" t="s">
        <v>91</v>
      </c>
      <c r="F20" s="26" t="s">
        <v>46</v>
      </c>
      <c r="G20" s="14">
        <v>2</v>
      </c>
      <c r="H20" s="92">
        <f>IF(B$19=0,0,G20/B$19)</f>
        <v>1.1049723756906077E-2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9.3730769230769244</v>
      </c>
      <c r="P20" s="81">
        <v>26</v>
      </c>
      <c r="Q20" s="72">
        <v>243.70000000000002</v>
      </c>
    </row>
    <row r="21" spans="1:17" x14ac:dyDescent="0.45">
      <c r="A21" s="21" t="s">
        <v>12</v>
      </c>
      <c r="B21" s="14">
        <v>95</v>
      </c>
      <c r="C21" s="8">
        <f>IF(B$19=0,0,B21/B$19)</f>
        <v>0.52486187845303867</v>
      </c>
      <c r="E21" s="29" t="s">
        <v>93</v>
      </c>
      <c r="F21" s="26" t="s">
        <v>48</v>
      </c>
      <c r="G21" s="14">
        <v>2</v>
      </c>
      <c r="H21" s="92">
        <f>IF(B$19=0,0,G21/B$19)</f>
        <v>1.1049723756906077E-2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86</v>
      </c>
      <c r="C22" s="8">
        <f>IF(B$19=0,0,B22/B$19)</f>
        <v>0.47513812154696133</v>
      </c>
      <c r="E22" s="29" t="s">
        <v>73</v>
      </c>
      <c r="F22" s="26" t="s">
        <v>28</v>
      </c>
      <c r="G22" s="14">
        <v>1</v>
      </c>
      <c r="H22" s="92">
        <f>IF(B$19=0,0,G22/B$19)</f>
        <v>5.5248618784530384E-3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2.6452380952380921</v>
      </c>
      <c r="P22" s="81">
        <v>42</v>
      </c>
      <c r="Q22" s="72">
        <v>111.09999999999987</v>
      </c>
    </row>
    <row r="23" spans="1:17" x14ac:dyDescent="0.45">
      <c r="A23" s="21" t="s">
        <v>184</v>
      </c>
      <c r="B23" s="14">
        <v>86</v>
      </c>
      <c r="C23" s="8">
        <f>IF(B$19=0,0,B23/B$19)</f>
        <v>0.47513812154696133</v>
      </c>
      <c r="E23" s="29" t="s">
        <v>77</v>
      </c>
      <c r="F23" s="26" t="s">
        <v>32</v>
      </c>
      <c r="G23" s="14">
        <v>1</v>
      </c>
      <c r="H23" s="92">
        <f>IF(B$19=0,0,G23/B$19)</f>
        <v>5.5248618784530384E-3</v>
      </c>
      <c r="I23" s="60">
        <v>5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47</v>
      </c>
      <c r="C24" s="8">
        <f>IF(B$19=0,0,B24/B$19)</f>
        <v>0.25966850828729282</v>
      </c>
      <c r="E24" s="29" t="s">
        <v>84</v>
      </c>
      <c r="F24" s="26" t="s">
        <v>39</v>
      </c>
      <c r="G24" s="14">
        <v>1</v>
      </c>
      <c r="H24" s="92">
        <f>IF(B$19=0,0,G24/B$19)</f>
        <v>5.5248618784530384E-3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48</v>
      </c>
      <c r="C25" s="8">
        <f>IF(B$19=0,0,B25/B$19)</f>
        <v>0.26519337016574585</v>
      </c>
      <c r="E25" s="29" t="s">
        <v>87</v>
      </c>
      <c r="F25" s="26" t="s">
        <v>42</v>
      </c>
      <c r="G25" s="14">
        <v>1</v>
      </c>
      <c r="H25" s="92">
        <f>IF(B$19=0,0,G25/B$19)</f>
        <v>5.5248618784530384E-3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9761.8784530386747</v>
      </c>
      <c r="C26" s="10">
        <v>1766900</v>
      </c>
      <c r="E26" s="29" t="s">
        <v>95</v>
      </c>
      <c r="F26" s="26" t="s">
        <v>50</v>
      </c>
      <c r="G26" s="14">
        <v>1</v>
      </c>
      <c r="H26" s="92">
        <f>IF(B$19=0,0,G26/B$19)</f>
        <v>5.5248618784530384E-3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10160.447761194029</v>
      </c>
      <c r="C27" s="100">
        <v>1361500</v>
      </c>
      <c r="E27" s="29" t="s">
        <v>106</v>
      </c>
      <c r="F27" s="26" t="s">
        <v>113</v>
      </c>
      <c r="G27" s="14">
        <v>1</v>
      </c>
      <c r="H27" s="92">
        <f>IF(B$19=0,0,G27/B$19)</f>
        <v>5.5248618784530384E-3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8625.5319148936178</v>
      </c>
      <c r="C28" s="100">
        <v>405400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-8021.4285714285716</v>
      </c>
      <c r="C29" s="100">
        <v>-673800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0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6.0773480662983423E-2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26</v>
      </c>
      <c r="C37" s="8">
        <f t="shared" si="2"/>
        <v>0.143646408839779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31</v>
      </c>
      <c r="C38" s="8">
        <f t="shared" si="2"/>
        <v>0.17127071823204421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36</v>
      </c>
      <c r="C39" s="8">
        <f t="shared" si="2"/>
        <v>0.19889502762430938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30</v>
      </c>
      <c r="C40" s="8">
        <f t="shared" si="2"/>
        <v>0.16574585635359115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16</v>
      </c>
      <c r="C41" s="8">
        <f t="shared" si="2"/>
        <v>8.8397790055248615E-2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10</v>
      </c>
      <c r="C42" s="8">
        <f t="shared" si="2"/>
        <v>5.5248618784530384E-2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6</v>
      </c>
      <c r="C43" s="8">
        <f t="shared" si="2"/>
        <v>3.3149171270718231E-2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2.2099447513812154E-2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1.6574585635359115E-2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5.5248618784530384E-3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3.8674033149171269E-2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A992-6D40-4FF0-9D46-CE92D885957B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31</v>
      </c>
      <c r="C2" s="132"/>
      <c r="E2" s="28" t="s">
        <v>66</v>
      </c>
      <c r="F2" s="25" t="s">
        <v>22</v>
      </c>
      <c r="G2" s="13">
        <v>50</v>
      </c>
      <c r="H2" s="91">
        <f>IF(B$19=0,0,G2/B$19)</f>
        <v>0.76923076923076927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-3853.3333333333335</v>
      </c>
      <c r="P2" s="80">
        <v>30</v>
      </c>
      <c r="Q2" s="67">
        <v>-115600</v>
      </c>
    </row>
    <row r="3" spans="1:17" x14ac:dyDescent="0.45">
      <c r="A3" s="21" t="s">
        <v>8</v>
      </c>
      <c r="B3" s="133">
        <v>236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0.58461538461538465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1280</v>
      </c>
      <c r="P3" s="81">
        <v>30</v>
      </c>
      <c r="Q3" s="68">
        <v>38400</v>
      </c>
    </row>
    <row r="4" spans="1:17" x14ac:dyDescent="0.45">
      <c r="A4" s="21" t="s">
        <v>6</v>
      </c>
      <c r="B4" s="135">
        <v>-285.89999999999992</v>
      </c>
      <c r="C4" s="136"/>
      <c r="E4" s="29" t="s">
        <v>160</v>
      </c>
      <c r="F4" s="26" t="s">
        <v>161</v>
      </c>
      <c r="G4" s="14">
        <v>31</v>
      </c>
      <c r="H4" s="92">
        <f>IF(B$19=0,0,G4/B$19)</f>
        <v>0.47692307692307695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-1921.4285714285713</v>
      </c>
      <c r="P4" s="81">
        <v>28</v>
      </c>
      <c r="Q4" s="68">
        <v>-53800</v>
      </c>
    </row>
    <row r="5" spans="1:17" x14ac:dyDescent="0.45">
      <c r="A5" s="21" t="s">
        <v>7</v>
      </c>
      <c r="B5" s="123">
        <f>IF(B$2=0,0,B$4/B$2)</f>
        <v>-9.2225806451612886</v>
      </c>
      <c r="C5" s="124"/>
      <c r="E5" s="29" t="s">
        <v>64</v>
      </c>
      <c r="F5" s="26" t="s">
        <v>20</v>
      </c>
      <c r="G5" s="14">
        <v>26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-939.13043478260875</v>
      </c>
      <c r="P5" s="81">
        <v>23</v>
      </c>
      <c r="Q5" s="68">
        <v>-21600</v>
      </c>
    </row>
    <row r="6" spans="1:17" x14ac:dyDescent="0.45">
      <c r="A6" s="21" t="s">
        <v>1</v>
      </c>
      <c r="B6" s="137">
        <f>IF(B$2=0,0,(B$7*1+B$8*2+B$9*3)/B$2)</f>
        <v>2.3225806451612905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0.24615384615384617</v>
      </c>
      <c r="I6" s="60">
        <v>8</v>
      </c>
      <c r="K6" s="7">
        <v>4</v>
      </c>
      <c r="L6" s="65">
        <v>-115.5</v>
      </c>
      <c r="N6" s="78" t="s">
        <v>132</v>
      </c>
      <c r="O6" s="84">
        <f t="shared" si="0"/>
        <v>1294.7368421052631</v>
      </c>
      <c r="P6" s="81">
        <v>19</v>
      </c>
      <c r="Q6" s="68">
        <v>24600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0.19354838709677419</v>
      </c>
      <c r="E7" s="29" t="s">
        <v>67</v>
      </c>
      <c r="F7" s="26" t="s">
        <v>23</v>
      </c>
      <c r="G7" s="14">
        <v>10</v>
      </c>
      <c r="H7" s="92">
        <f>IF(B$19=0,0,G7/B$19)</f>
        <v>0.15384615384615385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-4073.3333333333335</v>
      </c>
      <c r="P7" s="82">
        <v>15</v>
      </c>
      <c r="Q7" s="69">
        <v>-61100</v>
      </c>
    </row>
    <row r="8" spans="1:17" x14ac:dyDescent="0.45">
      <c r="A8" s="21" t="s">
        <v>3</v>
      </c>
      <c r="B8" s="14">
        <v>9</v>
      </c>
      <c r="C8" s="8">
        <f t="shared" si="1"/>
        <v>0.29032258064516131</v>
      </c>
      <c r="E8" s="29" t="s">
        <v>89</v>
      </c>
      <c r="F8" s="26" t="s">
        <v>44</v>
      </c>
      <c r="G8" s="14">
        <v>9</v>
      </c>
      <c r="H8" s="92">
        <f>IF(B$19=0,0,G8/B$19)</f>
        <v>0.13846153846153847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0.5161290322580645</v>
      </c>
      <c r="E9" s="29" t="s">
        <v>69</v>
      </c>
      <c r="F9" s="26" t="s">
        <v>24</v>
      </c>
      <c r="G9" s="14">
        <v>8</v>
      </c>
      <c r="H9" s="92">
        <f>IF(B$19=0,0,G9/B$19)</f>
        <v>0.12307692307692308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0.1076923076923077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-28.77</v>
      </c>
      <c r="P10" s="80">
        <v>10</v>
      </c>
      <c r="Q10" s="71">
        <v>-287.7</v>
      </c>
    </row>
    <row r="11" spans="1:17" x14ac:dyDescent="0.45">
      <c r="A11" s="22" t="s">
        <v>186</v>
      </c>
      <c r="B11" s="113">
        <f>IF(B8=0,0,C11/B8)</f>
        <v>-3.5111111111111111</v>
      </c>
      <c r="C11" s="114">
        <v>-31.6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7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-34.200000000000003</v>
      </c>
      <c r="C12" s="114">
        <v>-547.20000000000005</v>
      </c>
      <c r="E12" s="29" t="s">
        <v>71</v>
      </c>
      <c r="F12" s="26" t="s">
        <v>26</v>
      </c>
      <c r="G12" s="14">
        <v>4</v>
      </c>
      <c r="H12" s="92">
        <f>IF(B$19=0,0,G12/B$19)</f>
        <v>6.1538461538461542E-2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3.7018518518518491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4.6153846153846156E-2</v>
      </c>
      <c r="I13" s="60">
        <v>6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0.19354838709677419</v>
      </c>
      <c r="E14" s="29" t="s">
        <v>78</v>
      </c>
      <c r="F14" s="26" t="s">
        <v>33</v>
      </c>
      <c r="G14" s="14">
        <v>2</v>
      </c>
      <c r="H14" s="92">
        <f>IF(B$19=0,0,G14/B$19)</f>
        <v>3.0769230769230771E-2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50</v>
      </c>
      <c r="C15" s="12">
        <f>IF(B$3=0,0,B15/B$3)</f>
        <v>0.21186440677966101</v>
      </c>
      <c r="E15" s="29" t="s">
        <v>81</v>
      </c>
      <c r="F15" s="26" t="s">
        <v>36</v>
      </c>
      <c r="G15" s="14">
        <v>1</v>
      </c>
      <c r="H15" s="92">
        <f>IF(B$19=0,0,G15/B$19)</f>
        <v>1.5384615384615385E-2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29.537500000000005</v>
      </c>
      <c r="P15" s="80">
        <v>8</v>
      </c>
      <c r="Q15" s="71">
        <v>236.30000000000004</v>
      </c>
    </row>
    <row r="16" spans="1:17" x14ac:dyDescent="0.45">
      <c r="A16" s="21" t="s">
        <v>118</v>
      </c>
      <c r="B16" s="14">
        <v>38</v>
      </c>
      <c r="C16" s="8">
        <f>IF(B$3=0,0,B16/B$3)</f>
        <v>0.16101694915254236</v>
      </c>
      <c r="E16" s="29" t="s">
        <v>87</v>
      </c>
      <c r="F16" s="26" t="s">
        <v>42</v>
      </c>
      <c r="G16" s="14">
        <v>1</v>
      </c>
      <c r="H16" s="92">
        <f>IF(B$19=0,0,G16/B$19)</f>
        <v>1.5384615384615385E-2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-4.1272727272727261</v>
      </c>
      <c r="P16" s="81">
        <v>11</v>
      </c>
      <c r="Q16" s="72">
        <v>-45.399999999999991</v>
      </c>
    </row>
    <row r="17" spans="1:17" x14ac:dyDescent="0.45">
      <c r="A17" s="20" t="s">
        <v>123</v>
      </c>
      <c r="B17" s="13">
        <f>B23</f>
        <v>24</v>
      </c>
      <c r="C17" s="6">
        <f>IF(B$15=0,0,B17/B$15)</f>
        <v>0.48</v>
      </c>
      <c r="E17" s="29" t="s">
        <v>91</v>
      </c>
      <c r="F17" s="26" t="s">
        <v>46</v>
      </c>
      <c r="G17" s="14">
        <v>1</v>
      </c>
      <c r="H17" s="92">
        <f>IF(B$19=0,0,G17/B$19)</f>
        <v>1.5384615384615385E-2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0.60526315789473684</v>
      </c>
      <c r="E18" s="29" t="s">
        <v>92</v>
      </c>
      <c r="F18" s="26" t="s">
        <v>47</v>
      </c>
      <c r="G18" s="14">
        <v>1</v>
      </c>
      <c r="H18" s="92">
        <f>IF(B$19=0,0,G18/B$19)</f>
        <v>1.5384615384615385E-2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65</v>
      </c>
      <c r="C19" s="6">
        <f>IF(B$3=0,0,B19/B$3)</f>
        <v>0.27542372881355931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-25.135294117647064</v>
      </c>
      <c r="P19" s="81">
        <v>17</v>
      </c>
      <c r="Q19" s="72">
        <v>-427.30000000000007</v>
      </c>
    </row>
    <row r="20" spans="1:17" x14ac:dyDescent="0.45">
      <c r="A20" s="21" t="s">
        <v>13</v>
      </c>
      <c r="B20" s="14">
        <v>40</v>
      </c>
      <c r="C20" s="8">
        <f>IF(B$3=0,0,B20/B$3)</f>
        <v>0.16949152542372881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28</v>
      </c>
      <c r="C21" s="8">
        <f>IF(B$19=0,0,B21/B$19)</f>
        <v>0.43076923076923079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37</v>
      </c>
      <c r="C22" s="8">
        <f>IF(B$19=0,0,B22/B$19)</f>
        <v>0.56923076923076921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24</v>
      </c>
      <c r="C23" s="8">
        <f>IF(B$19=0,0,B23/B$19)</f>
        <v>0.36923076923076925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23</v>
      </c>
      <c r="C24" s="8">
        <f>IF(B$19=0,0,B24/B$19)</f>
        <v>0.35384615384615387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18</v>
      </c>
      <c r="C25" s="8">
        <f>IF(B$19=0,0,B25/B$19)</f>
        <v>0.27692307692307694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7644.6153846153848</v>
      </c>
      <c r="C26" s="10">
        <v>496900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8888.0952380952385</v>
      </c>
      <c r="C27" s="100">
        <v>373300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5373.913043478261</v>
      </c>
      <c r="C28" s="100">
        <v>123600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-7342.5</v>
      </c>
      <c r="C29" s="100">
        <v>-293700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11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4.2372881355932203E-3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5">
      <c r="A37" s="21" t="s">
        <v>168</v>
      </c>
      <c r="B37" s="14">
        <v>13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5">
      <c r="A38" s="21" t="s">
        <v>169</v>
      </c>
      <c r="B38" s="122">
        <v>14</v>
      </c>
      <c r="C38" s="8">
        <f t="shared" si="3"/>
        <v>0.2153846153846154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9</v>
      </c>
      <c r="C39" s="8">
        <f t="shared" si="3"/>
        <v>0.13846153846153847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3"/>
        <v>9.2307692307692313E-2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9</v>
      </c>
      <c r="C41" s="8">
        <f t="shared" si="3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3</v>
      </c>
      <c r="C42" s="8">
        <f t="shared" si="3"/>
        <v>4.6153846153846156E-2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1.5384615384615385E-2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1.5384615384615385E-2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100F-D9A8-4C6E-BCE6-0D1EBF74F317}">
  <sheetPr codeName="Sheet15"/>
  <dimension ref="A1:Q5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52</v>
      </c>
      <c r="C2" s="132"/>
      <c r="E2" s="28" t="s">
        <v>66</v>
      </c>
      <c r="F2" s="25" t="s">
        <v>22</v>
      </c>
      <c r="G2" s="13">
        <v>76</v>
      </c>
      <c r="H2" s="91">
        <f>IF(B$19=0,0,G2/B$19)</f>
        <v>0.64406779661016944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-225.49019607843138</v>
      </c>
      <c r="P2" s="80">
        <v>51</v>
      </c>
      <c r="Q2" s="67">
        <v>-11500</v>
      </c>
    </row>
    <row r="3" spans="1:17" x14ac:dyDescent="0.45">
      <c r="A3" s="21" t="s">
        <v>8</v>
      </c>
      <c r="B3" s="133">
        <v>417</v>
      </c>
      <c r="C3" s="134"/>
      <c r="E3" s="29" t="s">
        <v>72</v>
      </c>
      <c r="F3" s="26" t="s">
        <v>27</v>
      </c>
      <c r="G3" s="14">
        <v>76</v>
      </c>
      <c r="H3" s="92">
        <f>IF(B$19=0,0,G3/B$19)</f>
        <v>0.64406779661016944</v>
      </c>
      <c r="I3" s="60">
        <v>3</v>
      </c>
      <c r="K3" s="7">
        <v>1</v>
      </c>
      <c r="L3" s="65">
        <v>-0.5</v>
      </c>
      <c r="N3" s="78" t="s">
        <v>129</v>
      </c>
      <c r="O3" s="84">
        <f t="shared" si="0"/>
        <v>-205.88235294117646</v>
      </c>
      <c r="P3" s="81">
        <v>51</v>
      </c>
      <c r="Q3" s="68">
        <v>-10500</v>
      </c>
    </row>
    <row r="4" spans="1:17" x14ac:dyDescent="0.45">
      <c r="A4" s="21" t="s">
        <v>6</v>
      </c>
      <c r="B4" s="135">
        <v>-46.09999999999998</v>
      </c>
      <c r="C4" s="136"/>
      <c r="E4" s="29" t="s">
        <v>64</v>
      </c>
      <c r="F4" s="26" t="s">
        <v>20</v>
      </c>
      <c r="G4" s="14">
        <v>54</v>
      </c>
      <c r="H4" s="92">
        <f>IF(B$19=0,0,G4/B$19)</f>
        <v>0.4576271186440678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-894.11764705882354</v>
      </c>
      <c r="P4" s="81">
        <v>51</v>
      </c>
      <c r="Q4" s="68">
        <v>-45600</v>
      </c>
    </row>
    <row r="5" spans="1:17" x14ac:dyDescent="0.45">
      <c r="A5" s="21" t="s">
        <v>7</v>
      </c>
      <c r="B5" s="123">
        <f>IF(B$2=0,0,B$4/B$2)</f>
        <v>-0.88653846153846116</v>
      </c>
      <c r="C5" s="124"/>
      <c r="E5" s="29" t="s">
        <v>160</v>
      </c>
      <c r="F5" s="26" t="s">
        <v>161</v>
      </c>
      <c r="G5" s="14">
        <v>44</v>
      </c>
      <c r="H5" s="92">
        <f>IF(B$19=0,0,G5/B$19)</f>
        <v>0.3728813559322034</v>
      </c>
      <c r="I5" s="60">
        <v>9</v>
      </c>
      <c r="K5" s="7">
        <v>3</v>
      </c>
      <c r="L5" s="65">
        <v>-48.5</v>
      </c>
      <c r="N5" s="78" t="s">
        <v>131</v>
      </c>
      <c r="O5" s="84">
        <f t="shared" si="0"/>
        <v>1081.25</v>
      </c>
      <c r="P5" s="81">
        <v>48</v>
      </c>
      <c r="Q5" s="68">
        <v>51900</v>
      </c>
    </row>
    <row r="6" spans="1:17" x14ac:dyDescent="0.45">
      <c r="A6" s="21" t="s">
        <v>1</v>
      </c>
      <c r="B6" s="137">
        <f>IF(B$2=0,0,(B$7*1+B$8*2+B$9*3)/B$2)</f>
        <v>1.9807692307692308</v>
      </c>
      <c r="C6" s="138"/>
      <c r="E6" s="29" t="s">
        <v>67</v>
      </c>
      <c r="F6" s="26" t="s">
        <v>23</v>
      </c>
      <c r="G6" s="14">
        <v>30</v>
      </c>
      <c r="H6" s="92">
        <f>IF(B$19=0,0,G6/B$19)</f>
        <v>0.25423728813559321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-509.30232558139534</v>
      </c>
      <c r="P6" s="81">
        <v>43</v>
      </c>
      <c r="Q6" s="68">
        <v>-21900</v>
      </c>
    </row>
    <row r="7" spans="1:17" x14ac:dyDescent="0.45">
      <c r="A7" s="21" t="s">
        <v>2</v>
      </c>
      <c r="B7" s="14">
        <v>17</v>
      </c>
      <c r="C7" s="8">
        <f t="shared" ref="C7:C14" si="1">IF(B$2=0,0,B7/B$2)</f>
        <v>0.32692307692307693</v>
      </c>
      <c r="E7" s="29" t="s">
        <v>68</v>
      </c>
      <c r="F7" s="26" t="s">
        <v>12</v>
      </c>
      <c r="G7" s="14">
        <v>30</v>
      </c>
      <c r="H7" s="92">
        <f>IF(B$19=0,0,G7/B$19)</f>
        <v>0.25423728813559321</v>
      </c>
      <c r="I7" s="60">
        <v>6</v>
      </c>
      <c r="K7" s="7">
        <v>5</v>
      </c>
      <c r="L7" s="65">
        <v>-96.5</v>
      </c>
      <c r="N7" s="79" t="s">
        <v>133</v>
      </c>
      <c r="O7" s="85">
        <f t="shared" si="0"/>
        <v>-629.41176470588232</v>
      </c>
      <c r="P7" s="82">
        <v>34</v>
      </c>
      <c r="Q7" s="69">
        <v>-21400</v>
      </c>
    </row>
    <row r="8" spans="1:17" x14ac:dyDescent="0.45">
      <c r="A8" s="21" t="s">
        <v>3</v>
      </c>
      <c r="B8" s="14">
        <v>19</v>
      </c>
      <c r="C8" s="8">
        <f t="shared" si="1"/>
        <v>0.36538461538461536</v>
      </c>
      <c r="E8" s="29" t="s">
        <v>89</v>
      </c>
      <c r="F8" s="26" t="s">
        <v>44</v>
      </c>
      <c r="G8" s="14">
        <v>15</v>
      </c>
      <c r="H8" s="92">
        <f>IF(B$19=0,0,G8/B$19)</f>
        <v>0.1271186440677966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0.30769230769230771</v>
      </c>
      <c r="E9" s="29" t="s">
        <v>69</v>
      </c>
      <c r="F9" s="26" t="s">
        <v>24</v>
      </c>
      <c r="G9" s="14">
        <v>13</v>
      </c>
      <c r="H9" s="92">
        <f>IF(B$19=0,0,G9/B$19)</f>
        <v>0.11016949152542373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36.252941176470593</v>
      </c>
      <c r="C10" s="114">
        <v>616.30000000000007</v>
      </c>
      <c r="E10" s="29" t="s">
        <v>65</v>
      </c>
      <c r="F10" s="26" t="s">
        <v>21</v>
      </c>
      <c r="G10" s="14">
        <v>9</v>
      </c>
      <c r="H10" s="92">
        <f>IF(B$19=0,0,G10/B$19)</f>
        <v>7.6271186440677971E-2</v>
      </c>
      <c r="I10" s="60">
        <v>8</v>
      </c>
      <c r="K10" s="7">
        <v>8</v>
      </c>
      <c r="L10" s="65">
        <v>-28.3</v>
      </c>
      <c r="N10" s="77" t="s">
        <v>152</v>
      </c>
      <c r="O10" s="86">
        <f>IF(P10=0,0,Q10/P10)</f>
        <v>-5.4411764705882355</v>
      </c>
      <c r="P10" s="80">
        <v>17</v>
      </c>
      <c r="Q10" s="71">
        <v>-92.5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71</v>
      </c>
      <c r="F11" s="26" t="s">
        <v>26</v>
      </c>
      <c r="G11" s="14">
        <v>8</v>
      </c>
      <c r="H11" s="92">
        <f>IF(B$19=0,0,G11/B$19)</f>
        <v>6.7796610169491525E-2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-3.4444444444444446</v>
      </c>
      <c r="P11" s="81">
        <v>18</v>
      </c>
      <c r="Q11" s="72">
        <v>-62</v>
      </c>
    </row>
    <row r="12" spans="1:17" x14ac:dyDescent="0.45">
      <c r="A12" s="22" t="s">
        <v>187</v>
      </c>
      <c r="B12" s="113">
        <f>IF(B9=0,0,C12/B9)</f>
        <v>-37.462499999999999</v>
      </c>
      <c r="C12" s="114">
        <v>-599.4</v>
      </c>
      <c r="E12" s="29" t="s">
        <v>83</v>
      </c>
      <c r="F12" s="26" t="s">
        <v>38</v>
      </c>
      <c r="G12" s="14">
        <v>8</v>
      </c>
      <c r="H12" s="92">
        <f>IF(B$19=0,0,G12/B$19)</f>
        <v>6.7796610169491525E-2</v>
      </c>
      <c r="I12" s="60">
        <v>2</v>
      </c>
      <c r="K12" s="7">
        <v>10</v>
      </c>
      <c r="L12" s="65">
        <v>-14.9</v>
      </c>
      <c r="N12" s="79" t="s">
        <v>154</v>
      </c>
      <c r="O12" s="88">
        <f>IF(P12=0,0,Q12/P12)</f>
        <v>6.3764705882352954</v>
      </c>
      <c r="P12" s="82">
        <v>17</v>
      </c>
      <c r="Q12" s="73">
        <v>108.40000000000002</v>
      </c>
    </row>
    <row r="13" spans="1:17" x14ac:dyDescent="0.45">
      <c r="A13" s="22" t="s">
        <v>188</v>
      </c>
      <c r="B13" s="123">
        <f>AVERAGE(B10:B12)</f>
        <v>-1.5084494324045394</v>
      </c>
      <c r="C13" s="124"/>
      <c r="E13" s="29" t="s">
        <v>70</v>
      </c>
      <c r="F13" s="26" t="s">
        <v>25</v>
      </c>
      <c r="G13" s="14">
        <v>7</v>
      </c>
      <c r="H13" s="92">
        <f>IF(B$19=0,0,G13/B$19)</f>
        <v>5.9322033898305086E-2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9.6153846153846159E-2</v>
      </c>
      <c r="E14" s="29" t="s">
        <v>79</v>
      </c>
      <c r="F14" s="26" t="s">
        <v>34</v>
      </c>
      <c r="G14" s="14">
        <v>5</v>
      </c>
      <c r="H14" s="92">
        <f>IF(B$19=0,0,G14/B$19)</f>
        <v>4.2372881355932202E-2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102</v>
      </c>
      <c r="C15" s="12">
        <f>IF(B$3=0,0,B15/B$3)</f>
        <v>0.2446043165467626</v>
      </c>
      <c r="E15" s="29" t="s">
        <v>78</v>
      </c>
      <c r="F15" s="26" t="s">
        <v>33</v>
      </c>
      <c r="G15" s="14">
        <v>4</v>
      </c>
      <c r="H15" s="92">
        <f>IF(B$19=0,0,G15/B$19)</f>
        <v>3.3898305084745763E-2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105</v>
      </c>
      <c r="C16" s="8">
        <f>IF(B$3=0,0,B16/B$3)</f>
        <v>0.25179856115107913</v>
      </c>
      <c r="E16" s="29" t="s">
        <v>91</v>
      </c>
      <c r="F16" s="26" t="s">
        <v>46</v>
      </c>
      <c r="G16" s="14">
        <v>4</v>
      </c>
      <c r="H16" s="92">
        <f>IF(B$19=0,0,G16/B$19)</f>
        <v>3.3898305084745763E-2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13.480000000000004</v>
      </c>
      <c r="P16" s="81">
        <v>20</v>
      </c>
      <c r="Q16" s="72">
        <v>269.60000000000008</v>
      </c>
    </row>
    <row r="17" spans="1:17" x14ac:dyDescent="0.45">
      <c r="A17" s="20" t="s">
        <v>123</v>
      </c>
      <c r="B17" s="13">
        <f>B23</f>
        <v>56</v>
      </c>
      <c r="C17" s="6">
        <f>IF(B$15=0,0,B17/B$15)</f>
        <v>0.5490196078431373</v>
      </c>
      <c r="E17" s="29" t="s">
        <v>81</v>
      </c>
      <c r="F17" s="26" t="s">
        <v>36</v>
      </c>
      <c r="G17" s="14">
        <v>3</v>
      </c>
      <c r="H17" s="92">
        <f>IF(B$19=0,0,G17/B$19)</f>
        <v>2.5423728813559324E-2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>IF(P17=0,0,Q17/P17)</f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0.3619047619047619</v>
      </c>
      <c r="E18" s="29" t="s">
        <v>86</v>
      </c>
      <c r="F18" s="26" t="s">
        <v>41</v>
      </c>
      <c r="G18" s="14">
        <v>3</v>
      </c>
      <c r="H18" s="92">
        <f>IF(B$19=0,0,G18/B$19)</f>
        <v>2.5423728813559324E-2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>IF(P18=0,0,Q18/P18)</f>
        <v>5.2400000000000011</v>
      </c>
      <c r="P18" s="81">
        <v>10</v>
      </c>
      <c r="Q18" s="72">
        <v>52.400000000000013</v>
      </c>
    </row>
    <row r="19" spans="1:17" x14ac:dyDescent="0.45">
      <c r="A19" s="20" t="s">
        <v>10</v>
      </c>
      <c r="B19" s="13">
        <f>B22+B21</f>
        <v>118</v>
      </c>
      <c r="C19" s="6">
        <f>IF(B$3=0,0,B19/B$3)</f>
        <v>0.28297362110311752</v>
      </c>
      <c r="E19" s="29" t="s">
        <v>92</v>
      </c>
      <c r="F19" s="26" t="s">
        <v>47</v>
      </c>
      <c r="G19" s="14">
        <v>2</v>
      </c>
      <c r="H19" s="92">
        <f>IF(B$19=0,0,G19/B$19)</f>
        <v>1.6949152542372881E-2</v>
      </c>
      <c r="I19" s="60">
        <v>1</v>
      </c>
      <c r="K19" s="7">
        <v>17</v>
      </c>
      <c r="L19" s="65">
        <v>-149.1</v>
      </c>
      <c r="N19" s="78" t="s">
        <v>164</v>
      </c>
      <c r="O19" s="87">
        <f>IF(P19=0,0,Q19/P19)</f>
        <v>0.60952380952381069</v>
      </c>
      <c r="P19" s="81">
        <v>21</v>
      </c>
      <c r="Q19" s="72">
        <v>12.800000000000026</v>
      </c>
    </row>
    <row r="20" spans="1:17" x14ac:dyDescent="0.45">
      <c r="A20" s="21" t="s">
        <v>13</v>
      </c>
      <c r="B20" s="14">
        <v>50</v>
      </c>
      <c r="C20" s="8">
        <f>IF(B$3=0,0,B20/B$3)</f>
        <v>0.11990407673860912</v>
      </c>
      <c r="E20" s="29" t="s">
        <v>85</v>
      </c>
      <c r="F20" s="26" t="s">
        <v>40</v>
      </c>
      <c r="G20" s="14">
        <v>1</v>
      </c>
      <c r="H20" s="92">
        <f>IF(B$19=0,0,G20/B$19)</f>
        <v>8.4745762711864406E-3</v>
      </c>
      <c r="I20" s="60">
        <v>2</v>
      </c>
      <c r="K20" s="7">
        <v>18</v>
      </c>
      <c r="L20" s="65">
        <v>-201.89999999999998</v>
      </c>
      <c r="N20" s="78" t="s">
        <v>126</v>
      </c>
      <c r="O20" s="87">
        <f>IF(P20=0,0,Q20/P20)</f>
        <v>-18.651724137931037</v>
      </c>
      <c r="P20" s="81">
        <v>29</v>
      </c>
      <c r="Q20" s="72">
        <v>-540.90000000000009</v>
      </c>
    </row>
    <row r="21" spans="1:17" x14ac:dyDescent="0.45">
      <c r="A21" s="21" t="s">
        <v>12</v>
      </c>
      <c r="B21" s="14">
        <v>51</v>
      </c>
      <c r="C21" s="8">
        <f>IF(B$19=0,0,B21/B$19)</f>
        <v>0.43220338983050849</v>
      </c>
      <c r="E21" s="29" t="s">
        <v>156</v>
      </c>
      <c r="F21" s="26" t="s">
        <v>157</v>
      </c>
      <c r="G21" s="14">
        <v>1</v>
      </c>
      <c r="H21" s="92">
        <f>IF(B$19=0,0,G21/B$19)</f>
        <v>8.4745762711864406E-3</v>
      </c>
      <c r="I21" s="60">
        <v>3</v>
      </c>
      <c r="K21" s="7">
        <v>19</v>
      </c>
      <c r="L21" s="65">
        <v>-152.39999999999998</v>
      </c>
      <c r="N21" s="78" t="s">
        <v>196</v>
      </c>
      <c r="O21" s="87">
        <f>IF(P21=0,0,Q21/P21)</f>
        <v>-19.342857142857145</v>
      </c>
      <c r="P21" s="81">
        <v>7</v>
      </c>
      <c r="Q21" s="72">
        <v>-135.4</v>
      </c>
    </row>
    <row r="22" spans="1:17" x14ac:dyDescent="0.45">
      <c r="A22" s="21" t="s">
        <v>11</v>
      </c>
      <c r="B22" s="14">
        <v>67</v>
      </c>
      <c r="C22" s="8">
        <f>IF(B$19=0,0,B22/B$19)</f>
        <v>0.56779661016949157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56</v>
      </c>
      <c r="C23" s="8">
        <f>IF(B$19=0,0,B23/B$19)</f>
        <v>0.47457627118644069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38</v>
      </c>
      <c r="C24" s="8">
        <f>IF(B$19=0,0,B24/B$19)</f>
        <v>0.32203389830508472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24</v>
      </c>
      <c r="C25" s="8">
        <f>IF(B$19=0,0,B25/B$19)</f>
        <v>0.20338983050847459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7774.5762711864409</v>
      </c>
      <c r="C26" s="10">
        <v>917400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8102.5</v>
      </c>
      <c r="C27" s="100">
        <v>648200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7084.2105263157891</v>
      </c>
      <c r="C28" s="100">
        <v>269200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-7786</v>
      </c>
      <c r="C29" s="100">
        <v>-389300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5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9.3220338983050849E-2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21</v>
      </c>
      <c r="C37" s="8">
        <f t="shared" si="2"/>
        <v>0.17796610169491525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31</v>
      </c>
      <c r="C38" s="8">
        <f t="shared" si="2"/>
        <v>0.26271186440677968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18</v>
      </c>
      <c r="C39" s="8">
        <f t="shared" si="2"/>
        <v>0.15254237288135594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11</v>
      </c>
      <c r="C40" s="8">
        <f t="shared" si="2"/>
        <v>9.3220338983050849E-2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7</v>
      </c>
      <c r="C41" s="8">
        <f t="shared" si="2"/>
        <v>5.9322033898305086E-2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2"/>
        <v>6.7796610169491525E-2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2.5423728813559324E-2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1.6949152542372881E-2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2.5423728813559324E-2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8.4745762711864406E-3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2</v>
      </c>
      <c r="C48" s="11">
        <f t="shared" si="2"/>
        <v>1.6949152542372881E-2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E445-42C1-47DA-9DF6-EEFC2CF9C33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</v>
      </c>
      <c r="C2" s="132"/>
      <c r="E2" s="28" t="s">
        <v>72</v>
      </c>
      <c r="F2" s="25" t="s">
        <v>27</v>
      </c>
      <c r="G2" s="13">
        <v>53</v>
      </c>
      <c r="H2" s="91">
        <f>IF(B$19=0,0,G2/B$19)</f>
        <v>0.70666666666666667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-1550</v>
      </c>
      <c r="P2" s="80">
        <v>32</v>
      </c>
      <c r="Q2" s="67">
        <v>-49600</v>
      </c>
    </row>
    <row r="3" spans="1:17" x14ac:dyDescent="0.45">
      <c r="A3" s="21" t="s">
        <v>8</v>
      </c>
      <c r="B3" s="133">
        <v>241</v>
      </c>
      <c r="C3" s="134"/>
      <c r="E3" s="29" t="s">
        <v>66</v>
      </c>
      <c r="F3" s="26" t="s">
        <v>22</v>
      </c>
      <c r="G3" s="14">
        <v>48</v>
      </c>
      <c r="H3" s="92">
        <f>IF(B$19=0,0,G3/B$19)</f>
        <v>0.64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-354.83870967741933</v>
      </c>
      <c r="P3" s="81">
        <v>31</v>
      </c>
      <c r="Q3" s="68">
        <v>-11000</v>
      </c>
    </row>
    <row r="4" spans="1:17" x14ac:dyDescent="0.45">
      <c r="A4" s="21" t="s">
        <v>6</v>
      </c>
      <c r="B4" s="135">
        <v>76.100000000000009</v>
      </c>
      <c r="C4" s="136"/>
      <c r="E4" s="29" t="s">
        <v>160</v>
      </c>
      <c r="F4" s="26" t="s">
        <v>161</v>
      </c>
      <c r="G4" s="14">
        <v>22</v>
      </c>
      <c r="H4" s="92">
        <f>IF(B$19=0,0,G4/B$19)</f>
        <v>0.29333333333333333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2771.4285714285716</v>
      </c>
      <c r="P4" s="81">
        <v>28</v>
      </c>
      <c r="Q4" s="68">
        <v>77600</v>
      </c>
    </row>
    <row r="5" spans="1:17" x14ac:dyDescent="0.45">
      <c r="A5" s="21" t="s">
        <v>7</v>
      </c>
      <c r="B5" s="123">
        <f>IF(B$2=0,0,B$4/B$2)</f>
        <v>2.3781250000000003</v>
      </c>
      <c r="C5" s="124"/>
      <c r="E5" s="29" t="s">
        <v>64</v>
      </c>
      <c r="F5" s="26" t="s">
        <v>20</v>
      </c>
      <c r="G5" s="14">
        <v>20</v>
      </c>
      <c r="H5" s="92">
        <f>IF(B$19=0,0,G5/B$19)</f>
        <v>0.26666666666666666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-1524</v>
      </c>
      <c r="P5" s="81">
        <v>25</v>
      </c>
      <c r="Q5" s="68">
        <v>-38100</v>
      </c>
    </row>
    <row r="6" spans="1:17" x14ac:dyDescent="0.45">
      <c r="A6" s="21" t="s">
        <v>1</v>
      </c>
      <c r="B6" s="137">
        <f>IF(B$2=0,0,(B$7*1+B$8*2+B$9*3)/B$2)</f>
        <v>1.96875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0.24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2370</v>
      </c>
      <c r="P6" s="81">
        <v>20</v>
      </c>
      <c r="Q6" s="68">
        <v>47400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0.34375</v>
      </c>
      <c r="E7" s="29" t="s">
        <v>67</v>
      </c>
      <c r="F7" s="26" t="s">
        <v>23</v>
      </c>
      <c r="G7" s="14">
        <v>15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905.55555555555554</v>
      </c>
      <c r="P7" s="82">
        <v>18</v>
      </c>
      <c r="Q7" s="69">
        <v>16300</v>
      </c>
    </row>
    <row r="8" spans="1:17" x14ac:dyDescent="0.45">
      <c r="A8" s="21" t="s">
        <v>3</v>
      </c>
      <c r="B8" s="14">
        <v>11</v>
      </c>
      <c r="C8" s="8">
        <f t="shared" si="1"/>
        <v>0.34375</v>
      </c>
      <c r="E8" s="29" t="s">
        <v>69</v>
      </c>
      <c r="F8" s="26" t="s">
        <v>24</v>
      </c>
      <c r="G8" s="14">
        <v>11</v>
      </c>
      <c r="H8" s="92">
        <f>IF(B$19=0,0,G8/B$19)</f>
        <v>0.14666666666666667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0.3125</v>
      </c>
      <c r="E9" s="29" t="s">
        <v>83</v>
      </c>
      <c r="F9" s="26" t="s">
        <v>38</v>
      </c>
      <c r="G9" s="14">
        <v>11</v>
      </c>
      <c r="H9" s="92">
        <f>IF(B$19=0,0,G9/B$19)</f>
        <v>0.14666666666666667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8</v>
      </c>
      <c r="H10" s="92">
        <f>IF(B$19=0,0,G10/B$19)</f>
        <v>0.10666666666666667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-9.4899999999999984</v>
      </c>
      <c r="P10" s="80">
        <v>10</v>
      </c>
      <c r="Q10" s="71">
        <v>-94.899999999999991</v>
      </c>
    </row>
    <row r="11" spans="1:17" x14ac:dyDescent="0.45">
      <c r="A11" s="22" t="s">
        <v>186</v>
      </c>
      <c r="B11" s="113">
        <f>IF(B8=0,0,C11/B8)</f>
        <v>1.1999999999999993</v>
      </c>
      <c r="C11" s="114">
        <v>13.199999999999992</v>
      </c>
      <c r="E11" s="29" t="s">
        <v>65</v>
      </c>
      <c r="F11" s="26" t="s">
        <v>21</v>
      </c>
      <c r="G11" s="14">
        <v>5</v>
      </c>
      <c r="H11" s="92">
        <f>IF(B$19=0,0,G11/B$19)</f>
        <v>6.6666666666666666E-2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5">
      <c r="A13" s="22" t="s">
        <v>188</v>
      </c>
      <c r="B13" s="123">
        <f>AVERAGE(B10:B12)</f>
        <v>1.1157575757575746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0.04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0.1875</v>
      </c>
      <c r="E14" s="29" t="s">
        <v>78</v>
      </c>
      <c r="F14" s="26" t="s">
        <v>33</v>
      </c>
      <c r="G14" s="14">
        <v>3</v>
      </c>
      <c r="H14" s="92">
        <f>IF(B$19=0,0,G14/B$19)</f>
        <v>0.04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32</v>
      </c>
      <c r="C15" s="12">
        <f>IF(B$3=0,0,B15/B$3)</f>
        <v>0.13278008298755187</v>
      </c>
      <c r="E15" s="29" t="s">
        <v>71</v>
      </c>
      <c r="F15" s="26" t="s">
        <v>26</v>
      </c>
      <c r="G15" s="14">
        <v>2</v>
      </c>
      <c r="H15" s="92">
        <f>IF(B$19=0,0,G15/B$19)</f>
        <v>2.6666666666666668E-2</v>
      </c>
      <c r="I15" s="60">
        <v>9</v>
      </c>
      <c r="K15" s="7">
        <v>13</v>
      </c>
      <c r="L15" s="65">
        <v>83.1</v>
      </c>
      <c r="N15" s="77" t="s">
        <v>194</v>
      </c>
      <c r="O15" s="86">
        <f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85</v>
      </c>
      <c r="C16" s="8">
        <f>IF(B$3=0,0,B16/B$3)</f>
        <v>0.35269709543568467</v>
      </c>
      <c r="E16" s="29" t="s">
        <v>85</v>
      </c>
      <c r="F16" s="26" t="s">
        <v>40</v>
      </c>
      <c r="G16" s="14">
        <v>2</v>
      </c>
      <c r="H16" s="92">
        <f>IF(B$19=0,0,G16/B$19)</f>
        <v>2.6666666666666668E-2</v>
      </c>
      <c r="I16" s="60">
        <v>1</v>
      </c>
      <c r="K16" s="7">
        <v>14</v>
      </c>
      <c r="L16" s="65">
        <v>89.399999999999991</v>
      </c>
      <c r="N16" s="78" t="s">
        <v>205</v>
      </c>
      <c r="O16" s="87">
        <f>IF(P16=0,0,Q16/P16)</f>
        <v>30.166666666666668</v>
      </c>
      <c r="P16" s="81">
        <v>3</v>
      </c>
      <c r="Q16" s="72">
        <v>90.5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0.625</v>
      </c>
      <c r="E17" s="29" t="s">
        <v>75</v>
      </c>
      <c r="F17" s="26" t="s">
        <v>30</v>
      </c>
      <c r="G17" s="14">
        <v>1</v>
      </c>
      <c r="H17" s="92">
        <f>IF(B$19=0,0,G17/B$19)</f>
        <v>1.3333333333333334E-2</v>
      </c>
      <c r="I17" s="60">
        <v>1</v>
      </c>
      <c r="K17" s="7">
        <v>15</v>
      </c>
      <c r="L17" s="65">
        <v>112.6</v>
      </c>
      <c r="N17" s="78" t="s">
        <v>164</v>
      </c>
      <c r="O17" s="87">
        <f>IF(P17=0,0,Q17/P17)</f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35</v>
      </c>
      <c r="C18" s="6">
        <f>IF(B$16=0,0,B18/B$16)</f>
        <v>0.41176470588235292</v>
      </c>
      <c r="E18" s="29" t="s">
        <v>77</v>
      </c>
      <c r="F18" s="26" t="s">
        <v>32</v>
      </c>
      <c r="G18" s="14">
        <v>1</v>
      </c>
      <c r="H18" s="92">
        <f>IF(B$19=0,0,G18/B$19)</f>
        <v>1.3333333333333334E-2</v>
      </c>
      <c r="I18" s="60">
        <v>3</v>
      </c>
      <c r="K18" s="7">
        <v>16</v>
      </c>
      <c r="L18" s="65">
        <v>119.3</v>
      </c>
      <c r="N18" s="78" t="s">
        <v>196</v>
      </c>
      <c r="O18" s="87">
        <f>IF(P18=0,0,Q18/P18)</f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75</v>
      </c>
      <c r="C19" s="6">
        <f>IF(B$3=0,0,B19/B$3)</f>
        <v>0.31120331950207469</v>
      </c>
      <c r="E19" s="29" t="s">
        <v>79</v>
      </c>
      <c r="F19" s="26" t="s">
        <v>34</v>
      </c>
      <c r="G19" s="14">
        <v>1</v>
      </c>
      <c r="H19" s="92">
        <f>IF(B$19=0,0,G19/B$19)</f>
        <v>1.3333333333333334E-2</v>
      </c>
      <c r="I19" s="60">
        <v>6</v>
      </c>
      <c r="K19" s="7">
        <v>17</v>
      </c>
      <c r="L19" s="65">
        <v>71.699999999999989</v>
      </c>
      <c r="N19" s="78" t="s">
        <v>189</v>
      </c>
      <c r="O19" s="87">
        <f>IF(P19=0,0,Q19/P19)</f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33</v>
      </c>
      <c r="C20" s="8">
        <f>IF(B$3=0,0,B20/B$3)</f>
        <v>0.13692946058091288</v>
      </c>
      <c r="E20" s="29" t="s">
        <v>86</v>
      </c>
      <c r="F20" s="26" t="s">
        <v>41</v>
      </c>
      <c r="G20" s="14">
        <v>1</v>
      </c>
      <c r="H20" s="92">
        <f>IF(B$19=0,0,G20/B$19)</f>
        <v>1.3333333333333334E-2</v>
      </c>
      <c r="I20" s="60">
        <v>9</v>
      </c>
      <c r="K20" s="7">
        <v>18</v>
      </c>
      <c r="L20" s="65">
        <v>45.399999999999991</v>
      </c>
      <c r="N20" s="78" t="s">
        <v>192</v>
      </c>
      <c r="O20" s="87">
        <f>IF(P20=0,0,Q20/P20)</f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35</v>
      </c>
      <c r="C21" s="8">
        <f>IF(B$19=0,0,B21/B$19)</f>
        <v>0.46666666666666667</v>
      </c>
      <c r="E21" s="29" t="s">
        <v>88</v>
      </c>
      <c r="F21" s="26" t="s">
        <v>43</v>
      </c>
      <c r="G21" s="14">
        <v>1</v>
      </c>
      <c r="H21" s="92">
        <f>IF(B$19=0,0,G21/B$19)</f>
        <v>1.3333333333333334E-2</v>
      </c>
      <c r="I21" s="60">
        <v>1</v>
      </c>
      <c r="K21" s="7">
        <v>19</v>
      </c>
      <c r="L21" s="65">
        <v>100.1</v>
      </c>
      <c r="N21" s="78" t="s">
        <v>126</v>
      </c>
      <c r="O21" s="87">
        <f>IF(P21=0,0,Q21/P21)</f>
        <v>-24.086666666666662</v>
      </c>
      <c r="P21" s="81">
        <v>15</v>
      </c>
      <c r="Q21" s="72">
        <v>-361.29999999999995</v>
      </c>
    </row>
    <row r="22" spans="1:17" x14ac:dyDescent="0.45">
      <c r="A22" s="21" t="s">
        <v>11</v>
      </c>
      <c r="B22" s="14">
        <v>40</v>
      </c>
      <c r="C22" s="8">
        <f>IF(B$19=0,0,B22/B$19)</f>
        <v>0.53333333333333333</v>
      </c>
      <c r="E22" s="29" t="s">
        <v>102</v>
      </c>
      <c r="F22" s="26" t="s">
        <v>57</v>
      </c>
      <c r="G22" s="14">
        <v>1</v>
      </c>
      <c r="H22" s="92">
        <f>IF(B$19=0,0,G22/B$19)</f>
        <v>1.3333333333333334E-2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20</v>
      </c>
      <c r="C23" s="8">
        <f>IF(B$19=0,0,B23/B$19)</f>
        <v>0.26666666666666666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35</v>
      </c>
      <c r="C24" s="8">
        <f>IF(B$19=0,0,B24/B$19)</f>
        <v>0.46666666666666667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0.26666666666666666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7746.666666666667</v>
      </c>
      <c r="C26" s="10">
        <v>581000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8870</v>
      </c>
      <c r="C27" s="100">
        <v>354800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6462.8571428571431</v>
      </c>
      <c r="C28" s="100">
        <v>226200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-6827.272727272727</v>
      </c>
      <c r="C29" s="100">
        <v>-225300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9.3333333333333338E-2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19</v>
      </c>
      <c r="C37" s="8">
        <f t="shared" si="2"/>
        <v>0.25333333333333335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15</v>
      </c>
      <c r="C38" s="8">
        <f t="shared" si="2"/>
        <v>0.2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9</v>
      </c>
      <c r="C39" s="8">
        <f t="shared" si="2"/>
        <v>0.12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14</v>
      </c>
      <c r="C40" s="8">
        <f t="shared" si="2"/>
        <v>0.18666666666666668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4</v>
      </c>
      <c r="C41" s="8">
        <f t="shared" si="2"/>
        <v>5.3333333333333337E-2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4</v>
      </c>
      <c r="C42" s="8">
        <f t="shared" si="2"/>
        <v>5.3333333333333337E-2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2"/>
        <v>1.3333333333333334E-2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1.3333333333333334E-2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1.3333333333333334E-2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991A0-0969-470C-87C8-A872901A2868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298A-3758-4678-B2E9-F420A7B84FB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</v>
      </c>
      <c r="C2" s="132"/>
      <c r="E2" s="28" t="s">
        <v>66</v>
      </c>
      <c r="F2" s="25" t="s">
        <v>22</v>
      </c>
      <c r="G2" s="13">
        <v>64</v>
      </c>
      <c r="H2" s="91">
        <f>IF(B$19=0,0,G2/B$19)</f>
        <v>0.85333333333333339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829.0322580645161</v>
      </c>
      <c r="P2" s="80">
        <v>31</v>
      </c>
      <c r="Q2" s="67">
        <v>25700</v>
      </c>
    </row>
    <row r="3" spans="1:17" x14ac:dyDescent="0.45">
      <c r="A3" s="21" t="s">
        <v>8</v>
      </c>
      <c r="B3" s="133">
        <v>250</v>
      </c>
      <c r="C3" s="134"/>
      <c r="E3" s="29" t="s">
        <v>72</v>
      </c>
      <c r="F3" s="26" t="s">
        <v>27</v>
      </c>
      <c r="G3" s="14">
        <v>47</v>
      </c>
      <c r="H3" s="92">
        <f>IF(B$19=0,0,G3/B$19)</f>
        <v>0.62666666666666671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-2534.375</v>
      </c>
      <c r="P3" s="81">
        <v>32</v>
      </c>
      <c r="Q3" s="68">
        <v>-81100</v>
      </c>
    </row>
    <row r="4" spans="1:17" x14ac:dyDescent="0.45">
      <c r="A4" s="21" t="s">
        <v>6</v>
      </c>
      <c r="B4" s="135">
        <v>-199.60000000000002</v>
      </c>
      <c r="C4" s="136"/>
      <c r="E4" s="29" t="s">
        <v>160</v>
      </c>
      <c r="F4" s="26" t="s">
        <v>161</v>
      </c>
      <c r="G4" s="14">
        <v>28</v>
      </c>
      <c r="H4" s="92">
        <f>IF(B$19=0,0,G4/B$19)</f>
        <v>0.37333333333333335</v>
      </c>
      <c r="I4" s="60">
        <v>8</v>
      </c>
      <c r="K4" s="7">
        <v>2</v>
      </c>
      <c r="L4" s="65">
        <v>41.2</v>
      </c>
      <c r="N4" s="78" t="s">
        <v>130</v>
      </c>
      <c r="O4" s="84">
        <f t="shared" si="0"/>
        <v>-1613.3333333333333</v>
      </c>
      <c r="P4" s="81">
        <v>30</v>
      </c>
      <c r="Q4" s="68">
        <v>-48400</v>
      </c>
    </row>
    <row r="5" spans="1:17" x14ac:dyDescent="0.45">
      <c r="A5" s="21" t="s">
        <v>7</v>
      </c>
      <c r="B5" s="123">
        <f>IF(B$2=0,0,B$4/B$2)</f>
        <v>-6.2375000000000007</v>
      </c>
      <c r="C5" s="124"/>
      <c r="E5" s="29" t="s">
        <v>64</v>
      </c>
      <c r="F5" s="26" t="s">
        <v>20</v>
      </c>
      <c r="G5" s="14">
        <v>25</v>
      </c>
      <c r="H5" s="92">
        <f>IF(B$19=0,0,G5/B$19)</f>
        <v>0.33333333333333331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366.66666666666669</v>
      </c>
      <c r="P5" s="81">
        <v>27</v>
      </c>
      <c r="Q5" s="68">
        <v>9900</v>
      </c>
    </row>
    <row r="6" spans="1:17" x14ac:dyDescent="0.45">
      <c r="A6" s="21" t="s">
        <v>1</v>
      </c>
      <c r="B6" s="137">
        <f>IF(B$2=0,0,(B$7*1+B$8*2+B$9*3)/B$2)</f>
        <v>2.15625</v>
      </c>
      <c r="C6" s="138"/>
      <c r="E6" s="29" t="s">
        <v>68</v>
      </c>
      <c r="F6" s="26" t="s">
        <v>12</v>
      </c>
      <c r="G6" s="14">
        <v>15</v>
      </c>
      <c r="H6" s="92">
        <f>IF(B$19=0,0,G6/B$19)</f>
        <v>0.2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-361.53846153846155</v>
      </c>
      <c r="P6" s="81">
        <v>26</v>
      </c>
      <c r="Q6" s="68">
        <v>-9400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0.28125</v>
      </c>
      <c r="E7" s="29" t="s">
        <v>89</v>
      </c>
      <c r="F7" s="26" t="s">
        <v>44</v>
      </c>
      <c r="G7" s="14">
        <v>15</v>
      </c>
      <c r="H7" s="92">
        <f>IF(B$19=0,0,G7/B$19)</f>
        <v>0.2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-2910</v>
      </c>
      <c r="P7" s="82">
        <v>20</v>
      </c>
      <c r="Q7" s="69">
        <v>-58200</v>
      </c>
    </row>
    <row r="8" spans="1:17" x14ac:dyDescent="0.45">
      <c r="A8" s="21" t="s">
        <v>3</v>
      </c>
      <c r="B8" s="14">
        <v>9</v>
      </c>
      <c r="C8" s="8">
        <f t="shared" si="1"/>
        <v>0.28125</v>
      </c>
      <c r="E8" s="29" t="s">
        <v>67</v>
      </c>
      <c r="F8" s="26" t="s">
        <v>23</v>
      </c>
      <c r="G8" s="14">
        <v>14</v>
      </c>
      <c r="H8" s="92">
        <f>IF(B$19=0,0,G8/B$19)</f>
        <v>0.18666666666666668</v>
      </c>
      <c r="I8" s="60">
        <v>9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14</v>
      </c>
      <c r="C9" s="9">
        <f t="shared" si="1"/>
        <v>0.4375</v>
      </c>
      <c r="E9" s="29" t="s">
        <v>69</v>
      </c>
      <c r="F9" s="26" t="s">
        <v>24</v>
      </c>
      <c r="G9" s="14">
        <v>13</v>
      </c>
      <c r="H9" s="92">
        <f>IF(B$19=0,0,G9/B$19)</f>
        <v>0.17333333333333334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9</v>
      </c>
      <c r="H10" s="92">
        <f>IF(B$19=0,0,G10/B$19)</f>
        <v>0.12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-5.1636363636363631</v>
      </c>
      <c r="P10" s="80">
        <v>11</v>
      </c>
      <c r="Q10" s="71">
        <v>-56.8</v>
      </c>
    </row>
    <row r="11" spans="1:17" x14ac:dyDescent="0.45">
      <c r="A11" s="22" t="s">
        <v>186</v>
      </c>
      <c r="B11" s="113">
        <f>IF(B8=0,0,C11/B8)</f>
        <v>-2.0444444444444443</v>
      </c>
      <c r="C11" s="114">
        <v>-18.399999999999999</v>
      </c>
      <c r="E11" s="29" t="s">
        <v>65</v>
      </c>
      <c r="F11" s="26" t="s">
        <v>21</v>
      </c>
      <c r="G11" s="14">
        <v>5</v>
      </c>
      <c r="H11" s="92">
        <f>IF(B$19=0,0,G11/B$19)</f>
        <v>6.6666666666666666E-2</v>
      </c>
      <c r="I11" s="60">
        <v>9</v>
      </c>
      <c r="K11" s="7">
        <v>9</v>
      </c>
      <c r="L11" s="65">
        <v>-120</v>
      </c>
      <c r="N11" s="78" t="s">
        <v>153</v>
      </c>
      <c r="O11" s="87">
        <f>IF(P11=0,0,Q11/P11)</f>
        <v>1.3999999999999997</v>
      </c>
      <c r="P11" s="81">
        <v>7</v>
      </c>
      <c r="Q11" s="72">
        <v>9.7999999999999972</v>
      </c>
    </row>
    <row r="12" spans="1:17" x14ac:dyDescent="0.45">
      <c r="A12" s="22" t="s">
        <v>187</v>
      </c>
      <c r="B12" s="113">
        <f>IF(B9=0,0,C12/B9)</f>
        <v>-36.428571428571431</v>
      </c>
      <c r="C12" s="114">
        <v>-510.00000000000006</v>
      </c>
      <c r="E12" s="29" t="s">
        <v>83</v>
      </c>
      <c r="F12" s="26" t="s">
        <v>38</v>
      </c>
      <c r="G12" s="14">
        <v>5</v>
      </c>
      <c r="H12" s="92">
        <f>IF(B$19=0,0,G12/B$19)</f>
        <v>6.6666666666666666E-2</v>
      </c>
      <c r="I12" s="60">
        <v>3</v>
      </c>
      <c r="K12" s="7">
        <v>10</v>
      </c>
      <c r="L12" s="65">
        <v>-112.8</v>
      </c>
      <c r="N12" s="79" t="s">
        <v>154</v>
      </c>
      <c r="O12" s="88">
        <f>IF(P12=0,0,Q12/P12)</f>
        <v>-10.900000000000002</v>
      </c>
      <c r="P12" s="82">
        <v>14</v>
      </c>
      <c r="Q12" s="73">
        <v>-152.60000000000002</v>
      </c>
    </row>
    <row r="13" spans="1:17" x14ac:dyDescent="0.45">
      <c r="A13" s="22" t="s">
        <v>188</v>
      </c>
      <c r="B13" s="123">
        <f>AVERAGE(B10:B12)</f>
        <v>-0.64656084656084778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5.3333333333333337E-2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0.125</v>
      </c>
      <c r="E14" s="29" t="s">
        <v>86</v>
      </c>
      <c r="F14" s="26" t="s">
        <v>41</v>
      </c>
      <c r="G14" s="14">
        <v>4</v>
      </c>
      <c r="H14" s="92">
        <f>IF(B$19=0,0,G14/B$19)</f>
        <v>5.3333333333333337E-2</v>
      </c>
      <c r="I14" s="60">
        <v>5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41</v>
      </c>
      <c r="C15" s="12">
        <f>IF(B$3=0,0,B15/B$3)</f>
        <v>0.16400000000000001</v>
      </c>
      <c r="E15" s="29" t="s">
        <v>78</v>
      </c>
      <c r="F15" s="26" t="s">
        <v>33</v>
      </c>
      <c r="G15" s="14">
        <v>3</v>
      </c>
      <c r="H15" s="92">
        <f>IF(B$19=0,0,G15/B$19)</f>
        <v>0.04</v>
      </c>
      <c r="I15" s="60">
        <v>2</v>
      </c>
      <c r="K15" s="7">
        <v>13</v>
      </c>
      <c r="L15" s="65">
        <v>-63.4</v>
      </c>
      <c r="N15" s="77" t="s">
        <v>194</v>
      </c>
      <c r="O15" s="86">
        <f>IF(P15=0,0,Q15/P15)</f>
        <v>4.127272727272727</v>
      </c>
      <c r="P15" s="80">
        <v>11</v>
      </c>
      <c r="Q15" s="71">
        <v>45.4</v>
      </c>
    </row>
    <row r="16" spans="1:17" x14ac:dyDescent="0.45">
      <c r="A16" s="21" t="s">
        <v>118</v>
      </c>
      <c r="B16" s="14">
        <v>74</v>
      </c>
      <c r="C16" s="8">
        <f>IF(B$3=0,0,B16/B$3)</f>
        <v>0.29599999999999999</v>
      </c>
      <c r="E16" s="29" t="s">
        <v>81</v>
      </c>
      <c r="F16" s="26" t="s">
        <v>36</v>
      </c>
      <c r="G16" s="14">
        <v>1</v>
      </c>
      <c r="H16" s="92">
        <f>IF(B$19=0,0,G16/B$19)</f>
        <v>1.3333333333333334E-2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-5.2400000000000011</v>
      </c>
      <c r="P16" s="81">
        <v>10</v>
      </c>
      <c r="Q16" s="72">
        <v>-52.400000000000013</v>
      </c>
    </row>
    <row r="17" spans="1:17" x14ac:dyDescent="0.45">
      <c r="A17" s="20" t="s">
        <v>123</v>
      </c>
      <c r="B17" s="13">
        <f>B23</f>
        <v>25</v>
      </c>
      <c r="C17" s="6">
        <f>IF(B$15=0,0,B17/B$15)</f>
        <v>0.6097560975609756</v>
      </c>
      <c r="E17" s="29" t="s">
        <v>92</v>
      </c>
      <c r="F17" s="26" t="s">
        <v>47</v>
      </c>
      <c r="G17" s="14">
        <v>1</v>
      </c>
      <c r="H17" s="92">
        <f>IF(B$19=0,0,G17/B$19)</f>
        <v>1.3333333333333334E-2</v>
      </c>
      <c r="I17" s="60">
        <v>5</v>
      </c>
      <c r="K17" s="7">
        <v>15</v>
      </c>
      <c r="L17" s="65">
        <v>-65.7</v>
      </c>
      <c r="N17" s="78" t="s">
        <v>126</v>
      </c>
      <c r="O17" s="87">
        <f>IF(P17=0,0,Q17/P17)</f>
        <v>-9.3730769230769244</v>
      </c>
      <c r="P17" s="81">
        <v>26</v>
      </c>
      <c r="Q17" s="72">
        <v>-243.70000000000005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0.3108108108108108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-15.376923076923079</v>
      </c>
      <c r="P18" s="81">
        <v>13</v>
      </c>
      <c r="Q18" s="72">
        <v>-199.90000000000003</v>
      </c>
    </row>
    <row r="19" spans="1:17" x14ac:dyDescent="0.45">
      <c r="A19" s="20" t="s">
        <v>10</v>
      </c>
      <c r="B19" s="13">
        <f>B22+B21</f>
        <v>75</v>
      </c>
      <c r="C19" s="6">
        <f>IF(B$3=0,0,B19/B$3)</f>
        <v>0.3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193</v>
      </c>
      <c r="O19" s="87">
        <f>IF(P19=0,0,Q19/P19)</f>
        <v>-30.166666666666668</v>
      </c>
      <c r="P19" s="81">
        <v>3</v>
      </c>
      <c r="Q19" s="72">
        <v>-90.5</v>
      </c>
    </row>
    <row r="20" spans="1:17" x14ac:dyDescent="0.45">
      <c r="A20" s="21" t="s">
        <v>13</v>
      </c>
      <c r="B20" s="14">
        <v>44</v>
      </c>
      <c r="C20" s="8">
        <f>IF(B$3=0,0,B20/B$3)</f>
        <v>0.17599999999999999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189</v>
      </c>
      <c r="O20" s="87">
        <f>IF(P20=0,0,Q20/P20)</f>
        <v>-57.7</v>
      </c>
      <c r="P20" s="81">
        <v>1</v>
      </c>
      <c r="Q20" s="72">
        <v>-57.7</v>
      </c>
    </row>
    <row r="21" spans="1:17" x14ac:dyDescent="0.45">
      <c r="A21" s="21" t="s">
        <v>12</v>
      </c>
      <c r="B21" s="14">
        <v>29</v>
      </c>
      <c r="C21" s="8">
        <f>IF(B$19=0,0,B21/B$19)</f>
        <v>0.38666666666666666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46</v>
      </c>
      <c r="C22" s="8">
        <f>IF(B$19=0,0,B22/B$19)</f>
        <v>0.61333333333333329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25</v>
      </c>
      <c r="C23" s="8">
        <f>IF(B$19=0,0,B23/B$19)</f>
        <v>0.33333333333333331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23</v>
      </c>
      <c r="C24" s="8">
        <f>IF(B$19=0,0,B24/B$19)</f>
        <v>0.30666666666666664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27</v>
      </c>
      <c r="C25" s="8">
        <f>IF(B$19=0,0,B25/B$19)</f>
        <v>0.36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8145.333333333333</v>
      </c>
      <c r="C26" s="10">
        <v>610900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8303.8461538461543</v>
      </c>
      <c r="C27" s="100">
        <v>431800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7786.95652173913</v>
      </c>
      <c r="C28" s="100">
        <v>179100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-9090.9090909090901</v>
      </c>
      <c r="C29" s="100">
        <v>-400000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13</v>
      </c>
      <c r="C31" s="94">
        <v>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9.3333333333333338E-2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5">
      <c r="A37" s="21" t="s">
        <v>168</v>
      </c>
      <c r="B37" s="14">
        <v>21</v>
      </c>
      <c r="C37" s="8">
        <f t="shared" si="2"/>
        <v>0.28000000000000003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5">
      <c r="A38" s="21" t="s">
        <v>169</v>
      </c>
      <c r="B38" s="122">
        <v>8</v>
      </c>
      <c r="C38" s="8">
        <f t="shared" si="2"/>
        <v>0.10666666666666667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15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9</v>
      </c>
      <c r="C40" s="8">
        <f t="shared" si="2"/>
        <v>0.12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5</v>
      </c>
      <c r="C41" s="8">
        <f t="shared" si="2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3</v>
      </c>
      <c r="C42" s="8">
        <f t="shared" si="2"/>
        <v>0.04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2"/>
        <v>2.6666666666666668E-2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1.3333333333333334E-2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1.3333333333333334E-2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2.6666666666666668E-2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1.3333333333333334E-2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806F-838F-491C-B9F6-319CADCB64D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1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7973-5762-4E96-911C-1565678EE883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3F7E3-352F-43F3-9912-47CD67087ED0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8475-3754-4F24-8489-21ED34D9CD18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D550-AEB8-415E-8E15-F4DC60611338}">
  <sheetPr codeName="Sheet18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AB88-763C-465E-A8A6-3BB66FF7C1C0}">
  <sheetPr codeName="Sheet16"/>
  <dimension ref="A1:Q5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40D50-EF32-4274-A154-77581B9BFEC2}">
  <sheetPr codeName="Sheet14"/>
  <dimension ref="A1:Q3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643F-999F-4A55-A8B7-2934B3CA6707}">
  <sheetPr codeName="Sheet12"/>
  <dimension ref="A1:Q7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4F7B0-307F-457B-B700-FD13C2A5B2A1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67FFD-2792-4C53-8577-E302E6591A02}">
  <sheetPr codeName="Sheet8"/>
  <dimension ref="A1:Q5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67668-3A93-4632-8135-6C77D99E3C8F}">
  <sheetPr codeName="Sheet6"/>
  <dimension ref="A1:Q10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2020-06-30T07:17:20Z</dcterms:modified>
</cp:coreProperties>
</file>