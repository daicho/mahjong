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C1ADF78C-3E5D-4240-9894-40B0FBE476B4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てんちゃん" sheetId="6266" r:id="rId16"/>
    <sheet name="いちかわ" sheetId="6268" r:id="rId17"/>
    <sheet name="いちかわ2" sheetId="6269" state="hidden" r:id="rId18"/>
    <sheet name="てんちゃん2" sheetId="6267" state="hidden" r:id="rId19"/>
    <sheet name="ぱぱ2" sheetId="6265" state="hidden" r:id="rId20"/>
    <sheet name="ただ2" sheetId="6263" state="hidden" r:id="rId21"/>
    <sheet name="のり2" sheetId="6261" state="hidden" r:id="rId22"/>
    <sheet name="たかの2" sheetId="6259" state="hidden" r:id="rId23"/>
    <sheet name="まっつん2" sheetId="6257" state="hidden" r:id="rId24"/>
    <sheet name="りくと2" sheetId="6255" state="hidden" r:id="rId25"/>
    <sheet name="だいち2" sheetId="6253" state="hidden" r:id="rId26"/>
    <sheet name="ともき2" sheetId="6251" state="hidden" r:id="rId27"/>
    <sheet name="れんたろう2" sheetId="6249" state="hidden" r:id="rId28"/>
    <sheet name="全体2" sheetId="6247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Template1!$B$19</definedName>
    <definedName name="アガリ数" localSheetId="16">いちかわ!$B$19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15">てんちゃん!$B$19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6">いちかわ!$C$19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15">てんちゃん!$C$19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6">いちかわ!$B$25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15">てんちゃん!$B$25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6">いちかわ!$C$25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15">てんちゃん!$C$25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6">いちかわ!$B$34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15">てんちゃん!$B$34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6">いちかわ!$C$34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15">てんちゃん!$C$34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6">いちかわ!$B$21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15">てんちゃん!$B$21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6">いちかわ!$C$21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15">てんちゃん!$C$21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6">いちかわ!$B$7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15">てんちゃん!$B$7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6">いちかわ!$C$7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15">てんちゃん!$C$7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16">いちかわ!$B$13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15">てんちゃん!$B$13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6">いちかわ!$B$14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15">てんちゃん!$B$14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6">いちかわ!$C$14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15">てんちゃん!$C$14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6">いちかわ!$B$9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15">てんちゃん!$B$9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6">いちかわ!$C$9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15">てんちゃん!$C$9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6">いちかわ!$B$23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15">てんちゃん!$B$23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6">いちかわ!$C$23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15">てんちゃん!$C$23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6">いちかわ!$B$15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15">てんちゃん!$B$15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6">いちかわ!$B$17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15">てんちゃん!$B$17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6">いちかわ!$C$17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15">てんちゃん!$C$17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6">いちかわ!$C$15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15">てんちゃん!$C$15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6">いちかわ!$B$22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15">てんちゃん!$B$22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6">いちかわ!$C$22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15">てんちゃん!$C$22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16">いちかわ!$B$10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15">てんちゃん!$B$10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16">いちかわ!$C$10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15">てんちゃん!$C$10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16">いちかわ!$B$36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15">てんちゃん!$B$36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16">いちかわ!$C$36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15">てんちゃん!$C$36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6">いちかわ!$C$30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15">てんちゃん!$C$30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6">いちかわ!$C$31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15">てんちゃん!$C$31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6">いちかわ!$B$33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15">てんちゃん!$B$33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6">いちかわ!$B$32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15">てんちゃん!$B$32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6">いちかわ!$B$33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15">てんちゃん!$B$33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16">いちかわ!$B$12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15">てんちゃん!$B$12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16">いちかわ!$C$12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15">てんちゃん!$C$12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6">いちかわ!$B$3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いちかわ!$B$2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6">いちかわ!$C$26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15">てんちゃん!$C$26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6">いちかわ!$B$4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6">いちかわ!$C$28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15">てんちゃん!$C$28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6">いちかわ!$C$29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15">てんちゃん!$C$29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6">いちかわ!$C$27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15">てんちゃん!$C$27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16">いちかわ!$B$11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15">てんちゃん!$B$11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6">いちかわ!$B$8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15">てんちゃん!$B$8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16">いちかわ!$C$11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15">てんちゃん!$C$11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6">いちかわ!$C$8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15">てんちゃん!$C$8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6">いちかわ!$B$24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15">てんちゃん!$B$24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6">いちかわ!$B$28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15">てんちゃん!$B$28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6">いちかわ!$C$24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15">てんちゃん!$C$24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6">いちかわ!$B$16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15">てんちゃん!$B$16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6">いちかわ!$B$18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15">てんちゃん!$B$18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6">いちかわ!$C$18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15">てんちゃん!$C$18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6">いちかわ!$C$16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15">てんちゃん!$C$16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6">いちかわ!$B$26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15">てんちゃん!$B$26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6">いちかわ!$B$5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6">いちかわ!$B$6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15">てんちゃん!$B$6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6">いちかわ!$B$29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15">てんちゃん!$B$29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6">いちかわ!$B$20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15">てんちゃん!$B$20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6">いちかわ!$C$20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15">てんちゃん!$C$20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6">いちかわ!$B$1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6">いちかわ!$B$27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15">てんちゃん!$B$27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6">いちかわ!$B$30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15">てんちゃん!$B$30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6">いちかわ!$B$31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15">てんちゃん!$B$31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6" i="6268" l="1"/>
  <c r="O15" i="6268"/>
  <c r="H46" i="6268"/>
  <c r="C46" i="6268"/>
  <c r="H41" i="6268"/>
  <c r="H40" i="6268"/>
  <c r="C36" i="6268"/>
  <c r="H35" i="6268"/>
  <c r="C34" i="6268"/>
  <c r="B29" i="6268"/>
  <c r="H5" i="6268"/>
  <c r="B27" i="6268"/>
  <c r="C23" i="6268"/>
  <c r="C22" i="6268"/>
  <c r="H22" i="6268"/>
  <c r="C20" i="6268"/>
  <c r="B19" i="6268"/>
  <c r="H49" i="6268" s="1"/>
  <c r="H19" i="6268"/>
  <c r="C18" i="6268"/>
  <c r="B18" i="6268"/>
  <c r="B28" i="6268" s="1"/>
  <c r="B17" i="6268"/>
  <c r="C17" i="6268" s="1"/>
  <c r="C16" i="6268"/>
  <c r="C15" i="6268"/>
  <c r="H15" i="6268"/>
  <c r="C14" i="6268"/>
  <c r="O12" i="6268"/>
  <c r="B12" i="6268"/>
  <c r="O11" i="6268"/>
  <c r="H12" i="6268"/>
  <c r="B11" i="6268"/>
  <c r="O10" i="6268"/>
  <c r="B10" i="6268"/>
  <c r="B13" i="6268" s="1"/>
  <c r="C9" i="6268"/>
  <c r="C8" i="6268"/>
  <c r="O7" i="6268"/>
  <c r="H9" i="6268"/>
  <c r="C7" i="6268"/>
  <c r="O6" i="6268"/>
  <c r="B6" i="6268"/>
  <c r="O5" i="6268"/>
  <c r="H8" i="6268"/>
  <c r="B5" i="6268"/>
  <c r="O4" i="6268"/>
  <c r="O3" i="6268"/>
  <c r="O2" i="6268"/>
  <c r="O15" i="6258"/>
  <c r="O16" i="6248"/>
  <c r="O16" i="6246"/>
  <c r="H47" i="6268" l="1"/>
  <c r="C48" i="6268"/>
  <c r="C42" i="6268"/>
  <c r="H16" i="6268"/>
  <c r="H42" i="6268"/>
  <c r="C19" i="6268"/>
  <c r="C24" i="6268"/>
  <c r="H30" i="6268"/>
  <c r="C38" i="6268"/>
  <c r="H43" i="6268"/>
  <c r="H48" i="6268"/>
  <c r="H24" i="6268"/>
  <c r="H6" i="6268"/>
  <c r="H3" i="6268"/>
  <c r="H11" i="6268"/>
  <c r="H13" i="6268"/>
  <c r="H17" i="6268"/>
  <c r="H20" i="6268"/>
  <c r="C25" i="6268"/>
  <c r="H32" i="6268"/>
  <c r="H38" i="6268"/>
  <c r="C44" i="6268"/>
  <c r="H50" i="6268"/>
  <c r="H36" i="6268"/>
  <c r="H10" i="6268"/>
  <c r="H29" i="6268"/>
  <c r="H26" i="6268"/>
  <c r="H33" i="6268"/>
  <c r="H39" i="6268"/>
  <c r="H44" i="6268"/>
  <c r="H51" i="6268"/>
  <c r="H2" i="6268"/>
  <c r="H37" i="6268"/>
  <c r="H7" i="6268"/>
  <c r="H4" i="6268"/>
  <c r="H14" i="6268"/>
  <c r="C21" i="6268"/>
  <c r="B26" i="6268"/>
  <c r="C40" i="6268"/>
  <c r="H45" i="6268"/>
  <c r="H52" i="6268"/>
  <c r="H18" i="6268"/>
  <c r="H21" i="6268"/>
  <c r="H25" i="6268"/>
  <c r="H28" i="6268"/>
  <c r="H34" i="6268"/>
  <c r="C39" i="6268"/>
  <c r="C43" i="6268"/>
  <c r="C47" i="6268"/>
  <c r="H23" i="6268"/>
  <c r="H27" i="6268"/>
  <c r="H31" i="6268"/>
  <c r="C37" i="6268"/>
  <c r="C41" i="6268"/>
  <c r="C45" i="6268"/>
  <c r="O18" i="6266" l="1"/>
  <c r="O15" i="6256"/>
  <c r="O16" i="6266" l="1"/>
  <c r="O16" i="6254"/>
  <c r="O15" i="6266"/>
  <c r="O17" i="6266"/>
  <c r="C34" i="6266"/>
  <c r="B29" i="6266"/>
  <c r="C20" i="6266"/>
  <c r="B19" i="6266"/>
  <c r="H50" i="6266" s="1"/>
  <c r="B18" i="6266"/>
  <c r="B28" i="6266" s="1"/>
  <c r="B17" i="6266"/>
  <c r="C17" i="6266" s="1"/>
  <c r="C16" i="6266"/>
  <c r="C15" i="6266"/>
  <c r="C14" i="6266"/>
  <c r="O12" i="6266"/>
  <c r="B12" i="6266"/>
  <c r="O11" i="6266"/>
  <c r="B11" i="6266"/>
  <c r="O10" i="6266"/>
  <c r="B10" i="6266"/>
  <c r="C9" i="6266"/>
  <c r="C8" i="6266"/>
  <c r="O7" i="6266"/>
  <c r="C7" i="6266"/>
  <c r="O6" i="6266"/>
  <c r="B6" i="6266"/>
  <c r="O5" i="6266"/>
  <c r="B5" i="6266"/>
  <c r="O4" i="6266"/>
  <c r="O3" i="6266"/>
  <c r="O2" i="6266"/>
  <c r="O17" i="6262"/>
  <c r="O15" i="6252"/>
  <c r="O15" i="6246"/>
  <c r="C39" i="6266" l="1"/>
  <c r="B26" i="6266"/>
  <c r="H19" i="6266"/>
  <c r="H4" i="6266"/>
  <c r="H21" i="6266"/>
  <c r="H7" i="6266"/>
  <c r="C42" i="6266"/>
  <c r="H43" i="6266"/>
  <c r="H13" i="6266"/>
  <c r="H44" i="6266"/>
  <c r="H8" i="6266"/>
  <c r="C36" i="6266"/>
  <c r="C21" i="6266"/>
  <c r="C46" i="6266"/>
  <c r="H10" i="6266"/>
  <c r="H22" i="6266"/>
  <c r="C22" i="6266"/>
  <c r="H37" i="6266"/>
  <c r="H16" i="6266"/>
  <c r="H9" i="6266"/>
  <c r="H30" i="6266"/>
  <c r="H31" i="6266"/>
  <c r="H11" i="6266"/>
  <c r="H2" i="6266"/>
  <c r="H15" i="6266"/>
  <c r="C24" i="6266"/>
  <c r="H38" i="6266"/>
  <c r="H47" i="6266"/>
  <c r="B27" i="6266"/>
  <c r="C38" i="6266"/>
  <c r="H17" i="6266"/>
  <c r="H39" i="6266"/>
  <c r="B13" i="6266"/>
  <c r="C18" i="6266"/>
  <c r="H33" i="6266"/>
  <c r="H48" i="6266"/>
  <c r="H25" i="6266"/>
  <c r="H20" i="6266"/>
  <c r="H34" i="6266"/>
  <c r="H41" i="6266"/>
  <c r="C48" i="6266"/>
  <c r="C25" i="6266"/>
  <c r="H6" i="6266"/>
  <c r="H3" i="6266"/>
  <c r="H12" i="6266"/>
  <c r="H14" i="6266"/>
  <c r="H26" i="6266"/>
  <c r="H42" i="6266"/>
  <c r="H49" i="6266"/>
  <c r="C44" i="6266"/>
  <c r="H51" i="6266"/>
  <c r="C23" i="6266"/>
  <c r="H28" i="6266"/>
  <c r="H35" i="6266"/>
  <c r="H40" i="6266"/>
  <c r="H45" i="6266"/>
  <c r="H5" i="6266"/>
  <c r="H18" i="6266"/>
  <c r="C19" i="6266"/>
  <c r="H24" i="6266"/>
  <c r="H29" i="6266"/>
  <c r="H36" i="6266"/>
  <c r="C40" i="6266"/>
  <c r="H46" i="6266"/>
  <c r="H52" i="6266"/>
  <c r="C43" i="6266"/>
  <c r="C47" i="6266"/>
  <c r="H23" i="6266"/>
  <c r="H27" i="6266"/>
  <c r="H32" i="6266"/>
  <c r="C37" i="6266"/>
  <c r="C41" i="6266"/>
  <c r="C45" i="6266"/>
  <c r="O16" i="6258"/>
  <c r="O20" i="6262"/>
  <c r="O22" i="6248" l="1"/>
  <c r="O16" i="6260"/>
  <c r="O15" i="6264" l="1"/>
  <c r="O16" i="6264"/>
  <c r="C34" i="6264"/>
  <c r="B29" i="6264"/>
  <c r="C20" i="6264"/>
  <c r="B19" i="6264"/>
  <c r="H7" i="6264" s="1"/>
  <c r="B18" i="6264"/>
  <c r="C18" i="6264" s="1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2" i="6252"/>
  <c r="O17" i="6248"/>
  <c r="O19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6" i="6262"/>
  <c r="O16" i="6250"/>
  <c r="O20" i="6258"/>
  <c r="O21" i="6262" l="1"/>
  <c r="O15" i="6250"/>
  <c r="O18" i="6262"/>
  <c r="O18" i="6248"/>
  <c r="O16" i="6256" l="1"/>
  <c r="O17" i="6250"/>
  <c r="O21" i="6252"/>
  <c r="O19" i="6256"/>
  <c r="O20" i="6246"/>
  <c r="O19" i="6262"/>
  <c r="O15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2" i="6262"/>
  <c r="H20" i="6262"/>
  <c r="H21" i="6262"/>
  <c r="H14" i="6262"/>
  <c r="B27" i="6262"/>
  <c r="C19" i="6262"/>
  <c r="C23" i="6262"/>
  <c r="H36" i="6262"/>
  <c r="H40" i="6262"/>
  <c r="H44" i="6262"/>
  <c r="H48" i="6262"/>
  <c r="H7" i="6262"/>
  <c r="H19" i="6262"/>
  <c r="C24" i="6262"/>
  <c r="H18" i="6262"/>
  <c r="H37" i="6262"/>
  <c r="H41" i="6262"/>
  <c r="H45" i="6262"/>
  <c r="H49" i="6262"/>
  <c r="H5" i="6262"/>
  <c r="H2" i="6262"/>
  <c r="H10" i="6262"/>
  <c r="H3" i="6262"/>
  <c r="H17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3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5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8" i="6252" l="1"/>
  <c r="O22" i="6258"/>
  <c r="O21" i="6248"/>
  <c r="O19" i="6258"/>
  <c r="O20" i="6252" l="1"/>
  <c r="O19" i="6254"/>
  <c r="O23" i="6248"/>
  <c r="O19" i="6248"/>
  <c r="O15" i="6254"/>
  <c r="O20" i="6256"/>
  <c r="O17" i="6260" l="1"/>
  <c r="O19" i="6260"/>
  <c r="O22" i="6256"/>
  <c r="O21" i="6256"/>
  <c r="O16" i="6252"/>
  <c r="O19" i="6252"/>
  <c r="O18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20" i="6254"/>
  <c r="O24" i="6246"/>
  <c r="O21" i="6258"/>
  <c r="O17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8" i="6256"/>
  <c r="O17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8" i="6246"/>
  <c r="O21" i="6254"/>
  <c r="O18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3" i="6246"/>
  <c r="O21" i="6246"/>
  <c r="O17" i="6252"/>
  <c r="O23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22" i="6246"/>
  <c r="O20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5" i="6246"/>
  <c r="O17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6" i="6254"/>
  <c r="C18" i="6254"/>
  <c r="H3" i="6254"/>
  <c r="H23" i="6254"/>
  <c r="H2" i="6254"/>
  <c r="H9" i="6254"/>
  <c r="H21" i="6254"/>
  <c r="B13" i="6254"/>
  <c r="C25" i="6254"/>
  <c r="H24" i="6254"/>
  <c r="C19" i="6254"/>
  <c r="H11" i="6254"/>
  <c r="H6" i="6254"/>
  <c r="H13" i="6254"/>
  <c r="H20" i="6254"/>
  <c r="H22" i="6254"/>
  <c r="H14" i="6254"/>
  <c r="C21" i="6254"/>
  <c r="C23" i="6254"/>
  <c r="H18" i="6248"/>
  <c r="H10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0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7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17" i="6258"/>
  <c r="H11" i="6258"/>
  <c r="H21" i="6258"/>
  <c r="H26" i="6258"/>
  <c r="C18" i="6258"/>
  <c r="H15" i="6258"/>
  <c r="H20" i="6258"/>
  <c r="H18" i="6258"/>
  <c r="H7" i="6258"/>
  <c r="H24" i="6258"/>
  <c r="H25" i="6258"/>
  <c r="H14" i="6258"/>
  <c r="C19" i="6258"/>
  <c r="H5" i="6258"/>
  <c r="H3" i="6258"/>
  <c r="H13" i="6258"/>
  <c r="H2" i="6258"/>
  <c r="H27" i="6258"/>
  <c r="H28" i="6258"/>
  <c r="H16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9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2" i="6256"/>
  <c r="H26" i="6256"/>
  <c r="H6" i="6256"/>
  <c r="H25" i="6256"/>
  <c r="H14" i="6256"/>
  <c r="C19" i="6256"/>
  <c r="H4" i="6256"/>
  <c r="H3" i="6256"/>
  <c r="H11" i="6256"/>
  <c r="H2" i="6256"/>
  <c r="H29" i="6256"/>
  <c r="H30" i="6256"/>
  <c r="H18" i="6256"/>
  <c r="H32" i="6256"/>
  <c r="H33" i="6256"/>
  <c r="H34" i="6256"/>
  <c r="H36" i="6256"/>
  <c r="C37" i="6256"/>
  <c r="C39" i="6256"/>
  <c r="C41" i="6256"/>
  <c r="C43" i="6256"/>
  <c r="C45" i="6256"/>
  <c r="C47" i="6256"/>
  <c r="H51" i="6256"/>
  <c r="H27" i="6256"/>
  <c r="H15" i="6256"/>
  <c r="C21" i="6256"/>
  <c r="C23" i="6256"/>
  <c r="C25" i="6256"/>
  <c r="B27" i="6256"/>
  <c r="H35" i="6256"/>
  <c r="H37" i="6256"/>
  <c r="H39" i="6256"/>
  <c r="H41" i="6256"/>
  <c r="H43" i="6256"/>
  <c r="H45" i="6256"/>
  <c r="H47" i="6256"/>
  <c r="H49" i="6256"/>
  <c r="H24" i="6256"/>
  <c r="H17" i="6256"/>
  <c r="H13" i="6256"/>
  <c r="H22" i="6256"/>
  <c r="H31" i="6256"/>
  <c r="H8" i="6256"/>
  <c r="H16" i="6256"/>
  <c r="H23" i="6256"/>
  <c r="C36" i="6256"/>
  <c r="C38" i="6256"/>
  <c r="C40" i="6256"/>
  <c r="C42" i="6256"/>
  <c r="C44" i="6256"/>
  <c r="C46" i="6256"/>
  <c r="C48" i="6256"/>
  <c r="H5" i="6256"/>
  <c r="H21" i="6256"/>
  <c r="H28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2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7" i="6254"/>
  <c r="H8" i="6254"/>
  <c r="H18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9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9" i="6252"/>
  <c r="H30" i="6252"/>
  <c r="H14" i="6252"/>
  <c r="B27" i="6252"/>
  <c r="C19" i="6252"/>
  <c r="C23" i="6252"/>
  <c r="H38" i="6252"/>
  <c r="H42" i="6252"/>
  <c r="H46" i="6252"/>
  <c r="H49" i="6252"/>
  <c r="H7" i="6252"/>
  <c r="H22" i="6252"/>
  <c r="C24" i="6252"/>
  <c r="H20" i="6252"/>
  <c r="H39" i="6252"/>
  <c r="H43" i="6252"/>
  <c r="H28" i="6252"/>
  <c r="H50" i="6252"/>
  <c r="H4" i="6252"/>
  <c r="H2" i="6252"/>
  <c r="H11" i="6252"/>
  <c r="H3" i="6252"/>
  <c r="H23" i="6252"/>
  <c r="H24" i="6252"/>
  <c r="H31" i="6252"/>
  <c r="C21" i="6252"/>
  <c r="C25" i="6252"/>
  <c r="H36" i="6252"/>
  <c r="H40" i="6252"/>
  <c r="H44" i="6252"/>
  <c r="H47" i="6252"/>
  <c r="H16" i="6252"/>
  <c r="B28" i="6252"/>
  <c r="H32" i="6252"/>
  <c r="H25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8" i="6252"/>
  <c r="H15" i="6252"/>
  <c r="H33" i="6252"/>
  <c r="H26" i="6252"/>
  <c r="H9" i="6252"/>
  <c r="H19" i="6252"/>
  <c r="H27" i="6252"/>
  <c r="C36" i="6252"/>
  <c r="C38" i="6252"/>
  <c r="C40" i="6252"/>
  <c r="C42" i="6252"/>
  <c r="C44" i="6252"/>
  <c r="C46" i="6252"/>
  <c r="C48" i="6252"/>
  <c r="H11" i="6246"/>
  <c r="H21" i="6246"/>
  <c r="H47" i="6246"/>
  <c r="H9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2" i="6246"/>
  <c r="C21" i="6246"/>
  <c r="H19" i="6246"/>
  <c r="C22" i="6248"/>
  <c r="B26" i="6248"/>
  <c r="H40" i="6248"/>
  <c r="H44" i="6248"/>
  <c r="H48" i="6248"/>
  <c r="H52" i="6248"/>
  <c r="H9" i="6248"/>
  <c r="H6" i="6248"/>
  <c r="H14" i="6248"/>
  <c r="H22" i="6248"/>
  <c r="H25" i="6248"/>
  <c r="H16" i="6248"/>
  <c r="B27" i="6248"/>
  <c r="C19" i="6248"/>
  <c r="C23" i="6248"/>
  <c r="H23" i="6248"/>
  <c r="H41" i="6248"/>
  <c r="H45" i="6248"/>
  <c r="H49" i="6248"/>
  <c r="H7" i="6248"/>
  <c r="H24" i="6248"/>
  <c r="C24" i="6248"/>
  <c r="H21" i="6248"/>
  <c r="H38" i="6248"/>
  <c r="H42" i="6248"/>
  <c r="H46" i="6248"/>
  <c r="H50" i="6248"/>
  <c r="H3" i="6248"/>
  <c r="H2" i="6248"/>
  <c r="H11" i="6248"/>
  <c r="H4" i="6248"/>
  <c r="H20" i="6248"/>
  <c r="H26" i="6248"/>
  <c r="H27" i="6248"/>
  <c r="C21" i="6248"/>
  <c r="C25" i="6248"/>
  <c r="H35" i="6248"/>
  <c r="H39" i="6248"/>
  <c r="H43" i="6248"/>
  <c r="H47" i="6248"/>
  <c r="H19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7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3" i="6246"/>
  <c r="H25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29" i="6246"/>
  <c r="H12" i="6246"/>
  <c r="H30" i="6246"/>
  <c r="H37" i="6246"/>
  <c r="H27" i="6246"/>
  <c r="H39" i="6246"/>
  <c r="C37" i="6246"/>
  <c r="C39" i="6246"/>
  <c r="C41" i="6246"/>
  <c r="C43" i="6246"/>
  <c r="C45" i="6246"/>
  <c r="C47" i="6246"/>
  <c r="H51" i="6246"/>
  <c r="H16" i="6246"/>
  <c r="H14" i="6246"/>
  <c r="H24" i="6246"/>
  <c r="H26" i="6246"/>
  <c r="H8" i="6246"/>
  <c r="H18" i="6246"/>
  <c r="H28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H9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B13" i="6023" l="1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<sst xmlns="http://schemas.openxmlformats.org/spreadsheetml/2006/main" count="3212" uniqueCount="245">
  <si>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</si>
  <si>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</si>
  <si>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</si>
  <si>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</si>
  <si>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</si>
  <si>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</si>
  <si>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</si>
  <si>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</si>
  <si>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</si>
  <si>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</si>
  <si>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</si>
  <si>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</si>
  <si>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</si>
  <si>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</si>
  <si>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</si>
  <si>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</si>
  <si>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</si>
  <si>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</si>
  <si>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</si>
  <si>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</si>
  <si>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</si>
  <si>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</si>
  <si>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</si>
  <si>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</si>
  <si>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</si>
  <si>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</si>
  <si>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</si>
  <si>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</si>
  <si>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</si>
  <si>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</si>
  <si>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</si>
  <si>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</si>
  <si>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</si>
  <si>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</si>
  <si>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</si>
  <si>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</si>
  <si>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</si>
  <si>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</si>
  <si>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</si>
  <si>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</si>
  <si>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</si>
  <si>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</si>
  <si>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</si>
  <si>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</si>
  <si>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</si>
  <si>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</si>
  <si>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</si>
  <si>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</si>
  <si>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</si>
  <si>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</si>
  <si>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</si>
  <si>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</si>
  <si>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</si>
  <si>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</si>
  <si>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</si>
  <si>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</si>
  <si>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</si>
  <si>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</si>
  <si>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</si>
  <si>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</si>
  <si>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</si>
  <si>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</si>
  <si>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</si>
  <si>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</si>
  <si>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</si>
  <si>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</si>
  <si>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</si>
  <si>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</si>
  <si>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</si>
  <si>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</si>
  <si>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</si>
  <si>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</si>
  <si>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</si>
  <si>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</si>
  <si>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</si>
  <si>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</si>
  <si>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</si>
  <si>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</si>
  <si>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</si>
  <si>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</si>
  <si>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</si>
  <si>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</si>
  <si>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</si>
  <si>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</si>
  <si>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</si>
  <si>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</si>
  <si>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</si>
  <si>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</si>
  <si>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</si>
  <si>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</si>
  <si>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</si>
  <si>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</si>
  <si>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</si>
  <si>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</si>
  <si>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</si>
  <si>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</si>
  <si>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</si>
  <si>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</si>
  <si>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</si>
  <si>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</si>
  <si>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</si>
  <si>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</si>
  <si>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</si>
  <si>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</si>
  <si>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</si>
  <si>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</si>
  <si>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</si>
  <si>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</si>
  <si>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</si>
  <si>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</si>
  <si>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</si>
  <si>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</si>
  <si>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</si>
  <si>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</si>
  <si>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</si>
  <si>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</si>
  <si>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</si>
  <si>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</si>
  <si>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</si>
  <si>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</si>
  <si>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</si>
  <si>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</si>
  <si>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</si>
  <si>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</si>
  <si>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</si>
  <si>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</si>
  <si>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</si>
  <si>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</si>
  <si>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</si>
  <si>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</si>
  <si>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</si>
  <si>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</si>
  <si>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</si>
  <si>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</si>
  <si>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</si>
  <si>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</si>
  <si>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</si>
  <si>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</si>
  <si>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</si>
  <si>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</si>
  <si>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</si>
  <si>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</si>
  <si>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</si>
  <si>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</si>
  <si>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</si>
  <si>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</si>
  <si>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</si>
  <si>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</si>
  <si>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</si>
  <si>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</si>
  <si>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</si>
  <si>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</si>
  <si>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</si>
  <si>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</si>
  <si>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</si>
  <si>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</si>
  <si>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</si>
  <si>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</si>
  <si>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</si>
  <si>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</si>
  <si>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</si>
  <si>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</si>
  <si>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</si>
  <si>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</si>
  <si>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</si>
  <si>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</si>
  <si>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</si>
  <si>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</si>
  <si>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</si>
  <si>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</si>
  <si>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</si>
  <si>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</si>
  <si>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</si>
  <si>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</si>
  <si>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</si>
  <si>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</si>
  <si>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</si>
  <si>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</si>
  <si>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</si>
  <si>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</si>
  <si>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</si>
  <si>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</si>
  <si>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</si>
  <si>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</si>
  <si>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</si>
  <si>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</si>
  <si>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</si>
  <si>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</si>
  <si>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</si>
  <si>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</si>
  <si>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</si>
  <si>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</si>
  <si>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</si>
  <si>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</si>
  <si>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</si>
  <si>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</si>
  <si>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</si>
  <si>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</si>
  <si>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</si>
  <si>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</si>
  <si>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</si>
  <si>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</si>
  <si>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</si>
  <si>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</si>
  <si>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</si>
  <si>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</si>
  <si>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</si>
  <si>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</si>
  <si>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</si>
  <si>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</si>
  <si>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</si>
  <si>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</si>
  <si>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</si>
  <si>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</si>
  <si>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</si>
  <si>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</si>
  <si>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</si>
  <si>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</si>
  <si>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</si>
  <si>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</si>
  <si>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</si>
  <si>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</si>
  <si>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</si>
  <si>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</si>
  <si>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</si>
  <si>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</si>
  <si>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</si>
  <si>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</si>
  <si>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</si>
  <si>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</si>
  <si>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</si>
  <si>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</si>
  <si>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</si>
  <si>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</si>
  <si>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</si>
  <si>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</si>
  <si>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</si>
  <si>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</si>
  <si>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</si>
  <si>
    <t>2020-07-18@0.xlsm</t>
  </si>
  <si>
    <t>てんちゃん</t>
  </si>
  <si>
    <t>2020-07-21@0.xlsm</t>
  </si>
  <si>
    <t>2020-07-23@0.xlsm</t>
  </si>
  <si>
    <t>いちかわ</t>
  </si>
  <si>
    <t>2020-07-27@0.xlsm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</si>
</sst>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全体!$K$2:$K$377</c:f>
              <c:numCache>
                <c:formatCode>General</c:formatCode>
                <c:ptCount val="3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</c:numCache>
            </c:numRef>
          </c:xVal>
          <c:yVal>
            <c:numRef>
              <c:f>全体!$L$2:$L$377</c:f>
              <c:numCache>
                <c:formatCode>\+0.0;\-0.0;\±0</c:formatCode>
                <c:ptCount val="376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  <c:pt idx="361">
                  <c:v>-25.70000000000001</c:v>
                </c:pt>
                <c:pt idx="362">
                  <c:v>-18.70000000000001</c:v>
                </c:pt>
                <c:pt idx="363">
                  <c:v>-1.0658141036401503E-14</c:v>
                </c:pt>
                <c:pt idx="364">
                  <c:v>-42.400000000000006</c:v>
                </c:pt>
                <c:pt idx="365">
                  <c:v>5.2999999999999972</c:v>
                </c:pt>
                <c:pt idx="366">
                  <c:v>-2.6645352591003757E-15</c:v>
                </c:pt>
                <c:pt idx="367">
                  <c:v>1.1999999999999973</c:v>
                </c:pt>
                <c:pt idx="368">
                  <c:v>18.399999999999995</c:v>
                </c:pt>
                <c:pt idx="369">
                  <c:v>-3.5527136788005009E-15</c:v>
                </c:pt>
                <c:pt idx="370">
                  <c:v>-5.0000000000000036</c:v>
                </c:pt>
                <c:pt idx="371">
                  <c:v>-51</c:v>
                </c:pt>
                <c:pt idx="372">
                  <c:v>0</c:v>
                </c:pt>
                <c:pt idx="373">
                  <c:v>56.6</c:v>
                </c:pt>
                <c:pt idx="374">
                  <c:v>20.800000000000004</c:v>
                </c:pt>
                <c:pt idx="375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-13.66120218579235</c:v>
                </c:pt>
                <c:pt idx="1">
                  <c:v>2.7322404371584699</c:v>
                </c:pt>
                <c:pt idx="2">
                  <c:v>-17.241379310344829</c:v>
                </c:pt>
                <c:pt idx="3">
                  <c:v>19.047619047619047</c:v>
                </c:pt>
                <c:pt idx="4">
                  <c:v>-48.109965635738831</c:v>
                </c:pt>
                <c:pt idx="5">
                  <c:v>64.935064935064929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61</c:v>
                </c:pt>
                <c:pt idx="1">
                  <c:v>150</c:v>
                </c:pt>
                <c:pt idx="2">
                  <c:v>150</c:v>
                </c:pt>
                <c:pt idx="3">
                  <c:v>156</c:v>
                </c:pt>
                <c:pt idx="4">
                  <c:v>126</c:v>
                </c:pt>
                <c:pt idx="5">
                  <c:v>90</c:v>
                </c:pt>
                <c:pt idx="6">
                  <c:v>50</c:v>
                </c:pt>
                <c:pt idx="7">
                  <c:v>23</c:v>
                </c:pt>
                <c:pt idx="8">
                  <c:v>15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  <c:pt idx="62">
                  <c:v>-112.60000000000005</c:v>
                </c:pt>
                <c:pt idx="63">
                  <c:v>-64.900000000000048</c:v>
                </c:pt>
                <c:pt idx="64">
                  <c:v>-63.700000000000045</c:v>
                </c:pt>
                <c:pt idx="65">
                  <c:v>-68.700000000000045</c:v>
                </c:pt>
                <c:pt idx="66">
                  <c:v>-12.100000000000044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-1003.1746031746031</c:v>
                </c:pt>
                <c:pt idx="1">
                  <c:v>-2013.8461538461538</c:v>
                </c:pt>
                <c:pt idx="2">
                  <c:v>471.66666666666669</c:v>
                </c:pt>
                <c:pt idx="3">
                  <c:v>-752.72727272727275</c:v>
                </c:pt>
                <c:pt idx="4">
                  <c:v>1194.4444444444443</c:v>
                </c:pt>
                <c:pt idx="5">
                  <c:v>2805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15</c:v>
                </c:pt>
                <c:pt idx="2">
                  <c:v>15</c:v>
                </c:pt>
                <c:pt idx="3">
                  <c:v>36</c:v>
                </c:pt>
                <c:pt idx="4">
                  <c:v>27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  <c:pt idx="93">
                  <c:v>761.70000000000027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1601.0869565217392</c:v>
                </c:pt>
                <c:pt idx="1">
                  <c:v>2768.131868131868</c:v>
                </c:pt>
                <c:pt idx="2">
                  <c:v>1637.9310344827586</c:v>
                </c:pt>
                <c:pt idx="3">
                  <c:v>876.92307692307691</c:v>
                </c:pt>
                <c:pt idx="4">
                  <c:v>-1071.6216216216217</c:v>
                </c:pt>
                <c:pt idx="5">
                  <c:v>2734.4827586206898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41</c:v>
                </c:pt>
                <c:pt idx="3">
                  <c:v>40</c:v>
                </c:pt>
                <c:pt idx="4">
                  <c:v>37</c:v>
                </c:pt>
                <c:pt idx="5">
                  <c:v>21</c:v>
                </c:pt>
                <c:pt idx="6">
                  <c:v>14</c:v>
                </c:pt>
                <c:pt idx="7">
                  <c:v>8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りくと!$L$2:$L$42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-3848.7179487179487</c:v>
                </c:pt>
                <c:pt idx="1">
                  <c:v>1747.3684210526317</c:v>
                </c:pt>
                <c:pt idx="2">
                  <c:v>-1486.1111111111111</c:v>
                </c:pt>
                <c:pt idx="3">
                  <c:v>-1487.0967741935483</c:v>
                </c:pt>
                <c:pt idx="4">
                  <c:v>3596.2962962962961</c:v>
                </c:pt>
                <c:pt idx="5">
                  <c:v>-3700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16</c:v>
                </c:pt>
                <c:pt idx="2">
                  <c:v>17</c:v>
                </c:pt>
                <c:pt idx="3">
                  <c:v>14</c:v>
                </c:pt>
                <c:pt idx="4">
                  <c:v>8</c:v>
                </c:pt>
                <c:pt idx="5">
                  <c:v>13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  <c:pt idx="59">
                  <c:v>-56.299999999999969</c:v>
                </c:pt>
                <c:pt idx="60">
                  <c:v>-98.69999999999996</c:v>
                </c:pt>
                <c:pt idx="61">
                  <c:v>-47.69999999999996</c:v>
                </c:pt>
                <c:pt idx="62">
                  <c:v>-83.499999999999957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-57.377049180327866</c:v>
                </c:pt>
                <c:pt idx="1">
                  <c:v>-318.03278688524591</c:v>
                </c:pt>
                <c:pt idx="2">
                  <c:v>-1090</c:v>
                </c:pt>
                <c:pt idx="3">
                  <c:v>1647.3684210526317</c:v>
                </c:pt>
                <c:pt idx="4">
                  <c:v>-1290.1960784313726</c:v>
                </c:pt>
                <c:pt idx="5">
                  <c:v>-1578.0487804878048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25</c:v>
                </c:pt>
                <c:pt idx="2">
                  <c:v>33</c:v>
                </c:pt>
                <c:pt idx="3">
                  <c:v>22</c:v>
                </c:pt>
                <c:pt idx="4">
                  <c:v>16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たかの!$L$2:$L$41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60.300000000000011</c:v>
                </c:pt>
                <c:pt idx="39">
                  <c:v>39.500000000000014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-1100</c:v>
                </c:pt>
                <c:pt idx="1">
                  <c:v>-1273.6842105263158</c:v>
                </c:pt>
                <c:pt idx="2">
                  <c:v>2820.5882352941176</c:v>
                </c:pt>
                <c:pt idx="3">
                  <c:v>-1887.0967741935483</c:v>
                </c:pt>
                <c:pt idx="4">
                  <c:v>1711.5384615384614</c:v>
                </c:pt>
                <c:pt idx="5">
                  <c:v>-113.04347826086956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18</c:v>
                </c:pt>
                <c:pt idx="3">
                  <c:v>12</c:v>
                </c:pt>
                <c:pt idx="4">
                  <c:v>18</c:v>
                </c:pt>
                <c:pt idx="5">
                  <c:v>8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4-4AF8-A4E4-C91A04A2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-2425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C-4ADE-80B7-DA29A3463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7-4604-8920-2EBD640A3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-18.399999999999999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6-4A65-AF0D-F0BDDC328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-3900</c:v>
                </c:pt>
                <c:pt idx="1">
                  <c:v>0</c:v>
                </c:pt>
                <c:pt idx="2">
                  <c:v>-5000</c:v>
                </c:pt>
                <c:pt idx="3">
                  <c:v>-4500</c:v>
                </c:pt>
                <c:pt idx="4">
                  <c:v>-10000</c:v>
                </c:pt>
                <c:pt idx="5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E-469A-BC09-27E1FC52A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D-411A-807F-99A4DFAB5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-18.399999999999999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いちかわ2!$C$3:$C$4</c:f>
              <c:numCache>
                <c:formatCode>\+0.0;\-0.0;\±0</c:formatCode>
                <c:ptCount val="2"/>
                <c:pt idx="1">
                  <c:v>-18.399999999999999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739031434680022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いちかわ2!$G$3:$G$4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016920473773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いちかわ2!$H$3:$H$4</c:f>
              <c:numCache>
                <c:formatCode>0.0%</c:formatCode>
                <c:ptCount val="2"/>
                <c:pt idx="1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607445008460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いちかわ2!$I$3:$I$4</c:f>
              <c:numCache>
                <c:formatCode>0</c:formatCode>
                <c:ptCount val="2"/>
                <c:pt idx="1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91.4819136522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いちかわ2!$J$3:$J$4</c:f>
              <c:numCache>
                <c:formatCode>0</c:formatCode>
                <c:ptCount val="2"/>
                <c:pt idx="1">
                  <c:v>-5950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1.74107142857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いちかわ2!$L$3:$L$4</c:f>
              <c:numCache>
                <c:formatCode>0.0%</c:formatCode>
                <c:ptCount val="2"/>
                <c:pt idx="1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2301184433164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いちかわ2!$M$3:$M$4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4060913705583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いちかわ2!$N$3:$N$4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262569832402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いちかわ2!$O$3:$O$4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910447761194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いちかわ2!$P$3:$P$4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491248541423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0ABBE2-A001-4E9A-A65D-7617181F8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3B61E54-4716-4162-BC94-8027B6D7F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4C34E0-8748-47A8-99E5-C7B04B5C3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8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7" x14ac:dyDescent="0.45">
      <c r="A33" s="2" t="s">
        <v>237</v>
      </c>
      <c r="B33" s="3">
        <v>44026.760995370372</v>
      </c>
      <c r="C33" s="2" t="s">
        <v>127</v>
      </c>
    </row>
    <row r="34" spans="1:7" x14ac:dyDescent="0.45">
      <c r="A34" s="2" t="s">
        <v>238</v>
      </c>
      <c r="B34" s="3">
        <v>44030.014479166668</v>
      </c>
      <c r="C34" s="2" t="s">
        <v>127</v>
      </c>
      <c r="D34" s="2" t="s">
        <v>191</v>
      </c>
      <c r="E34" s="2" t="s">
        <v>195</v>
      </c>
      <c r="F34" s="2" t="s">
        <v>197</v>
      </c>
    </row>
    <row r="35" spans="1:7" x14ac:dyDescent="0.45">
      <c r="A35" s="2" t="s">
        <v>239</v>
      </c>
      <c r="B35" s="3">
        <v>44030.997048611112</v>
      </c>
      <c r="C35" s="2" t="s">
        <v>127</v>
      </c>
      <c r="D35" s="2" t="s">
        <v>191</v>
      </c>
      <c r="E35" s="2" t="s">
        <v>195</v>
      </c>
      <c r="F35" s="2" t="s">
        <v>197</v>
      </c>
      <c r="G35" s="2" t="s">
        <v>198</v>
      </c>
    </row>
    <row r="36" spans="1:7" x14ac:dyDescent="0.45">
      <c r="A36" s="2" t="s">
        <v>241</v>
      </c>
      <c r="B36" s="3">
        <v>44033.989502314813</v>
      </c>
      <c r="C36" s="2" t="s">
        <v>127</v>
      </c>
      <c r="D36" s="2" t="s">
        <v>191</v>
      </c>
      <c r="E36" s="2" t="s">
        <v>195</v>
      </c>
      <c r="F36" s="2" t="s">
        <v>197</v>
      </c>
    </row>
    <row r="37" spans="1:7" x14ac:dyDescent="0.45">
      <c r="A37" s="2" t="s">
        <v>242</v>
      </c>
      <c r="B37" s="3">
        <v>44035.939189814817</v>
      </c>
      <c r="C37" s="2" t="s">
        <v>127</v>
      </c>
    </row>
    <row r="38" spans="1:7" x14ac:dyDescent="0.45">
      <c r="A38" s="2" t="s">
        <v>244</v>
      </c>
      <c r="B38" s="3">
        <v>44039.958333333336</v>
      </c>
      <c r="C38" s="2" t="s">
        <v>127</v>
      </c>
      <c r="D38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375</v>
      </c>
    </row>
    <row r="2" spans="1:2" x14ac:dyDescent="0.45">
      <c r="A2" t="s">
        <v>164</v>
      </c>
      <c r="B2">
        <v>66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93</v>
      </c>
    </row>
    <row r="5" spans="1:2" x14ac:dyDescent="0.45">
      <c r="A5" t="s">
        <v>194</v>
      </c>
      <c r="B5">
        <v>40</v>
      </c>
    </row>
    <row r="6" spans="1:2" x14ac:dyDescent="0.45">
      <c r="A6" t="s">
        <v>192</v>
      </c>
      <c r="B6">
        <v>62</v>
      </c>
    </row>
    <row r="7" spans="1:2" x14ac:dyDescent="0.45">
      <c r="A7" t="s">
        <v>193</v>
      </c>
      <c r="B7">
        <v>39</v>
      </c>
    </row>
    <row r="8" spans="1:2" x14ac:dyDescent="0.45">
      <c r="A8" t="s">
        <v>196</v>
      </c>
      <c r="B8">
        <v>9</v>
      </c>
    </row>
    <row r="9" spans="1:2" x14ac:dyDescent="0.45">
      <c r="A9" t="s">
        <v>205</v>
      </c>
      <c r="B9">
        <v>42</v>
      </c>
    </row>
    <row r="10" spans="1:2" x14ac:dyDescent="0.45">
      <c r="A10" t="s">
        <v>212</v>
      </c>
      <c r="B10">
        <v>9</v>
      </c>
    </row>
    <row r="11" spans="1:2" x14ac:dyDescent="0.45">
      <c r="A11" t="s">
        <v>240</v>
      </c>
      <c r="B11">
        <v>5</v>
      </c>
    </row>
    <row r="12" spans="1:2" x14ac:dyDescent="0.45">
      <c r="A12" t="s">
        <v>243</v>
      </c>
      <c r="B12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188</v>
      </c>
      <c r="I1" s="152"/>
      <c r="J1" s="149" t="s">
        <v>15</v>
      </c>
      <c r="K1" s="150"/>
      <c r="L1" s="149" t="s">
        <v>14</v>
      </c>
      <c r="M1" s="150"/>
      <c r="N1" s="149" t="s">
        <v>150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181</v>
      </c>
      <c r="AK1" s="150"/>
    </row>
    <row r="2" spans="1:37" x14ac:dyDescent="0.45">
      <c r="A2" s="38" t="s">
        <v>149</v>
      </c>
      <c r="B2" s="147">
        <v>0.85609999956939731</v>
      </c>
      <c r="C2" s="148"/>
      <c r="D2" s="153"/>
      <c r="E2" s="154"/>
      <c r="F2" s="153"/>
      <c r="G2" s="154"/>
      <c r="H2" s="147">
        <v>-0.35785811190543931</v>
      </c>
      <c r="I2" s="148"/>
      <c r="J2" s="147">
        <v>0.92018399595220424</v>
      </c>
      <c r="K2" s="148"/>
      <c r="L2" s="147">
        <v>0.88228703408564102</v>
      </c>
      <c r="M2" s="148"/>
      <c r="N2" s="147">
        <v>0.92612822935056538</v>
      </c>
      <c r="O2" s="148"/>
      <c r="P2" s="147">
        <v>0.25821638013848747</v>
      </c>
      <c r="Q2" s="148"/>
      <c r="R2" s="147">
        <v>0.35926131010535556</v>
      </c>
      <c r="S2" s="148"/>
      <c r="T2" s="147">
        <v>0.54538769033515688</v>
      </c>
      <c r="U2" s="148"/>
      <c r="V2" s="147">
        <v>-0.10867874309174903</v>
      </c>
      <c r="W2" s="148"/>
      <c r="X2" s="147">
        <v>0.53694306979833561</v>
      </c>
      <c r="Y2" s="148"/>
      <c r="Z2" s="147">
        <v>0.1897805042387361</v>
      </c>
      <c r="AA2" s="148"/>
      <c r="AB2" s="147">
        <v>-0.27852573655187413</v>
      </c>
      <c r="AC2" s="148"/>
      <c r="AD2" s="147">
        <v>0.14166899593145602</v>
      </c>
      <c r="AE2" s="148"/>
      <c r="AF2" s="147">
        <v>0.16275143772280776</v>
      </c>
      <c r="AG2" s="148"/>
      <c r="AH2" s="147">
        <v>0.32823491702368057</v>
      </c>
      <c r="AI2" s="148"/>
      <c r="AJ2" s="147">
        <v>3.5669402789932789E-2</v>
      </c>
      <c r="AK2" s="148"/>
    </row>
    <row r="3" spans="1:37" x14ac:dyDescent="0.45">
      <c r="A3" s="40">
        <v>1</v>
      </c>
      <c r="B3" s="43" t="s">
        <v>139</v>
      </c>
      <c r="C3" s="117">
        <v>125</v>
      </c>
      <c r="D3" s="41" t="s">
        <v>126</v>
      </c>
      <c r="E3" s="42">
        <v>761.70000000000027</v>
      </c>
      <c r="F3" s="43" t="s">
        <v>126</v>
      </c>
      <c r="G3" s="62">
        <v>8.1903225806451641</v>
      </c>
      <c r="H3" s="43" t="s">
        <v>196</v>
      </c>
      <c r="I3" s="62">
        <v>9.3444444444444432</v>
      </c>
      <c r="J3" s="43" t="s">
        <v>126</v>
      </c>
      <c r="K3" s="44">
        <v>1.7741935483870968</v>
      </c>
      <c r="L3" s="43" t="s">
        <v>126</v>
      </c>
      <c r="M3" s="45">
        <v>0.45161290322580644</v>
      </c>
      <c r="N3" s="43" t="s">
        <v>196</v>
      </c>
      <c r="O3" s="45">
        <v>0.1111111111111111</v>
      </c>
      <c r="P3" s="43" t="s">
        <v>193</v>
      </c>
      <c r="Q3" s="46">
        <v>0.32659932659932661</v>
      </c>
      <c r="R3" s="43" t="s">
        <v>196</v>
      </c>
      <c r="S3" s="46">
        <v>6.8493150684931503E-2</v>
      </c>
      <c r="T3" s="43" t="s">
        <v>243</v>
      </c>
      <c r="U3" s="47">
        <v>18000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0.34343434343434343</v>
      </c>
      <c r="AD3" s="43" t="s">
        <v>212</v>
      </c>
      <c r="AE3" s="46">
        <v>0.70833333333333337</v>
      </c>
      <c r="AF3" s="43" t="s">
        <v>194</v>
      </c>
      <c r="AG3" s="46">
        <v>0.57446808510638303</v>
      </c>
      <c r="AH3" s="43" t="s">
        <v>243</v>
      </c>
      <c r="AI3" s="46">
        <v>1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93</v>
      </c>
      <c r="D4" s="49" t="s">
        <v>193</v>
      </c>
      <c r="E4" s="50">
        <v>39.500000000000014</v>
      </c>
      <c r="F4" s="51" t="s">
        <v>196</v>
      </c>
      <c r="G4" s="63">
        <v>2.3999999999999986</v>
      </c>
      <c r="H4" s="51" t="s">
        <v>194</v>
      </c>
      <c r="I4" s="63">
        <v>3.3130952380952365</v>
      </c>
      <c r="J4" s="51" t="s">
        <v>196</v>
      </c>
      <c r="K4" s="52">
        <v>1.8888888888888888</v>
      </c>
      <c r="L4" s="51" t="s">
        <v>164</v>
      </c>
      <c r="M4" s="53">
        <v>0.36363636363636365</v>
      </c>
      <c r="N4" s="51" t="s">
        <v>126</v>
      </c>
      <c r="O4" s="53">
        <v>0.22580645161290322</v>
      </c>
      <c r="P4" s="51" t="s">
        <v>205</v>
      </c>
      <c r="Q4" s="54">
        <v>0.31578947368421051</v>
      </c>
      <c r="R4" s="51" t="s">
        <v>192</v>
      </c>
      <c r="S4" s="54">
        <v>0.11706349206349206</v>
      </c>
      <c r="T4" s="51" t="s">
        <v>164</v>
      </c>
      <c r="U4" s="55">
        <v>10395.070422535211</v>
      </c>
      <c r="V4" s="51" t="s">
        <v>243</v>
      </c>
      <c r="W4" s="55">
        <v>-5950</v>
      </c>
      <c r="X4" s="51" t="s">
        <v>212</v>
      </c>
      <c r="Y4" s="53">
        <v>0</v>
      </c>
      <c r="Z4" s="51" t="s">
        <v>164</v>
      </c>
      <c r="AA4" s="54">
        <v>0.30210325047801145</v>
      </c>
      <c r="AB4" s="51" t="s">
        <v>205</v>
      </c>
      <c r="AC4" s="54">
        <v>0.26934984520123839</v>
      </c>
      <c r="AD4" s="51" t="s">
        <v>196</v>
      </c>
      <c r="AE4" s="54">
        <v>0.65</v>
      </c>
      <c r="AF4" s="51" t="s">
        <v>212</v>
      </c>
      <c r="AG4" s="54">
        <v>0.5714285714285714</v>
      </c>
      <c r="AH4" s="51" t="s">
        <v>189</v>
      </c>
      <c r="AI4" s="54">
        <v>0.5625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66</v>
      </c>
      <c r="D5" s="49" t="s">
        <v>196</v>
      </c>
      <c r="E5" s="50">
        <v>21.599999999999987</v>
      </c>
      <c r="F5" s="51" t="s">
        <v>193</v>
      </c>
      <c r="G5" s="63">
        <v>1.0128205128205132</v>
      </c>
      <c r="H5" s="51" t="s">
        <v>212</v>
      </c>
      <c r="I5" s="63">
        <v>2.1361111111111115</v>
      </c>
      <c r="J5" s="51" t="s">
        <v>193</v>
      </c>
      <c r="K5" s="52">
        <v>1.9743589743589745</v>
      </c>
      <c r="L5" s="51" t="s">
        <v>193</v>
      </c>
      <c r="M5" s="53">
        <v>0.33333333333333331</v>
      </c>
      <c r="N5" s="51" t="s">
        <v>193</v>
      </c>
      <c r="O5" s="53">
        <v>0.30769230769230771</v>
      </c>
      <c r="P5" s="51" t="s">
        <v>212</v>
      </c>
      <c r="Q5" s="54">
        <v>0.3108108108108108</v>
      </c>
      <c r="R5" s="51" t="s">
        <v>126</v>
      </c>
      <c r="S5" s="54">
        <v>0.13797814207650272</v>
      </c>
      <c r="T5" s="51" t="s">
        <v>126</v>
      </c>
      <c r="U5" s="55">
        <v>9835.1111111111113</v>
      </c>
      <c r="V5" s="51" t="s">
        <v>194</v>
      </c>
      <c r="W5" s="55">
        <v>-7176</v>
      </c>
      <c r="X5" s="51" t="s">
        <v>243</v>
      </c>
      <c r="Y5" s="53">
        <v>0</v>
      </c>
      <c r="Z5" s="51" t="s">
        <v>189</v>
      </c>
      <c r="AA5" s="54">
        <v>0.28378378378378377</v>
      </c>
      <c r="AB5" s="51" t="s">
        <v>192</v>
      </c>
      <c r="AC5" s="54">
        <v>0.23809523809523808</v>
      </c>
      <c r="AD5" s="51" t="s">
        <v>205</v>
      </c>
      <c r="AE5" s="54">
        <v>0.64912280701754388</v>
      </c>
      <c r="AF5" s="51" t="s">
        <v>189</v>
      </c>
      <c r="AG5" s="54">
        <v>0.5</v>
      </c>
      <c r="AH5" s="51" t="s">
        <v>212</v>
      </c>
      <c r="AI5" s="54">
        <v>0.52173913043478259</v>
      </c>
      <c r="AJ5" s="51" t="s">
        <v>192</v>
      </c>
      <c r="AK5" s="58">
        <v>107400</v>
      </c>
    </row>
    <row r="6" spans="1:37" x14ac:dyDescent="0.45">
      <c r="A6" s="48">
        <v>4</v>
      </c>
      <c r="B6" s="51" t="s">
        <v>192</v>
      </c>
      <c r="C6" s="118">
        <v>62</v>
      </c>
      <c r="D6" s="49" t="s">
        <v>139</v>
      </c>
      <c r="E6" s="50">
        <v>3.5527136788005009E-15</v>
      </c>
      <c r="F6" s="51" t="s">
        <v>139</v>
      </c>
      <c r="G6" s="63">
        <v>9.4739031434680022E-18</v>
      </c>
      <c r="H6" s="51" t="s">
        <v>192</v>
      </c>
      <c r="I6" s="63">
        <v>0.30611365369946714</v>
      </c>
      <c r="J6" s="51" t="s">
        <v>164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0.30737704918032788</v>
      </c>
      <c r="R6" s="51" t="s">
        <v>240</v>
      </c>
      <c r="S6" s="54">
        <v>0.14634146341463414</v>
      </c>
      <c r="T6" s="51" t="s">
        <v>189</v>
      </c>
      <c r="U6" s="55">
        <v>9062.5</v>
      </c>
      <c r="V6" s="51" t="s">
        <v>189</v>
      </c>
      <c r="W6" s="55">
        <v>-7317.6470588235297</v>
      </c>
      <c r="X6" s="51" t="s">
        <v>126</v>
      </c>
      <c r="Y6" s="53">
        <v>6.4516129032258063E-2</v>
      </c>
      <c r="Z6" s="51" t="s">
        <v>196</v>
      </c>
      <c r="AA6" s="54">
        <v>0.27397260273972601</v>
      </c>
      <c r="AB6" s="51" t="s">
        <v>139</v>
      </c>
      <c r="AC6" s="54">
        <v>0.20406091370558377</v>
      </c>
      <c r="AD6" s="51" t="s">
        <v>193</v>
      </c>
      <c r="AE6" s="54">
        <v>0.625</v>
      </c>
      <c r="AF6" s="51" t="s">
        <v>126</v>
      </c>
      <c r="AG6" s="54">
        <v>0.48275862068965519</v>
      </c>
      <c r="AH6" s="51" t="s">
        <v>194</v>
      </c>
      <c r="AI6" s="54">
        <v>0.51724137931034486</v>
      </c>
      <c r="AJ6" s="51" t="s">
        <v>193</v>
      </c>
      <c r="AK6" s="58">
        <v>106500</v>
      </c>
    </row>
    <row r="7" spans="1:37" x14ac:dyDescent="0.45">
      <c r="A7" s="48">
        <v>5</v>
      </c>
      <c r="B7" s="51" t="s">
        <v>205</v>
      </c>
      <c r="C7" s="118">
        <v>42</v>
      </c>
      <c r="D7" s="49" t="s">
        <v>164</v>
      </c>
      <c r="E7" s="50">
        <v>-12.100000000000044</v>
      </c>
      <c r="F7" s="51" t="s">
        <v>164</v>
      </c>
      <c r="G7" s="63">
        <v>-0.18333333333333401</v>
      </c>
      <c r="H7" s="51" t="s">
        <v>193</v>
      </c>
      <c r="I7" s="63">
        <v>3.9224664224666604E-2</v>
      </c>
      <c r="J7" s="51" t="s">
        <v>139</v>
      </c>
      <c r="K7" s="52">
        <v>2</v>
      </c>
      <c r="L7" s="51" t="s">
        <v>192</v>
      </c>
      <c r="M7" s="53">
        <v>0.32258064516129031</v>
      </c>
      <c r="N7" s="51" t="s">
        <v>212</v>
      </c>
      <c r="O7" s="53">
        <v>0.33333333333333331</v>
      </c>
      <c r="P7" s="51" t="s">
        <v>139</v>
      </c>
      <c r="Q7" s="54">
        <v>0.29001692047377325</v>
      </c>
      <c r="R7" s="51" t="s">
        <v>193</v>
      </c>
      <c r="S7" s="54">
        <v>0.14814814814814814</v>
      </c>
      <c r="T7" s="51" t="s">
        <v>139</v>
      </c>
      <c r="U7" s="55">
        <v>8891.4819136522747</v>
      </c>
      <c r="V7" s="51" t="s">
        <v>164</v>
      </c>
      <c r="W7" s="55">
        <v>-7772.3404255319147</v>
      </c>
      <c r="X7" s="51" t="s">
        <v>192</v>
      </c>
      <c r="Y7" s="53">
        <v>8.0645161290322578E-2</v>
      </c>
      <c r="Z7" s="51" t="s">
        <v>240</v>
      </c>
      <c r="AA7" s="54">
        <v>0.26829268292682928</v>
      </c>
      <c r="AB7" s="51" t="s">
        <v>164</v>
      </c>
      <c r="AC7" s="54">
        <v>0.19502868068833651</v>
      </c>
      <c r="AD7" s="51" t="s">
        <v>126</v>
      </c>
      <c r="AE7" s="54">
        <v>0.59340659340659341</v>
      </c>
      <c r="AF7" s="51" t="s">
        <v>193</v>
      </c>
      <c r="AG7" s="54">
        <v>0.43137254901960786</v>
      </c>
      <c r="AH7" s="51" t="s">
        <v>126</v>
      </c>
      <c r="AI7" s="54">
        <v>0.50666666666666671</v>
      </c>
      <c r="AJ7" s="51" t="s">
        <v>194</v>
      </c>
      <c r="AK7" s="58">
        <v>104100</v>
      </c>
    </row>
    <row r="8" spans="1:37" x14ac:dyDescent="0.45">
      <c r="A8" s="48">
        <v>6</v>
      </c>
      <c r="B8" s="51" t="s">
        <v>194</v>
      </c>
      <c r="C8" s="118">
        <v>40</v>
      </c>
      <c r="D8" s="49" t="s">
        <v>243</v>
      </c>
      <c r="E8" s="50">
        <v>-18.399999999999999</v>
      </c>
      <c r="F8" s="51" t="s">
        <v>192</v>
      </c>
      <c r="G8" s="63">
        <v>-1.3467741935483863</v>
      </c>
      <c r="H8" s="51" t="s">
        <v>139</v>
      </c>
      <c r="I8" s="63">
        <v>0</v>
      </c>
      <c r="J8" s="51" t="s">
        <v>192</v>
      </c>
      <c r="K8" s="52">
        <v>2.0483870967741935</v>
      </c>
      <c r="L8" s="51" t="s">
        <v>205</v>
      </c>
      <c r="M8" s="53">
        <v>0.2857142857142857</v>
      </c>
      <c r="N8" s="51" t="s">
        <v>164</v>
      </c>
      <c r="O8" s="53">
        <v>0.36363636363636365</v>
      </c>
      <c r="P8" s="51" t="s">
        <v>194</v>
      </c>
      <c r="Q8" s="54">
        <v>0.28431372549019607</v>
      </c>
      <c r="R8" s="51" t="s">
        <v>139</v>
      </c>
      <c r="S8" s="54">
        <v>0.15160744500846024</v>
      </c>
      <c r="T8" s="51" t="s">
        <v>192</v>
      </c>
      <c r="U8" s="55">
        <v>8257.246376811594</v>
      </c>
      <c r="V8" s="51" t="s">
        <v>139</v>
      </c>
      <c r="W8" s="55">
        <v>-8091.7410714285716</v>
      </c>
      <c r="X8" s="51" t="s">
        <v>189</v>
      </c>
      <c r="Y8" s="53">
        <v>0.1111111111111111</v>
      </c>
      <c r="Z8" s="51" t="s">
        <v>243</v>
      </c>
      <c r="AA8" s="54">
        <v>0.25</v>
      </c>
      <c r="AB8" s="51" t="s">
        <v>126</v>
      </c>
      <c r="AC8" s="54">
        <v>0.15846994535519127</v>
      </c>
      <c r="AD8" s="51" t="s">
        <v>139</v>
      </c>
      <c r="AE8" s="54">
        <v>0.55726256983240219</v>
      </c>
      <c r="AF8" s="51" t="s">
        <v>139</v>
      </c>
      <c r="AG8" s="54">
        <v>0.41791044776119401</v>
      </c>
      <c r="AH8" s="51" t="s">
        <v>139</v>
      </c>
      <c r="AI8" s="54">
        <v>0.4749124854142357</v>
      </c>
      <c r="AJ8" s="51" t="s">
        <v>126</v>
      </c>
      <c r="AK8" s="58">
        <v>102700</v>
      </c>
    </row>
    <row r="9" spans="1:37" x14ac:dyDescent="0.45">
      <c r="A9" s="48">
        <v>7</v>
      </c>
      <c r="B9" s="51" t="s">
        <v>193</v>
      </c>
      <c r="C9" s="118">
        <v>39</v>
      </c>
      <c r="D9" s="49" t="s">
        <v>212</v>
      </c>
      <c r="E9" s="50">
        <v>-41.599999999999994</v>
      </c>
      <c r="F9" s="51" t="s">
        <v>205</v>
      </c>
      <c r="G9" s="63">
        <v>-4.6000000000000005</v>
      </c>
      <c r="H9" s="51" t="s">
        <v>164</v>
      </c>
      <c r="I9" s="63">
        <v>-0.28472222222221433</v>
      </c>
      <c r="J9" s="51" t="s">
        <v>205</v>
      </c>
      <c r="K9" s="52">
        <v>2.0952380952380953</v>
      </c>
      <c r="L9" s="51" t="s">
        <v>189</v>
      </c>
      <c r="M9" s="53">
        <v>0.22222222222222221</v>
      </c>
      <c r="N9" s="51" t="s">
        <v>192</v>
      </c>
      <c r="O9" s="53">
        <v>0.37096774193548387</v>
      </c>
      <c r="P9" s="51" t="s">
        <v>192</v>
      </c>
      <c r="Q9" s="54">
        <v>0.27380952380952384</v>
      </c>
      <c r="R9" s="51" t="s">
        <v>194</v>
      </c>
      <c r="S9" s="54">
        <v>0.16339869281045752</v>
      </c>
      <c r="T9" s="51" t="s">
        <v>205</v>
      </c>
      <c r="U9" s="55">
        <v>8118.6274509803925</v>
      </c>
      <c r="V9" s="51" t="s">
        <v>193</v>
      </c>
      <c r="W9" s="55">
        <v>-8179.545454545455</v>
      </c>
      <c r="X9" s="51" t="s">
        <v>139</v>
      </c>
      <c r="Y9" s="53">
        <v>0.112</v>
      </c>
      <c r="Z9" s="51" t="s">
        <v>126</v>
      </c>
      <c r="AA9" s="54">
        <v>0.24863387978142076</v>
      </c>
      <c r="AB9" s="51" t="s">
        <v>194</v>
      </c>
      <c r="AC9" s="54">
        <v>0.15359477124183007</v>
      </c>
      <c r="AD9" s="51" t="s">
        <v>194</v>
      </c>
      <c r="AE9" s="54">
        <v>0.54054054054054057</v>
      </c>
      <c r="AF9" s="51" t="s">
        <v>192</v>
      </c>
      <c r="AG9" s="54">
        <v>0.40833333333333333</v>
      </c>
      <c r="AH9" s="51" t="s">
        <v>196</v>
      </c>
      <c r="AI9" s="54">
        <v>0.47368421052631576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192</v>
      </c>
      <c r="E10" s="50">
        <v>-83.499999999999957</v>
      </c>
      <c r="F10" s="51" t="s">
        <v>212</v>
      </c>
      <c r="G10" s="63">
        <v>-4.6222222222222218</v>
      </c>
      <c r="H10" s="51" t="s">
        <v>126</v>
      </c>
      <c r="I10" s="63">
        <v>-0.38587301587302153</v>
      </c>
      <c r="J10" s="51" t="s">
        <v>212</v>
      </c>
      <c r="K10" s="52">
        <v>2.1111111111111112</v>
      </c>
      <c r="L10" s="51" t="s">
        <v>196</v>
      </c>
      <c r="M10" s="53">
        <v>0.22222222222222221</v>
      </c>
      <c r="N10" s="51" t="s">
        <v>205</v>
      </c>
      <c r="O10" s="53">
        <v>0.38095238095238093</v>
      </c>
      <c r="P10" s="51" t="s">
        <v>164</v>
      </c>
      <c r="Q10" s="54">
        <v>0.27151051625239003</v>
      </c>
      <c r="R10" s="51" t="s">
        <v>205</v>
      </c>
      <c r="S10" s="54">
        <v>0.17337461300309598</v>
      </c>
      <c r="T10" s="51" t="s">
        <v>194</v>
      </c>
      <c r="U10" s="55">
        <v>7955.1724137931033</v>
      </c>
      <c r="V10" s="51" t="s">
        <v>126</v>
      </c>
      <c r="W10" s="55">
        <v>-8287.1287128712866</v>
      </c>
      <c r="X10" s="51" t="s">
        <v>205</v>
      </c>
      <c r="Y10" s="53">
        <v>0.11904761904761904</v>
      </c>
      <c r="Z10" s="51" t="s">
        <v>139</v>
      </c>
      <c r="AA10" s="54">
        <v>0.24230118443316412</v>
      </c>
      <c r="AB10" s="51" t="s">
        <v>196</v>
      </c>
      <c r="AC10" s="54">
        <v>0.15068493150684931</v>
      </c>
      <c r="AD10" s="51" t="s">
        <v>192</v>
      </c>
      <c r="AE10" s="54">
        <v>0.52941176470588236</v>
      </c>
      <c r="AF10" s="51" t="s">
        <v>196</v>
      </c>
      <c r="AG10" s="54">
        <v>0.36363636363636365</v>
      </c>
      <c r="AH10" s="51" t="s">
        <v>193</v>
      </c>
      <c r="AI10" s="54">
        <v>0.46391752577319589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196</v>
      </c>
      <c r="C11" s="118">
        <v>9</v>
      </c>
      <c r="D11" s="49" t="s">
        <v>189</v>
      </c>
      <c r="E11" s="50">
        <v>-105.5</v>
      </c>
      <c r="F11" s="51" t="s">
        <v>194</v>
      </c>
      <c r="G11" s="63">
        <v>-6.3699999999999957</v>
      </c>
      <c r="H11" s="51" t="s">
        <v>205</v>
      </c>
      <c r="I11" s="63">
        <v>-1.1235119047619051</v>
      </c>
      <c r="J11" s="51" t="s">
        <v>189</v>
      </c>
      <c r="K11" s="52">
        <v>2.2222222222222223</v>
      </c>
      <c r="L11" s="51" t="s">
        <v>212</v>
      </c>
      <c r="M11" s="53">
        <v>0.22222222222222221</v>
      </c>
      <c r="N11" s="51" t="s">
        <v>240</v>
      </c>
      <c r="O11" s="53">
        <v>0.4</v>
      </c>
      <c r="P11" s="51" t="s">
        <v>196</v>
      </c>
      <c r="Q11" s="54">
        <v>0.26027397260273971</v>
      </c>
      <c r="R11" s="51" t="s">
        <v>164</v>
      </c>
      <c r="S11" s="54">
        <v>0.17973231357552583</v>
      </c>
      <c r="T11" s="51" t="s">
        <v>196</v>
      </c>
      <c r="U11" s="55">
        <v>7736.8421052631575</v>
      </c>
      <c r="V11" s="51" t="s">
        <v>192</v>
      </c>
      <c r="W11" s="55">
        <v>-8298.3050847457635</v>
      </c>
      <c r="X11" s="51" t="s">
        <v>194</v>
      </c>
      <c r="Y11" s="53">
        <v>0.15</v>
      </c>
      <c r="Z11" s="51" t="s">
        <v>194</v>
      </c>
      <c r="AA11" s="54">
        <v>0.24183006535947713</v>
      </c>
      <c r="AB11" s="51" t="s">
        <v>240</v>
      </c>
      <c r="AC11" s="54">
        <v>0.12195121951219512</v>
      </c>
      <c r="AD11" s="51" t="s">
        <v>243</v>
      </c>
      <c r="AE11" s="54">
        <v>0.5</v>
      </c>
      <c r="AF11" s="51" t="s">
        <v>164</v>
      </c>
      <c r="AG11" s="54">
        <v>0.35294117647058826</v>
      </c>
      <c r="AH11" s="51" t="s">
        <v>205</v>
      </c>
      <c r="AI11" s="54">
        <v>0.46078431372549017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240</v>
      </c>
      <c r="E12" s="50">
        <v>-113.70000000000002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2.25</v>
      </c>
      <c r="L12" s="51" t="s">
        <v>194</v>
      </c>
      <c r="M12" s="53">
        <v>0.2</v>
      </c>
      <c r="N12" s="51" t="s">
        <v>189</v>
      </c>
      <c r="O12" s="53">
        <v>0.44444444444444442</v>
      </c>
      <c r="P12" s="51" t="s">
        <v>189</v>
      </c>
      <c r="Q12" s="54">
        <v>0.21621621621621623</v>
      </c>
      <c r="R12" s="51" t="s">
        <v>212</v>
      </c>
      <c r="S12" s="54">
        <v>0.1891891891891892</v>
      </c>
      <c r="T12" s="51" t="s">
        <v>193</v>
      </c>
      <c r="U12" s="55">
        <v>7609.2783505154639</v>
      </c>
      <c r="V12" s="51" t="s">
        <v>212</v>
      </c>
      <c r="W12" s="55">
        <v>-8671.4285714285706</v>
      </c>
      <c r="X12" s="51" t="s">
        <v>164</v>
      </c>
      <c r="Y12" s="53">
        <v>0.16666666666666666</v>
      </c>
      <c r="Z12" s="51" t="s">
        <v>192</v>
      </c>
      <c r="AA12" s="54">
        <v>0.2361111111111111</v>
      </c>
      <c r="AB12" s="51" t="s">
        <v>212</v>
      </c>
      <c r="AC12" s="54">
        <v>9.45945945945946E-2</v>
      </c>
      <c r="AD12" s="51" t="s">
        <v>189</v>
      </c>
      <c r="AE12" s="54">
        <v>0.47619047619047616</v>
      </c>
      <c r="AF12" s="51" t="s">
        <v>205</v>
      </c>
      <c r="AG12" s="54">
        <v>0.32183908045977011</v>
      </c>
      <c r="AH12" s="51" t="s">
        <v>164</v>
      </c>
      <c r="AI12" s="54">
        <v>0.44366197183098594</v>
      </c>
      <c r="AJ12" s="51" t="s">
        <v>189</v>
      </c>
      <c r="AK12" s="58">
        <v>66700</v>
      </c>
    </row>
    <row r="13" spans="1:37" x14ac:dyDescent="0.45">
      <c r="A13" s="48">
        <v>11</v>
      </c>
      <c r="B13" s="51" t="s">
        <v>240</v>
      </c>
      <c r="C13" s="118">
        <v>5</v>
      </c>
      <c r="D13" s="49" t="s">
        <v>205</v>
      </c>
      <c r="E13" s="50">
        <v>-193.20000000000002</v>
      </c>
      <c r="F13" s="51" t="s">
        <v>243</v>
      </c>
      <c r="G13" s="63">
        <v>-18.399999999999999</v>
      </c>
      <c r="H13" s="51" t="s">
        <v>243</v>
      </c>
      <c r="I13" s="63">
        <v>-6.1333333333333329</v>
      </c>
      <c r="J13" s="51" t="s">
        <v>240</v>
      </c>
      <c r="K13" s="52">
        <v>2.4</v>
      </c>
      <c r="L13" s="51" t="s">
        <v>240</v>
      </c>
      <c r="M13" s="53">
        <v>0</v>
      </c>
      <c r="N13" s="51" t="s">
        <v>194</v>
      </c>
      <c r="O13" s="53">
        <v>0.45</v>
      </c>
      <c r="P13" s="51" t="s">
        <v>240</v>
      </c>
      <c r="Q13" s="54">
        <v>0.17073170731707318</v>
      </c>
      <c r="R13" s="51" t="s">
        <v>189</v>
      </c>
      <c r="S13" s="54">
        <v>0.22972972972972974</v>
      </c>
      <c r="T13" s="51" t="s">
        <v>212</v>
      </c>
      <c r="U13" s="55">
        <v>7530.434782608696</v>
      </c>
      <c r="V13" s="51" t="s">
        <v>240</v>
      </c>
      <c r="W13" s="55">
        <v>-8866.6666666666661</v>
      </c>
      <c r="X13" s="51" t="s">
        <v>193</v>
      </c>
      <c r="Y13" s="53">
        <v>0.17948717948717949</v>
      </c>
      <c r="Z13" s="51" t="s">
        <v>205</v>
      </c>
      <c r="AA13" s="54">
        <v>0.17647058823529413</v>
      </c>
      <c r="AB13" s="51" t="s">
        <v>189</v>
      </c>
      <c r="AC13" s="54">
        <v>8.1081081081081086E-2</v>
      </c>
      <c r="AD13" s="51" t="s">
        <v>164</v>
      </c>
      <c r="AE13" s="54">
        <v>0.47468354430379744</v>
      </c>
      <c r="AF13" s="51" t="s">
        <v>240</v>
      </c>
      <c r="AG13" s="54">
        <v>0.2</v>
      </c>
      <c r="AH13" s="51" t="s">
        <v>240</v>
      </c>
      <c r="AI13" s="54">
        <v>0.42857142857142855</v>
      </c>
      <c r="AJ13" s="51" t="s">
        <v>240</v>
      </c>
      <c r="AK13" s="58">
        <v>45200</v>
      </c>
    </row>
    <row r="14" spans="1:37" x14ac:dyDescent="0.45">
      <c r="A14" s="48">
        <v>12</v>
      </c>
      <c r="B14" s="51" t="s">
        <v>243</v>
      </c>
      <c r="C14" s="118">
        <v>1</v>
      </c>
      <c r="D14" s="49" t="s">
        <v>194</v>
      </c>
      <c r="E14" s="50">
        <v>-254.79999999999984</v>
      </c>
      <c r="F14" s="51" t="s">
        <v>240</v>
      </c>
      <c r="G14" s="63">
        <v>-22.740000000000002</v>
      </c>
      <c r="H14" s="51" t="s">
        <v>240</v>
      </c>
      <c r="I14" s="63">
        <v>-17.566666666666666</v>
      </c>
      <c r="J14" s="51" t="s">
        <v>243</v>
      </c>
      <c r="K14" s="52">
        <v>3</v>
      </c>
      <c r="L14" s="51" t="s">
        <v>243</v>
      </c>
      <c r="M14" s="53">
        <v>0</v>
      </c>
      <c r="N14" s="51" t="s">
        <v>243</v>
      </c>
      <c r="O14" s="53">
        <v>1</v>
      </c>
      <c r="P14" s="51" t="s">
        <v>243</v>
      </c>
      <c r="Q14" s="54">
        <v>0.125</v>
      </c>
      <c r="R14" s="51" t="s">
        <v>243</v>
      </c>
      <c r="S14" s="54">
        <v>0.25</v>
      </c>
      <c r="T14" s="51" t="s">
        <v>240</v>
      </c>
      <c r="U14" s="55">
        <v>7142.8571428571431</v>
      </c>
      <c r="V14" s="51" t="s">
        <v>205</v>
      </c>
      <c r="W14" s="55">
        <v>-9228.5714285714294</v>
      </c>
      <c r="X14" s="51" t="s">
        <v>240</v>
      </c>
      <c r="Y14" s="53">
        <v>0.2</v>
      </c>
      <c r="Z14" s="51" t="s">
        <v>193</v>
      </c>
      <c r="AA14" s="54">
        <v>0.16161616161616163</v>
      </c>
      <c r="AB14" s="51" t="s">
        <v>243</v>
      </c>
      <c r="AC14" s="54">
        <v>0</v>
      </c>
      <c r="AD14" s="51" t="s">
        <v>240</v>
      </c>
      <c r="AE14" s="54">
        <v>0.45454545454545453</v>
      </c>
      <c r="AF14" s="51" t="s">
        <v>243</v>
      </c>
      <c r="AG14" s="54">
        <v>0</v>
      </c>
      <c r="AH14" s="51" t="s">
        <v>192</v>
      </c>
      <c r="AI14" s="54">
        <v>0.42753623188405798</v>
      </c>
      <c r="AJ14" s="51" t="s">
        <v>243</v>
      </c>
      <c r="AK14" s="58">
        <v>26600</v>
      </c>
    </row>
  </sheetData>
  <sortState xmlns:xlrd2="http://schemas.microsoft.com/office/spreadsheetml/2017/richdata2" ref="AJ3:AK44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7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375</v>
      </c>
      <c r="C2" s="140"/>
      <c r="E2" s="28" t="s">
        <v>66</v>
      </c>
      <c r="F2" s="25" t="s">
        <v>22</v>
      </c>
      <c r="G2" s="13">
        <v>622</v>
      </c>
      <c r="H2" s="91">
        <f>IF(B$19=0,0,G2/B$19)</f>
        <v>0.72578763127187862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-13.66120218579235</v>
      </c>
      <c r="P2" s="80">
        <v>366</v>
      </c>
      <c r="Q2" s="67">
        <v>-5000</v>
      </c>
    </row>
    <row r="3" spans="1:17" x14ac:dyDescent="0.45">
      <c r="A3" s="21" t="s">
        <v>8</v>
      </c>
      <c r="B3" s="141">
        <v>2955</v>
      </c>
      <c r="C3" s="142"/>
      <c r="E3" s="29" t="s">
        <v>72</v>
      </c>
      <c r="F3" s="26" t="s">
        <v>27</v>
      </c>
      <c r="G3" s="14">
        <v>477</v>
      </c>
      <c r="H3" s="92">
        <f>IF(B$19=0,0,G3/B$19)</f>
        <v>0.55659276546091019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2.7322404371584699</v>
      </c>
      <c r="P3" s="81">
        <v>366</v>
      </c>
      <c r="Q3" s="68">
        <v>1000</v>
      </c>
    </row>
    <row r="4" spans="1:17" x14ac:dyDescent="0.45">
      <c r="A4" s="21" t="s">
        <v>6</v>
      </c>
      <c r="B4" s="143">
        <v>3.5527136788005009E-15</v>
      </c>
      <c r="C4" s="144"/>
      <c r="E4" s="29" t="s">
        <v>64</v>
      </c>
      <c r="F4" s="26" t="s">
        <v>20</v>
      </c>
      <c r="G4" s="14">
        <v>386</v>
      </c>
      <c r="H4" s="92">
        <f>IF(B$19=0,0,G4/B$19)</f>
        <v>0.45040840140023336</v>
      </c>
      <c r="I4" s="60">
        <v>8</v>
      </c>
      <c r="K4" s="7">
        <v>2</v>
      </c>
      <c r="L4" s="65">
        <v>-39.199999999999996</v>
      </c>
      <c r="N4" s="78" t="s">
        <v>130</v>
      </c>
      <c r="O4" s="84">
        <f t="shared" si="0"/>
        <v>-17.241379310344829</v>
      </c>
      <c r="P4" s="81">
        <v>348</v>
      </c>
      <c r="Q4" s="68">
        <v>-6000</v>
      </c>
    </row>
    <row r="5" spans="1:17" x14ac:dyDescent="0.45">
      <c r="A5" s="21" t="s">
        <v>7</v>
      </c>
      <c r="B5" s="131">
        <f>IF(B$2=0,0,B$4/B$2)</f>
        <v>9.4739031434680022E-18</v>
      </c>
      <c r="C5" s="132"/>
      <c r="E5" s="29" t="s">
        <v>160</v>
      </c>
      <c r="F5" s="26" t="s">
        <v>161</v>
      </c>
      <c r="G5" s="14">
        <v>369</v>
      </c>
      <c r="H5" s="92">
        <f>IF(B$19=0,0,G5/B$19)</f>
        <v>0.4305717619603267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19.047619047619047</v>
      </c>
      <c r="P5" s="81">
        <v>315</v>
      </c>
      <c r="Q5" s="68">
        <v>6000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274</v>
      </c>
      <c r="H6" s="92">
        <f>IF(B$19=0,0,G6/B$19)</f>
        <v>0.31971995332555425</v>
      </c>
      <c r="I6" s="60">
        <v>7</v>
      </c>
      <c r="K6" s="7">
        <v>4</v>
      </c>
      <c r="L6" s="65">
        <v>-55.499999999999993</v>
      </c>
      <c r="N6" s="78" t="s">
        <v>132</v>
      </c>
      <c r="O6" s="84">
        <f t="shared" si="0"/>
        <v>-48.109965635738831</v>
      </c>
      <c r="P6" s="81">
        <v>291</v>
      </c>
      <c r="Q6" s="68">
        <v>-14000</v>
      </c>
    </row>
    <row r="7" spans="1:17" x14ac:dyDescent="0.45">
      <c r="A7" s="21" t="s">
        <v>2</v>
      </c>
      <c r="B7" s="14">
        <v>125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226</v>
      </c>
      <c r="H7" s="92">
        <f>IF(B$19=0,0,G7/B$19)</f>
        <v>0.26371061843640609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64.935064935064929</v>
      </c>
      <c r="P7" s="82">
        <v>231</v>
      </c>
      <c r="Q7" s="69">
        <v>15000</v>
      </c>
    </row>
    <row r="8" spans="1:17" x14ac:dyDescent="0.45">
      <c r="A8" s="21" t="s">
        <v>3</v>
      </c>
      <c r="B8" s="14">
        <v>125</v>
      </c>
      <c r="C8" s="8">
        <f t="shared" si="1"/>
        <v>0.33333333333333331</v>
      </c>
      <c r="E8" s="29" t="s">
        <v>89</v>
      </c>
      <c r="F8" s="26" t="s">
        <v>44</v>
      </c>
      <c r="G8" s="14">
        <v>123</v>
      </c>
      <c r="H8" s="92">
        <f>IF(B$19=0,0,G8/B$19)</f>
        <v>0.14352392065344224</v>
      </c>
      <c r="I8" s="60">
        <v>6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125</v>
      </c>
      <c r="C9" s="9">
        <f t="shared" si="1"/>
        <v>0.33333333333333331</v>
      </c>
      <c r="E9" s="29" t="s">
        <v>69</v>
      </c>
      <c r="F9" s="26" t="s">
        <v>24</v>
      </c>
      <c r="G9" s="14">
        <v>119</v>
      </c>
      <c r="H9" s="92">
        <f>IF(B$19=0,0,G9/B$19)</f>
        <v>0.13885647607934656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39.011200000000002</v>
      </c>
      <c r="C10" s="114">
        <v>4876.4000000000005</v>
      </c>
      <c r="E10" s="29" t="s">
        <v>65</v>
      </c>
      <c r="F10" s="26" t="s">
        <v>21</v>
      </c>
      <c r="G10" s="14">
        <v>84</v>
      </c>
      <c r="H10" s="92">
        <f>IF(B$19=0,0,G10/B$19)</f>
        <v>9.8016336056009332E-2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-5.7607999999999961</v>
      </c>
      <c r="P10" s="80">
        <v>125</v>
      </c>
      <c r="Q10" s="71">
        <v>-720.09999999999957</v>
      </c>
    </row>
    <row r="11" spans="1:17" x14ac:dyDescent="0.45">
      <c r="A11" s="22" t="s">
        <v>186</v>
      </c>
      <c r="B11" s="113">
        <f>IF(B8=0,0,C11/B8)</f>
        <v>-2.6088000000000005</v>
      </c>
      <c r="C11" s="114">
        <v>-326.10000000000008</v>
      </c>
      <c r="E11" s="29" t="s">
        <v>70</v>
      </c>
      <c r="F11" s="26" t="s">
        <v>25</v>
      </c>
      <c r="G11" s="14">
        <v>72</v>
      </c>
      <c r="H11" s="92">
        <f>IF(B$19=0,0,G11/B$19)</f>
        <v>8.401400233372229E-2</v>
      </c>
      <c r="I11" s="60">
        <v>6</v>
      </c>
      <c r="K11" s="7">
        <v>9</v>
      </c>
      <c r="L11" s="65">
        <v>0</v>
      </c>
      <c r="N11" s="78" t="s">
        <v>153</v>
      </c>
      <c r="O11" s="87">
        <f>IF(P11=0,0,Q11/P11)</f>
        <v>1.9999999999999996</v>
      </c>
      <c r="P11" s="81">
        <v>125</v>
      </c>
      <c r="Q11" s="72">
        <v>249.99999999999994</v>
      </c>
    </row>
    <row r="12" spans="1:17" x14ac:dyDescent="0.45">
      <c r="A12" s="22" t="s">
        <v>187</v>
      </c>
      <c r="B12" s="113">
        <f>IF(B9=0,0,C12/B9)</f>
        <v>-36.402399999999993</v>
      </c>
      <c r="C12" s="114">
        <v>-4550.2999999999993</v>
      </c>
      <c r="E12" s="29" t="s">
        <v>86</v>
      </c>
      <c r="F12" s="26" t="s">
        <v>41</v>
      </c>
      <c r="G12" s="14">
        <v>51</v>
      </c>
      <c r="H12" s="92">
        <f>IF(B$19=0,0,G12/B$19)</f>
        <v>5.9509918319719954E-2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3.760799999999997</v>
      </c>
      <c r="P12" s="82">
        <v>125</v>
      </c>
      <c r="Q12" s="73">
        <v>470.09999999999962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71</v>
      </c>
      <c r="F13" s="26" t="s">
        <v>26</v>
      </c>
      <c r="G13" s="14">
        <v>48</v>
      </c>
      <c r="H13" s="92">
        <f>IF(B$19=0,0,G13/B$19)</f>
        <v>5.6009334889148193E-2</v>
      </c>
      <c r="I13" s="60">
        <v>6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42</v>
      </c>
      <c r="C14" s="11">
        <f t="shared" si="1"/>
        <v>0.112</v>
      </c>
      <c r="E14" s="29" t="s">
        <v>83</v>
      </c>
      <c r="F14" s="26" t="s">
        <v>38</v>
      </c>
      <c r="G14" s="14">
        <v>41</v>
      </c>
      <c r="H14" s="92">
        <f>IF(B$19=0,0,G14/B$19)</f>
        <v>4.7841306884480746E-2</v>
      </c>
      <c r="I14" s="60">
        <v>6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716</v>
      </c>
      <c r="C15" s="12">
        <f>IF(B$3=0,0,B15/B$3)</f>
        <v>0.24230118443316412</v>
      </c>
      <c r="E15" s="29" t="s">
        <v>78</v>
      </c>
      <c r="F15" s="26" t="s">
        <v>33</v>
      </c>
      <c r="G15" s="14">
        <v>36</v>
      </c>
      <c r="H15" s="92">
        <f>IF(B$19=0,0,G15/B$19)</f>
        <v>4.2007001166861145E-2</v>
      </c>
      <c r="I15" s="60">
        <v>5</v>
      </c>
      <c r="K15" s="7">
        <v>13</v>
      </c>
      <c r="L15" s="65">
        <v>14.300000000000002</v>
      </c>
      <c r="N15" s="77" t="s">
        <v>240</v>
      </c>
      <c r="O15" s="86">
        <f>IF(P15=0,0,Q15/P15)</f>
        <v>34.11</v>
      </c>
      <c r="P15" s="80">
        <v>10</v>
      </c>
      <c r="Q15" s="71">
        <v>341.1</v>
      </c>
    </row>
    <row r="16" spans="1:17" x14ac:dyDescent="0.45">
      <c r="A16" s="21" t="s">
        <v>118</v>
      </c>
      <c r="B16" s="14">
        <v>603</v>
      </c>
      <c r="C16" s="8">
        <f>IF(B$3=0,0,B16/B$3)</f>
        <v>0.20406091370558377</v>
      </c>
      <c r="E16" s="29" t="s">
        <v>81</v>
      </c>
      <c r="F16" s="26" t="s">
        <v>36</v>
      </c>
      <c r="G16" s="14">
        <v>27</v>
      </c>
      <c r="H16" s="92">
        <f>IF(B$19=0,0,G16/B$19)</f>
        <v>3.1505250875145857E-2</v>
      </c>
      <c r="I16" s="60">
        <v>4</v>
      </c>
      <c r="K16" s="7">
        <v>14</v>
      </c>
      <c r="L16" s="65">
        <v>12.800000000000002</v>
      </c>
      <c r="N16" s="78" t="s">
        <v>243</v>
      </c>
      <c r="O16" s="87">
        <f>IF(P16=0,0,Q16/P16)</f>
        <v>27.599999999999998</v>
      </c>
      <c r="P16" s="81">
        <v>2</v>
      </c>
      <c r="Q16" s="72">
        <v>55.199999999999996</v>
      </c>
    </row>
    <row r="17" spans="1:17" x14ac:dyDescent="0.45">
      <c r="A17" s="20" t="s">
        <v>123</v>
      </c>
      <c r="B17" s="13">
        <f>B23</f>
        <v>399</v>
      </c>
      <c r="C17" s="6">
        <f>IF(B$15=0,0,B17/B$15)</f>
        <v>0.55726256983240219</v>
      </c>
      <c r="E17" s="29" t="s">
        <v>79</v>
      </c>
      <c r="F17" s="26" t="s">
        <v>34</v>
      </c>
      <c r="G17" s="14">
        <v>21</v>
      </c>
      <c r="H17" s="92">
        <f>IF(B$19=0,0,G17/B$19)</f>
        <v>2.4504084014002333E-2</v>
      </c>
      <c r="I17" s="60">
        <v>6</v>
      </c>
      <c r="K17" s="7">
        <v>15</v>
      </c>
      <c r="L17" s="65">
        <v>1.7763568394002505E-15</v>
      </c>
      <c r="N17" s="78" t="s">
        <v>189</v>
      </c>
      <c r="O17" s="87">
        <f>IF(P17=0,0,Q17/P17)</f>
        <v>17.583333333333336</v>
      </c>
      <c r="P17" s="81">
        <v>18</v>
      </c>
      <c r="Q17" s="72">
        <v>316.50000000000006</v>
      </c>
    </row>
    <row r="18" spans="1:17" x14ac:dyDescent="0.45">
      <c r="A18" s="20" t="s">
        <v>124</v>
      </c>
      <c r="B18" s="13">
        <f>B24</f>
        <v>252</v>
      </c>
      <c r="C18" s="6">
        <f>IF(B$16=0,0,B18/B$16)</f>
        <v>0.41791044776119401</v>
      </c>
      <c r="E18" s="29" t="s">
        <v>91</v>
      </c>
      <c r="F18" s="26" t="s">
        <v>46</v>
      </c>
      <c r="G18" s="14">
        <v>18</v>
      </c>
      <c r="H18" s="92">
        <f>IF(B$19=0,0,G18/B$19)</f>
        <v>2.1003500583430573E-2</v>
      </c>
      <c r="I18" s="60">
        <v>3</v>
      </c>
      <c r="K18" s="7">
        <v>16</v>
      </c>
      <c r="L18" s="65">
        <v>3.4000000000000017</v>
      </c>
      <c r="N18" s="78" t="s">
        <v>194</v>
      </c>
      <c r="O18" s="87">
        <f>IF(P18=0,0,Q18/P18)</f>
        <v>9.5550000000000033</v>
      </c>
      <c r="P18" s="81">
        <v>80</v>
      </c>
      <c r="Q18" s="72">
        <v>764.40000000000032</v>
      </c>
    </row>
    <row r="19" spans="1:17" x14ac:dyDescent="0.45">
      <c r="A19" s="20" t="s">
        <v>10</v>
      </c>
      <c r="B19" s="13">
        <f>B22+B21</f>
        <v>857</v>
      </c>
      <c r="C19" s="6">
        <f>IF(B$3=0,0,B19/B$3)</f>
        <v>0.29001692047377325</v>
      </c>
      <c r="E19" s="29" t="s">
        <v>156</v>
      </c>
      <c r="F19" s="26" t="s">
        <v>157</v>
      </c>
      <c r="G19" s="14">
        <v>14</v>
      </c>
      <c r="H19" s="92">
        <f>IF(B$19=0,0,G19/B$19)</f>
        <v>1.6336056009334889E-2</v>
      </c>
      <c r="I19" s="60">
        <v>3</v>
      </c>
      <c r="K19" s="7">
        <v>17</v>
      </c>
      <c r="L19" s="65">
        <v>-35.800000000000004</v>
      </c>
      <c r="N19" s="78" t="s">
        <v>212</v>
      </c>
      <c r="O19" s="87">
        <f>IF(P19=0,0,Q19/P19)</f>
        <v>6.9333333333333345</v>
      </c>
      <c r="P19" s="81">
        <v>18</v>
      </c>
      <c r="Q19" s="72">
        <v>124.80000000000003</v>
      </c>
    </row>
    <row r="20" spans="1:17" x14ac:dyDescent="0.45">
      <c r="A20" s="21" t="s">
        <v>13</v>
      </c>
      <c r="B20" s="14">
        <v>448</v>
      </c>
      <c r="C20" s="8">
        <f>IF(B$3=0,0,B20/B$3)</f>
        <v>0.15160744500846024</v>
      </c>
      <c r="E20" s="29" t="s">
        <v>92</v>
      </c>
      <c r="F20" s="26" t="s">
        <v>47</v>
      </c>
      <c r="G20" s="14">
        <v>10</v>
      </c>
      <c r="H20" s="92">
        <f>IF(B$19=0,0,G20/B$19)</f>
        <v>1.1668611435239206E-2</v>
      </c>
      <c r="I20" s="60">
        <v>4</v>
      </c>
      <c r="K20" s="7">
        <v>18</v>
      </c>
      <c r="L20" s="65">
        <v>-7.1054273576010019E-15</v>
      </c>
      <c r="N20" s="78" t="s">
        <v>205</v>
      </c>
      <c r="O20" s="87">
        <f>IF(P20=0,0,Q20/P20)</f>
        <v>6.9</v>
      </c>
      <c r="P20" s="81">
        <v>84</v>
      </c>
      <c r="Q20" s="72">
        <v>579.6</v>
      </c>
    </row>
    <row r="21" spans="1:17" x14ac:dyDescent="0.45">
      <c r="A21" s="21" t="s">
        <v>12</v>
      </c>
      <c r="B21" s="14">
        <v>407</v>
      </c>
      <c r="C21" s="8">
        <f>IF(B$19=0,0,B21/B$19)</f>
        <v>0.4749124854142357</v>
      </c>
      <c r="E21" s="29" t="s">
        <v>75</v>
      </c>
      <c r="F21" s="26" t="s">
        <v>30</v>
      </c>
      <c r="G21" s="14">
        <v>6</v>
      </c>
      <c r="H21" s="92">
        <f>IF(B$19=0,0,G21/B$19)</f>
        <v>7.0011668611435242E-3</v>
      </c>
      <c r="I21" s="60">
        <v>5</v>
      </c>
      <c r="K21" s="7">
        <v>19</v>
      </c>
      <c r="L21" s="65">
        <v>-27.100000000000009</v>
      </c>
      <c r="N21" s="78" t="s">
        <v>192</v>
      </c>
      <c r="O21" s="87">
        <f>IF(P21=0,0,Q21/P21)</f>
        <v>2.0201612903225832</v>
      </c>
      <c r="P21" s="81">
        <v>124</v>
      </c>
      <c r="Q21" s="72">
        <v>250.50000000000034</v>
      </c>
    </row>
    <row r="22" spans="1:17" x14ac:dyDescent="0.45">
      <c r="A22" s="21" t="s">
        <v>11</v>
      </c>
      <c r="B22" s="14">
        <v>450</v>
      </c>
      <c r="C22" s="8">
        <f>IF(B$19=0,0,B22/B$19)</f>
        <v>0.5250875145857643</v>
      </c>
      <c r="E22" s="29" t="s">
        <v>77</v>
      </c>
      <c r="F22" s="26" t="s">
        <v>32</v>
      </c>
      <c r="G22" s="14">
        <v>6</v>
      </c>
      <c r="H22" s="92">
        <f>IF(B$19=0,0,G22/B$19)</f>
        <v>7.0011668611435242E-3</v>
      </c>
      <c r="I22" s="60">
        <v>5</v>
      </c>
      <c r="K22" s="7">
        <v>20</v>
      </c>
      <c r="L22" s="65">
        <v>-28.600000000000009</v>
      </c>
      <c r="N22" s="78" t="s">
        <v>164</v>
      </c>
      <c r="O22" s="87">
        <f>IF(P22=0,0,Q22/P22)</f>
        <v>0.27499999999999758</v>
      </c>
      <c r="P22" s="81">
        <v>132</v>
      </c>
      <c r="Q22" s="72">
        <v>36.299999999999677</v>
      </c>
    </row>
    <row r="23" spans="1:17" x14ac:dyDescent="0.45">
      <c r="A23" s="21" t="s">
        <v>184</v>
      </c>
      <c r="B23" s="14">
        <v>399</v>
      </c>
      <c r="C23" s="8">
        <f>IF(B$19=0,0,B23/B$19)</f>
        <v>0.46557759626604434</v>
      </c>
      <c r="E23" s="29" t="s">
        <v>73</v>
      </c>
      <c r="F23" s="26" t="s">
        <v>28</v>
      </c>
      <c r="G23" s="14">
        <v>3</v>
      </c>
      <c r="H23" s="92">
        <f>IF(B$19=0,0,G23/B$19)</f>
        <v>3.5005834305717621E-3</v>
      </c>
      <c r="I23" s="60">
        <v>4</v>
      </c>
      <c r="K23" s="7">
        <v>21</v>
      </c>
      <c r="L23" s="65">
        <v>-7.1054273576010019E-15</v>
      </c>
      <c r="N23" s="78" t="s">
        <v>193</v>
      </c>
      <c r="O23" s="87">
        <f>IF(P23=0,0,Q23/P23)</f>
        <v>-1.5192307692307683</v>
      </c>
      <c r="P23" s="81">
        <v>78</v>
      </c>
      <c r="Q23" s="72">
        <v>-118.49999999999993</v>
      </c>
    </row>
    <row r="24" spans="1:17" x14ac:dyDescent="0.45">
      <c r="A24" s="21" t="s">
        <v>182</v>
      </c>
      <c r="B24" s="14">
        <v>252</v>
      </c>
      <c r="C24" s="8">
        <f>IF(B$19=0,0,B24/B$19)</f>
        <v>0.29404900816802798</v>
      </c>
      <c r="E24" s="29" t="s">
        <v>85</v>
      </c>
      <c r="F24" s="26" t="s">
        <v>40</v>
      </c>
      <c r="G24" s="14">
        <v>3</v>
      </c>
      <c r="H24" s="92">
        <f>IF(B$19=0,0,G24/B$19)</f>
        <v>3.5005834305717621E-3</v>
      </c>
      <c r="I24" s="60">
        <v>3</v>
      </c>
      <c r="K24" s="7">
        <v>22</v>
      </c>
      <c r="L24" s="65">
        <v>-7.5000000000000071</v>
      </c>
      <c r="N24" s="78" t="s">
        <v>196</v>
      </c>
      <c r="O24" s="87">
        <f>IF(P24=0,0,Q24/P24)</f>
        <v>-3.6000000000000023</v>
      </c>
      <c r="P24" s="81">
        <v>18</v>
      </c>
      <c r="Q24" s="72">
        <v>-64.80000000000004</v>
      </c>
    </row>
    <row r="25" spans="1:17" x14ac:dyDescent="0.45">
      <c r="A25" s="21" t="s">
        <v>183</v>
      </c>
      <c r="B25" s="14">
        <v>206</v>
      </c>
      <c r="C25" s="8">
        <f>IF(B$19=0,0,B25/B$19)</f>
        <v>0.24037339556592766</v>
      </c>
      <c r="E25" s="29" t="s">
        <v>74</v>
      </c>
      <c r="F25" s="26" t="s">
        <v>29</v>
      </c>
      <c r="G25" s="14">
        <v>2</v>
      </c>
      <c r="H25" s="92">
        <f>IF(B$19=0,0,G25/B$19)</f>
        <v>2.3337222870478411E-3</v>
      </c>
      <c r="I25" s="60">
        <v>3</v>
      </c>
      <c r="K25" s="7">
        <v>23</v>
      </c>
      <c r="L25" s="65">
        <v>-41.600000000000009</v>
      </c>
      <c r="N25" s="78" t="s">
        <v>126</v>
      </c>
      <c r="O25" s="87">
        <f>IF(P25=0,0,Q25/P25)</f>
        <v>-12.285483870967729</v>
      </c>
      <c r="P25" s="81">
        <v>186</v>
      </c>
      <c r="Q25" s="72">
        <v>-2285.0999999999976</v>
      </c>
    </row>
    <row r="26" spans="1:17" x14ac:dyDescent="0.45">
      <c r="A26" s="21" t="s">
        <v>5</v>
      </c>
      <c r="B26" s="18">
        <f>IF(B$19=0,0,C26/B$19)</f>
        <v>8891.4819136522747</v>
      </c>
      <c r="C26" s="10">
        <v>7620000</v>
      </c>
      <c r="E26" s="29" t="s">
        <v>87</v>
      </c>
      <c r="F26" s="26" t="s">
        <v>42</v>
      </c>
      <c r="G26" s="14">
        <v>2</v>
      </c>
      <c r="H26" s="92">
        <f>IF(B$19=0,0,G26/B$19)</f>
        <v>2.3337222870478411E-3</v>
      </c>
      <c r="I26" s="60">
        <v>3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9451.4049586776855</v>
      </c>
      <c r="C27" s="100">
        <v>5718100</v>
      </c>
      <c r="E27" s="29" t="s">
        <v>93</v>
      </c>
      <c r="F27" s="26" t="s">
        <v>48</v>
      </c>
      <c r="G27" s="14">
        <v>2</v>
      </c>
      <c r="H27" s="92">
        <f>IF(B$19=0,0,G27/B$19)</f>
        <v>2.3337222870478411E-3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7547.2222222222226</v>
      </c>
      <c r="C28" s="100">
        <v>1901900</v>
      </c>
      <c r="E28" s="29" t="s">
        <v>95</v>
      </c>
      <c r="F28" s="26" t="s">
        <v>50</v>
      </c>
      <c r="G28" s="14">
        <v>2</v>
      </c>
      <c r="H28" s="92">
        <f>IF(B$19=0,0,G28/B$19)</f>
        <v>2.3337222870478411E-3</v>
      </c>
      <c r="I28" s="60">
        <v>3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-8091.7410714285716</v>
      </c>
      <c r="C29" s="100">
        <v>-3625100</v>
      </c>
      <c r="E29" s="29" t="s">
        <v>84</v>
      </c>
      <c r="F29" s="26" t="s">
        <v>39</v>
      </c>
      <c r="G29" s="14">
        <v>1</v>
      </c>
      <c r="H29" s="92">
        <f>IF(B$19=0,0,G29/B$19)</f>
        <v>1.1668611435239206E-3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88</v>
      </c>
      <c r="F30" s="26" t="s">
        <v>43</v>
      </c>
      <c r="G30" s="14">
        <v>1</v>
      </c>
      <c r="H30" s="92">
        <f>IF(B$19=0,0,G30/B$19)</f>
        <v>1.1668611435239206E-3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4</v>
      </c>
      <c r="E31" s="29" t="s">
        <v>97</v>
      </c>
      <c r="F31" s="26" t="s">
        <v>52</v>
      </c>
      <c r="G31" s="14">
        <v>1</v>
      </c>
      <c r="H31" s="92">
        <f>IF(B$19=0,0,G31/B$19)</f>
        <v>1.1668611435239206E-3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33">
        <v>10</v>
      </c>
      <c r="C32" s="134"/>
      <c r="E32" s="29" t="s">
        <v>102</v>
      </c>
      <c r="F32" s="26" t="s">
        <v>57</v>
      </c>
      <c r="G32" s="14">
        <v>1</v>
      </c>
      <c r="H32" s="92">
        <f>IF(B$19=0,0,G32/B$19)</f>
        <v>1.1668611435239206E-3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5">
        <v>116000</v>
      </c>
      <c r="C33" s="136"/>
      <c r="E33" s="29" t="s">
        <v>106</v>
      </c>
      <c r="F33" s="26" t="s">
        <v>113</v>
      </c>
      <c r="G33" s="14">
        <v>1</v>
      </c>
      <c r="H33" s="92">
        <f>IF(B$19=0,0,G33/B$19)</f>
        <v>1.1668611435239206E-3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8</v>
      </c>
      <c r="C34" s="11">
        <f>IF(B$3=0,0,B34/B$3)</f>
        <v>2.7072758037225042E-3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61</v>
      </c>
      <c r="C36" s="102">
        <f t="shared" ref="C36:C48" si="2">IF(B$19=0,0,B36/B$19)</f>
        <v>7.1178529754959155E-2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150</v>
      </c>
      <c r="C37" s="8">
        <f t="shared" si="2"/>
        <v>0.1750291715285881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150</v>
      </c>
      <c r="C38" s="8">
        <f t="shared" si="2"/>
        <v>0.1750291715285881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156</v>
      </c>
      <c r="C39" s="8">
        <f t="shared" si="2"/>
        <v>0.18203033838973162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126</v>
      </c>
      <c r="C40" s="8">
        <f t="shared" si="2"/>
        <v>0.14702450408401399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90</v>
      </c>
      <c r="C41" s="8">
        <f t="shared" si="2"/>
        <v>0.10501750291715285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50</v>
      </c>
      <c r="C42" s="8">
        <f t="shared" si="2"/>
        <v>5.8343057176196034E-2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23</v>
      </c>
      <c r="C43" s="8">
        <f t="shared" si="2"/>
        <v>2.6837806301050177E-2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15</v>
      </c>
      <c r="C44" s="8">
        <f t="shared" si="2"/>
        <v>1.7502917152858809E-2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10</v>
      </c>
      <c r="C45" s="8">
        <f t="shared" si="2"/>
        <v>1.1668611435239206E-2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4.6674445740956822E-3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5</v>
      </c>
      <c r="C47" s="8">
        <f t="shared" si="2"/>
        <v>5.8343057176196032E-3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17</v>
      </c>
      <c r="C48" s="11">
        <f t="shared" si="2"/>
        <v>1.9836639439906652E-2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  <row r="330" spans="11:12" x14ac:dyDescent="0.45">
      <c r="K330" s="7">
        <v>328</v>
      </c>
      <c r="L330" s="65">
        <v>-6.7000000000000144</v>
      </c>
    </row>
    <row r="331" spans="11:12" x14ac:dyDescent="0.45">
      <c r="K331" s="7">
        <v>329</v>
      </c>
      <c r="L331" s="65">
        <v>23.899999999999988</v>
      </c>
    </row>
    <row r="332" spans="11:12" x14ac:dyDescent="0.45">
      <c r="K332" s="7">
        <v>330</v>
      </c>
      <c r="L332" s="65">
        <v>-1.0658141036401503E-14</v>
      </c>
    </row>
    <row r="333" spans="11:12" x14ac:dyDescent="0.45">
      <c r="K333" s="7">
        <v>331</v>
      </c>
      <c r="L333" s="65">
        <v>-20.900000000000009</v>
      </c>
    </row>
    <row r="334" spans="11:12" x14ac:dyDescent="0.45">
      <c r="K334" s="7">
        <v>332</v>
      </c>
      <c r="L334" s="65">
        <v>3.4999999999999893</v>
      </c>
    </row>
    <row r="335" spans="11:12" x14ac:dyDescent="0.45">
      <c r="K335" s="7">
        <v>333</v>
      </c>
      <c r="L335" s="65">
        <v>-1.0658141036401503E-14</v>
      </c>
    </row>
    <row r="336" spans="11:12" x14ac:dyDescent="0.45">
      <c r="K336" s="7">
        <v>334</v>
      </c>
      <c r="L336" s="65">
        <v>-46.800000000000011</v>
      </c>
    </row>
    <row r="337" spans="11:12" x14ac:dyDescent="0.45">
      <c r="K337" s="7">
        <v>335</v>
      </c>
      <c r="L337" s="65">
        <v>-44.900000000000013</v>
      </c>
    </row>
    <row r="338" spans="11:12" x14ac:dyDescent="0.45">
      <c r="K338" s="7">
        <v>336</v>
      </c>
      <c r="L338" s="65">
        <v>-1.4210854715202004E-14</v>
      </c>
    </row>
    <row r="339" spans="11:12" x14ac:dyDescent="0.45">
      <c r="K339" s="7">
        <v>337</v>
      </c>
      <c r="L339" s="65">
        <v>32.399999999999984</v>
      </c>
    </row>
    <row r="340" spans="11:12" x14ac:dyDescent="0.45">
      <c r="K340" s="7">
        <v>338</v>
      </c>
      <c r="L340" s="65">
        <v>32.199999999999982</v>
      </c>
    </row>
    <row r="341" spans="11:12" x14ac:dyDescent="0.45">
      <c r="K341" s="7">
        <v>339</v>
      </c>
      <c r="L341" s="65">
        <v>-2.1316282072803006E-14</v>
      </c>
    </row>
    <row r="342" spans="11:12" x14ac:dyDescent="0.45">
      <c r="K342" s="7">
        <v>340</v>
      </c>
      <c r="L342" s="65">
        <v>36.59999999999998</v>
      </c>
    </row>
    <row r="343" spans="11:12" x14ac:dyDescent="0.45">
      <c r="K343" s="7">
        <v>341</v>
      </c>
      <c r="L343" s="65">
        <v>-10.200000000000017</v>
      </c>
    </row>
    <row r="344" spans="11:12" x14ac:dyDescent="0.45">
      <c r="K344" s="7">
        <v>342</v>
      </c>
      <c r="L344" s="65">
        <v>-1.7763568394002505E-14</v>
      </c>
    </row>
    <row r="345" spans="11:12" x14ac:dyDescent="0.45">
      <c r="K345" s="7">
        <v>343</v>
      </c>
      <c r="L345" s="65">
        <v>-40.100000000000023</v>
      </c>
    </row>
    <row r="346" spans="11:12" x14ac:dyDescent="0.45">
      <c r="K346" s="7">
        <v>344</v>
      </c>
      <c r="L346" s="65">
        <v>-33.000000000000021</v>
      </c>
    </row>
    <row r="347" spans="11:12" x14ac:dyDescent="0.45">
      <c r="K347" s="7">
        <v>345</v>
      </c>
      <c r="L347" s="65">
        <v>-2.1316282072803006E-14</v>
      </c>
    </row>
    <row r="348" spans="11:12" x14ac:dyDescent="0.45">
      <c r="K348" s="7">
        <v>346</v>
      </c>
      <c r="L348" s="65">
        <v>-28.500000000000021</v>
      </c>
    </row>
    <row r="349" spans="11:12" x14ac:dyDescent="0.45">
      <c r="K349" s="7">
        <v>347</v>
      </c>
      <c r="L349" s="65">
        <v>-35.700000000000024</v>
      </c>
    </row>
    <row r="350" spans="11:12" x14ac:dyDescent="0.45">
      <c r="K350" s="7">
        <v>348</v>
      </c>
      <c r="L350" s="65">
        <v>-2.1316282072803006E-14</v>
      </c>
    </row>
    <row r="351" spans="11:12" x14ac:dyDescent="0.45">
      <c r="K351" s="7">
        <v>349</v>
      </c>
      <c r="L351" s="65">
        <v>51.09999999999998</v>
      </c>
    </row>
    <row r="352" spans="11:12" x14ac:dyDescent="0.45">
      <c r="K352" s="7">
        <v>350</v>
      </c>
      <c r="L352" s="65">
        <v>48.699999999999982</v>
      </c>
    </row>
    <row r="353" spans="11:12" x14ac:dyDescent="0.45">
      <c r="K353" s="7">
        <v>351</v>
      </c>
      <c r="L353" s="65">
        <v>-2.1316282072803006E-14</v>
      </c>
    </row>
    <row r="354" spans="11:12" x14ac:dyDescent="0.45">
      <c r="K354" s="7">
        <v>352</v>
      </c>
      <c r="L354" s="65">
        <v>-54.500000000000021</v>
      </c>
    </row>
    <row r="355" spans="11:12" x14ac:dyDescent="0.45">
      <c r="K355" s="7">
        <v>353</v>
      </c>
      <c r="L355" s="65">
        <v>27.899999999999984</v>
      </c>
    </row>
    <row r="356" spans="11:12" x14ac:dyDescent="0.45">
      <c r="K356" s="7">
        <v>354</v>
      </c>
      <c r="L356" s="65">
        <v>-1.4210854715202004E-14</v>
      </c>
    </row>
    <row r="357" spans="11:12" x14ac:dyDescent="0.45">
      <c r="K357" s="7">
        <v>355</v>
      </c>
      <c r="L357" s="65">
        <v>26.599999999999987</v>
      </c>
    </row>
    <row r="358" spans="11:12" x14ac:dyDescent="0.45">
      <c r="K358" s="7">
        <v>356</v>
      </c>
      <c r="L358" s="65">
        <v>5.8999999999999879</v>
      </c>
    </row>
    <row r="359" spans="11:12" x14ac:dyDescent="0.45">
      <c r="K359" s="7">
        <v>357</v>
      </c>
      <c r="L359" s="65">
        <v>-1.2434497875801753E-14</v>
      </c>
    </row>
    <row r="360" spans="11:12" x14ac:dyDescent="0.45">
      <c r="K360" s="7">
        <v>358</v>
      </c>
      <c r="L360" s="65">
        <v>-38.900000000000013</v>
      </c>
    </row>
    <row r="361" spans="11:12" x14ac:dyDescent="0.45">
      <c r="K361" s="7">
        <v>359</v>
      </c>
      <c r="L361" s="65">
        <v>-30.600000000000012</v>
      </c>
    </row>
    <row r="362" spans="11:12" x14ac:dyDescent="0.45">
      <c r="K362" s="7">
        <v>360</v>
      </c>
      <c r="L362" s="65">
        <v>-1.0658141036401503E-14</v>
      </c>
    </row>
    <row r="363" spans="11:12" x14ac:dyDescent="0.45">
      <c r="K363" s="7">
        <v>361</v>
      </c>
      <c r="L363" s="65">
        <v>-25.70000000000001</v>
      </c>
    </row>
    <row r="364" spans="11:12" x14ac:dyDescent="0.45">
      <c r="K364" s="7">
        <v>362</v>
      </c>
      <c r="L364" s="65">
        <v>-18.70000000000001</v>
      </c>
    </row>
    <row r="365" spans="11:12" x14ac:dyDescent="0.45">
      <c r="K365" s="7">
        <v>363</v>
      </c>
      <c r="L365" s="65">
        <v>-1.0658141036401503E-14</v>
      </c>
    </row>
    <row r="366" spans="11:12" x14ac:dyDescent="0.45">
      <c r="K366" s="7">
        <v>364</v>
      </c>
      <c r="L366" s="65">
        <v>-42.400000000000006</v>
      </c>
    </row>
    <row r="367" spans="11:12" x14ac:dyDescent="0.45">
      <c r="K367" s="7">
        <v>365</v>
      </c>
      <c r="L367" s="65">
        <v>5.2999999999999972</v>
      </c>
    </row>
    <row r="368" spans="11:12" x14ac:dyDescent="0.45">
      <c r="K368" s="7">
        <v>366</v>
      </c>
      <c r="L368" s="65">
        <v>-2.6645352591003757E-15</v>
      </c>
    </row>
    <row r="369" spans="11:12" x14ac:dyDescent="0.45">
      <c r="K369" s="7">
        <v>367</v>
      </c>
      <c r="L369" s="65">
        <v>1.1999999999999973</v>
      </c>
    </row>
    <row r="370" spans="11:12" x14ac:dyDescent="0.45">
      <c r="K370" s="7">
        <v>368</v>
      </c>
      <c r="L370" s="65">
        <v>18.399999999999995</v>
      </c>
    </row>
    <row r="371" spans="11:12" x14ac:dyDescent="0.45">
      <c r="K371" s="7">
        <v>369</v>
      </c>
      <c r="L371" s="65">
        <v>-3.5527136788005009E-15</v>
      </c>
    </row>
    <row r="372" spans="11:12" x14ac:dyDescent="0.45">
      <c r="K372" s="7">
        <v>370</v>
      </c>
      <c r="L372" s="65">
        <v>-5.0000000000000036</v>
      </c>
    </row>
    <row r="373" spans="11:12" x14ac:dyDescent="0.45">
      <c r="K373" s="7">
        <v>371</v>
      </c>
      <c r="L373" s="65">
        <v>-51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56.6</v>
      </c>
    </row>
    <row r="376" spans="11:12" x14ac:dyDescent="0.45">
      <c r="K376" s="7">
        <v>374</v>
      </c>
      <c r="L376" s="65">
        <v>20.800000000000004</v>
      </c>
    </row>
    <row r="377" spans="11:12" x14ac:dyDescent="0.45">
      <c r="K377" s="7">
        <v>375</v>
      </c>
      <c r="L377" s="65">
        <v>3.5527136788005009E-15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68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66</v>
      </c>
      <c r="C2" s="140"/>
      <c r="E2" s="28" t="s">
        <v>66</v>
      </c>
      <c r="F2" s="25" t="s">
        <v>22</v>
      </c>
      <c r="G2" s="13">
        <v>130</v>
      </c>
      <c r="H2" s="91">
        <f>IF(B$19=0,0,G2/B$19)</f>
        <v>0.91549295774647887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-1003.1746031746031</v>
      </c>
      <c r="P2" s="80">
        <v>63</v>
      </c>
      <c r="Q2" s="67">
        <v>-63200</v>
      </c>
    </row>
    <row r="3" spans="1:17" x14ac:dyDescent="0.45">
      <c r="A3" s="21" t="s">
        <v>8</v>
      </c>
      <c r="B3" s="141">
        <v>523</v>
      </c>
      <c r="C3" s="142"/>
      <c r="E3" s="29" t="s">
        <v>64</v>
      </c>
      <c r="F3" s="26" t="s">
        <v>20</v>
      </c>
      <c r="G3" s="14">
        <v>74</v>
      </c>
      <c r="H3" s="92">
        <f>IF(B$19=0,0,G3/B$19)</f>
        <v>0.52112676056338025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-2013.8461538461538</v>
      </c>
      <c r="P3" s="81">
        <v>65</v>
      </c>
      <c r="Q3" s="68">
        <v>-130900</v>
      </c>
    </row>
    <row r="4" spans="1:17" x14ac:dyDescent="0.45">
      <c r="A4" s="21" t="s">
        <v>6</v>
      </c>
      <c r="B4" s="143">
        <v>-12.100000000000044</v>
      </c>
      <c r="C4" s="144"/>
      <c r="E4" s="29" t="s">
        <v>72</v>
      </c>
      <c r="F4" s="26" t="s">
        <v>27</v>
      </c>
      <c r="G4" s="14">
        <v>74</v>
      </c>
      <c r="H4" s="92">
        <f>IF(B$19=0,0,G4/B$19)</f>
        <v>0.52112676056338025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471.66666666666669</v>
      </c>
      <c r="P4" s="81">
        <v>60</v>
      </c>
      <c r="Q4" s="68">
        <v>28300</v>
      </c>
    </row>
    <row r="5" spans="1:17" x14ac:dyDescent="0.45">
      <c r="A5" s="21" t="s">
        <v>7</v>
      </c>
      <c r="B5" s="131">
        <f>IF(B$2=0,0,B$4/B$2)</f>
        <v>-0.18333333333333401</v>
      </c>
      <c r="C5" s="132"/>
      <c r="E5" s="29" t="s">
        <v>160</v>
      </c>
      <c r="F5" s="26" t="s">
        <v>161</v>
      </c>
      <c r="G5" s="14">
        <v>66</v>
      </c>
      <c r="H5" s="92">
        <f>IF(B$19=0,0,G5/B$19)</f>
        <v>0.46478873239436619</v>
      </c>
      <c r="I5" s="60">
        <v>5</v>
      </c>
      <c r="K5" s="7">
        <v>3</v>
      </c>
      <c r="L5" s="65">
        <v>61.5</v>
      </c>
      <c r="N5" s="78" t="s">
        <v>131</v>
      </c>
      <c r="O5" s="84">
        <f t="shared" si="0"/>
        <v>-752.72727272727275</v>
      </c>
      <c r="P5" s="81">
        <v>55</v>
      </c>
      <c r="Q5" s="68">
        <v>-41400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44</v>
      </c>
      <c r="H6" s="92">
        <f>IF(B$19=0,0,G6/B$19)</f>
        <v>0.30985915492957744</v>
      </c>
      <c r="I6" s="60">
        <v>8</v>
      </c>
      <c r="K6" s="7">
        <v>4</v>
      </c>
      <c r="L6" s="65">
        <v>27.4</v>
      </c>
      <c r="N6" s="78" t="s">
        <v>132</v>
      </c>
      <c r="O6" s="84">
        <f t="shared" si="0"/>
        <v>1194.4444444444443</v>
      </c>
      <c r="P6" s="81">
        <v>54</v>
      </c>
      <c r="Q6" s="68">
        <v>64500</v>
      </c>
    </row>
    <row r="7" spans="1:17" x14ac:dyDescent="0.45">
      <c r="A7" s="21" t="s">
        <v>2</v>
      </c>
      <c r="B7" s="14">
        <v>24</v>
      </c>
      <c r="C7" s="8">
        <f t="shared" ref="C7:C14" si="1">IF(B$2=0,0,B7/B$2)</f>
        <v>0.36363636363636365</v>
      </c>
      <c r="E7" s="29" t="s">
        <v>67</v>
      </c>
      <c r="F7" s="26" t="s">
        <v>23</v>
      </c>
      <c r="G7" s="14">
        <v>34</v>
      </c>
      <c r="H7" s="92">
        <f>IF(B$19=0,0,G7/B$19)</f>
        <v>0.23943661971830985</v>
      </c>
      <c r="I7" s="60">
        <v>7</v>
      </c>
      <c r="K7" s="7">
        <v>5</v>
      </c>
      <c r="L7" s="65">
        <v>18</v>
      </c>
      <c r="N7" s="79" t="s">
        <v>133</v>
      </c>
      <c r="O7" s="85">
        <f t="shared" si="0"/>
        <v>2805</v>
      </c>
      <c r="P7" s="82">
        <v>40</v>
      </c>
      <c r="Q7" s="69">
        <v>112200</v>
      </c>
    </row>
    <row r="8" spans="1:17" x14ac:dyDescent="0.45">
      <c r="A8" s="21" t="s">
        <v>3</v>
      </c>
      <c r="B8" s="14">
        <v>18</v>
      </c>
      <c r="C8" s="8">
        <f t="shared" si="1"/>
        <v>0.27272727272727271</v>
      </c>
      <c r="E8" s="29" t="s">
        <v>89</v>
      </c>
      <c r="F8" s="26" t="s">
        <v>44</v>
      </c>
      <c r="G8" s="14">
        <v>21</v>
      </c>
      <c r="H8" s="92">
        <f>IF(B$19=0,0,G8/B$19)</f>
        <v>0.14788732394366197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24</v>
      </c>
      <c r="C9" s="9">
        <f t="shared" si="1"/>
        <v>0.36363636363636365</v>
      </c>
      <c r="E9" s="29" t="s">
        <v>65</v>
      </c>
      <c r="F9" s="26" t="s">
        <v>21</v>
      </c>
      <c r="G9" s="14">
        <v>19</v>
      </c>
      <c r="H9" s="92">
        <f>IF(B$19=0,0,G9/B$19)</f>
        <v>0.13380281690140844</v>
      </c>
      <c r="I9" s="60">
        <v>2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39.854166666666679</v>
      </c>
      <c r="C10" s="114">
        <v>956.50000000000023</v>
      </c>
      <c r="E10" s="29" t="s">
        <v>69</v>
      </c>
      <c r="F10" s="26" t="s">
        <v>24</v>
      </c>
      <c r="G10" s="14">
        <v>18</v>
      </c>
      <c r="H10" s="92">
        <f>IF(B$19=0,0,G10/B$19)</f>
        <v>0.12676056338028169</v>
      </c>
      <c r="I10" s="60">
        <v>7</v>
      </c>
      <c r="K10" s="7">
        <v>8</v>
      </c>
      <c r="L10" s="65">
        <v>-9.9999999999999964</v>
      </c>
      <c r="N10" s="77" t="s">
        <v>152</v>
      </c>
      <c r="O10" s="86">
        <f>IF(P10=0,0,Q10/P10)</f>
        <v>-7.1208333333333345</v>
      </c>
      <c r="P10" s="80">
        <v>24</v>
      </c>
      <c r="Q10" s="71">
        <v>-170.90000000000003</v>
      </c>
    </row>
    <row r="11" spans="1:17" x14ac:dyDescent="0.45">
      <c r="A11" s="22" t="s">
        <v>186</v>
      </c>
      <c r="B11" s="113">
        <f>IF(B8=0,0,C11/B8)</f>
        <v>-1.4000000000000001</v>
      </c>
      <c r="C11" s="114">
        <v>-25.200000000000003</v>
      </c>
      <c r="E11" s="29" t="s">
        <v>70</v>
      </c>
      <c r="F11" s="26" t="s">
        <v>25</v>
      </c>
      <c r="G11" s="14">
        <v>17</v>
      </c>
      <c r="H11" s="92">
        <f>IF(B$19=0,0,G11/B$19)</f>
        <v>0.11971830985915492</v>
      </c>
      <c r="I11" s="60">
        <v>3</v>
      </c>
      <c r="K11" s="7">
        <v>9</v>
      </c>
      <c r="L11" s="65">
        <v>33.5</v>
      </c>
      <c r="N11" s="78" t="s">
        <v>153</v>
      </c>
      <c r="O11" s="87">
        <f>IF(P11=0,0,Q11/P11)</f>
        <v>11.314285714285715</v>
      </c>
      <c r="P11" s="81">
        <v>21</v>
      </c>
      <c r="Q11" s="72">
        <v>237.60000000000002</v>
      </c>
    </row>
    <row r="12" spans="1:17" x14ac:dyDescent="0.45">
      <c r="A12" s="22" t="s">
        <v>187</v>
      </c>
      <c r="B12" s="113">
        <f>IF(B9=0,0,C12/B9)</f>
        <v>-39.308333333333323</v>
      </c>
      <c r="C12" s="114">
        <v>-943.39999999999975</v>
      </c>
      <c r="E12" s="29" t="s">
        <v>86</v>
      </c>
      <c r="F12" s="26" t="s">
        <v>41</v>
      </c>
      <c r="G12" s="14">
        <v>12</v>
      </c>
      <c r="H12" s="92">
        <f>IF(B$19=0,0,G12/B$19)</f>
        <v>8.4507042253521125E-2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45">
      <c r="A13" s="22" t="s">
        <v>188</v>
      </c>
      <c r="B13" s="131">
        <f>AVERAGE(B10:B12)</f>
        <v>-0.28472222222221433</v>
      </c>
      <c r="C13" s="132"/>
      <c r="E13" s="29" t="s">
        <v>91</v>
      </c>
      <c r="F13" s="26" t="s">
        <v>46</v>
      </c>
      <c r="G13" s="14">
        <v>10</v>
      </c>
      <c r="H13" s="92">
        <f>IF(B$19=0,0,G13/B$19)</f>
        <v>7.0422535211267609E-2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0.16666666666666666</v>
      </c>
      <c r="E14" s="29" t="s">
        <v>71</v>
      </c>
      <c r="F14" s="26" t="s">
        <v>26</v>
      </c>
      <c r="G14" s="14">
        <v>7</v>
      </c>
      <c r="H14" s="92">
        <f>IF(B$19=0,0,G14/B$19)</f>
        <v>4.9295774647887321E-2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158</v>
      </c>
      <c r="C15" s="12">
        <f>IF(B$3=0,0,B15/B$3)</f>
        <v>0.30210325047801145</v>
      </c>
      <c r="E15" s="29" t="s">
        <v>81</v>
      </c>
      <c r="F15" s="26" t="s">
        <v>36</v>
      </c>
      <c r="G15" s="14">
        <v>7</v>
      </c>
      <c r="H15" s="92">
        <f>IF(B$19=0,0,G15/B$19)</f>
        <v>4.9295774647887321E-2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102</v>
      </c>
      <c r="C16" s="8">
        <f>IF(B$3=0,0,B16/B$3)</f>
        <v>0.19502868068833651</v>
      </c>
      <c r="E16" s="29" t="s">
        <v>78</v>
      </c>
      <c r="F16" s="26" t="s">
        <v>33</v>
      </c>
      <c r="G16" s="14">
        <v>5</v>
      </c>
      <c r="H16" s="92">
        <f>IF(B$19=0,0,G16/B$19)</f>
        <v>3.5211267605633804E-2</v>
      </c>
      <c r="I16" s="60">
        <v>8</v>
      </c>
      <c r="K16" s="7">
        <v>14</v>
      </c>
      <c r="L16" s="65">
        <v>15.100000000000001</v>
      </c>
      <c r="N16" s="78" t="s">
        <v>243</v>
      </c>
      <c r="O16" s="87">
        <f>IF(P16=0,0,Q16/P16)</f>
        <v>19.599999999999998</v>
      </c>
      <c r="P16" s="81">
        <v>1</v>
      </c>
      <c r="Q16" s="72">
        <v>19.599999999999998</v>
      </c>
    </row>
    <row r="17" spans="1:17" x14ac:dyDescent="0.45">
      <c r="A17" s="20" t="s">
        <v>123</v>
      </c>
      <c r="B17" s="13">
        <f>B23</f>
        <v>75</v>
      </c>
      <c r="C17" s="6">
        <f>IF(B$15=0,0,B17/B$15)</f>
        <v>0.47468354430379744</v>
      </c>
      <c r="E17" s="29" t="s">
        <v>83</v>
      </c>
      <c r="F17" s="26" t="s">
        <v>38</v>
      </c>
      <c r="G17" s="14">
        <v>5</v>
      </c>
      <c r="H17" s="92">
        <f>IF(B$19=0,0,G17/B$19)</f>
        <v>3.5211267605633804E-2</v>
      </c>
      <c r="I17" s="60">
        <v>7</v>
      </c>
      <c r="K17" s="7">
        <v>15</v>
      </c>
      <c r="L17" s="65">
        <v>-33.1</v>
      </c>
      <c r="N17" s="78" t="s">
        <v>212</v>
      </c>
      <c r="O17" s="87">
        <f>IF(P17=0,0,Q17/P17)</f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36</v>
      </c>
      <c r="C18" s="6">
        <f>IF(B$16=0,0,B18/B$16)</f>
        <v>0.35294117647058826</v>
      </c>
      <c r="E18" s="29" t="s">
        <v>79</v>
      </c>
      <c r="F18" s="26" t="s">
        <v>34</v>
      </c>
      <c r="G18" s="14">
        <v>4</v>
      </c>
      <c r="H18" s="92">
        <f>IF(B$19=0,0,G18/B$19)</f>
        <v>2.8169014084507043E-2</v>
      </c>
      <c r="I18" s="60">
        <v>4</v>
      </c>
      <c r="K18" s="7">
        <v>16</v>
      </c>
      <c r="L18" s="65">
        <v>-10.8</v>
      </c>
      <c r="N18" s="78" t="s">
        <v>205</v>
      </c>
      <c r="O18" s="87">
        <f>IF(P18=0,0,Q18/P18)</f>
        <v>5.4470588235294111</v>
      </c>
      <c r="P18" s="81">
        <v>17</v>
      </c>
      <c r="Q18" s="72">
        <v>92.6</v>
      </c>
    </row>
    <row r="19" spans="1:17" x14ac:dyDescent="0.45">
      <c r="A19" s="20" t="s">
        <v>10</v>
      </c>
      <c r="B19" s="13">
        <f>B22+B21</f>
        <v>142</v>
      </c>
      <c r="C19" s="6">
        <f>IF(B$3=0,0,B19/B$3)</f>
        <v>0.27151051625239003</v>
      </c>
      <c r="E19" s="29" t="s">
        <v>156</v>
      </c>
      <c r="F19" s="26" t="s">
        <v>157</v>
      </c>
      <c r="G19" s="14">
        <v>3</v>
      </c>
      <c r="H19" s="92">
        <f>IF(B$19=0,0,G19/B$19)</f>
        <v>2.1126760563380281E-2</v>
      </c>
      <c r="I19" s="60">
        <v>2</v>
      </c>
      <c r="K19" s="7">
        <v>17</v>
      </c>
      <c r="L19" s="65">
        <v>-32.900000000000006</v>
      </c>
      <c r="N19" s="78" t="s">
        <v>192</v>
      </c>
      <c r="O19" s="87">
        <f>IF(P19=0,0,Q19/P19)</f>
        <v>2.3038461538461537</v>
      </c>
      <c r="P19" s="81">
        <v>26</v>
      </c>
      <c r="Q19" s="72">
        <v>59.899999999999991</v>
      </c>
    </row>
    <row r="20" spans="1:17" x14ac:dyDescent="0.45">
      <c r="A20" s="21" t="s">
        <v>13</v>
      </c>
      <c r="B20" s="14">
        <v>94</v>
      </c>
      <c r="C20" s="8">
        <f>IF(B$3=0,0,B20/B$3)</f>
        <v>0.17973231357552583</v>
      </c>
      <c r="E20" s="29" t="s">
        <v>75</v>
      </c>
      <c r="F20" s="26" t="s">
        <v>30</v>
      </c>
      <c r="G20" s="14">
        <v>2</v>
      </c>
      <c r="H20" s="92">
        <f>IF(B$19=0,0,G20/B$19)</f>
        <v>1.4084507042253521E-2</v>
      </c>
      <c r="I20" s="60">
        <v>1</v>
      </c>
      <c r="K20" s="7">
        <v>18</v>
      </c>
      <c r="L20" s="65">
        <v>-69.300000000000011</v>
      </c>
      <c r="N20" s="78" t="s">
        <v>126</v>
      </c>
      <c r="O20" s="87">
        <f>IF(P20=0,0,Q20/P20)</f>
        <v>-1.3999999999999952</v>
      </c>
      <c r="P20" s="81">
        <v>49</v>
      </c>
      <c r="Q20" s="72">
        <v>-68.599999999999767</v>
      </c>
    </row>
    <row r="21" spans="1:17" x14ac:dyDescent="0.45">
      <c r="A21" s="21" t="s">
        <v>12</v>
      </c>
      <c r="B21" s="14">
        <v>63</v>
      </c>
      <c r="C21" s="8">
        <f>IF(B$19=0,0,B21/B$19)</f>
        <v>0.44366197183098594</v>
      </c>
      <c r="E21" s="29" t="s">
        <v>92</v>
      </c>
      <c r="F21" s="26" t="s">
        <v>47</v>
      </c>
      <c r="G21" s="14">
        <v>2</v>
      </c>
      <c r="H21" s="92">
        <f>IF(B$19=0,0,G21/B$19)</f>
        <v>1.4084507042253521E-2</v>
      </c>
      <c r="I21" s="60">
        <v>2</v>
      </c>
      <c r="K21" s="7">
        <v>19</v>
      </c>
      <c r="L21" s="65">
        <v>-44.500000000000014</v>
      </c>
      <c r="N21" s="78" t="s">
        <v>193</v>
      </c>
      <c r="O21" s="87">
        <f>IF(P21=0,0,Q21/P21)</f>
        <v>-5.3000000000000007</v>
      </c>
      <c r="P21" s="81">
        <v>12</v>
      </c>
      <c r="Q21" s="72">
        <v>-63.600000000000009</v>
      </c>
    </row>
    <row r="22" spans="1:17" x14ac:dyDescent="0.45">
      <c r="A22" s="21" t="s">
        <v>11</v>
      </c>
      <c r="B22" s="14">
        <v>79</v>
      </c>
      <c r="C22" s="8">
        <f>IF(B$19=0,0,B22/B$19)</f>
        <v>0.55633802816901412</v>
      </c>
      <c r="E22" s="29" t="s">
        <v>74</v>
      </c>
      <c r="F22" s="26" t="s">
        <v>29</v>
      </c>
      <c r="G22" s="14">
        <v>1</v>
      </c>
      <c r="H22" s="92">
        <f>IF(B$19=0,0,G22/B$19)</f>
        <v>7.0422535211267607E-3</v>
      </c>
      <c r="I22" s="60">
        <v>2</v>
      </c>
      <c r="K22" s="7">
        <v>20</v>
      </c>
      <c r="L22" s="65">
        <v>-72.000000000000014</v>
      </c>
      <c r="N22" s="78" t="s">
        <v>196</v>
      </c>
      <c r="O22" s="87">
        <f>IF(P22=0,0,Q22/P22)</f>
        <v>-16.324999999999992</v>
      </c>
      <c r="P22" s="81">
        <v>4</v>
      </c>
      <c r="Q22" s="72">
        <v>-65.299999999999969</v>
      </c>
    </row>
    <row r="23" spans="1:17" x14ac:dyDescent="0.45">
      <c r="A23" s="21" t="s">
        <v>184</v>
      </c>
      <c r="B23" s="14">
        <v>75</v>
      </c>
      <c r="C23" s="8">
        <f>IF(B$19=0,0,B23/B$19)</f>
        <v>0.528169014084507</v>
      </c>
      <c r="E23" s="29" t="s">
        <v>97</v>
      </c>
      <c r="F23" s="26" t="s">
        <v>52</v>
      </c>
      <c r="G23" s="14">
        <v>1</v>
      </c>
      <c r="H23" s="92">
        <f>IF(B$19=0,0,G23/B$19)</f>
        <v>7.0422535211267607E-3</v>
      </c>
      <c r="I23" s="60">
        <v>1</v>
      </c>
      <c r="K23" s="7">
        <v>21</v>
      </c>
      <c r="L23" s="65">
        <v>-118.50000000000001</v>
      </c>
      <c r="N23" s="78" t="s">
        <v>194</v>
      </c>
      <c r="O23" s="87">
        <f>IF(P23=0,0,Q23/P23)</f>
        <v>-19.970000000000006</v>
      </c>
      <c r="P23" s="81">
        <v>10</v>
      </c>
      <c r="Q23" s="72">
        <v>-199.70000000000005</v>
      </c>
    </row>
    <row r="24" spans="1:17" x14ac:dyDescent="0.45">
      <c r="A24" s="21" t="s">
        <v>182</v>
      </c>
      <c r="B24" s="14">
        <v>36</v>
      </c>
      <c r="C24" s="8">
        <f>IF(B$19=0,0,B24/B$19)</f>
        <v>0.25352112676056338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31</v>
      </c>
      <c r="C25" s="8">
        <f>IF(B$19=0,0,B25/B$19)</f>
        <v>0.21830985915492956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10395.070422535211</v>
      </c>
      <c r="C26" s="10">
        <v>1476100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10983.018867924528</v>
      </c>
      <c r="C27" s="100">
        <v>1164200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8663.8888888888887</v>
      </c>
      <c r="C28" s="100">
        <v>311900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-7772.3404255319147</v>
      </c>
      <c r="C29" s="100">
        <v>-730600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17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33">
        <v>7</v>
      </c>
      <c r="C32" s="13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35">
        <v>116000</v>
      </c>
      <c r="C33" s="13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5</v>
      </c>
      <c r="C34" s="11">
        <f>IF(B$3=0,0,B34/B$3)</f>
        <v>9.5602294455066923E-3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2">IF(B$19=0,0,B36/B$19)</f>
        <v>2.8169014084507043E-2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4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15</v>
      </c>
      <c r="C37" s="8">
        <f t="shared" si="2"/>
        <v>0.10563380281690141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15</v>
      </c>
      <c r="C38" s="8">
        <f t="shared" si="2"/>
        <v>0.10563380281690141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36</v>
      </c>
      <c r="C39" s="8">
        <f t="shared" si="2"/>
        <v>0.25352112676056338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27</v>
      </c>
      <c r="C40" s="8">
        <f t="shared" si="2"/>
        <v>0.19014084507042253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18</v>
      </c>
      <c r="C41" s="8">
        <f t="shared" si="2"/>
        <v>0.12676056338028169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11</v>
      </c>
      <c r="C42" s="8">
        <f t="shared" si="2"/>
        <v>7.746478873239436E-2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6</v>
      </c>
      <c r="C43" s="8">
        <f t="shared" si="2"/>
        <v>4.2253521126760563E-2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4</v>
      </c>
      <c r="C44" s="8">
        <f t="shared" si="2"/>
        <v>2.8169014084507043E-2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2"/>
        <v>2.1126760563380281E-2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2"/>
        <v>2.1126760563380281E-2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  <row r="62" spans="5:12" x14ac:dyDescent="0.45">
      <c r="K62" s="7">
        <v>60</v>
      </c>
      <c r="L62" s="65">
        <v>-152.00000000000006</v>
      </c>
    </row>
    <row r="63" spans="5:12" x14ac:dyDescent="0.45">
      <c r="K63" s="7">
        <v>61</v>
      </c>
      <c r="L63" s="65">
        <v>-119.60000000000005</v>
      </c>
    </row>
    <row r="64" spans="5:12" x14ac:dyDescent="0.45">
      <c r="K64" s="7">
        <v>62</v>
      </c>
      <c r="L64" s="65">
        <v>-112.60000000000005</v>
      </c>
    </row>
    <row r="65" spans="11:12" x14ac:dyDescent="0.45">
      <c r="K65" s="7">
        <v>63</v>
      </c>
      <c r="L65" s="65">
        <v>-64.900000000000048</v>
      </c>
    </row>
    <row r="66" spans="11:12" x14ac:dyDescent="0.45">
      <c r="K66" s="7">
        <v>64</v>
      </c>
      <c r="L66" s="65">
        <v>-63.700000000000045</v>
      </c>
    </row>
    <row r="67" spans="11:12" x14ac:dyDescent="0.45">
      <c r="K67" s="7">
        <v>65</v>
      </c>
      <c r="L67" s="65">
        <v>-68.700000000000045</v>
      </c>
    </row>
    <row r="68" spans="11:12" x14ac:dyDescent="0.45">
      <c r="K68" s="7">
        <v>66</v>
      </c>
      <c r="L68" s="65">
        <v>-12.100000000000044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</v>
      </c>
      <c r="C2" s="140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41">
        <v>74</v>
      </c>
      <c r="C3" s="142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4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43">
        <v>-105.5</v>
      </c>
      <c r="C4" s="144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31">
        <f>IF(B$2=0,0,B$4/B$2)</f>
        <v>-11.722222222222221</v>
      </c>
      <c r="C5" s="132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45">
        <f>IF(B$2=0,0,(B$7*1+B$8*2+B$9*3)/B$2)</f>
        <v>2.2222222222222223</v>
      </c>
      <c r="C6" s="146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11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10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4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8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-3.6805555555555549</v>
      </c>
      <c r="C13" s="132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5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66700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9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93</v>
      </c>
      <c r="C2" s="140"/>
      <c r="E2" s="28" t="s">
        <v>66</v>
      </c>
      <c r="F2" s="25" t="s">
        <v>22</v>
      </c>
      <c r="G2" s="13">
        <v>152</v>
      </c>
      <c r="H2" s="91">
        <f>IF(B$19=0,0,G2/B$19)</f>
        <v>0.67555555555555558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1601.0869565217392</v>
      </c>
      <c r="P2" s="80">
        <v>92</v>
      </c>
      <c r="Q2" s="67">
        <v>147300</v>
      </c>
    </row>
    <row r="3" spans="1:17" x14ac:dyDescent="0.45">
      <c r="A3" s="21" t="s">
        <v>8</v>
      </c>
      <c r="B3" s="141">
        <v>732</v>
      </c>
      <c r="C3" s="142"/>
      <c r="E3" s="29" t="s">
        <v>72</v>
      </c>
      <c r="F3" s="26" t="s">
        <v>27</v>
      </c>
      <c r="G3" s="14">
        <v>113</v>
      </c>
      <c r="H3" s="92">
        <f>IF(B$19=0,0,G3/B$19)</f>
        <v>0.50222222222222224</v>
      </c>
      <c r="I3" s="60">
        <v>9</v>
      </c>
      <c r="K3" s="7">
        <v>1</v>
      </c>
      <c r="L3" s="65">
        <v>39.200000000000003</v>
      </c>
      <c r="N3" s="78" t="s">
        <v>129</v>
      </c>
      <c r="O3" s="84">
        <f t="shared" si="0"/>
        <v>2768.131868131868</v>
      </c>
      <c r="P3" s="81">
        <v>91</v>
      </c>
      <c r="Q3" s="68">
        <v>251900</v>
      </c>
    </row>
    <row r="4" spans="1:17" x14ac:dyDescent="0.45">
      <c r="A4" s="21" t="s">
        <v>6</v>
      </c>
      <c r="B4" s="143">
        <v>761.70000000000027</v>
      </c>
      <c r="C4" s="144"/>
      <c r="E4" s="29" t="s">
        <v>64</v>
      </c>
      <c r="F4" s="26" t="s">
        <v>20</v>
      </c>
      <c r="G4" s="14">
        <v>97</v>
      </c>
      <c r="H4" s="92">
        <f>IF(B$19=0,0,G4/B$19)</f>
        <v>0.43111111111111111</v>
      </c>
      <c r="I4" s="60">
        <v>10</v>
      </c>
      <c r="K4" s="7">
        <v>2</v>
      </c>
      <c r="L4" s="65">
        <v>99.6</v>
      </c>
      <c r="N4" s="78" t="s">
        <v>130</v>
      </c>
      <c r="O4" s="84">
        <f t="shared" si="0"/>
        <v>1637.9310344827586</v>
      </c>
      <c r="P4" s="81">
        <v>87</v>
      </c>
      <c r="Q4" s="68">
        <v>142500</v>
      </c>
    </row>
    <row r="5" spans="1:17" x14ac:dyDescent="0.45">
      <c r="A5" s="21" t="s">
        <v>7</v>
      </c>
      <c r="B5" s="131">
        <f>IF(B$2=0,0,B$4/B$2)</f>
        <v>8.1903225806451641</v>
      </c>
      <c r="C5" s="132"/>
      <c r="E5" s="29" t="s">
        <v>160</v>
      </c>
      <c r="F5" s="26" t="s">
        <v>161</v>
      </c>
      <c r="G5" s="14">
        <v>94</v>
      </c>
      <c r="H5" s="92">
        <f>IF(B$19=0,0,G5/B$19)</f>
        <v>0.4177777777777778</v>
      </c>
      <c r="I5" s="60">
        <v>9</v>
      </c>
      <c r="K5" s="7">
        <v>3</v>
      </c>
      <c r="L5" s="65">
        <v>98.1</v>
      </c>
      <c r="N5" s="78" t="s">
        <v>131</v>
      </c>
      <c r="O5" s="84">
        <f t="shared" si="0"/>
        <v>876.92307692307691</v>
      </c>
      <c r="P5" s="81">
        <v>78</v>
      </c>
      <c r="Q5" s="68">
        <v>68400</v>
      </c>
    </row>
    <row r="6" spans="1:17" x14ac:dyDescent="0.45">
      <c r="A6" s="21" t="s">
        <v>1</v>
      </c>
      <c r="B6" s="145">
        <f>IF(B$2=0,0,(B$7*1+B$8*2+B$9*3)/B$2)</f>
        <v>1.7741935483870968</v>
      </c>
      <c r="C6" s="146"/>
      <c r="E6" s="29" t="s">
        <v>68</v>
      </c>
      <c r="F6" s="26" t="s">
        <v>12</v>
      </c>
      <c r="G6" s="14">
        <v>87</v>
      </c>
      <c r="H6" s="92">
        <f>IF(B$19=0,0,G6/B$19)</f>
        <v>0.38666666666666666</v>
      </c>
      <c r="I6" s="60">
        <v>5</v>
      </c>
      <c r="K6" s="7">
        <v>4</v>
      </c>
      <c r="L6" s="65">
        <v>101.5</v>
      </c>
      <c r="N6" s="78" t="s">
        <v>132</v>
      </c>
      <c r="O6" s="84">
        <f t="shared" si="0"/>
        <v>-1071.6216216216217</v>
      </c>
      <c r="P6" s="81">
        <v>74</v>
      </c>
      <c r="Q6" s="68">
        <v>-79300</v>
      </c>
    </row>
    <row r="7" spans="1:17" x14ac:dyDescent="0.45">
      <c r="A7" s="21" t="s">
        <v>2</v>
      </c>
      <c r="B7" s="14">
        <v>42</v>
      </c>
      <c r="C7" s="8">
        <f t="shared" ref="C7:C14" si="1">IF(B$2=0,0,B7/B$2)</f>
        <v>0.45161290322580644</v>
      </c>
      <c r="E7" s="29" t="s">
        <v>67</v>
      </c>
      <c r="F7" s="26" t="s">
        <v>23</v>
      </c>
      <c r="G7" s="14">
        <v>64</v>
      </c>
      <c r="H7" s="92">
        <f>IF(B$19=0,0,G7/B$19)</f>
        <v>0.28444444444444444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2734.4827586206898</v>
      </c>
      <c r="P7" s="82">
        <v>58</v>
      </c>
      <c r="Q7" s="69">
        <v>158600</v>
      </c>
    </row>
    <row r="8" spans="1:17" x14ac:dyDescent="0.45">
      <c r="A8" s="21" t="s">
        <v>3</v>
      </c>
      <c r="B8" s="14">
        <v>30</v>
      </c>
      <c r="C8" s="8">
        <f t="shared" si="1"/>
        <v>0.32258064516129031</v>
      </c>
      <c r="E8" s="29" t="s">
        <v>69</v>
      </c>
      <c r="F8" s="26" t="s">
        <v>24</v>
      </c>
      <c r="G8" s="14">
        <v>42</v>
      </c>
      <c r="H8" s="92">
        <f>IF(B$19=0,0,G8/B$19)</f>
        <v>0.18666666666666668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21</v>
      </c>
      <c r="C9" s="9">
        <f t="shared" si="1"/>
        <v>0.22580645161290322</v>
      </c>
      <c r="E9" s="29" t="s">
        <v>89</v>
      </c>
      <c r="F9" s="26" t="s">
        <v>44</v>
      </c>
      <c r="G9" s="14">
        <v>39</v>
      </c>
      <c r="H9" s="92">
        <f>IF(B$19=0,0,G9/B$19)</f>
        <v>0.17333333333333334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37.854761904761894</v>
      </c>
      <c r="C10" s="114">
        <v>1589.8999999999996</v>
      </c>
      <c r="E10" s="29" t="s">
        <v>65</v>
      </c>
      <c r="F10" s="26" t="s">
        <v>21</v>
      </c>
      <c r="G10" s="14">
        <v>24</v>
      </c>
      <c r="H10" s="92">
        <f>IF(B$19=0,0,G10/B$19)</f>
        <v>0.10666666666666667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2.5</v>
      </c>
      <c r="P10" s="80">
        <v>29</v>
      </c>
      <c r="Q10" s="71">
        <v>72.5</v>
      </c>
    </row>
    <row r="11" spans="1:17" x14ac:dyDescent="0.45">
      <c r="A11" s="22" t="s">
        <v>186</v>
      </c>
      <c r="B11" s="113">
        <f>IF(B8=0,0,C11/B8)</f>
        <v>-0.99333333333333329</v>
      </c>
      <c r="C11" s="114">
        <v>-29.799999999999997</v>
      </c>
      <c r="E11" s="29" t="s">
        <v>70</v>
      </c>
      <c r="F11" s="26" t="s">
        <v>25</v>
      </c>
      <c r="G11" s="14">
        <v>18</v>
      </c>
      <c r="H11" s="92">
        <f>IF(B$19=0,0,G11/B$19)</f>
        <v>0.08</v>
      </c>
      <c r="I11" s="60">
        <v>7</v>
      </c>
      <c r="K11" s="7">
        <v>9</v>
      </c>
      <c r="L11" s="65">
        <v>151.29999999999998</v>
      </c>
      <c r="N11" s="78" t="s">
        <v>153</v>
      </c>
      <c r="O11" s="87">
        <f>IF(P11=0,0,Q11/P11)</f>
        <v>8.0999999999999979</v>
      </c>
      <c r="P11" s="81">
        <v>31</v>
      </c>
      <c r="Q11" s="72">
        <v>251.09999999999991</v>
      </c>
    </row>
    <row r="12" spans="1:17" x14ac:dyDescent="0.45">
      <c r="A12" s="22" t="s">
        <v>187</v>
      </c>
      <c r="B12" s="113">
        <f>IF(B9=0,0,C12/B9)</f>
        <v>-38.019047619047626</v>
      </c>
      <c r="C12" s="114">
        <v>-798.40000000000009</v>
      </c>
      <c r="E12" s="29" t="s">
        <v>86</v>
      </c>
      <c r="F12" s="26" t="s">
        <v>41</v>
      </c>
      <c r="G12" s="14">
        <v>18</v>
      </c>
      <c r="H12" s="92">
        <f>IF(B$19=0,0,G12/B$19)</f>
        <v>0.08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13.275757575757581</v>
      </c>
      <c r="P12" s="82">
        <v>33</v>
      </c>
      <c r="Q12" s="73">
        <v>438.10000000000014</v>
      </c>
    </row>
    <row r="13" spans="1:17" x14ac:dyDescent="0.45">
      <c r="A13" s="22" t="s">
        <v>188</v>
      </c>
      <c r="B13" s="131">
        <f>AVERAGE(B10:B12)</f>
        <v>-0.38587301587302153</v>
      </c>
      <c r="C13" s="132"/>
      <c r="E13" s="29" t="s">
        <v>71</v>
      </c>
      <c r="F13" s="26" t="s">
        <v>26</v>
      </c>
      <c r="G13" s="14">
        <v>15</v>
      </c>
      <c r="H13" s="92">
        <f>IF(B$19=0,0,G13/B$19)</f>
        <v>6.6666666666666666E-2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6.4516129032258063E-2</v>
      </c>
      <c r="E14" s="29" t="s">
        <v>78</v>
      </c>
      <c r="F14" s="26" t="s">
        <v>33</v>
      </c>
      <c r="G14" s="14">
        <v>12</v>
      </c>
      <c r="H14" s="92">
        <f>IF(B$19=0,0,G14/B$19)</f>
        <v>5.3333333333333337E-2</v>
      </c>
      <c r="I14" s="60">
        <v>1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182</v>
      </c>
      <c r="C15" s="12">
        <f>IF(B$3=0,0,B15/B$3)</f>
        <v>0.24863387978142076</v>
      </c>
      <c r="E15" s="29" t="s">
        <v>83</v>
      </c>
      <c r="F15" s="26" t="s">
        <v>38</v>
      </c>
      <c r="G15" s="14">
        <v>11</v>
      </c>
      <c r="H15" s="92">
        <f>IF(B$19=0,0,G15/B$19)</f>
        <v>4.8888888888888891E-2</v>
      </c>
      <c r="I15" s="60">
        <v>5</v>
      </c>
      <c r="K15" s="7">
        <v>13</v>
      </c>
      <c r="L15" s="65">
        <v>197</v>
      </c>
      <c r="N15" s="77" t="s">
        <v>240</v>
      </c>
      <c r="O15" s="86">
        <f t="shared" ref="O15:O23" si="2">IF(P15=0,0,Q15/P15)</f>
        <v>43.12</v>
      </c>
      <c r="P15" s="80">
        <v>5</v>
      </c>
      <c r="Q15" s="71">
        <v>215.6</v>
      </c>
    </row>
    <row r="16" spans="1:17" x14ac:dyDescent="0.45">
      <c r="A16" s="21" t="s">
        <v>118</v>
      </c>
      <c r="B16" s="14">
        <v>116</v>
      </c>
      <c r="C16" s="8">
        <f>IF(B$3=0,0,B16/B$3)</f>
        <v>0.15846994535519127</v>
      </c>
      <c r="E16" s="29" t="s">
        <v>156</v>
      </c>
      <c r="F16" s="26" t="s">
        <v>157</v>
      </c>
      <c r="G16" s="14">
        <v>10</v>
      </c>
      <c r="H16" s="92">
        <f>IF(B$19=0,0,G16/B$19)</f>
        <v>4.4444444444444446E-2</v>
      </c>
      <c r="I16" s="60">
        <v>1</v>
      </c>
      <c r="K16" s="7">
        <v>14</v>
      </c>
      <c r="L16" s="65">
        <v>249.2</v>
      </c>
      <c r="N16" s="78" t="s">
        <v>196</v>
      </c>
      <c r="O16" s="87">
        <f t="shared" si="2"/>
        <v>34.9</v>
      </c>
      <c r="P16" s="81">
        <v>2</v>
      </c>
      <c r="Q16" s="72">
        <v>69.8</v>
      </c>
    </row>
    <row r="17" spans="1:17" x14ac:dyDescent="0.45">
      <c r="A17" s="20" t="s">
        <v>123</v>
      </c>
      <c r="B17" s="13">
        <f>B23</f>
        <v>108</v>
      </c>
      <c r="C17" s="6">
        <f>IF(B$15=0,0,B17/B$15)</f>
        <v>0.59340659340659341</v>
      </c>
      <c r="E17" s="29" t="s">
        <v>79</v>
      </c>
      <c r="F17" s="26" t="s">
        <v>34</v>
      </c>
      <c r="G17" s="14">
        <v>6</v>
      </c>
      <c r="H17" s="92">
        <f>IF(B$19=0,0,G17/B$19)</f>
        <v>2.6666666666666668E-2</v>
      </c>
      <c r="I17" s="60">
        <v>5</v>
      </c>
      <c r="K17" s="7">
        <v>15</v>
      </c>
      <c r="L17" s="65">
        <v>213.5</v>
      </c>
      <c r="N17" s="78" t="s">
        <v>189</v>
      </c>
      <c r="O17" s="87">
        <f t="shared" si="2"/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56</v>
      </c>
      <c r="C18" s="6">
        <f>IF(B$16=0,0,B18/B$16)</f>
        <v>0.48275862068965519</v>
      </c>
      <c r="E18" s="29" t="s">
        <v>81</v>
      </c>
      <c r="F18" s="26" t="s">
        <v>36</v>
      </c>
      <c r="G18" s="14">
        <v>6</v>
      </c>
      <c r="H18" s="92">
        <f>IF(B$19=0,0,G18/B$19)</f>
        <v>2.6666666666666668E-2</v>
      </c>
      <c r="I18" s="60">
        <v>5</v>
      </c>
      <c r="K18" s="7">
        <v>16</v>
      </c>
      <c r="L18" s="65">
        <v>273.8</v>
      </c>
      <c r="N18" s="78" t="s">
        <v>193</v>
      </c>
      <c r="O18" s="87">
        <f t="shared" si="2"/>
        <v>18.461111111111112</v>
      </c>
      <c r="P18" s="81">
        <v>18</v>
      </c>
      <c r="Q18" s="72">
        <v>332.3</v>
      </c>
    </row>
    <row r="19" spans="1:17" x14ac:dyDescent="0.45">
      <c r="A19" s="20" t="s">
        <v>10</v>
      </c>
      <c r="B19" s="13">
        <f>B22+B21</f>
        <v>225</v>
      </c>
      <c r="C19" s="6">
        <f>IF(B$3=0,0,B19/B$3)</f>
        <v>0.30737704918032788</v>
      </c>
      <c r="E19" s="29" t="s">
        <v>91</v>
      </c>
      <c r="F19" s="26" t="s">
        <v>46</v>
      </c>
      <c r="G19" s="14">
        <v>3</v>
      </c>
      <c r="H19" s="92">
        <f>IF(B$19=0,0,G19/B$19)</f>
        <v>1.3333333333333334E-2</v>
      </c>
      <c r="I19" s="60">
        <v>4</v>
      </c>
      <c r="K19" s="7">
        <v>17</v>
      </c>
      <c r="L19" s="65">
        <v>242.8</v>
      </c>
      <c r="N19" s="78" t="s">
        <v>192</v>
      </c>
      <c r="O19" s="87">
        <f t="shared" si="2"/>
        <v>17.920000000000005</v>
      </c>
      <c r="P19" s="81">
        <v>35</v>
      </c>
      <c r="Q19" s="72">
        <v>627.20000000000016</v>
      </c>
    </row>
    <row r="20" spans="1:17" x14ac:dyDescent="0.45">
      <c r="A20" s="21" t="s">
        <v>13</v>
      </c>
      <c r="B20" s="14">
        <v>101</v>
      </c>
      <c r="C20" s="8">
        <f>IF(B$3=0,0,B20/B$3)</f>
        <v>0.13797814207650272</v>
      </c>
      <c r="E20" s="29" t="s">
        <v>92</v>
      </c>
      <c r="F20" s="26" t="s">
        <v>47</v>
      </c>
      <c r="G20" s="14">
        <v>3</v>
      </c>
      <c r="H20" s="92">
        <f>IF(B$19=0,0,G20/B$19)</f>
        <v>1.3333333333333334E-2</v>
      </c>
      <c r="I20" s="60">
        <v>3</v>
      </c>
      <c r="K20" s="7">
        <v>18</v>
      </c>
      <c r="L20" s="65">
        <v>280</v>
      </c>
      <c r="N20" s="78" t="s">
        <v>194</v>
      </c>
      <c r="O20" s="87">
        <f t="shared" si="2"/>
        <v>17.357692307692307</v>
      </c>
      <c r="P20" s="81">
        <v>26</v>
      </c>
      <c r="Q20" s="72">
        <v>451.3</v>
      </c>
    </row>
    <row r="21" spans="1:17" x14ac:dyDescent="0.45">
      <c r="A21" s="21" t="s">
        <v>12</v>
      </c>
      <c r="B21" s="14">
        <v>114</v>
      </c>
      <c r="C21" s="8">
        <f>IF(B$19=0,0,B21/B$19)</f>
        <v>0.50666666666666671</v>
      </c>
      <c r="E21" s="29" t="s">
        <v>93</v>
      </c>
      <c r="F21" s="26" t="s">
        <v>48</v>
      </c>
      <c r="G21" s="14">
        <v>2</v>
      </c>
      <c r="H21" s="92">
        <f>IF(B$19=0,0,G21/B$19)</f>
        <v>8.8888888888888889E-3</v>
      </c>
      <c r="I21" s="60">
        <v>1</v>
      </c>
      <c r="K21" s="7">
        <v>19</v>
      </c>
      <c r="L21" s="65">
        <v>281.5</v>
      </c>
      <c r="N21" s="78" t="s">
        <v>205</v>
      </c>
      <c r="O21" s="87">
        <f t="shared" si="2"/>
        <v>8.2694444444444422</v>
      </c>
      <c r="P21" s="81">
        <v>36</v>
      </c>
      <c r="Q21" s="72">
        <v>297.69999999999993</v>
      </c>
    </row>
    <row r="22" spans="1:17" x14ac:dyDescent="0.45">
      <c r="A22" s="21" t="s">
        <v>11</v>
      </c>
      <c r="B22" s="14">
        <v>111</v>
      </c>
      <c r="C22" s="8">
        <f>IF(B$19=0,0,B22/B$19)</f>
        <v>0.49333333333333335</v>
      </c>
      <c r="E22" s="29" t="s">
        <v>73</v>
      </c>
      <c r="F22" s="26" t="s">
        <v>28</v>
      </c>
      <c r="G22" s="14">
        <v>1</v>
      </c>
      <c r="H22" s="92">
        <f>IF(B$19=0,0,G22/B$19)</f>
        <v>4.4444444444444444E-3</v>
      </c>
      <c r="I22" s="60">
        <v>3</v>
      </c>
      <c r="K22" s="7">
        <v>20</v>
      </c>
      <c r="L22" s="65">
        <v>287.2</v>
      </c>
      <c r="N22" s="78" t="s">
        <v>212</v>
      </c>
      <c r="O22" s="87">
        <f t="shared" si="2"/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108</v>
      </c>
      <c r="C23" s="8">
        <f>IF(B$19=0,0,B23/B$19)</f>
        <v>0.48</v>
      </c>
      <c r="E23" s="29" t="s">
        <v>75</v>
      </c>
      <c r="F23" s="26" t="s">
        <v>30</v>
      </c>
      <c r="G23" s="14">
        <v>1</v>
      </c>
      <c r="H23" s="92">
        <f>IF(B$19=0,0,G23/B$19)</f>
        <v>4.4444444444444444E-3</v>
      </c>
      <c r="I23" s="60">
        <v>6</v>
      </c>
      <c r="K23" s="7">
        <v>21</v>
      </c>
      <c r="L23" s="65">
        <v>286.3</v>
      </c>
      <c r="N23" s="78" t="s">
        <v>164</v>
      </c>
      <c r="O23" s="87">
        <f t="shared" si="2"/>
        <v>1.3999999999999968</v>
      </c>
      <c r="P23" s="81">
        <v>49</v>
      </c>
      <c r="Q23" s="72">
        <v>68.599999999999838</v>
      </c>
    </row>
    <row r="24" spans="1:17" x14ac:dyDescent="0.45">
      <c r="A24" s="21" t="s">
        <v>182</v>
      </c>
      <c r="B24" s="14">
        <v>56</v>
      </c>
      <c r="C24" s="8">
        <f>IF(B$19=0,0,B24/B$19)</f>
        <v>0.24888888888888888</v>
      </c>
      <c r="E24" s="29" t="s">
        <v>77</v>
      </c>
      <c r="F24" s="26" t="s">
        <v>32</v>
      </c>
      <c r="G24" s="14">
        <v>1</v>
      </c>
      <c r="H24" s="92">
        <f>IF(B$19=0,0,G24/B$19)</f>
        <v>4.4444444444444444E-3</v>
      </c>
      <c r="I24" s="60">
        <v>6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61</v>
      </c>
      <c r="C25" s="8">
        <f>IF(B$19=0,0,B25/B$19)</f>
        <v>0.27111111111111114</v>
      </c>
      <c r="E25" s="29" t="s">
        <v>84</v>
      </c>
      <c r="F25" s="26" t="s">
        <v>39</v>
      </c>
      <c r="G25" s="14">
        <v>1</v>
      </c>
      <c r="H25" s="92">
        <f>IF(B$19=0,0,G25/B$19)</f>
        <v>4.4444444444444444E-3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9835.1111111111113</v>
      </c>
      <c r="C26" s="10">
        <v>2212900</v>
      </c>
      <c r="E26" s="29" t="s">
        <v>87</v>
      </c>
      <c r="F26" s="26" t="s">
        <v>42</v>
      </c>
      <c r="G26" s="14">
        <v>1</v>
      </c>
      <c r="H26" s="92">
        <f>IF(B$19=0,0,G26/B$19)</f>
        <v>4.4444444444444444E-3</v>
      </c>
      <c r="I26" s="60">
        <v>2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10178.698224852071</v>
      </c>
      <c r="C27" s="100">
        <v>1720200</v>
      </c>
      <c r="E27" s="29" t="s">
        <v>95</v>
      </c>
      <c r="F27" s="26" t="s">
        <v>50</v>
      </c>
      <c r="G27" s="14">
        <v>1</v>
      </c>
      <c r="H27" s="92">
        <f>IF(B$19=0,0,G27/B$19)</f>
        <v>4.4444444444444444E-3</v>
      </c>
      <c r="I27" s="60">
        <v>2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8798.2142857142862</v>
      </c>
      <c r="C28" s="100">
        <v>492700</v>
      </c>
      <c r="E28" s="29" t="s">
        <v>106</v>
      </c>
      <c r="F28" s="26" t="s">
        <v>113</v>
      </c>
      <c r="G28" s="14">
        <v>1</v>
      </c>
      <c r="H28" s="92">
        <f>IF(B$19=0,0,G28/B$19)</f>
        <v>4.4444444444444444E-3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-8287.1287128712866</v>
      </c>
      <c r="C29" s="100">
        <v>-837000</v>
      </c>
      <c r="E29" s="29" t="s">
        <v>74</v>
      </c>
      <c r="F29" s="26" t="s">
        <v>29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6</v>
      </c>
      <c r="C30" s="94">
        <v>1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4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33">
        <v>6</v>
      </c>
      <c r="C32" s="13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35">
        <v>102700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13</v>
      </c>
      <c r="C36" s="102">
        <f t="shared" ref="C36:C48" si="3">IF(B$19=0,0,B36/B$19)</f>
        <v>5.7777777777777775E-2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32</v>
      </c>
      <c r="C37" s="8">
        <f t="shared" si="3"/>
        <v>0.14222222222222222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41</v>
      </c>
      <c r="C38" s="8">
        <f t="shared" si="3"/>
        <v>0.18222222222222223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40</v>
      </c>
      <c r="C39" s="8">
        <f t="shared" si="3"/>
        <v>0.17777777777777778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37</v>
      </c>
      <c r="C40" s="8">
        <f t="shared" si="3"/>
        <v>0.16444444444444445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21</v>
      </c>
      <c r="C41" s="8">
        <f t="shared" si="3"/>
        <v>9.3333333333333338E-2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14</v>
      </c>
      <c r="C42" s="8">
        <f t="shared" si="3"/>
        <v>6.222222222222222E-2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8</v>
      </c>
      <c r="C43" s="8">
        <f t="shared" si="3"/>
        <v>3.5555555555555556E-2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6</v>
      </c>
      <c r="C44" s="8">
        <f t="shared" si="3"/>
        <v>2.6666666666666668E-2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4</v>
      </c>
      <c r="C45" s="8">
        <f t="shared" si="3"/>
        <v>1.7777777777777778E-2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3"/>
        <v>4.4444444444444444E-3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3"/>
        <v>4.4444444444444444E-3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3"/>
        <v>3.111111111111111E-2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  <row r="84" spans="11:12" x14ac:dyDescent="0.45">
      <c r="K84" s="7">
        <v>82</v>
      </c>
      <c r="L84" s="65">
        <v>719.70000000000016</v>
      </c>
    </row>
    <row r="85" spans="11:12" x14ac:dyDescent="0.45">
      <c r="K85" s="7">
        <v>83</v>
      </c>
      <c r="L85" s="65">
        <v>716.20000000000016</v>
      </c>
    </row>
    <row r="86" spans="11:12" x14ac:dyDescent="0.45">
      <c r="K86" s="7">
        <v>84</v>
      </c>
      <c r="L86" s="65">
        <v>718.10000000000014</v>
      </c>
    </row>
    <row r="87" spans="11:12" x14ac:dyDescent="0.45">
      <c r="K87" s="7">
        <v>85</v>
      </c>
      <c r="L87" s="65">
        <v>685.90000000000009</v>
      </c>
    </row>
    <row r="88" spans="11:12" x14ac:dyDescent="0.45">
      <c r="K88" s="7">
        <v>86</v>
      </c>
      <c r="L88" s="65">
        <v>722.50000000000011</v>
      </c>
    </row>
    <row r="89" spans="11:12" x14ac:dyDescent="0.45">
      <c r="K89" s="7">
        <v>87</v>
      </c>
      <c r="L89" s="65">
        <v>755.50000000000011</v>
      </c>
    </row>
    <row r="90" spans="11:12" x14ac:dyDescent="0.45">
      <c r="K90" s="7">
        <v>88</v>
      </c>
      <c r="L90" s="65">
        <v>791.20000000000016</v>
      </c>
    </row>
    <row r="91" spans="11:12" x14ac:dyDescent="0.45">
      <c r="K91" s="7">
        <v>89</v>
      </c>
      <c r="L91" s="65">
        <v>842.30000000000018</v>
      </c>
    </row>
    <row r="92" spans="11:12" x14ac:dyDescent="0.45">
      <c r="K92" s="7">
        <v>90</v>
      </c>
      <c r="L92" s="65">
        <v>787.80000000000018</v>
      </c>
    </row>
    <row r="93" spans="11:12" x14ac:dyDescent="0.45">
      <c r="K93" s="7">
        <v>91</v>
      </c>
      <c r="L93" s="65">
        <v>781.9000000000002</v>
      </c>
    </row>
    <row r="94" spans="11:12" x14ac:dyDescent="0.45">
      <c r="K94" s="7">
        <v>92</v>
      </c>
      <c r="L94" s="65">
        <v>743.00000000000023</v>
      </c>
    </row>
    <row r="95" spans="11:12" x14ac:dyDescent="0.45">
      <c r="K95" s="7">
        <v>93</v>
      </c>
      <c r="L95" s="65">
        <v>761.70000000000027</v>
      </c>
    </row>
  </sheetData>
  <sortState xmlns:xlrd2="http://schemas.microsoft.com/office/spreadsheetml/2017/richdata2" ref="E2:I9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40</v>
      </c>
      <c r="C2" s="140"/>
      <c r="E2" s="28" t="s">
        <v>66</v>
      </c>
      <c r="F2" s="25" t="s">
        <v>22</v>
      </c>
      <c r="G2" s="13">
        <v>62</v>
      </c>
      <c r="H2" s="91">
        <f>IF(B$19=0,0,G2/B$19)</f>
        <v>0.71264367816091956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-3848.7179487179487</v>
      </c>
      <c r="P2" s="80">
        <v>39</v>
      </c>
      <c r="Q2" s="67">
        <v>-150100</v>
      </c>
    </row>
    <row r="3" spans="1:17" x14ac:dyDescent="0.45">
      <c r="A3" s="21" t="s">
        <v>8</v>
      </c>
      <c r="B3" s="141">
        <v>306</v>
      </c>
      <c r="C3" s="142"/>
      <c r="E3" s="29" t="s">
        <v>72</v>
      </c>
      <c r="F3" s="26" t="s">
        <v>27</v>
      </c>
      <c r="G3" s="14">
        <v>45</v>
      </c>
      <c r="H3" s="92">
        <f>IF(B$19=0,0,G3/B$19)</f>
        <v>0.51724137931034486</v>
      </c>
      <c r="I3" s="60">
        <v>8</v>
      </c>
      <c r="K3" s="7">
        <v>1</v>
      </c>
      <c r="L3" s="65">
        <v>-55.5</v>
      </c>
      <c r="N3" s="78" t="s">
        <v>129</v>
      </c>
      <c r="O3" s="84">
        <f t="shared" si="0"/>
        <v>1747.3684210526317</v>
      </c>
      <c r="P3" s="81">
        <v>38</v>
      </c>
      <c r="Q3" s="68">
        <v>66400</v>
      </c>
    </row>
    <row r="4" spans="1:17" x14ac:dyDescent="0.45">
      <c r="A4" s="21" t="s">
        <v>6</v>
      </c>
      <c r="B4" s="143">
        <v>-254.79999999999984</v>
      </c>
      <c r="C4" s="144"/>
      <c r="E4" s="29" t="s">
        <v>160</v>
      </c>
      <c r="F4" s="26" t="s">
        <v>161</v>
      </c>
      <c r="G4" s="14">
        <v>43</v>
      </c>
      <c r="H4" s="92">
        <f>IF(B$19=0,0,G4/B$19)</f>
        <v>0.4942528735632184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-1486.1111111111111</v>
      </c>
      <c r="P4" s="81">
        <v>36</v>
      </c>
      <c r="Q4" s="68">
        <v>-53500</v>
      </c>
    </row>
    <row r="5" spans="1:17" x14ac:dyDescent="0.45">
      <c r="A5" s="21" t="s">
        <v>7</v>
      </c>
      <c r="B5" s="131">
        <f>IF(B$2=0,0,B$4/B$2)</f>
        <v>-6.3699999999999957</v>
      </c>
      <c r="C5" s="132"/>
      <c r="E5" s="29" t="s">
        <v>64</v>
      </c>
      <c r="F5" s="26" t="s">
        <v>20</v>
      </c>
      <c r="G5" s="14">
        <v>42</v>
      </c>
      <c r="H5" s="92">
        <f>IF(B$19=0,0,G5/B$19)</f>
        <v>0.48275862068965519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-1487.0967741935483</v>
      </c>
      <c r="P5" s="81">
        <v>31</v>
      </c>
      <c r="Q5" s="68">
        <v>-46100</v>
      </c>
    </row>
    <row r="6" spans="1:17" x14ac:dyDescent="0.45">
      <c r="A6" s="21" t="s">
        <v>1</v>
      </c>
      <c r="B6" s="145">
        <f>IF(B$2=0,0,(B$7*1+B$8*2+B$9*3)/B$2)</f>
        <v>2.25</v>
      </c>
      <c r="C6" s="146"/>
      <c r="E6" s="29" t="s">
        <v>68</v>
      </c>
      <c r="F6" s="26" t="s">
        <v>12</v>
      </c>
      <c r="G6" s="14">
        <v>29</v>
      </c>
      <c r="H6" s="92">
        <f>IF(B$19=0,0,G6/B$19)</f>
        <v>0.33333333333333331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3596.2962962962961</v>
      </c>
      <c r="P6" s="81">
        <v>27</v>
      </c>
      <c r="Q6" s="68">
        <v>97100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20</v>
      </c>
      <c r="H7" s="92">
        <f>IF(B$19=0,0,G7/B$19)</f>
        <v>0.22988505747126436</v>
      </c>
      <c r="I7" s="60">
        <v>8</v>
      </c>
      <c r="K7" s="7">
        <v>5</v>
      </c>
      <c r="L7" s="65">
        <v>-116</v>
      </c>
      <c r="N7" s="79" t="s">
        <v>133</v>
      </c>
      <c r="O7" s="85">
        <f t="shared" si="0"/>
        <v>-3700</v>
      </c>
      <c r="P7" s="82">
        <v>22</v>
      </c>
      <c r="Q7" s="69">
        <v>-81400</v>
      </c>
    </row>
    <row r="8" spans="1:17" x14ac:dyDescent="0.45">
      <c r="A8" s="21" t="s">
        <v>3</v>
      </c>
      <c r="B8" s="14">
        <v>14</v>
      </c>
      <c r="C8" s="8">
        <f t="shared" si="1"/>
        <v>0.35</v>
      </c>
      <c r="E8" s="29" t="s">
        <v>89</v>
      </c>
      <c r="F8" s="26" t="s">
        <v>44</v>
      </c>
      <c r="G8" s="14">
        <v>11</v>
      </c>
      <c r="H8" s="92">
        <f>IF(B$19=0,0,G8/B$19)</f>
        <v>0.12643678160919541</v>
      </c>
      <c r="I8" s="60">
        <v>8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0.45</v>
      </c>
      <c r="E9" s="29" t="s">
        <v>69</v>
      </c>
      <c r="F9" s="26" t="s">
        <v>24</v>
      </c>
      <c r="G9" s="14">
        <v>9</v>
      </c>
      <c r="H9" s="92">
        <f>IF(B$19=0,0,G9/B$19)</f>
        <v>0.10344827586206896</v>
      </c>
      <c r="I9" s="60">
        <v>9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43.625</v>
      </c>
      <c r="C10" s="114">
        <v>349</v>
      </c>
      <c r="E10" s="29" t="s">
        <v>70</v>
      </c>
      <c r="F10" s="26" t="s">
        <v>25</v>
      </c>
      <c r="G10" s="14">
        <v>9</v>
      </c>
      <c r="H10" s="92">
        <f>IF(B$19=0,0,G10/B$19)</f>
        <v>0.10344827586206896</v>
      </c>
      <c r="I10" s="60">
        <v>5</v>
      </c>
      <c r="K10" s="7">
        <v>8</v>
      </c>
      <c r="L10" s="65">
        <v>-157.19999999999999</v>
      </c>
      <c r="N10" s="77" t="s">
        <v>152</v>
      </c>
      <c r="O10" s="86">
        <f>IF(P10=0,0,Q10/P10)</f>
        <v>-18.146666666666661</v>
      </c>
      <c r="P10" s="80">
        <v>15</v>
      </c>
      <c r="Q10" s="71">
        <v>-272.19999999999993</v>
      </c>
    </row>
    <row r="11" spans="1:17" x14ac:dyDescent="0.45">
      <c r="A11" s="22" t="s">
        <v>186</v>
      </c>
      <c r="B11" s="113">
        <f>IF(B8=0,0,C11/B8)</f>
        <v>-0.6357142857142859</v>
      </c>
      <c r="C11" s="114">
        <v>-8.9000000000000021</v>
      </c>
      <c r="E11" s="29" t="s">
        <v>65</v>
      </c>
      <c r="F11" s="26" t="s">
        <v>21</v>
      </c>
      <c r="G11" s="14">
        <v>6</v>
      </c>
      <c r="H11" s="92">
        <f>IF(B$19=0,0,G11/B$19)</f>
        <v>6.8965517241379309E-2</v>
      </c>
      <c r="I11" s="60">
        <v>10</v>
      </c>
      <c r="K11" s="7">
        <v>9</v>
      </c>
      <c r="L11" s="65">
        <v>-172.39999999999998</v>
      </c>
      <c r="N11" s="78" t="s">
        <v>153</v>
      </c>
      <c r="O11" s="87">
        <f>IF(P11=0,0,Q11/P11)</f>
        <v>-6.4066666666666672</v>
      </c>
      <c r="P11" s="81">
        <v>15</v>
      </c>
      <c r="Q11" s="72">
        <v>-96.100000000000009</v>
      </c>
    </row>
    <row r="12" spans="1:17" x14ac:dyDescent="0.45">
      <c r="A12" s="22" t="s">
        <v>187</v>
      </c>
      <c r="B12" s="113">
        <f>IF(B9=0,0,C12/B9)</f>
        <v>-33.050000000000004</v>
      </c>
      <c r="C12" s="114">
        <v>-594.90000000000009</v>
      </c>
      <c r="E12" s="29" t="s">
        <v>86</v>
      </c>
      <c r="F12" s="26" t="s">
        <v>41</v>
      </c>
      <c r="G12" s="14">
        <v>6</v>
      </c>
      <c r="H12" s="92">
        <f>IF(B$19=0,0,G12/B$19)</f>
        <v>6.8965517241379309E-2</v>
      </c>
      <c r="I12" s="60">
        <v>4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31">
        <f>AVERAGE(B10:B12)</f>
        <v>3.3130952380952365</v>
      </c>
      <c r="C13" s="132"/>
      <c r="E13" s="29" t="s">
        <v>71</v>
      </c>
      <c r="F13" s="26" t="s">
        <v>26</v>
      </c>
      <c r="G13" s="14">
        <v>4</v>
      </c>
      <c r="H13" s="92">
        <f>IF(B$19=0,0,G13/B$19)</f>
        <v>4.5977011494252873E-2</v>
      </c>
      <c r="I13" s="60">
        <v>8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0.15</v>
      </c>
      <c r="E14" s="29" t="s">
        <v>78</v>
      </c>
      <c r="F14" s="26" t="s">
        <v>33</v>
      </c>
      <c r="G14" s="14">
        <v>4</v>
      </c>
      <c r="H14" s="92">
        <f>IF(B$19=0,0,G14/B$19)</f>
        <v>4.5977011494252873E-2</v>
      </c>
      <c r="I14" s="60">
        <v>3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74</v>
      </c>
      <c r="C15" s="12">
        <f>IF(B$3=0,0,B15/B$3)</f>
        <v>0.24183006535947713</v>
      </c>
      <c r="E15" s="29" t="s">
        <v>81</v>
      </c>
      <c r="F15" s="26" t="s">
        <v>36</v>
      </c>
      <c r="G15" s="14">
        <v>3</v>
      </c>
      <c r="H15" s="92">
        <f>IF(B$19=0,0,G15/B$19)</f>
        <v>3.4482758620689655E-2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 t="shared" ref="O15:O21" si="2">IF(P15=0,0,Q15/P15)</f>
        <v>19.970000000000006</v>
      </c>
      <c r="P15" s="80">
        <v>10</v>
      </c>
      <c r="Q15" s="71">
        <v>199.70000000000005</v>
      </c>
    </row>
    <row r="16" spans="1:17" x14ac:dyDescent="0.45">
      <c r="A16" s="21" t="s">
        <v>118</v>
      </c>
      <c r="B16" s="14">
        <v>47</v>
      </c>
      <c r="C16" s="8">
        <f>IF(B$3=0,0,B16/B$3)</f>
        <v>0.15359477124183007</v>
      </c>
      <c r="E16" s="29" t="s">
        <v>73</v>
      </c>
      <c r="F16" s="26" t="s">
        <v>28</v>
      </c>
      <c r="G16" s="14">
        <v>1</v>
      </c>
      <c r="H16" s="92">
        <f>IF(B$19=0,0,G16/B$19)</f>
        <v>1.1494252873563218E-2</v>
      </c>
      <c r="I16" s="60">
        <v>2</v>
      </c>
      <c r="K16" s="7">
        <v>14</v>
      </c>
      <c r="L16" s="65">
        <v>-330.7</v>
      </c>
      <c r="N16" s="78" t="s">
        <v>240</v>
      </c>
      <c r="O16" s="87">
        <f t="shared" si="2"/>
        <v>12.500000000000002</v>
      </c>
      <c r="P16" s="81">
        <v>2</v>
      </c>
      <c r="Q16" s="72">
        <v>25.000000000000004</v>
      </c>
    </row>
    <row r="17" spans="1:17" x14ac:dyDescent="0.45">
      <c r="A17" s="20" t="s">
        <v>123</v>
      </c>
      <c r="B17" s="13">
        <f>B23</f>
        <v>40</v>
      </c>
      <c r="C17" s="6">
        <f>IF(B$15=0,0,B17/B$15)</f>
        <v>0.54054054054054057</v>
      </c>
      <c r="E17" s="29" t="s">
        <v>87</v>
      </c>
      <c r="F17" s="26" t="s">
        <v>42</v>
      </c>
      <c r="G17" s="14">
        <v>1</v>
      </c>
      <c r="H17" s="92">
        <f>IF(B$19=0,0,G17/B$19)</f>
        <v>1.1494252873563218E-2</v>
      </c>
      <c r="I17" s="60">
        <v>1</v>
      </c>
      <c r="K17" s="7">
        <v>15</v>
      </c>
      <c r="L17" s="65">
        <v>-284.09999999999997</v>
      </c>
      <c r="N17" s="78" t="s">
        <v>205</v>
      </c>
      <c r="O17" s="87">
        <f t="shared" si="2"/>
        <v>-0.79166666666666596</v>
      </c>
      <c r="P17" s="81">
        <v>12</v>
      </c>
      <c r="Q17" s="72">
        <v>-9.4999999999999911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0.57446808510638303</v>
      </c>
      <c r="E18" s="29" t="s">
        <v>91</v>
      </c>
      <c r="F18" s="26" t="s">
        <v>46</v>
      </c>
      <c r="G18" s="14">
        <v>1</v>
      </c>
      <c r="H18" s="92">
        <f>IF(B$19=0,0,G18/B$19)</f>
        <v>1.1494252873563218E-2</v>
      </c>
      <c r="I18" s="60">
        <v>5</v>
      </c>
      <c r="K18" s="7">
        <v>16</v>
      </c>
      <c r="L18" s="65">
        <v>-234.59999999999997</v>
      </c>
      <c r="N18" s="78" t="s">
        <v>192</v>
      </c>
      <c r="O18" s="87">
        <f t="shared" si="2"/>
        <v>-4.0250000000000004</v>
      </c>
      <c r="P18" s="81">
        <v>16</v>
      </c>
      <c r="Q18" s="72">
        <v>-64.400000000000006</v>
      </c>
    </row>
    <row r="19" spans="1:17" x14ac:dyDescent="0.45">
      <c r="A19" s="20" t="s">
        <v>10</v>
      </c>
      <c r="B19" s="13">
        <f>B22+B21</f>
        <v>87</v>
      </c>
      <c r="C19" s="6">
        <f>IF(B$3=0,0,B19/B$3)</f>
        <v>0.28431372549019607</v>
      </c>
      <c r="E19" s="29" t="s">
        <v>92</v>
      </c>
      <c r="F19" s="26" t="s">
        <v>47</v>
      </c>
      <c r="G19" s="14">
        <v>1</v>
      </c>
      <c r="H19" s="92">
        <f>IF(B$19=0,0,G19/B$19)</f>
        <v>1.1494252873563218E-2</v>
      </c>
      <c r="I19" s="60">
        <v>5</v>
      </c>
      <c r="K19" s="7">
        <v>17</v>
      </c>
      <c r="L19" s="65">
        <v>-233.19999999999996</v>
      </c>
      <c r="N19" s="78" t="s">
        <v>126</v>
      </c>
      <c r="O19" s="87">
        <f t="shared" si="2"/>
        <v>-17.357692307692307</v>
      </c>
      <c r="P19" s="81">
        <v>26</v>
      </c>
      <c r="Q19" s="72">
        <v>-451.3</v>
      </c>
    </row>
    <row r="20" spans="1:17" x14ac:dyDescent="0.45">
      <c r="A20" s="21" t="s">
        <v>13</v>
      </c>
      <c r="B20" s="14">
        <v>50</v>
      </c>
      <c r="C20" s="8">
        <f>IF(B$3=0,0,B20/B$3)</f>
        <v>0.16339869281045752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-154.09999999999997</v>
      </c>
      <c r="N20" s="78" t="s">
        <v>196</v>
      </c>
      <c r="O20" s="87">
        <f t="shared" si="2"/>
        <v>-20.5</v>
      </c>
      <c r="P20" s="81">
        <v>1</v>
      </c>
      <c r="Q20" s="72">
        <v>-20.5</v>
      </c>
    </row>
    <row r="21" spans="1:17" x14ac:dyDescent="0.45">
      <c r="A21" s="21" t="s">
        <v>12</v>
      </c>
      <c r="B21" s="14">
        <v>45</v>
      </c>
      <c r="C21" s="8">
        <f>IF(B$19=0,0,B21/B$19)</f>
        <v>0.51724137931034486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7</v>
      </c>
      <c r="K21" s="7">
        <v>19</v>
      </c>
      <c r="L21" s="65">
        <v>-167.29999999999995</v>
      </c>
      <c r="N21" s="78" t="s">
        <v>193</v>
      </c>
      <c r="O21" s="87">
        <f t="shared" si="2"/>
        <v>-34.107692307692304</v>
      </c>
      <c r="P21" s="81">
        <v>13</v>
      </c>
      <c r="Q21" s="72">
        <v>-443.4</v>
      </c>
    </row>
    <row r="22" spans="1:17" x14ac:dyDescent="0.45">
      <c r="A22" s="21" t="s">
        <v>11</v>
      </c>
      <c r="B22" s="14">
        <v>42</v>
      </c>
      <c r="C22" s="8">
        <f>IF(B$19=0,0,B22/B$19)</f>
        <v>0.48275862068965519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40</v>
      </c>
      <c r="C23" s="8">
        <f>IF(B$19=0,0,B23/B$19)</f>
        <v>0.45977011494252873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27</v>
      </c>
      <c r="C24" s="8">
        <f>IF(B$19=0,0,B24/B$19)</f>
        <v>0.31034482758620691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8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20</v>
      </c>
      <c r="C25" s="8">
        <f>IF(B$19=0,0,B25/B$19)</f>
        <v>0.22988505747126436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7955.1724137931033</v>
      </c>
      <c r="C26" s="10">
        <v>692100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9218.3333333333339</v>
      </c>
      <c r="C27" s="100">
        <v>553100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5148.1481481481478</v>
      </c>
      <c r="C28" s="100">
        <v>139000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-7176</v>
      </c>
      <c r="C29" s="100">
        <v>-358800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9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35">
        <v>104100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3.2679738562091504E-3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3">IF(B$19=0,0,B36/B$19)</f>
        <v>0.11494252873563218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16</v>
      </c>
      <c r="C37" s="8">
        <f t="shared" si="3"/>
        <v>0.18390804597701149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17</v>
      </c>
      <c r="C38" s="8">
        <f t="shared" si="3"/>
        <v>0.19540229885057472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14</v>
      </c>
      <c r="C39" s="8">
        <f t="shared" si="3"/>
        <v>0.16091954022988506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-287.2999999999999</v>
      </c>
    </row>
    <row r="40" spans="1:12" x14ac:dyDescent="0.45">
      <c r="A40" s="21" t="s">
        <v>171</v>
      </c>
      <c r="B40" s="122">
        <v>8</v>
      </c>
      <c r="C40" s="8">
        <f t="shared" si="3"/>
        <v>9.1954022988505746E-2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-289.69999999999987</v>
      </c>
    </row>
    <row r="41" spans="1:12" x14ac:dyDescent="0.45">
      <c r="A41" s="21" t="s">
        <v>173</v>
      </c>
      <c r="B41" s="122">
        <v>13</v>
      </c>
      <c r="C41" s="8">
        <f t="shared" si="3"/>
        <v>0.14942528735632185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-263.09999999999985</v>
      </c>
    </row>
    <row r="42" spans="1:12" x14ac:dyDescent="0.45">
      <c r="A42" s="21" t="s">
        <v>174</v>
      </c>
      <c r="B42" s="122">
        <v>4</v>
      </c>
      <c r="C42" s="8">
        <f t="shared" si="3"/>
        <v>4.5977011494252873E-2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-254.79999999999984</v>
      </c>
    </row>
    <row r="43" spans="1:12" x14ac:dyDescent="0.45">
      <c r="A43" s="21" t="s">
        <v>175</v>
      </c>
      <c r="B43" s="122">
        <v>2</v>
      </c>
      <c r="C43" s="8">
        <f t="shared" si="3"/>
        <v>2.2988505747126436E-2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1.1494252873563218E-2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1.1494252873563218E-2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1.1494252873563218E-2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6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192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62</v>
      </c>
      <c r="C2" s="140"/>
      <c r="E2" s="28" t="s">
        <v>72</v>
      </c>
      <c r="F2" s="25" t="s">
        <v>27</v>
      </c>
      <c r="G2" s="13">
        <v>92</v>
      </c>
      <c r="H2" s="91">
        <f>IF(B$19=0,0,G2/B$19)</f>
        <v>0.66666666666666663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-57.377049180327866</v>
      </c>
      <c r="P2" s="80">
        <v>61</v>
      </c>
      <c r="Q2" s="67">
        <v>-3500</v>
      </c>
    </row>
    <row r="3" spans="1:17" x14ac:dyDescent="0.45">
      <c r="A3" s="21" t="s">
        <v>8</v>
      </c>
      <c r="B3" s="141">
        <v>504</v>
      </c>
      <c r="C3" s="142"/>
      <c r="E3" s="29" t="s">
        <v>66</v>
      </c>
      <c r="F3" s="26" t="s">
        <v>22</v>
      </c>
      <c r="G3" s="14">
        <v>89</v>
      </c>
      <c r="H3" s="92">
        <f>IF(B$19=0,0,G3/B$19)</f>
        <v>0.64492753623188404</v>
      </c>
      <c r="I3" s="60">
        <v>8</v>
      </c>
      <c r="K3" s="7">
        <v>1</v>
      </c>
      <c r="L3" s="65">
        <v>-0.5</v>
      </c>
      <c r="N3" s="78" t="s">
        <v>129</v>
      </c>
      <c r="O3" s="84">
        <f t="shared" si="0"/>
        <v>-318.03278688524591</v>
      </c>
      <c r="P3" s="81">
        <v>61</v>
      </c>
      <c r="Q3" s="68">
        <v>-19400</v>
      </c>
    </row>
    <row r="4" spans="1:17" x14ac:dyDescent="0.45">
      <c r="A4" s="21" t="s">
        <v>6</v>
      </c>
      <c r="B4" s="143">
        <v>-83.499999999999957</v>
      </c>
      <c r="C4" s="144"/>
      <c r="E4" s="29" t="s">
        <v>64</v>
      </c>
      <c r="F4" s="26" t="s">
        <v>20</v>
      </c>
      <c r="G4" s="14">
        <v>60</v>
      </c>
      <c r="H4" s="92">
        <f>IF(B$19=0,0,G4/B$19)</f>
        <v>0.43478260869565216</v>
      </c>
      <c r="I4" s="60">
        <v>9</v>
      </c>
      <c r="K4" s="7">
        <v>2</v>
      </c>
      <c r="L4" s="65">
        <v>-62.8</v>
      </c>
      <c r="N4" s="78" t="s">
        <v>130</v>
      </c>
      <c r="O4" s="84">
        <f t="shared" si="0"/>
        <v>-1090</v>
      </c>
      <c r="P4" s="81">
        <v>60</v>
      </c>
      <c r="Q4" s="68">
        <v>-65400</v>
      </c>
    </row>
    <row r="5" spans="1:17" x14ac:dyDescent="0.45">
      <c r="A5" s="21" t="s">
        <v>7</v>
      </c>
      <c r="B5" s="131">
        <f>IF(B$2=0,0,B$4/B$2)</f>
        <v>-1.3467741935483863</v>
      </c>
      <c r="C5" s="132"/>
      <c r="E5" s="29" t="s">
        <v>160</v>
      </c>
      <c r="F5" s="26" t="s">
        <v>161</v>
      </c>
      <c r="G5" s="14">
        <v>54</v>
      </c>
      <c r="H5" s="92">
        <f>IF(B$19=0,0,G5/B$19)</f>
        <v>0.39130434782608697</v>
      </c>
      <c r="I5" s="60">
        <v>10</v>
      </c>
      <c r="K5" s="7">
        <v>3</v>
      </c>
      <c r="L5" s="65">
        <v>-48.5</v>
      </c>
      <c r="N5" s="78" t="s">
        <v>131</v>
      </c>
      <c r="O5" s="84">
        <f t="shared" si="0"/>
        <v>1647.3684210526317</v>
      </c>
      <c r="P5" s="81">
        <v>57</v>
      </c>
      <c r="Q5" s="68">
        <v>93900</v>
      </c>
    </row>
    <row r="6" spans="1:17" x14ac:dyDescent="0.45">
      <c r="A6" s="21" t="s">
        <v>1</v>
      </c>
      <c r="B6" s="145">
        <f>IF(B$2=0,0,(B$7*1+B$8*2+B$9*3)/B$2)</f>
        <v>2.0483870967741935</v>
      </c>
      <c r="C6" s="146"/>
      <c r="E6" s="29" t="s">
        <v>67</v>
      </c>
      <c r="F6" s="26" t="s">
        <v>23</v>
      </c>
      <c r="G6" s="14">
        <v>40</v>
      </c>
      <c r="H6" s="92">
        <f>IF(B$19=0,0,G6/B$19)</f>
        <v>0.28985507246376813</v>
      </c>
      <c r="I6" s="60">
        <v>2</v>
      </c>
      <c r="K6" s="7">
        <v>4</v>
      </c>
      <c r="L6" s="65">
        <v>-75.599999999999994</v>
      </c>
      <c r="N6" s="78" t="s">
        <v>132</v>
      </c>
      <c r="O6" s="84">
        <f t="shared" si="0"/>
        <v>-1290.1960784313726</v>
      </c>
      <c r="P6" s="81">
        <v>51</v>
      </c>
      <c r="Q6" s="68">
        <v>-65800</v>
      </c>
    </row>
    <row r="7" spans="1:17" x14ac:dyDescent="0.45">
      <c r="A7" s="21" t="s">
        <v>2</v>
      </c>
      <c r="B7" s="14">
        <v>20</v>
      </c>
      <c r="C7" s="8">
        <f t="shared" ref="C7:C14" si="1">IF(B$2=0,0,B7/B$2)</f>
        <v>0.32258064516129031</v>
      </c>
      <c r="E7" s="29" t="s">
        <v>68</v>
      </c>
      <c r="F7" s="26" t="s">
        <v>12</v>
      </c>
      <c r="G7" s="14">
        <v>35</v>
      </c>
      <c r="H7" s="92">
        <f>IF(B$19=0,0,G7/B$19)</f>
        <v>0.25362318840579712</v>
      </c>
      <c r="I7" s="60">
        <v>10</v>
      </c>
      <c r="K7" s="7">
        <v>5</v>
      </c>
      <c r="L7" s="65">
        <v>-96.5</v>
      </c>
      <c r="N7" s="79" t="s">
        <v>133</v>
      </c>
      <c r="O7" s="85">
        <f t="shared" si="0"/>
        <v>-1578.0487804878048</v>
      </c>
      <c r="P7" s="82">
        <v>41</v>
      </c>
      <c r="Q7" s="69">
        <v>-64700</v>
      </c>
    </row>
    <row r="8" spans="1:17" x14ac:dyDescent="0.45">
      <c r="A8" s="21" t="s">
        <v>3</v>
      </c>
      <c r="B8" s="14">
        <v>19</v>
      </c>
      <c r="C8" s="8">
        <f t="shared" si="1"/>
        <v>0.30645161290322581</v>
      </c>
      <c r="E8" s="29" t="s">
        <v>89</v>
      </c>
      <c r="F8" s="26" t="s">
        <v>44</v>
      </c>
      <c r="G8" s="14">
        <v>18</v>
      </c>
      <c r="H8" s="92">
        <f>IF(B$19=0,0,G8/B$19)</f>
        <v>0.13043478260869565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23</v>
      </c>
      <c r="C9" s="9">
        <f t="shared" si="1"/>
        <v>0.37096774193548387</v>
      </c>
      <c r="E9" s="29" t="s">
        <v>69</v>
      </c>
      <c r="F9" s="26" t="s">
        <v>24</v>
      </c>
      <c r="G9" s="14">
        <v>14</v>
      </c>
      <c r="H9" s="92">
        <f>IF(B$19=0,0,G9/B$19)</f>
        <v>0.10144927536231885</v>
      </c>
      <c r="I9" s="60">
        <v>10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39.295000000000002</v>
      </c>
      <c r="C10" s="114">
        <v>785.90000000000009</v>
      </c>
      <c r="E10" s="29" t="s">
        <v>65</v>
      </c>
      <c r="F10" s="26" t="s">
        <v>21</v>
      </c>
      <c r="G10" s="14">
        <v>9</v>
      </c>
      <c r="H10" s="92">
        <f>IF(B$19=0,0,G10/B$19)</f>
        <v>6.5217391304347824E-2</v>
      </c>
      <c r="I10" s="60">
        <v>11</v>
      </c>
      <c r="K10" s="7">
        <v>8</v>
      </c>
      <c r="L10" s="65">
        <v>-28.3</v>
      </c>
      <c r="N10" s="77" t="s">
        <v>152</v>
      </c>
      <c r="O10" s="86">
        <f>IF(P10=0,0,Q10/P10)</f>
        <v>-9.9523809523809526</v>
      </c>
      <c r="P10" s="80">
        <v>21</v>
      </c>
      <c r="Q10" s="71">
        <v>-209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70</v>
      </c>
      <c r="F11" s="26" t="s">
        <v>25</v>
      </c>
      <c r="G11" s="14">
        <v>8</v>
      </c>
      <c r="H11" s="92">
        <f>IF(B$19=0,0,G11/B$19)</f>
        <v>5.7971014492753624E-2</v>
      </c>
      <c r="I11" s="60">
        <v>8</v>
      </c>
      <c r="K11" s="7">
        <v>9</v>
      </c>
      <c r="L11" s="65">
        <v>-20.3</v>
      </c>
      <c r="N11" s="78" t="s">
        <v>153</v>
      </c>
      <c r="O11" s="87">
        <f>IF(P11=0,0,Q11/P11)</f>
        <v>0.99047619047619107</v>
      </c>
      <c r="P11" s="81">
        <v>21</v>
      </c>
      <c r="Q11" s="72">
        <v>20.800000000000011</v>
      </c>
    </row>
    <row r="12" spans="1:17" x14ac:dyDescent="0.45">
      <c r="A12" s="22" t="s">
        <v>187</v>
      </c>
      <c r="B12" s="113">
        <f>IF(B9=0,0,C12/B9)</f>
        <v>-35.060869565217388</v>
      </c>
      <c r="C12" s="114">
        <v>-806.39999999999986</v>
      </c>
      <c r="E12" s="29" t="s">
        <v>71</v>
      </c>
      <c r="F12" s="26" t="s">
        <v>26</v>
      </c>
      <c r="G12" s="14">
        <v>8</v>
      </c>
      <c r="H12" s="92">
        <f>IF(B$19=0,0,G12/B$19)</f>
        <v>5.7971014492753624E-2</v>
      </c>
      <c r="I12" s="60">
        <v>5</v>
      </c>
      <c r="K12" s="7">
        <v>10</v>
      </c>
      <c r="L12" s="65">
        <v>-14.9</v>
      </c>
      <c r="N12" s="79" t="s">
        <v>154</v>
      </c>
      <c r="O12" s="88">
        <f>IF(P12=0,0,Q12/P12)</f>
        <v>5.2350000000000012</v>
      </c>
      <c r="P12" s="82">
        <v>20</v>
      </c>
      <c r="Q12" s="73">
        <v>104.70000000000002</v>
      </c>
    </row>
    <row r="13" spans="1:17" x14ac:dyDescent="0.45">
      <c r="A13" s="22" t="s">
        <v>188</v>
      </c>
      <c r="B13" s="131">
        <f>AVERAGE(B10:B12)</f>
        <v>0.30611365369946714</v>
      </c>
      <c r="C13" s="132"/>
      <c r="E13" s="29" t="s">
        <v>83</v>
      </c>
      <c r="F13" s="26" t="s">
        <v>38</v>
      </c>
      <c r="G13" s="14">
        <v>8</v>
      </c>
      <c r="H13" s="92">
        <f>IF(B$19=0,0,G13/B$19)</f>
        <v>5.7971014492753624E-2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8.0645161290322578E-2</v>
      </c>
      <c r="E14" s="29" t="s">
        <v>79</v>
      </c>
      <c r="F14" s="26" t="s">
        <v>34</v>
      </c>
      <c r="G14" s="14">
        <v>6</v>
      </c>
      <c r="H14" s="92">
        <f>IF(B$19=0,0,G14/B$19)</f>
        <v>4.3478260869565216E-2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119</v>
      </c>
      <c r="C15" s="12">
        <f>IF(B$3=0,0,B15/B$3)</f>
        <v>0.2361111111111111</v>
      </c>
      <c r="E15" s="29" t="s">
        <v>78</v>
      </c>
      <c r="F15" s="26" t="s">
        <v>33</v>
      </c>
      <c r="G15" s="14">
        <v>5</v>
      </c>
      <c r="H15" s="92">
        <f>IF(B$19=0,0,G15/B$19)</f>
        <v>3.6231884057971016E-2</v>
      </c>
      <c r="I15" s="60">
        <v>7</v>
      </c>
      <c r="K15" s="7">
        <v>13</v>
      </c>
      <c r="L15" s="65">
        <v>-125.89999999999999</v>
      </c>
      <c r="N15" s="77" t="s">
        <v>240</v>
      </c>
      <c r="O15" s="86">
        <f>IF(P15=0,0,Q15/P15)</f>
        <v>110.30000000000001</v>
      </c>
      <c r="P15" s="80">
        <v>1</v>
      </c>
      <c r="Q15" s="71">
        <v>110.30000000000001</v>
      </c>
    </row>
    <row r="16" spans="1:17" x14ac:dyDescent="0.45">
      <c r="A16" s="21" t="s">
        <v>118</v>
      </c>
      <c r="B16" s="14">
        <v>120</v>
      </c>
      <c r="C16" s="8">
        <f>IF(B$3=0,0,B16/B$3)</f>
        <v>0.23809523809523808</v>
      </c>
      <c r="E16" s="29" t="s">
        <v>91</v>
      </c>
      <c r="F16" s="26" t="s">
        <v>46</v>
      </c>
      <c r="G16" s="14">
        <v>4</v>
      </c>
      <c r="H16" s="92">
        <f>IF(B$19=0,0,G16/B$19)</f>
        <v>2.8985507246376812E-2</v>
      </c>
      <c r="I16" s="60">
        <v>2</v>
      </c>
      <c r="K16" s="7">
        <v>14</v>
      </c>
      <c r="L16" s="65">
        <v>-149.39999999999998</v>
      </c>
      <c r="N16" s="78" t="s">
        <v>189</v>
      </c>
      <c r="O16" s="87">
        <f>IF(P16=0,0,Q16/P16)</f>
        <v>23.599999999999998</v>
      </c>
      <c r="P16" s="81">
        <v>3</v>
      </c>
      <c r="Q16" s="72">
        <v>70.8</v>
      </c>
    </row>
    <row r="17" spans="1:17" x14ac:dyDescent="0.45">
      <c r="A17" s="20" t="s">
        <v>123</v>
      </c>
      <c r="B17" s="13">
        <f>B23</f>
        <v>63</v>
      </c>
      <c r="C17" s="6">
        <f>IF(B$15=0,0,B17/B$15)</f>
        <v>0.52941176470588236</v>
      </c>
      <c r="E17" s="29" t="s">
        <v>81</v>
      </c>
      <c r="F17" s="26" t="s">
        <v>36</v>
      </c>
      <c r="G17" s="14">
        <v>3</v>
      </c>
      <c r="H17" s="92">
        <f>IF(B$19=0,0,G17/B$19)</f>
        <v>2.1739130434782608E-2</v>
      </c>
      <c r="I17" s="60">
        <v>6</v>
      </c>
      <c r="K17" s="7">
        <v>15</v>
      </c>
      <c r="L17" s="65">
        <v>-121.39999999999998</v>
      </c>
      <c r="N17" s="78" t="s">
        <v>193</v>
      </c>
      <c r="O17" s="87">
        <f>IF(P17=0,0,Q17/P17)</f>
        <v>13.673913043478265</v>
      </c>
      <c r="P17" s="81">
        <v>23</v>
      </c>
      <c r="Q17" s="72">
        <v>314.50000000000011</v>
      </c>
    </row>
    <row r="18" spans="1:17" x14ac:dyDescent="0.45">
      <c r="A18" s="20" t="s">
        <v>124</v>
      </c>
      <c r="B18" s="13">
        <f>B24</f>
        <v>49</v>
      </c>
      <c r="C18" s="6">
        <f>IF(B$16=0,0,B18/B$16)</f>
        <v>0.40833333333333333</v>
      </c>
      <c r="E18" s="29" t="s">
        <v>86</v>
      </c>
      <c r="F18" s="26" t="s">
        <v>41</v>
      </c>
      <c r="G18" s="14">
        <v>3</v>
      </c>
      <c r="H18" s="92">
        <f>IF(B$19=0,0,G18/B$19)</f>
        <v>2.1739130434782608E-2</v>
      </c>
      <c r="I18" s="60">
        <v>9</v>
      </c>
      <c r="K18" s="7">
        <v>16</v>
      </c>
      <c r="L18" s="65">
        <v>-141.29999999999998</v>
      </c>
      <c r="N18" s="78" t="s">
        <v>194</v>
      </c>
      <c r="O18" s="87">
        <f>IF(P18=0,0,Q18/P18)</f>
        <v>4.0250000000000021</v>
      </c>
      <c r="P18" s="81">
        <v>16</v>
      </c>
      <c r="Q18" s="72">
        <v>64.400000000000034</v>
      </c>
    </row>
    <row r="19" spans="1:17" x14ac:dyDescent="0.45">
      <c r="A19" s="20" t="s">
        <v>10</v>
      </c>
      <c r="B19" s="13">
        <f>B22+B21</f>
        <v>138</v>
      </c>
      <c r="C19" s="6">
        <f>IF(B$3=0,0,B19/B$3)</f>
        <v>0.27380952380952384</v>
      </c>
      <c r="E19" s="29" t="s">
        <v>92</v>
      </c>
      <c r="F19" s="26" t="s">
        <v>47</v>
      </c>
      <c r="G19" s="14">
        <v>3</v>
      </c>
      <c r="H19" s="92">
        <f>IF(B$19=0,0,G19/B$19)</f>
        <v>2.1739130434782608E-2</v>
      </c>
      <c r="I19" s="60">
        <v>1</v>
      </c>
      <c r="K19" s="7">
        <v>17</v>
      </c>
      <c r="L19" s="65">
        <v>-149.1</v>
      </c>
      <c r="N19" s="78" t="s">
        <v>205</v>
      </c>
      <c r="O19" s="87">
        <f>IF(P19=0,0,Q19/P19)</f>
        <v>-0.84166666666666501</v>
      </c>
      <c r="P19" s="81">
        <v>12</v>
      </c>
      <c r="Q19" s="72">
        <v>-10.09999999999998</v>
      </c>
    </row>
    <row r="20" spans="1:17" x14ac:dyDescent="0.45">
      <c r="A20" s="21" t="s">
        <v>13</v>
      </c>
      <c r="B20" s="14">
        <v>59</v>
      </c>
      <c r="C20" s="8">
        <f>IF(B$3=0,0,B20/B$3)</f>
        <v>0.11706349206349206</v>
      </c>
      <c r="E20" s="29" t="s">
        <v>75</v>
      </c>
      <c r="F20" s="26" t="s">
        <v>30</v>
      </c>
      <c r="G20" s="14">
        <v>1</v>
      </c>
      <c r="H20" s="92">
        <f>IF(B$19=0,0,G20/B$19)</f>
        <v>7.246376811594203E-3</v>
      </c>
      <c r="I20" s="60">
        <v>4</v>
      </c>
      <c r="K20" s="7">
        <v>18</v>
      </c>
      <c r="L20" s="65">
        <v>-201.89999999999998</v>
      </c>
      <c r="N20" s="78" t="s">
        <v>164</v>
      </c>
      <c r="O20" s="87">
        <f>IF(P20=0,0,Q20/P20)</f>
        <v>-2.3038461538461528</v>
      </c>
      <c r="P20" s="81">
        <v>26</v>
      </c>
      <c r="Q20" s="72">
        <v>-59.899999999999977</v>
      </c>
    </row>
    <row r="21" spans="1:17" x14ac:dyDescent="0.45">
      <c r="A21" s="21" t="s">
        <v>12</v>
      </c>
      <c r="B21" s="14">
        <v>59</v>
      </c>
      <c r="C21" s="8">
        <f>IF(B$19=0,0,B21/B$19)</f>
        <v>0.42753623188405798</v>
      </c>
      <c r="E21" s="29" t="s">
        <v>77</v>
      </c>
      <c r="F21" s="26" t="s">
        <v>32</v>
      </c>
      <c r="G21" s="14">
        <v>1</v>
      </c>
      <c r="H21" s="92">
        <f>IF(B$19=0,0,G21/B$19)</f>
        <v>7.246376811594203E-3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>IF(P21=0,0,Q21/P21)</f>
        <v>-14.1625</v>
      </c>
      <c r="P21" s="81">
        <v>8</v>
      </c>
      <c r="Q21" s="72">
        <v>-113.3</v>
      </c>
    </row>
    <row r="22" spans="1:17" x14ac:dyDescent="0.45">
      <c r="A22" s="21" t="s">
        <v>11</v>
      </c>
      <c r="B22" s="14">
        <v>79</v>
      </c>
      <c r="C22" s="8">
        <f>IF(B$19=0,0,B22/B$19)</f>
        <v>0.57246376811594202</v>
      </c>
      <c r="E22" s="29" t="s">
        <v>85</v>
      </c>
      <c r="F22" s="26" t="s">
        <v>40</v>
      </c>
      <c r="G22" s="14">
        <v>1</v>
      </c>
      <c r="H22" s="92">
        <f>IF(B$19=0,0,G22/B$19)</f>
        <v>7.246376811594203E-3</v>
      </c>
      <c r="I22" s="60">
        <v>2</v>
      </c>
      <c r="K22" s="7">
        <v>20</v>
      </c>
      <c r="L22" s="65">
        <v>-140.19999999999999</v>
      </c>
      <c r="N22" s="78" t="s">
        <v>126</v>
      </c>
      <c r="O22" s="87">
        <f>IF(P22=0,0,Q22/P22)</f>
        <v>-17.920000000000005</v>
      </c>
      <c r="P22" s="81">
        <v>35</v>
      </c>
      <c r="Q22" s="72">
        <v>-627.20000000000016</v>
      </c>
    </row>
    <row r="23" spans="1:17" x14ac:dyDescent="0.45">
      <c r="A23" s="21" t="s">
        <v>184</v>
      </c>
      <c r="B23" s="14">
        <v>63</v>
      </c>
      <c r="C23" s="8">
        <f>IF(B$19=0,0,B23/B$19)</f>
        <v>0.45652173913043476</v>
      </c>
      <c r="E23" s="29" t="s">
        <v>95</v>
      </c>
      <c r="F23" s="26" t="s">
        <v>50</v>
      </c>
      <c r="G23" s="14">
        <v>1</v>
      </c>
      <c r="H23" s="92">
        <f>IF(B$19=0,0,G23/B$19)</f>
        <v>7.246376811594203E-3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49</v>
      </c>
      <c r="C24" s="8">
        <f>IF(B$19=0,0,B24/B$19)</f>
        <v>0.35507246376811596</v>
      </c>
      <c r="E24" s="29" t="s">
        <v>156</v>
      </c>
      <c r="F24" s="26" t="s">
        <v>157</v>
      </c>
      <c r="G24" s="14">
        <v>1</v>
      </c>
      <c r="H24" s="92">
        <f>IF(B$19=0,0,G24/B$19)</f>
        <v>7.246376811594203E-3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26</v>
      </c>
      <c r="C25" s="8">
        <f>IF(B$19=0,0,B25/B$19)</f>
        <v>0.18840579710144928</v>
      </c>
      <c r="E25" s="29" t="s">
        <v>73</v>
      </c>
      <c r="F25" s="26" t="s">
        <v>28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8257.246376811594</v>
      </c>
      <c r="C26" s="10">
        <v>1139500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8732.5842696629206</v>
      </c>
      <c r="C27" s="100">
        <v>777200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7393.8775510204077</v>
      </c>
      <c r="C28" s="100">
        <v>362300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-8298.3050847457635</v>
      </c>
      <c r="C29" s="100">
        <v>-489600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84</v>
      </c>
      <c r="F30" s="26" t="s">
        <v>39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33">
        <v>5</v>
      </c>
      <c r="C32" s="13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-201</v>
      </c>
    </row>
    <row r="33" spans="1:12" x14ac:dyDescent="0.45">
      <c r="A33" s="24" t="s">
        <v>181</v>
      </c>
      <c r="B33" s="135">
        <v>107400</v>
      </c>
      <c r="C33" s="13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-137.5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7.9710144927536225E-2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25</v>
      </c>
      <c r="C37" s="8">
        <f t="shared" si="2"/>
        <v>0.18115942028985507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33</v>
      </c>
      <c r="C38" s="8">
        <f t="shared" si="2"/>
        <v>0.2391304347826087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22</v>
      </c>
      <c r="C39" s="8">
        <f t="shared" si="2"/>
        <v>0.15942028985507245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16</v>
      </c>
      <c r="C40" s="8">
        <f t="shared" si="2"/>
        <v>0.11594202898550725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9</v>
      </c>
      <c r="C41" s="8">
        <f t="shared" si="2"/>
        <v>6.5217391304347824E-2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9</v>
      </c>
      <c r="C42" s="8">
        <f t="shared" si="2"/>
        <v>6.5217391304347824E-2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2.1739130434782608E-2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2"/>
        <v>1.4492753623188406E-2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2"/>
        <v>2.1739130434782608E-2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7.246376811594203E-3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4</v>
      </c>
      <c r="C48" s="11">
        <f t="shared" si="2"/>
        <v>2.8985507246376812E-2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  <row r="58" spans="5:12" x14ac:dyDescent="0.45">
      <c r="K58" s="7">
        <v>56</v>
      </c>
      <c r="L58" s="65">
        <v>-92.099999999999966</v>
      </c>
    </row>
    <row r="59" spans="5:12" x14ac:dyDescent="0.45">
      <c r="K59" s="7">
        <v>57</v>
      </c>
      <c r="L59" s="65">
        <v>-112.99999999999997</v>
      </c>
    </row>
    <row r="60" spans="5:12" x14ac:dyDescent="0.45">
      <c r="K60" s="7">
        <v>58</v>
      </c>
      <c r="L60" s="65">
        <v>-30.599999999999966</v>
      </c>
    </row>
    <row r="61" spans="5:12" x14ac:dyDescent="0.45">
      <c r="K61" s="7">
        <v>59</v>
      </c>
      <c r="L61" s="65">
        <v>-56.299999999999969</v>
      </c>
    </row>
    <row r="62" spans="5:12" x14ac:dyDescent="0.45">
      <c r="K62" s="7">
        <v>60</v>
      </c>
      <c r="L62" s="65">
        <v>-98.69999999999996</v>
      </c>
    </row>
    <row r="63" spans="5:12" x14ac:dyDescent="0.45">
      <c r="K63" s="7">
        <v>61</v>
      </c>
      <c r="L63" s="65">
        <v>-47.69999999999996</v>
      </c>
    </row>
    <row r="64" spans="5:12" x14ac:dyDescent="0.45">
      <c r="K64" s="7">
        <v>62</v>
      </c>
      <c r="L64" s="65">
        <v>-83.499999999999957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193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39</v>
      </c>
      <c r="C2" s="140"/>
      <c r="E2" s="28" t="s">
        <v>72</v>
      </c>
      <c r="F2" s="25" t="s">
        <v>27</v>
      </c>
      <c r="G2" s="13">
        <v>64</v>
      </c>
      <c r="H2" s="91">
        <f>IF(B$19=0,0,G2/B$19)</f>
        <v>0.65979381443298968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-1100</v>
      </c>
      <c r="P2" s="80">
        <v>39</v>
      </c>
      <c r="Q2" s="67">
        <v>-42900</v>
      </c>
    </row>
    <row r="3" spans="1:17" x14ac:dyDescent="0.45">
      <c r="A3" s="21" t="s">
        <v>8</v>
      </c>
      <c r="B3" s="141">
        <v>297</v>
      </c>
      <c r="C3" s="142"/>
      <c r="E3" s="29" t="s">
        <v>66</v>
      </c>
      <c r="F3" s="26" t="s">
        <v>22</v>
      </c>
      <c r="G3" s="14">
        <v>63</v>
      </c>
      <c r="H3" s="92">
        <f>IF(B$19=0,0,G3/B$19)</f>
        <v>0.64948453608247425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-1273.6842105263158</v>
      </c>
      <c r="P3" s="81">
        <v>38</v>
      </c>
      <c r="Q3" s="68">
        <v>-48400</v>
      </c>
    </row>
    <row r="4" spans="1:17" x14ac:dyDescent="0.45">
      <c r="A4" s="21" t="s">
        <v>6</v>
      </c>
      <c r="B4" s="143">
        <v>39.500000000000014</v>
      </c>
      <c r="C4" s="144"/>
      <c r="E4" s="29" t="s">
        <v>160</v>
      </c>
      <c r="F4" s="26" t="s">
        <v>161</v>
      </c>
      <c r="G4" s="14">
        <v>33</v>
      </c>
      <c r="H4" s="92">
        <f>IF(B$19=0,0,G4/B$19)</f>
        <v>0.34020618556701032</v>
      </c>
      <c r="I4" s="60">
        <v>11</v>
      </c>
      <c r="K4" s="7">
        <v>2</v>
      </c>
      <c r="L4" s="65">
        <v>137.5</v>
      </c>
      <c r="N4" s="78" t="s">
        <v>130</v>
      </c>
      <c r="O4" s="84">
        <f t="shared" si="0"/>
        <v>2820.5882352941176</v>
      </c>
      <c r="P4" s="81">
        <v>34</v>
      </c>
      <c r="Q4" s="68">
        <v>95900</v>
      </c>
    </row>
    <row r="5" spans="1:17" x14ac:dyDescent="0.45">
      <c r="A5" s="21" t="s">
        <v>7</v>
      </c>
      <c r="B5" s="131">
        <f>IF(B$2=0,0,B$4/B$2)</f>
        <v>1.0128205128205132</v>
      </c>
      <c r="C5" s="132"/>
      <c r="E5" s="29" t="s">
        <v>64</v>
      </c>
      <c r="F5" s="26" t="s">
        <v>20</v>
      </c>
      <c r="G5" s="14">
        <v>29</v>
      </c>
      <c r="H5" s="92">
        <f>IF(B$19=0,0,G5/B$19)</f>
        <v>0.29896907216494845</v>
      </c>
      <c r="I5" s="60">
        <v>12</v>
      </c>
      <c r="K5" s="7">
        <v>3</v>
      </c>
      <c r="L5" s="65">
        <v>159</v>
      </c>
      <c r="N5" s="78" t="s">
        <v>131</v>
      </c>
      <c r="O5" s="84">
        <f t="shared" si="0"/>
        <v>-1887.0967741935483</v>
      </c>
      <c r="P5" s="81">
        <v>31</v>
      </c>
      <c r="Q5" s="68">
        <v>-58500</v>
      </c>
    </row>
    <row r="6" spans="1:17" x14ac:dyDescent="0.45">
      <c r="A6" s="21" t="s">
        <v>1</v>
      </c>
      <c r="B6" s="145">
        <f>IF(B$2=0,0,(B$7*1+B$8*2+B$9*3)/B$2)</f>
        <v>1.9743589743589745</v>
      </c>
      <c r="C6" s="146"/>
      <c r="E6" s="29" t="s">
        <v>68</v>
      </c>
      <c r="F6" s="26" t="s">
        <v>12</v>
      </c>
      <c r="G6" s="14">
        <v>24</v>
      </c>
      <c r="H6" s="92">
        <f>IF(B$19=0,0,G6/B$19)</f>
        <v>0.24742268041237114</v>
      </c>
      <c r="I6" s="60">
        <v>12</v>
      </c>
      <c r="K6" s="7">
        <v>4</v>
      </c>
      <c r="L6" s="65">
        <v>112.4</v>
      </c>
      <c r="N6" s="78" t="s">
        <v>132</v>
      </c>
      <c r="O6" s="84">
        <f t="shared" si="0"/>
        <v>1711.5384615384614</v>
      </c>
      <c r="P6" s="81">
        <v>26</v>
      </c>
      <c r="Q6" s="68">
        <v>44500</v>
      </c>
    </row>
    <row r="7" spans="1:17" x14ac:dyDescent="0.45">
      <c r="A7" s="21" t="s">
        <v>2</v>
      </c>
      <c r="B7" s="14">
        <v>13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22</v>
      </c>
      <c r="H7" s="92">
        <f>IF(B$19=0,0,G7/B$19)</f>
        <v>0.22680412371134021</v>
      </c>
      <c r="I7" s="60">
        <v>9</v>
      </c>
      <c r="K7" s="7">
        <v>5</v>
      </c>
      <c r="L7" s="65">
        <v>140.30000000000001</v>
      </c>
      <c r="N7" s="79" t="s">
        <v>133</v>
      </c>
      <c r="O7" s="85">
        <f t="shared" si="0"/>
        <v>-113.04347826086956</v>
      </c>
      <c r="P7" s="82">
        <v>23</v>
      </c>
      <c r="Q7" s="69">
        <v>-2600</v>
      </c>
    </row>
    <row r="8" spans="1:17" x14ac:dyDescent="0.45">
      <c r="A8" s="21" t="s">
        <v>3</v>
      </c>
      <c r="B8" s="14">
        <v>14</v>
      </c>
      <c r="C8" s="8">
        <f t="shared" si="1"/>
        <v>0.35897435897435898</v>
      </c>
      <c r="E8" s="29" t="s">
        <v>69</v>
      </c>
      <c r="F8" s="26" t="s">
        <v>24</v>
      </c>
      <c r="G8" s="14">
        <v>13</v>
      </c>
      <c r="H8" s="92">
        <f>IF(B$19=0,0,G8/B$19)</f>
        <v>0.13402061855670103</v>
      </c>
      <c r="I8" s="60">
        <v>5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0.30769230769230771</v>
      </c>
      <c r="E9" s="29" t="s">
        <v>83</v>
      </c>
      <c r="F9" s="26" t="s">
        <v>38</v>
      </c>
      <c r="G9" s="14">
        <v>11</v>
      </c>
      <c r="H9" s="92">
        <f>IF(B$19=0,0,G9/B$19)</f>
        <v>0.1134020618556701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38.730769230769234</v>
      </c>
      <c r="C10" s="114">
        <v>503.5</v>
      </c>
      <c r="E10" s="29" t="s">
        <v>89</v>
      </c>
      <c r="F10" s="26" t="s">
        <v>44</v>
      </c>
      <c r="G10" s="14">
        <v>10</v>
      </c>
      <c r="H10" s="92">
        <f>IF(B$19=0,0,G10/B$19)</f>
        <v>0.10309278350515463</v>
      </c>
      <c r="I10" s="60">
        <v>10</v>
      </c>
      <c r="K10" s="7">
        <v>8</v>
      </c>
      <c r="L10" s="65">
        <v>96.800000000000011</v>
      </c>
      <c r="N10" s="77" t="s">
        <v>152</v>
      </c>
      <c r="O10" s="86">
        <f>IF(P10=0,0,Q10/P10)</f>
        <v>-7.8636363636363624</v>
      </c>
      <c r="P10" s="80">
        <v>11</v>
      </c>
      <c r="Q10" s="71">
        <v>-86.499999999999986</v>
      </c>
    </row>
    <row r="11" spans="1:17" x14ac:dyDescent="0.45">
      <c r="A11" s="22" t="s">
        <v>186</v>
      </c>
      <c r="B11" s="113">
        <f>IF(B8=0,0,C11/B8)</f>
        <v>-0.32142857142857195</v>
      </c>
      <c r="C11" s="114">
        <v>-4.5000000000000071</v>
      </c>
      <c r="E11" s="29" t="s">
        <v>65</v>
      </c>
      <c r="F11" s="26" t="s">
        <v>21</v>
      </c>
      <c r="G11" s="14">
        <v>9</v>
      </c>
      <c r="H11" s="92">
        <f>IF(B$19=0,0,G11/B$19)</f>
        <v>9.2783505154639179E-2</v>
      </c>
      <c r="I11" s="60">
        <v>8</v>
      </c>
      <c r="K11" s="7">
        <v>9</v>
      </c>
      <c r="L11" s="65">
        <v>51.600000000000009</v>
      </c>
      <c r="N11" s="78" t="s">
        <v>153</v>
      </c>
      <c r="O11" s="87">
        <f>IF(P11=0,0,Q11/P11)</f>
        <v>-1.6307692307692312</v>
      </c>
      <c r="P11" s="81">
        <v>13</v>
      </c>
      <c r="Q11" s="72">
        <v>-21.200000000000006</v>
      </c>
    </row>
    <row r="12" spans="1:17" x14ac:dyDescent="0.45">
      <c r="A12" s="22" t="s">
        <v>187</v>
      </c>
      <c r="B12" s="113">
        <f>IF(B9=0,0,C12/B9)</f>
        <v>-38.291666666666664</v>
      </c>
      <c r="C12" s="114">
        <v>-459.5</v>
      </c>
      <c r="E12" s="29" t="s">
        <v>81</v>
      </c>
      <c r="F12" s="26" t="s">
        <v>36</v>
      </c>
      <c r="G12" s="14">
        <v>6</v>
      </c>
      <c r="H12" s="92">
        <f>IF(B$19=0,0,G12/B$19)</f>
        <v>6.1855670103092786E-2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9.8133333333333308</v>
      </c>
      <c r="P12" s="82">
        <v>15</v>
      </c>
      <c r="Q12" s="73">
        <v>147.19999999999996</v>
      </c>
    </row>
    <row r="13" spans="1:17" x14ac:dyDescent="0.45">
      <c r="A13" s="22" t="s">
        <v>188</v>
      </c>
      <c r="B13" s="131">
        <f>AVERAGE(B10:B12)</f>
        <v>3.9224664224666604E-2</v>
      </c>
      <c r="C13" s="132"/>
      <c r="E13" s="29" t="s">
        <v>70</v>
      </c>
      <c r="F13" s="26" t="s">
        <v>25</v>
      </c>
      <c r="G13" s="14">
        <v>4</v>
      </c>
      <c r="H13" s="92">
        <f>IF(B$19=0,0,G13/B$19)</f>
        <v>4.1237113402061855E-2</v>
      </c>
      <c r="I13" s="60">
        <v>9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0.17948717948717949</v>
      </c>
      <c r="E14" s="29" t="s">
        <v>78</v>
      </c>
      <c r="F14" s="26" t="s">
        <v>33</v>
      </c>
      <c r="G14" s="14">
        <v>4</v>
      </c>
      <c r="H14" s="92">
        <f>IF(B$19=0,0,G14/B$19)</f>
        <v>4.1237113402061855E-2</v>
      </c>
      <c r="I14" s="60">
        <v>6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48</v>
      </c>
      <c r="C15" s="12">
        <f>IF(B$3=0,0,B15/B$3)</f>
        <v>0.16161616161616163</v>
      </c>
      <c r="E15" s="29" t="s">
        <v>71</v>
      </c>
      <c r="F15" s="26" t="s">
        <v>26</v>
      </c>
      <c r="G15" s="14">
        <v>3</v>
      </c>
      <c r="H15" s="92">
        <f>IF(B$19=0,0,G15/B$19)</f>
        <v>3.0927835051546393E-2</v>
      </c>
      <c r="I15" s="60">
        <v>9</v>
      </c>
      <c r="K15" s="7">
        <v>13</v>
      </c>
      <c r="L15" s="65">
        <v>83.1</v>
      </c>
      <c r="N15" s="77" t="s">
        <v>243</v>
      </c>
      <c r="O15" s="86">
        <f>IF(P15=0,0,Q15/P15)</f>
        <v>35.599999999999994</v>
      </c>
      <c r="P15" s="80">
        <v>1</v>
      </c>
      <c r="Q15" s="71">
        <v>35.599999999999994</v>
      </c>
    </row>
    <row r="16" spans="1:17" x14ac:dyDescent="0.45">
      <c r="A16" s="21" t="s">
        <v>118</v>
      </c>
      <c r="B16" s="14">
        <v>102</v>
      </c>
      <c r="C16" s="8">
        <f>IF(B$3=0,0,B16/B$3)</f>
        <v>0.34343434343434343</v>
      </c>
      <c r="E16" s="29" t="s">
        <v>86</v>
      </c>
      <c r="F16" s="26" t="s">
        <v>41</v>
      </c>
      <c r="G16" s="14">
        <v>3</v>
      </c>
      <c r="H16" s="92">
        <f>IF(B$19=0,0,G16/B$19)</f>
        <v>3.0927835051546393E-2</v>
      </c>
      <c r="I16" s="60">
        <v>8</v>
      </c>
      <c r="K16" s="7">
        <v>14</v>
      </c>
      <c r="L16" s="65">
        <v>89.399999999999991</v>
      </c>
      <c r="N16" s="78" t="s">
        <v>205</v>
      </c>
      <c r="O16" s="87">
        <f>IF(P16=0,0,Q16/P16)</f>
        <v>35.35</v>
      </c>
      <c r="P16" s="81">
        <v>4</v>
      </c>
      <c r="Q16" s="72">
        <v>141.4</v>
      </c>
    </row>
    <row r="17" spans="1:17" x14ac:dyDescent="0.45">
      <c r="A17" s="20" t="s">
        <v>123</v>
      </c>
      <c r="B17" s="13">
        <f>B23</f>
        <v>30</v>
      </c>
      <c r="C17" s="6">
        <f>IF(B$15=0,0,B17/B$15)</f>
        <v>0.625</v>
      </c>
      <c r="E17" s="29" t="s">
        <v>77</v>
      </c>
      <c r="F17" s="26" t="s">
        <v>32</v>
      </c>
      <c r="G17" s="14">
        <v>2</v>
      </c>
      <c r="H17" s="92">
        <f>IF(B$19=0,0,G17/B$19)</f>
        <v>2.0618556701030927E-2</v>
      </c>
      <c r="I17" s="60">
        <v>3</v>
      </c>
      <c r="K17" s="7">
        <v>15</v>
      </c>
      <c r="L17" s="65">
        <v>112.6</v>
      </c>
      <c r="N17" s="78" t="s">
        <v>194</v>
      </c>
      <c r="O17" s="87">
        <f>IF(P17=0,0,Q17/P17)</f>
        <v>34.107692307692304</v>
      </c>
      <c r="P17" s="81">
        <v>13</v>
      </c>
      <c r="Q17" s="72">
        <v>443.4</v>
      </c>
    </row>
    <row r="18" spans="1:17" x14ac:dyDescent="0.45">
      <c r="A18" s="20" t="s">
        <v>124</v>
      </c>
      <c r="B18" s="13">
        <f>B24</f>
        <v>44</v>
      </c>
      <c r="C18" s="6">
        <f>IF(B$16=0,0,B18/B$16)</f>
        <v>0.43137254901960786</v>
      </c>
      <c r="E18" s="29" t="s">
        <v>79</v>
      </c>
      <c r="F18" s="26" t="s">
        <v>34</v>
      </c>
      <c r="G18" s="14">
        <v>2</v>
      </c>
      <c r="H18" s="92">
        <f>IF(B$19=0,0,G18/B$19)</f>
        <v>2.0618556701030927E-2</v>
      </c>
      <c r="I18" s="60">
        <v>7</v>
      </c>
      <c r="K18" s="7">
        <v>16</v>
      </c>
      <c r="L18" s="65">
        <v>119.3</v>
      </c>
      <c r="N18" s="78" t="s">
        <v>196</v>
      </c>
      <c r="O18" s="87">
        <f>IF(P18=0,0,Q18/P18)</f>
        <v>21.5</v>
      </c>
      <c r="P18" s="81">
        <v>3</v>
      </c>
      <c r="Q18" s="72">
        <v>64.5</v>
      </c>
    </row>
    <row r="19" spans="1:17" x14ac:dyDescent="0.45">
      <c r="A19" s="20" t="s">
        <v>10</v>
      </c>
      <c r="B19" s="13">
        <f>B22+B21</f>
        <v>97</v>
      </c>
      <c r="C19" s="6">
        <f>IF(B$3=0,0,B19/B$3)</f>
        <v>0.32659932659932661</v>
      </c>
      <c r="E19" s="29" t="s">
        <v>85</v>
      </c>
      <c r="F19" s="26" t="s">
        <v>40</v>
      </c>
      <c r="G19" s="14">
        <v>2</v>
      </c>
      <c r="H19" s="92">
        <f>IF(B$19=0,0,G19/B$19)</f>
        <v>2.0618556701030927E-2</v>
      </c>
      <c r="I19" s="60">
        <v>1</v>
      </c>
      <c r="K19" s="7">
        <v>17</v>
      </c>
      <c r="L19" s="65">
        <v>71.699999999999989</v>
      </c>
      <c r="N19" s="78" t="s">
        <v>164</v>
      </c>
      <c r="O19" s="87">
        <f>IF(P19=0,0,Q19/P19)</f>
        <v>5.3</v>
      </c>
      <c r="P19" s="81">
        <v>12</v>
      </c>
      <c r="Q19" s="72">
        <v>63.6</v>
      </c>
    </row>
    <row r="20" spans="1:17" x14ac:dyDescent="0.45">
      <c r="A20" s="21" t="s">
        <v>13</v>
      </c>
      <c r="B20" s="14">
        <v>44</v>
      </c>
      <c r="C20" s="8">
        <f>IF(B$3=0,0,B20/B$3)</f>
        <v>0.14814814814814814</v>
      </c>
      <c r="E20" s="29" t="s">
        <v>74</v>
      </c>
      <c r="F20" s="26" t="s">
        <v>29</v>
      </c>
      <c r="G20" s="14">
        <v>1</v>
      </c>
      <c r="H20" s="92">
        <f>IF(B$19=0,0,G20/B$19)</f>
        <v>1.0309278350515464E-2</v>
      </c>
      <c r="I20" s="60">
        <v>1</v>
      </c>
      <c r="K20" s="7">
        <v>18</v>
      </c>
      <c r="L20" s="65">
        <v>45.399999999999991</v>
      </c>
      <c r="N20" s="78" t="s">
        <v>189</v>
      </c>
      <c r="O20" s="87">
        <f>IF(P20=0,0,Q20/P20)</f>
        <v>4.2000000000000011</v>
      </c>
      <c r="P20" s="81">
        <v>4</v>
      </c>
      <c r="Q20" s="72">
        <v>16.800000000000004</v>
      </c>
    </row>
    <row r="21" spans="1:17" x14ac:dyDescent="0.45">
      <c r="A21" s="21" t="s">
        <v>12</v>
      </c>
      <c r="B21" s="14">
        <v>45</v>
      </c>
      <c r="C21" s="8">
        <f>IF(B$19=0,0,B21/B$19)</f>
        <v>0.46391752577319589</v>
      </c>
      <c r="E21" s="29" t="s">
        <v>75</v>
      </c>
      <c r="F21" s="26" t="s">
        <v>30</v>
      </c>
      <c r="G21" s="14">
        <v>1</v>
      </c>
      <c r="H21" s="92">
        <f>IF(B$19=0,0,G21/B$19)</f>
        <v>1.0309278350515464E-2</v>
      </c>
      <c r="I21" s="60">
        <v>2</v>
      </c>
      <c r="K21" s="7">
        <v>19</v>
      </c>
      <c r="L21" s="65">
        <v>100.1</v>
      </c>
      <c r="N21" s="78" t="s">
        <v>192</v>
      </c>
      <c r="O21" s="87">
        <f>IF(P21=0,0,Q21/P21)</f>
        <v>-13.673913043478265</v>
      </c>
      <c r="P21" s="81">
        <v>23</v>
      </c>
      <c r="Q21" s="72">
        <v>-314.50000000000011</v>
      </c>
    </row>
    <row r="22" spans="1:17" x14ac:dyDescent="0.45">
      <c r="A22" s="21" t="s">
        <v>11</v>
      </c>
      <c r="B22" s="14">
        <v>52</v>
      </c>
      <c r="C22" s="8">
        <f>IF(B$19=0,0,B22/B$19)</f>
        <v>0.53608247422680411</v>
      </c>
      <c r="E22" s="29" t="s">
        <v>88</v>
      </c>
      <c r="F22" s="26" t="s">
        <v>43</v>
      </c>
      <c r="G22" s="14">
        <v>1</v>
      </c>
      <c r="H22" s="92">
        <f>IF(B$19=0,0,G22/B$19)</f>
        <v>1.0309278350515464E-2</v>
      </c>
      <c r="I22" s="60">
        <v>1</v>
      </c>
      <c r="K22" s="7">
        <v>20</v>
      </c>
      <c r="L22" s="65">
        <v>52.8</v>
      </c>
      <c r="N22" s="78" t="s">
        <v>126</v>
      </c>
      <c r="O22" s="87">
        <f>IF(P22=0,0,Q22/P22)</f>
        <v>-18.461111111111112</v>
      </c>
      <c r="P22" s="81">
        <v>18</v>
      </c>
      <c r="Q22" s="72">
        <v>-332.3</v>
      </c>
    </row>
    <row r="23" spans="1:17" x14ac:dyDescent="0.45">
      <c r="A23" s="21" t="s">
        <v>184</v>
      </c>
      <c r="B23" s="14">
        <v>30</v>
      </c>
      <c r="C23" s="8">
        <f>IF(B$19=0,0,B23/B$19)</f>
        <v>0.30927835051546393</v>
      </c>
      <c r="E23" s="29" t="s">
        <v>102</v>
      </c>
      <c r="F23" s="26" t="s">
        <v>57</v>
      </c>
      <c r="G23" s="14">
        <v>1</v>
      </c>
      <c r="H23" s="92">
        <f>IF(B$19=0,0,G23/B$19)</f>
        <v>1.0309278350515464E-2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44</v>
      </c>
      <c r="C24" s="8">
        <f>IF(B$19=0,0,B24/B$19)</f>
        <v>0.45360824742268041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23</v>
      </c>
      <c r="C25" s="8">
        <f>IF(B$19=0,0,B25/B$19)</f>
        <v>0.23711340206185566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7609.2783505154639</v>
      </c>
      <c r="C26" s="10">
        <v>738100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8781.132075471698</v>
      </c>
      <c r="C27" s="100">
        <v>465400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6197.727272727273</v>
      </c>
      <c r="C28" s="100">
        <v>272700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-8179.545454545455</v>
      </c>
      <c r="C29" s="100">
        <v>-359900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5">
      <c r="A32" s="56" t="s">
        <v>136</v>
      </c>
      <c r="B32" s="133">
        <v>6</v>
      </c>
      <c r="C32" s="13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35">
        <v>106500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10</v>
      </c>
      <c r="C36" s="102">
        <f t="shared" ref="C36:C48" si="2">IF(B$19=0,0,B36/B$19)</f>
        <v>0.10309278350515463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63.800000000000011</v>
      </c>
    </row>
    <row r="37" spans="1:12" x14ac:dyDescent="0.45">
      <c r="A37" s="21" t="s">
        <v>168</v>
      </c>
      <c r="B37" s="14">
        <v>23</v>
      </c>
      <c r="C37" s="8">
        <f t="shared" si="2"/>
        <v>0.23711340206185566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94.4</v>
      </c>
    </row>
    <row r="38" spans="1:12" x14ac:dyDescent="0.45">
      <c r="A38" s="21" t="s">
        <v>169</v>
      </c>
      <c r="B38" s="122">
        <v>18</v>
      </c>
      <c r="C38" s="8">
        <f t="shared" si="2"/>
        <v>0.18556701030927836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89.100000000000009</v>
      </c>
    </row>
    <row r="39" spans="1:12" x14ac:dyDescent="0.45">
      <c r="A39" s="21" t="s">
        <v>170</v>
      </c>
      <c r="B39" s="122">
        <v>12</v>
      </c>
      <c r="C39" s="8">
        <f t="shared" si="2"/>
        <v>0.12371134020618557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106.30000000000001</v>
      </c>
    </row>
    <row r="40" spans="1:12" x14ac:dyDescent="0.45">
      <c r="A40" s="21" t="s">
        <v>171</v>
      </c>
      <c r="B40" s="122">
        <v>18</v>
      </c>
      <c r="C40" s="8">
        <f t="shared" si="2"/>
        <v>0.18556701030927836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60.300000000000011</v>
      </c>
    </row>
    <row r="41" spans="1:12" x14ac:dyDescent="0.45">
      <c r="A41" s="21" t="s">
        <v>173</v>
      </c>
      <c r="B41" s="122">
        <v>8</v>
      </c>
      <c r="C41" s="8">
        <f t="shared" si="2"/>
        <v>8.247422680412371E-2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39.500000000000014</v>
      </c>
    </row>
    <row r="42" spans="1:12" x14ac:dyDescent="0.45">
      <c r="A42" s="21" t="s">
        <v>174</v>
      </c>
      <c r="B42" s="122">
        <v>5</v>
      </c>
      <c r="C42" s="8">
        <f t="shared" si="2"/>
        <v>5.1546391752577317E-2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2"/>
        <v>1.0309278350515464E-2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1.0309278350515464E-2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1.0309278350515464E-2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</v>
      </c>
      <c r="C2" s="140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45">
      <c r="A3" s="21" t="s">
        <v>8</v>
      </c>
      <c r="B3" s="141">
        <v>73</v>
      </c>
      <c r="C3" s="142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45">
      <c r="A4" s="21" t="s">
        <v>6</v>
      </c>
      <c r="B4" s="143">
        <v>21.599999999999987</v>
      </c>
      <c r="C4" s="144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3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45">
      <c r="A5" s="21" t="s">
        <v>7</v>
      </c>
      <c r="B5" s="131">
        <f>IF(B$2=0,0,B$4/B$2)</f>
        <v>2.3999999999999986</v>
      </c>
      <c r="C5" s="132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4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45">
      <c r="A6" s="21" t="s">
        <v>1</v>
      </c>
      <c r="B6" s="145">
        <f>IF(B$2=0,0,(B$7*1+B$8*2+B$9*3)/B$2)</f>
        <v>1.8888888888888888</v>
      </c>
      <c r="C6" s="146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12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5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6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11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31">
        <f>AVERAGE(B10:B12)</f>
        <v>9.3444444444444432</v>
      </c>
      <c r="C13" s="132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10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89000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205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42</v>
      </c>
      <c r="C2" s="140"/>
      <c r="E2" s="28" t="s">
        <v>66</v>
      </c>
      <c r="F2" s="25" t="s">
        <v>22</v>
      </c>
      <c r="G2" s="13">
        <v>89</v>
      </c>
      <c r="H2" s="91">
        <f>IF(B$19=0,0,G2/B$19)</f>
        <v>0.87254901960784315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680</v>
      </c>
      <c r="P2" s="80">
        <v>40</v>
      </c>
      <c r="Q2" s="67">
        <v>27200</v>
      </c>
    </row>
    <row r="3" spans="1:17" x14ac:dyDescent="0.45">
      <c r="A3" s="21" t="s">
        <v>8</v>
      </c>
      <c r="B3" s="141">
        <v>323</v>
      </c>
      <c r="C3" s="142"/>
      <c r="E3" s="29" t="s">
        <v>72</v>
      </c>
      <c r="F3" s="26" t="s">
        <v>27</v>
      </c>
      <c r="G3" s="14">
        <v>56</v>
      </c>
      <c r="H3" s="92">
        <f>IF(B$19=0,0,G3/B$19)</f>
        <v>0.5490196078431373</v>
      </c>
      <c r="I3" s="60">
        <v>6</v>
      </c>
      <c r="K3" s="7">
        <v>1</v>
      </c>
      <c r="L3" s="65">
        <v>68.2</v>
      </c>
      <c r="N3" s="78" t="s">
        <v>129</v>
      </c>
      <c r="O3" s="84">
        <f t="shared" si="0"/>
        <v>-2204.7619047619046</v>
      </c>
      <c r="P3" s="81">
        <v>42</v>
      </c>
      <c r="Q3" s="68">
        <v>-92600</v>
      </c>
    </row>
    <row r="4" spans="1:17" x14ac:dyDescent="0.45">
      <c r="A4" s="21" t="s">
        <v>6</v>
      </c>
      <c r="B4" s="143">
        <v>-193.20000000000002</v>
      </c>
      <c r="C4" s="144"/>
      <c r="E4" s="29" t="s">
        <v>160</v>
      </c>
      <c r="F4" s="26" t="s">
        <v>161</v>
      </c>
      <c r="G4" s="14">
        <v>48</v>
      </c>
      <c r="H4" s="92">
        <f>IF(B$19=0,0,G4/B$19)</f>
        <v>0.47058823529411764</v>
      </c>
      <c r="I4" s="60">
        <v>4</v>
      </c>
      <c r="K4" s="7">
        <v>2</v>
      </c>
      <c r="L4" s="65">
        <v>41.2</v>
      </c>
      <c r="N4" s="78" t="s">
        <v>130</v>
      </c>
      <c r="O4" s="84">
        <f t="shared" si="0"/>
        <v>-1525</v>
      </c>
      <c r="P4" s="81">
        <v>40</v>
      </c>
      <c r="Q4" s="68">
        <v>-61000</v>
      </c>
    </row>
    <row r="5" spans="1:17" x14ac:dyDescent="0.45">
      <c r="A5" s="21" t="s">
        <v>7</v>
      </c>
      <c r="B5" s="131">
        <f>IF(B$2=0,0,B$4/B$2)</f>
        <v>-4.6000000000000005</v>
      </c>
      <c r="C5" s="132"/>
      <c r="E5" s="29" t="s">
        <v>64</v>
      </c>
      <c r="F5" s="26" t="s">
        <v>20</v>
      </c>
      <c r="G5" s="14">
        <v>38</v>
      </c>
      <c r="H5" s="92">
        <f>IF(B$19=0,0,G5/B$19)</f>
        <v>0.37254901960784315</v>
      </c>
      <c r="I5" s="60">
        <v>11</v>
      </c>
      <c r="K5" s="7">
        <v>3</v>
      </c>
      <c r="L5" s="65">
        <v>8.9000000000000057</v>
      </c>
      <c r="N5" s="78" t="s">
        <v>131</v>
      </c>
      <c r="O5" s="84">
        <f t="shared" si="0"/>
        <v>1436.1111111111111</v>
      </c>
      <c r="P5" s="81">
        <v>36</v>
      </c>
      <c r="Q5" s="68">
        <v>51700</v>
      </c>
    </row>
    <row r="6" spans="1:17" x14ac:dyDescent="0.45">
      <c r="A6" s="21" t="s">
        <v>1</v>
      </c>
      <c r="B6" s="145">
        <f>IF(B$2=0,0,(B$7*1+B$8*2+B$9*3)/B$2)</f>
        <v>2.0952380952380953</v>
      </c>
      <c r="C6" s="146"/>
      <c r="E6" s="29" t="s">
        <v>68</v>
      </c>
      <c r="F6" s="26" t="s">
        <v>12</v>
      </c>
      <c r="G6" s="14">
        <v>28</v>
      </c>
      <c r="H6" s="92">
        <f>IF(B$19=0,0,G6/B$19)</f>
        <v>0.27450980392156865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-1740</v>
      </c>
      <c r="P6" s="81">
        <v>35</v>
      </c>
      <c r="Q6" s="68">
        <v>-60900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26</v>
      </c>
      <c r="H7" s="92">
        <f>IF(B$19=0,0,G7/B$19)</f>
        <v>0.25490196078431371</v>
      </c>
      <c r="I7" s="60">
        <v>6</v>
      </c>
      <c r="K7" s="7">
        <v>5</v>
      </c>
      <c r="L7" s="65">
        <v>-72.899999999999991</v>
      </c>
      <c r="N7" s="79" t="s">
        <v>133</v>
      </c>
      <c r="O7" s="85">
        <f t="shared" si="0"/>
        <v>-1759.2592592592594</v>
      </c>
      <c r="P7" s="82">
        <v>27</v>
      </c>
      <c r="Q7" s="69">
        <v>-47500</v>
      </c>
    </row>
    <row r="8" spans="1:17" x14ac:dyDescent="0.45">
      <c r="A8" s="21" t="s">
        <v>3</v>
      </c>
      <c r="B8" s="14">
        <v>14</v>
      </c>
      <c r="C8" s="8">
        <f t="shared" si="1"/>
        <v>0.33333333333333331</v>
      </c>
      <c r="E8" s="29" t="s">
        <v>89</v>
      </c>
      <c r="F8" s="26" t="s">
        <v>44</v>
      </c>
      <c r="G8" s="14">
        <v>17</v>
      </c>
      <c r="H8" s="92">
        <f>IF(B$19=0,0,G8/B$19)</f>
        <v>0.16666666666666666</v>
      </c>
      <c r="I8" s="60">
        <v>4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0.38095238095238093</v>
      </c>
      <c r="E9" s="29" t="s">
        <v>69</v>
      </c>
      <c r="F9" s="26" t="s">
        <v>24</v>
      </c>
      <c r="G9" s="14">
        <v>16</v>
      </c>
      <c r="H9" s="92">
        <f>IF(B$19=0,0,G9/B$19)</f>
        <v>0.15686274509803921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0.11764705882352941</v>
      </c>
      <c r="I10" s="60">
        <v>4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5">
      <c r="A11" s="22" t="s">
        <v>186</v>
      </c>
      <c r="B11" s="113">
        <f>IF(B8=0,0,C11/B8)</f>
        <v>-1.4642857142857142</v>
      </c>
      <c r="C11" s="114">
        <v>-20.5</v>
      </c>
      <c r="E11" s="29" t="s">
        <v>65</v>
      </c>
      <c r="F11" s="26" t="s">
        <v>21</v>
      </c>
      <c r="G11" s="14">
        <v>8</v>
      </c>
      <c r="H11" s="92">
        <f>IF(B$19=0,0,G11/B$19)</f>
        <v>7.8431372549019607E-2</v>
      </c>
      <c r="I11" s="60">
        <v>9</v>
      </c>
      <c r="K11" s="7">
        <v>9</v>
      </c>
      <c r="L11" s="65">
        <v>-120</v>
      </c>
      <c r="N11" s="78" t="s">
        <v>153</v>
      </c>
      <c r="O11" s="87">
        <f>IF(P11=0,0,Q11/P11)</f>
        <v>-0.61538461538461553</v>
      </c>
      <c r="P11" s="81">
        <v>13</v>
      </c>
      <c r="Q11" s="72">
        <v>-8.0000000000000018</v>
      </c>
    </row>
    <row r="12" spans="1:17" x14ac:dyDescent="0.45">
      <c r="A12" s="22" t="s">
        <v>187</v>
      </c>
      <c r="B12" s="113">
        <f>IF(B9=0,0,C12/B9)</f>
        <v>-37.456249999999997</v>
      </c>
      <c r="C12" s="114">
        <v>-599.29999999999995</v>
      </c>
      <c r="E12" s="29" t="s">
        <v>71</v>
      </c>
      <c r="F12" s="26" t="s">
        <v>26</v>
      </c>
      <c r="G12" s="14">
        <v>6</v>
      </c>
      <c r="H12" s="92">
        <f>IF(B$19=0,0,G12/B$19)</f>
        <v>5.8823529411764705E-2</v>
      </c>
      <c r="I12" s="60">
        <v>4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5">
      <c r="A13" s="22" t="s">
        <v>188</v>
      </c>
      <c r="B13" s="131">
        <f>AVERAGE(B10:B12)</f>
        <v>-1.1235119047619051</v>
      </c>
      <c r="C13" s="132"/>
      <c r="E13" s="29" t="s">
        <v>86</v>
      </c>
      <c r="F13" s="26" t="s">
        <v>41</v>
      </c>
      <c r="G13" s="14">
        <v>6</v>
      </c>
      <c r="H13" s="92">
        <f>IF(B$19=0,0,G13/B$19)</f>
        <v>5.8823529411764705E-2</v>
      </c>
      <c r="I13" s="60">
        <v>6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0.11904761904761904</v>
      </c>
      <c r="E14" s="29" t="s">
        <v>78</v>
      </c>
      <c r="F14" s="26" t="s">
        <v>33</v>
      </c>
      <c r="G14" s="14">
        <v>5</v>
      </c>
      <c r="H14" s="92">
        <f>IF(B$19=0,0,G14/B$19)</f>
        <v>4.9019607843137254E-2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57</v>
      </c>
      <c r="C15" s="12">
        <f>IF(B$3=0,0,B15/B$3)</f>
        <v>0.17647058823529413</v>
      </c>
      <c r="E15" s="29" t="s">
        <v>83</v>
      </c>
      <c r="F15" s="26" t="s">
        <v>38</v>
      </c>
      <c r="G15" s="14">
        <v>5</v>
      </c>
      <c r="H15" s="92">
        <f>IF(B$19=0,0,G15/B$19)</f>
        <v>4.9019607843137254E-2</v>
      </c>
      <c r="I15" s="60">
        <v>4</v>
      </c>
      <c r="K15" s="7">
        <v>13</v>
      </c>
      <c r="L15" s="65">
        <v>-63.4</v>
      </c>
      <c r="N15" s="77" t="s">
        <v>192</v>
      </c>
      <c r="O15" s="86">
        <f t="shared" ref="O15:O21" si="2">IF(P15=0,0,Q15/P15)</f>
        <v>0.84166666666666501</v>
      </c>
      <c r="P15" s="80">
        <v>12</v>
      </c>
      <c r="Q15" s="71">
        <v>10.09999999999998</v>
      </c>
    </row>
    <row r="16" spans="1:17" x14ac:dyDescent="0.45">
      <c r="A16" s="21" t="s">
        <v>118</v>
      </c>
      <c r="B16" s="14">
        <v>87</v>
      </c>
      <c r="C16" s="8">
        <f>IF(B$3=0,0,B16/B$3)</f>
        <v>0.26934984520123839</v>
      </c>
      <c r="E16" s="29" t="s">
        <v>81</v>
      </c>
      <c r="F16" s="26" t="s">
        <v>36</v>
      </c>
      <c r="G16" s="14">
        <v>2</v>
      </c>
      <c r="H16" s="92">
        <f>IF(B$19=0,0,G16/B$19)</f>
        <v>1.9607843137254902E-2</v>
      </c>
      <c r="I16" s="60">
        <v>7</v>
      </c>
      <c r="K16" s="7">
        <v>14</v>
      </c>
      <c r="L16" s="65">
        <v>-42.4</v>
      </c>
      <c r="N16" s="78" t="s">
        <v>194</v>
      </c>
      <c r="O16" s="87">
        <f t="shared" si="2"/>
        <v>0.79166666666666663</v>
      </c>
      <c r="P16" s="81">
        <v>12</v>
      </c>
      <c r="Q16" s="72">
        <v>9.5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0.64912280701754388</v>
      </c>
      <c r="E17" s="29" t="s">
        <v>75</v>
      </c>
      <c r="F17" s="26" t="s">
        <v>30</v>
      </c>
      <c r="G17" s="14">
        <v>1</v>
      </c>
      <c r="H17" s="92">
        <f>IF(B$19=0,0,G17/B$19)</f>
        <v>9.8039215686274508E-3</v>
      </c>
      <c r="I17" s="60">
        <v>3</v>
      </c>
      <c r="K17" s="7">
        <v>15</v>
      </c>
      <c r="L17" s="65">
        <v>-65.7</v>
      </c>
      <c r="N17" s="78" t="s">
        <v>240</v>
      </c>
      <c r="O17" s="87">
        <f t="shared" si="2"/>
        <v>-4.8999999999999986</v>
      </c>
      <c r="P17" s="81">
        <v>2</v>
      </c>
      <c r="Q17" s="72">
        <v>-9.7999999999999972</v>
      </c>
    </row>
    <row r="18" spans="1:17" x14ac:dyDescent="0.45">
      <c r="A18" s="20" t="s">
        <v>124</v>
      </c>
      <c r="B18" s="13">
        <f>B24</f>
        <v>28</v>
      </c>
      <c r="C18" s="6">
        <f>IF(B$16=0,0,B18/B$16)</f>
        <v>0.32183908045977011</v>
      </c>
      <c r="E18" s="29" t="s">
        <v>92</v>
      </c>
      <c r="F18" s="26" t="s">
        <v>47</v>
      </c>
      <c r="G18" s="14">
        <v>1</v>
      </c>
      <c r="H18" s="92">
        <f>IF(B$19=0,0,G18/B$19)</f>
        <v>9.8039215686274508E-3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 t="shared" si="2"/>
        <v>-5.4470588235294146</v>
      </c>
      <c r="P18" s="81">
        <v>17</v>
      </c>
      <c r="Q18" s="72">
        <v>-92.600000000000051</v>
      </c>
    </row>
    <row r="19" spans="1:17" x14ac:dyDescent="0.45">
      <c r="A19" s="20" t="s">
        <v>10</v>
      </c>
      <c r="B19" s="13">
        <f>B22+B21</f>
        <v>102</v>
      </c>
      <c r="C19" s="6">
        <f>IF(B$3=0,0,B19/B$3)</f>
        <v>0.31578947368421051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5</v>
      </c>
      <c r="K19" s="7">
        <v>17</v>
      </c>
      <c r="L19" s="65">
        <v>-52.900000000000013</v>
      </c>
      <c r="N19" s="78" t="s">
        <v>126</v>
      </c>
      <c r="O19" s="87">
        <f t="shared" si="2"/>
        <v>-8.2694444444444475</v>
      </c>
      <c r="P19" s="81">
        <v>36</v>
      </c>
      <c r="Q19" s="72">
        <v>-297.7000000000001</v>
      </c>
    </row>
    <row r="20" spans="1:17" x14ac:dyDescent="0.45">
      <c r="A20" s="21" t="s">
        <v>13</v>
      </c>
      <c r="B20" s="14">
        <v>56</v>
      </c>
      <c r="C20" s="8">
        <f>IF(B$3=0,0,B20/B$3)</f>
        <v>0.17337461300309598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193</v>
      </c>
      <c r="O20" s="87">
        <f t="shared" si="2"/>
        <v>-35.35</v>
      </c>
      <c r="P20" s="81">
        <v>4</v>
      </c>
      <c r="Q20" s="72">
        <v>-141.4</v>
      </c>
    </row>
    <row r="21" spans="1:17" x14ac:dyDescent="0.45">
      <c r="A21" s="21" t="s">
        <v>12</v>
      </c>
      <c r="B21" s="14">
        <v>47</v>
      </c>
      <c r="C21" s="8">
        <f>IF(B$19=0,0,B21/B$19)</f>
        <v>0.46078431372549017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  <c r="N21" s="78" t="s">
        <v>189</v>
      </c>
      <c r="O21" s="87">
        <f t="shared" si="2"/>
        <v>-57.7</v>
      </c>
      <c r="P21" s="81">
        <v>1</v>
      </c>
      <c r="Q21" s="72">
        <v>-57.7</v>
      </c>
    </row>
    <row r="22" spans="1:17" x14ac:dyDescent="0.45">
      <c r="A22" s="21" t="s">
        <v>11</v>
      </c>
      <c r="B22" s="14">
        <v>55</v>
      </c>
      <c r="C22" s="8">
        <f>IF(B$19=0,0,B22/B$19)</f>
        <v>0.53921568627450978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37</v>
      </c>
      <c r="C23" s="8">
        <f>IF(B$19=0,0,B23/B$19)</f>
        <v>0.36274509803921567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8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28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37</v>
      </c>
      <c r="C25" s="8">
        <f>IF(B$19=0,0,B25/B$19)</f>
        <v>0.36274509803921567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8118.6274509803925</v>
      </c>
      <c r="C26" s="10">
        <v>828100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8355.405405405405</v>
      </c>
      <c r="C27" s="100">
        <v>618300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-9228.5714285714294</v>
      </c>
      <c r="C29" s="100">
        <v>-516800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5">
      <c r="A32" s="56" t="s">
        <v>136</v>
      </c>
      <c r="B32" s="133">
        <v>10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8</v>
      </c>
      <c r="C36" s="102">
        <f t="shared" ref="C36:C48" si="3">IF(B$19=0,0,B36/B$19)</f>
        <v>7.8431372549019607E-2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25</v>
      </c>
      <c r="C37" s="8">
        <f t="shared" si="3"/>
        <v>0.24509803921568626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15</v>
      </c>
      <c r="C38" s="8">
        <f t="shared" si="3"/>
        <v>0.14705882352941177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19</v>
      </c>
      <c r="C39" s="8">
        <f t="shared" si="3"/>
        <v>0.18627450980392157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5">
      <c r="A40" s="21" t="s">
        <v>171</v>
      </c>
      <c r="B40" s="122">
        <v>13</v>
      </c>
      <c r="C40" s="8">
        <f t="shared" si="3"/>
        <v>0.12745098039215685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5">
      <c r="A41" s="21" t="s">
        <v>173</v>
      </c>
      <c r="B41" s="122">
        <v>9</v>
      </c>
      <c r="C41" s="8">
        <f t="shared" si="3"/>
        <v>8.8235294117647065E-2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5">
      <c r="A42" s="21" t="s">
        <v>174</v>
      </c>
      <c r="B42" s="122">
        <v>4</v>
      </c>
      <c r="C42" s="8">
        <f t="shared" si="3"/>
        <v>3.9215686274509803E-2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5">
      <c r="A43" s="21" t="s">
        <v>175</v>
      </c>
      <c r="B43" s="122">
        <v>3</v>
      </c>
      <c r="C43" s="8">
        <f t="shared" si="3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-200.3</v>
      </c>
    </row>
    <row r="44" spans="1:12" x14ac:dyDescent="0.45">
      <c r="A44" s="21" t="s">
        <v>176</v>
      </c>
      <c r="B44" s="122">
        <v>1</v>
      </c>
      <c r="C44" s="8">
        <f t="shared" si="3"/>
        <v>9.8039215686274508E-3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-193.20000000000002</v>
      </c>
    </row>
    <row r="45" spans="1:12" x14ac:dyDescent="0.45">
      <c r="A45" s="21" t="s">
        <v>177</v>
      </c>
      <c r="B45" s="122">
        <v>1</v>
      </c>
      <c r="C45" s="8">
        <f t="shared" si="3"/>
        <v>9.8039215686274508E-3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3"/>
        <v>1.9607843137254902E-2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9.8039215686274508E-3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9.8039215686274508E-3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212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9</v>
      </c>
      <c r="C2" s="140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41">
        <v>74</v>
      </c>
      <c r="C3" s="142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43">
        <v>-41.599999999999994</v>
      </c>
      <c r="C4" s="144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2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31">
        <f>IF(B$2=0,0,B$4/B$2)</f>
        <v>-4.6222222222222218</v>
      </c>
      <c r="C5" s="132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10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45">
        <f>IF(B$2=0,0,(B$7*1+B$8*2+B$9*3)/B$2)</f>
        <v>2.1111111111111112</v>
      </c>
      <c r="C6" s="146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6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3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6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2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4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31">
        <f>AVERAGE(B10:B12)</f>
        <v>2.1361111111111115</v>
      </c>
      <c r="C13" s="132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5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4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7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95000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A4CB-651C-4988-AFC4-95E613352557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240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-7160</v>
      </c>
      <c r="P2" s="80">
        <v>5</v>
      </c>
      <c r="Q2" s="67">
        <v>-35800</v>
      </c>
    </row>
    <row r="3" spans="1:17" x14ac:dyDescent="0.45">
      <c r="A3" s="21" t="s">
        <v>8</v>
      </c>
      <c r="B3" s="141">
        <v>41</v>
      </c>
      <c r="C3" s="142"/>
      <c r="E3" s="29" t="s">
        <v>68</v>
      </c>
      <c r="F3" s="26" t="s">
        <v>12</v>
      </c>
      <c r="G3" s="14">
        <v>3</v>
      </c>
      <c r="H3" s="92">
        <f>IF(B$19=0,0,G3/B$19)</f>
        <v>0.42857142857142855</v>
      </c>
      <c r="I3" s="60">
        <v>3</v>
      </c>
      <c r="K3" s="7">
        <v>1</v>
      </c>
      <c r="L3" s="65">
        <v>10.199999999999999</v>
      </c>
      <c r="N3" s="78" t="s">
        <v>129</v>
      </c>
      <c r="O3" s="84">
        <f t="shared" si="0"/>
        <v>-2425</v>
      </c>
      <c r="P3" s="81">
        <v>4</v>
      </c>
      <c r="Q3" s="68">
        <v>-9700</v>
      </c>
    </row>
    <row r="4" spans="1:17" x14ac:dyDescent="0.45">
      <c r="A4" s="21" t="s">
        <v>6</v>
      </c>
      <c r="B4" s="143">
        <v>-113.70000000000002</v>
      </c>
      <c r="C4" s="144"/>
      <c r="E4" s="29" t="s">
        <v>72</v>
      </c>
      <c r="F4" s="26" t="s">
        <v>27</v>
      </c>
      <c r="G4" s="14">
        <v>3</v>
      </c>
      <c r="H4" s="92">
        <f>IF(B$19=0,0,G4/B$19)</f>
        <v>0.42857142857142855</v>
      </c>
      <c r="I4" s="60">
        <v>11</v>
      </c>
      <c r="K4" s="7">
        <v>2</v>
      </c>
      <c r="L4" s="65">
        <v>-29.900000000000002</v>
      </c>
      <c r="N4" s="78" t="s">
        <v>130</v>
      </c>
      <c r="O4" s="84">
        <f t="shared" si="0"/>
        <v>4475</v>
      </c>
      <c r="P4" s="81">
        <v>4</v>
      </c>
      <c r="Q4" s="68">
        <v>17900</v>
      </c>
    </row>
    <row r="5" spans="1:17" x14ac:dyDescent="0.45">
      <c r="A5" s="21" t="s">
        <v>7</v>
      </c>
      <c r="B5" s="131">
        <f>IF(B$2=0,0,B$4/B$2)</f>
        <v>-22.740000000000002</v>
      </c>
      <c r="C5" s="132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8</v>
      </c>
      <c r="K5" s="7">
        <v>3</v>
      </c>
      <c r="L5" s="65">
        <v>-37.1</v>
      </c>
      <c r="N5" s="78" t="s">
        <v>131</v>
      </c>
      <c r="O5" s="84">
        <f t="shared" si="0"/>
        <v>-10500</v>
      </c>
      <c r="P5" s="81">
        <v>3</v>
      </c>
      <c r="Q5" s="68">
        <v>-31500</v>
      </c>
    </row>
    <row r="6" spans="1:17" x14ac:dyDescent="0.45">
      <c r="A6" s="21" t="s">
        <v>1</v>
      </c>
      <c r="B6" s="145">
        <f>IF(B$2=0,0,(B$7*1+B$8*2+B$9*3)/B$2)</f>
        <v>2.4</v>
      </c>
      <c r="C6" s="146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1</v>
      </c>
      <c r="K6" s="7">
        <v>4</v>
      </c>
      <c r="L6" s="65">
        <v>-85.800000000000011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2</v>
      </c>
      <c r="H7" s="92">
        <f>IF(B$19=0,0,G7/B$19)</f>
        <v>0.2857142857142857</v>
      </c>
      <c r="I7" s="60">
        <v>11</v>
      </c>
      <c r="K7" s="7">
        <v>5</v>
      </c>
      <c r="L7" s="65">
        <v>-113.70000000000002</v>
      </c>
      <c r="N7" s="79" t="s">
        <v>133</v>
      </c>
      <c r="O7" s="85">
        <f t="shared" si="0"/>
        <v>-11000</v>
      </c>
      <c r="P7" s="82">
        <v>2</v>
      </c>
      <c r="Q7" s="69">
        <v>-22000</v>
      </c>
    </row>
    <row r="8" spans="1:17" x14ac:dyDescent="0.45">
      <c r="A8" s="21" t="s">
        <v>3</v>
      </c>
      <c r="B8" s="14">
        <v>3</v>
      </c>
      <c r="C8" s="8">
        <f t="shared" si="1"/>
        <v>0.6</v>
      </c>
      <c r="E8" s="29" t="s">
        <v>67</v>
      </c>
      <c r="F8" s="26" t="s">
        <v>23</v>
      </c>
      <c r="G8" s="14">
        <v>1</v>
      </c>
      <c r="H8" s="92">
        <f>IF(B$19=0,0,G8/B$19)</f>
        <v>0.14285714285714285</v>
      </c>
      <c r="I8" s="60">
        <v>11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1</v>
      </c>
      <c r="H9" s="92">
        <f>IF(B$19=0,0,G9/B$19)</f>
        <v>0.14285714285714285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1</v>
      </c>
      <c r="N10" s="77" t="s">
        <v>152</v>
      </c>
      <c r="O10" s="86">
        <f>IF(P10=0,0,Q10/P10)</f>
        <v>-40.1</v>
      </c>
      <c r="P10" s="80">
        <v>1</v>
      </c>
      <c r="Q10" s="71">
        <v>-40.1</v>
      </c>
    </row>
    <row r="11" spans="1:17" x14ac:dyDescent="0.45">
      <c r="A11" s="22" t="s">
        <v>186</v>
      </c>
      <c r="B11" s="113">
        <f>IF(B8=0,0,C11/B8)</f>
        <v>-8.2999999999999989</v>
      </c>
      <c r="C11" s="114">
        <v>-24.9</v>
      </c>
      <c r="E11" s="29" t="s">
        <v>79</v>
      </c>
      <c r="F11" s="26" t="s">
        <v>34</v>
      </c>
      <c r="G11" s="14">
        <v>1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-7.2</v>
      </c>
      <c r="P11" s="81">
        <v>1</v>
      </c>
      <c r="Q11" s="72">
        <v>-7.2</v>
      </c>
    </row>
    <row r="12" spans="1:17" x14ac:dyDescent="0.45">
      <c r="A12" s="22" t="s">
        <v>187</v>
      </c>
      <c r="B12" s="113">
        <f>IF(B9=0,0,C12/B9)</f>
        <v>-44.400000000000006</v>
      </c>
      <c r="C12" s="114">
        <v>-88.800000000000011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10</v>
      </c>
      <c r="N12" s="79" t="s">
        <v>154</v>
      </c>
      <c r="O12" s="88">
        <f>IF(P12=0,0,Q12/P12)</f>
        <v>-22.133333333333336</v>
      </c>
      <c r="P12" s="82">
        <v>3</v>
      </c>
      <c r="Q12" s="73">
        <v>-66.400000000000006</v>
      </c>
    </row>
    <row r="13" spans="1:17" x14ac:dyDescent="0.45">
      <c r="A13" s="22" t="s">
        <v>188</v>
      </c>
      <c r="B13" s="131">
        <f>AVERAGE(B10:B12)</f>
        <v>-17.566666666666666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0.26829268292682928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7</v>
      </c>
      <c r="N15" s="77" t="s">
        <v>205</v>
      </c>
      <c r="O15" s="86">
        <f>IF(P15=0,0,Q15/P15)</f>
        <v>4.8999999999999995</v>
      </c>
      <c r="P15" s="80">
        <v>2</v>
      </c>
      <c r="Q15" s="71">
        <v>9.7999999999999989</v>
      </c>
    </row>
    <row r="16" spans="1:17" x14ac:dyDescent="0.45">
      <c r="A16" s="21" t="s">
        <v>118</v>
      </c>
      <c r="B16" s="14">
        <v>5</v>
      </c>
      <c r="C16" s="8">
        <f>IF(B$3=0,0,B16/B$3)</f>
        <v>0.12195121951219512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-12.500000000000002</v>
      </c>
      <c r="P16" s="81">
        <v>2</v>
      </c>
      <c r="Q16" s="72">
        <v>-25.000000000000004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0.45454545454545453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7</v>
      </c>
      <c r="N17" s="78" t="s">
        <v>126</v>
      </c>
      <c r="O17" s="87">
        <f>IF(P17=0,0,Q17/P17)</f>
        <v>-43.120000000000005</v>
      </c>
      <c r="P17" s="81">
        <v>5</v>
      </c>
      <c r="Q17" s="72">
        <v>-215.60000000000002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9</v>
      </c>
      <c r="N18" s="78" t="s">
        <v>192</v>
      </c>
      <c r="O18" s="87">
        <f>IF(P18=0,0,Q18/P18)</f>
        <v>-110.30000000000001</v>
      </c>
      <c r="P18" s="81">
        <v>1</v>
      </c>
      <c r="Q18" s="72">
        <v>-110.30000000000001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0.17073170731707318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6</v>
      </c>
      <c r="C20" s="8">
        <f>IF(B$3=0,0,B20/B$3)</f>
        <v>0.14634146341463414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5</v>
      </c>
      <c r="C23" s="8">
        <f>IF(B$19=0,0,B23/B$19)</f>
        <v>0.7142857142857143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</v>
      </c>
      <c r="C24" s="8">
        <f>IF(B$19=0,0,B24/B$19)</f>
        <v>0.14285714285714285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17" x14ac:dyDescent="0.45">
      <c r="A25" s="21" t="s">
        <v>183</v>
      </c>
      <c r="B25" s="14">
        <v>1</v>
      </c>
      <c r="C25" s="8">
        <f>IF(B$19=0,0,B25/B$19)</f>
        <v>0.14285714285714285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10</v>
      </c>
    </row>
    <row r="26" spans="1:17" x14ac:dyDescent="0.45">
      <c r="A26" s="21" t="s">
        <v>5</v>
      </c>
      <c r="B26" s="18">
        <f>IF(B$19=0,0,C26/B$19)</f>
        <v>7142.8571428571431</v>
      </c>
      <c r="C26" s="10">
        <v>50000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6400</v>
      </c>
      <c r="C27" s="100">
        <v>38400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11600</v>
      </c>
      <c r="C28" s="100">
        <v>11600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12</v>
      </c>
    </row>
    <row r="29" spans="1:17" x14ac:dyDescent="0.45">
      <c r="A29" s="22" t="s">
        <v>165</v>
      </c>
      <c r="B29" s="99">
        <f>IF(B$20=0,0,C29/B$20)</f>
        <v>-8866.6666666666661</v>
      </c>
      <c r="C29" s="100">
        <v>-53200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45200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4608E-354D-4E68-8108-8A5B006D28DB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243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</v>
      </c>
      <c r="C2" s="140"/>
      <c r="E2" s="28" t="s">
        <v>64</v>
      </c>
      <c r="F2" s="25" t="s">
        <v>20</v>
      </c>
      <c r="G2" s="13">
        <v>1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-3900</v>
      </c>
      <c r="P2" s="80">
        <v>1</v>
      </c>
      <c r="Q2" s="67">
        <v>-3900</v>
      </c>
    </row>
    <row r="3" spans="1:17" x14ac:dyDescent="0.45">
      <c r="A3" s="21" t="s">
        <v>8</v>
      </c>
      <c r="B3" s="141">
        <v>8</v>
      </c>
      <c r="C3" s="142"/>
      <c r="E3" s="29" t="s">
        <v>68</v>
      </c>
      <c r="F3" s="26" t="s">
        <v>12</v>
      </c>
      <c r="G3" s="14">
        <v>1</v>
      </c>
      <c r="H3" s="92">
        <f>IF(B$19=0,0,G3/B$19)</f>
        <v>1</v>
      </c>
      <c r="I3" s="60">
        <v>1</v>
      </c>
      <c r="K3" s="7">
        <v>1</v>
      </c>
      <c r="L3" s="65">
        <v>-18.399999999999999</v>
      </c>
      <c r="N3" s="78" t="s">
        <v>129</v>
      </c>
      <c r="O3" s="84">
        <f t="shared" si="0"/>
        <v>0</v>
      </c>
      <c r="P3" s="81">
        <v>1</v>
      </c>
      <c r="Q3" s="68">
        <v>0</v>
      </c>
    </row>
    <row r="4" spans="1:17" x14ac:dyDescent="0.45">
      <c r="A4" s="21" t="s">
        <v>6</v>
      </c>
      <c r="B4" s="143">
        <v>-18.399999999999999</v>
      </c>
      <c r="C4" s="144"/>
      <c r="E4" s="29" t="s">
        <v>72</v>
      </c>
      <c r="F4" s="26" t="s">
        <v>27</v>
      </c>
      <c r="G4" s="14">
        <v>1</v>
      </c>
      <c r="H4" s="92">
        <f>IF(B$19=0,0,G4/B$19)</f>
        <v>1</v>
      </c>
      <c r="I4" s="60">
        <v>1</v>
      </c>
      <c r="N4" s="78" t="s">
        <v>130</v>
      </c>
      <c r="O4" s="84">
        <f t="shared" si="0"/>
        <v>-5000</v>
      </c>
      <c r="P4" s="81">
        <v>1</v>
      </c>
      <c r="Q4" s="68">
        <v>-5000</v>
      </c>
    </row>
    <row r="5" spans="1:17" x14ac:dyDescent="0.45">
      <c r="A5" s="21" t="s">
        <v>7</v>
      </c>
      <c r="B5" s="131">
        <f>IF(B$2=0,0,B$4/B$2)</f>
        <v>-18.399999999999999</v>
      </c>
      <c r="C5" s="132"/>
      <c r="E5" s="29" t="s">
        <v>89</v>
      </c>
      <c r="F5" s="26" t="s">
        <v>44</v>
      </c>
      <c r="G5" s="14">
        <v>1</v>
      </c>
      <c r="H5" s="92">
        <f>IF(B$19=0,0,G5/B$19)</f>
        <v>1</v>
      </c>
      <c r="I5" s="60">
        <v>1</v>
      </c>
      <c r="N5" s="78" t="s">
        <v>131</v>
      </c>
      <c r="O5" s="84">
        <f t="shared" si="0"/>
        <v>-4500</v>
      </c>
      <c r="P5" s="81">
        <v>1</v>
      </c>
      <c r="Q5" s="68">
        <v>-4500</v>
      </c>
    </row>
    <row r="6" spans="1:17" x14ac:dyDescent="0.45">
      <c r="A6" s="21" t="s">
        <v>1</v>
      </c>
      <c r="B6" s="145">
        <f>IF(B$2=0,0,(B$7*1+B$8*2+B$9*3)/B$2)</f>
        <v>3</v>
      </c>
      <c r="C6" s="146"/>
      <c r="E6" s="29" t="s">
        <v>65</v>
      </c>
      <c r="F6" s="26" t="s">
        <v>21</v>
      </c>
      <c r="G6" s="14">
        <v>0</v>
      </c>
      <c r="H6" s="92">
        <f>IF(B$19=0,0,G6/B$19)</f>
        <v>0</v>
      </c>
      <c r="I6" s="60">
        <v>12</v>
      </c>
      <c r="N6" s="78" t="s">
        <v>132</v>
      </c>
      <c r="O6" s="84">
        <f t="shared" si="0"/>
        <v>-10000</v>
      </c>
      <c r="P6" s="81">
        <v>1</v>
      </c>
      <c r="Q6" s="68">
        <v>-10000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0</v>
      </c>
      <c r="H7" s="92">
        <f>IF(B$19=0,0,G7/B$19)</f>
        <v>0</v>
      </c>
      <c r="I7" s="60">
        <v>12</v>
      </c>
      <c r="N7" s="79" t="s">
        <v>133</v>
      </c>
      <c r="O7" s="85">
        <f t="shared" si="0"/>
        <v>15000</v>
      </c>
      <c r="P7" s="82">
        <v>1</v>
      </c>
      <c r="Q7" s="69">
        <v>15000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67</v>
      </c>
      <c r="F8" s="26" t="s">
        <v>23</v>
      </c>
      <c r="G8" s="14">
        <v>0</v>
      </c>
      <c r="H8" s="92">
        <f>IF(B$19=0,0,G8/B$19)</f>
        <v>0</v>
      </c>
      <c r="I8" s="60">
        <v>12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1</v>
      </c>
      <c r="E9" s="29" t="s">
        <v>69</v>
      </c>
      <c r="F9" s="26" t="s">
        <v>24</v>
      </c>
      <c r="G9" s="14">
        <v>0</v>
      </c>
      <c r="H9" s="92">
        <f>IF(B$19=0,0,G9/B$19)</f>
        <v>0</v>
      </c>
      <c r="I9" s="60">
        <v>12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0</v>
      </c>
      <c r="H10" s="92">
        <f>IF(B$19=0,0,G10/B$19)</f>
        <v>0</v>
      </c>
      <c r="I10" s="60">
        <v>10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0</v>
      </c>
      <c r="H11" s="92">
        <f>IF(B$19=0,0,G11/B$19)</f>
        <v>0</v>
      </c>
      <c r="I11" s="60">
        <v>10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-18.399999999999999</v>
      </c>
      <c r="C12" s="114">
        <v>-18.399999999999999</v>
      </c>
      <c r="E12" s="29" t="s">
        <v>73</v>
      </c>
      <c r="F12" s="26" t="s">
        <v>28</v>
      </c>
      <c r="G12" s="14">
        <v>0</v>
      </c>
      <c r="H12" s="92">
        <f>IF(B$19=0,0,G12/B$19)</f>
        <v>0</v>
      </c>
      <c r="I12" s="60">
        <v>5</v>
      </c>
      <c r="N12" s="79" t="s">
        <v>154</v>
      </c>
      <c r="O12" s="88">
        <f>IF(P12=0,0,Q12/P12)</f>
        <v>-18.399999999999999</v>
      </c>
      <c r="P12" s="82">
        <v>1</v>
      </c>
      <c r="Q12" s="73">
        <v>-18.399999999999999</v>
      </c>
    </row>
    <row r="13" spans="1:17" x14ac:dyDescent="0.45">
      <c r="A13" s="22" t="s">
        <v>188</v>
      </c>
      <c r="B13" s="131">
        <f>AVERAGE(B10:B12)</f>
        <v>-6.1333333333333329</v>
      </c>
      <c r="C13" s="132"/>
      <c r="E13" s="29" t="s">
        <v>74</v>
      </c>
      <c r="F13" s="26" t="s">
        <v>29</v>
      </c>
      <c r="G13" s="14">
        <v>0</v>
      </c>
      <c r="H13" s="92">
        <f>IF(B$19=0,0,G13/B$19)</f>
        <v>0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75</v>
      </c>
      <c r="F14" s="26" t="s">
        <v>30</v>
      </c>
      <c r="G14" s="14">
        <v>0</v>
      </c>
      <c r="H14" s="92">
        <f>IF(B$19=0,0,G14/B$19)</f>
        <v>0</v>
      </c>
      <c r="I14" s="60">
        <v>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</v>
      </c>
      <c r="C15" s="12">
        <f>IF(B$3=0,0,B15/B$3)</f>
        <v>0.25</v>
      </c>
      <c r="E15" s="29" t="s">
        <v>76</v>
      </c>
      <c r="F15" s="26" t="s">
        <v>31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-19.599999999999998</v>
      </c>
      <c r="P15" s="80">
        <v>1</v>
      </c>
      <c r="Q15" s="71">
        <v>-19.599999999999998</v>
      </c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77</v>
      </c>
      <c r="F16" s="26" t="s">
        <v>32</v>
      </c>
      <c r="G16" s="14">
        <v>0</v>
      </c>
      <c r="H16" s="92">
        <f>IF(B$19=0,0,G16/B$19)</f>
        <v>0</v>
      </c>
      <c r="I16" s="60">
        <v>7</v>
      </c>
      <c r="N16" s="78" t="s">
        <v>193</v>
      </c>
      <c r="O16" s="87">
        <f>IF(P16=0,0,Q16/P16)</f>
        <v>-35.599999999999994</v>
      </c>
      <c r="P16" s="81">
        <v>1</v>
      </c>
      <c r="Q16" s="72">
        <v>-35.599999999999994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0.5</v>
      </c>
      <c r="E17" s="29" t="s">
        <v>78</v>
      </c>
      <c r="F17" s="26" t="s">
        <v>33</v>
      </c>
      <c r="G17" s="14">
        <v>0</v>
      </c>
      <c r="H17" s="92">
        <f>IF(B$19=0,0,G17/B$19)</f>
        <v>0</v>
      </c>
      <c r="I17" s="60">
        <v>9</v>
      </c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79</v>
      </c>
      <c r="F18" s="26" t="s">
        <v>34</v>
      </c>
      <c r="G18" s="14">
        <v>0</v>
      </c>
      <c r="H18" s="92">
        <f>IF(B$19=0,0,G18/B$19)</f>
        <v>0</v>
      </c>
      <c r="I18" s="60">
        <v>8</v>
      </c>
    </row>
    <row r="19" spans="1:9" x14ac:dyDescent="0.45">
      <c r="A19" s="20" t="s">
        <v>10</v>
      </c>
      <c r="B19" s="13">
        <f>B22+B21</f>
        <v>1</v>
      </c>
      <c r="C19" s="6">
        <f>IF(B$3=0,0,B19/B$3)</f>
        <v>0.125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2</v>
      </c>
      <c r="C20" s="8">
        <f>IF(B$3=0,0,B20/B$3)</f>
        <v>0.25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9" x14ac:dyDescent="0.45">
      <c r="A21" s="21" t="s">
        <v>12</v>
      </c>
      <c r="B21" s="14">
        <v>1</v>
      </c>
      <c r="C21" s="8">
        <f>IF(B$19=0,0,B21/B$19)</f>
        <v>1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</v>
      </c>
      <c r="C23" s="8">
        <f>IF(B$19=0,0,B23/B$19)</f>
        <v>1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10</v>
      </c>
    </row>
    <row r="26" spans="1:9" x14ac:dyDescent="0.45">
      <c r="A26" s="21" t="s">
        <v>5</v>
      </c>
      <c r="B26" s="18">
        <f>IF(B$19=0,0,C26/B$19)</f>
        <v>18000</v>
      </c>
      <c r="C26" s="10">
        <v>18000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18000</v>
      </c>
      <c r="C27" s="100">
        <v>18000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-5950</v>
      </c>
      <c r="C29" s="100">
        <v>-11900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6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7</v>
      </c>
    </row>
    <row r="31" spans="1:9" x14ac:dyDescent="0.45">
      <c r="A31" s="21" t="s">
        <v>159</v>
      </c>
      <c r="B31" s="14">
        <v>4</v>
      </c>
      <c r="C31" s="94">
        <v>2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26600</v>
      </c>
      <c r="C33" s="136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4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9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0</v>
      </c>
      <c r="C40" s="8">
        <f t="shared" si="2"/>
        <v>0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173</v>
      </c>
      <c r="B41" s="130">
        <v>1</v>
      </c>
      <c r="C41" s="8">
        <f t="shared" si="2"/>
        <v>1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0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3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5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12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272FD-6A8F-4551-8E87-CD63E5E4472A}">
  <sheetPr codeName="Sheet28"/>
  <dimension ref="A1:Q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243</v>
      </c>
      <c r="B1" s="36" t="s">
        <v>243</v>
      </c>
      <c r="C1" s="36" t="s">
        <v>243</v>
      </c>
      <c r="D1" s="37" t="s">
        <v>243</v>
      </c>
      <c r="E1" s="36" t="s">
        <v>243</v>
      </c>
      <c r="F1" s="36" t="s">
        <v>243</v>
      </c>
      <c r="G1" s="36" t="s">
        <v>243</v>
      </c>
      <c r="H1" s="36" t="s">
        <v>243</v>
      </c>
      <c r="I1" s="36" t="s">
        <v>243</v>
      </c>
      <c r="J1" s="36" t="s">
        <v>243</v>
      </c>
      <c r="K1" s="36" t="s">
        <v>243</v>
      </c>
      <c r="L1" s="36" t="s">
        <v>243</v>
      </c>
      <c r="M1" s="36" t="s">
        <v>243</v>
      </c>
      <c r="N1" s="36" t="s">
        <v>243</v>
      </c>
      <c r="O1" s="36" t="s">
        <v>243</v>
      </c>
      <c r="P1" s="36" t="s">
        <v>243</v>
      </c>
      <c r="Q1" s="36" t="s">
        <v>243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-18.399999999999999</v>
      </c>
      <c r="C4" s="32">
        <v>-18.399999999999999</v>
      </c>
      <c r="D4" s="37">
        <v>3</v>
      </c>
      <c r="E4" s="33">
        <v>0</v>
      </c>
      <c r="F4" s="33">
        <v>1</v>
      </c>
      <c r="G4" s="33">
        <v>0.125</v>
      </c>
      <c r="H4" s="33">
        <v>0.25</v>
      </c>
      <c r="I4" s="34">
        <v>18000</v>
      </c>
      <c r="J4" s="34">
        <v>-5950</v>
      </c>
      <c r="K4" s="33">
        <v>0</v>
      </c>
      <c r="L4" s="33">
        <v>0.25</v>
      </c>
      <c r="M4" s="33">
        <v>0</v>
      </c>
      <c r="N4" s="33">
        <v>0.5</v>
      </c>
      <c r="O4" s="33">
        <v>0</v>
      </c>
      <c r="P4" s="33">
        <v>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FBD00-92E5-4D20-9194-9D1646BB2DD9}">
  <sheetPr codeName="Sheet26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240</v>
      </c>
      <c r="B1" s="36" t="s">
        <v>240</v>
      </c>
      <c r="C1" s="36" t="s">
        <v>240</v>
      </c>
      <c r="D1" s="37" t="s">
        <v>240</v>
      </c>
      <c r="E1" s="36" t="s">
        <v>240</v>
      </c>
      <c r="F1" s="36" t="s">
        <v>240</v>
      </c>
      <c r="G1" s="36" t="s">
        <v>240</v>
      </c>
      <c r="H1" s="36" t="s">
        <v>240</v>
      </c>
      <c r="I1" s="36" t="s">
        <v>240</v>
      </c>
      <c r="J1" s="36" t="s">
        <v>240</v>
      </c>
      <c r="K1" s="36" t="s">
        <v>240</v>
      </c>
      <c r="L1" s="36" t="s">
        <v>240</v>
      </c>
      <c r="M1" s="36" t="s">
        <v>240</v>
      </c>
      <c r="N1" s="36" t="s">
        <v>240</v>
      </c>
      <c r="O1" s="36" t="s">
        <v>240</v>
      </c>
      <c r="P1" s="36" t="s">
        <v>240</v>
      </c>
      <c r="Q1" s="36" t="s">
        <v>240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10.199999999999999</v>
      </c>
      <c r="C4" s="32">
        <v>10.199999999999999</v>
      </c>
      <c r="D4" s="37">
        <v>2</v>
      </c>
      <c r="E4" s="33">
        <v>0</v>
      </c>
      <c r="F4" s="33">
        <v>0</v>
      </c>
      <c r="G4" s="33">
        <v>0.2857142857142857</v>
      </c>
      <c r="H4" s="33">
        <v>0</v>
      </c>
      <c r="I4" s="34">
        <v>7100</v>
      </c>
      <c r="J4" s="34">
        <v>0</v>
      </c>
      <c r="K4" s="33">
        <v>0</v>
      </c>
      <c r="L4" s="33">
        <v>0.14285714285714285</v>
      </c>
      <c r="M4" s="33">
        <v>0.42857142857142855</v>
      </c>
      <c r="N4" s="33">
        <v>1</v>
      </c>
      <c r="O4" s="33">
        <v>0.33333333333333331</v>
      </c>
      <c r="P4" s="33">
        <v>0</v>
      </c>
    </row>
    <row r="5" spans="1:17" x14ac:dyDescent="0.45">
      <c r="A5" s="35">
        <v>2</v>
      </c>
      <c r="B5" s="32">
        <v>-29.900000000000002</v>
      </c>
      <c r="C5" s="32">
        <v>-14.950000000000001</v>
      </c>
      <c r="D5" s="37">
        <v>2.5</v>
      </c>
      <c r="E5" s="33">
        <v>0</v>
      </c>
      <c r="F5" s="33">
        <v>0.5</v>
      </c>
      <c r="G5" s="33">
        <v>0.2</v>
      </c>
      <c r="H5" s="33">
        <v>6.6666666666666666E-2</v>
      </c>
      <c r="I5" s="34">
        <v>7300</v>
      </c>
      <c r="J5" s="34">
        <v>-16000</v>
      </c>
      <c r="K5" s="33">
        <v>0</v>
      </c>
      <c r="L5" s="33">
        <v>6.6666666666666666E-2</v>
      </c>
      <c r="M5" s="33">
        <v>0.26666666666666666</v>
      </c>
      <c r="N5" s="33">
        <v>1</v>
      </c>
      <c r="O5" s="33">
        <v>0.25</v>
      </c>
      <c r="P5" s="33">
        <v>0.33333333333333331</v>
      </c>
    </row>
    <row r="6" spans="1:17" x14ac:dyDescent="0.45">
      <c r="A6" s="35">
        <v>3</v>
      </c>
      <c r="B6" s="32">
        <v>-37.1</v>
      </c>
      <c r="C6" s="32">
        <v>-12.366666666666667</v>
      </c>
      <c r="D6" s="37">
        <v>2.3333333333333335</v>
      </c>
      <c r="E6" s="33">
        <v>0</v>
      </c>
      <c r="F6" s="33">
        <v>0.33333333333333331</v>
      </c>
      <c r="G6" s="33">
        <v>0.25</v>
      </c>
      <c r="H6" s="33">
        <v>8.3333333333333329E-2</v>
      </c>
      <c r="I6" s="34">
        <v>6400</v>
      </c>
      <c r="J6" s="34">
        <v>-11850</v>
      </c>
      <c r="K6" s="33">
        <v>0</v>
      </c>
      <c r="L6" s="33">
        <v>0.20833333333333334</v>
      </c>
      <c r="M6" s="33">
        <v>0.16666666666666666</v>
      </c>
      <c r="N6" s="33">
        <v>0.8</v>
      </c>
      <c r="O6" s="33">
        <v>0.25</v>
      </c>
      <c r="P6" s="33">
        <v>0.5</v>
      </c>
    </row>
    <row r="7" spans="1:17" x14ac:dyDescent="0.45">
      <c r="A7" s="35">
        <v>4</v>
      </c>
      <c r="B7" s="32">
        <v>-85.800000000000011</v>
      </c>
      <c r="C7" s="32">
        <v>-21.450000000000003</v>
      </c>
      <c r="D7" s="37">
        <v>2.5</v>
      </c>
      <c r="E7" s="33">
        <v>0</v>
      </c>
      <c r="F7" s="33">
        <v>0.5</v>
      </c>
      <c r="G7" s="33">
        <v>0.1875</v>
      </c>
      <c r="H7" s="33">
        <v>9.375E-2</v>
      </c>
      <c r="I7" s="34">
        <v>6400</v>
      </c>
      <c r="J7" s="34">
        <v>-8400</v>
      </c>
      <c r="K7" s="33">
        <v>0.25</v>
      </c>
      <c r="L7" s="33">
        <v>0.1875</v>
      </c>
      <c r="M7" s="33">
        <v>0.125</v>
      </c>
      <c r="N7" s="33">
        <v>0.66666666666666663</v>
      </c>
      <c r="O7" s="33">
        <v>0.25</v>
      </c>
      <c r="P7" s="33">
        <v>0.5</v>
      </c>
    </row>
    <row r="8" spans="1:17" x14ac:dyDescent="0.45">
      <c r="A8" s="35">
        <v>5</v>
      </c>
      <c r="B8" s="32">
        <v>-113.70000000000002</v>
      </c>
      <c r="C8" s="32">
        <v>-22.740000000000002</v>
      </c>
      <c r="D8" s="37">
        <v>2.4</v>
      </c>
      <c r="E8" s="33">
        <v>0</v>
      </c>
      <c r="F8" s="33">
        <v>0.4</v>
      </c>
      <c r="G8" s="33">
        <v>0.17073170731707318</v>
      </c>
      <c r="H8" s="33">
        <v>0.14634146341463414</v>
      </c>
      <c r="I8" s="34">
        <v>7142.8571428571431</v>
      </c>
      <c r="J8" s="34">
        <v>-8866.6666666666661</v>
      </c>
      <c r="K8" s="33">
        <v>0.2</v>
      </c>
      <c r="L8" s="33">
        <v>0.26829268292682928</v>
      </c>
      <c r="M8" s="33">
        <v>0.12195121951219512</v>
      </c>
      <c r="N8" s="33">
        <v>0.45454545454545453</v>
      </c>
      <c r="O8" s="33">
        <v>0.2</v>
      </c>
      <c r="P8" s="33">
        <v>0.42857142857142855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5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5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5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5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  <row r="44" spans="1:16" x14ac:dyDescent="0.45">
      <c r="A44" s="35">
        <v>41</v>
      </c>
      <c r="B44" s="32">
        <v>-200.3</v>
      </c>
      <c r="C44" s="32">
        <v>-4.8853658536585369</v>
      </c>
      <c r="D44" s="37">
        <v>2.0975609756097562</v>
      </c>
      <c r="E44" s="33">
        <v>0.29268292682926828</v>
      </c>
      <c r="F44" s="33">
        <v>0.3902439024390244</v>
      </c>
      <c r="G44" s="33">
        <v>0.31746031746031744</v>
      </c>
      <c r="H44" s="33">
        <v>0.17142857142857143</v>
      </c>
      <c r="I44" s="34">
        <v>7881</v>
      </c>
      <c r="J44" s="34">
        <v>-9251.8518518518522</v>
      </c>
      <c r="K44" s="33">
        <v>0.12195121951219512</v>
      </c>
      <c r="L44" s="33">
        <v>0.17460317460317459</v>
      </c>
      <c r="M44" s="33">
        <v>0.26984126984126983</v>
      </c>
      <c r="N44" s="33">
        <v>0.63636363636363635</v>
      </c>
      <c r="O44" s="33">
        <v>0.32941176470588235</v>
      </c>
      <c r="P44" s="33">
        <v>0.46</v>
      </c>
    </row>
    <row r="45" spans="1:16" x14ac:dyDescent="0.45">
      <c r="A45" s="35">
        <v>42</v>
      </c>
      <c r="B45" s="32">
        <v>-193.20000000000002</v>
      </c>
      <c r="C45" s="32">
        <v>-4.6000000000000005</v>
      </c>
      <c r="D45" s="37">
        <v>2.0952380952380953</v>
      </c>
      <c r="E45" s="33">
        <v>0.2857142857142857</v>
      </c>
      <c r="F45" s="33">
        <v>0.38095238095238093</v>
      </c>
      <c r="G45" s="33">
        <v>0.31578947368421051</v>
      </c>
      <c r="H45" s="33">
        <v>0.17337461300309598</v>
      </c>
      <c r="I45" s="34">
        <v>8118.6274509803925</v>
      </c>
      <c r="J45" s="34">
        <v>-9228.5714285714294</v>
      </c>
      <c r="K45" s="33">
        <v>0.11904761904761904</v>
      </c>
      <c r="L45" s="33">
        <v>0.17647058823529413</v>
      </c>
      <c r="M45" s="33">
        <v>0.26934984520123839</v>
      </c>
      <c r="N45" s="33">
        <v>0.64912280701754388</v>
      </c>
      <c r="O45" s="33">
        <v>0.32183908045977011</v>
      </c>
      <c r="P45" s="33">
        <v>0.46078431372549017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4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  <row r="37" spans="1:16" x14ac:dyDescent="0.45">
      <c r="A37" s="35">
        <v>34</v>
      </c>
      <c r="B37" s="32">
        <v>63.800000000000011</v>
      </c>
      <c r="C37" s="32">
        <v>1.8764705882352946</v>
      </c>
      <c r="D37" s="37">
        <v>2</v>
      </c>
      <c r="E37" s="33">
        <v>0.3235294117647059</v>
      </c>
      <c r="F37" s="33">
        <v>0.3235294117647059</v>
      </c>
      <c r="G37" s="33">
        <v>0.31517509727626458</v>
      </c>
      <c r="H37" s="33">
        <v>0.14396887159533073</v>
      </c>
      <c r="I37" s="34">
        <v>7734.5679012345681</v>
      </c>
      <c r="J37" s="34">
        <v>-7170.27027027027</v>
      </c>
      <c r="K37" s="33">
        <v>0.17647058823529413</v>
      </c>
      <c r="L37" s="33">
        <v>0.14785992217898833</v>
      </c>
      <c r="M37" s="33">
        <v>0.35408560311284049</v>
      </c>
      <c r="N37" s="33">
        <v>0.60526315789473684</v>
      </c>
      <c r="O37" s="33">
        <v>0.4175824175824176</v>
      </c>
      <c r="P37" s="33">
        <v>0.44444444444444442</v>
      </c>
    </row>
    <row r="38" spans="1:16" x14ac:dyDescent="0.45">
      <c r="A38" s="35">
        <v>35</v>
      </c>
      <c r="B38" s="32">
        <v>94.4</v>
      </c>
      <c r="C38" s="32">
        <v>2.6971428571428575</v>
      </c>
      <c r="D38" s="37">
        <v>1.9714285714285715</v>
      </c>
      <c r="E38" s="33">
        <v>0.34285714285714286</v>
      </c>
      <c r="F38" s="33">
        <v>0.31428571428571428</v>
      </c>
      <c r="G38" s="33">
        <v>0.3193916349809886</v>
      </c>
      <c r="H38" s="33">
        <v>0.14068441064638784</v>
      </c>
      <c r="I38" s="34">
        <v>7826.1904761904761</v>
      </c>
      <c r="J38" s="34">
        <v>-7170.27027027027</v>
      </c>
      <c r="K38" s="33">
        <v>0.17142857142857143</v>
      </c>
      <c r="L38" s="33">
        <v>0.15209125475285171</v>
      </c>
      <c r="M38" s="33">
        <v>0.34980988593155893</v>
      </c>
      <c r="N38" s="33">
        <v>0.625</v>
      </c>
      <c r="O38" s="33">
        <v>0.42391304347826086</v>
      </c>
      <c r="P38" s="33">
        <v>0.45238095238095238</v>
      </c>
    </row>
    <row r="39" spans="1:16" x14ac:dyDescent="0.45">
      <c r="A39" s="35">
        <v>36</v>
      </c>
      <c r="B39" s="32">
        <v>89.100000000000009</v>
      </c>
      <c r="C39" s="32">
        <v>2.4750000000000001</v>
      </c>
      <c r="D39" s="37">
        <v>1.9722222222222223</v>
      </c>
      <c r="E39" s="33">
        <v>0.33333333333333331</v>
      </c>
      <c r="F39" s="33">
        <v>0.30555555555555558</v>
      </c>
      <c r="G39" s="33">
        <v>0.32</v>
      </c>
      <c r="H39" s="33">
        <v>0.14181818181818182</v>
      </c>
      <c r="I39" s="34">
        <v>7734.090909090909</v>
      </c>
      <c r="J39" s="34">
        <v>-7315.3846153846152</v>
      </c>
      <c r="K39" s="33">
        <v>0.16666666666666666</v>
      </c>
      <c r="L39" s="33">
        <v>0.15272727272727274</v>
      </c>
      <c r="M39" s="33">
        <v>0.35272727272727272</v>
      </c>
      <c r="N39" s="33">
        <v>0.6428571428571429</v>
      </c>
      <c r="O39" s="33">
        <v>0.42268041237113402</v>
      </c>
      <c r="P39" s="33">
        <v>0.44318181818181818</v>
      </c>
    </row>
    <row r="40" spans="1:16" x14ac:dyDescent="0.45">
      <c r="A40" s="35">
        <v>37</v>
      </c>
      <c r="B40" s="32">
        <v>106.30000000000001</v>
      </c>
      <c r="C40" s="32">
        <v>2.8729729729729732</v>
      </c>
      <c r="D40" s="37">
        <v>1.9459459459459461</v>
      </c>
      <c r="E40" s="33">
        <v>0.35135135135135137</v>
      </c>
      <c r="F40" s="33">
        <v>0.29729729729729731</v>
      </c>
      <c r="G40" s="33">
        <v>0.32508833922261482</v>
      </c>
      <c r="H40" s="33">
        <v>0.14134275618374559</v>
      </c>
      <c r="I40" s="34">
        <v>7679.347826086957</v>
      </c>
      <c r="J40" s="34">
        <v>-7325</v>
      </c>
      <c r="K40" s="33">
        <v>0.16216216216216217</v>
      </c>
      <c r="L40" s="33">
        <v>0.15547703180212014</v>
      </c>
      <c r="M40" s="33">
        <v>0.3462897526501767</v>
      </c>
      <c r="N40" s="33">
        <v>0.65909090909090906</v>
      </c>
      <c r="O40" s="33">
        <v>0.41836734693877553</v>
      </c>
      <c r="P40" s="33">
        <v>0.44565217391304346</v>
      </c>
    </row>
    <row r="41" spans="1:16" x14ac:dyDescent="0.45">
      <c r="A41" s="35">
        <v>38</v>
      </c>
      <c r="B41" s="32">
        <v>60.300000000000011</v>
      </c>
      <c r="C41" s="32">
        <v>1.5868421052631583</v>
      </c>
      <c r="D41" s="37">
        <v>1.9736842105263157</v>
      </c>
      <c r="E41" s="33">
        <v>0.34210526315789475</v>
      </c>
      <c r="F41" s="33">
        <v>0.31578947368421051</v>
      </c>
      <c r="G41" s="33">
        <v>0.32280701754385965</v>
      </c>
      <c r="H41" s="33">
        <v>0.14385964912280702</v>
      </c>
      <c r="I41" s="34">
        <v>7679.347826086957</v>
      </c>
      <c r="J41" s="34">
        <v>-7926.8292682926831</v>
      </c>
      <c r="K41" s="33">
        <v>0.18421052631578946</v>
      </c>
      <c r="L41" s="33">
        <v>0.15789473684210525</v>
      </c>
      <c r="M41" s="33">
        <v>0.34385964912280703</v>
      </c>
      <c r="N41" s="33">
        <v>0.64444444444444449</v>
      </c>
      <c r="O41" s="33">
        <v>0.41836734693877553</v>
      </c>
      <c r="P41" s="33">
        <v>0.44565217391304346</v>
      </c>
    </row>
    <row r="42" spans="1:16" x14ac:dyDescent="0.45">
      <c r="A42" s="35">
        <v>39</v>
      </c>
      <c r="B42" s="32">
        <v>39.500000000000014</v>
      </c>
      <c r="C42" s="32">
        <v>1.0128205128205132</v>
      </c>
      <c r="D42" s="37">
        <v>1.9743589743589745</v>
      </c>
      <c r="E42" s="33">
        <v>0.33333333333333331</v>
      </c>
      <c r="F42" s="33">
        <v>0.30769230769230771</v>
      </c>
      <c r="G42" s="33">
        <v>0.32659932659932661</v>
      </c>
      <c r="H42" s="33">
        <v>0.14814814814814814</v>
      </c>
      <c r="I42" s="34">
        <v>7609.2783505154639</v>
      </c>
      <c r="J42" s="34">
        <v>-8179.545454545455</v>
      </c>
      <c r="K42" s="33">
        <v>0.17948717948717949</v>
      </c>
      <c r="L42" s="33">
        <v>0.16161616161616163</v>
      </c>
      <c r="M42" s="33">
        <v>0.34343434343434343</v>
      </c>
      <c r="N42" s="33">
        <v>0.625</v>
      </c>
      <c r="O42" s="33">
        <v>0.43137254901960786</v>
      </c>
      <c r="P42" s="33">
        <v>0.46391752577319589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6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5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5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  <row r="61" spans="1:16" x14ac:dyDescent="0.45">
      <c r="A61" s="35">
        <v>58</v>
      </c>
      <c r="B61" s="32">
        <v>-30.599999999999966</v>
      </c>
      <c r="C61" s="32">
        <v>-0.52758620689655111</v>
      </c>
      <c r="D61" s="37">
        <v>2.0172413793103448</v>
      </c>
      <c r="E61" s="33">
        <v>0.32758620689655171</v>
      </c>
      <c r="F61" s="33">
        <v>0.34482758620689657</v>
      </c>
      <c r="G61" s="33">
        <v>0.28297872340425534</v>
      </c>
      <c r="H61" s="33">
        <v>0.1148936170212766</v>
      </c>
      <c r="I61" s="34">
        <v>8103.0075187969924</v>
      </c>
      <c r="J61" s="34">
        <v>-8250</v>
      </c>
      <c r="K61" s="33">
        <v>8.6206896551724144E-2</v>
      </c>
      <c r="L61" s="33">
        <v>0.23829787234042554</v>
      </c>
      <c r="M61" s="33">
        <v>0.24468085106382978</v>
      </c>
      <c r="N61" s="33">
        <v>0.5535714285714286</v>
      </c>
      <c r="O61" s="33">
        <v>0.39130434782608697</v>
      </c>
      <c r="P61" s="33">
        <v>0.42857142857142855</v>
      </c>
    </row>
    <row r="62" spans="1:16" x14ac:dyDescent="0.45">
      <c r="A62" s="35">
        <v>59</v>
      </c>
      <c r="B62" s="32">
        <v>-56.299999999999969</v>
      </c>
      <c r="C62" s="32">
        <v>-0.95423728813559272</v>
      </c>
      <c r="D62" s="37">
        <v>2.0338983050847457</v>
      </c>
      <c r="E62" s="33">
        <v>0.32203389830508472</v>
      </c>
      <c r="F62" s="33">
        <v>0.3559322033898305</v>
      </c>
      <c r="G62" s="33">
        <v>0.28033472803347281</v>
      </c>
      <c r="H62" s="33">
        <v>0.11506276150627615</v>
      </c>
      <c r="I62" s="34">
        <v>8102.2388059701489</v>
      </c>
      <c r="J62" s="34">
        <v>-8240</v>
      </c>
      <c r="K62" s="33">
        <v>8.4745762711864403E-2</v>
      </c>
      <c r="L62" s="33">
        <v>0.23430962343096234</v>
      </c>
      <c r="M62" s="33">
        <v>0.24267782426778242</v>
      </c>
      <c r="N62" s="33">
        <v>0.5535714285714286</v>
      </c>
      <c r="O62" s="33">
        <v>0.39655172413793105</v>
      </c>
      <c r="P62" s="33">
        <v>0.43283582089552236</v>
      </c>
    </row>
    <row r="63" spans="1:16" x14ac:dyDescent="0.45">
      <c r="A63" s="35">
        <v>60</v>
      </c>
      <c r="B63" s="32">
        <v>-98.69999999999996</v>
      </c>
      <c r="C63" s="32">
        <v>-1.6449999999999994</v>
      </c>
      <c r="D63" s="37">
        <v>2.0499999999999998</v>
      </c>
      <c r="E63" s="33">
        <v>0.31666666666666665</v>
      </c>
      <c r="F63" s="33">
        <v>0.36666666666666664</v>
      </c>
      <c r="G63" s="33">
        <v>0.27551020408163263</v>
      </c>
      <c r="H63" s="33">
        <v>0.11632653061224489</v>
      </c>
      <c r="I63" s="34">
        <v>8085.1851851851852</v>
      </c>
      <c r="J63" s="34">
        <v>-8182.4561403508769</v>
      </c>
      <c r="K63" s="33">
        <v>8.3333333333333329E-2</v>
      </c>
      <c r="L63" s="33">
        <v>0.23469387755102042</v>
      </c>
      <c r="M63" s="33">
        <v>0.24081632653061225</v>
      </c>
      <c r="N63" s="33">
        <v>0.53913043478260869</v>
      </c>
      <c r="O63" s="33">
        <v>0.39830508474576271</v>
      </c>
      <c r="P63" s="33">
        <v>0.42962962962962964</v>
      </c>
    </row>
    <row r="64" spans="1:16" x14ac:dyDescent="0.45">
      <c r="A64" s="35">
        <v>61</v>
      </c>
      <c r="B64" s="32">
        <v>-47.69999999999996</v>
      </c>
      <c r="C64" s="32">
        <v>-0.78196721311475348</v>
      </c>
      <c r="D64" s="37">
        <v>2.0327868852459017</v>
      </c>
      <c r="E64" s="33">
        <v>0.32786885245901637</v>
      </c>
      <c r="F64" s="33">
        <v>0.36065573770491804</v>
      </c>
      <c r="G64" s="33">
        <v>0.27845528455284552</v>
      </c>
      <c r="H64" s="33">
        <v>0.11585365853658537</v>
      </c>
      <c r="I64" s="34">
        <v>8259.1240875912408</v>
      </c>
      <c r="J64" s="34">
        <v>-8182.4561403508769</v>
      </c>
      <c r="K64" s="33">
        <v>8.1967213114754092E-2</v>
      </c>
      <c r="L64" s="33">
        <v>0.23577235772357724</v>
      </c>
      <c r="M64" s="33">
        <v>0.241869918699187</v>
      </c>
      <c r="N64" s="33">
        <v>0.5431034482758621</v>
      </c>
      <c r="O64" s="33">
        <v>0.40336134453781514</v>
      </c>
      <c r="P64" s="33">
        <v>0.43065693430656932</v>
      </c>
    </row>
    <row r="65" spans="1:16" x14ac:dyDescent="0.45">
      <c r="A65" s="35">
        <v>62</v>
      </c>
      <c r="B65" s="32">
        <v>-83.499999999999957</v>
      </c>
      <c r="C65" s="32">
        <v>-1.3467741935483863</v>
      </c>
      <c r="D65" s="37">
        <v>2.0483870967741935</v>
      </c>
      <c r="E65" s="33">
        <v>0.32258064516129031</v>
      </c>
      <c r="F65" s="33">
        <v>0.37096774193548387</v>
      </c>
      <c r="G65" s="33">
        <v>0.27380952380952384</v>
      </c>
      <c r="H65" s="33">
        <v>0.11706349206349206</v>
      </c>
      <c r="I65" s="34">
        <v>8257.246376811594</v>
      </c>
      <c r="J65" s="34">
        <v>-8298.3050847457635</v>
      </c>
      <c r="K65" s="33">
        <v>8.0645161290322578E-2</v>
      </c>
      <c r="L65" s="33">
        <v>0.2361111111111111</v>
      </c>
      <c r="M65" s="33">
        <v>0.23809523809523808</v>
      </c>
      <c r="N65" s="33">
        <v>0.52941176470588236</v>
      </c>
      <c r="O65" s="33">
        <v>0.40833333333333333</v>
      </c>
      <c r="P65" s="33">
        <v>0.42753623188405798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4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  <row r="40" spans="1:16" x14ac:dyDescent="0.45">
      <c r="A40" s="35">
        <v>37</v>
      </c>
      <c r="B40" s="32">
        <v>-287.2999999999999</v>
      </c>
      <c r="C40" s="32">
        <v>-7.7648648648648617</v>
      </c>
      <c r="D40" s="37">
        <v>2.2972972972972974</v>
      </c>
      <c r="E40" s="33">
        <v>0.1891891891891892</v>
      </c>
      <c r="F40" s="33">
        <v>0.48648648648648651</v>
      </c>
      <c r="G40" s="33">
        <v>0.27272727272727271</v>
      </c>
      <c r="H40" s="33">
        <v>0.16433566433566432</v>
      </c>
      <c r="I40" s="34">
        <v>7948.7179487179483</v>
      </c>
      <c r="J40" s="34">
        <v>-7372.3404255319147</v>
      </c>
      <c r="K40" s="33">
        <v>0.16216216216216217</v>
      </c>
      <c r="L40" s="33">
        <v>0.23076923076923078</v>
      </c>
      <c r="M40" s="33">
        <v>0.15734265734265734</v>
      </c>
      <c r="N40" s="33">
        <v>0.5</v>
      </c>
      <c r="O40" s="33">
        <v>0.57777777777777772</v>
      </c>
      <c r="P40" s="33">
        <v>0.48717948717948717</v>
      </c>
    </row>
    <row r="41" spans="1:16" x14ac:dyDescent="0.45">
      <c r="A41" s="35">
        <v>38</v>
      </c>
      <c r="B41" s="32">
        <v>-289.69999999999987</v>
      </c>
      <c r="C41" s="32">
        <v>-7.6236842105263127</v>
      </c>
      <c r="D41" s="37">
        <v>2.2894736842105261</v>
      </c>
      <c r="E41" s="33">
        <v>0.18421052631578946</v>
      </c>
      <c r="F41" s="33">
        <v>0.47368421052631576</v>
      </c>
      <c r="G41" s="33">
        <v>0.27551020408163263</v>
      </c>
      <c r="H41" s="33">
        <v>0.16666666666666666</v>
      </c>
      <c r="I41" s="34">
        <v>7929.6296296296296</v>
      </c>
      <c r="J41" s="34">
        <v>-7269.3877551020405</v>
      </c>
      <c r="K41" s="33">
        <v>0.15789473684210525</v>
      </c>
      <c r="L41" s="33">
        <v>0.23129251700680273</v>
      </c>
      <c r="M41" s="33">
        <v>0.15646258503401361</v>
      </c>
      <c r="N41" s="33">
        <v>0.5</v>
      </c>
      <c r="O41" s="33">
        <v>0.58695652173913049</v>
      </c>
      <c r="P41" s="33">
        <v>0.50617283950617287</v>
      </c>
    </row>
    <row r="42" spans="1:16" x14ac:dyDescent="0.45">
      <c r="A42" s="35">
        <v>39</v>
      </c>
      <c r="B42" s="32">
        <v>-263.09999999999985</v>
      </c>
      <c r="C42" s="32">
        <v>-6.7461538461538426</v>
      </c>
      <c r="D42" s="37">
        <v>2.2564102564102564</v>
      </c>
      <c r="E42" s="33">
        <v>0.20512820512820512</v>
      </c>
      <c r="F42" s="33">
        <v>0.46153846153846156</v>
      </c>
      <c r="G42" s="33">
        <v>0.28000000000000003</v>
      </c>
      <c r="H42" s="33">
        <v>0.16666666666666666</v>
      </c>
      <c r="I42" s="34">
        <v>7976.1904761904761</v>
      </c>
      <c r="J42" s="34">
        <v>-7176</v>
      </c>
      <c r="K42" s="33">
        <v>0.15384615384615385</v>
      </c>
      <c r="L42" s="33">
        <v>0.23666666666666666</v>
      </c>
      <c r="M42" s="33">
        <v>0.15666666666666668</v>
      </c>
      <c r="N42" s="33">
        <v>0.52112676056338025</v>
      </c>
      <c r="O42" s="33">
        <v>0.57446808510638303</v>
      </c>
      <c r="P42" s="33">
        <v>0.5</v>
      </c>
    </row>
    <row r="43" spans="1:16" x14ac:dyDescent="0.45">
      <c r="A43" s="35">
        <v>40</v>
      </c>
      <c r="B43" s="32">
        <v>-254.79999999999984</v>
      </c>
      <c r="C43" s="32">
        <v>-6.3699999999999957</v>
      </c>
      <c r="D43" s="37">
        <v>2.25</v>
      </c>
      <c r="E43" s="33">
        <v>0.2</v>
      </c>
      <c r="F43" s="33">
        <v>0.45</v>
      </c>
      <c r="G43" s="33">
        <v>0.28431372549019607</v>
      </c>
      <c r="H43" s="33">
        <v>0.16339869281045752</v>
      </c>
      <c r="I43" s="34">
        <v>7955.1724137931033</v>
      </c>
      <c r="J43" s="34">
        <v>-7176</v>
      </c>
      <c r="K43" s="33">
        <v>0.15</v>
      </c>
      <c r="L43" s="33">
        <v>0.24183006535947713</v>
      </c>
      <c r="M43" s="33">
        <v>0.15359477124183007</v>
      </c>
      <c r="N43" s="33">
        <v>0.54054054054054057</v>
      </c>
      <c r="O43" s="33">
        <v>0.57446808510638303</v>
      </c>
      <c r="P43" s="33">
        <v>0.51724137931034486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9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5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5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5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5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  <row r="89" spans="1:16" x14ac:dyDescent="0.45">
      <c r="A89" s="35">
        <v>86</v>
      </c>
      <c r="B89" s="32">
        <v>722.50000000000011</v>
      </c>
      <c r="C89" s="32">
        <v>8.4011627906976756</v>
      </c>
      <c r="D89" s="37">
        <v>1.7790697674418605</v>
      </c>
      <c r="E89" s="33">
        <v>0.44186046511627908</v>
      </c>
      <c r="F89" s="33">
        <v>0.22093023255813954</v>
      </c>
      <c r="G89" s="33">
        <v>0.30825958702064898</v>
      </c>
      <c r="H89" s="33">
        <v>0.14306784660766961</v>
      </c>
      <c r="I89" s="34">
        <v>9787.0813397129186</v>
      </c>
      <c r="J89" s="34">
        <v>-7861.855670103093</v>
      </c>
      <c r="K89" s="33">
        <v>5.8139534883720929E-2</v>
      </c>
      <c r="L89" s="33">
        <v>0.25221238938053098</v>
      </c>
      <c r="M89" s="33">
        <v>0.15781710914454278</v>
      </c>
      <c r="N89" s="33">
        <v>0.57894736842105265</v>
      </c>
      <c r="O89" s="33">
        <v>0.49532710280373832</v>
      </c>
      <c r="P89" s="33">
        <v>0.51196172248803828</v>
      </c>
    </row>
    <row r="90" spans="1:16" x14ac:dyDescent="0.45">
      <c r="A90" s="35">
        <v>87</v>
      </c>
      <c r="B90" s="32">
        <v>755.50000000000011</v>
      </c>
      <c r="C90" s="32">
        <v>8.683908045977013</v>
      </c>
      <c r="D90" s="37">
        <v>1.7701149425287357</v>
      </c>
      <c r="E90" s="33">
        <v>0.44827586206896552</v>
      </c>
      <c r="F90" s="33">
        <v>0.21839080459770116</v>
      </c>
      <c r="G90" s="33">
        <v>0.31049562682215742</v>
      </c>
      <c r="H90" s="33">
        <v>0.14139941690962099</v>
      </c>
      <c r="I90" s="34">
        <v>9778.403755868545</v>
      </c>
      <c r="J90" s="34">
        <v>-7861.855670103093</v>
      </c>
      <c r="K90" s="33">
        <v>5.7471264367816091E-2</v>
      </c>
      <c r="L90" s="33">
        <v>0.25364431486880468</v>
      </c>
      <c r="M90" s="33">
        <v>0.15743440233236153</v>
      </c>
      <c r="N90" s="33">
        <v>0.58045977011494254</v>
      </c>
      <c r="O90" s="33">
        <v>0.49074074074074076</v>
      </c>
      <c r="P90" s="33">
        <v>0.51173708920187788</v>
      </c>
    </row>
    <row r="91" spans="1:16" x14ac:dyDescent="0.45">
      <c r="A91" s="35">
        <v>88</v>
      </c>
      <c r="B91" s="32">
        <v>791.20000000000016</v>
      </c>
      <c r="C91" s="32">
        <v>8.9909090909090921</v>
      </c>
      <c r="D91" s="37">
        <v>1.7613636363636365</v>
      </c>
      <c r="E91" s="33">
        <v>0.45454545454545453</v>
      </c>
      <c r="F91" s="33">
        <v>0.21590909090909091</v>
      </c>
      <c r="G91" s="33">
        <v>0.3107913669064748</v>
      </c>
      <c r="H91" s="33">
        <v>0.14100719424460431</v>
      </c>
      <c r="I91" s="34">
        <v>9807.8703703703704</v>
      </c>
      <c r="J91" s="34">
        <v>-7834.6938775510207</v>
      </c>
      <c r="K91" s="33">
        <v>5.6818181818181816E-2</v>
      </c>
      <c r="L91" s="33">
        <v>0.25179856115107913</v>
      </c>
      <c r="M91" s="33">
        <v>0.15971223021582734</v>
      </c>
      <c r="N91" s="33">
        <v>0.58285714285714285</v>
      </c>
      <c r="O91" s="33">
        <v>0.49549549549549549</v>
      </c>
      <c r="P91" s="33">
        <v>0.51388888888888884</v>
      </c>
    </row>
    <row r="92" spans="1:16" x14ac:dyDescent="0.45">
      <c r="A92" s="35">
        <v>89</v>
      </c>
      <c r="B92" s="32">
        <v>842.30000000000018</v>
      </c>
      <c r="C92" s="32">
        <v>9.4640449438202268</v>
      </c>
      <c r="D92" s="37">
        <v>1.752808988764045</v>
      </c>
      <c r="E92" s="33">
        <v>0.4606741573033708</v>
      </c>
      <c r="F92" s="33">
        <v>0.21348314606741572</v>
      </c>
      <c r="G92" s="33">
        <v>0.31436699857752487</v>
      </c>
      <c r="H92" s="33">
        <v>0.13940256045519203</v>
      </c>
      <c r="I92" s="34">
        <v>9799.5475113122175</v>
      </c>
      <c r="J92" s="34">
        <v>-7834.6938775510207</v>
      </c>
      <c r="K92" s="33">
        <v>5.6179775280898875E-2</v>
      </c>
      <c r="L92" s="33">
        <v>0.25462304409672831</v>
      </c>
      <c r="M92" s="33">
        <v>0.15931721194879089</v>
      </c>
      <c r="N92" s="33">
        <v>0.58659217877094971</v>
      </c>
      <c r="O92" s="33">
        <v>0.5</v>
      </c>
      <c r="P92" s="33">
        <v>0.5113122171945701</v>
      </c>
    </row>
    <row r="93" spans="1:16" x14ac:dyDescent="0.45">
      <c r="A93" s="35">
        <v>90</v>
      </c>
      <c r="B93" s="32">
        <v>787.80000000000018</v>
      </c>
      <c r="C93" s="32">
        <v>8.7533333333333356</v>
      </c>
      <c r="D93" s="37">
        <v>1.7666666666666666</v>
      </c>
      <c r="E93" s="33">
        <v>0.45555555555555555</v>
      </c>
      <c r="F93" s="33">
        <v>0.22222222222222221</v>
      </c>
      <c r="G93" s="33">
        <v>0.31320224719101125</v>
      </c>
      <c r="H93" s="33">
        <v>0.13904494382022473</v>
      </c>
      <c r="I93" s="34">
        <v>9801.3452914798199</v>
      </c>
      <c r="J93" s="34">
        <v>-8240.4040404040406</v>
      </c>
      <c r="K93" s="33">
        <v>6.6666666666666666E-2</v>
      </c>
      <c r="L93" s="33">
        <v>0.25280898876404495</v>
      </c>
      <c r="M93" s="33">
        <v>0.15730337078651685</v>
      </c>
      <c r="N93" s="33">
        <v>0.58888888888888891</v>
      </c>
      <c r="O93" s="33">
        <v>0.5</v>
      </c>
      <c r="P93" s="33">
        <v>0.50672645739910316</v>
      </c>
    </row>
    <row r="94" spans="1:16" x14ac:dyDescent="0.45">
      <c r="A94" s="35">
        <v>91</v>
      </c>
      <c r="B94" s="32">
        <v>781.9000000000002</v>
      </c>
      <c r="C94" s="32">
        <v>8.5923076923076938</v>
      </c>
      <c r="D94" s="37">
        <v>1.7692307692307692</v>
      </c>
      <c r="E94" s="33">
        <v>0.45054945054945056</v>
      </c>
      <c r="F94" s="33">
        <v>0.21978021978021978</v>
      </c>
      <c r="G94" s="33">
        <v>0.31058495821727017</v>
      </c>
      <c r="H94" s="33">
        <v>0.13788300835654596</v>
      </c>
      <c r="I94" s="34">
        <v>9801.3452914798199</v>
      </c>
      <c r="J94" s="34">
        <v>-8240.4040404040406</v>
      </c>
      <c r="K94" s="33">
        <v>6.5934065934065936E-2</v>
      </c>
      <c r="L94" s="33">
        <v>0.25069637883008355</v>
      </c>
      <c r="M94" s="33">
        <v>0.1573816155988858</v>
      </c>
      <c r="N94" s="33">
        <v>0.58888888888888891</v>
      </c>
      <c r="O94" s="33">
        <v>0.49557522123893805</v>
      </c>
      <c r="P94" s="33">
        <v>0.50672645739910316</v>
      </c>
    </row>
    <row r="95" spans="1:16" x14ac:dyDescent="0.45">
      <c r="A95" s="35">
        <v>92</v>
      </c>
      <c r="B95" s="32">
        <v>743.00000000000023</v>
      </c>
      <c r="C95" s="32">
        <v>8.0760869565217419</v>
      </c>
      <c r="D95" s="37">
        <v>1.7826086956521738</v>
      </c>
      <c r="E95" s="33">
        <v>0.44565217391304346</v>
      </c>
      <c r="F95" s="33">
        <v>0.22826086956521738</v>
      </c>
      <c r="G95" s="33">
        <v>0.30801104972375692</v>
      </c>
      <c r="H95" s="33">
        <v>0.13812154696132597</v>
      </c>
      <c r="I95" s="34">
        <v>9801.3452914798199</v>
      </c>
      <c r="J95" s="34">
        <v>-8210</v>
      </c>
      <c r="K95" s="33">
        <v>6.5217391304347824E-2</v>
      </c>
      <c r="L95" s="33">
        <v>0.24861878453038674</v>
      </c>
      <c r="M95" s="33">
        <v>0.15883977900552487</v>
      </c>
      <c r="N95" s="33">
        <v>0.58888888888888891</v>
      </c>
      <c r="O95" s="33">
        <v>0.48695652173913045</v>
      </c>
      <c r="P95" s="33">
        <v>0.50672645739910316</v>
      </c>
    </row>
    <row r="96" spans="1:16" x14ac:dyDescent="0.45">
      <c r="A96" s="35">
        <v>93</v>
      </c>
      <c r="B96" s="32">
        <v>761.70000000000027</v>
      </c>
      <c r="C96" s="32">
        <v>8.1903225806451641</v>
      </c>
      <c r="D96" s="37">
        <v>1.7741935483870968</v>
      </c>
      <c r="E96" s="33">
        <v>0.45161290322580644</v>
      </c>
      <c r="F96" s="33">
        <v>0.22580645161290322</v>
      </c>
      <c r="G96" s="33">
        <v>0.30737704918032788</v>
      </c>
      <c r="H96" s="33">
        <v>0.13797814207650272</v>
      </c>
      <c r="I96" s="34">
        <v>9835.1111111111113</v>
      </c>
      <c r="J96" s="34">
        <v>-8287.1287128712866</v>
      </c>
      <c r="K96" s="33">
        <v>6.4516129032258063E-2</v>
      </c>
      <c r="L96" s="33">
        <v>0.24863387978142076</v>
      </c>
      <c r="M96" s="33">
        <v>0.15846994535519127</v>
      </c>
      <c r="N96" s="33">
        <v>0.59340659340659341</v>
      </c>
      <c r="O96" s="33">
        <v>0.48275862068965519</v>
      </c>
      <c r="P96" s="33">
        <v>0.50666666666666671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6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5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5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  <row r="65" spans="1:16" x14ac:dyDescent="0.45">
      <c r="A65" s="35">
        <v>62</v>
      </c>
      <c r="B65" s="32">
        <v>-112.60000000000005</v>
      </c>
      <c r="C65" s="32">
        <v>-1.8161290322580654</v>
      </c>
      <c r="D65" s="37">
        <v>2.032258064516129</v>
      </c>
      <c r="E65" s="33">
        <v>0.35483870967741937</v>
      </c>
      <c r="F65" s="33">
        <v>0.38709677419354838</v>
      </c>
      <c r="G65" s="33">
        <v>0.26789366053169733</v>
      </c>
      <c r="H65" s="33">
        <v>0.18609406952965235</v>
      </c>
      <c r="I65" s="34">
        <v>10399.236641221374</v>
      </c>
      <c r="J65" s="34">
        <v>-7920.8791208791208</v>
      </c>
      <c r="K65" s="33">
        <v>0.17741935483870969</v>
      </c>
      <c r="L65" s="33">
        <v>0.29856850715746419</v>
      </c>
      <c r="M65" s="33">
        <v>0.20245398773006135</v>
      </c>
      <c r="N65" s="33">
        <v>0.4589041095890411</v>
      </c>
      <c r="O65" s="33">
        <v>0.35353535353535354</v>
      </c>
      <c r="P65" s="33">
        <v>0.45038167938931295</v>
      </c>
    </row>
    <row r="66" spans="1:16" x14ac:dyDescent="0.45">
      <c r="A66" s="35">
        <v>63</v>
      </c>
      <c r="B66" s="32">
        <v>-64.900000000000048</v>
      </c>
      <c r="C66" s="32">
        <v>-1.0301587301587309</v>
      </c>
      <c r="D66" s="37">
        <v>2.0158730158730158</v>
      </c>
      <c r="E66" s="33">
        <v>0.36507936507936506</v>
      </c>
      <c r="F66" s="33">
        <v>0.38095238095238093</v>
      </c>
      <c r="G66" s="33">
        <v>0.26946107784431139</v>
      </c>
      <c r="H66" s="33">
        <v>0.18562874251497005</v>
      </c>
      <c r="I66" s="34">
        <v>10461.481481481482</v>
      </c>
      <c r="J66" s="34">
        <v>-7834.4086021505373</v>
      </c>
      <c r="K66" s="33">
        <v>0.17460317460317459</v>
      </c>
      <c r="L66" s="33">
        <v>0.30339321357285431</v>
      </c>
      <c r="M66" s="33">
        <v>0.19960079840319361</v>
      </c>
      <c r="N66" s="33">
        <v>0.46710526315789475</v>
      </c>
      <c r="O66" s="33">
        <v>0.35</v>
      </c>
      <c r="P66" s="33">
        <v>0.45185185185185184</v>
      </c>
    </row>
    <row r="67" spans="1:16" x14ac:dyDescent="0.45">
      <c r="A67" s="35">
        <v>64</v>
      </c>
      <c r="B67" s="32">
        <v>-63.700000000000045</v>
      </c>
      <c r="C67" s="32">
        <v>-0.99531250000000071</v>
      </c>
      <c r="D67" s="37">
        <v>2.015625</v>
      </c>
      <c r="E67" s="33">
        <v>0.359375</v>
      </c>
      <c r="F67" s="33">
        <v>0.375</v>
      </c>
      <c r="G67" s="33">
        <v>0.27111984282907664</v>
      </c>
      <c r="H67" s="33">
        <v>0.18467583497053044</v>
      </c>
      <c r="I67" s="34">
        <v>10376.811594202898</v>
      </c>
      <c r="J67" s="34">
        <v>-7772.3404255319147</v>
      </c>
      <c r="K67" s="33">
        <v>0.171875</v>
      </c>
      <c r="L67" s="33">
        <v>0.3005893909626719</v>
      </c>
      <c r="M67" s="33">
        <v>0.19646365422396855</v>
      </c>
      <c r="N67" s="33">
        <v>0.47058823529411764</v>
      </c>
      <c r="O67" s="33">
        <v>0.35</v>
      </c>
      <c r="P67" s="33">
        <v>0.44927536231884058</v>
      </c>
    </row>
    <row r="68" spans="1:16" x14ac:dyDescent="0.45">
      <c r="A68" s="35">
        <v>65</v>
      </c>
      <c r="B68" s="32">
        <v>-68.700000000000045</v>
      </c>
      <c r="C68" s="32">
        <v>-1.0569230769230775</v>
      </c>
      <c r="D68" s="37">
        <v>2.0153846153846153</v>
      </c>
      <c r="E68" s="33">
        <v>0.35384615384615387</v>
      </c>
      <c r="F68" s="33">
        <v>0.36923076923076925</v>
      </c>
      <c r="G68" s="33">
        <v>0.27005870841487278</v>
      </c>
      <c r="H68" s="33">
        <v>0.18395303326810175</v>
      </c>
      <c r="I68" s="34">
        <v>10376.811594202898</v>
      </c>
      <c r="J68" s="34">
        <v>-7772.3404255319147</v>
      </c>
      <c r="K68" s="33">
        <v>0.16923076923076924</v>
      </c>
      <c r="L68" s="33">
        <v>0.299412915851272</v>
      </c>
      <c r="M68" s="33">
        <v>0.19569471624266144</v>
      </c>
      <c r="N68" s="33">
        <v>0.47058823529411764</v>
      </c>
      <c r="O68" s="33">
        <v>0.35</v>
      </c>
      <c r="P68" s="33">
        <v>0.44927536231884058</v>
      </c>
    </row>
    <row r="69" spans="1:16" x14ac:dyDescent="0.45">
      <c r="A69" s="35">
        <v>66</v>
      </c>
      <c r="B69" s="32">
        <v>-12.100000000000044</v>
      </c>
      <c r="C69" s="32">
        <v>-0.18333333333333401</v>
      </c>
      <c r="D69" s="37">
        <v>2</v>
      </c>
      <c r="E69" s="33">
        <v>0.36363636363636365</v>
      </c>
      <c r="F69" s="33">
        <v>0.36363636363636365</v>
      </c>
      <c r="G69" s="33">
        <v>0.27151051625239003</v>
      </c>
      <c r="H69" s="33">
        <v>0.17973231357552583</v>
      </c>
      <c r="I69" s="34">
        <v>10395.070422535211</v>
      </c>
      <c r="J69" s="34">
        <v>-7772.3404255319147</v>
      </c>
      <c r="K69" s="33">
        <v>0.16666666666666666</v>
      </c>
      <c r="L69" s="33">
        <v>0.30210325047801145</v>
      </c>
      <c r="M69" s="33">
        <v>0.19502868068833651</v>
      </c>
      <c r="N69" s="33">
        <v>0.47468354430379744</v>
      </c>
      <c r="O69" s="33">
        <v>0.35294117647058826</v>
      </c>
      <c r="P69" s="33">
        <v>0.44366197183098594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2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5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5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5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5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  <row r="117" spans="1:16" x14ac:dyDescent="0.45">
      <c r="A117" s="35">
        <v>114</v>
      </c>
      <c r="B117" s="32">
        <v>-1.7763568394002505E-14</v>
      </c>
      <c r="C117" s="32">
        <v>-5.1940258461995625E-17</v>
      </c>
      <c r="D117" s="37">
        <v>2</v>
      </c>
      <c r="E117" s="33">
        <v>0.33333333333333331</v>
      </c>
      <c r="F117" s="33">
        <v>0.33333333333333331</v>
      </c>
      <c r="G117" s="33">
        <v>0.29059829059829062</v>
      </c>
      <c r="H117" s="33">
        <v>0.15273132664437011</v>
      </c>
      <c r="I117" s="34">
        <v>8796.675191815857</v>
      </c>
      <c r="J117" s="34">
        <v>-7951.3381995133823</v>
      </c>
      <c r="K117" s="33">
        <v>0.11403508771929824</v>
      </c>
      <c r="L117" s="33">
        <v>0.23782980304719434</v>
      </c>
      <c r="M117" s="33">
        <v>0.21070234113712374</v>
      </c>
      <c r="N117" s="33">
        <v>0.55156249999999996</v>
      </c>
      <c r="O117" s="33">
        <v>0.41622574955908287</v>
      </c>
      <c r="P117" s="33">
        <v>0.47186700767263429</v>
      </c>
    </row>
    <row r="118" spans="1:16" x14ac:dyDescent="0.45">
      <c r="A118" s="35">
        <v>115</v>
      </c>
      <c r="B118" s="32">
        <v>-2.1316282072803006E-14</v>
      </c>
      <c r="C118" s="32">
        <v>-6.1786324848704365E-17</v>
      </c>
      <c r="D118" s="37">
        <v>2</v>
      </c>
      <c r="E118" s="33">
        <v>0.33333333333333331</v>
      </c>
      <c r="F118" s="33">
        <v>0.33333333333333331</v>
      </c>
      <c r="G118" s="33">
        <v>0.29060773480662982</v>
      </c>
      <c r="H118" s="33">
        <v>0.15248618784530388</v>
      </c>
      <c r="I118" s="34">
        <v>8826.3624841571618</v>
      </c>
      <c r="J118" s="34">
        <v>-7973.913043478261</v>
      </c>
      <c r="K118" s="33">
        <v>0.11304347826086956</v>
      </c>
      <c r="L118" s="33">
        <v>0.23756906077348067</v>
      </c>
      <c r="M118" s="33">
        <v>0.21031307550644568</v>
      </c>
      <c r="N118" s="33">
        <v>0.55348837209302326</v>
      </c>
      <c r="O118" s="33">
        <v>0.41330998248686512</v>
      </c>
      <c r="P118" s="33">
        <v>0.47275031685678076</v>
      </c>
    </row>
    <row r="119" spans="1:16" x14ac:dyDescent="0.45">
      <c r="A119" s="35">
        <v>116</v>
      </c>
      <c r="B119" s="32">
        <v>-2.1316282072803006E-14</v>
      </c>
      <c r="C119" s="32">
        <v>-6.1253684117250015E-17</v>
      </c>
      <c r="D119" s="37">
        <v>2</v>
      </c>
      <c r="E119" s="33">
        <v>0.33333333333333331</v>
      </c>
      <c r="F119" s="33">
        <v>0.33333333333333331</v>
      </c>
      <c r="G119" s="33">
        <v>0.29066374908825676</v>
      </c>
      <c r="H119" s="33">
        <v>0.15207877461706784</v>
      </c>
      <c r="I119" s="34">
        <v>8817.3149309912169</v>
      </c>
      <c r="J119" s="34">
        <v>-7958.9928057553952</v>
      </c>
      <c r="K119" s="33">
        <v>0.11206896551724138</v>
      </c>
      <c r="L119" s="33">
        <v>0.2388767323121809</v>
      </c>
      <c r="M119" s="33">
        <v>0.20933625091174327</v>
      </c>
      <c r="N119" s="33">
        <v>0.55419847328244276</v>
      </c>
      <c r="O119" s="33">
        <v>0.41463414634146339</v>
      </c>
      <c r="P119" s="33">
        <v>0.47427854454203261</v>
      </c>
    </row>
    <row r="120" spans="1:16" x14ac:dyDescent="0.45">
      <c r="A120" s="35">
        <v>117</v>
      </c>
      <c r="B120" s="32">
        <v>-2.1316282072803006E-14</v>
      </c>
      <c r="C120" s="32">
        <v>-6.0730148355564125E-17</v>
      </c>
      <c r="D120" s="37">
        <v>2</v>
      </c>
      <c r="E120" s="33">
        <v>0.33333333333333331</v>
      </c>
      <c r="F120" s="33">
        <v>0.33333333333333331</v>
      </c>
      <c r="G120" s="33">
        <v>0.29103398409255243</v>
      </c>
      <c r="H120" s="33">
        <v>0.15184381778741865</v>
      </c>
      <c r="I120" s="34">
        <v>8816.0248447204976</v>
      </c>
      <c r="J120" s="34">
        <v>-7928.8095238095239</v>
      </c>
      <c r="K120" s="33">
        <v>0.11396011396011396</v>
      </c>
      <c r="L120" s="33">
        <v>0.23933477946493131</v>
      </c>
      <c r="M120" s="33">
        <v>0.20824295010845986</v>
      </c>
      <c r="N120" s="33">
        <v>0.55438066465256797</v>
      </c>
      <c r="O120" s="33">
        <v>0.41666666666666669</v>
      </c>
      <c r="P120" s="33">
        <v>0.47577639751552797</v>
      </c>
    </row>
    <row r="121" spans="1:16" x14ac:dyDescent="0.45">
      <c r="A121" s="35">
        <v>118</v>
      </c>
      <c r="B121" s="32">
        <v>-1.4210854715202004E-14</v>
      </c>
      <c r="C121" s="32">
        <v>-4.0143657387576282E-17</v>
      </c>
      <c r="D121" s="37">
        <v>2</v>
      </c>
      <c r="E121" s="33">
        <v>0.33333333333333331</v>
      </c>
      <c r="F121" s="33">
        <v>0.33333333333333331</v>
      </c>
      <c r="G121" s="33">
        <v>0.2907268170426065</v>
      </c>
      <c r="H121" s="33">
        <v>0.15216612960973863</v>
      </c>
      <c r="I121" s="34">
        <v>8866.3793103448279</v>
      </c>
      <c r="J121" s="34">
        <v>-8041.6470588235297</v>
      </c>
      <c r="K121" s="33">
        <v>0.11581920903954802</v>
      </c>
      <c r="L121" s="33">
        <v>0.24024346580737557</v>
      </c>
      <c r="M121" s="33">
        <v>0.20658789831722163</v>
      </c>
      <c r="N121" s="33">
        <v>0.5529061102831595</v>
      </c>
      <c r="O121" s="33">
        <v>0.41594454072790293</v>
      </c>
      <c r="P121" s="33">
        <v>0.47413793103448276</v>
      </c>
    </row>
    <row r="122" spans="1:16" x14ac:dyDescent="0.45">
      <c r="A122" s="35">
        <v>119</v>
      </c>
      <c r="B122" s="32">
        <v>-1.2434497875801753E-14</v>
      </c>
      <c r="C122" s="32">
        <v>-3.4830526262750009E-17</v>
      </c>
      <c r="D122" s="37">
        <v>2</v>
      </c>
      <c r="E122" s="33">
        <v>0.33333333333333331</v>
      </c>
      <c r="F122" s="33">
        <v>0.33333333333333331</v>
      </c>
      <c r="G122" s="33">
        <v>0.29064389896833864</v>
      </c>
      <c r="H122" s="33">
        <v>0.15225898256848097</v>
      </c>
      <c r="I122" s="34">
        <v>8863.8922888616889</v>
      </c>
      <c r="J122" s="34">
        <v>-8038.0841121495323</v>
      </c>
      <c r="K122" s="33">
        <v>0.11484593837535013</v>
      </c>
      <c r="L122" s="33">
        <v>0.24083955887584491</v>
      </c>
      <c r="M122" s="33">
        <v>0.20597652081109924</v>
      </c>
      <c r="N122" s="33">
        <v>0.5553914327917282</v>
      </c>
      <c r="O122" s="33">
        <v>0.41450777202072536</v>
      </c>
      <c r="P122" s="33">
        <v>0.47368421052631576</v>
      </c>
    </row>
    <row r="123" spans="1:16" x14ac:dyDescent="0.45">
      <c r="A123" s="35">
        <v>120</v>
      </c>
      <c r="B123" s="32">
        <v>-1.0658141036401503E-14</v>
      </c>
      <c r="C123" s="32">
        <v>-2.9605947323337507E-17</v>
      </c>
      <c r="D123" s="37">
        <v>2</v>
      </c>
      <c r="E123" s="33">
        <v>0.33333333333333331</v>
      </c>
      <c r="F123" s="33">
        <v>0.33333333333333331</v>
      </c>
      <c r="G123" s="33">
        <v>0.2909155178508307</v>
      </c>
      <c r="H123" s="33">
        <v>0.15164369034994699</v>
      </c>
      <c r="I123" s="34">
        <v>8863.6695018226001</v>
      </c>
      <c r="J123" s="34">
        <v>-8031.4685314685312</v>
      </c>
      <c r="K123" s="33">
        <v>0.11388888888888889</v>
      </c>
      <c r="L123" s="33">
        <v>0.24107458465889006</v>
      </c>
      <c r="M123" s="33">
        <v>0.20572640509013787</v>
      </c>
      <c r="N123" s="33">
        <v>0.55865102639296182</v>
      </c>
      <c r="O123" s="33">
        <v>0.41408934707903783</v>
      </c>
      <c r="P123" s="33">
        <v>0.47630619684082626</v>
      </c>
    </row>
    <row r="124" spans="1:16" x14ac:dyDescent="0.45">
      <c r="A124" s="35">
        <v>121</v>
      </c>
      <c r="B124" s="32">
        <v>-1.0658141036401503E-14</v>
      </c>
      <c r="C124" s="32">
        <v>-2.9361270072731413E-17</v>
      </c>
      <c r="D124" s="37">
        <v>2</v>
      </c>
      <c r="E124" s="33">
        <v>0.33333333333333331</v>
      </c>
      <c r="F124" s="33">
        <v>0.33333333333333331</v>
      </c>
      <c r="G124" s="33">
        <v>0.29022082018927448</v>
      </c>
      <c r="H124" s="33">
        <v>0.15141955835962145</v>
      </c>
      <c r="I124" s="34">
        <v>8881.2801932367147</v>
      </c>
      <c r="J124" s="34">
        <v>-8037.9629629629626</v>
      </c>
      <c r="K124" s="33">
        <v>0.11294765840220386</v>
      </c>
      <c r="L124" s="33">
        <v>0.24079915878023134</v>
      </c>
      <c r="M124" s="33">
        <v>0.20539782684893096</v>
      </c>
      <c r="N124" s="33">
        <v>0.55895196506550215</v>
      </c>
      <c r="O124" s="33">
        <v>0.41467576791808874</v>
      </c>
      <c r="P124" s="33">
        <v>0.47584541062801933</v>
      </c>
    </row>
    <row r="125" spans="1:16" x14ac:dyDescent="0.45">
      <c r="A125" s="35">
        <v>122</v>
      </c>
      <c r="B125" s="32">
        <v>-2.6645352591003757E-15</v>
      </c>
      <c r="C125" s="32">
        <v>-7.2801509811485679E-18</v>
      </c>
      <c r="D125" s="37">
        <v>2</v>
      </c>
      <c r="E125" s="33">
        <v>0.33333333333333331</v>
      </c>
      <c r="F125" s="33">
        <v>0.33333333333333331</v>
      </c>
      <c r="G125" s="33">
        <v>0.28971962616822428</v>
      </c>
      <c r="H125" s="33">
        <v>0.15160955347871236</v>
      </c>
      <c r="I125" s="34">
        <v>8880.1672640382312</v>
      </c>
      <c r="J125" s="34">
        <v>-8021.4611872146115</v>
      </c>
      <c r="K125" s="33">
        <v>0.11202185792349727</v>
      </c>
      <c r="L125" s="33">
        <v>0.2416060920733818</v>
      </c>
      <c r="M125" s="33">
        <v>0.20560747663551401</v>
      </c>
      <c r="N125" s="33">
        <v>0.55873925501432664</v>
      </c>
      <c r="O125" s="33">
        <v>0.41414141414141414</v>
      </c>
      <c r="P125" s="33">
        <v>0.47431302270011949</v>
      </c>
    </row>
    <row r="126" spans="1:16" x14ac:dyDescent="0.45">
      <c r="A126" s="35">
        <v>123</v>
      </c>
      <c r="B126" s="32">
        <v>-3.5527136788005009E-15</v>
      </c>
      <c r="C126" s="32">
        <v>-9.627950349052848E-18</v>
      </c>
      <c r="D126" s="37">
        <v>2</v>
      </c>
      <c r="E126" s="33">
        <v>0.33333333333333331</v>
      </c>
      <c r="F126" s="33">
        <v>0.33333333333333331</v>
      </c>
      <c r="G126" s="33">
        <v>0.29007895640233439</v>
      </c>
      <c r="H126" s="33">
        <v>0.15173360796429797</v>
      </c>
      <c r="I126" s="34">
        <v>8871.3609467455626</v>
      </c>
      <c r="J126" s="34">
        <v>-7997.7375565610864</v>
      </c>
      <c r="K126" s="33">
        <v>0.1111111111111111</v>
      </c>
      <c r="L126" s="33">
        <v>0.24133196017851014</v>
      </c>
      <c r="M126" s="33">
        <v>0.20425677995193958</v>
      </c>
      <c r="N126" s="33">
        <v>0.5604551920341394</v>
      </c>
      <c r="O126" s="33">
        <v>0.41344537815126048</v>
      </c>
      <c r="P126" s="33">
        <v>0.47455621301775147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0.29016786570743403</v>
      </c>
      <c r="H127" s="33">
        <v>0.15176430284343953</v>
      </c>
      <c r="I127" s="34">
        <v>8897.6387249114523</v>
      </c>
      <c r="J127" s="34">
        <v>-8051.9187358916479</v>
      </c>
      <c r="K127" s="33">
        <v>0.11290322580645161</v>
      </c>
      <c r="L127" s="33">
        <v>0.24152106885919836</v>
      </c>
      <c r="M127" s="33">
        <v>0.20417951353203151</v>
      </c>
      <c r="N127" s="33">
        <v>0.56028368794326244</v>
      </c>
      <c r="O127" s="33">
        <v>0.41442953020134227</v>
      </c>
      <c r="P127" s="33">
        <v>0.47461629279811096</v>
      </c>
    </row>
    <row r="128" spans="1:16" x14ac:dyDescent="0.45">
      <c r="A128" s="35">
        <v>125</v>
      </c>
      <c r="B128" s="32">
        <v>3.5527136788005009E-15</v>
      </c>
      <c r="C128" s="32">
        <v>9.4739031434680022E-18</v>
      </c>
      <c r="D128" s="37">
        <v>2</v>
      </c>
      <c r="E128" s="33">
        <v>0.33333333333333331</v>
      </c>
      <c r="F128" s="33">
        <v>0.33333333333333331</v>
      </c>
      <c r="G128" s="33">
        <v>0.29001692047377325</v>
      </c>
      <c r="H128" s="33">
        <v>0.15160744500846024</v>
      </c>
      <c r="I128" s="34">
        <v>8891.4819136522747</v>
      </c>
      <c r="J128" s="34">
        <v>-8091.7410714285716</v>
      </c>
      <c r="K128" s="33">
        <v>0.112</v>
      </c>
      <c r="L128" s="33">
        <v>0.24230118443316412</v>
      </c>
      <c r="M128" s="33">
        <v>0.20406091370558377</v>
      </c>
      <c r="N128" s="33">
        <v>0.55726256983240219</v>
      </c>
      <c r="O128" s="33">
        <v>0.41791044776119401</v>
      </c>
      <c r="P128" s="33">
        <v>0.4749124854142357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806</vt:i4>
      </vt:variant>
    </vt:vector>
  </HeadingPairs>
  <TitlesOfParts>
    <vt:vector size="850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いちかわ</vt:lpstr>
      <vt:lpstr>いちかわ2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2020-07-27T14:00:51Z</dcterms:modified>
</cp:coreProperties>
</file>