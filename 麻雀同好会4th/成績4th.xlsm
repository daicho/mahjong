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43DCA2B5-1019-48DF-B05F-777C1764CB1B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8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6" i="6190"/>
  <c r="O16" i="6178"/>
  <c r="O20" i="6186"/>
  <c r="O19" i="6190" l="1"/>
  <c r="O15" i="6178"/>
  <c r="O18" i="6190"/>
  <c r="O15" i="6176"/>
  <c r="O15" i="6184" l="1"/>
  <c r="O18" i="6178"/>
  <c r="O18" i="6180"/>
  <c r="O19" i="6184"/>
  <c r="O16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0" i="6190"/>
  <c r="H26" i="6190"/>
  <c r="C24" i="6190"/>
  <c r="H31" i="6190"/>
  <c r="H18" i="6190"/>
  <c r="H42" i="6190"/>
  <c r="H33" i="6190"/>
  <c r="H3" i="6190"/>
  <c r="H25" i="6190"/>
  <c r="C42" i="6190"/>
  <c r="H9" i="6190"/>
  <c r="C19" i="6190"/>
  <c r="C25" i="6190"/>
  <c r="H36" i="6190"/>
  <c r="H22" i="6190"/>
  <c r="C36" i="6190"/>
  <c r="H48" i="6190"/>
  <c r="C46" i="6190"/>
  <c r="H12" i="6190"/>
  <c r="H27" i="6190"/>
  <c r="H47" i="6190"/>
  <c r="H16" i="6190"/>
  <c r="H23" i="6190"/>
  <c r="C48" i="6190"/>
  <c r="H2" i="6190"/>
  <c r="H43" i="6190"/>
  <c r="H29" i="6190"/>
  <c r="H37" i="6190"/>
  <c r="H14" i="6190"/>
  <c r="H38" i="6190"/>
  <c r="H6" i="6190"/>
  <c r="H17" i="6190"/>
  <c r="H20" i="6190"/>
  <c r="C21" i="6190"/>
  <c r="H30" i="6190"/>
  <c r="H41" i="6190"/>
  <c r="H49" i="6190"/>
  <c r="C38" i="6190"/>
  <c r="H44" i="6190"/>
  <c r="H11" i="6190"/>
  <c r="H13" i="6190"/>
  <c r="B26" i="6190"/>
  <c r="H34" i="6190"/>
  <c r="H39" i="6190"/>
  <c r="C44" i="6190"/>
  <c r="H51" i="6190"/>
  <c r="H15" i="6190"/>
  <c r="H4" i="6190"/>
  <c r="H8" i="6190"/>
  <c r="H19" i="6190"/>
  <c r="H21" i="6190"/>
  <c r="C22" i="6190"/>
  <c r="B27" i="6190"/>
  <c r="H40" i="6190"/>
  <c r="H45" i="6190"/>
  <c r="H5" i="6190"/>
  <c r="C23" i="6190"/>
  <c r="H7" i="6190"/>
  <c r="H35" i="6190"/>
  <c r="C40" i="6190"/>
  <c r="H46" i="6190"/>
  <c r="H52" i="6190"/>
  <c r="C39" i="6190"/>
  <c r="C43" i="6190"/>
  <c r="C47" i="6190"/>
  <c r="H24" i="6190"/>
  <c r="H28" i="6190"/>
  <c r="H32" i="6190"/>
  <c r="C37" i="6190"/>
  <c r="C41" i="6190"/>
  <c r="C45" i="6190"/>
  <c r="O17" i="6180" l="1"/>
  <c r="O19" i="6186"/>
  <c r="O22" i="6176"/>
  <c r="O15" i="6186"/>
  <c r="O15" i="6180" l="1"/>
  <c r="O20" i="6182"/>
  <c r="O21" i="6176"/>
  <c r="O17" i="6176"/>
  <c r="O15" i="6182"/>
  <c r="O18" i="6184"/>
  <c r="O16" i="6188" l="1"/>
  <c r="O19" i="6188"/>
  <c r="O21" i="6184"/>
  <c r="O20" i="6184"/>
  <c r="O16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8" i="6186"/>
  <c r="O16" i="6186"/>
  <c r="C34" i="6186"/>
  <c r="B29" i="6186"/>
  <c r="C20" i="6186"/>
  <c r="B19" i="6186"/>
  <c r="H7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6" i="6184"/>
  <c r="O17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5" i="6174"/>
  <c r="O19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8" i="6174"/>
  <c r="O20" i="6180"/>
  <c r="O21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9" i="6178"/>
  <c r="O17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0" i="6174"/>
  <c r="O20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9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5" i="6182"/>
  <c r="H52" i="6182"/>
  <c r="H22" i="6182"/>
  <c r="C21" i="6182"/>
  <c r="H3" i="6182"/>
  <c r="H35" i="6182"/>
  <c r="H4" i="6182"/>
  <c r="H8" i="6182"/>
  <c r="H24" i="6182"/>
  <c r="C22" i="6182"/>
  <c r="H40" i="6182"/>
  <c r="H17" i="6182"/>
  <c r="H34" i="6182"/>
  <c r="C25" i="6182"/>
  <c r="C40" i="6182"/>
  <c r="H27" i="6182"/>
  <c r="H7" i="6182"/>
  <c r="H21" i="6182"/>
  <c r="H41" i="6182"/>
  <c r="H44" i="6182"/>
  <c r="C44" i="6182"/>
  <c r="H2" i="6182"/>
  <c r="H18" i="6182"/>
  <c r="H23" i="6182"/>
  <c r="B26" i="6182"/>
  <c r="H36" i="6182"/>
  <c r="H45" i="6182"/>
  <c r="H13" i="6182"/>
  <c r="H10" i="6182"/>
  <c r="H39" i="6182"/>
  <c r="C46" i="6182"/>
  <c r="H19" i="6182"/>
  <c r="H15" i="6182"/>
  <c r="H9" i="6182"/>
  <c r="H6" i="6182"/>
  <c r="H11" i="6182"/>
  <c r="H20" i="6182"/>
  <c r="H26" i="6182"/>
  <c r="C39" i="6182"/>
  <c r="H47" i="6182"/>
  <c r="H29" i="6182"/>
  <c r="H31" i="6182"/>
  <c r="C36" i="6182"/>
  <c r="C42" i="6182"/>
  <c r="C47" i="6182"/>
  <c r="H12" i="6182"/>
  <c r="C19" i="6182"/>
  <c r="C24" i="6182"/>
  <c r="H37" i="6182"/>
  <c r="H43" i="6182"/>
  <c r="H48" i="6182"/>
  <c r="H14" i="6182"/>
  <c r="H16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11" i="6176"/>
  <c r="H14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4" i="6178"/>
  <c r="H8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3" i="6178"/>
  <c r="H22" i="6178"/>
  <c r="H10" i="6178"/>
  <c r="H17" i="6178"/>
  <c r="B26" i="6178"/>
  <c r="H35" i="6178"/>
  <c r="H45" i="6178"/>
  <c r="H16" i="6178"/>
  <c r="H19" i="6178"/>
  <c r="H20" i="6178"/>
  <c r="H23" i="6178"/>
  <c r="H7" i="6178"/>
  <c r="C36" i="6178"/>
  <c r="C46" i="6178"/>
  <c r="H11" i="6178"/>
  <c r="H31" i="6178"/>
  <c r="H2" i="6178"/>
  <c r="H27" i="6178"/>
  <c r="H9" i="6178"/>
  <c r="H15" i="6178"/>
  <c r="H18" i="6178"/>
  <c r="C21" i="6178"/>
  <c r="H39" i="6178"/>
  <c r="H47" i="6178"/>
  <c r="H29" i="6180"/>
  <c r="H3" i="6188"/>
  <c r="H40" i="6188"/>
  <c r="H17" i="6184"/>
  <c r="H7" i="6184"/>
  <c r="H12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1" i="6186"/>
  <c r="H34" i="6186"/>
  <c r="H22" i="6186"/>
  <c r="H37" i="6186"/>
  <c r="H8" i="6186"/>
  <c r="H19" i="6186"/>
  <c r="H9" i="6186"/>
  <c r="C40" i="6186"/>
  <c r="H17" i="6186"/>
  <c r="C23" i="6186"/>
  <c r="H42" i="6186"/>
  <c r="H6" i="6186"/>
  <c r="H18" i="6186"/>
  <c r="H23" i="6186"/>
  <c r="H28" i="6186"/>
  <c r="C22" i="6186"/>
  <c r="B27" i="6186"/>
  <c r="H24" i="6186"/>
  <c r="H31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7" i="6186"/>
  <c r="H36" i="6186"/>
  <c r="C43" i="6186"/>
  <c r="C44" i="6186"/>
  <c r="H5" i="6186"/>
  <c r="B26" i="6186"/>
  <c r="H46" i="6186"/>
  <c r="H11" i="6186"/>
  <c r="H14" i="6186"/>
  <c r="H20" i="6186"/>
  <c r="C36" i="6186"/>
  <c r="H25" i="6186"/>
  <c r="H30" i="6186"/>
  <c r="H39" i="6186"/>
  <c r="H47" i="6186"/>
  <c r="H12" i="6186"/>
  <c r="H3" i="6186"/>
  <c r="H2" i="6186"/>
  <c r="H15" i="6186"/>
  <c r="C21" i="6186"/>
  <c r="C39" i="6186"/>
  <c r="C47" i="6186"/>
  <c r="C18" i="6186"/>
  <c r="H38" i="6186"/>
  <c r="H43" i="6186"/>
  <c r="H48" i="6186"/>
  <c r="C48" i="6186"/>
  <c r="C24" i="6186"/>
  <c r="H32" i="6186"/>
  <c r="H40" i="6186"/>
  <c r="H44" i="6186"/>
  <c r="H49" i="6186"/>
  <c r="H51" i="6186"/>
  <c r="C25" i="6186"/>
  <c r="H41" i="6186"/>
  <c r="H45" i="6186"/>
  <c r="H52" i="6186"/>
  <c r="B28" i="6186"/>
  <c r="H26" i="6186"/>
  <c r="H29" i="6186"/>
  <c r="H33" i="6186"/>
  <c r="C37" i="6186"/>
  <c r="C41" i="6186"/>
  <c r="C45" i="6186"/>
  <c r="H50" i="6186"/>
  <c r="H13" i="6186"/>
  <c r="H16" i="6186"/>
  <c r="H10" i="6186"/>
  <c r="H35" i="6186"/>
  <c r="C38" i="6186"/>
  <c r="C42" i="6186"/>
  <c r="C46" i="6186"/>
  <c r="H32" i="6174"/>
  <c r="H43" i="6184"/>
  <c r="H14" i="6184"/>
  <c r="H35" i="6184"/>
  <c r="C44" i="6184"/>
  <c r="H3" i="6184"/>
  <c r="H11" i="6184"/>
  <c r="H22" i="6184"/>
  <c r="C22" i="6184"/>
  <c r="H46" i="6184"/>
  <c r="H10" i="6184"/>
  <c r="H6" i="6184"/>
  <c r="C23" i="6184"/>
  <c r="C36" i="6184"/>
  <c r="H48" i="6184"/>
  <c r="H38" i="6184"/>
  <c r="H4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5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3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7" i="6180"/>
  <c r="H23" i="6180"/>
  <c r="H20" i="6180"/>
  <c r="H8" i="6180"/>
  <c r="C18" i="6180"/>
  <c r="H24" i="6180"/>
  <c r="C21" i="6180"/>
  <c r="H28" i="6180"/>
  <c r="H36" i="6180"/>
  <c r="H13" i="6180"/>
  <c r="C40" i="6180"/>
  <c r="H3" i="6180"/>
  <c r="H17" i="6180"/>
  <c r="C22" i="6180"/>
  <c r="H42" i="6180"/>
  <c r="H2" i="6180"/>
  <c r="H26" i="6180"/>
  <c r="H5" i="6180"/>
  <c r="C25" i="6180"/>
  <c r="C42" i="6180"/>
  <c r="H46" i="6180"/>
  <c r="H15" i="6180"/>
  <c r="C46" i="6180"/>
  <c r="B26" i="6180"/>
  <c r="H37" i="6180"/>
  <c r="H48" i="6180"/>
  <c r="H7" i="6180"/>
  <c r="H14" i="6180"/>
  <c r="H9" i="6180"/>
  <c r="H40" i="6180"/>
  <c r="H49" i="6180"/>
  <c r="H30" i="6180"/>
  <c r="H41" i="6180"/>
  <c r="C48" i="6180"/>
  <c r="H32" i="6180"/>
  <c r="H34" i="6180"/>
  <c r="C36" i="6180"/>
  <c r="H44" i="6180"/>
  <c r="H50" i="6180"/>
  <c r="H10" i="6180"/>
  <c r="H6" i="6180"/>
  <c r="H12" i="6180"/>
  <c r="H25" i="6180"/>
  <c r="C19" i="6180"/>
  <c r="C24" i="6180"/>
  <c r="H38" i="6180"/>
  <c r="H45" i="6180"/>
  <c r="H4" i="6180"/>
  <c r="H22" i="6180"/>
  <c r="H11" i="6180"/>
  <c r="H18" i="6180"/>
  <c r="C38" i="6180"/>
  <c r="C44" i="6180"/>
  <c r="H52" i="6180"/>
  <c r="C39" i="6180"/>
  <c r="C43" i="6180"/>
  <c r="C47" i="6180"/>
  <c r="H31" i="6180"/>
  <c r="H33" i="6180"/>
  <c r="H19" i="6180"/>
  <c r="C37" i="6180"/>
  <c r="C41" i="6180"/>
  <c r="C45" i="6180"/>
  <c r="H51" i="6180"/>
  <c r="H21" i="6180"/>
  <c r="C23" i="6180"/>
  <c r="B27" i="6180"/>
  <c r="H35" i="6180"/>
  <c r="H39" i="6180"/>
  <c r="H43" i="6180"/>
  <c r="H47" i="6180"/>
  <c r="C18" i="6174"/>
  <c r="H7" i="6174"/>
  <c r="C36" i="6174"/>
  <c r="H28" i="6174"/>
  <c r="H29" i="6174"/>
  <c r="H43" i="6174"/>
  <c r="H31" i="6174"/>
  <c r="H21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0" i="6176"/>
  <c r="H19" i="6176"/>
  <c r="H40" i="6176"/>
  <c r="H45" i="6176"/>
  <c r="H50" i="6176"/>
  <c r="H24" i="6176"/>
  <c r="H17" i="6176"/>
  <c r="H9" i="6176"/>
  <c r="H6" i="6176"/>
  <c r="H13" i="6176"/>
  <c r="H35" i="6176"/>
  <c r="C39" i="6176"/>
  <c r="C44" i="6176"/>
  <c r="H22" i="6176"/>
  <c r="C24" i="6176"/>
  <c r="H16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5" i="6176"/>
  <c r="H30" i="6176"/>
  <c r="H8" i="6176"/>
  <c r="H36" i="6176"/>
  <c r="C38" i="6176"/>
  <c r="C42" i="6176"/>
  <c r="C46" i="6176"/>
  <c r="H49" i="6174"/>
  <c r="C48" i="6174"/>
  <c r="C38" i="6174"/>
  <c r="H11" i="6174"/>
  <c r="H26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0" i="6174"/>
  <c r="H15" i="6174"/>
  <c r="H17" i="6174"/>
  <c r="H37" i="6174"/>
  <c r="C44" i="6174"/>
  <c r="H27" i="6174"/>
  <c r="H42" i="6174"/>
  <c r="H46" i="6174"/>
  <c r="H5" i="6174"/>
  <c r="H39" i="6174"/>
  <c r="H23" i="6174"/>
  <c r="H18" i="6174"/>
  <c r="H44" i="6174"/>
  <c r="H41" i="6174"/>
  <c r="H24" i="6174"/>
  <c r="H2" i="6174"/>
  <c r="H3" i="6174"/>
  <c r="H22" i="6174"/>
  <c r="C21" i="6174"/>
  <c r="B26" i="6174"/>
  <c r="C40" i="6174"/>
  <c r="H47" i="6174"/>
  <c r="H52" i="6174"/>
  <c r="H16" i="6174"/>
  <c r="H33" i="6174"/>
  <c r="H14" i="6174"/>
  <c r="H36" i="6174"/>
  <c r="H38" i="6174"/>
  <c r="C39" i="6174"/>
  <c r="C43" i="6174"/>
  <c r="C47" i="6174"/>
  <c r="H34" i="6174"/>
  <c r="H35" i="6174"/>
  <c r="H25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<sst xmlns="http://schemas.openxmlformats.org/spreadsheetml/2006/main" count="2641" uniqueCount="216">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</sst>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全体!$L$2:$L$173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-11.904761904761905</c:v>
                </c:pt>
                <c:pt idx="1">
                  <c:v>-12.121212121212121</c:v>
                </c:pt>
                <c:pt idx="2">
                  <c:v>6.2893081761006293</c:v>
                </c:pt>
                <c:pt idx="3">
                  <c:v>14.814814814814815</c:v>
                </c:pt>
                <c:pt idx="4">
                  <c:v>-50</c:v>
                </c:pt>
                <c:pt idx="5">
                  <c:v>72.916666666666671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29</c:v>
                </c:pt>
                <c:pt idx="1">
                  <c:v>68</c:v>
                </c:pt>
                <c:pt idx="2">
                  <c:v>62</c:v>
                </c:pt>
                <c:pt idx="3">
                  <c:v>68</c:v>
                </c:pt>
                <c:pt idx="4">
                  <c:v>59</c:v>
                </c:pt>
                <c:pt idx="5">
                  <c:v>34</c:v>
                </c:pt>
                <c:pt idx="6">
                  <c:v>24</c:v>
                </c:pt>
                <c:pt idx="7">
                  <c:v>9</c:v>
                </c:pt>
                <c:pt idx="8">
                  <c:v>4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れんたろう!$L$2:$L$34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-2735.483870967742</c:v>
                </c:pt>
                <c:pt idx="1">
                  <c:v>-683.87096774193549</c:v>
                </c:pt>
                <c:pt idx="2">
                  <c:v>300</c:v>
                </c:pt>
                <c:pt idx="3">
                  <c:v>-1700</c:v>
                </c:pt>
                <c:pt idx="4">
                  <c:v>1911.5384615384614</c:v>
                </c:pt>
                <c:pt idx="5">
                  <c:v>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4</c:v>
                </c:pt>
                <c:pt idx="3">
                  <c:v>19</c:v>
                </c:pt>
                <c:pt idx="4">
                  <c:v>15</c:v>
                </c:pt>
                <c:pt idx="5">
                  <c:v>6</c:v>
                </c:pt>
                <c:pt idx="6">
                  <c:v>7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2316.6666666666665</c:v>
                </c:pt>
                <c:pt idx="1">
                  <c:v>142.85714285714286</c:v>
                </c:pt>
                <c:pt idx="2">
                  <c:v>-3385.7142857142858</c:v>
                </c:pt>
                <c:pt idx="3">
                  <c:v>2485.7142857142858</c:v>
                </c:pt>
                <c:pt idx="4">
                  <c:v>1000</c:v>
                </c:pt>
                <c:pt idx="5">
                  <c:v>-6916.666666666667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だいち!$L$2:$L$41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217.94871794871796</c:v>
                </c:pt>
                <c:pt idx="1">
                  <c:v>4839.4736842105267</c:v>
                </c:pt>
                <c:pt idx="2">
                  <c:v>5464.864864864865</c:v>
                </c:pt>
                <c:pt idx="3">
                  <c:v>3541.9354838709678</c:v>
                </c:pt>
                <c:pt idx="4">
                  <c:v>-1668.9655172413793</c:v>
                </c:pt>
                <c:pt idx="5">
                  <c:v>-504.3478260869565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6</c:v>
                </c:pt>
                <c:pt idx="1">
                  <c:v>14</c:v>
                </c:pt>
                <c:pt idx="2">
                  <c:v>16</c:v>
                </c:pt>
                <c:pt idx="3">
                  <c:v>19</c:v>
                </c:pt>
                <c:pt idx="4">
                  <c:v>19</c:v>
                </c:pt>
                <c:pt idx="5">
                  <c:v>8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-4875</c:v>
                </c:pt>
                <c:pt idx="1">
                  <c:v>-1060</c:v>
                </c:pt>
                <c:pt idx="2">
                  <c:v>-7700</c:v>
                </c:pt>
                <c:pt idx="3">
                  <c:v>2066.6666666666665</c:v>
                </c:pt>
                <c:pt idx="4">
                  <c:v>400</c:v>
                </c:pt>
                <c:pt idx="5">
                  <c:v>-2850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まっつん!$L$2:$L$34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922.58064516129036</c:v>
                </c:pt>
                <c:pt idx="1">
                  <c:v>-1293.5483870967741</c:v>
                </c:pt>
                <c:pt idx="2">
                  <c:v>-1112.9032258064517</c:v>
                </c:pt>
                <c:pt idx="3">
                  <c:v>-900</c:v>
                </c:pt>
                <c:pt idx="4">
                  <c:v>-3160</c:v>
                </c:pt>
                <c:pt idx="5">
                  <c:v>515.78947368421052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8</c:v>
                </c:pt>
                <c:pt idx="1">
                  <c:v>11</c:v>
                </c:pt>
                <c:pt idx="2">
                  <c:v>18</c:v>
                </c:pt>
                <c:pt idx="3">
                  <c:v>10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-2970.5882352941176</c:v>
                </c:pt>
                <c:pt idx="1">
                  <c:v>-187.5</c:v>
                </c:pt>
                <c:pt idx="2">
                  <c:v>3446.6666666666665</c:v>
                </c:pt>
                <c:pt idx="3">
                  <c:v>625</c:v>
                </c:pt>
                <c:pt idx="4">
                  <c:v>2837.5</c:v>
                </c:pt>
                <c:pt idx="5">
                  <c:v>185.71428571428572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4290.909090909091</c:v>
                </c:pt>
                <c:pt idx="1">
                  <c:v>-9672.7272727272721</c:v>
                </c:pt>
                <c:pt idx="2">
                  <c:v>-2110</c:v>
                </c:pt>
                <c:pt idx="3">
                  <c:v>-4312.5</c:v>
                </c:pt>
                <c:pt idx="4">
                  <c:v>5828.5714285714284</c:v>
                </c:pt>
                <c:pt idx="5">
                  <c:v>-1166.6666666666667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たかの2!$B$3:$B$20</c:f>
              <c:numCache>
                <c:formatCode>\+0.0;\-0.0;\±0</c:formatCode>
                <c:ptCount val="18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たかの2!$C$3:$C$20</c:f>
              <c:numCache>
                <c:formatCode>\+0.0;\-0.0;\±0</c:formatCode>
                <c:ptCount val="18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たかの2!$D$3:$D$20</c:f>
              <c:numCache>
                <c:formatCode>0.00\ "位"</c:formatCode>
                <c:ptCount val="1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たかの2!$E$3:$E$20</c:f>
              <c:numCache>
                <c:formatCode>0.0%</c:formatCode>
                <c:ptCount val="1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たかの2!$F$3:$F$20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たかの2!$G$3:$G$20</c:f>
              <c:numCache>
                <c:formatCode>0.0%</c:formatCode>
                <c:ptCount val="18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たかの2!$H$3:$H$20</c:f>
              <c:numCache>
                <c:formatCode>0.0%</c:formatCode>
                <c:ptCount val="18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663580246913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たかの2!$I$3:$I$20</c:f>
              <c:numCache>
                <c:formatCode>0</c:formatCode>
                <c:ptCount val="18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156.08465608465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たかの2!$J$3:$J$20</c:f>
              <c:numCache>
                <c:formatCode>0</c:formatCode>
                <c:ptCount val="18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77.83251231527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たかの2!$K$3:$K$20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4502923976608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たかの2!$L$3:$L$20</c:f>
              <c:numCache>
                <c:formatCode>0.0%</c:formatCode>
                <c:ptCount val="18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1574074074074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たかの2!$M$3:$M$20</c:f>
              <c:numCache>
                <c:formatCode>0.0%</c:formatCode>
                <c:ptCount val="18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79012345679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たかの2!$N$3:$N$20</c:f>
              <c:numCache>
                <c:formatCode>0.0%</c:formatCode>
                <c:ptCount val="18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722713864306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たかの2!$O$3:$O$20</c:f>
              <c:numCache>
                <c:formatCode>0.0%</c:formatCode>
                <c:ptCount val="18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7164179104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たかの2!$P$3:$P$20</c:f>
              <c:numCache>
                <c:formatCode>0.0%</c:formatCode>
                <c:ptCount val="18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0317460317460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171</v>
      </c>
    </row>
    <row r="2" spans="1:2" x14ac:dyDescent="0.45">
      <c r="A2" t="s">
        <v>164</v>
      </c>
      <c r="B2">
        <v>32</v>
      </c>
    </row>
    <row r="3" spans="1:2" x14ac:dyDescent="0.45">
      <c r="A3" t="s">
        <v>189</v>
      </c>
      <c r="B3">
        <v>7</v>
      </c>
    </row>
    <row r="4" spans="1:2" x14ac:dyDescent="0.45">
      <c r="A4" t="s">
        <v>126</v>
      </c>
      <c r="B4">
        <v>39</v>
      </c>
    </row>
    <row r="5" spans="1:2" x14ac:dyDescent="0.45">
      <c r="A5" t="s">
        <v>194</v>
      </c>
      <c r="B5">
        <v>16</v>
      </c>
    </row>
    <row r="6" spans="1:2" x14ac:dyDescent="0.45">
      <c r="A6" t="s">
        <v>192</v>
      </c>
      <c r="B6">
        <v>32</v>
      </c>
    </row>
    <row r="7" spans="1:2" x14ac:dyDescent="0.45">
      <c r="A7" t="s">
        <v>193</v>
      </c>
      <c r="B7">
        <v>17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11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0.6216919380133008</v>
      </c>
      <c r="C2" s="140"/>
      <c r="D2" s="145"/>
      <c r="E2" s="146"/>
      <c r="F2" s="145"/>
      <c r="G2" s="146"/>
      <c r="H2" s="139">
        <v>0.17666131789596279</v>
      </c>
      <c r="I2" s="140"/>
      <c r="J2" s="139">
        <v>0.80295034133967447</v>
      </c>
      <c r="K2" s="140"/>
      <c r="L2" s="139">
        <v>0.73752535106136896</v>
      </c>
      <c r="M2" s="140"/>
      <c r="N2" s="139">
        <v>0.78902321982471058</v>
      </c>
      <c r="O2" s="140"/>
      <c r="P2" s="139">
        <v>0.67937161341899288</v>
      </c>
      <c r="Q2" s="140"/>
      <c r="R2" s="139">
        <v>0.44926435611005489</v>
      </c>
      <c r="S2" s="140"/>
      <c r="T2" s="139">
        <v>0.36290290308630696</v>
      </c>
      <c r="U2" s="140"/>
      <c r="V2" s="139">
        <v>-0.23448433911772498</v>
      </c>
      <c r="W2" s="140"/>
      <c r="X2" s="139">
        <v>0.79164781940410556</v>
      </c>
      <c r="Y2" s="140"/>
      <c r="Z2" s="139">
        <v>-0.12694238986275816</v>
      </c>
      <c r="AA2" s="140"/>
      <c r="AB2" s="139">
        <v>-2.2570764004465321E-2</v>
      </c>
      <c r="AC2" s="140"/>
      <c r="AD2" s="139">
        <v>0.35927408615146283</v>
      </c>
      <c r="AE2" s="140"/>
      <c r="AF2" s="139">
        <v>0.83320104963498354</v>
      </c>
      <c r="AG2" s="140"/>
      <c r="AH2" s="139">
        <v>0.82140824663024614</v>
      </c>
      <c r="AI2" s="140"/>
      <c r="AJ2" s="139">
        <v>0.52429958646153174</v>
      </c>
      <c r="AK2" s="140"/>
    </row>
    <row r="3" spans="1:37" x14ac:dyDescent="0.45">
      <c r="A3" s="40">
        <v>1</v>
      </c>
      <c r="B3" s="43" t="s">
        <v>139</v>
      </c>
      <c r="C3" s="117">
        <v>57</v>
      </c>
      <c r="D3" s="41" t="s">
        <v>126</v>
      </c>
      <c r="E3" s="42">
        <v>501.00000000000011</v>
      </c>
      <c r="F3" s="43" t="s">
        <v>126</v>
      </c>
      <c r="G3" s="62">
        <v>12.846153846153848</v>
      </c>
      <c r="H3" s="43" t="s">
        <v>196</v>
      </c>
      <c r="I3" s="62">
        <v>7.6166666666666663</v>
      </c>
      <c r="J3" s="43" t="s">
        <v>126</v>
      </c>
      <c r="K3" s="44">
        <v>1.7692307692307692</v>
      </c>
      <c r="L3" s="43" t="s">
        <v>126</v>
      </c>
      <c r="M3" s="45">
        <v>0.4358974358974359</v>
      </c>
      <c r="N3" s="43" t="s">
        <v>196</v>
      </c>
      <c r="O3" s="45">
        <v>0.125</v>
      </c>
      <c r="P3" s="43" t="s">
        <v>193</v>
      </c>
      <c r="Q3" s="46">
        <v>0.33613445378151263</v>
      </c>
      <c r="R3" s="43" t="s">
        <v>196</v>
      </c>
      <c r="S3" s="46">
        <v>7.6923076923076927E-2</v>
      </c>
      <c r="T3" s="43" t="s">
        <v>164</v>
      </c>
      <c r="U3" s="47">
        <v>10834.285714285714</v>
      </c>
      <c r="V3" s="43" t="s">
        <v>196</v>
      </c>
      <c r="W3" s="47">
        <v>-4300</v>
      </c>
      <c r="X3" s="43" t="s">
        <v>189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0.33613445378151263</v>
      </c>
      <c r="AD3" s="43" t="s">
        <v>213</v>
      </c>
      <c r="AE3" s="46">
        <v>0.70833333333333337</v>
      </c>
      <c r="AF3" s="43" t="s">
        <v>189</v>
      </c>
      <c r="AG3" s="46">
        <v>0.6</v>
      </c>
      <c r="AH3" s="43" t="s">
        <v>189</v>
      </c>
      <c r="AI3" s="46">
        <v>0.6428571428571429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39</v>
      </c>
      <c r="D4" s="49" t="s">
        <v>193</v>
      </c>
      <c r="E4" s="50">
        <v>71.699999999999989</v>
      </c>
      <c r="F4" s="51" t="s">
        <v>193</v>
      </c>
      <c r="G4" s="63">
        <v>4.2176470588235286</v>
      </c>
      <c r="H4" s="51" t="s">
        <v>205</v>
      </c>
      <c r="I4" s="63">
        <v>7.3222222222222202</v>
      </c>
      <c r="J4" s="51" t="s">
        <v>196</v>
      </c>
      <c r="K4" s="52">
        <v>1.875</v>
      </c>
      <c r="L4" s="51" t="s">
        <v>193</v>
      </c>
      <c r="M4" s="53">
        <v>0.41176470588235292</v>
      </c>
      <c r="N4" s="51" t="s">
        <v>126</v>
      </c>
      <c r="O4" s="53">
        <v>0.20512820512820512</v>
      </c>
      <c r="P4" s="51" t="s">
        <v>126</v>
      </c>
      <c r="Q4" s="54">
        <v>0.33333333333333331</v>
      </c>
      <c r="R4" s="51" t="s">
        <v>126</v>
      </c>
      <c r="S4" s="54">
        <v>0.10774410774410774</v>
      </c>
      <c r="T4" s="51" t="s">
        <v>126</v>
      </c>
      <c r="U4" s="55">
        <v>10144.444444444445</v>
      </c>
      <c r="V4" s="51" t="s">
        <v>189</v>
      </c>
      <c r="W4" s="55">
        <v>-6628.5714285714284</v>
      </c>
      <c r="X4" s="51" t="s">
        <v>196</v>
      </c>
      <c r="Y4" s="53">
        <v>0</v>
      </c>
      <c r="Z4" s="51" t="s">
        <v>164</v>
      </c>
      <c r="AA4" s="54">
        <v>0.30501930501930502</v>
      </c>
      <c r="AB4" s="51" t="s">
        <v>205</v>
      </c>
      <c r="AC4" s="54">
        <v>0.32926829268292684</v>
      </c>
      <c r="AD4" s="51" t="s">
        <v>205</v>
      </c>
      <c r="AE4" s="54">
        <v>0.69230769230769229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32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126</v>
      </c>
      <c r="I5" s="63">
        <v>3.197689075630251</v>
      </c>
      <c r="J5" s="51" t="s">
        <v>193</v>
      </c>
      <c r="K5" s="52">
        <v>1.9411764705882353</v>
      </c>
      <c r="L5" s="51" t="s">
        <v>164</v>
      </c>
      <c r="M5" s="53">
        <v>0.40625</v>
      </c>
      <c r="N5" s="51" t="s">
        <v>189</v>
      </c>
      <c r="O5" s="53">
        <v>0.2857142857142857</v>
      </c>
      <c r="P5" s="51" t="s">
        <v>205</v>
      </c>
      <c r="Q5" s="54">
        <v>0.31707317073170732</v>
      </c>
      <c r="R5" s="51" t="s">
        <v>192</v>
      </c>
      <c r="S5" s="54">
        <v>0.12704918032786885</v>
      </c>
      <c r="T5" s="51" t="s">
        <v>189</v>
      </c>
      <c r="U5" s="55">
        <v>9985.7142857142862</v>
      </c>
      <c r="V5" s="51" t="s">
        <v>193</v>
      </c>
      <c r="W5" s="55">
        <v>-6929.411764705882</v>
      </c>
      <c r="X5" s="51" t="s">
        <v>213</v>
      </c>
      <c r="Y5" s="53">
        <v>0</v>
      </c>
      <c r="Z5" s="51" t="s">
        <v>194</v>
      </c>
      <c r="AA5" s="54">
        <v>0.29411764705882354</v>
      </c>
      <c r="AB5" s="51" t="s">
        <v>192</v>
      </c>
      <c r="AC5" s="54">
        <v>0.22540983606557377</v>
      </c>
      <c r="AD5" s="51" t="s">
        <v>196</v>
      </c>
      <c r="AE5" s="54">
        <v>0.68421052631578949</v>
      </c>
      <c r="AF5" s="51" t="s">
        <v>126</v>
      </c>
      <c r="AG5" s="54">
        <v>0.54545454545454541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32</v>
      </c>
      <c r="D6" s="49" t="s">
        <v>139</v>
      </c>
      <c r="E6" s="50">
        <v>-7.1054273576010019E-15</v>
      </c>
      <c r="F6" s="51" t="s">
        <v>139</v>
      </c>
      <c r="G6" s="63">
        <v>-4.15522067695965E-17</v>
      </c>
      <c r="H6" s="51" t="s">
        <v>193</v>
      </c>
      <c r="I6" s="63">
        <v>2.4063492063492071</v>
      </c>
      <c r="J6" s="51" t="s">
        <v>164</v>
      </c>
      <c r="K6" s="52">
        <v>2</v>
      </c>
      <c r="L6" s="51" t="s">
        <v>139</v>
      </c>
      <c r="M6" s="53">
        <v>0.33333333333333331</v>
      </c>
      <c r="N6" s="51" t="s">
        <v>192</v>
      </c>
      <c r="O6" s="53">
        <v>0.3125</v>
      </c>
      <c r="P6" s="51" t="s">
        <v>213</v>
      </c>
      <c r="Q6" s="54">
        <v>0.3108108108108108</v>
      </c>
      <c r="R6" s="51" t="s">
        <v>193</v>
      </c>
      <c r="S6" s="54">
        <v>0.14285714285714285</v>
      </c>
      <c r="T6" s="51" t="s">
        <v>205</v>
      </c>
      <c r="U6" s="55">
        <v>9503.8461538461543</v>
      </c>
      <c r="V6" s="51" t="s">
        <v>192</v>
      </c>
      <c r="W6" s="55">
        <v>-7790.322580645161</v>
      </c>
      <c r="X6" s="51" t="s">
        <v>126</v>
      </c>
      <c r="Y6" s="53">
        <v>2.564102564102564E-2</v>
      </c>
      <c r="Z6" s="51" t="s">
        <v>196</v>
      </c>
      <c r="AA6" s="54">
        <v>0.29230769230769232</v>
      </c>
      <c r="AB6" s="51" t="s">
        <v>164</v>
      </c>
      <c r="AC6" s="54">
        <v>0.22007722007722008</v>
      </c>
      <c r="AD6" s="51" t="s">
        <v>126</v>
      </c>
      <c r="AE6" s="54">
        <v>0.60273972602739723</v>
      </c>
      <c r="AF6" s="51" t="s">
        <v>193</v>
      </c>
      <c r="AG6" s="54">
        <v>0.42499999999999999</v>
      </c>
      <c r="AH6" s="51" t="s">
        <v>126</v>
      </c>
      <c r="AI6" s="54">
        <v>0.50505050505050508</v>
      </c>
      <c r="AJ6" s="51" t="s">
        <v>126</v>
      </c>
      <c r="AK6" s="58">
        <v>102700</v>
      </c>
    </row>
    <row r="7" spans="1:37" x14ac:dyDescent="0.45">
      <c r="A7" s="48">
        <v>5</v>
      </c>
      <c r="B7" s="51" t="s">
        <v>193</v>
      </c>
      <c r="C7" s="118">
        <v>17</v>
      </c>
      <c r="D7" s="49" t="s">
        <v>164</v>
      </c>
      <c r="E7" s="50">
        <v>-18.600000000000023</v>
      </c>
      <c r="F7" s="51" t="s">
        <v>164</v>
      </c>
      <c r="G7" s="63">
        <v>-0.58125000000000071</v>
      </c>
      <c r="H7" s="51" t="s">
        <v>213</v>
      </c>
      <c r="I7" s="63">
        <v>2.1361111111111115</v>
      </c>
      <c r="J7" s="51" t="s">
        <v>192</v>
      </c>
      <c r="K7" s="52">
        <v>2</v>
      </c>
      <c r="L7" s="51" t="s">
        <v>192</v>
      </c>
      <c r="M7" s="53">
        <v>0.3125</v>
      </c>
      <c r="N7" s="51" t="s">
        <v>139</v>
      </c>
      <c r="O7" s="53">
        <v>0.33333333333333331</v>
      </c>
      <c r="P7" s="51" t="s">
        <v>139</v>
      </c>
      <c r="Q7" s="54">
        <v>0.29166666666666669</v>
      </c>
      <c r="R7" s="51" t="s">
        <v>194</v>
      </c>
      <c r="S7" s="54">
        <v>0.14705882352941177</v>
      </c>
      <c r="T7" s="51" t="s">
        <v>139</v>
      </c>
      <c r="U7" s="55">
        <v>9156.0846560846567</v>
      </c>
      <c r="V7" s="51" t="s">
        <v>164</v>
      </c>
      <c r="W7" s="55">
        <v>-8172.727272727273</v>
      </c>
      <c r="X7" s="51" t="s">
        <v>192</v>
      </c>
      <c r="Y7" s="53">
        <v>0.125</v>
      </c>
      <c r="Z7" s="51" t="s">
        <v>189</v>
      </c>
      <c r="AA7" s="54">
        <v>0.27777777777777779</v>
      </c>
      <c r="AB7" s="51" t="s">
        <v>139</v>
      </c>
      <c r="AC7" s="54">
        <v>0.20679012345679013</v>
      </c>
      <c r="AD7" s="51" t="s">
        <v>193</v>
      </c>
      <c r="AE7" s="54">
        <v>0.6</v>
      </c>
      <c r="AF7" s="51" t="s">
        <v>139</v>
      </c>
      <c r="AG7" s="54">
        <v>0.40671641791044777</v>
      </c>
      <c r="AH7" s="51" t="s">
        <v>193</v>
      </c>
      <c r="AI7" s="54">
        <v>0.5</v>
      </c>
      <c r="AJ7" s="51" t="s">
        <v>213</v>
      </c>
      <c r="AK7" s="58">
        <v>95000</v>
      </c>
    </row>
    <row r="8" spans="1:37" x14ac:dyDescent="0.45">
      <c r="A8" s="48">
        <v>6</v>
      </c>
      <c r="B8" s="51" t="s">
        <v>194</v>
      </c>
      <c r="C8" s="118">
        <v>16</v>
      </c>
      <c r="D8" s="49" t="s">
        <v>189</v>
      </c>
      <c r="E8" s="50">
        <v>-26.899999999999988</v>
      </c>
      <c r="F8" s="51" t="s">
        <v>189</v>
      </c>
      <c r="G8" s="63">
        <v>-3.8428571428571412</v>
      </c>
      <c r="H8" s="51" t="s">
        <v>194</v>
      </c>
      <c r="I8" s="63">
        <v>2.0444444444444443</v>
      </c>
      <c r="J8" s="51" t="s">
        <v>139</v>
      </c>
      <c r="K8" s="52">
        <v>2</v>
      </c>
      <c r="L8" s="51" t="s">
        <v>189</v>
      </c>
      <c r="M8" s="53">
        <v>0.2857142857142857</v>
      </c>
      <c r="N8" s="51" t="s">
        <v>213</v>
      </c>
      <c r="O8" s="53">
        <v>0.33333333333333331</v>
      </c>
      <c r="P8" s="51" t="s">
        <v>192</v>
      </c>
      <c r="Q8" s="54">
        <v>0.27459016393442626</v>
      </c>
      <c r="R8" s="51" t="s">
        <v>139</v>
      </c>
      <c r="S8" s="54">
        <v>0.1566358024691358</v>
      </c>
      <c r="T8" s="51" t="s">
        <v>194</v>
      </c>
      <c r="U8" s="55">
        <v>8777.2727272727279</v>
      </c>
      <c r="V8" s="51" t="s">
        <v>139</v>
      </c>
      <c r="W8" s="55">
        <v>-8377.8325123152717</v>
      </c>
      <c r="X8" s="51" t="s">
        <v>139</v>
      </c>
      <c r="Y8" s="53">
        <v>0.13450292397660818</v>
      </c>
      <c r="Z8" s="51" t="s">
        <v>192</v>
      </c>
      <c r="AA8" s="54">
        <v>0.27049180327868855</v>
      </c>
      <c r="AB8" s="51" t="s">
        <v>126</v>
      </c>
      <c r="AC8" s="54">
        <v>0.18518518518518517</v>
      </c>
      <c r="AD8" s="51" t="s">
        <v>192</v>
      </c>
      <c r="AE8" s="54">
        <v>0.56060606060606055</v>
      </c>
      <c r="AF8" s="51" t="s">
        <v>164</v>
      </c>
      <c r="AG8" s="54">
        <v>0.40350877192982454</v>
      </c>
      <c r="AH8" s="51" t="s">
        <v>139</v>
      </c>
      <c r="AI8" s="54">
        <v>0.46031746031746029</v>
      </c>
      <c r="AJ8" s="51" t="s">
        <v>205</v>
      </c>
      <c r="AK8" s="58">
        <v>93200</v>
      </c>
    </row>
    <row r="9" spans="1:37" x14ac:dyDescent="0.45">
      <c r="A9" s="48">
        <v>7</v>
      </c>
      <c r="B9" s="51" t="s">
        <v>205</v>
      </c>
      <c r="C9" s="118">
        <v>11</v>
      </c>
      <c r="D9" s="49" t="s">
        <v>213</v>
      </c>
      <c r="E9" s="50">
        <v>-41.599999999999994</v>
      </c>
      <c r="F9" s="51" t="s">
        <v>192</v>
      </c>
      <c r="G9" s="63">
        <v>-4.296875</v>
      </c>
      <c r="H9" s="51" t="s">
        <v>139</v>
      </c>
      <c r="I9" s="63">
        <v>0</v>
      </c>
      <c r="J9" s="51" t="s">
        <v>189</v>
      </c>
      <c r="K9" s="52">
        <v>2</v>
      </c>
      <c r="L9" s="51" t="s">
        <v>196</v>
      </c>
      <c r="M9" s="53">
        <v>0.25</v>
      </c>
      <c r="N9" s="51" t="s">
        <v>193</v>
      </c>
      <c r="O9" s="53">
        <v>0.35294117647058826</v>
      </c>
      <c r="P9" s="51" t="s">
        <v>164</v>
      </c>
      <c r="Q9" s="54">
        <v>0.27027027027027029</v>
      </c>
      <c r="R9" s="51" t="s">
        <v>213</v>
      </c>
      <c r="S9" s="54">
        <v>0.1891891891891892</v>
      </c>
      <c r="T9" s="51" t="s">
        <v>196</v>
      </c>
      <c r="U9" s="55">
        <v>7964.7058823529414</v>
      </c>
      <c r="V9" s="51" t="s">
        <v>213</v>
      </c>
      <c r="W9" s="55">
        <v>-8671.4285714285706</v>
      </c>
      <c r="X9" s="51" t="s">
        <v>164</v>
      </c>
      <c r="Y9" s="53">
        <v>0.1875</v>
      </c>
      <c r="Z9" s="51" t="s">
        <v>139</v>
      </c>
      <c r="AA9" s="54">
        <v>0.26157407407407407</v>
      </c>
      <c r="AB9" s="51" t="s">
        <v>196</v>
      </c>
      <c r="AC9" s="54">
        <v>0.13846153846153847</v>
      </c>
      <c r="AD9" s="51" t="s">
        <v>139</v>
      </c>
      <c r="AE9" s="54">
        <v>0.54572271386430682</v>
      </c>
      <c r="AF9" s="51" t="s">
        <v>194</v>
      </c>
      <c r="AG9" s="54">
        <v>0.38461538461538464</v>
      </c>
      <c r="AH9" s="51" t="s">
        <v>164</v>
      </c>
      <c r="AI9" s="54">
        <v>0.44285714285714284</v>
      </c>
      <c r="AJ9" s="51" t="s">
        <v>196</v>
      </c>
      <c r="AK9" s="58">
        <v>89000</v>
      </c>
    </row>
    <row r="10" spans="1:37" x14ac:dyDescent="0.45">
      <c r="A10" s="48">
        <v>8</v>
      </c>
      <c r="B10" s="51" t="s">
        <v>213</v>
      </c>
      <c r="C10" s="118">
        <v>9</v>
      </c>
      <c r="D10" s="49" t="s">
        <v>205</v>
      </c>
      <c r="E10" s="50">
        <v>-121</v>
      </c>
      <c r="F10" s="51" t="s">
        <v>213</v>
      </c>
      <c r="G10" s="63">
        <v>-4.6222222222222218</v>
      </c>
      <c r="H10" s="51" t="s">
        <v>164</v>
      </c>
      <c r="I10" s="63">
        <v>-1.6286324786324731</v>
      </c>
      <c r="J10" s="51" t="s">
        <v>213</v>
      </c>
      <c r="K10" s="52">
        <v>2.1111111111111112</v>
      </c>
      <c r="L10" s="51" t="s">
        <v>213</v>
      </c>
      <c r="M10" s="53">
        <v>0.22222222222222221</v>
      </c>
      <c r="N10" s="51" t="s">
        <v>164</v>
      </c>
      <c r="O10" s="53">
        <v>0.40625</v>
      </c>
      <c r="P10" s="51" t="s">
        <v>196</v>
      </c>
      <c r="Q10" s="54">
        <v>0.26153846153846155</v>
      </c>
      <c r="R10" s="51" t="s">
        <v>164</v>
      </c>
      <c r="S10" s="54">
        <v>0.21235521235521235</v>
      </c>
      <c r="T10" s="51" t="s">
        <v>193</v>
      </c>
      <c r="U10" s="55">
        <v>7675</v>
      </c>
      <c r="V10" s="51" t="s">
        <v>194</v>
      </c>
      <c r="W10" s="55">
        <v>-8773.3333333333339</v>
      </c>
      <c r="X10" s="51" t="s">
        <v>193</v>
      </c>
      <c r="Y10" s="53">
        <v>0.23529411764705882</v>
      </c>
      <c r="Z10" s="51" t="s">
        <v>126</v>
      </c>
      <c r="AA10" s="54">
        <v>0.24579124579124578</v>
      </c>
      <c r="AB10" s="51" t="s">
        <v>194</v>
      </c>
      <c r="AC10" s="54">
        <v>0.12745098039215685</v>
      </c>
      <c r="AD10" s="51" t="s">
        <v>189</v>
      </c>
      <c r="AE10" s="54">
        <v>0.53333333333333333</v>
      </c>
      <c r="AF10" s="51" t="s">
        <v>196</v>
      </c>
      <c r="AG10" s="54">
        <v>0.33333333333333331</v>
      </c>
      <c r="AH10" s="51" t="s">
        <v>192</v>
      </c>
      <c r="AI10" s="54">
        <v>0.38805970149253732</v>
      </c>
      <c r="AJ10" s="51" t="s">
        <v>192</v>
      </c>
      <c r="AK10" s="58">
        <v>88500</v>
      </c>
    </row>
    <row r="11" spans="1:37" x14ac:dyDescent="0.45">
      <c r="A11" s="48">
        <v>9</v>
      </c>
      <c r="B11" s="51" t="s">
        <v>196</v>
      </c>
      <c r="C11" s="118">
        <v>8</v>
      </c>
      <c r="D11" s="49" t="s">
        <v>192</v>
      </c>
      <c r="E11" s="50">
        <v>-137.5</v>
      </c>
      <c r="F11" s="51" t="s">
        <v>205</v>
      </c>
      <c r="G11" s="63">
        <v>-11</v>
      </c>
      <c r="H11" s="51" t="s">
        <v>189</v>
      </c>
      <c r="I11" s="63">
        <v>-3.4222222222222221</v>
      </c>
      <c r="J11" s="51" t="s">
        <v>205</v>
      </c>
      <c r="K11" s="52">
        <v>2.3636363636363638</v>
      </c>
      <c r="L11" s="51" t="s">
        <v>205</v>
      </c>
      <c r="M11" s="53">
        <v>0.18181818181818182</v>
      </c>
      <c r="N11" s="51" t="s">
        <v>194</v>
      </c>
      <c r="O11" s="53">
        <v>0.5</v>
      </c>
      <c r="P11" s="51" t="s">
        <v>189</v>
      </c>
      <c r="Q11" s="54">
        <v>0.25925925925925924</v>
      </c>
      <c r="R11" s="51" t="s">
        <v>205</v>
      </c>
      <c r="S11" s="54">
        <v>0.24390243902439024</v>
      </c>
      <c r="T11" s="51" t="s">
        <v>213</v>
      </c>
      <c r="U11" s="55">
        <v>7530.434782608696</v>
      </c>
      <c r="V11" s="51" t="s">
        <v>126</v>
      </c>
      <c r="W11" s="55">
        <v>-9915.625</v>
      </c>
      <c r="X11" s="51" t="s">
        <v>205</v>
      </c>
      <c r="Y11" s="53">
        <v>0.27272727272727271</v>
      </c>
      <c r="Z11" s="51" t="s">
        <v>193</v>
      </c>
      <c r="AA11" s="54">
        <v>0.16806722689075632</v>
      </c>
      <c r="AB11" s="51" t="s">
        <v>213</v>
      </c>
      <c r="AC11" s="54">
        <v>9.45945945945946E-2</v>
      </c>
      <c r="AD11" s="51" t="s">
        <v>164</v>
      </c>
      <c r="AE11" s="54">
        <v>0.43037974683544306</v>
      </c>
      <c r="AF11" s="51" t="s">
        <v>192</v>
      </c>
      <c r="AG11" s="54">
        <v>0.30909090909090908</v>
      </c>
      <c r="AH11" s="51" t="s">
        <v>194</v>
      </c>
      <c r="AI11" s="54">
        <v>0.36363636363636365</v>
      </c>
      <c r="AJ11" s="51" t="s">
        <v>194</v>
      </c>
      <c r="AK11" s="58">
        <v>74500</v>
      </c>
    </row>
    <row r="12" spans="1:37" x14ac:dyDescent="0.45">
      <c r="A12" s="48">
        <v>10</v>
      </c>
      <c r="B12" s="51" t="s">
        <v>189</v>
      </c>
      <c r="C12" s="118">
        <v>7</v>
      </c>
      <c r="D12" s="49" t="s">
        <v>194</v>
      </c>
      <c r="E12" s="50">
        <v>-234.59999999999997</v>
      </c>
      <c r="F12" s="51" t="s">
        <v>194</v>
      </c>
      <c r="G12" s="63">
        <v>-14.662499999999998</v>
      </c>
      <c r="H12" s="51" t="s">
        <v>192</v>
      </c>
      <c r="I12" s="63">
        <v>-4.2561111111111103</v>
      </c>
      <c r="J12" s="51" t="s">
        <v>194</v>
      </c>
      <c r="K12" s="52">
        <v>2.375</v>
      </c>
      <c r="L12" s="51" t="s">
        <v>194</v>
      </c>
      <c r="M12" s="53">
        <v>0.125</v>
      </c>
      <c r="N12" s="51" t="s">
        <v>205</v>
      </c>
      <c r="O12" s="53">
        <v>0.54545454545454541</v>
      </c>
      <c r="P12" s="51" t="s">
        <v>194</v>
      </c>
      <c r="Q12" s="54">
        <v>0.21568627450980393</v>
      </c>
      <c r="R12" s="51" t="s">
        <v>189</v>
      </c>
      <c r="S12" s="54">
        <v>0.25925925925925924</v>
      </c>
      <c r="T12" s="51" t="s">
        <v>192</v>
      </c>
      <c r="U12" s="55">
        <v>7502.9850746268658</v>
      </c>
      <c r="V12" s="51" t="s">
        <v>205</v>
      </c>
      <c r="W12" s="55">
        <v>-10365</v>
      </c>
      <c r="X12" s="51" t="s">
        <v>194</v>
      </c>
      <c r="Y12" s="53">
        <v>0.3125</v>
      </c>
      <c r="Z12" s="51" t="s">
        <v>205</v>
      </c>
      <c r="AA12" s="54">
        <v>0.15853658536585366</v>
      </c>
      <c r="AB12" s="51" t="s">
        <v>189</v>
      </c>
      <c r="AC12" s="54">
        <v>9.2592592592592587E-2</v>
      </c>
      <c r="AD12" s="51" t="s">
        <v>194</v>
      </c>
      <c r="AE12" s="54">
        <v>0.36666666666666664</v>
      </c>
      <c r="AF12" s="51" t="s">
        <v>205</v>
      </c>
      <c r="AG12" s="54">
        <v>0.25925925925925924</v>
      </c>
      <c r="AH12" s="51" t="s">
        <v>205</v>
      </c>
      <c r="AI12" s="54">
        <v>0.34615384615384615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17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171</v>
      </c>
      <c r="C2" s="132"/>
      <c r="E2" s="28" t="s">
        <v>66</v>
      </c>
      <c r="F2" s="25" t="s">
        <v>22</v>
      </c>
      <c r="G2" s="13">
        <v>265</v>
      </c>
      <c r="H2" s="91">
        <f>IF(B$19=0,0,G2/B$19)</f>
        <v>0.70105820105820105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-11.904761904761905</v>
      </c>
      <c r="P2" s="80">
        <v>168</v>
      </c>
      <c r="Q2" s="67">
        <v>-2000</v>
      </c>
    </row>
    <row r="3" spans="1:17" x14ac:dyDescent="0.45">
      <c r="A3" s="21" t="s">
        <v>8</v>
      </c>
      <c r="B3" s="133">
        <v>1296</v>
      </c>
      <c r="C3" s="134"/>
      <c r="E3" s="29" t="s">
        <v>72</v>
      </c>
      <c r="F3" s="26" t="s">
        <v>27</v>
      </c>
      <c r="G3" s="14">
        <v>206</v>
      </c>
      <c r="H3" s="92">
        <f>IF(B$19=0,0,G3/B$19)</f>
        <v>0.544973544973545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-12.121212121212121</v>
      </c>
      <c r="P3" s="81">
        <v>165</v>
      </c>
      <c r="Q3" s="68">
        <v>-2000</v>
      </c>
    </row>
    <row r="4" spans="1:17" x14ac:dyDescent="0.45">
      <c r="A4" s="21" t="s">
        <v>6</v>
      </c>
      <c r="B4" s="135">
        <v>-7.1054273576010019E-15</v>
      </c>
      <c r="C4" s="136"/>
      <c r="E4" s="29" t="s">
        <v>64</v>
      </c>
      <c r="F4" s="26" t="s">
        <v>20</v>
      </c>
      <c r="G4" s="14">
        <v>177</v>
      </c>
      <c r="H4" s="92">
        <f>IF(B$19=0,0,G4/B$19)</f>
        <v>0.46825396825396826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6.2893081761006293</v>
      </c>
      <c r="P4" s="81">
        <v>159</v>
      </c>
      <c r="Q4" s="68">
        <v>1000</v>
      </c>
    </row>
    <row r="5" spans="1:17" x14ac:dyDescent="0.45">
      <c r="A5" s="21" t="s">
        <v>7</v>
      </c>
      <c r="B5" s="123">
        <f>IF(B$2=0,0,B$4/B$2)</f>
        <v>-4.15522067695965E-17</v>
      </c>
      <c r="C5" s="124"/>
      <c r="E5" s="29" t="s">
        <v>160</v>
      </c>
      <c r="F5" s="26" t="s">
        <v>161</v>
      </c>
      <c r="G5" s="14">
        <v>157</v>
      </c>
      <c r="H5" s="92">
        <f>IF(B$19=0,0,G5/B$19)</f>
        <v>0.41534391534391535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14.814814814814815</v>
      </c>
      <c r="P5" s="81">
        <v>135</v>
      </c>
      <c r="Q5" s="68">
        <v>2000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120</v>
      </c>
      <c r="H6" s="92">
        <f>IF(B$19=0,0,G6/B$19)</f>
        <v>0.31746031746031744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-50</v>
      </c>
      <c r="P6" s="81">
        <v>120</v>
      </c>
      <c r="Q6" s="68">
        <v>-6000</v>
      </c>
    </row>
    <row r="7" spans="1:17" x14ac:dyDescent="0.45">
      <c r="A7" s="21" t="s">
        <v>2</v>
      </c>
      <c r="B7" s="14">
        <v>57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93</v>
      </c>
      <c r="H7" s="92">
        <f>IF(B$19=0,0,G7/B$19)</f>
        <v>0.24603174603174602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72.916666666666671</v>
      </c>
      <c r="P7" s="82">
        <v>96</v>
      </c>
      <c r="Q7" s="69">
        <v>7000</v>
      </c>
    </row>
    <row r="8" spans="1:17" x14ac:dyDescent="0.45">
      <c r="A8" s="21" t="s">
        <v>3</v>
      </c>
      <c r="B8" s="14">
        <v>57</v>
      </c>
      <c r="C8" s="8">
        <f t="shared" si="1"/>
        <v>0.33333333333333331</v>
      </c>
      <c r="E8" s="29" t="s">
        <v>89</v>
      </c>
      <c r="F8" s="26" t="s">
        <v>44</v>
      </c>
      <c r="G8" s="14">
        <v>55</v>
      </c>
      <c r="H8" s="92">
        <f>IF(B$19=0,0,G8/B$19)</f>
        <v>0.14550264550264549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57</v>
      </c>
      <c r="C9" s="9">
        <f t="shared" si="1"/>
        <v>0.33333333333333331</v>
      </c>
      <c r="E9" s="29" t="s">
        <v>69</v>
      </c>
      <c r="F9" s="26" t="s">
        <v>24</v>
      </c>
      <c r="G9" s="14">
        <v>49</v>
      </c>
      <c r="H9" s="92">
        <f>IF(B$19=0,0,G9/B$19)</f>
        <v>0.12962962962962962</v>
      </c>
      <c r="I9" s="60">
        <v>7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42.935087719298231</v>
      </c>
      <c r="C10" s="114">
        <v>2447.2999999999993</v>
      </c>
      <c r="E10" s="29" t="s">
        <v>65</v>
      </c>
      <c r="F10" s="26" t="s">
        <v>21</v>
      </c>
      <c r="G10" s="14">
        <v>40</v>
      </c>
      <c r="H10" s="92">
        <f>IF(B$19=0,0,G10/B$19)</f>
        <v>0.10582010582010581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-7.4368421052631568</v>
      </c>
      <c r="P10" s="80">
        <v>57</v>
      </c>
      <c r="Q10" s="71">
        <v>-423.89999999999992</v>
      </c>
    </row>
    <row r="11" spans="1:17" x14ac:dyDescent="0.45">
      <c r="A11" s="22" t="s">
        <v>186</v>
      </c>
      <c r="B11" s="113">
        <f>IF(B8=0,0,C11/B8)</f>
        <v>-4.1771929824561411</v>
      </c>
      <c r="C11" s="114">
        <v>-238.10000000000005</v>
      </c>
      <c r="E11" s="29" t="s">
        <v>70</v>
      </c>
      <c r="F11" s="26" t="s">
        <v>25</v>
      </c>
      <c r="G11" s="14">
        <v>24</v>
      </c>
      <c r="H11" s="92">
        <f>IF(B$19=0,0,G11/B$19)</f>
        <v>6.3492063492063489E-2</v>
      </c>
      <c r="I11" s="60">
        <v>4</v>
      </c>
      <c r="K11" s="7">
        <v>9</v>
      </c>
      <c r="L11" s="65">
        <v>0</v>
      </c>
      <c r="N11" s="78" t="s">
        <v>153</v>
      </c>
      <c r="O11" s="87">
        <f>IF(P11=0,0,Q11/P11)</f>
        <v>1.3842105263157887</v>
      </c>
      <c r="P11" s="81">
        <v>57</v>
      </c>
      <c r="Q11" s="72">
        <v>78.899999999999949</v>
      </c>
    </row>
    <row r="12" spans="1:17" x14ac:dyDescent="0.45">
      <c r="A12" s="22" t="s">
        <v>187</v>
      </c>
      <c r="B12" s="113">
        <f>IF(B9=0,0,C12/B9)</f>
        <v>-38.757894736842104</v>
      </c>
      <c r="C12" s="114">
        <v>-2209.1999999999998</v>
      </c>
      <c r="E12" s="29" t="s">
        <v>71</v>
      </c>
      <c r="F12" s="26" t="s">
        <v>26</v>
      </c>
      <c r="G12" s="14">
        <v>24</v>
      </c>
      <c r="H12" s="92">
        <f>IF(B$19=0,0,G12/B$19)</f>
        <v>6.3492063492063489E-2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6.0526315789473664</v>
      </c>
      <c r="P12" s="82">
        <v>57</v>
      </c>
      <c r="Q12" s="73">
        <v>344.99999999999989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21</v>
      </c>
      <c r="H13" s="92">
        <f>IF(B$19=0,0,G13/B$19)</f>
        <v>5.5555555555555552E-2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23</v>
      </c>
      <c r="C14" s="11">
        <f t="shared" si="1"/>
        <v>0.13450292397660818</v>
      </c>
      <c r="E14" s="29" t="s">
        <v>86</v>
      </c>
      <c r="F14" s="26" t="s">
        <v>41</v>
      </c>
      <c r="G14" s="14">
        <v>21</v>
      </c>
      <c r="H14" s="92">
        <f>IF(B$19=0,0,G14/B$19)</f>
        <v>5.5555555555555552E-2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339</v>
      </c>
      <c r="C15" s="12">
        <f>IF(B$3=0,0,B15/B$3)</f>
        <v>0.26157407407407407</v>
      </c>
      <c r="E15" s="29" t="s">
        <v>78</v>
      </c>
      <c r="F15" s="26" t="s">
        <v>33</v>
      </c>
      <c r="G15" s="14">
        <v>13</v>
      </c>
      <c r="H15" s="92">
        <f>IF(B$19=0,0,G15/B$19)</f>
        <v>3.439153439153439E-2</v>
      </c>
      <c r="I15" s="60">
        <v>6</v>
      </c>
      <c r="K15" s="7">
        <v>13</v>
      </c>
      <c r="L15" s="65">
        <v>14.300000000000002</v>
      </c>
      <c r="N15" s="77" t="s">
        <v>194</v>
      </c>
      <c r="O15" s="86">
        <f>IF(P15=0,0,Q15/P15)</f>
        <v>21.993749999999999</v>
      </c>
      <c r="P15" s="80">
        <v>32</v>
      </c>
      <c r="Q15" s="71">
        <v>703.8</v>
      </c>
    </row>
    <row r="16" spans="1:17" x14ac:dyDescent="0.45">
      <c r="A16" s="21" t="s">
        <v>118</v>
      </c>
      <c r="B16" s="14">
        <v>268</v>
      </c>
      <c r="C16" s="8">
        <f>IF(B$3=0,0,B16/B$3)</f>
        <v>0.20679012345679013</v>
      </c>
      <c r="E16" s="29" t="s">
        <v>79</v>
      </c>
      <c r="F16" s="26" t="s">
        <v>34</v>
      </c>
      <c r="G16" s="14">
        <v>11</v>
      </c>
      <c r="H16" s="92">
        <f>IF(B$19=0,0,G16/B$19)</f>
        <v>2.9100529100529099E-2</v>
      </c>
      <c r="I16" s="60">
        <v>4</v>
      </c>
      <c r="K16" s="7">
        <v>14</v>
      </c>
      <c r="L16" s="65">
        <v>12.800000000000002</v>
      </c>
      <c r="N16" s="78" t="s">
        <v>205</v>
      </c>
      <c r="O16" s="87">
        <f>IF(P16=0,0,Q16/P16)</f>
        <v>16.5</v>
      </c>
      <c r="P16" s="81">
        <v>22</v>
      </c>
      <c r="Q16" s="72">
        <v>363</v>
      </c>
    </row>
    <row r="17" spans="1:17" x14ac:dyDescent="0.45">
      <c r="A17" s="20" t="s">
        <v>123</v>
      </c>
      <c r="B17" s="13">
        <f>B23</f>
        <v>185</v>
      </c>
      <c r="C17" s="6">
        <f>IF(B$15=0,0,B17/B$15)</f>
        <v>0.54572271386430682</v>
      </c>
      <c r="E17" s="29" t="s">
        <v>81</v>
      </c>
      <c r="F17" s="26" t="s">
        <v>36</v>
      </c>
      <c r="G17" s="14">
        <v>8</v>
      </c>
      <c r="H17" s="92">
        <f>IF(B$19=0,0,G17/B$19)</f>
        <v>2.1164021164021163E-2</v>
      </c>
      <c r="I17" s="60">
        <v>4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109</v>
      </c>
      <c r="C18" s="6">
        <f>IF(B$16=0,0,B18/B$16)</f>
        <v>0.40671641791044777</v>
      </c>
      <c r="E18" s="29" t="s">
        <v>91</v>
      </c>
      <c r="F18" s="26" t="s">
        <v>46</v>
      </c>
      <c r="G18" s="14">
        <v>7</v>
      </c>
      <c r="H18" s="92">
        <f>IF(B$19=0,0,G18/B$19)</f>
        <v>1.8518518518518517E-2</v>
      </c>
      <c r="I18" s="60">
        <v>4</v>
      </c>
      <c r="K18" s="7">
        <v>16</v>
      </c>
      <c r="L18" s="65">
        <v>3.4000000000000017</v>
      </c>
      <c r="N18" s="78" t="s">
        <v>192</v>
      </c>
      <c r="O18" s="87">
        <f>IF(P18=0,0,Q18/P18)</f>
        <v>6.4453125000000036</v>
      </c>
      <c r="P18" s="81">
        <v>64</v>
      </c>
      <c r="Q18" s="72">
        <v>412.50000000000023</v>
      </c>
    </row>
    <row r="19" spans="1:17" x14ac:dyDescent="0.45">
      <c r="A19" s="20" t="s">
        <v>10</v>
      </c>
      <c r="B19" s="13">
        <f>B22+B21</f>
        <v>378</v>
      </c>
      <c r="C19" s="6">
        <f>IF(B$3=0,0,B19/B$3)</f>
        <v>0.29166666666666669</v>
      </c>
      <c r="E19" s="29" t="s">
        <v>92</v>
      </c>
      <c r="F19" s="26" t="s">
        <v>47</v>
      </c>
      <c r="G19" s="14">
        <v>7</v>
      </c>
      <c r="H19" s="92">
        <f>IF(B$19=0,0,G19/B$19)</f>
        <v>1.8518518518518517E-2</v>
      </c>
      <c r="I19" s="60">
        <v>4</v>
      </c>
      <c r="K19" s="7">
        <v>17</v>
      </c>
      <c r="L19" s="65">
        <v>-35.800000000000004</v>
      </c>
      <c r="N19" s="78" t="s">
        <v>189</v>
      </c>
      <c r="O19" s="87">
        <f>IF(P19=0,0,Q19/P19)</f>
        <v>5.7642857142857142</v>
      </c>
      <c r="P19" s="81">
        <v>14</v>
      </c>
      <c r="Q19" s="72">
        <v>80.7</v>
      </c>
    </row>
    <row r="20" spans="1:17" x14ac:dyDescent="0.45">
      <c r="A20" s="21" t="s">
        <v>13</v>
      </c>
      <c r="B20" s="14">
        <v>203</v>
      </c>
      <c r="C20" s="8">
        <f>IF(B$3=0,0,B20/B$3)</f>
        <v>0.1566358024691358</v>
      </c>
      <c r="E20" s="29" t="s">
        <v>156</v>
      </c>
      <c r="F20" s="26" t="s">
        <v>157</v>
      </c>
      <c r="G20" s="14">
        <v>5</v>
      </c>
      <c r="H20" s="92">
        <f>IF(B$19=0,0,G20/B$19)</f>
        <v>1.3227513227513227E-2</v>
      </c>
      <c r="I20" s="60">
        <v>4</v>
      </c>
      <c r="K20" s="7">
        <v>18</v>
      </c>
      <c r="L20" s="65">
        <v>-7.1054273576010019E-15</v>
      </c>
      <c r="N20" s="78" t="s">
        <v>164</v>
      </c>
      <c r="O20" s="87">
        <f>IF(P20=0,0,Q20/P20)</f>
        <v>0.87187499999999996</v>
      </c>
      <c r="P20" s="81">
        <v>64</v>
      </c>
      <c r="Q20" s="72">
        <v>55.8</v>
      </c>
    </row>
    <row r="21" spans="1:17" x14ac:dyDescent="0.45">
      <c r="A21" s="21" t="s">
        <v>12</v>
      </c>
      <c r="B21" s="14">
        <v>174</v>
      </c>
      <c r="C21" s="8">
        <f>IF(B$19=0,0,B21/B$19)</f>
        <v>0.46031746031746029</v>
      </c>
      <c r="E21" s="29" t="s">
        <v>73</v>
      </c>
      <c r="F21" s="26" t="s">
        <v>28</v>
      </c>
      <c r="G21" s="14">
        <v>2</v>
      </c>
      <c r="H21" s="92">
        <f>IF(B$19=0,0,G21/B$19)</f>
        <v>5.2910052910052907E-3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204</v>
      </c>
      <c r="C22" s="8">
        <f>IF(B$19=0,0,B22/B$19)</f>
        <v>0.53968253968253965</v>
      </c>
      <c r="E22" s="29" t="s">
        <v>75</v>
      </c>
      <c r="F22" s="26" t="s">
        <v>30</v>
      </c>
      <c r="G22" s="14">
        <v>2</v>
      </c>
      <c r="H22" s="92">
        <f>IF(B$19=0,0,G22/B$19)</f>
        <v>5.2910052910052907E-3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-6.3264705882352956</v>
      </c>
      <c r="P22" s="81">
        <v>34</v>
      </c>
      <c r="Q22" s="72">
        <v>-215.10000000000005</v>
      </c>
    </row>
    <row r="23" spans="1:17" x14ac:dyDescent="0.45">
      <c r="A23" s="21" t="s">
        <v>184</v>
      </c>
      <c r="B23" s="14">
        <v>185</v>
      </c>
      <c r="C23" s="8">
        <f>IF(B$19=0,0,B23/B$19)</f>
        <v>0.48941798941798942</v>
      </c>
      <c r="E23" s="29" t="s">
        <v>77</v>
      </c>
      <c r="F23" s="26" t="s">
        <v>32</v>
      </c>
      <c r="G23" s="14">
        <v>2</v>
      </c>
      <c r="H23" s="92">
        <f>IF(B$19=0,0,G23/B$19)</f>
        <v>5.2910052910052907E-3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-19.269230769230763</v>
      </c>
      <c r="P23" s="81">
        <v>78</v>
      </c>
      <c r="Q23" s="72">
        <v>-1502.9999999999995</v>
      </c>
    </row>
    <row r="24" spans="1:17" x14ac:dyDescent="0.45">
      <c r="A24" s="21" t="s">
        <v>182</v>
      </c>
      <c r="B24" s="14">
        <v>109</v>
      </c>
      <c r="C24" s="8">
        <f>IF(B$19=0,0,B24/B$19)</f>
        <v>0.28835978835978837</v>
      </c>
      <c r="E24" s="29" t="s">
        <v>87</v>
      </c>
      <c r="F24" s="26" t="s">
        <v>42</v>
      </c>
      <c r="G24" s="14">
        <v>2</v>
      </c>
      <c r="H24" s="92">
        <f>IF(B$19=0,0,G24/B$19)</f>
        <v>5.2910052910052907E-3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84</v>
      </c>
      <c r="C25" s="8">
        <f>IF(B$19=0,0,B25/B$19)</f>
        <v>0.22222222222222221</v>
      </c>
      <c r="E25" s="29" t="s">
        <v>93</v>
      </c>
      <c r="F25" s="26" t="s">
        <v>48</v>
      </c>
      <c r="G25" s="14">
        <v>2</v>
      </c>
      <c r="H25" s="92">
        <f>IF(B$19=0,0,G25/B$19)</f>
        <v>5.2910052910052907E-3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9156.0846560846567</v>
      </c>
      <c r="C26" s="10">
        <v>3461000</v>
      </c>
      <c r="E26" s="29" t="s">
        <v>85</v>
      </c>
      <c r="F26" s="26" t="s">
        <v>40</v>
      </c>
      <c r="G26" s="14">
        <v>1</v>
      </c>
      <c r="H26" s="92">
        <f>IF(B$19=0,0,G26/B$19)</f>
        <v>2.6455026455026454E-3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9499.2565055762079</v>
      </c>
      <c r="C27" s="100">
        <v>2555300</v>
      </c>
      <c r="E27" s="29" t="s">
        <v>95</v>
      </c>
      <c r="F27" s="26" t="s">
        <v>50</v>
      </c>
      <c r="G27" s="14">
        <v>1</v>
      </c>
      <c r="H27" s="92">
        <f>IF(B$19=0,0,G27/B$19)</f>
        <v>2.6455026455026454E-3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8309.1743119266048</v>
      </c>
      <c r="C28" s="100">
        <v>905700</v>
      </c>
      <c r="E28" s="29" t="s">
        <v>97</v>
      </c>
      <c r="F28" s="26" t="s">
        <v>52</v>
      </c>
      <c r="G28" s="14">
        <v>1</v>
      </c>
      <c r="H28" s="92">
        <f>IF(B$19=0,0,G28/B$19)</f>
        <v>2.6455026455026454E-3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-8377.8325123152717</v>
      </c>
      <c r="C29" s="100">
        <v>-1700700</v>
      </c>
      <c r="E29" s="29" t="s">
        <v>102</v>
      </c>
      <c r="F29" s="26" t="s">
        <v>57</v>
      </c>
      <c r="G29" s="14">
        <v>1</v>
      </c>
      <c r="H29" s="92">
        <f>IF(B$19=0,0,G29/B$19)</f>
        <v>2.6455026455026454E-3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2</v>
      </c>
      <c r="E30" s="29" t="s">
        <v>74</v>
      </c>
      <c r="F30" s="26" t="s">
        <v>29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10</v>
      </c>
      <c r="E31" s="29" t="s">
        <v>76</v>
      </c>
      <c r="F31" s="26" t="s">
        <v>31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80</v>
      </c>
      <c r="F32" s="26" t="s">
        <v>35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82</v>
      </c>
      <c r="F33" s="26" t="s">
        <v>37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2.3148148148148147E-3</v>
      </c>
      <c r="E34" s="29" t="s">
        <v>84</v>
      </c>
      <c r="F34" s="26" t="s">
        <v>39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29</v>
      </c>
      <c r="C36" s="102">
        <f t="shared" ref="C36:C48" si="2">IF(B$19=0,0,B36/B$19)</f>
        <v>7.6719576719576715E-2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68</v>
      </c>
      <c r="C37" s="8">
        <f t="shared" si="2"/>
        <v>0.17989417989417988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62</v>
      </c>
      <c r="C38" s="8">
        <f t="shared" si="2"/>
        <v>0.16402116402116401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68</v>
      </c>
      <c r="C39" s="8">
        <f t="shared" si="2"/>
        <v>0.17989417989417988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59</v>
      </c>
      <c r="C40" s="8">
        <f t="shared" si="2"/>
        <v>0.15608465608465608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34</v>
      </c>
      <c r="C41" s="8">
        <f t="shared" si="2"/>
        <v>8.9947089947089942E-2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24</v>
      </c>
      <c r="C42" s="8">
        <f t="shared" si="2"/>
        <v>6.3492063492063489E-2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9</v>
      </c>
      <c r="C43" s="8">
        <f t="shared" si="2"/>
        <v>2.3809523809523808E-2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4</v>
      </c>
      <c r="C44" s="8">
        <f t="shared" si="2"/>
        <v>1.0582010582010581E-2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5</v>
      </c>
      <c r="C45" s="8">
        <f t="shared" si="2"/>
        <v>1.3227513227513227E-2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3</v>
      </c>
      <c r="C46" s="8">
        <f t="shared" si="2"/>
        <v>7.9365079365079361E-3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2.6455026455026454E-3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3.1746031746031744E-2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</sheetData>
  <sortState xmlns:xlrd2="http://schemas.microsoft.com/office/spreadsheetml/2017/richdata2" ref="E2:I1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</v>
      </c>
      <c r="C2" s="132"/>
      <c r="E2" s="28" t="s">
        <v>66</v>
      </c>
      <c r="F2" s="25" t="s">
        <v>22</v>
      </c>
      <c r="G2" s="13">
        <v>66</v>
      </c>
      <c r="H2" s="91">
        <f>IF(B$19=0,0,G2/B$19)</f>
        <v>0.94285714285714284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-2735.483870967742</v>
      </c>
      <c r="P2" s="80">
        <v>31</v>
      </c>
      <c r="Q2" s="67">
        <v>-84800</v>
      </c>
    </row>
    <row r="3" spans="1:17" x14ac:dyDescent="0.45">
      <c r="A3" s="21" t="s">
        <v>8</v>
      </c>
      <c r="B3" s="133">
        <v>259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0.54285714285714282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-683.87096774193549</v>
      </c>
      <c r="P3" s="81">
        <v>31</v>
      </c>
      <c r="Q3" s="68">
        <v>-21200</v>
      </c>
    </row>
    <row r="4" spans="1:17" x14ac:dyDescent="0.45">
      <c r="A4" s="21" t="s">
        <v>6</v>
      </c>
      <c r="B4" s="135">
        <v>-18.600000000000023</v>
      </c>
      <c r="C4" s="136"/>
      <c r="E4" s="29" t="s">
        <v>160</v>
      </c>
      <c r="F4" s="26" t="s">
        <v>161</v>
      </c>
      <c r="G4" s="14">
        <v>37</v>
      </c>
      <c r="H4" s="92">
        <f>IF(B$19=0,0,G4/B$19)</f>
        <v>0.52857142857142858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300</v>
      </c>
      <c r="P4" s="81">
        <v>30</v>
      </c>
      <c r="Q4" s="68">
        <v>9000</v>
      </c>
    </row>
    <row r="5" spans="1:17" x14ac:dyDescent="0.45">
      <c r="A5" s="21" t="s">
        <v>7</v>
      </c>
      <c r="B5" s="123">
        <f>IF(B$2=0,0,B$4/B$2)</f>
        <v>-0.58125000000000071</v>
      </c>
      <c r="C5" s="124"/>
      <c r="E5" s="29" t="s">
        <v>64</v>
      </c>
      <c r="F5" s="26" t="s">
        <v>20</v>
      </c>
      <c r="G5" s="14">
        <v>35</v>
      </c>
      <c r="H5" s="92">
        <f>IF(B$19=0,0,G5/B$19)</f>
        <v>0.5</v>
      </c>
      <c r="I5" s="60">
        <v>5</v>
      </c>
      <c r="K5" s="7">
        <v>3</v>
      </c>
      <c r="L5" s="65">
        <v>61.5</v>
      </c>
      <c r="N5" s="78" t="s">
        <v>131</v>
      </c>
      <c r="O5" s="84">
        <f t="shared" si="0"/>
        <v>-1700</v>
      </c>
      <c r="P5" s="81">
        <v>27</v>
      </c>
      <c r="Q5" s="68">
        <v>-45900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19</v>
      </c>
      <c r="H6" s="92">
        <f>IF(B$19=0,0,G6/B$19)</f>
        <v>0.27142857142857141</v>
      </c>
      <c r="I6" s="60">
        <v>8</v>
      </c>
      <c r="K6" s="7">
        <v>4</v>
      </c>
      <c r="L6" s="65">
        <v>27.4</v>
      </c>
      <c r="N6" s="78" t="s">
        <v>132</v>
      </c>
      <c r="O6" s="84">
        <f t="shared" si="0"/>
        <v>1911.5384615384614</v>
      </c>
      <c r="P6" s="81">
        <v>26</v>
      </c>
      <c r="Q6" s="68">
        <v>49700</v>
      </c>
    </row>
    <row r="7" spans="1:17" x14ac:dyDescent="0.45">
      <c r="A7" s="21" t="s">
        <v>2</v>
      </c>
      <c r="B7" s="14">
        <v>13</v>
      </c>
      <c r="C7" s="8">
        <f t="shared" ref="C7:C14" si="1">IF(B$2=0,0,B7/B$2)</f>
        <v>0.40625</v>
      </c>
      <c r="E7" s="29" t="s">
        <v>67</v>
      </c>
      <c r="F7" s="26" t="s">
        <v>23</v>
      </c>
      <c r="G7" s="14">
        <v>18</v>
      </c>
      <c r="H7" s="92">
        <f>IF(B$19=0,0,G7/B$19)</f>
        <v>0.25714285714285712</v>
      </c>
      <c r="I7" s="60">
        <v>4</v>
      </c>
      <c r="K7" s="7">
        <v>5</v>
      </c>
      <c r="L7" s="65">
        <v>18</v>
      </c>
      <c r="N7" s="79" t="s">
        <v>133</v>
      </c>
      <c r="O7" s="85">
        <f t="shared" si="0"/>
        <v>3800</v>
      </c>
      <c r="P7" s="82">
        <v>19</v>
      </c>
      <c r="Q7" s="69">
        <v>72200</v>
      </c>
    </row>
    <row r="8" spans="1:17" x14ac:dyDescent="0.45">
      <c r="A8" s="21" t="s">
        <v>3</v>
      </c>
      <c r="B8" s="14">
        <v>6</v>
      </c>
      <c r="C8" s="8">
        <f t="shared" si="1"/>
        <v>0.1875</v>
      </c>
      <c r="E8" s="29" t="s">
        <v>89</v>
      </c>
      <c r="F8" s="26" t="s">
        <v>44</v>
      </c>
      <c r="G8" s="14">
        <v>11</v>
      </c>
      <c r="H8" s="92">
        <f>IF(B$19=0,0,G8/B$19)</f>
        <v>0.15714285714285714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0.40625</v>
      </c>
      <c r="E9" s="29" t="s">
        <v>65</v>
      </c>
      <c r="F9" s="26" t="s">
        <v>21</v>
      </c>
      <c r="G9" s="14">
        <v>9</v>
      </c>
      <c r="H9" s="92">
        <f>IF(B$19=0,0,G9/B$19)</f>
        <v>0.12857142857142856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41.892307692307703</v>
      </c>
      <c r="C10" s="114">
        <v>544.60000000000014</v>
      </c>
      <c r="E10" s="29" t="s">
        <v>86</v>
      </c>
      <c r="F10" s="26" t="s">
        <v>41</v>
      </c>
      <c r="G10" s="14">
        <v>7</v>
      </c>
      <c r="H10" s="92">
        <f>IF(B$19=0,0,G10/B$19)</f>
        <v>0.1</v>
      </c>
      <c r="I10" s="60">
        <v>2</v>
      </c>
      <c r="K10" s="7">
        <v>8</v>
      </c>
      <c r="L10" s="65">
        <v>-9.9999999999999964</v>
      </c>
      <c r="N10" s="77" t="s">
        <v>152</v>
      </c>
      <c r="O10" s="86">
        <f>IF(P10=0,0,Q10/P10)</f>
        <v>-8.5500000000000025</v>
      </c>
      <c r="P10" s="80">
        <v>12</v>
      </c>
      <c r="Q10" s="71">
        <v>-102.60000000000002</v>
      </c>
    </row>
    <row r="11" spans="1:17" x14ac:dyDescent="0.45">
      <c r="A11" s="22" t="s">
        <v>186</v>
      </c>
      <c r="B11" s="113">
        <f>IF(B8=0,0,C11/B8)</f>
        <v>-6.416666666666667</v>
      </c>
      <c r="C11" s="114">
        <v>-38.5</v>
      </c>
      <c r="E11" s="29" t="s">
        <v>70</v>
      </c>
      <c r="F11" s="26" t="s">
        <v>25</v>
      </c>
      <c r="G11" s="14">
        <v>6</v>
      </c>
      <c r="H11" s="92">
        <f>IF(B$19=0,0,G11/B$19)</f>
        <v>8.5714285714285715E-2</v>
      </c>
      <c r="I11" s="60">
        <v>3</v>
      </c>
      <c r="K11" s="7">
        <v>9</v>
      </c>
      <c r="L11" s="65">
        <v>33.5</v>
      </c>
      <c r="N11" s="78" t="s">
        <v>153</v>
      </c>
      <c r="O11" s="87">
        <f>IF(P11=0,0,Q11/P11)</f>
        <v>10.257142857142854</v>
      </c>
      <c r="P11" s="81">
        <v>7</v>
      </c>
      <c r="Q11" s="72">
        <v>71.799999999999983</v>
      </c>
    </row>
    <row r="12" spans="1:17" x14ac:dyDescent="0.45">
      <c r="A12" s="22" t="s">
        <v>187</v>
      </c>
      <c r="B12" s="113">
        <f>IF(B9=0,0,C12/B9)</f>
        <v>-40.361538461538458</v>
      </c>
      <c r="C12" s="114">
        <v>-524.69999999999993</v>
      </c>
      <c r="E12" s="29" t="s">
        <v>69</v>
      </c>
      <c r="F12" s="26" t="s">
        <v>24</v>
      </c>
      <c r="G12" s="14">
        <v>5</v>
      </c>
      <c r="H12" s="92">
        <f>IF(B$19=0,0,G12/B$19)</f>
        <v>7.1428571428571425E-2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0.93846153846153846</v>
      </c>
      <c r="P12" s="82">
        <v>13</v>
      </c>
      <c r="Q12" s="73">
        <v>12.2</v>
      </c>
    </row>
    <row r="13" spans="1:17" x14ac:dyDescent="0.45">
      <c r="A13" s="22" t="s">
        <v>188</v>
      </c>
      <c r="B13" s="123">
        <f>AVERAGE(B10:B12)</f>
        <v>-1.6286324786324731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5.7142857142857141E-2</v>
      </c>
      <c r="I13" s="60">
        <v>7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0.1875</v>
      </c>
      <c r="E14" s="29" t="s">
        <v>79</v>
      </c>
      <c r="F14" s="26" t="s">
        <v>34</v>
      </c>
      <c r="G14" s="14">
        <v>3</v>
      </c>
      <c r="H14" s="92">
        <f>IF(B$19=0,0,G14/B$19)</f>
        <v>4.2857142857142858E-2</v>
      </c>
      <c r="I14" s="60">
        <v>3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79</v>
      </c>
      <c r="C15" s="12">
        <f>IF(B$3=0,0,B15/B$3)</f>
        <v>0.30501930501930502</v>
      </c>
      <c r="E15" s="29" t="s">
        <v>81</v>
      </c>
      <c r="F15" s="26" t="s">
        <v>36</v>
      </c>
      <c r="G15" s="14">
        <v>3</v>
      </c>
      <c r="H15" s="92">
        <f>IF(B$19=0,0,G15/B$19)</f>
        <v>4.2857142857142858E-2</v>
      </c>
      <c r="I15" s="60">
        <v>3</v>
      </c>
      <c r="K15" s="7">
        <v>13</v>
      </c>
      <c r="L15" s="65">
        <v>-33.5</v>
      </c>
      <c r="N15" s="77" t="s">
        <v>205</v>
      </c>
      <c r="O15" s="86">
        <f t="shared" ref="O15:O22" si="2">IF(P15=0,0,Q15/P15)</f>
        <v>29.925000000000001</v>
      </c>
      <c r="P15" s="80">
        <v>4</v>
      </c>
      <c r="Q15" s="71">
        <v>119.7</v>
      </c>
    </row>
    <row r="16" spans="1:17" x14ac:dyDescent="0.45">
      <c r="A16" s="21" t="s">
        <v>118</v>
      </c>
      <c r="B16" s="14">
        <v>57</v>
      </c>
      <c r="C16" s="8">
        <f>IF(B$3=0,0,B16/B$3)</f>
        <v>0.22007722007722008</v>
      </c>
      <c r="E16" s="29" t="s">
        <v>91</v>
      </c>
      <c r="F16" s="26" t="s">
        <v>46</v>
      </c>
      <c r="G16" s="14">
        <v>3</v>
      </c>
      <c r="H16" s="92">
        <f>IF(B$19=0,0,G16/B$19)</f>
        <v>4.2857142857142858E-2</v>
      </c>
      <c r="I16" s="60">
        <v>2</v>
      </c>
      <c r="K16" s="7">
        <v>14</v>
      </c>
      <c r="L16" s="65">
        <v>15.100000000000001</v>
      </c>
      <c r="N16" s="78" t="s">
        <v>189</v>
      </c>
      <c r="O16" s="87">
        <f t="shared" si="2"/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34</v>
      </c>
      <c r="C17" s="6">
        <f>IF(B$15=0,0,B17/B$15)</f>
        <v>0.43037974683544306</v>
      </c>
      <c r="E17" s="29" t="s">
        <v>78</v>
      </c>
      <c r="F17" s="26" t="s">
        <v>33</v>
      </c>
      <c r="G17" s="14">
        <v>2</v>
      </c>
      <c r="H17" s="92">
        <f>IF(B$19=0,0,G17/B$19)</f>
        <v>2.8571428571428571E-2</v>
      </c>
      <c r="I17" s="60">
        <v>7</v>
      </c>
      <c r="K17" s="7">
        <v>15</v>
      </c>
      <c r="L17" s="65">
        <v>-33.1</v>
      </c>
      <c r="N17" s="78" t="s">
        <v>192</v>
      </c>
      <c r="O17" s="87">
        <f t="shared" si="2"/>
        <v>11.835714285714285</v>
      </c>
      <c r="P17" s="81">
        <v>14</v>
      </c>
      <c r="Q17" s="72">
        <v>165.7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0.40350877192982454</v>
      </c>
      <c r="E18" s="29" t="s">
        <v>83</v>
      </c>
      <c r="F18" s="26" t="s">
        <v>38</v>
      </c>
      <c r="G18" s="14">
        <v>2</v>
      </c>
      <c r="H18" s="92">
        <f>IF(B$19=0,0,G18/B$19)</f>
        <v>2.8571428571428571E-2</v>
      </c>
      <c r="I18" s="60">
        <v>7</v>
      </c>
      <c r="K18" s="7">
        <v>16</v>
      </c>
      <c r="L18" s="65">
        <v>-10.8</v>
      </c>
      <c r="N18" s="78" t="s">
        <v>213</v>
      </c>
      <c r="O18" s="87">
        <f t="shared" si="2"/>
        <v>9.1222222222222218</v>
      </c>
      <c r="P18" s="81">
        <v>9</v>
      </c>
      <c r="Q18" s="72">
        <v>82.1</v>
      </c>
    </row>
    <row r="19" spans="1:17" x14ac:dyDescent="0.45">
      <c r="A19" s="20" t="s">
        <v>10</v>
      </c>
      <c r="B19" s="13">
        <f>B22+B21</f>
        <v>70</v>
      </c>
      <c r="C19" s="6">
        <f>IF(B$3=0,0,B19/B$3)</f>
        <v>0.27027027027027029</v>
      </c>
      <c r="E19" s="29" t="s">
        <v>92</v>
      </c>
      <c r="F19" s="26" t="s">
        <v>47</v>
      </c>
      <c r="G19" s="14">
        <v>2</v>
      </c>
      <c r="H19" s="92">
        <f>IF(B$19=0,0,G19/B$19)</f>
        <v>2.8571428571428571E-2</v>
      </c>
      <c r="I19" s="60">
        <v>3</v>
      </c>
      <c r="K19" s="7">
        <v>17</v>
      </c>
      <c r="L19" s="65">
        <v>-32.900000000000006</v>
      </c>
      <c r="N19" s="78" t="s">
        <v>196</v>
      </c>
      <c r="O19" s="87">
        <f t="shared" si="2"/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55</v>
      </c>
      <c r="C20" s="8">
        <f>IF(B$3=0,0,B20/B$3)</f>
        <v>0.21235521235521235</v>
      </c>
      <c r="E20" s="29" t="s">
        <v>75</v>
      </c>
      <c r="F20" s="26" t="s">
        <v>30</v>
      </c>
      <c r="G20" s="14">
        <v>1</v>
      </c>
      <c r="H20" s="92">
        <f>IF(B$19=0,0,G20/B$19)</f>
        <v>1.4285714285714285E-2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 t="shared" si="2"/>
        <v>-5.4772727272727231</v>
      </c>
      <c r="P20" s="81">
        <v>22</v>
      </c>
      <c r="Q20" s="72">
        <v>-120.4999999999999</v>
      </c>
    </row>
    <row r="21" spans="1:17" x14ac:dyDescent="0.45">
      <c r="A21" s="21" t="s">
        <v>12</v>
      </c>
      <c r="B21" s="14">
        <v>31</v>
      </c>
      <c r="C21" s="8">
        <f>IF(B$19=0,0,B21/B$19)</f>
        <v>0.44285714285714284</v>
      </c>
      <c r="E21" s="29" t="s">
        <v>97</v>
      </c>
      <c r="F21" s="26" t="s">
        <v>52</v>
      </c>
      <c r="G21" s="14">
        <v>1</v>
      </c>
      <c r="H21" s="92">
        <f>IF(B$19=0,0,G21/B$19)</f>
        <v>1.4285714285714285E-2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 t="shared" si="2"/>
        <v>-41.02</v>
      </c>
      <c r="P21" s="81">
        <v>5</v>
      </c>
      <c r="Q21" s="72">
        <v>-205.10000000000002</v>
      </c>
    </row>
    <row r="22" spans="1:17" x14ac:dyDescent="0.45">
      <c r="A22" s="21" t="s">
        <v>11</v>
      </c>
      <c r="B22" s="14">
        <v>39</v>
      </c>
      <c r="C22" s="8">
        <f>IF(B$19=0,0,B22/B$19)</f>
        <v>0.55714285714285716</v>
      </c>
      <c r="E22" s="29" t="s">
        <v>156</v>
      </c>
      <c r="F22" s="26" t="s">
        <v>157</v>
      </c>
      <c r="G22" s="14">
        <v>1</v>
      </c>
      <c r="H22" s="92">
        <f>IF(B$19=0,0,G22/B$19)</f>
        <v>1.4285714285714285E-2</v>
      </c>
      <c r="I22" s="60">
        <v>3</v>
      </c>
      <c r="K22" s="7">
        <v>20</v>
      </c>
      <c r="L22" s="65">
        <v>-72.000000000000014</v>
      </c>
      <c r="N22" s="78" t="s">
        <v>193</v>
      </c>
      <c r="O22" s="87">
        <f t="shared" si="2"/>
        <v>-67.833333333333329</v>
      </c>
      <c r="P22" s="81">
        <v>3</v>
      </c>
      <c r="Q22" s="72">
        <v>-203.5</v>
      </c>
    </row>
    <row r="23" spans="1:17" x14ac:dyDescent="0.45">
      <c r="A23" s="21" t="s">
        <v>184</v>
      </c>
      <c r="B23" s="14">
        <v>34</v>
      </c>
      <c r="C23" s="8">
        <f>IF(B$19=0,0,B23/B$19)</f>
        <v>0.48571428571428571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23</v>
      </c>
      <c r="C24" s="8">
        <f>IF(B$19=0,0,B24/B$19)</f>
        <v>0.32857142857142857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13</v>
      </c>
      <c r="C25" s="8">
        <f>IF(B$19=0,0,B25/B$19)</f>
        <v>0.18571428571428572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10834.285714285714</v>
      </c>
      <c r="C26" s="10">
        <v>758400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11753.191489361701</v>
      </c>
      <c r="C27" s="100">
        <v>552400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8956.5217391304341</v>
      </c>
      <c r="C28" s="100">
        <v>206000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-8172.727272727273</v>
      </c>
      <c r="C29" s="100">
        <v>-449500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7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3.8610038610038611E-3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12" x14ac:dyDescent="0.45">
      <c r="A36" s="56" t="s">
        <v>172</v>
      </c>
      <c r="B36" s="121">
        <v>1</v>
      </c>
      <c r="C36" s="102">
        <f t="shared" ref="C36:C48" si="3">IF(B$19=0,0,B36/B$19)</f>
        <v>1.4285714285714285E-2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12" x14ac:dyDescent="0.45">
      <c r="A37" s="21" t="s">
        <v>168</v>
      </c>
      <c r="B37" s="14">
        <v>10</v>
      </c>
      <c r="C37" s="8">
        <f t="shared" si="3"/>
        <v>0.14285714285714285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12" x14ac:dyDescent="0.45">
      <c r="A38" s="21" t="s">
        <v>169</v>
      </c>
      <c r="B38" s="122">
        <v>4</v>
      </c>
      <c r="C38" s="8">
        <f t="shared" si="3"/>
        <v>5.7142857142857141E-2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19</v>
      </c>
      <c r="C39" s="8">
        <f t="shared" si="3"/>
        <v>0.27142857142857141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15</v>
      </c>
      <c r="C40" s="8">
        <f t="shared" si="3"/>
        <v>0.21428571428571427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6</v>
      </c>
      <c r="C41" s="8">
        <f t="shared" si="3"/>
        <v>8.5714285714285715E-2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7</v>
      </c>
      <c r="C42" s="8">
        <f t="shared" si="3"/>
        <v>0.1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3"/>
        <v>4.2857142857142858E-2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1.4285714285714285E-2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3"/>
        <v>1.4285714285714285E-2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3"/>
        <v>4.2857142857142858E-2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7</v>
      </c>
      <c r="C2" s="132"/>
      <c r="E2" s="28" t="s">
        <v>66</v>
      </c>
      <c r="F2" s="25" t="s">
        <v>22</v>
      </c>
      <c r="G2" s="13">
        <v>14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2316.6666666666665</v>
      </c>
      <c r="P2" s="80">
        <v>6</v>
      </c>
      <c r="Q2" s="67">
        <v>13900</v>
      </c>
    </row>
    <row r="3" spans="1:17" x14ac:dyDescent="0.45">
      <c r="A3" s="21" t="s">
        <v>8</v>
      </c>
      <c r="B3" s="133">
        <v>54</v>
      </c>
      <c r="C3" s="134"/>
      <c r="E3" s="29" t="s">
        <v>72</v>
      </c>
      <c r="F3" s="26" t="s">
        <v>27</v>
      </c>
      <c r="G3" s="14">
        <v>11</v>
      </c>
      <c r="H3" s="92">
        <f>IF(B$19=0,0,G3/B$19)</f>
        <v>0.7857142857142857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142.85714285714286</v>
      </c>
      <c r="P3" s="81">
        <v>7</v>
      </c>
      <c r="Q3" s="68">
        <v>1000</v>
      </c>
    </row>
    <row r="4" spans="1:17" x14ac:dyDescent="0.45">
      <c r="A4" s="21" t="s">
        <v>6</v>
      </c>
      <c r="B4" s="135">
        <v>-26.899999999999988</v>
      </c>
      <c r="C4" s="136"/>
      <c r="E4" s="29" t="s">
        <v>64</v>
      </c>
      <c r="F4" s="26" t="s">
        <v>20</v>
      </c>
      <c r="G4" s="14">
        <v>9</v>
      </c>
      <c r="H4" s="92">
        <f>IF(B$19=0,0,G4/B$19)</f>
        <v>0.6428571428571429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-3385.7142857142858</v>
      </c>
      <c r="P4" s="81">
        <v>7</v>
      </c>
      <c r="Q4" s="68">
        <v>-23700</v>
      </c>
    </row>
    <row r="5" spans="1:17" x14ac:dyDescent="0.45">
      <c r="A5" s="21" t="s">
        <v>7</v>
      </c>
      <c r="B5" s="123">
        <f>IF(B$2=0,0,B$4/B$2)</f>
        <v>-3.8428571428571412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0.6428571428571429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2485.7142857142858</v>
      </c>
      <c r="P5" s="81">
        <v>7</v>
      </c>
      <c r="Q5" s="68">
        <v>17400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0.2857142857142857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1000</v>
      </c>
      <c r="P6" s="81">
        <v>6</v>
      </c>
      <c r="Q6" s="68">
        <v>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0.2857142857142857</v>
      </c>
      <c r="E7" s="29" t="s">
        <v>89</v>
      </c>
      <c r="F7" s="26" t="s">
        <v>44</v>
      </c>
      <c r="G7" s="14">
        <v>3</v>
      </c>
      <c r="H7" s="92">
        <f>IF(B$19=0,0,G7/B$19)</f>
        <v>0.21428571428571427</v>
      </c>
      <c r="I7" s="60">
        <v>2</v>
      </c>
      <c r="K7" s="7">
        <v>5</v>
      </c>
      <c r="L7" s="65">
        <v>-57.899999999999991</v>
      </c>
      <c r="N7" s="79" t="s">
        <v>133</v>
      </c>
      <c r="O7" s="85">
        <f t="shared" si="0"/>
        <v>-6916.666666666667</v>
      </c>
      <c r="P7" s="82">
        <v>6</v>
      </c>
      <c r="Q7" s="69">
        <v>-41500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65</v>
      </c>
      <c r="F8" s="26" t="s">
        <v>21</v>
      </c>
      <c r="G8" s="14">
        <v>2</v>
      </c>
      <c r="H8" s="92">
        <f>IF(B$19=0,0,G8/B$19)</f>
        <v>0.14285714285714285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0.2857142857142857</v>
      </c>
      <c r="E9" s="29" t="s">
        <v>67</v>
      </c>
      <c r="F9" s="26" t="s">
        <v>23</v>
      </c>
      <c r="G9" s="14">
        <v>2</v>
      </c>
      <c r="H9" s="92">
        <f>IF(B$19=0,0,G9/B$19)</f>
        <v>0.14285714285714285</v>
      </c>
      <c r="I9" s="60">
        <v>9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0.14285714285714285</v>
      </c>
      <c r="I10" s="60">
        <v>4</v>
      </c>
      <c r="N10" s="77" t="s">
        <v>152</v>
      </c>
      <c r="O10" s="86">
        <f>IF(P10=0,0,Q10/P10)</f>
        <v>1.7250000000000005</v>
      </c>
      <c r="P10" s="80">
        <v>4</v>
      </c>
      <c r="Q10" s="71">
        <v>6.9000000000000021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-11.266666666666666</v>
      </c>
      <c r="P11" s="81">
        <v>3</v>
      </c>
      <c r="Q11" s="72">
        <v>-33.799999999999997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7.1428571428571425E-2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-3.4222222222222221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7.1428571428571425E-2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5</v>
      </c>
      <c r="C16" s="8">
        <f>IF(B$3=0,0,B16/B$3)</f>
        <v>9.2592592592592587E-2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49.75</v>
      </c>
      <c r="P16" s="81">
        <v>2</v>
      </c>
      <c r="Q16" s="72">
        <v>99.5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-15.100000000000001</v>
      </c>
      <c r="P17" s="81">
        <v>4</v>
      </c>
      <c r="Q17" s="72">
        <v>-60.400000000000006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-23.599999999999998</v>
      </c>
      <c r="P18" s="81">
        <v>3</v>
      </c>
      <c r="Q18" s="72">
        <v>-70.8</v>
      </c>
    </row>
    <row r="19" spans="1:17" x14ac:dyDescent="0.45">
      <c r="A19" s="20" t="s">
        <v>10</v>
      </c>
      <c r="B19" s="13">
        <f>B22+B21</f>
        <v>14</v>
      </c>
      <c r="C19" s="6">
        <f>IF(B$3=0,0,B19/B$3)</f>
        <v>0.25925925925925924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164</v>
      </c>
      <c r="O19" s="87">
        <f>IF(P19=0,0,Q19/P19)</f>
        <v>-26.674999999999997</v>
      </c>
      <c r="P19" s="81">
        <v>4</v>
      </c>
      <c r="Q19" s="72">
        <v>-106.69999999999999</v>
      </c>
    </row>
    <row r="20" spans="1:17" x14ac:dyDescent="0.45">
      <c r="A20" s="21" t="s">
        <v>13</v>
      </c>
      <c r="B20" s="14">
        <v>14</v>
      </c>
      <c r="C20" s="8">
        <f>IF(B$3=0,0,B20/B$3)</f>
        <v>0.25925925925925924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0.6428571428571429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0.35714285714285715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8</v>
      </c>
      <c r="C23" s="8">
        <f>IF(B$19=0,0,B23/B$19)</f>
        <v>0.5714285714285714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0.21428571428571427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0.21428571428571427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9985.7142857142862</v>
      </c>
      <c r="C26" s="10">
        <v>139800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9281.818181818182</v>
      </c>
      <c r="C27" s="100">
        <v>102100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-6628.5714285714284</v>
      </c>
      <c r="C29" s="100">
        <v>-92800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1.8518518518518517E-2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0.21428571428571427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0.35714285714285715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39</v>
      </c>
      <c r="C2" s="132"/>
      <c r="E2" s="28" t="s">
        <v>66</v>
      </c>
      <c r="F2" s="25" t="s">
        <v>22</v>
      </c>
      <c r="G2" s="13">
        <v>68</v>
      </c>
      <c r="H2" s="91">
        <f>IF(B$19=0,0,G2/B$19)</f>
        <v>0.68686868686868685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217.94871794871796</v>
      </c>
      <c r="P2" s="80">
        <v>39</v>
      </c>
      <c r="Q2" s="67">
        <v>8500</v>
      </c>
    </row>
    <row r="3" spans="1:17" x14ac:dyDescent="0.45">
      <c r="A3" s="21" t="s">
        <v>8</v>
      </c>
      <c r="B3" s="133">
        <v>297</v>
      </c>
      <c r="C3" s="134"/>
      <c r="E3" s="29" t="s">
        <v>72</v>
      </c>
      <c r="F3" s="26" t="s">
        <v>27</v>
      </c>
      <c r="G3" s="14">
        <v>44</v>
      </c>
      <c r="H3" s="92">
        <f>IF(B$19=0,0,G3/B$19)</f>
        <v>0.44444444444444442</v>
      </c>
      <c r="I3" s="60">
        <v>9</v>
      </c>
      <c r="K3" s="7">
        <v>1</v>
      </c>
      <c r="L3" s="65">
        <v>39.200000000000003</v>
      </c>
      <c r="N3" s="78" t="s">
        <v>129</v>
      </c>
      <c r="O3" s="84">
        <f t="shared" si="0"/>
        <v>4839.4736842105267</v>
      </c>
      <c r="P3" s="81">
        <v>38</v>
      </c>
      <c r="Q3" s="68">
        <v>183900</v>
      </c>
    </row>
    <row r="4" spans="1:17" x14ac:dyDescent="0.45">
      <c r="A4" s="21" t="s">
        <v>6</v>
      </c>
      <c r="B4" s="135">
        <v>501.00000000000011</v>
      </c>
      <c r="C4" s="136"/>
      <c r="E4" s="29" t="s">
        <v>160</v>
      </c>
      <c r="F4" s="26" t="s">
        <v>161</v>
      </c>
      <c r="G4" s="14">
        <v>40</v>
      </c>
      <c r="H4" s="92">
        <f>IF(B$19=0,0,G4/B$19)</f>
        <v>0.40404040404040403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5464.864864864865</v>
      </c>
      <c r="P4" s="81">
        <v>37</v>
      </c>
      <c r="Q4" s="68">
        <v>202200</v>
      </c>
    </row>
    <row r="5" spans="1:17" x14ac:dyDescent="0.45">
      <c r="A5" s="21" t="s">
        <v>7</v>
      </c>
      <c r="B5" s="123">
        <f>IF(B$2=0,0,B$4/B$2)</f>
        <v>12.846153846153848</v>
      </c>
      <c r="C5" s="124"/>
      <c r="E5" s="29" t="s">
        <v>64</v>
      </c>
      <c r="F5" s="26" t="s">
        <v>20</v>
      </c>
      <c r="G5" s="14">
        <v>39</v>
      </c>
      <c r="H5" s="92">
        <f>IF(B$19=0,0,G5/B$19)</f>
        <v>0.39393939393939392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3541.9354838709678</v>
      </c>
      <c r="P5" s="81">
        <v>31</v>
      </c>
      <c r="Q5" s="68">
        <v>109800</v>
      </c>
    </row>
    <row r="6" spans="1:17" x14ac:dyDescent="0.45">
      <c r="A6" s="21" t="s">
        <v>1</v>
      </c>
      <c r="B6" s="137">
        <f>IF(B$2=0,0,(B$7*1+B$8*2+B$9*3)/B$2)</f>
        <v>1.7692307692307692</v>
      </c>
      <c r="C6" s="138"/>
      <c r="E6" s="29" t="s">
        <v>68</v>
      </c>
      <c r="F6" s="26" t="s">
        <v>12</v>
      </c>
      <c r="G6" s="14">
        <v>35</v>
      </c>
      <c r="H6" s="92">
        <f>IF(B$19=0,0,G6/B$19)</f>
        <v>0.35353535353535354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-1668.9655172413793</v>
      </c>
      <c r="P6" s="81">
        <v>29</v>
      </c>
      <c r="Q6" s="68">
        <v>-48400</v>
      </c>
    </row>
    <row r="7" spans="1:17" x14ac:dyDescent="0.45">
      <c r="A7" s="21" t="s">
        <v>2</v>
      </c>
      <c r="B7" s="14">
        <v>17</v>
      </c>
      <c r="C7" s="8">
        <f t="shared" ref="C7:C14" si="1">IF(B$2=0,0,B7/B$2)</f>
        <v>0.4358974358974359</v>
      </c>
      <c r="E7" s="29" t="s">
        <v>67</v>
      </c>
      <c r="F7" s="26" t="s">
        <v>23</v>
      </c>
      <c r="G7" s="14">
        <v>22</v>
      </c>
      <c r="H7" s="92">
        <f>IF(B$19=0,0,G7/B$19)</f>
        <v>0.22222222222222221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-504.3478260869565</v>
      </c>
      <c r="P7" s="82">
        <v>23</v>
      </c>
      <c r="Q7" s="69">
        <v>-11600</v>
      </c>
    </row>
    <row r="8" spans="1:17" x14ac:dyDescent="0.45">
      <c r="A8" s="21" t="s">
        <v>3</v>
      </c>
      <c r="B8" s="14">
        <v>14</v>
      </c>
      <c r="C8" s="8">
        <f t="shared" si="1"/>
        <v>0.35897435897435898</v>
      </c>
      <c r="E8" s="29" t="s">
        <v>69</v>
      </c>
      <c r="F8" s="26" t="s">
        <v>24</v>
      </c>
      <c r="G8" s="14">
        <v>18</v>
      </c>
      <c r="H8" s="92">
        <f>IF(B$19=0,0,G8/B$19)</f>
        <v>0.18181818181818182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0.20512820512820512</v>
      </c>
      <c r="E9" s="29" t="s">
        <v>89</v>
      </c>
      <c r="F9" s="26" t="s">
        <v>44</v>
      </c>
      <c r="G9" s="14">
        <v>18</v>
      </c>
      <c r="H9" s="92">
        <f>IF(B$19=0,0,G9/B$19)</f>
        <v>0.18181818181818182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46.882352941176471</v>
      </c>
      <c r="C10" s="114">
        <v>797</v>
      </c>
      <c r="E10" s="29" t="s">
        <v>65</v>
      </c>
      <c r="F10" s="26" t="s">
        <v>21</v>
      </c>
      <c r="G10" s="14">
        <v>10</v>
      </c>
      <c r="H10" s="92">
        <f>IF(B$19=0,0,G10/B$19)</f>
        <v>0.10101010101010101</v>
      </c>
      <c r="I10" s="60">
        <v>7</v>
      </c>
      <c r="K10" s="7">
        <v>8</v>
      </c>
      <c r="L10" s="65">
        <v>132.6</v>
      </c>
      <c r="N10" s="77" t="s">
        <v>152</v>
      </c>
      <c r="O10" s="86">
        <f>IF(P10=0,0,Q10/P10)</f>
        <v>-3.3909090909090907</v>
      </c>
      <c r="P10" s="80">
        <v>11</v>
      </c>
      <c r="Q10" s="71">
        <v>-37.299999999999997</v>
      </c>
    </row>
    <row r="11" spans="1:17" x14ac:dyDescent="0.45">
      <c r="A11" s="22" t="s">
        <v>186</v>
      </c>
      <c r="B11" s="113">
        <f>IF(B8=0,0,C11/B8)</f>
        <v>0.38571428571428579</v>
      </c>
      <c r="C11" s="114">
        <v>5.4000000000000012</v>
      </c>
      <c r="E11" s="29" t="s">
        <v>86</v>
      </c>
      <c r="F11" s="26" t="s">
        <v>41</v>
      </c>
      <c r="G11" s="14">
        <v>8</v>
      </c>
      <c r="H11" s="92">
        <f>IF(B$19=0,0,G11/B$19)</f>
        <v>8.0808080808080815E-2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17.878571428571426</v>
      </c>
      <c r="P11" s="81">
        <v>14</v>
      </c>
      <c r="Q11" s="72">
        <v>250.29999999999998</v>
      </c>
    </row>
    <row r="12" spans="1:17" x14ac:dyDescent="0.45">
      <c r="A12" s="22" t="s">
        <v>187</v>
      </c>
      <c r="B12" s="113">
        <f>IF(B9=0,0,C12/B9)</f>
        <v>-37.675000000000004</v>
      </c>
      <c r="C12" s="114">
        <v>-301.40000000000003</v>
      </c>
      <c r="E12" s="29" t="s">
        <v>71</v>
      </c>
      <c r="F12" s="26" t="s">
        <v>26</v>
      </c>
      <c r="G12" s="14">
        <v>7</v>
      </c>
      <c r="H12" s="92">
        <f>IF(B$19=0,0,G12/B$19)</f>
        <v>7.0707070707070704E-2</v>
      </c>
      <c r="I12" s="60">
        <v>5</v>
      </c>
      <c r="K12" s="7">
        <v>10</v>
      </c>
      <c r="L12" s="65">
        <v>229</v>
      </c>
      <c r="N12" s="79" t="s">
        <v>154</v>
      </c>
      <c r="O12" s="88">
        <f>IF(P12=0,0,Q12/P12)</f>
        <v>20.571428571428577</v>
      </c>
      <c r="P12" s="82">
        <v>14</v>
      </c>
      <c r="Q12" s="73">
        <v>288.00000000000006</v>
      </c>
    </row>
    <row r="13" spans="1:17" x14ac:dyDescent="0.45">
      <c r="A13" s="22" t="s">
        <v>188</v>
      </c>
      <c r="B13" s="123">
        <f>AVERAGE(B10:B12)</f>
        <v>3.197689075630251</v>
      </c>
      <c r="C13" s="124"/>
      <c r="E13" s="29" t="s">
        <v>83</v>
      </c>
      <c r="F13" s="26" t="s">
        <v>38</v>
      </c>
      <c r="G13" s="14">
        <v>7</v>
      </c>
      <c r="H13" s="92">
        <f>IF(B$19=0,0,G13/B$19)</f>
        <v>7.0707070707070704E-2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2.564102564102564E-2</v>
      </c>
      <c r="E14" s="29" t="s">
        <v>70</v>
      </c>
      <c r="F14" s="26" t="s">
        <v>25</v>
      </c>
      <c r="G14" s="14">
        <v>6</v>
      </c>
      <c r="H14" s="92">
        <f>IF(B$19=0,0,G14/B$19)</f>
        <v>6.0606060606060608E-2</v>
      </c>
      <c r="I14" s="60">
        <v>5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73</v>
      </c>
      <c r="C15" s="12">
        <f>IF(B$3=0,0,B15/B$3)</f>
        <v>0.24579124579124578</v>
      </c>
      <c r="E15" s="29" t="s">
        <v>92</v>
      </c>
      <c r="F15" s="26" t="s">
        <v>47</v>
      </c>
      <c r="G15" s="14">
        <v>3</v>
      </c>
      <c r="H15" s="92">
        <f>IF(B$19=0,0,G15/B$19)</f>
        <v>3.0303030303030304E-2</v>
      </c>
      <c r="I15" s="60">
        <v>2</v>
      </c>
      <c r="K15" s="7">
        <v>13</v>
      </c>
      <c r="L15" s="65">
        <v>197</v>
      </c>
      <c r="N15" s="77" t="s">
        <v>194</v>
      </c>
      <c r="O15" s="86">
        <f>IF(P15=0,0,Q15/P15)</f>
        <v>51.2</v>
      </c>
      <c r="P15" s="80">
        <v>8</v>
      </c>
      <c r="Q15" s="71">
        <v>409.6</v>
      </c>
    </row>
    <row r="16" spans="1:17" x14ac:dyDescent="0.45">
      <c r="A16" s="21" t="s">
        <v>118</v>
      </c>
      <c r="B16" s="14">
        <v>55</v>
      </c>
      <c r="C16" s="8">
        <f>IF(B$3=0,0,B16/B$3)</f>
        <v>0.18518518518518517</v>
      </c>
      <c r="E16" s="29" t="s">
        <v>156</v>
      </c>
      <c r="F16" s="26" t="s">
        <v>157</v>
      </c>
      <c r="G16" s="14">
        <v>3</v>
      </c>
      <c r="H16" s="92">
        <f>IF(B$19=0,0,G16/B$19)</f>
        <v>3.0303030303030304E-2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44</v>
      </c>
      <c r="C17" s="6">
        <f>IF(B$15=0,0,B17/B$15)</f>
        <v>0.60273972602739723</v>
      </c>
      <c r="E17" s="29" t="s">
        <v>79</v>
      </c>
      <c r="F17" s="26" t="s">
        <v>34</v>
      </c>
      <c r="G17" s="14">
        <v>2</v>
      </c>
      <c r="H17" s="92">
        <f>IF(B$19=0,0,G17/B$19)</f>
        <v>2.0202020202020204E-2</v>
      </c>
      <c r="I17" s="60">
        <v>5</v>
      </c>
      <c r="K17" s="7">
        <v>15</v>
      </c>
      <c r="L17" s="65">
        <v>213.5</v>
      </c>
      <c r="N17" s="78" t="s">
        <v>193</v>
      </c>
      <c r="O17" s="87">
        <f>IF(P17=0,0,Q17/P17)</f>
        <v>30.299999999999994</v>
      </c>
      <c r="P17" s="81">
        <v>6</v>
      </c>
      <c r="Q17" s="72">
        <v>181.79999999999995</v>
      </c>
    </row>
    <row r="18" spans="1:17" x14ac:dyDescent="0.45">
      <c r="A18" s="20" t="s">
        <v>124</v>
      </c>
      <c r="B18" s="13">
        <f>B24</f>
        <v>30</v>
      </c>
      <c r="C18" s="6">
        <f>IF(B$16=0,0,B18/B$16)</f>
        <v>0.54545454545454541</v>
      </c>
      <c r="E18" s="29" t="s">
        <v>91</v>
      </c>
      <c r="F18" s="26" t="s">
        <v>46</v>
      </c>
      <c r="G18" s="14">
        <v>2</v>
      </c>
      <c r="H18" s="92">
        <f>IF(B$19=0,0,G18/B$19)</f>
        <v>2.0202020202020204E-2</v>
      </c>
      <c r="I18" s="60">
        <v>3</v>
      </c>
      <c r="K18" s="7">
        <v>16</v>
      </c>
      <c r="L18" s="65">
        <v>273.8</v>
      </c>
      <c r="N18" s="78" t="s">
        <v>205</v>
      </c>
      <c r="O18" s="87">
        <f>IF(P18=0,0,Q18/P18)</f>
        <v>24.52</v>
      </c>
      <c r="P18" s="81">
        <v>10</v>
      </c>
      <c r="Q18" s="72">
        <v>245.2</v>
      </c>
    </row>
    <row r="19" spans="1:17" x14ac:dyDescent="0.45">
      <c r="A19" s="20" t="s">
        <v>10</v>
      </c>
      <c r="B19" s="13">
        <f>B22+B21</f>
        <v>99</v>
      </c>
      <c r="C19" s="6">
        <f>IF(B$3=0,0,B19/B$3)</f>
        <v>0.33333333333333331</v>
      </c>
      <c r="E19" s="29" t="s">
        <v>93</v>
      </c>
      <c r="F19" s="26" t="s">
        <v>48</v>
      </c>
      <c r="G19" s="14">
        <v>2</v>
      </c>
      <c r="H19" s="92">
        <f>IF(B$19=0,0,G19/B$19)</f>
        <v>2.0202020202020204E-2</v>
      </c>
      <c r="I19" s="60">
        <v>1</v>
      </c>
      <c r="K19" s="7">
        <v>17</v>
      </c>
      <c r="L19" s="65">
        <v>242.8</v>
      </c>
      <c r="N19" s="78" t="s">
        <v>192</v>
      </c>
      <c r="O19" s="87">
        <f>IF(P19=0,0,Q19/P19)</f>
        <v>21.941176470588232</v>
      </c>
      <c r="P19" s="81">
        <v>17</v>
      </c>
      <c r="Q19" s="72">
        <v>372.99999999999994</v>
      </c>
    </row>
    <row r="20" spans="1:17" x14ac:dyDescent="0.45">
      <c r="A20" s="21" t="s">
        <v>13</v>
      </c>
      <c r="B20" s="14">
        <v>32</v>
      </c>
      <c r="C20" s="8">
        <f>IF(B$3=0,0,B20/B$3)</f>
        <v>0.10774410774410774</v>
      </c>
      <c r="E20" s="29" t="s">
        <v>73</v>
      </c>
      <c r="F20" s="26" t="s">
        <v>28</v>
      </c>
      <c r="G20" s="14">
        <v>1</v>
      </c>
      <c r="H20" s="92">
        <f>IF(B$19=0,0,G20/B$19)</f>
        <v>1.0101010101010102E-2</v>
      </c>
      <c r="I20" s="60">
        <v>2</v>
      </c>
      <c r="K20" s="7">
        <v>18</v>
      </c>
      <c r="L20" s="65">
        <v>280</v>
      </c>
      <c r="N20" s="78" t="s">
        <v>189</v>
      </c>
      <c r="O20" s="87">
        <f>IF(P20=0,0,Q20/P20)</f>
        <v>15.100000000000001</v>
      </c>
      <c r="P20" s="81">
        <v>4</v>
      </c>
      <c r="Q20" s="72">
        <v>60.400000000000006</v>
      </c>
    </row>
    <row r="21" spans="1:17" x14ac:dyDescent="0.45">
      <c r="A21" s="21" t="s">
        <v>12</v>
      </c>
      <c r="B21" s="14">
        <v>50</v>
      </c>
      <c r="C21" s="8">
        <f>IF(B$19=0,0,B21/B$19)</f>
        <v>0.50505050505050508</v>
      </c>
      <c r="E21" s="29" t="s">
        <v>78</v>
      </c>
      <c r="F21" s="26" t="s">
        <v>33</v>
      </c>
      <c r="G21" s="14">
        <v>1</v>
      </c>
      <c r="H21" s="92">
        <f>IF(B$19=0,0,G21/B$19)</f>
        <v>1.0101010101010102E-2</v>
      </c>
      <c r="I21" s="60">
        <v>8</v>
      </c>
      <c r="K21" s="7">
        <v>19</v>
      </c>
      <c r="L21" s="65">
        <v>281.5</v>
      </c>
      <c r="N21" s="78" t="s">
        <v>164</v>
      </c>
      <c r="O21" s="87">
        <f>IF(P21=0,0,Q21/P21)</f>
        <v>5.4772727272727257</v>
      </c>
      <c r="P21" s="81">
        <v>22</v>
      </c>
      <c r="Q21" s="72">
        <v>120.49999999999997</v>
      </c>
    </row>
    <row r="22" spans="1:17" x14ac:dyDescent="0.45">
      <c r="A22" s="21" t="s">
        <v>11</v>
      </c>
      <c r="B22" s="14">
        <v>49</v>
      </c>
      <c r="C22" s="8">
        <f>IF(B$19=0,0,B22/B$19)</f>
        <v>0.49494949494949497</v>
      </c>
      <c r="E22" s="29" t="s">
        <v>81</v>
      </c>
      <c r="F22" s="26" t="s">
        <v>36</v>
      </c>
      <c r="G22" s="14">
        <v>1</v>
      </c>
      <c r="H22" s="92">
        <f>IF(B$19=0,0,G22/B$19)</f>
        <v>1.0101010101010102E-2</v>
      </c>
      <c r="I22" s="60">
        <v>6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44</v>
      </c>
      <c r="C23" s="8">
        <f>IF(B$19=0,0,B23/B$19)</f>
        <v>0.44444444444444442</v>
      </c>
      <c r="E23" s="29" t="s">
        <v>87</v>
      </c>
      <c r="F23" s="26" t="s">
        <v>42</v>
      </c>
      <c r="G23" s="14">
        <v>1</v>
      </c>
      <c r="H23" s="92">
        <f>IF(B$19=0,0,G23/B$19)</f>
        <v>1.0101010101010102E-2</v>
      </c>
      <c r="I23" s="60">
        <v>2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30</v>
      </c>
      <c r="C24" s="8">
        <f>IF(B$19=0,0,B24/B$19)</f>
        <v>0.30303030303030304</v>
      </c>
      <c r="E24" s="29" t="s">
        <v>95</v>
      </c>
      <c r="F24" s="26" t="s">
        <v>50</v>
      </c>
      <c r="G24" s="14">
        <v>1</v>
      </c>
      <c r="H24" s="92">
        <f>IF(B$19=0,0,G24/B$19)</f>
        <v>1.0101010101010102E-2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25</v>
      </c>
      <c r="C25" s="8">
        <f>IF(B$19=0,0,B25/B$19)</f>
        <v>0.25252525252525254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10144.444444444445</v>
      </c>
      <c r="C26" s="10">
        <v>1004300</v>
      </c>
      <c r="E26" s="29" t="s">
        <v>75</v>
      </c>
      <c r="F26" s="26" t="s">
        <v>30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10510.144927536232</v>
      </c>
      <c r="C27" s="100">
        <v>725200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9303.3333333333339</v>
      </c>
      <c r="C28" s="100">
        <v>279100</v>
      </c>
      <c r="E28" s="29" t="s">
        <v>77</v>
      </c>
      <c r="F28" s="26" t="s">
        <v>32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-9915.625</v>
      </c>
      <c r="C29" s="100">
        <v>-317300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2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6</v>
      </c>
      <c r="C36" s="102">
        <f t="shared" ref="C36:C48" si="2">IF(B$19=0,0,B36/B$19)</f>
        <v>6.0606060606060608E-2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14</v>
      </c>
      <c r="C37" s="8">
        <f t="shared" si="2"/>
        <v>0.14141414141414141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16</v>
      </c>
      <c r="C38" s="8">
        <f t="shared" si="2"/>
        <v>0.16161616161616163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19</v>
      </c>
      <c r="C39" s="8">
        <f t="shared" si="2"/>
        <v>0.19191919191919191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19</v>
      </c>
      <c r="C40" s="8">
        <f t="shared" si="2"/>
        <v>0.19191919191919191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8</v>
      </c>
      <c r="C41" s="8">
        <f t="shared" si="2"/>
        <v>8.0808080808080815E-2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5</v>
      </c>
      <c r="C42" s="8">
        <f t="shared" si="2"/>
        <v>5.0505050505050504E-2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2"/>
        <v>3.0303030303030304E-2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1.0101010101010102E-2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2</v>
      </c>
      <c r="C45" s="8">
        <f t="shared" si="2"/>
        <v>2.0202020202020204E-2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6</v>
      </c>
      <c r="C48" s="11">
        <f t="shared" si="2"/>
        <v>6.0606060606060608E-2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16</v>
      </c>
      <c r="C2" s="132"/>
      <c r="E2" s="28" t="s">
        <v>64</v>
      </c>
      <c r="F2" s="25" t="s">
        <v>20</v>
      </c>
      <c r="G2" s="13">
        <v>11</v>
      </c>
      <c r="H2" s="91">
        <f>IF(B$19=0,0,G2/B$19)</f>
        <v>0.5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-4875</v>
      </c>
      <c r="P2" s="80">
        <v>16</v>
      </c>
      <c r="Q2" s="67">
        <v>-78000</v>
      </c>
    </row>
    <row r="3" spans="1:17" x14ac:dyDescent="0.45">
      <c r="A3" s="21" t="s">
        <v>8</v>
      </c>
      <c r="B3" s="133">
        <v>102</v>
      </c>
      <c r="C3" s="134"/>
      <c r="E3" s="29" t="s">
        <v>160</v>
      </c>
      <c r="F3" s="26" t="s">
        <v>161</v>
      </c>
      <c r="G3" s="14">
        <v>11</v>
      </c>
      <c r="H3" s="92">
        <f>IF(B$19=0,0,G3/B$19)</f>
        <v>0.5</v>
      </c>
      <c r="I3" s="60">
        <v>3</v>
      </c>
      <c r="K3" s="7">
        <v>1</v>
      </c>
      <c r="L3" s="65">
        <v>-55.5</v>
      </c>
      <c r="N3" s="78" t="s">
        <v>129</v>
      </c>
      <c r="O3" s="84">
        <f t="shared" si="0"/>
        <v>-1060</v>
      </c>
      <c r="P3" s="81">
        <v>15</v>
      </c>
      <c r="Q3" s="68">
        <v>-15900</v>
      </c>
    </row>
    <row r="4" spans="1:17" x14ac:dyDescent="0.45">
      <c r="A4" s="21" t="s">
        <v>6</v>
      </c>
      <c r="B4" s="135">
        <v>-234.59999999999997</v>
      </c>
      <c r="C4" s="136"/>
      <c r="E4" s="29" t="s">
        <v>66</v>
      </c>
      <c r="F4" s="26" t="s">
        <v>22</v>
      </c>
      <c r="G4" s="14">
        <v>10</v>
      </c>
      <c r="H4" s="92">
        <f>IF(B$19=0,0,G4/B$19)</f>
        <v>0.45454545454545453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0"/>
        <v>-7700</v>
      </c>
      <c r="P4" s="81">
        <v>13</v>
      </c>
      <c r="Q4" s="68">
        <v>-100100</v>
      </c>
    </row>
    <row r="5" spans="1:17" x14ac:dyDescent="0.45">
      <c r="A5" s="21" t="s">
        <v>7</v>
      </c>
      <c r="B5" s="123">
        <f>IF(B$2=0,0,B$4/B$2)</f>
        <v>-14.662499999999998</v>
      </c>
      <c r="C5" s="124"/>
      <c r="E5" s="29" t="s">
        <v>72</v>
      </c>
      <c r="F5" s="26" t="s">
        <v>27</v>
      </c>
      <c r="G5" s="14">
        <v>10</v>
      </c>
      <c r="H5" s="92">
        <f>IF(B$19=0,0,G5/B$19)</f>
        <v>0.45454545454545453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2066.6666666666665</v>
      </c>
      <c r="P5" s="81">
        <v>9</v>
      </c>
      <c r="Q5" s="68">
        <v>18600</v>
      </c>
    </row>
    <row r="6" spans="1:17" x14ac:dyDescent="0.45">
      <c r="A6" s="21" t="s">
        <v>1</v>
      </c>
      <c r="B6" s="137">
        <f>IF(B$2=0,0,(B$7*1+B$8*2+B$9*3)/B$2)</f>
        <v>2.375</v>
      </c>
      <c r="C6" s="138"/>
      <c r="E6" s="29" t="s">
        <v>68</v>
      </c>
      <c r="F6" s="26" t="s">
        <v>12</v>
      </c>
      <c r="G6" s="14">
        <v>6</v>
      </c>
      <c r="H6" s="92">
        <f>IF(B$19=0,0,G6/B$19)</f>
        <v>0.27272727272727271</v>
      </c>
      <c r="I6" s="60">
        <v>7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0.125</v>
      </c>
      <c r="E7" s="29" t="s">
        <v>67</v>
      </c>
      <c r="F7" s="26" t="s">
        <v>23</v>
      </c>
      <c r="G7" s="14">
        <v>5</v>
      </c>
      <c r="H7" s="92">
        <f>IF(B$19=0,0,G7/B$19)</f>
        <v>0.22727272727272727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-2850</v>
      </c>
      <c r="P7" s="82">
        <v>6</v>
      </c>
      <c r="Q7" s="69">
        <v>-17100</v>
      </c>
    </row>
    <row r="8" spans="1:17" x14ac:dyDescent="0.45">
      <c r="A8" s="21" t="s">
        <v>3</v>
      </c>
      <c r="B8" s="14">
        <v>6</v>
      </c>
      <c r="C8" s="8">
        <f t="shared" si="1"/>
        <v>0.375</v>
      </c>
      <c r="E8" s="29" t="s">
        <v>69</v>
      </c>
      <c r="F8" s="26" t="s">
        <v>24</v>
      </c>
      <c r="G8" s="14">
        <v>3</v>
      </c>
      <c r="H8" s="92">
        <f>IF(B$19=0,0,G8/B$19)</f>
        <v>0.13636363636363635</v>
      </c>
      <c r="I8" s="60">
        <v>5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0.5</v>
      </c>
      <c r="E9" s="29" t="s">
        <v>65</v>
      </c>
      <c r="F9" s="26" t="s">
        <v>21</v>
      </c>
      <c r="G9" s="14">
        <v>2</v>
      </c>
      <c r="H9" s="92">
        <f>IF(B$19=0,0,G9/B$19)</f>
        <v>9.0909090909090912E-2</v>
      </c>
      <c r="I9" s="60">
        <v>8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48.05</v>
      </c>
      <c r="C10" s="114">
        <v>96.1</v>
      </c>
      <c r="E10" s="29" t="s">
        <v>89</v>
      </c>
      <c r="F10" s="26" t="s">
        <v>44</v>
      </c>
      <c r="G10" s="14">
        <v>2</v>
      </c>
      <c r="H10" s="92">
        <f>IF(B$19=0,0,G10/B$19)</f>
        <v>9.0909090909090912E-2</v>
      </c>
      <c r="I10" s="60">
        <v>8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-2.3166666666666664</v>
      </c>
      <c r="C11" s="114">
        <v>-13.899999999999999</v>
      </c>
      <c r="E11" s="29" t="s">
        <v>71</v>
      </c>
      <c r="F11" s="26" t="s">
        <v>26</v>
      </c>
      <c r="G11" s="14">
        <v>1</v>
      </c>
      <c r="H11" s="92">
        <f>IF(B$19=0,0,G11/B$19)</f>
        <v>4.5454545454545456E-2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-5.0142857142857142</v>
      </c>
      <c r="P11" s="81">
        <v>7</v>
      </c>
      <c r="Q11" s="72">
        <v>-35.1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78</v>
      </c>
      <c r="F12" s="26" t="s">
        <v>33</v>
      </c>
      <c r="G12" s="14">
        <v>1</v>
      </c>
      <c r="H12" s="92">
        <f>IF(B$19=0,0,G12/B$19)</f>
        <v>4.5454545454545456E-2</v>
      </c>
      <c r="I12" s="60">
        <v>3</v>
      </c>
      <c r="K12" s="7">
        <v>10</v>
      </c>
      <c r="L12" s="65">
        <v>-217.59999999999997</v>
      </c>
      <c r="N12" s="79" t="s">
        <v>154</v>
      </c>
      <c r="O12" s="88">
        <f>IF(P12=0,0,Q12/P12)</f>
        <v>-10.75</v>
      </c>
      <c r="P12" s="82">
        <v>4</v>
      </c>
      <c r="Q12" s="73">
        <v>-43</v>
      </c>
    </row>
    <row r="13" spans="1:17" x14ac:dyDescent="0.45">
      <c r="A13" s="22" t="s">
        <v>188</v>
      </c>
      <c r="B13" s="123">
        <f>AVERAGE(B10:B12)</f>
        <v>2.0444444444444443</v>
      </c>
      <c r="C13" s="124"/>
      <c r="E13" s="29" t="s">
        <v>81</v>
      </c>
      <c r="F13" s="26" t="s">
        <v>36</v>
      </c>
      <c r="G13" s="14">
        <v>1</v>
      </c>
      <c r="H13" s="92">
        <f>IF(B$19=0,0,G13/B$19)</f>
        <v>4.5454545454545456E-2</v>
      </c>
      <c r="I13" s="60">
        <v>2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0.3125</v>
      </c>
      <c r="E14" s="29" t="s">
        <v>86</v>
      </c>
      <c r="F14" s="26" t="s">
        <v>41</v>
      </c>
      <c r="G14" s="14">
        <v>1</v>
      </c>
      <c r="H14" s="92">
        <f>IF(B$19=0,0,G14/B$19)</f>
        <v>4.5454545454545456E-2</v>
      </c>
      <c r="I14" s="60">
        <v>5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30</v>
      </c>
      <c r="C15" s="12">
        <f>IF(B$3=0,0,B15/B$3)</f>
        <v>0.29411764705882354</v>
      </c>
      <c r="E15" s="29" t="s">
        <v>87</v>
      </c>
      <c r="F15" s="26" t="s">
        <v>42</v>
      </c>
      <c r="G15" s="14">
        <v>1</v>
      </c>
      <c r="H15" s="92">
        <f>IF(B$19=0,0,G15/B$19)</f>
        <v>4.5454545454545456E-2</v>
      </c>
      <c r="I15" s="60">
        <v>1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13</v>
      </c>
      <c r="C16" s="8">
        <f>IF(B$3=0,0,B16/B$3)</f>
        <v>0.12745098039215685</v>
      </c>
      <c r="E16" s="29" t="s">
        <v>91</v>
      </c>
      <c r="F16" s="26" t="s">
        <v>46</v>
      </c>
      <c r="G16" s="14">
        <v>1</v>
      </c>
      <c r="H16" s="92">
        <f>IF(B$19=0,0,G16/B$19)</f>
        <v>4.5454545454545456E-2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-3.3666666666666649</v>
      </c>
      <c r="P16" s="81">
        <v>3</v>
      </c>
      <c r="Q16" s="72">
        <v>-10.099999999999994</v>
      </c>
    </row>
    <row r="17" spans="1:17" x14ac:dyDescent="0.45">
      <c r="A17" s="20" t="s">
        <v>123</v>
      </c>
      <c r="B17" s="13">
        <f>B23</f>
        <v>11</v>
      </c>
      <c r="C17" s="6">
        <f>IF(B$15=0,0,B17/B$15)</f>
        <v>0.36666666666666664</v>
      </c>
      <c r="E17" s="29" t="s">
        <v>92</v>
      </c>
      <c r="F17" s="26" t="s">
        <v>47</v>
      </c>
      <c r="G17" s="14">
        <v>1</v>
      </c>
      <c r="H17" s="92">
        <f>IF(B$19=0,0,G17/B$19)</f>
        <v>4.5454545454545456E-2</v>
      </c>
      <c r="I17" s="60">
        <v>1</v>
      </c>
      <c r="K17" s="7">
        <v>15</v>
      </c>
      <c r="L17" s="65">
        <v>-284.09999999999997</v>
      </c>
      <c r="N17" s="78" t="s">
        <v>192</v>
      </c>
      <c r="O17" s="87">
        <f t="shared" si="2"/>
        <v>-16.157142857142858</v>
      </c>
      <c r="P17" s="81">
        <v>7</v>
      </c>
      <c r="Q17" s="72">
        <v>-113.10000000000001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22</v>
      </c>
      <c r="C19" s="6">
        <f>IF(B$3=0,0,B19/B$3)</f>
        <v>0.21568627450980393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N19" s="78" t="s">
        <v>193</v>
      </c>
      <c r="O19" s="87">
        <f t="shared" si="2"/>
        <v>-44.449999999999996</v>
      </c>
      <c r="P19" s="81">
        <v>8</v>
      </c>
      <c r="Q19" s="72">
        <v>-355.59999999999997</v>
      </c>
    </row>
    <row r="20" spans="1:17" x14ac:dyDescent="0.45">
      <c r="A20" s="21" t="s">
        <v>13</v>
      </c>
      <c r="B20" s="14">
        <v>15</v>
      </c>
      <c r="C20" s="8">
        <f>IF(B$3=0,0,B20/B$3)</f>
        <v>0.14705882352941177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126</v>
      </c>
      <c r="O20" s="87">
        <f t="shared" si="2"/>
        <v>-51.2</v>
      </c>
      <c r="P20" s="81">
        <v>8</v>
      </c>
      <c r="Q20" s="72">
        <v>-409.6</v>
      </c>
    </row>
    <row r="21" spans="1:17" x14ac:dyDescent="0.45">
      <c r="A21" s="21" t="s">
        <v>12</v>
      </c>
      <c r="B21" s="14">
        <v>8</v>
      </c>
      <c r="C21" s="8">
        <f>IF(B$19=0,0,B21/B$19)</f>
        <v>0.36363636363636365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14</v>
      </c>
      <c r="C22" s="8">
        <f>IF(B$19=0,0,B22/B$19)</f>
        <v>0.63636363636363635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11</v>
      </c>
      <c r="C23" s="8">
        <f>IF(B$19=0,0,B23/B$19)</f>
        <v>0.5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5</v>
      </c>
      <c r="C24" s="8">
        <f>IF(B$19=0,0,B24/B$19)</f>
        <v>0.22727272727272727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6</v>
      </c>
      <c r="C25" s="8">
        <f>IF(B$19=0,0,B25/B$19)</f>
        <v>0.27272727272727271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8777.2727272727279</v>
      </c>
      <c r="C26" s="10">
        <v>193100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10223.529411764706</v>
      </c>
      <c r="C27" s="100">
        <v>173800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3860</v>
      </c>
      <c r="C28" s="100">
        <v>19300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-8773.3333333333339</v>
      </c>
      <c r="C29" s="100">
        <v>-131600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3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25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74500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3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3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3"/>
        <v>0.22727272727272727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3"/>
        <v>4.5454545454545456E-2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3"/>
        <v>4.5454545454545456E-2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3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3"/>
        <v>4.5454545454545456E-2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4.5454545454545456E-2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4.5454545454545456E-2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</v>
      </c>
      <c r="C2" s="132"/>
      <c r="E2" s="28" t="s">
        <v>72</v>
      </c>
      <c r="F2" s="25" t="s">
        <v>27</v>
      </c>
      <c r="G2" s="13">
        <v>40</v>
      </c>
      <c r="H2" s="91">
        <f>IF(B$19=0,0,G2/B$19)</f>
        <v>0.59701492537313428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922.58064516129036</v>
      </c>
      <c r="P2" s="80">
        <v>31</v>
      </c>
      <c r="Q2" s="67">
        <v>28600</v>
      </c>
    </row>
    <row r="3" spans="1:17" x14ac:dyDescent="0.45">
      <c r="A3" s="21" t="s">
        <v>8</v>
      </c>
      <c r="B3" s="133">
        <v>244</v>
      </c>
      <c r="C3" s="134"/>
      <c r="E3" s="29" t="s">
        <v>64</v>
      </c>
      <c r="F3" s="26" t="s">
        <v>20</v>
      </c>
      <c r="G3" s="14">
        <v>34</v>
      </c>
      <c r="H3" s="92">
        <f>IF(B$19=0,0,G3/B$19)</f>
        <v>0.5074626865671642</v>
      </c>
      <c r="I3" s="60">
        <v>4</v>
      </c>
      <c r="K3" s="7">
        <v>1</v>
      </c>
      <c r="L3" s="65">
        <v>-0.5</v>
      </c>
      <c r="N3" s="78" t="s">
        <v>129</v>
      </c>
      <c r="O3" s="84">
        <f t="shared" si="0"/>
        <v>-1293.5483870967741</v>
      </c>
      <c r="P3" s="81">
        <v>31</v>
      </c>
      <c r="Q3" s="68">
        <v>-40100</v>
      </c>
    </row>
    <row r="4" spans="1:17" x14ac:dyDescent="0.45">
      <c r="A4" s="21" t="s">
        <v>6</v>
      </c>
      <c r="B4" s="135">
        <v>-137.5</v>
      </c>
      <c r="C4" s="136"/>
      <c r="E4" s="29" t="s">
        <v>66</v>
      </c>
      <c r="F4" s="26" t="s">
        <v>22</v>
      </c>
      <c r="G4" s="14">
        <v>32</v>
      </c>
      <c r="H4" s="92">
        <f>IF(B$19=0,0,G4/B$19)</f>
        <v>0.47761194029850745</v>
      </c>
      <c r="I4" s="60">
        <v>8</v>
      </c>
      <c r="K4" s="7">
        <v>2</v>
      </c>
      <c r="L4" s="65">
        <v>-62.8</v>
      </c>
      <c r="N4" s="78" t="s">
        <v>130</v>
      </c>
      <c r="O4" s="84">
        <f t="shared" si="0"/>
        <v>-1112.9032258064517</v>
      </c>
      <c r="P4" s="81">
        <v>31</v>
      </c>
      <c r="Q4" s="68">
        <v>-34500</v>
      </c>
    </row>
    <row r="5" spans="1:17" x14ac:dyDescent="0.45">
      <c r="A5" s="21" t="s">
        <v>7</v>
      </c>
      <c r="B5" s="123">
        <f>IF(B$2=0,0,B$4/B$2)</f>
        <v>-4.296875</v>
      </c>
      <c r="C5" s="124"/>
      <c r="E5" s="29" t="s">
        <v>160</v>
      </c>
      <c r="F5" s="26" t="s">
        <v>161</v>
      </c>
      <c r="G5" s="14">
        <v>28</v>
      </c>
      <c r="H5" s="92">
        <f>IF(B$19=0,0,G5/B$19)</f>
        <v>0.41791044776119401</v>
      </c>
      <c r="I5" s="60">
        <v>5</v>
      </c>
      <c r="K5" s="7">
        <v>3</v>
      </c>
      <c r="L5" s="65">
        <v>-48.5</v>
      </c>
      <c r="N5" s="78" t="s">
        <v>131</v>
      </c>
      <c r="O5" s="84">
        <f t="shared" si="0"/>
        <v>-900</v>
      </c>
      <c r="P5" s="81">
        <v>28</v>
      </c>
      <c r="Q5" s="68">
        <v>-25200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0.29850746268656714</v>
      </c>
      <c r="I6" s="60">
        <v>5</v>
      </c>
      <c r="K6" s="7">
        <v>4</v>
      </c>
      <c r="L6" s="65">
        <v>-75.599999999999994</v>
      </c>
      <c r="N6" s="78" t="s">
        <v>132</v>
      </c>
      <c r="O6" s="84">
        <f t="shared" si="0"/>
        <v>-3160</v>
      </c>
      <c r="P6" s="81">
        <v>25</v>
      </c>
      <c r="Q6" s="68">
        <v>-79000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0.3125</v>
      </c>
      <c r="E7" s="29" t="s">
        <v>67</v>
      </c>
      <c r="F7" s="26" t="s">
        <v>23</v>
      </c>
      <c r="G7" s="14">
        <v>19</v>
      </c>
      <c r="H7" s="92">
        <f>IF(B$19=0,0,G7/B$19)</f>
        <v>0.28358208955223879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515.78947368421052</v>
      </c>
      <c r="P7" s="82">
        <v>19</v>
      </c>
      <c r="Q7" s="69">
        <v>9800</v>
      </c>
    </row>
    <row r="8" spans="1:17" x14ac:dyDescent="0.45">
      <c r="A8" s="21" t="s">
        <v>3</v>
      </c>
      <c r="B8" s="14">
        <v>12</v>
      </c>
      <c r="C8" s="8">
        <f t="shared" si="1"/>
        <v>0.375</v>
      </c>
      <c r="E8" s="29" t="s">
        <v>89</v>
      </c>
      <c r="F8" s="26" t="s">
        <v>44</v>
      </c>
      <c r="G8" s="14">
        <v>9</v>
      </c>
      <c r="H8" s="92">
        <f>IF(B$19=0,0,G8/B$19)</f>
        <v>0.13432835820895522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0.3125</v>
      </c>
      <c r="E9" s="29" t="s">
        <v>69</v>
      </c>
      <c r="F9" s="26" t="s">
        <v>24</v>
      </c>
      <c r="G9" s="14">
        <v>8</v>
      </c>
      <c r="H9" s="92">
        <f>IF(B$19=0,0,G9/B$19)</f>
        <v>0.11940298507462686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34.07</v>
      </c>
      <c r="C10" s="114">
        <v>340.7</v>
      </c>
      <c r="E10" s="29" t="s">
        <v>65</v>
      </c>
      <c r="F10" s="26" t="s">
        <v>21</v>
      </c>
      <c r="G10" s="14">
        <v>6</v>
      </c>
      <c r="H10" s="92">
        <f>IF(B$19=0,0,G10/B$19)</f>
        <v>8.9552238805970144E-2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-19.311111111111114</v>
      </c>
      <c r="P10" s="80">
        <v>9</v>
      </c>
      <c r="Q10" s="71">
        <v>-173.8</v>
      </c>
    </row>
    <row r="11" spans="1:17" x14ac:dyDescent="0.45">
      <c r="A11" s="22" t="s">
        <v>186</v>
      </c>
      <c r="B11" s="113">
        <f>IF(B8=0,0,C11/B8)</f>
        <v>-4.9083333333333323</v>
      </c>
      <c r="C11" s="114">
        <v>-58.899999999999991</v>
      </c>
      <c r="E11" s="29" t="s">
        <v>71</v>
      </c>
      <c r="F11" s="26" t="s">
        <v>26</v>
      </c>
      <c r="G11" s="14">
        <v>5</v>
      </c>
      <c r="H11" s="92">
        <f>IF(B$19=0,0,G11/B$19)</f>
        <v>7.4626865671641784E-2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-5.8900000000000006</v>
      </c>
      <c r="P11" s="81">
        <v>10</v>
      </c>
      <c r="Q11" s="72">
        <v>-58.900000000000006</v>
      </c>
    </row>
    <row r="12" spans="1:17" x14ac:dyDescent="0.45">
      <c r="A12" s="22" t="s">
        <v>187</v>
      </c>
      <c r="B12" s="113">
        <f>IF(B9=0,0,C12/B9)</f>
        <v>-41.93</v>
      </c>
      <c r="C12" s="114">
        <v>-419.3</v>
      </c>
      <c r="E12" s="29" t="s">
        <v>70</v>
      </c>
      <c r="F12" s="26" t="s">
        <v>25</v>
      </c>
      <c r="G12" s="14">
        <v>4</v>
      </c>
      <c r="H12" s="92">
        <f>IF(B$19=0,0,G12/B$19)</f>
        <v>5.9701492537313432E-2</v>
      </c>
      <c r="I12" s="60">
        <v>6</v>
      </c>
      <c r="K12" s="7">
        <v>10</v>
      </c>
      <c r="L12" s="65">
        <v>-14.9</v>
      </c>
      <c r="N12" s="79" t="s">
        <v>154</v>
      </c>
      <c r="O12" s="88">
        <f>IF(P12=0,0,Q12/P12)</f>
        <v>7.3230769230769246</v>
      </c>
      <c r="P12" s="82">
        <v>13</v>
      </c>
      <c r="Q12" s="73">
        <v>95.200000000000017</v>
      </c>
    </row>
    <row r="13" spans="1:17" x14ac:dyDescent="0.45">
      <c r="A13" s="22" t="s">
        <v>188</v>
      </c>
      <c r="B13" s="123">
        <f>AVERAGE(B10:B12)</f>
        <v>-4.2561111111111103</v>
      </c>
      <c r="C13" s="124"/>
      <c r="E13" s="29" t="s">
        <v>79</v>
      </c>
      <c r="F13" s="26" t="s">
        <v>34</v>
      </c>
      <c r="G13" s="14">
        <v>4</v>
      </c>
      <c r="H13" s="92">
        <f>IF(B$19=0,0,G13/B$19)</f>
        <v>5.9701492537313432E-2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0.125</v>
      </c>
      <c r="E14" s="29" t="s">
        <v>78</v>
      </c>
      <c r="F14" s="26" t="s">
        <v>33</v>
      </c>
      <c r="G14" s="14">
        <v>3</v>
      </c>
      <c r="H14" s="92">
        <f>IF(B$19=0,0,G14/B$19)</f>
        <v>4.4776119402985072E-2</v>
      </c>
      <c r="I14" s="60">
        <v>4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66</v>
      </c>
      <c r="C15" s="12">
        <f>IF(B$3=0,0,B15/B$3)</f>
        <v>0.27049180327868855</v>
      </c>
      <c r="E15" s="29" t="s">
        <v>83</v>
      </c>
      <c r="F15" s="26" t="s">
        <v>38</v>
      </c>
      <c r="G15" s="14">
        <v>3</v>
      </c>
      <c r="H15" s="92">
        <f>IF(B$19=0,0,G15/B$19)</f>
        <v>4.4776119402985072E-2</v>
      </c>
      <c r="I15" s="60">
        <v>6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55</v>
      </c>
      <c r="C16" s="8">
        <f>IF(B$3=0,0,B16/B$3)</f>
        <v>0.22540983606557377</v>
      </c>
      <c r="E16" s="29" t="s">
        <v>86</v>
      </c>
      <c r="F16" s="26" t="s">
        <v>41</v>
      </c>
      <c r="G16" s="14">
        <v>2</v>
      </c>
      <c r="H16" s="92">
        <f>IF(B$19=0,0,G16/B$19)</f>
        <v>2.9850746268656716E-2</v>
      </c>
      <c r="I16" s="60">
        <v>7</v>
      </c>
      <c r="K16" s="7">
        <v>14</v>
      </c>
      <c r="L16" s="65">
        <v>-149.39999999999998</v>
      </c>
      <c r="N16" s="78" t="s">
        <v>194</v>
      </c>
      <c r="O16" s="87">
        <f>IF(P16=0,0,Q16/P16)</f>
        <v>16.157142857142858</v>
      </c>
      <c r="P16" s="81">
        <v>7</v>
      </c>
      <c r="Q16" s="72">
        <v>113.10000000000001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0.56060606060606055</v>
      </c>
      <c r="E17" s="29" t="s">
        <v>81</v>
      </c>
      <c r="F17" s="26" t="s">
        <v>36</v>
      </c>
      <c r="G17" s="14">
        <v>1</v>
      </c>
      <c r="H17" s="92">
        <f>IF(B$19=0,0,G17/B$19)</f>
        <v>1.4925373134328358E-2</v>
      </c>
      <c r="I17" s="60">
        <v>5</v>
      </c>
      <c r="K17" s="7">
        <v>15</v>
      </c>
      <c r="L17" s="65">
        <v>-121.39999999999998</v>
      </c>
      <c r="N17" s="78" t="s">
        <v>193</v>
      </c>
      <c r="O17" s="87">
        <f>IF(P17=0,0,Q17/P17)</f>
        <v>10.600000000000003</v>
      </c>
      <c r="P17" s="81">
        <v>12</v>
      </c>
      <c r="Q17" s="72">
        <v>127.20000000000005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0.30909090909090908</v>
      </c>
      <c r="E18" s="29" t="s">
        <v>91</v>
      </c>
      <c r="F18" s="26" t="s">
        <v>46</v>
      </c>
      <c r="G18" s="14">
        <v>1</v>
      </c>
      <c r="H18" s="92">
        <f>IF(B$19=0,0,G18/B$19)</f>
        <v>1.4925373134328358E-2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>IF(P18=0,0,Q18/P18)</f>
        <v>-11.835714285714285</v>
      </c>
      <c r="P18" s="81">
        <v>14</v>
      </c>
      <c r="Q18" s="72">
        <v>-165.7</v>
      </c>
    </row>
    <row r="19" spans="1:17" x14ac:dyDescent="0.45">
      <c r="A19" s="20" t="s">
        <v>10</v>
      </c>
      <c r="B19" s="13">
        <f>B22+B21</f>
        <v>67</v>
      </c>
      <c r="C19" s="6">
        <f>IF(B$3=0,0,B19/B$3)</f>
        <v>0.27459016393442626</v>
      </c>
      <c r="E19" s="29" t="s">
        <v>92</v>
      </c>
      <c r="F19" s="26" t="s">
        <v>47</v>
      </c>
      <c r="G19" s="14">
        <v>1</v>
      </c>
      <c r="H19" s="92">
        <f>IF(B$19=0,0,G19/B$19)</f>
        <v>1.4925373134328358E-2</v>
      </c>
      <c r="I19" s="60">
        <v>5</v>
      </c>
      <c r="K19" s="7">
        <v>17</v>
      </c>
      <c r="L19" s="65">
        <v>-149.1</v>
      </c>
      <c r="N19" s="78" t="s">
        <v>205</v>
      </c>
      <c r="O19" s="87">
        <f>IF(P19=0,0,Q19/P19)</f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31</v>
      </c>
      <c r="C20" s="8">
        <f>IF(B$3=0,0,B20/B$3)</f>
        <v>0.12704918032786885</v>
      </c>
      <c r="E20" s="29" t="s">
        <v>156</v>
      </c>
      <c r="F20" s="26" t="s">
        <v>157</v>
      </c>
      <c r="G20" s="14">
        <v>1</v>
      </c>
      <c r="H20" s="92">
        <f>IF(B$19=0,0,G20/B$19)</f>
        <v>1.4925373134328358E-2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26</v>
      </c>
      <c r="C21" s="8">
        <f>IF(B$19=0,0,B21/B$19)</f>
        <v>0.38805970149253732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>IF(P21=0,0,Q21/P21)</f>
        <v>-21.941176470588236</v>
      </c>
      <c r="P21" s="81">
        <v>17</v>
      </c>
      <c r="Q21" s="72">
        <v>-373</v>
      </c>
    </row>
    <row r="22" spans="1:17" x14ac:dyDescent="0.45">
      <c r="A22" s="21" t="s">
        <v>11</v>
      </c>
      <c r="B22" s="14">
        <v>41</v>
      </c>
      <c r="C22" s="8">
        <f>IF(B$19=0,0,B22/B$19)</f>
        <v>0.61194029850746268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37</v>
      </c>
      <c r="C23" s="8">
        <f>IF(B$19=0,0,B23/B$19)</f>
        <v>0.55223880597014929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17</v>
      </c>
      <c r="C24" s="8">
        <f>IF(B$19=0,0,B24/B$19)</f>
        <v>0.2537313432835821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13</v>
      </c>
      <c r="C25" s="8">
        <f>IF(B$19=0,0,B25/B$19)</f>
        <v>0.19402985074626866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7502.9850746268658</v>
      </c>
      <c r="C26" s="10">
        <v>502700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7806</v>
      </c>
      <c r="C27" s="100">
        <v>390300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6611.7647058823532</v>
      </c>
      <c r="C28" s="100">
        <v>112400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-7790.322580645161</v>
      </c>
      <c r="C29" s="100">
        <v>-241500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2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26</v>
      </c>
      <c r="C31" s="94">
        <v>26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0.11940298507462686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11</v>
      </c>
      <c r="C37" s="8">
        <f t="shared" si="2"/>
        <v>0.16417910447761194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18</v>
      </c>
      <c r="C38" s="8">
        <f t="shared" si="2"/>
        <v>0.26865671641791045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2"/>
        <v>0.14925373134328357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7</v>
      </c>
      <c r="C40" s="8">
        <f t="shared" si="2"/>
        <v>0.1044776119402985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2"/>
        <v>2.9850746268656716E-2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2"/>
        <v>8.9552238805970144E-2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1</v>
      </c>
      <c r="C43" s="8">
        <f t="shared" si="2"/>
        <v>1.4925373134328358E-2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1.4925373134328358E-2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1.4925373134328358E-2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2"/>
        <v>1.4925373134328358E-2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1.4925373134328358E-2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17</v>
      </c>
      <c r="C2" s="132"/>
      <c r="E2" s="28" t="s">
        <v>72</v>
      </c>
      <c r="F2" s="25" t="s">
        <v>27</v>
      </c>
      <c r="G2" s="13">
        <v>29</v>
      </c>
      <c r="H2" s="91">
        <f>IF(B$19=0,0,G2/B$19)</f>
        <v>0.72499999999999998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-2970.5882352941176</v>
      </c>
      <c r="P2" s="80">
        <v>17</v>
      </c>
      <c r="Q2" s="67">
        <v>-50500</v>
      </c>
    </row>
    <row r="3" spans="1:17" x14ac:dyDescent="0.45">
      <c r="A3" s="21" t="s">
        <v>8</v>
      </c>
      <c r="B3" s="133">
        <v>119</v>
      </c>
      <c r="C3" s="134"/>
      <c r="E3" s="29" t="s">
        <v>66</v>
      </c>
      <c r="F3" s="26" t="s">
        <v>22</v>
      </c>
      <c r="G3" s="14">
        <v>27</v>
      </c>
      <c r="H3" s="92">
        <f>IF(B$19=0,0,G3/B$19)</f>
        <v>0.67500000000000004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-187.5</v>
      </c>
      <c r="P3" s="81">
        <v>16</v>
      </c>
      <c r="Q3" s="68">
        <v>-3000</v>
      </c>
    </row>
    <row r="4" spans="1:17" x14ac:dyDescent="0.45">
      <c r="A4" s="21" t="s">
        <v>6</v>
      </c>
      <c r="B4" s="135">
        <v>71.699999999999989</v>
      </c>
      <c r="C4" s="136"/>
      <c r="E4" s="29" t="s">
        <v>64</v>
      </c>
      <c r="F4" s="26" t="s">
        <v>20</v>
      </c>
      <c r="G4" s="14">
        <v>12</v>
      </c>
      <c r="H4" s="92">
        <f>IF(B$19=0,0,G4/B$19)</f>
        <v>0.3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3446.6666666666665</v>
      </c>
      <c r="P4" s="81">
        <v>15</v>
      </c>
      <c r="Q4" s="68">
        <v>51700</v>
      </c>
    </row>
    <row r="5" spans="1:17" x14ac:dyDescent="0.45">
      <c r="A5" s="21" t="s">
        <v>7</v>
      </c>
      <c r="B5" s="123">
        <f>IF(B$2=0,0,B$4/B$2)</f>
        <v>4.2176470588235286</v>
      </c>
      <c r="C5" s="124"/>
      <c r="E5" s="29" t="s">
        <v>68</v>
      </c>
      <c r="F5" s="26" t="s">
        <v>12</v>
      </c>
      <c r="G5" s="14">
        <v>10</v>
      </c>
      <c r="H5" s="92">
        <f>IF(B$19=0,0,G5/B$19)</f>
        <v>0.25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625</v>
      </c>
      <c r="P5" s="81">
        <v>12</v>
      </c>
      <c r="Q5" s="68">
        <v>7500</v>
      </c>
    </row>
    <row r="6" spans="1:17" x14ac:dyDescent="0.45">
      <c r="A6" s="21" t="s">
        <v>1</v>
      </c>
      <c r="B6" s="137">
        <f>IF(B$2=0,0,(B$7*1+B$8*2+B$9*3)/B$2)</f>
        <v>1.9411764705882353</v>
      </c>
      <c r="C6" s="138"/>
      <c r="E6" s="29" t="s">
        <v>67</v>
      </c>
      <c r="F6" s="26" t="s">
        <v>23</v>
      </c>
      <c r="G6" s="14">
        <v>8</v>
      </c>
      <c r="H6" s="92">
        <f>IF(B$19=0,0,G6/B$19)</f>
        <v>0.2</v>
      </c>
      <c r="I6" s="60">
        <v>8</v>
      </c>
      <c r="K6" s="7">
        <v>4</v>
      </c>
      <c r="L6" s="65">
        <v>112.4</v>
      </c>
      <c r="N6" s="78" t="s">
        <v>132</v>
      </c>
      <c r="O6" s="84">
        <f t="shared" si="0"/>
        <v>2837.5</v>
      </c>
      <c r="P6" s="81">
        <v>8</v>
      </c>
      <c r="Q6" s="68">
        <v>22700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0.41176470588235292</v>
      </c>
      <c r="E7" s="29" t="s">
        <v>160</v>
      </c>
      <c r="F7" s="26" t="s">
        <v>161</v>
      </c>
      <c r="G7" s="14">
        <v>7</v>
      </c>
      <c r="H7" s="92">
        <f>IF(B$19=0,0,G7/B$19)</f>
        <v>0.17499999999999999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185.71428571428572</v>
      </c>
      <c r="P7" s="82">
        <v>7</v>
      </c>
      <c r="Q7" s="69">
        <v>1300</v>
      </c>
    </row>
    <row r="8" spans="1:17" x14ac:dyDescent="0.45">
      <c r="A8" s="21" t="s">
        <v>3</v>
      </c>
      <c r="B8" s="14">
        <v>4</v>
      </c>
      <c r="C8" s="8">
        <f t="shared" si="1"/>
        <v>0.23529411764705882</v>
      </c>
      <c r="E8" s="29" t="s">
        <v>69</v>
      </c>
      <c r="F8" s="26" t="s">
        <v>24</v>
      </c>
      <c r="G8" s="14">
        <v>6</v>
      </c>
      <c r="H8" s="92">
        <f>IF(B$19=0,0,G8/B$19)</f>
        <v>0.15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0.35294117647058826</v>
      </c>
      <c r="E9" s="29" t="s">
        <v>83</v>
      </c>
      <c r="F9" s="26" t="s">
        <v>38</v>
      </c>
      <c r="G9" s="14">
        <v>5</v>
      </c>
      <c r="H9" s="92">
        <f>IF(B$19=0,0,G9/B$19)</f>
        <v>0.125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40.18571428571429</v>
      </c>
      <c r="C10" s="114">
        <v>281.3</v>
      </c>
      <c r="E10" s="29" t="s">
        <v>89</v>
      </c>
      <c r="F10" s="26" t="s">
        <v>44</v>
      </c>
      <c r="G10" s="14">
        <v>4</v>
      </c>
      <c r="H10" s="92">
        <f>IF(B$19=0,0,G10/B$19)</f>
        <v>0.1</v>
      </c>
      <c r="I10" s="60">
        <v>7</v>
      </c>
      <c r="K10" s="7">
        <v>8</v>
      </c>
      <c r="L10" s="65">
        <v>96.800000000000011</v>
      </c>
      <c r="N10" s="77" t="s">
        <v>152</v>
      </c>
      <c r="O10" s="86">
        <f>IF(P10=0,0,Q10/P10)</f>
        <v>-15.320000000000002</v>
      </c>
      <c r="P10" s="80">
        <v>5</v>
      </c>
      <c r="Q10" s="71">
        <v>-76.600000000000009</v>
      </c>
    </row>
    <row r="11" spans="1:17" x14ac:dyDescent="0.45">
      <c r="A11" s="22" t="s">
        <v>186</v>
      </c>
      <c r="B11" s="113">
        <f>IF(B8=0,0,C11/B8)</f>
        <v>5.8999999999999995</v>
      </c>
      <c r="C11" s="114">
        <v>23.599999999999998</v>
      </c>
      <c r="E11" s="29" t="s">
        <v>65</v>
      </c>
      <c r="F11" s="26" t="s">
        <v>21</v>
      </c>
      <c r="G11" s="14">
        <v>3</v>
      </c>
      <c r="H11" s="92">
        <f>IF(B$19=0,0,G11/B$19)</f>
        <v>7.4999999999999997E-2</v>
      </c>
      <c r="I11" s="60">
        <v>10</v>
      </c>
      <c r="K11" s="7">
        <v>9</v>
      </c>
      <c r="L11" s="65">
        <v>51.600000000000009</v>
      </c>
      <c r="N11" s="78" t="s">
        <v>153</v>
      </c>
      <c r="O11" s="87">
        <f>IF(P11=0,0,Q11/P11)</f>
        <v>-3.2142857142857153</v>
      </c>
      <c r="P11" s="81">
        <v>7</v>
      </c>
      <c r="Q11" s="72">
        <v>-22.500000000000007</v>
      </c>
    </row>
    <row r="12" spans="1:17" x14ac:dyDescent="0.45">
      <c r="A12" s="22" t="s">
        <v>187</v>
      </c>
      <c r="B12" s="113">
        <f>IF(B9=0,0,C12/B9)</f>
        <v>-38.866666666666667</v>
      </c>
      <c r="C12" s="114">
        <v>-233.20000000000002</v>
      </c>
      <c r="E12" s="29" t="s">
        <v>78</v>
      </c>
      <c r="F12" s="26" t="s">
        <v>33</v>
      </c>
      <c r="G12" s="14">
        <v>2</v>
      </c>
      <c r="H12" s="92">
        <f>IF(B$19=0,0,G12/B$19)</f>
        <v>0.05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34.160000000000004</v>
      </c>
      <c r="P12" s="82">
        <v>5</v>
      </c>
      <c r="Q12" s="73">
        <v>170.8</v>
      </c>
    </row>
    <row r="13" spans="1:17" x14ac:dyDescent="0.45">
      <c r="A13" s="22" t="s">
        <v>188</v>
      </c>
      <c r="B13" s="123">
        <f>AVERAGE(B10:B12)</f>
        <v>2.4063492063492071</v>
      </c>
      <c r="C13" s="124"/>
      <c r="E13" s="29" t="s">
        <v>81</v>
      </c>
      <c r="F13" s="26" t="s">
        <v>36</v>
      </c>
      <c r="G13" s="14">
        <v>2</v>
      </c>
      <c r="H13" s="92">
        <f>IF(B$19=0,0,G13/B$19)</f>
        <v>0.05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0.23529411764705882</v>
      </c>
      <c r="E14" s="29" t="s">
        <v>71</v>
      </c>
      <c r="F14" s="26" t="s">
        <v>26</v>
      </c>
      <c r="G14" s="14">
        <v>1</v>
      </c>
      <c r="H14" s="92">
        <f>IF(B$19=0,0,G14/B$19)</f>
        <v>2.5000000000000001E-2</v>
      </c>
      <c r="I14" s="60">
        <v>9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0.16806722689075632</v>
      </c>
      <c r="E15" s="29" t="s">
        <v>75</v>
      </c>
      <c r="F15" s="26" t="s">
        <v>30</v>
      </c>
      <c r="G15" s="14">
        <v>1</v>
      </c>
      <c r="H15" s="92">
        <f>IF(B$19=0,0,G15/B$19)</f>
        <v>2.5000000000000001E-2</v>
      </c>
      <c r="I15" s="60">
        <v>1</v>
      </c>
      <c r="K15" s="7">
        <v>13</v>
      </c>
      <c r="L15" s="65">
        <v>83.1</v>
      </c>
      <c r="N15" s="77" t="s">
        <v>164</v>
      </c>
      <c r="O15" s="86">
        <f>IF(P15=0,0,Q15/P15)</f>
        <v>67.833333333333329</v>
      </c>
      <c r="P15" s="80">
        <v>3</v>
      </c>
      <c r="Q15" s="71">
        <v>203.5</v>
      </c>
    </row>
    <row r="16" spans="1:17" x14ac:dyDescent="0.45">
      <c r="A16" s="21" t="s">
        <v>118</v>
      </c>
      <c r="B16" s="14">
        <v>40</v>
      </c>
      <c r="C16" s="8">
        <f>IF(B$3=0,0,B16/B$3)</f>
        <v>0.33613445378151263</v>
      </c>
      <c r="E16" s="29" t="s">
        <v>85</v>
      </c>
      <c r="F16" s="26" t="s">
        <v>40</v>
      </c>
      <c r="G16" s="14">
        <v>1</v>
      </c>
      <c r="H16" s="92">
        <f>IF(B$19=0,0,G16/B$19)</f>
        <v>2.5000000000000001E-2</v>
      </c>
      <c r="I16" s="60">
        <v>1</v>
      </c>
      <c r="K16" s="7">
        <v>14</v>
      </c>
      <c r="L16" s="65">
        <v>89.399999999999991</v>
      </c>
      <c r="N16" s="78" t="s">
        <v>194</v>
      </c>
      <c r="O16" s="87">
        <f>IF(P16=0,0,Q16/P16)</f>
        <v>44.449999999999996</v>
      </c>
      <c r="P16" s="81">
        <v>8</v>
      </c>
      <c r="Q16" s="72">
        <v>355.59999999999997</v>
      </c>
    </row>
    <row r="17" spans="1:17" x14ac:dyDescent="0.45">
      <c r="A17" s="20" t="s">
        <v>123</v>
      </c>
      <c r="B17" s="13">
        <f>B23</f>
        <v>12</v>
      </c>
      <c r="C17" s="6">
        <f>IF(B$15=0,0,B17/B$15)</f>
        <v>0.6</v>
      </c>
      <c r="E17" s="29" t="s">
        <v>102</v>
      </c>
      <c r="F17" s="26" t="s">
        <v>57</v>
      </c>
      <c r="G17" s="14">
        <v>1</v>
      </c>
      <c r="H17" s="92">
        <f>IF(B$19=0,0,G17/B$19)</f>
        <v>2.5000000000000001E-2</v>
      </c>
      <c r="I17" s="60">
        <v>1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0.42499999999999999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119.3</v>
      </c>
      <c r="N18" s="78" t="s">
        <v>192</v>
      </c>
      <c r="O18" s="87">
        <f>IF(P18=0,0,Q18/P18)</f>
        <v>-10.600000000000003</v>
      </c>
      <c r="P18" s="81">
        <v>12</v>
      </c>
      <c r="Q18" s="72">
        <v>-127.20000000000005</v>
      </c>
    </row>
    <row r="19" spans="1:17" x14ac:dyDescent="0.45">
      <c r="A19" s="20" t="s">
        <v>10</v>
      </c>
      <c r="B19" s="13">
        <f>B22+B21</f>
        <v>40</v>
      </c>
      <c r="C19" s="6">
        <f>IF(B$3=0,0,B19/B$3)</f>
        <v>0.33613445378151263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71.699999999999989</v>
      </c>
      <c r="N19" s="78" t="s">
        <v>126</v>
      </c>
      <c r="O19" s="87">
        <f>IF(P19=0,0,Q19/P19)</f>
        <v>-30.299999999999997</v>
      </c>
      <c r="P19" s="81">
        <v>6</v>
      </c>
      <c r="Q19" s="72">
        <v>-181.79999999999998</v>
      </c>
    </row>
    <row r="20" spans="1:17" x14ac:dyDescent="0.45">
      <c r="A20" s="21" t="s">
        <v>13</v>
      </c>
      <c r="B20" s="14">
        <v>17</v>
      </c>
      <c r="C20" s="8">
        <f>IF(B$3=0,0,B20/B$3)</f>
        <v>0.14285714285714285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189</v>
      </c>
      <c r="O20" s="87">
        <f>IF(P20=0,0,Q20/P20)</f>
        <v>-49.75</v>
      </c>
      <c r="P20" s="81">
        <v>2</v>
      </c>
      <c r="Q20" s="72">
        <v>-99.5</v>
      </c>
    </row>
    <row r="21" spans="1:17" x14ac:dyDescent="0.45">
      <c r="A21" s="21" t="s">
        <v>12</v>
      </c>
      <c r="B21" s="14">
        <v>20</v>
      </c>
      <c r="C21" s="8">
        <f>IF(B$19=0,0,B21/B$19)</f>
        <v>0.5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20</v>
      </c>
      <c r="C22" s="8">
        <f>IF(B$19=0,0,B22/B$19)</f>
        <v>0.5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</row>
    <row r="23" spans="1:17" x14ac:dyDescent="0.45">
      <c r="A23" s="21" t="s">
        <v>184</v>
      </c>
      <c r="B23" s="14">
        <v>12</v>
      </c>
      <c r="C23" s="8">
        <f>IF(B$19=0,0,B23/B$19)</f>
        <v>0.3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17</v>
      </c>
      <c r="C24" s="8">
        <f>IF(B$19=0,0,B24/B$19)</f>
        <v>0.42499999999999999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11</v>
      </c>
      <c r="C25" s="8">
        <f>IF(B$19=0,0,B25/B$19)</f>
        <v>0.27500000000000002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7675</v>
      </c>
      <c r="C26" s="10">
        <v>307000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8365.217391304348</v>
      </c>
      <c r="C27" s="100">
        <v>192400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6741.1764705882351</v>
      </c>
      <c r="C28" s="100">
        <v>114600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-6929.411764705882</v>
      </c>
      <c r="C29" s="100">
        <v>-117800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0.1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11</v>
      </c>
      <c r="C37" s="8">
        <f t="shared" si="2"/>
        <v>0.27500000000000002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169</v>
      </c>
      <c r="B38" s="122">
        <v>7</v>
      </c>
      <c r="C38" s="8">
        <f t="shared" si="2"/>
        <v>0.17499999999999999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7</v>
      </c>
      <c r="C39" s="8">
        <f t="shared" si="2"/>
        <v>0.17499999999999999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7</v>
      </c>
      <c r="C40" s="8">
        <f t="shared" si="2"/>
        <v>0.17499999999999999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2.5000000000000001E-2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1</v>
      </c>
      <c r="C42" s="8">
        <f t="shared" si="2"/>
        <v>2.5000000000000001E-2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2.5000000000000001E-2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2.5000000000000001E-2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7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4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7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11</v>
      </c>
      <c r="C2" s="132"/>
      <c r="E2" s="28" t="s">
        <v>66</v>
      </c>
      <c r="F2" s="25" t="s">
        <v>22</v>
      </c>
      <c r="G2" s="13">
        <v>28</v>
      </c>
      <c r="H2" s="91">
        <f>IF(B$19=0,0,G2/B$19)</f>
        <v>1.0769230769230769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4290.909090909091</v>
      </c>
      <c r="P2" s="80">
        <v>11</v>
      </c>
      <c r="Q2" s="67">
        <v>47200</v>
      </c>
    </row>
    <row r="3" spans="1:17" x14ac:dyDescent="0.45">
      <c r="A3" s="21" t="s">
        <v>8</v>
      </c>
      <c r="B3" s="133">
        <v>82</v>
      </c>
      <c r="C3" s="134"/>
      <c r="E3" s="29" t="s">
        <v>72</v>
      </c>
      <c r="F3" s="26" t="s">
        <v>27</v>
      </c>
      <c r="G3" s="14">
        <v>17</v>
      </c>
      <c r="H3" s="92">
        <f>IF(B$19=0,0,G3/B$19)</f>
        <v>0.65384615384615385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-9672.7272727272721</v>
      </c>
      <c r="P3" s="81">
        <v>11</v>
      </c>
      <c r="Q3" s="68">
        <v>-106400</v>
      </c>
    </row>
    <row r="4" spans="1:17" x14ac:dyDescent="0.45">
      <c r="A4" s="21" t="s">
        <v>6</v>
      </c>
      <c r="B4" s="135">
        <v>-121</v>
      </c>
      <c r="C4" s="136"/>
      <c r="E4" s="29" t="s">
        <v>64</v>
      </c>
      <c r="F4" s="26" t="s">
        <v>20</v>
      </c>
      <c r="G4" s="14">
        <v>8</v>
      </c>
      <c r="H4" s="92">
        <f>IF(B$19=0,0,G4/B$19)</f>
        <v>0.30769230769230771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-2110</v>
      </c>
      <c r="P4" s="81">
        <v>10</v>
      </c>
      <c r="Q4" s="68">
        <v>-21100</v>
      </c>
    </row>
    <row r="5" spans="1:17" x14ac:dyDescent="0.45">
      <c r="A5" s="21" t="s">
        <v>7</v>
      </c>
      <c r="B5" s="123">
        <f>IF(B$2=0,0,B$4/B$2)</f>
        <v>-11</v>
      </c>
      <c r="C5" s="124"/>
      <c r="E5" s="29" t="s">
        <v>160</v>
      </c>
      <c r="F5" s="26" t="s">
        <v>161</v>
      </c>
      <c r="G5" s="14">
        <v>8</v>
      </c>
      <c r="H5" s="92">
        <f>IF(B$19=0,0,G5/B$19)</f>
        <v>0.30769230769230771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-4312.5</v>
      </c>
      <c r="P5" s="81">
        <v>8</v>
      </c>
      <c r="Q5" s="68">
        <v>-34500</v>
      </c>
    </row>
    <row r="6" spans="1:17" x14ac:dyDescent="0.45">
      <c r="A6" s="21" t="s">
        <v>1</v>
      </c>
      <c r="B6" s="137">
        <f>IF(B$2=0,0,(B$7*1+B$8*2+B$9*3)/B$2)</f>
        <v>2.3636363636363638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0.26923076923076922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5828.5714285714284</v>
      </c>
      <c r="P6" s="81">
        <v>7</v>
      </c>
      <c r="Q6" s="68">
        <v>40800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0.18181818181818182</v>
      </c>
      <c r="E7" s="29" t="s">
        <v>89</v>
      </c>
      <c r="F7" s="26" t="s">
        <v>44</v>
      </c>
      <c r="G7" s="14">
        <v>6</v>
      </c>
      <c r="H7" s="92">
        <f>IF(B$19=0,0,G7/B$19)</f>
        <v>0.23076923076923078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-1166.6666666666667</v>
      </c>
      <c r="P7" s="82">
        <v>6</v>
      </c>
      <c r="Q7" s="69">
        <v>-7000</v>
      </c>
    </row>
    <row r="8" spans="1:17" x14ac:dyDescent="0.45">
      <c r="A8" s="21" t="s">
        <v>3</v>
      </c>
      <c r="B8" s="14">
        <v>3</v>
      </c>
      <c r="C8" s="8">
        <f t="shared" si="1"/>
        <v>0.27272727272727271</v>
      </c>
      <c r="E8" s="29" t="s">
        <v>70</v>
      </c>
      <c r="F8" s="26" t="s">
        <v>25</v>
      </c>
      <c r="G8" s="14">
        <v>5</v>
      </c>
      <c r="H8" s="92">
        <f>IF(B$19=0,0,G8/B$19)</f>
        <v>0.19230769230769232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0.54545454545454541</v>
      </c>
      <c r="E9" s="29" t="s">
        <v>69</v>
      </c>
      <c r="F9" s="26" t="s">
        <v>24</v>
      </c>
      <c r="G9" s="14">
        <v>4</v>
      </c>
      <c r="H9" s="92">
        <f>IF(B$19=0,0,G9/B$19)</f>
        <v>0.15384615384615385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65</v>
      </c>
      <c r="F10" s="26" t="s">
        <v>21</v>
      </c>
      <c r="G10" s="14">
        <v>3</v>
      </c>
      <c r="H10" s="92">
        <f>IF(B$19=0,0,G10/B$19)</f>
        <v>0.11538461538461539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8.3600000000000012</v>
      </c>
      <c r="P10" s="80">
        <v>5</v>
      </c>
      <c r="Q10" s="71">
        <v>41.800000000000004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67</v>
      </c>
      <c r="F11" s="26" t="s">
        <v>23</v>
      </c>
      <c r="G11" s="14">
        <v>3</v>
      </c>
      <c r="H11" s="92">
        <f>IF(B$19=0,0,G11/B$19)</f>
        <v>0.11538461538461539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78</v>
      </c>
      <c r="F12" s="26" t="s">
        <v>33</v>
      </c>
      <c r="G12" s="14">
        <v>3</v>
      </c>
      <c r="H12" s="92">
        <f>IF(B$19=0,0,G12/B$19)</f>
        <v>0.11538461538461539</v>
      </c>
      <c r="I12" s="60">
        <v>1</v>
      </c>
      <c r="K12" s="7">
        <v>10</v>
      </c>
      <c r="L12" s="65">
        <v>-112.8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7.3222222222222202</v>
      </c>
      <c r="C13" s="124"/>
      <c r="E13" s="29" t="s">
        <v>83</v>
      </c>
      <c r="F13" s="26" t="s">
        <v>38</v>
      </c>
      <c r="G13" s="14">
        <v>3</v>
      </c>
      <c r="H13" s="92">
        <f>IF(B$19=0,0,G13/B$19)</f>
        <v>0.11538461538461539</v>
      </c>
      <c r="I13" s="60">
        <v>2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0.27272727272727271</v>
      </c>
      <c r="E14" s="29" t="s">
        <v>71</v>
      </c>
      <c r="F14" s="26" t="s">
        <v>26</v>
      </c>
      <c r="G14" s="14">
        <v>2</v>
      </c>
      <c r="H14" s="92">
        <f>IF(B$19=0,0,G14/B$19)</f>
        <v>7.6923076923076927E-2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0.15853658536585366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27</v>
      </c>
      <c r="C16" s="8">
        <f>IF(B$3=0,0,B16/B$3)</f>
        <v>0.32926829268292684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0.69230769230769229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-24.520000000000003</v>
      </c>
      <c r="P17" s="81">
        <v>10</v>
      </c>
      <c r="Q17" s="72">
        <v>-245.20000000000005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0.25925925925925924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-29.925000000000004</v>
      </c>
      <c r="P18" s="81">
        <v>4</v>
      </c>
      <c r="Q18" s="72">
        <v>-119.70000000000002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0.31707317073170732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20</v>
      </c>
      <c r="C20" s="8">
        <f>IF(B$3=0,0,B20/B$3)</f>
        <v>0.24390243902439024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0.34615384615384615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17</v>
      </c>
      <c r="C22" s="8">
        <f>IF(B$19=0,0,B22/B$19)</f>
        <v>0.65384615384615385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9</v>
      </c>
      <c r="C23" s="8">
        <f>IF(B$19=0,0,B23/B$19)</f>
        <v>0.34615384615384615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0.26923076923076922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10</v>
      </c>
      <c r="C25" s="8">
        <f>IF(B$19=0,0,B25/B$19)</f>
        <v>0.38461538461538464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9503.8461538461543</v>
      </c>
      <c r="C26" s="10">
        <v>247100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8989.4736842105267</v>
      </c>
      <c r="C27" s="100">
        <v>170800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10900</v>
      </c>
      <c r="C28" s="100">
        <v>76300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-10365</v>
      </c>
      <c r="C29" s="100">
        <v>-207300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0.11538461538461539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2"/>
        <v>0.23076923076923078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0.11538461538461539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0.15384615384615385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0.11538461538461539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7.6923076923076927E-2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3.8461538461538464E-2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7.6923076923076927E-2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7.6923076923076927E-2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2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6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5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1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4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6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2020-06-06T14:19:04Z</dcterms:modified>
</cp:coreProperties>
</file>