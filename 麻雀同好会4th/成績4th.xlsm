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233C4748-3642-4E37-910E-BC5F5C354706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46" r:id="rId6"/>
    <sheet name="れんたろう" sheetId="6248" r:id="rId7"/>
    <sheet name="ともき" sheetId="6250" r:id="rId8"/>
    <sheet name="だいち" sheetId="6252" r:id="rId9"/>
    <sheet name="りくと" sheetId="6254" r:id="rId10"/>
    <sheet name="まっつん" sheetId="6256" r:id="rId11"/>
    <sheet name="たかの" sheetId="6258" r:id="rId12"/>
    <sheet name="のり" sheetId="6260" r:id="rId13"/>
    <sheet name="ただ" sheetId="6262" r:id="rId14"/>
    <sheet name="ぱぱ" sheetId="6264" r:id="rId15"/>
    <sheet name="てんちゃん" sheetId="6266" r:id="rId16"/>
    <sheet name="いちかわ" sheetId="6268" r:id="rId17"/>
    <sheet name="いちかわ2" sheetId="6269" state="hidden" r:id="rId18"/>
    <sheet name="てんちゃん2" sheetId="6267" state="hidden" r:id="rId19"/>
    <sheet name="ぱぱ2" sheetId="6265" state="hidden" r:id="rId20"/>
    <sheet name="ただ2" sheetId="6263" state="hidden" r:id="rId21"/>
    <sheet name="のり2" sheetId="6261" state="hidden" r:id="rId22"/>
    <sheet name="たかの2" sheetId="6259" state="hidden" r:id="rId23"/>
    <sheet name="まっつん2" sheetId="6257" state="hidden" r:id="rId24"/>
    <sheet name="りくと2" sheetId="6255" state="hidden" r:id="rId25"/>
    <sheet name="だいち2" sheetId="6253" state="hidden" r:id="rId26"/>
    <sheet name="ともき2" sheetId="6251" state="hidden" r:id="rId27"/>
    <sheet name="れんたろう2" sheetId="6249" state="hidden" r:id="rId28"/>
    <sheet name="全体2" sheetId="6247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リーチ率" sheetId="3524" state="hidden" r:id="rId40"/>
    <sheet name="副露率" sheetId="3525" state="hidden" r:id="rId41"/>
    <sheet name="リーチ成功率" sheetId="4841" state="hidden" r:id="rId42"/>
    <sheet name="副露成功率" sheetId="3527" state="hidden" r:id="rId43"/>
    <sheet name="ツモ率" sheetId="3528" state="hidden" r:id="rId44"/>
  </sheets>
  <definedNames>
    <definedName name="アガリ数" localSheetId="3">Template1!$B$19</definedName>
    <definedName name="アガリ数" localSheetId="16">いちかわ!$B$19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15">てんちゃん!$B$19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6">いちかわ!$C$19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15">てんちゃん!$C$19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6">いちかわ!$B$25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15">てんちゃん!$B$25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6">いちかわ!$C$25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15">てんちゃん!$C$25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6">いちかわ!$B$34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15">てんちゃん!$B$34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6">いちかわ!$C$34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15">てんちゃん!$C$34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6">いちかわ!$B$21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15">てんちゃん!$B$21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6">いちかわ!$C$21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15">てんちゃん!$C$21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6">いちかわ!$B$7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15">てんちゃん!$B$7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6">いちかわ!$C$7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15">てんちゃん!$C$7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16">いちかわ!$B$13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15">てんちゃん!$B$13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6">いちかわ!$B$14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15">てんちゃん!$B$14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6">いちかわ!$C$14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15">てんちゃん!$C$14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6">いちかわ!$B$9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15">てんちゃん!$B$9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6">いちかわ!$C$9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15">てんちゃん!$C$9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6">いちかわ!$B$23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15">てんちゃん!$B$23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6">いちかわ!$C$23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15">てんちゃん!$C$23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6">いちかわ!$B$15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15">てんちゃん!$B$15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6">いちかわ!$B$17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15">てんちゃん!$B$17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6">いちかわ!$C$17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15">てんちゃん!$C$17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6">いちかわ!$C$15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15">てんちゃん!$C$15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6">いちかわ!$B$22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15">てんちゃん!$B$22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6">いちかわ!$C$22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15">てんちゃん!$C$22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16">いちかわ!$B$10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15">てんちゃん!$B$10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16">いちかわ!$C$10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15">てんちゃん!$C$10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16">いちかわ!$B$36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15">てんちゃん!$B$36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16">いちかわ!$C$36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15">てんちゃん!$C$36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6">いちかわ!$C$30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15">てんちゃん!$C$30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6">いちかわ!$C$31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15">てんちゃん!$C$31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6">いちかわ!$B$33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15">てんちゃん!$B$33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6">いちかわ!$B$32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15">てんちゃん!$B$32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6">いちかわ!$B$33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15">てんちゃん!$B$33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16">いちかわ!$B$12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15">てんちゃん!$B$12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16">いちかわ!$C$12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15">てんちゃん!$C$12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6">いちかわ!$B$3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15">てんちゃん!$B$3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6">いちかわ!$B$2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15">てんちゃん!$B$2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6">いちかわ!$C$26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15">てんちゃん!$C$26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6">いちかわ!$B$4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15">てんちゃん!$B$4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6">いちかわ!$C$28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15">てんちゃん!$C$28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6">いちかわ!$C$29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15">てんちゃん!$C$29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6">いちかわ!$C$27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15">てんちゃん!$C$27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16">いちかわ!$B$11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15">てんちゃん!$B$11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6">いちかわ!$B$8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15">てんちゃん!$B$8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16">いちかわ!$C$11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15">てんちゃん!$C$11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6">いちかわ!$C$8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15">てんちゃん!$C$8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6">いちかわ!$B$24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15">てんちゃん!$B$24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6">いちかわ!$B$28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15">てんちゃん!$B$28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6">いちかわ!$C$24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15">てんちゃん!$C$24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6">いちかわ!$B$16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15">てんちゃん!$B$16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6">いちかわ!$B$18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15">てんちゃん!$B$18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6">いちかわ!$C$18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15">てんちゃん!$C$18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6">いちかわ!$C$16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15">てんちゃん!$C$16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6">いちかわ!$B$26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15">てんちゃん!$B$26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6">いちかわ!$B$5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15">てんちゃん!$B$5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6">いちかわ!$B$6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15">てんちゃん!$B$6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6">いちかわ!$B$29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15">てんちゃん!$B$29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6">いちかわ!$B$20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15">てんちゃん!$B$20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6">いちかわ!$C$20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15">てんちゃん!$C$20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6">いちかわ!$B$1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15">てんちゃん!$B$1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6">いちかわ!$B$27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15">てんちゃん!$B$27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6">いちかわ!$B$30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15">てんちゃん!$B$30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6">いちかわ!$B$31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15">てんちゃん!$B$31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6" i="6268" l="1"/>
  <c r="O15" i="6268"/>
  <c r="C34" i="6268"/>
  <c r="B29" i="6268"/>
  <c r="C20" i="6268"/>
  <c r="B19" i="6268"/>
  <c r="H50" i="6268" s="1"/>
  <c r="B18" i="6268"/>
  <c r="B28" i="6268" s="1"/>
  <c r="B17" i="6268"/>
  <c r="C17" i="6268" s="1"/>
  <c r="C16" i="6268"/>
  <c r="C15" i="6268"/>
  <c r="C14" i="6268"/>
  <c r="O12" i="6268"/>
  <c r="B12" i="6268"/>
  <c r="O11" i="6268"/>
  <c r="B11" i="6268"/>
  <c r="O10" i="6268"/>
  <c r="B10" i="6268"/>
  <c r="B13" i="6268" s="1"/>
  <c r="C9" i="6268"/>
  <c r="C8" i="6268"/>
  <c r="O7" i="6268"/>
  <c r="C7" i="6268"/>
  <c r="O6" i="6268"/>
  <c r="B6" i="6268"/>
  <c r="O5" i="6268"/>
  <c r="B5" i="6268"/>
  <c r="O4" i="6268"/>
  <c r="O3" i="6268"/>
  <c r="O2" i="6268"/>
  <c r="O18" i="6258"/>
  <c r="O21" i="6248"/>
  <c r="O20" i="6246"/>
  <c r="H11" i="6268" l="1"/>
  <c r="C18" i="6268"/>
  <c r="C19" i="6268"/>
  <c r="H6" i="6268"/>
  <c r="H19" i="6268"/>
  <c r="H3" i="6268"/>
  <c r="H17" i="6268"/>
  <c r="H15" i="6268"/>
  <c r="H20" i="6268"/>
  <c r="H8" i="6268"/>
  <c r="C21" i="6268"/>
  <c r="H26" i="6268"/>
  <c r="B26" i="6268"/>
  <c r="H31" i="6268"/>
  <c r="H36" i="6268"/>
  <c r="C38" i="6268"/>
  <c r="H41" i="6268"/>
  <c r="H44" i="6268"/>
  <c r="C46" i="6268"/>
  <c r="H49" i="6268"/>
  <c r="H24" i="6268"/>
  <c r="H13" i="6268"/>
  <c r="C36" i="6268"/>
  <c r="C44" i="6268"/>
  <c r="H47" i="6268"/>
  <c r="H14" i="6268"/>
  <c r="C22" i="6268"/>
  <c r="H34" i="6268"/>
  <c r="H37" i="6268"/>
  <c r="H40" i="6268"/>
  <c r="C42" i="6268"/>
  <c r="H45" i="6268"/>
  <c r="H48" i="6268"/>
  <c r="H4" i="6268"/>
  <c r="C24" i="6268"/>
  <c r="H33" i="6268"/>
  <c r="H39" i="6268"/>
  <c r="H42" i="6268"/>
  <c r="H51" i="6268"/>
  <c r="H5" i="6268"/>
  <c r="H22" i="6268"/>
  <c r="C25" i="6268"/>
  <c r="H2" i="6268"/>
  <c r="H9" i="6268"/>
  <c r="H10" i="6268"/>
  <c r="H7" i="6268"/>
  <c r="H16" i="6268"/>
  <c r="H18" i="6268"/>
  <c r="H21" i="6268"/>
  <c r="C23" i="6268"/>
  <c r="H27" i="6268"/>
  <c r="H30" i="6268"/>
  <c r="H38" i="6268"/>
  <c r="C40" i="6268"/>
  <c r="H43" i="6268"/>
  <c r="H46" i="6268"/>
  <c r="C48" i="6268"/>
  <c r="H52" i="6268"/>
  <c r="B27" i="6268"/>
  <c r="H23" i="6268"/>
  <c r="H25" i="6268"/>
  <c r="H12" i="6268"/>
  <c r="H28" i="6268"/>
  <c r="H29" i="6268"/>
  <c r="H32" i="6268"/>
  <c r="H35" i="6268"/>
  <c r="C37" i="6268"/>
  <c r="C39" i="6268"/>
  <c r="C41" i="6268"/>
  <c r="C43" i="6268"/>
  <c r="C45" i="6268"/>
  <c r="C47" i="6268"/>
  <c r="O18" i="6266" l="1"/>
  <c r="O15" i="6256"/>
  <c r="O16" i="6266" l="1"/>
  <c r="O16" i="6254"/>
  <c r="O15" i="6266"/>
  <c r="O17" i="6266"/>
  <c r="C39" i="6266"/>
  <c r="C34" i="6266"/>
  <c r="B29" i="6266"/>
  <c r="C20" i="6266"/>
  <c r="B19" i="6266"/>
  <c r="H50" i="6266" s="1"/>
  <c r="B18" i="6266"/>
  <c r="B28" i="6266" s="1"/>
  <c r="B17" i="6266"/>
  <c r="C17" i="6266" s="1"/>
  <c r="C16" i="6266"/>
  <c r="C15" i="6266"/>
  <c r="C14" i="6266"/>
  <c r="O12" i="6266"/>
  <c r="B12" i="6266"/>
  <c r="O11" i="6266"/>
  <c r="B11" i="6266"/>
  <c r="O10" i="6266"/>
  <c r="B10" i="6266"/>
  <c r="C9" i="6266"/>
  <c r="C8" i="6266"/>
  <c r="O7" i="6266"/>
  <c r="C7" i="6266"/>
  <c r="O6" i="6266"/>
  <c r="B6" i="6266"/>
  <c r="O5" i="6266"/>
  <c r="B5" i="6266"/>
  <c r="O4" i="6266"/>
  <c r="O3" i="6266"/>
  <c r="O2" i="6266"/>
  <c r="O17" i="6262"/>
  <c r="O15" i="6252"/>
  <c r="O15" i="6246"/>
  <c r="B26" i="6266" l="1"/>
  <c r="H19" i="6266"/>
  <c r="H4" i="6266"/>
  <c r="H21" i="6266"/>
  <c r="H7" i="6266"/>
  <c r="C42" i="6266"/>
  <c r="H43" i="6266"/>
  <c r="H13" i="6266"/>
  <c r="H44" i="6266"/>
  <c r="H8" i="6266"/>
  <c r="C36" i="6266"/>
  <c r="C21" i="6266"/>
  <c r="C46" i="6266"/>
  <c r="H10" i="6266"/>
  <c r="H22" i="6266"/>
  <c r="C22" i="6266"/>
  <c r="H37" i="6266"/>
  <c r="H16" i="6266"/>
  <c r="H9" i="6266"/>
  <c r="H30" i="6266"/>
  <c r="H31" i="6266"/>
  <c r="H11" i="6266"/>
  <c r="H2" i="6266"/>
  <c r="H15" i="6266"/>
  <c r="C24" i="6266"/>
  <c r="H38" i="6266"/>
  <c r="H47" i="6266"/>
  <c r="B27" i="6266"/>
  <c r="C38" i="6266"/>
  <c r="H17" i="6266"/>
  <c r="H39" i="6266"/>
  <c r="B13" i="6266"/>
  <c r="C18" i="6266"/>
  <c r="H33" i="6266"/>
  <c r="H48" i="6266"/>
  <c r="H25" i="6266"/>
  <c r="H20" i="6266"/>
  <c r="H34" i="6266"/>
  <c r="H41" i="6266"/>
  <c r="C48" i="6266"/>
  <c r="C25" i="6266"/>
  <c r="H6" i="6266"/>
  <c r="H3" i="6266"/>
  <c r="H12" i="6266"/>
  <c r="H14" i="6266"/>
  <c r="H26" i="6266"/>
  <c r="H42" i="6266"/>
  <c r="H49" i="6266"/>
  <c r="C44" i="6266"/>
  <c r="H51" i="6266"/>
  <c r="C23" i="6266"/>
  <c r="H28" i="6266"/>
  <c r="H35" i="6266"/>
  <c r="H40" i="6266"/>
  <c r="H45" i="6266"/>
  <c r="H5" i="6266"/>
  <c r="H18" i="6266"/>
  <c r="C19" i="6266"/>
  <c r="H24" i="6266"/>
  <c r="H29" i="6266"/>
  <c r="H36" i="6266"/>
  <c r="C40" i="6266"/>
  <c r="H46" i="6266"/>
  <c r="H52" i="6266"/>
  <c r="C43" i="6266"/>
  <c r="C47" i="6266"/>
  <c r="H23" i="6266"/>
  <c r="H27" i="6266"/>
  <c r="H32" i="6266"/>
  <c r="C37" i="6266"/>
  <c r="C41" i="6266"/>
  <c r="C45" i="6266"/>
  <c r="O15" i="6258"/>
  <c r="O20" i="6262"/>
  <c r="O20" i="6248" l="1"/>
  <c r="O17" i="6260"/>
  <c r="O15" i="6264" l="1"/>
  <c r="O16" i="6264"/>
  <c r="C34" i="6264"/>
  <c r="B29" i="6264"/>
  <c r="C20" i="6264"/>
  <c r="B19" i="6264"/>
  <c r="H7" i="6264" s="1"/>
  <c r="B18" i="6264"/>
  <c r="C18" i="6264" s="1"/>
  <c r="B17" i="6264"/>
  <c r="C17" i="6264" s="1"/>
  <c r="C16" i="6264"/>
  <c r="C15" i="6264"/>
  <c r="C14" i="6264"/>
  <c r="O12" i="6264"/>
  <c r="B12" i="6264"/>
  <c r="O11" i="6264"/>
  <c r="B11" i="6264"/>
  <c r="O10" i="6264"/>
  <c r="B10" i="6264"/>
  <c r="C9" i="6264"/>
  <c r="C8" i="6264"/>
  <c r="O7" i="6264"/>
  <c r="C7" i="6264"/>
  <c r="O6" i="6264"/>
  <c r="B6" i="6264"/>
  <c r="O5" i="6264"/>
  <c r="B5" i="6264"/>
  <c r="O4" i="6264"/>
  <c r="O3" i="6264"/>
  <c r="O2" i="6264"/>
  <c r="O22" i="6252"/>
  <c r="O16" i="6248"/>
  <c r="O18" i="6246"/>
  <c r="B13" i="6264" l="1"/>
  <c r="H5" i="6264"/>
  <c r="H10" i="6264"/>
  <c r="H36" i="6264"/>
  <c r="H2" i="6264"/>
  <c r="H6" i="6264"/>
  <c r="H9" i="6264"/>
  <c r="H17" i="6264"/>
  <c r="H19" i="6264"/>
  <c r="H12" i="6264"/>
  <c r="B27" i="6264"/>
  <c r="C19" i="6264"/>
  <c r="H38" i="6264"/>
  <c r="H11" i="6264"/>
  <c r="C24" i="6264"/>
  <c r="H4" i="6264"/>
  <c r="H15" i="6264"/>
  <c r="H33" i="6264"/>
  <c r="H44" i="6264"/>
  <c r="H8" i="6264"/>
  <c r="H18" i="6264"/>
  <c r="H20" i="6264"/>
  <c r="H21" i="6264"/>
  <c r="C21" i="6264"/>
  <c r="H3" i="6264"/>
  <c r="H16" i="6264"/>
  <c r="C25" i="6264"/>
  <c r="H40" i="6264"/>
  <c r="C23" i="6264"/>
  <c r="H31" i="6264"/>
  <c r="H37" i="6264"/>
  <c r="H48" i="6264"/>
  <c r="H41" i="6264"/>
  <c r="H45" i="6264"/>
  <c r="H49" i="6264"/>
  <c r="H42" i="6264"/>
  <c r="H46" i="6264"/>
  <c r="H51" i="6264"/>
  <c r="C22" i="6264"/>
  <c r="B26" i="6264"/>
  <c r="H39" i="6264"/>
  <c r="H43" i="6264"/>
  <c r="H47" i="6264"/>
  <c r="H52" i="6264"/>
  <c r="B28" i="6264"/>
  <c r="H23" i="6264"/>
  <c r="H25" i="6264"/>
  <c r="H13" i="6264"/>
  <c r="H28" i="6264"/>
  <c r="H29" i="6264"/>
  <c r="H32" i="6264"/>
  <c r="H35" i="6264"/>
  <c r="C37" i="6264"/>
  <c r="C39" i="6264"/>
  <c r="C41" i="6264"/>
  <c r="C43" i="6264"/>
  <c r="C45" i="6264"/>
  <c r="C47" i="6264"/>
  <c r="H50" i="6264"/>
  <c r="H22" i="6264"/>
  <c r="H24" i="6264"/>
  <c r="H26" i="6264"/>
  <c r="H27" i="6264"/>
  <c r="H14" i="6264"/>
  <c r="H30" i="6264"/>
  <c r="H34" i="6264"/>
  <c r="C36" i="6264"/>
  <c r="C38" i="6264"/>
  <c r="C40" i="6264"/>
  <c r="C42" i="6264"/>
  <c r="C44" i="6264"/>
  <c r="C46" i="6264"/>
  <c r="C48" i="6264"/>
  <c r="O17" i="6254" l="1"/>
  <c r="O16" i="6262"/>
  <c r="O16" i="6250"/>
  <c r="O20" i="6258"/>
  <c r="O21" i="6262" l="1"/>
  <c r="O15" i="6250"/>
  <c r="O18" i="6262"/>
  <c r="O17" i="6248"/>
  <c r="O16" i="6256" l="1"/>
  <c r="O17" i="6250"/>
  <c r="O21" i="6252"/>
  <c r="O19" i="6256"/>
  <c r="O19" i="6246"/>
  <c r="O19" i="6262"/>
  <c r="O15" i="6262"/>
  <c r="C34" i="6262"/>
  <c r="B29" i="6262"/>
  <c r="C20" i="6262"/>
  <c r="B19" i="6262"/>
  <c r="H4" i="6262" s="1"/>
  <c r="B18" i="6262"/>
  <c r="C18" i="6262" s="1"/>
  <c r="B17" i="6262"/>
  <c r="C17" i="6262" s="1"/>
  <c r="C16" i="6262"/>
  <c r="C15" i="6262"/>
  <c r="C14" i="6262"/>
  <c r="O12" i="6262"/>
  <c r="B12" i="6262"/>
  <c r="O11" i="6262"/>
  <c r="B11" i="6262"/>
  <c r="O10" i="6262"/>
  <c r="B10" i="6262"/>
  <c r="C9" i="6262"/>
  <c r="C8" i="6262"/>
  <c r="O7" i="6262"/>
  <c r="C7" i="6262"/>
  <c r="O6" i="6262"/>
  <c r="B6" i="6262"/>
  <c r="O5" i="6262"/>
  <c r="B5" i="6262"/>
  <c r="O4" i="6262"/>
  <c r="O3" i="6262"/>
  <c r="O2" i="6262"/>
  <c r="B13" i="6262" l="1"/>
  <c r="H23" i="6262"/>
  <c r="H9" i="6262"/>
  <c r="C22" i="6262"/>
  <c r="B26" i="6262"/>
  <c r="H39" i="6262"/>
  <c r="H43" i="6262"/>
  <c r="H47" i="6262"/>
  <c r="H52" i="6262"/>
  <c r="H11" i="6262"/>
  <c r="H6" i="6262"/>
  <c r="H12" i="6262"/>
  <c r="H20" i="6262"/>
  <c r="H21" i="6262"/>
  <c r="H14" i="6262"/>
  <c r="B27" i="6262"/>
  <c r="C19" i="6262"/>
  <c r="C23" i="6262"/>
  <c r="H36" i="6262"/>
  <c r="H40" i="6262"/>
  <c r="H44" i="6262"/>
  <c r="H48" i="6262"/>
  <c r="H7" i="6262"/>
  <c r="H19" i="6262"/>
  <c r="C24" i="6262"/>
  <c r="H18" i="6262"/>
  <c r="H37" i="6262"/>
  <c r="H41" i="6262"/>
  <c r="H45" i="6262"/>
  <c r="H49" i="6262"/>
  <c r="H5" i="6262"/>
  <c r="H2" i="6262"/>
  <c r="H10" i="6262"/>
  <c r="H3" i="6262"/>
  <c r="H17" i="6262"/>
  <c r="H22" i="6262"/>
  <c r="H24" i="6262"/>
  <c r="C21" i="6262"/>
  <c r="C25" i="6262"/>
  <c r="H33" i="6262"/>
  <c r="H38" i="6262"/>
  <c r="H42" i="6262"/>
  <c r="H46" i="6262"/>
  <c r="H51" i="6262"/>
  <c r="B28" i="6262"/>
  <c r="H25" i="6262"/>
  <c r="H26" i="6262"/>
  <c r="H13" i="6262"/>
  <c r="H29" i="6262"/>
  <c r="H30" i="6262"/>
  <c r="H32" i="6262"/>
  <c r="H35" i="6262"/>
  <c r="C37" i="6262"/>
  <c r="C39" i="6262"/>
  <c r="C41" i="6262"/>
  <c r="C43" i="6262"/>
  <c r="C45" i="6262"/>
  <c r="C47" i="6262"/>
  <c r="H50" i="6262"/>
  <c r="H16" i="6262"/>
  <c r="H15" i="6262"/>
  <c r="H27" i="6262"/>
  <c r="H28" i="6262"/>
  <c r="H8" i="6262"/>
  <c r="H31" i="6262"/>
  <c r="H34" i="6262"/>
  <c r="C36" i="6262"/>
  <c r="C38" i="6262"/>
  <c r="C40" i="6262"/>
  <c r="C42" i="6262"/>
  <c r="C44" i="6262"/>
  <c r="C46" i="6262"/>
  <c r="C48" i="6262"/>
  <c r="O20" i="6252" l="1"/>
  <c r="O22" i="6258"/>
  <c r="O22" i="6248"/>
  <c r="O19" i="6258"/>
  <c r="O19" i="6252" l="1"/>
  <c r="O19" i="6254"/>
  <c r="O23" i="6248"/>
  <c r="O18" i="6248"/>
  <c r="O15" i="6254"/>
  <c r="O20" i="6256"/>
  <c r="O16" i="6260" l="1"/>
  <c r="O19" i="6260"/>
  <c r="O22" i="6256"/>
  <c r="O21" i="6256"/>
  <c r="O16" i="6252"/>
  <c r="O18" i="6252"/>
  <c r="O17" i="6258"/>
  <c r="O15" i="6260"/>
  <c r="O18" i="6260"/>
  <c r="C34" i="6260"/>
  <c r="B29" i="6260"/>
  <c r="C20" i="6260"/>
  <c r="B19" i="6260"/>
  <c r="H4" i="6260" s="1"/>
  <c r="B18" i="6260"/>
  <c r="C18" i="6260" s="1"/>
  <c r="B17" i="6260"/>
  <c r="C17" i="6260" s="1"/>
  <c r="C16" i="6260"/>
  <c r="C15" i="6260"/>
  <c r="C14" i="6260"/>
  <c r="O12" i="6260"/>
  <c r="B12" i="6260"/>
  <c r="O11" i="6260"/>
  <c r="B11" i="6260"/>
  <c r="O10" i="6260"/>
  <c r="B10" i="6260"/>
  <c r="C9" i="6260"/>
  <c r="C8" i="6260"/>
  <c r="O7" i="6260"/>
  <c r="C7" i="6260"/>
  <c r="O6" i="6260"/>
  <c r="B6" i="6260"/>
  <c r="O5" i="6260"/>
  <c r="B5" i="6260"/>
  <c r="O4" i="6260"/>
  <c r="O3" i="6260"/>
  <c r="O2" i="6260"/>
  <c r="O20" i="6254"/>
  <c r="O21" i="6246"/>
  <c r="O21" i="6258"/>
  <c r="O16" i="6258"/>
  <c r="C34" i="6258"/>
  <c r="B29" i="6258"/>
  <c r="C20" i="6258"/>
  <c r="B19" i="6258"/>
  <c r="H52" i="6258" s="1"/>
  <c r="B18" i="6258"/>
  <c r="B28" i="6258" s="1"/>
  <c r="B17" i="6258"/>
  <c r="C17" i="6258" s="1"/>
  <c r="C16" i="6258"/>
  <c r="C15" i="6258"/>
  <c r="C14" i="6258"/>
  <c r="O12" i="6258"/>
  <c r="B12" i="6258"/>
  <c r="O11" i="6258"/>
  <c r="B11" i="6258"/>
  <c r="O10" i="6258"/>
  <c r="B10" i="6258"/>
  <c r="C9" i="6258"/>
  <c r="C8" i="6258"/>
  <c r="O7" i="6258"/>
  <c r="C7" i="6258"/>
  <c r="O6" i="6258"/>
  <c r="B6" i="6258"/>
  <c r="O5" i="6258"/>
  <c r="B5" i="6258"/>
  <c r="O4" i="6258"/>
  <c r="O3" i="6258"/>
  <c r="O2" i="6258"/>
  <c r="O18" i="6256"/>
  <c r="O17" i="6256"/>
  <c r="C34" i="6256"/>
  <c r="B29" i="6256"/>
  <c r="C20" i="6256"/>
  <c r="B19" i="6256"/>
  <c r="H52" i="6256" s="1"/>
  <c r="B18" i="6256"/>
  <c r="B28" i="6256" s="1"/>
  <c r="B17" i="6256"/>
  <c r="C17" i="6256" s="1"/>
  <c r="C16" i="6256"/>
  <c r="C15" i="6256"/>
  <c r="C14" i="6256"/>
  <c r="O12" i="6256"/>
  <c r="B12" i="6256"/>
  <c r="O11" i="6256"/>
  <c r="B11" i="6256"/>
  <c r="O10" i="6256"/>
  <c r="B10" i="6256"/>
  <c r="C9" i="6256"/>
  <c r="C8" i="6256"/>
  <c r="O7" i="6256"/>
  <c r="C7" i="6256"/>
  <c r="O6" i="6256"/>
  <c r="B6" i="6256"/>
  <c r="O5" i="6256"/>
  <c r="B5" i="6256"/>
  <c r="O4" i="6256"/>
  <c r="O3" i="6256"/>
  <c r="O2" i="6256"/>
  <c r="O17" i="6246"/>
  <c r="O21" i="6254"/>
  <c r="O18" i="6254"/>
  <c r="C34" i="6254"/>
  <c r="B29" i="6254"/>
  <c r="C20" i="6254"/>
  <c r="B19" i="6254"/>
  <c r="H52" i="6254" s="1"/>
  <c r="B18" i="6254"/>
  <c r="B28" i="6254" s="1"/>
  <c r="B17" i="6254"/>
  <c r="C17" i="6254" s="1"/>
  <c r="C16" i="6254"/>
  <c r="C15" i="6254"/>
  <c r="C14" i="6254"/>
  <c r="O12" i="6254"/>
  <c r="B12" i="6254"/>
  <c r="O11" i="6254"/>
  <c r="B11" i="6254"/>
  <c r="O10" i="6254"/>
  <c r="B10" i="6254"/>
  <c r="C9" i="6254"/>
  <c r="C8" i="6254"/>
  <c r="O7" i="6254"/>
  <c r="C7" i="6254"/>
  <c r="O6" i="6254"/>
  <c r="B6" i="6254"/>
  <c r="O5" i="6254"/>
  <c r="B5" i="6254"/>
  <c r="O4" i="6254"/>
  <c r="O3" i="6254"/>
  <c r="O2" i="6254"/>
  <c r="O24" i="6246"/>
  <c r="O22" i="6246"/>
  <c r="O17" i="6252"/>
  <c r="O23" i="6252"/>
  <c r="C34" i="6252"/>
  <c r="B29" i="6252"/>
  <c r="C20" i="6252"/>
  <c r="B19" i="6252"/>
  <c r="H5" i="6252" s="1"/>
  <c r="B18" i="6252"/>
  <c r="C18" i="6252" s="1"/>
  <c r="B17" i="6252"/>
  <c r="C17" i="6252" s="1"/>
  <c r="C16" i="6252"/>
  <c r="C15" i="6252"/>
  <c r="C14" i="6252"/>
  <c r="O12" i="6252"/>
  <c r="B12" i="6252"/>
  <c r="O11" i="6252"/>
  <c r="B11" i="6252"/>
  <c r="O10" i="6252"/>
  <c r="B10" i="6252"/>
  <c r="C9" i="6252"/>
  <c r="C8" i="6252"/>
  <c r="O7" i="6252"/>
  <c r="C7" i="6252"/>
  <c r="O6" i="6252"/>
  <c r="B6" i="6252"/>
  <c r="O5" i="6252"/>
  <c r="B5" i="6252"/>
  <c r="O4" i="6252"/>
  <c r="O3" i="6252"/>
  <c r="O2" i="6252"/>
  <c r="O18" i="6250"/>
  <c r="O19" i="6250"/>
  <c r="C34" i="6250"/>
  <c r="B29" i="6250"/>
  <c r="C20" i="6250"/>
  <c r="B19" i="6250"/>
  <c r="H5" i="6250" s="1"/>
  <c r="B18" i="6250"/>
  <c r="C18" i="6250" s="1"/>
  <c r="B17" i="6250"/>
  <c r="C17" i="6250" s="1"/>
  <c r="C16" i="6250"/>
  <c r="C15" i="6250"/>
  <c r="C14" i="6250"/>
  <c r="O12" i="6250"/>
  <c r="B12" i="6250"/>
  <c r="O11" i="6250"/>
  <c r="B11" i="6250"/>
  <c r="O10" i="6250"/>
  <c r="B10" i="6250"/>
  <c r="C9" i="6250"/>
  <c r="C8" i="6250"/>
  <c r="O7" i="6250"/>
  <c r="C7" i="6250"/>
  <c r="O6" i="6250"/>
  <c r="B6" i="6250"/>
  <c r="O5" i="6250"/>
  <c r="B5" i="6250"/>
  <c r="O4" i="6250"/>
  <c r="O3" i="6250"/>
  <c r="O2" i="6250"/>
  <c r="O23" i="6246"/>
  <c r="O19" i="6248"/>
  <c r="O15" i="6248"/>
  <c r="C34" i="6248"/>
  <c r="B29" i="6248"/>
  <c r="C20" i="6248"/>
  <c r="B19" i="6248"/>
  <c r="H5" i="6248" s="1"/>
  <c r="B18" i="6248"/>
  <c r="C18" i="6248" s="1"/>
  <c r="B17" i="6248"/>
  <c r="C17" i="6248" s="1"/>
  <c r="C16" i="6248"/>
  <c r="C15" i="6248"/>
  <c r="C14" i="6248"/>
  <c r="O12" i="6248"/>
  <c r="B12" i="6248"/>
  <c r="O11" i="6248"/>
  <c r="B11" i="6248"/>
  <c r="O10" i="6248"/>
  <c r="B10" i="6248"/>
  <c r="C9" i="6248"/>
  <c r="C8" i="6248"/>
  <c r="O7" i="6248"/>
  <c r="C7" i="6248"/>
  <c r="O6" i="6248"/>
  <c r="B6" i="6248"/>
  <c r="O5" i="6248"/>
  <c r="B5" i="6248"/>
  <c r="O4" i="6248"/>
  <c r="O3" i="6248"/>
  <c r="O2" i="6248"/>
  <c r="O25" i="6246"/>
  <c r="O16" i="6246"/>
  <c r="C34" i="6246"/>
  <c r="B29" i="6246"/>
  <c r="C20" i="6246"/>
  <c r="B19" i="6246"/>
  <c r="H5" i="6246" s="1"/>
  <c r="B18" i="6246"/>
  <c r="C18" i="6246" s="1"/>
  <c r="B17" i="6246"/>
  <c r="C17" i="6246" s="1"/>
  <c r="C16" i="6246"/>
  <c r="C15" i="6246"/>
  <c r="C14" i="6246"/>
  <c r="O12" i="6246"/>
  <c r="B12" i="6246"/>
  <c r="O11" i="6246"/>
  <c r="B11" i="6246"/>
  <c r="O10" i="6246"/>
  <c r="B10" i="6246"/>
  <c r="C9" i="6246"/>
  <c r="C8" i="6246"/>
  <c r="O7" i="6246"/>
  <c r="C7" i="6246"/>
  <c r="O6" i="6246"/>
  <c r="B6" i="6246"/>
  <c r="O5" i="6246"/>
  <c r="B5" i="6246"/>
  <c r="O4" i="6246"/>
  <c r="O3" i="6246"/>
  <c r="O2" i="6246"/>
  <c r="H2" i="6260" l="1"/>
  <c r="H17" i="6260"/>
  <c r="B13" i="6258"/>
  <c r="B13" i="6250"/>
  <c r="H8" i="6258"/>
  <c r="B13" i="6248"/>
  <c r="C18" i="6256"/>
  <c r="H9" i="6254"/>
  <c r="H4" i="6254"/>
  <c r="H7" i="6254"/>
  <c r="H16" i="6254"/>
  <c r="C18" i="6254"/>
  <c r="H3" i="6254"/>
  <c r="H24" i="6254"/>
  <c r="H2" i="6254"/>
  <c r="H10" i="6254"/>
  <c r="H22" i="6254"/>
  <c r="B13" i="6254"/>
  <c r="C25" i="6254"/>
  <c r="H25" i="6254"/>
  <c r="C19" i="6254"/>
  <c r="H12" i="6254"/>
  <c r="H6" i="6254"/>
  <c r="H13" i="6254"/>
  <c r="H21" i="6254"/>
  <c r="H23" i="6254"/>
  <c r="H14" i="6254"/>
  <c r="C21" i="6254"/>
  <c r="C23" i="6254"/>
  <c r="H18" i="6248"/>
  <c r="H8" i="6248"/>
  <c r="H7" i="6250"/>
  <c r="H10" i="6250"/>
  <c r="H20" i="6250"/>
  <c r="B13" i="6252"/>
  <c r="H21" i="6260"/>
  <c r="H14" i="6260"/>
  <c r="H48" i="6260"/>
  <c r="C21" i="6260"/>
  <c r="H36" i="6260"/>
  <c r="H7" i="6260"/>
  <c r="H15" i="6260"/>
  <c r="H16" i="6260"/>
  <c r="H18" i="6260"/>
  <c r="H19" i="6260"/>
  <c r="B27" i="6260"/>
  <c r="C19" i="6260"/>
  <c r="H40" i="6260"/>
  <c r="H6" i="6260"/>
  <c r="H20" i="6260"/>
  <c r="C25" i="6260"/>
  <c r="H3" i="6260"/>
  <c r="H12" i="6260"/>
  <c r="H33" i="6260"/>
  <c r="H44" i="6260"/>
  <c r="B13" i="6256"/>
  <c r="H9" i="6256"/>
  <c r="H20" i="6256"/>
  <c r="B13" i="6260"/>
  <c r="C23" i="6260"/>
  <c r="H42" i="6260"/>
  <c r="H51" i="6260"/>
  <c r="H9" i="6260"/>
  <c r="H5" i="6260"/>
  <c r="H8" i="6260"/>
  <c r="H38" i="6260"/>
  <c r="H46" i="6260"/>
  <c r="C22" i="6260"/>
  <c r="B26" i="6260"/>
  <c r="H39" i="6260"/>
  <c r="H43" i="6260"/>
  <c r="H47" i="6260"/>
  <c r="H52" i="6260"/>
  <c r="H13" i="6260"/>
  <c r="C24" i="6260"/>
  <c r="H31" i="6260"/>
  <c r="H37" i="6260"/>
  <c r="H41" i="6260"/>
  <c r="H45" i="6260"/>
  <c r="H49" i="6260"/>
  <c r="H17" i="6252"/>
  <c r="B28" i="6260"/>
  <c r="H23" i="6260"/>
  <c r="H25" i="6260"/>
  <c r="H10" i="6260"/>
  <c r="H28" i="6260"/>
  <c r="H29" i="6260"/>
  <c r="H32" i="6260"/>
  <c r="H35" i="6260"/>
  <c r="C37" i="6260"/>
  <c r="C39" i="6260"/>
  <c r="C41" i="6260"/>
  <c r="C43" i="6260"/>
  <c r="C45" i="6260"/>
  <c r="C47" i="6260"/>
  <c r="H50" i="6260"/>
  <c r="H22" i="6260"/>
  <c r="H24" i="6260"/>
  <c r="H26" i="6260"/>
  <c r="H27" i="6260"/>
  <c r="H11" i="6260"/>
  <c r="H30" i="6260"/>
  <c r="H34" i="6260"/>
  <c r="C36" i="6260"/>
  <c r="C38" i="6260"/>
  <c r="C40" i="6260"/>
  <c r="C42" i="6260"/>
  <c r="C44" i="6260"/>
  <c r="C46" i="6260"/>
  <c r="C48" i="6260"/>
  <c r="H6" i="6258"/>
  <c r="H17" i="6258"/>
  <c r="H11" i="6258"/>
  <c r="H22" i="6258"/>
  <c r="H27" i="6258"/>
  <c r="C18" i="6258"/>
  <c r="H13" i="6258"/>
  <c r="H21" i="6258"/>
  <c r="H18" i="6258"/>
  <c r="H7" i="6258"/>
  <c r="H25" i="6258"/>
  <c r="H26" i="6258"/>
  <c r="H15" i="6258"/>
  <c r="C19" i="6258"/>
  <c r="H5" i="6258"/>
  <c r="H3" i="6258"/>
  <c r="H14" i="6258"/>
  <c r="H2" i="6258"/>
  <c r="H28" i="6258"/>
  <c r="H29" i="6258"/>
  <c r="H16" i="6258"/>
  <c r="H20" i="6258"/>
  <c r="H31" i="6258"/>
  <c r="H33" i="6258"/>
  <c r="H36" i="6258"/>
  <c r="C37" i="6258"/>
  <c r="C39" i="6258"/>
  <c r="C41" i="6258"/>
  <c r="C43" i="6258"/>
  <c r="C45" i="6258"/>
  <c r="C47" i="6258"/>
  <c r="H50" i="6258"/>
  <c r="C21" i="6258"/>
  <c r="C23" i="6258"/>
  <c r="C25" i="6258"/>
  <c r="B27" i="6258"/>
  <c r="H34" i="6258"/>
  <c r="H37" i="6258"/>
  <c r="H39" i="6258"/>
  <c r="H41" i="6258"/>
  <c r="H42" i="6258"/>
  <c r="H44" i="6258"/>
  <c r="H46" i="6258"/>
  <c r="H48" i="6258"/>
  <c r="H51" i="6258"/>
  <c r="H12" i="6258"/>
  <c r="H10" i="6258"/>
  <c r="H19" i="6258"/>
  <c r="H30" i="6258"/>
  <c r="H9" i="6258"/>
  <c r="H23" i="6258"/>
  <c r="H35" i="6258"/>
  <c r="C36" i="6258"/>
  <c r="C38" i="6258"/>
  <c r="C40" i="6258"/>
  <c r="C42" i="6258"/>
  <c r="C44" i="6258"/>
  <c r="C46" i="6258"/>
  <c r="C48" i="6258"/>
  <c r="H4" i="6258"/>
  <c r="C22" i="6258"/>
  <c r="C24" i="6258"/>
  <c r="B26" i="6258"/>
  <c r="H32" i="6258"/>
  <c r="H38" i="6258"/>
  <c r="H40" i="6258"/>
  <c r="H24" i="6258"/>
  <c r="H43" i="6258"/>
  <c r="H45" i="6258"/>
  <c r="H47" i="6258"/>
  <c r="H49" i="6258"/>
  <c r="H10" i="6256"/>
  <c r="H7" i="6256"/>
  <c r="H12" i="6256"/>
  <c r="H26" i="6256"/>
  <c r="H6" i="6256"/>
  <c r="H25" i="6256"/>
  <c r="H14" i="6256"/>
  <c r="C19" i="6256"/>
  <c r="H4" i="6256"/>
  <c r="H2" i="6256"/>
  <c r="H11" i="6256"/>
  <c r="H3" i="6256"/>
  <c r="H29" i="6256"/>
  <c r="H30" i="6256"/>
  <c r="H17" i="6256"/>
  <c r="H32" i="6256"/>
  <c r="H33" i="6256"/>
  <c r="H34" i="6256"/>
  <c r="H36" i="6256"/>
  <c r="C37" i="6256"/>
  <c r="C39" i="6256"/>
  <c r="C41" i="6256"/>
  <c r="C43" i="6256"/>
  <c r="C45" i="6256"/>
  <c r="C47" i="6256"/>
  <c r="H51" i="6256"/>
  <c r="H27" i="6256"/>
  <c r="H15" i="6256"/>
  <c r="C21" i="6256"/>
  <c r="C23" i="6256"/>
  <c r="C25" i="6256"/>
  <c r="B27" i="6256"/>
  <c r="H35" i="6256"/>
  <c r="H37" i="6256"/>
  <c r="H39" i="6256"/>
  <c r="H41" i="6256"/>
  <c r="H43" i="6256"/>
  <c r="H45" i="6256"/>
  <c r="H47" i="6256"/>
  <c r="H49" i="6256"/>
  <c r="H24" i="6256"/>
  <c r="H18" i="6256"/>
  <c r="H13" i="6256"/>
  <c r="H22" i="6256"/>
  <c r="H31" i="6256"/>
  <c r="H8" i="6256"/>
  <c r="H16" i="6256"/>
  <c r="H23" i="6256"/>
  <c r="C36" i="6256"/>
  <c r="C38" i="6256"/>
  <c r="C40" i="6256"/>
  <c r="C42" i="6256"/>
  <c r="C44" i="6256"/>
  <c r="C46" i="6256"/>
  <c r="C48" i="6256"/>
  <c r="H5" i="6256"/>
  <c r="H21" i="6256"/>
  <c r="H28" i="6256"/>
  <c r="C22" i="6256"/>
  <c r="C24" i="6256"/>
  <c r="B26" i="6256"/>
  <c r="H19" i="6256"/>
  <c r="H38" i="6256"/>
  <c r="H40" i="6256"/>
  <c r="H42" i="6256"/>
  <c r="H44" i="6256"/>
  <c r="H46" i="6256"/>
  <c r="H48" i="6256"/>
  <c r="H50" i="6256"/>
  <c r="H27" i="6254"/>
  <c r="H28" i="6254"/>
  <c r="H11" i="6254"/>
  <c r="H30" i="6254"/>
  <c r="H31" i="6254"/>
  <c r="H32" i="6254"/>
  <c r="H35" i="6254"/>
  <c r="C37" i="6254"/>
  <c r="C39" i="6254"/>
  <c r="C41" i="6254"/>
  <c r="C43" i="6254"/>
  <c r="C45" i="6254"/>
  <c r="C47" i="6254"/>
  <c r="H50" i="6254"/>
  <c r="B27" i="6254"/>
  <c r="H33" i="6254"/>
  <c r="H36" i="6254"/>
  <c r="H38" i="6254"/>
  <c r="H40" i="6254"/>
  <c r="H42" i="6254"/>
  <c r="H44" i="6254"/>
  <c r="H46" i="6254"/>
  <c r="H48" i="6254"/>
  <c r="H51" i="6254"/>
  <c r="H15" i="6254"/>
  <c r="H17" i="6254"/>
  <c r="H29" i="6254"/>
  <c r="H18" i="6254"/>
  <c r="H8" i="6254"/>
  <c r="H19" i="6254"/>
  <c r="H34" i="6254"/>
  <c r="C36" i="6254"/>
  <c r="C38" i="6254"/>
  <c r="C40" i="6254"/>
  <c r="C42" i="6254"/>
  <c r="C44" i="6254"/>
  <c r="C46" i="6254"/>
  <c r="C48" i="6254"/>
  <c r="H5" i="6254"/>
  <c r="H26" i="6254"/>
  <c r="C22" i="6254"/>
  <c r="C24" i="6254"/>
  <c r="B26" i="6254"/>
  <c r="H20" i="6254"/>
  <c r="H37" i="6254"/>
  <c r="H39" i="6254"/>
  <c r="H41" i="6254"/>
  <c r="H43" i="6254"/>
  <c r="H45" i="6254"/>
  <c r="H47" i="6254"/>
  <c r="H49" i="6254"/>
  <c r="H8" i="6252"/>
  <c r="C22" i="6252"/>
  <c r="B26" i="6252"/>
  <c r="H41" i="6252"/>
  <c r="H45" i="6252"/>
  <c r="H48" i="6252"/>
  <c r="H52" i="6252"/>
  <c r="H10" i="6252"/>
  <c r="H6" i="6252"/>
  <c r="H13" i="6252"/>
  <c r="H29" i="6252"/>
  <c r="H30" i="6252"/>
  <c r="H14" i="6252"/>
  <c r="B27" i="6252"/>
  <c r="C19" i="6252"/>
  <c r="C23" i="6252"/>
  <c r="H38" i="6252"/>
  <c r="H42" i="6252"/>
  <c r="H46" i="6252"/>
  <c r="H49" i="6252"/>
  <c r="H7" i="6252"/>
  <c r="H22" i="6252"/>
  <c r="C24" i="6252"/>
  <c r="H20" i="6252"/>
  <c r="H39" i="6252"/>
  <c r="H43" i="6252"/>
  <c r="H28" i="6252"/>
  <c r="H50" i="6252"/>
  <c r="H4" i="6252"/>
  <c r="H2" i="6252"/>
  <c r="H11" i="6252"/>
  <c r="H3" i="6252"/>
  <c r="H23" i="6252"/>
  <c r="H24" i="6252"/>
  <c r="H31" i="6252"/>
  <c r="C21" i="6252"/>
  <c r="C25" i="6252"/>
  <c r="H36" i="6252"/>
  <c r="H40" i="6252"/>
  <c r="H44" i="6252"/>
  <c r="H47" i="6252"/>
  <c r="H16" i="6252"/>
  <c r="B28" i="6252"/>
  <c r="H32" i="6252"/>
  <c r="H25" i="6252"/>
  <c r="H12" i="6252"/>
  <c r="H34" i="6252"/>
  <c r="H35" i="6252"/>
  <c r="H21" i="6252"/>
  <c r="H37" i="6252"/>
  <c r="C37" i="6252"/>
  <c r="C39" i="6252"/>
  <c r="C41" i="6252"/>
  <c r="C43" i="6252"/>
  <c r="C45" i="6252"/>
  <c r="C47" i="6252"/>
  <c r="H51" i="6252"/>
  <c r="H18" i="6252"/>
  <c r="H15" i="6252"/>
  <c r="H33" i="6252"/>
  <c r="H26" i="6252"/>
  <c r="H9" i="6252"/>
  <c r="H19" i="6252"/>
  <c r="H27" i="6252"/>
  <c r="C36" i="6252"/>
  <c r="C38" i="6252"/>
  <c r="C40" i="6252"/>
  <c r="C42" i="6252"/>
  <c r="C44" i="6252"/>
  <c r="C46" i="6252"/>
  <c r="C48" i="6252"/>
  <c r="H11" i="6246"/>
  <c r="H21" i="6246"/>
  <c r="H47" i="6246"/>
  <c r="H8" i="6246"/>
  <c r="H35" i="6246"/>
  <c r="H38" i="6246"/>
  <c r="H2" i="6246"/>
  <c r="H4" i="6246"/>
  <c r="H3" i="6246"/>
  <c r="C25" i="6246"/>
  <c r="H41" i="6246"/>
  <c r="C22" i="6250"/>
  <c r="B26" i="6250"/>
  <c r="H39" i="6250"/>
  <c r="H43" i="6250"/>
  <c r="H47" i="6250"/>
  <c r="H52" i="6250"/>
  <c r="H9" i="6250"/>
  <c r="H6" i="6250"/>
  <c r="H11" i="6250"/>
  <c r="H16" i="6250"/>
  <c r="H18" i="6250"/>
  <c r="H19" i="6250"/>
  <c r="B27" i="6250"/>
  <c r="C19" i="6250"/>
  <c r="C23" i="6250"/>
  <c r="H36" i="6250"/>
  <c r="H40" i="6250"/>
  <c r="H44" i="6250"/>
  <c r="H48" i="6250"/>
  <c r="H15" i="6250"/>
  <c r="C24" i="6250"/>
  <c r="H31" i="6250"/>
  <c r="H37" i="6250"/>
  <c r="H41" i="6250"/>
  <c r="H45" i="6250"/>
  <c r="H49" i="6250"/>
  <c r="H3" i="6250"/>
  <c r="H2" i="6250"/>
  <c r="H14" i="6250"/>
  <c r="H4" i="6250"/>
  <c r="H17" i="6250"/>
  <c r="H12" i="6250"/>
  <c r="H21" i="6250"/>
  <c r="C21" i="6250"/>
  <c r="C25" i="6250"/>
  <c r="H33" i="6250"/>
  <c r="H38" i="6250"/>
  <c r="H42" i="6250"/>
  <c r="H46" i="6250"/>
  <c r="H51" i="6250"/>
  <c r="B28" i="6250"/>
  <c r="H23" i="6250"/>
  <c r="H24" i="6250"/>
  <c r="H26" i="6250"/>
  <c r="H28" i="6250"/>
  <c r="H29" i="6250"/>
  <c r="H32" i="6250"/>
  <c r="H35" i="6250"/>
  <c r="C37" i="6250"/>
  <c r="C39" i="6250"/>
  <c r="C41" i="6250"/>
  <c r="C43" i="6250"/>
  <c r="C45" i="6250"/>
  <c r="C47" i="6250"/>
  <c r="H50" i="6250"/>
  <c r="H22" i="6250"/>
  <c r="H13" i="6250"/>
  <c r="H25" i="6250"/>
  <c r="H27" i="6250"/>
  <c r="H8" i="6250"/>
  <c r="H30" i="6250"/>
  <c r="H34" i="6250"/>
  <c r="C36" i="6250"/>
  <c r="C38" i="6250"/>
  <c r="C40" i="6250"/>
  <c r="C42" i="6250"/>
  <c r="C44" i="6250"/>
  <c r="C46" i="6250"/>
  <c r="C48" i="6250"/>
  <c r="H44" i="6246"/>
  <c r="H22" i="6246"/>
  <c r="C21" i="6246"/>
  <c r="H19" i="6246"/>
  <c r="C22" i="6248"/>
  <c r="B26" i="6248"/>
  <c r="H40" i="6248"/>
  <c r="H44" i="6248"/>
  <c r="H48" i="6248"/>
  <c r="H52" i="6248"/>
  <c r="H10" i="6248"/>
  <c r="H6" i="6248"/>
  <c r="H13" i="6248"/>
  <c r="H22" i="6248"/>
  <c r="H25" i="6248"/>
  <c r="H16" i="6248"/>
  <c r="B27" i="6248"/>
  <c r="C19" i="6248"/>
  <c r="C23" i="6248"/>
  <c r="H23" i="6248"/>
  <c r="H41" i="6248"/>
  <c r="H45" i="6248"/>
  <c r="H49" i="6248"/>
  <c r="H7" i="6248"/>
  <c r="H24" i="6248"/>
  <c r="C24" i="6248"/>
  <c r="H21" i="6248"/>
  <c r="H38" i="6248"/>
  <c r="H42" i="6248"/>
  <c r="H46" i="6248"/>
  <c r="H50" i="6248"/>
  <c r="H4" i="6248"/>
  <c r="H2" i="6248"/>
  <c r="H11" i="6248"/>
  <c r="H3" i="6248"/>
  <c r="H20" i="6248"/>
  <c r="H26" i="6248"/>
  <c r="H27" i="6248"/>
  <c r="C21" i="6248"/>
  <c r="C25" i="6248"/>
  <c r="H35" i="6248"/>
  <c r="H39" i="6248"/>
  <c r="H43" i="6248"/>
  <c r="H47" i="6248"/>
  <c r="H19" i="6248"/>
  <c r="B28" i="6248"/>
  <c r="H28" i="6248"/>
  <c r="H29" i="6248"/>
  <c r="H12" i="6248"/>
  <c r="H32" i="6248"/>
  <c r="H33" i="6248"/>
  <c r="H34" i="6248"/>
  <c r="H37" i="6248"/>
  <c r="C37" i="6248"/>
  <c r="C39" i="6248"/>
  <c r="C41" i="6248"/>
  <c r="C43" i="6248"/>
  <c r="C45" i="6248"/>
  <c r="C47" i="6248"/>
  <c r="H51" i="6248"/>
  <c r="H15" i="6248"/>
  <c r="H17" i="6248"/>
  <c r="H30" i="6248"/>
  <c r="H31" i="6248"/>
  <c r="H9" i="6248"/>
  <c r="H14" i="6248"/>
  <c r="H36" i="6248"/>
  <c r="C36" i="6248"/>
  <c r="C38" i="6248"/>
  <c r="C40" i="6248"/>
  <c r="C42" i="6248"/>
  <c r="C44" i="6248"/>
  <c r="C46" i="6248"/>
  <c r="C48" i="6248"/>
  <c r="B13" i="6246"/>
  <c r="B26" i="6246"/>
  <c r="H45" i="6246"/>
  <c r="H52" i="6246"/>
  <c r="H12" i="6246"/>
  <c r="H25" i="6246"/>
  <c r="H15" i="6246"/>
  <c r="B27" i="6246"/>
  <c r="C19" i="6246"/>
  <c r="C23" i="6246"/>
  <c r="H31" i="6246"/>
  <c r="H43" i="6246"/>
  <c r="H46" i="6246"/>
  <c r="H49" i="6246"/>
  <c r="H17" i="6246"/>
  <c r="C22" i="6246"/>
  <c r="H42" i="6246"/>
  <c r="H48" i="6246"/>
  <c r="H10" i="6246"/>
  <c r="H6" i="6246"/>
  <c r="H34" i="6246"/>
  <c r="H7" i="6246"/>
  <c r="H23" i="6246"/>
  <c r="C24" i="6246"/>
  <c r="H20" i="6246"/>
  <c r="H40" i="6246"/>
  <c r="H32" i="6246"/>
  <c r="H33" i="6246"/>
  <c r="H50" i="6246"/>
  <c r="B28" i="6246"/>
  <c r="H36" i="6246"/>
  <c r="H30" i="6246"/>
  <c r="H13" i="6246"/>
  <c r="H27" i="6246"/>
  <c r="H37" i="6246"/>
  <c r="H28" i="6246"/>
  <c r="H39" i="6246"/>
  <c r="C37" i="6246"/>
  <c r="C39" i="6246"/>
  <c r="C41" i="6246"/>
  <c r="C43" i="6246"/>
  <c r="C45" i="6246"/>
  <c r="C47" i="6246"/>
  <c r="H51" i="6246"/>
  <c r="H16" i="6246"/>
  <c r="H14" i="6246"/>
  <c r="H24" i="6246"/>
  <c r="H26" i="6246"/>
  <c r="H9" i="6246"/>
  <c r="H18" i="6246"/>
  <c r="H29" i="6246"/>
  <c r="C36" i="6246"/>
  <c r="C38" i="6246"/>
  <c r="C40" i="6246"/>
  <c r="C42" i="6246"/>
  <c r="C44" i="6246"/>
  <c r="C46" i="6246"/>
  <c r="C48" i="6246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C9" i="6023"/>
  <c r="C8" i="6023"/>
  <c r="O7" i="6023"/>
  <c r="C7" i="6023"/>
  <c r="O6" i="6023"/>
  <c r="B6" i="6023"/>
  <c r="O5" i="6023"/>
  <c r="B5" i="6023"/>
  <c r="O4" i="6023"/>
  <c r="O3" i="6023"/>
  <c r="H3" i="6023"/>
  <c r="O2" i="6023"/>
  <c r="H9" i="6023" l="1"/>
  <c r="B13" i="6023"/>
  <c r="H6" i="6023"/>
  <c r="H17" i="6023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<sst xmlns="http://schemas.openxmlformats.org/spreadsheetml/2006/main" count="3222" uniqueCount="247">
  <si>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</si>
  <si>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</si>
  <si>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</si>
  <si>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</si>
  <si>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</si>
  <si>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</si>
  <si>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</si>
  <si>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</si>
  <si>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</si>
  <si>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</si>
  <si>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</si>
  <si>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</si>
  <si>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</si>
  <si>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</si>
  <si>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</si>
  <si>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</si>
  <si>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</si>
  <si>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</si>
  <si>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</si>
  <si>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</si>
  <si>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</si>
  <si>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</si>
  <si>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</si>
  <si>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</si>
  <si>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</si>
  <si>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</si>
  <si>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</si>
  <si>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</si>
  <si>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</si>
  <si>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</si>
  <si>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</si>
  <si>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</si>
  <si>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</si>
  <si>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</si>
  <si>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</si>
  <si>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</si>
  <si>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</si>
  <si>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</si>
  <si>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</si>
  <si>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</si>
  <si>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</si>
  <si>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</si>
  <si>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</si>
  <si>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</si>
  <si>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</si>
  <si>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</si>
  <si>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</si>
  <si>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</si>
  <si>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</si>
  <si>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</si>
  <si>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</si>
  <si>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</si>
  <si>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</si>
  <si>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</si>
  <si>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</si>
  <si>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</si>
  <si>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</si>
  <si>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</si>
  <si>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</si>
  <si>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</si>
  <si>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</si>
  <si>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</si>
  <si>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</si>
  <si>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</si>
  <si>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</si>
  <si>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</si>
  <si>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</si>
  <si>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</si>
  <si>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</si>
  <si>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</si>
  <si>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</si>
  <si>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</si>
  <si>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</si>
  <si>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</si>
  <si>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</si>
  <si>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</si>
  <si>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</si>
  <si>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</si>
  <si>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</si>
  <si>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</si>
  <si>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</si>
  <si>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</si>
  <si>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</si>
  <si>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</si>
  <si>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</si>
  <si>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</si>
  <si>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</si>
  <si>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</si>
  <si>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</si>
  <si>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</si>
  <si>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</si>
  <si>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</si>
  <si>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</si>
  <si>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</si>
  <si>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</si>
  <si>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</si>
  <si>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</si>
  <si>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</si>
  <si>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</si>
  <si>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</si>
  <si>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</si>
  <si>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</si>
  <si>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</si>
  <si>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</si>
  <si>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</si>
  <si>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</si>
  <si>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</si>
  <si>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</si>
  <si>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</si>
  <si>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</si>
  <si>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</si>
  <si>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</si>
  <si>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</si>
  <si>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</si>
  <si>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</si>
  <si>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</si>
  <si>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</si>
  <si>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</si>
  <si>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</si>
  <si>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</si>
  <si>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</si>
  <si>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</si>
  <si>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</si>
  <si>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</si>
  <si>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</si>
  <si>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</si>
  <si>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</si>
  <si>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</si>
  <si>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</si>
  <si>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</si>
  <si>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</si>
  <si>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</si>
  <si>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</si>
  <si>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</si>
  <si>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</si>
  <si>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</si>
  <si>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</si>
  <si>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</si>
  <si>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</si>
  <si>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</si>
  <si>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</si>
  <si>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</si>
  <si>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</si>
  <si>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</si>
  <si>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</si>
  <si>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</si>
  <si>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</si>
  <si>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</si>
  <si>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</si>
  <si>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</si>
  <si>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</si>
  <si>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</si>
  <si>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</si>
  <si>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</si>
  <si>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</si>
  <si>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</si>
  <si>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</si>
  <si>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</si>
  <si>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</si>
  <si>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</si>
  <si>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</si>
  <si>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</si>
  <si>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</si>
  <si>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</si>
  <si>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</si>
  <si>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</si>
  <si>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</si>
  <si>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</si>
  <si>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</si>
  <si>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</si>
  <si>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</si>
  <si>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</si>
  <si>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</si>
  <si>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</si>
  <si>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</si>
  <si>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</si>
  <si>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</si>
  <si>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</si>
  <si>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</si>
  <si>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</si>
  <si>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</si>
  <si>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</si>
  <si>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</si>
  <si>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</si>
  <si>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</si>
  <si>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</si>
  <si>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</si>
  <si>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</si>
  <si>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</si>
  <si>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</si>
  <si>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</si>
  <si>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</si>
  <si>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</si>
  <si>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</si>
  <si>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</si>
  <si>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</si>
  <si>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</si>
  <si>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</si>
  <si>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</si>
  <si>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</si>
  <si>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</si>
  <si>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</si>
  <si>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</si>
  <si>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</si>
  <si>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</si>
  <si>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</si>
  <si>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</si>
  <si>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</si>
  <si>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</si>
  <si>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</si>
  <si>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</si>
  <si>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</si>
  <si>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</si>
  <si>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</si>
  <si>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</si>
  <si>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</si>
  <si>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</si>
  <si>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</si>
  <si>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</si>
  <si>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</si>
  <si>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</si>
  <si>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</si>
  <si>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</si>
  <si>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</si>
  <si>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</si>
  <si>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</si>
  <si>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</si>
  <si>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</si>
  <si>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</si>
  <si>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</si>
  <si>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</si>
  <si>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</si>
  <si>
    <t>2020-07-05@0.xlsm</t>
  </si>
  <si>
    <t>2020-07-06@0.xlsm</t>
  </si>
  <si>
    <t>2020-07-10@0.xlsm</t>
  </si>
  <si>
    <t>2020-07-12@0.xlsm</t>
  </si>
  <si>
    <t>hh</t>
    <phoneticPr fontId="1"/>
  </si>
  <si>
    <t>2020-07-14@0.xlsm</t>
  </si>
  <si>
    <t>2020-07-17@0.xlsm</t>
  </si>
  <si>
    <t>2020-07-18@0.xlsm</t>
  </si>
  <si>
    <t>てんちゃん</t>
  </si>
  <si>
    <t>2020-07-21@0.xlsm</t>
  </si>
  <si>
    <t>2020-07-23@0.xlsm</t>
  </si>
  <si>
    <t>いちかわ</t>
  </si>
  <si>
    <t>2020-07-27@0.xlsm</t>
  </si>
  <si>
    <t>2020-07-28@0.xlsm</t>
  </si>
  <si>
    <t>2020-07-30@0.xlsm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</si>
</sst>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全体!$K$2:$K$401</c:f>
              <c:numCache>
                <c:formatCode>General</c:formatCode>
                <c:ptCount val="4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</c:numCache>
            </c:numRef>
          </c:xVal>
          <c:yVal>
            <c:numRef>
              <c:f>全体!$L$2:$L$401</c:f>
              <c:numCache>
                <c:formatCode>\+0.0;\-0.0;\±0</c:formatCode>
                <c:ptCount val="400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  <c:pt idx="301">
                  <c:v>-27.500000000000028</c:v>
                </c:pt>
                <c:pt idx="302">
                  <c:v>-19.10000000000003</c:v>
                </c:pt>
                <c:pt idx="303">
                  <c:v>-2.8421709430404007E-14</c:v>
                </c:pt>
                <c:pt idx="304">
                  <c:v>29.499999999999972</c:v>
                </c:pt>
                <c:pt idx="305">
                  <c:v>30.799999999999972</c:v>
                </c:pt>
                <c:pt idx="306">
                  <c:v>-2.8421709430404007E-14</c:v>
                </c:pt>
                <c:pt idx="307">
                  <c:v>14.099999999999971</c:v>
                </c:pt>
                <c:pt idx="308">
                  <c:v>50.299999999999976</c:v>
                </c:pt>
                <c:pt idx="309">
                  <c:v>-2.1316282072803006E-14</c:v>
                </c:pt>
                <c:pt idx="310">
                  <c:v>8.399999999999979</c:v>
                </c:pt>
                <c:pt idx="311">
                  <c:v>42.499999999999979</c:v>
                </c:pt>
                <c:pt idx="312">
                  <c:v>-2.1316282072803006E-14</c:v>
                </c:pt>
                <c:pt idx="313">
                  <c:v>-19.200000000000021</c:v>
                </c:pt>
                <c:pt idx="314">
                  <c:v>-15.80000000000002</c:v>
                </c:pt>
                <c:pt idx="315">
                  <c:v>-1.9539925233402755E-14</c:v>
                </c:pt>
                <c:pt idx="316">
                  <c:v>7.0999999999999801</c:v>
                </c:pt>
                <c:pt idx="317">
                  <c:v>28.199999999999982</c:v>
                </c:pt>
                <c:pt idx="318">
                  <c:v>-1.7763568394002505E-14</c:v>
                </c:pt>
                <c:pt idx="319">
                  <c:v>-20.400000000000016</c:v>
                </c:pt>
                <c:pt idx="320">
                  <c:v>-16.300000000000018</c:v>
                </c:pt>
                <c:pt idx="321">
                  <c:v>-1.7763568394002505E-14</c:v>
                </c:pt>
                <c:pt idx="322">
                  <c:v>4.7999999999999821</c:v>
                </c:pt>
                <c:pt idx="323">
                  <c:v>-28.500000000000014</c:v>
                </c:pt>
                <c:pt idx="324">
                  <c:v>-1.4210854715202004E-14</c:v>
                </c:pt>
                <c:pt idx="325">
                  <c:v>29.499999999999986</c:v>
                </c:pt>
                <c:pt idx="326">
                  <c:v>23.099999999999987</c:v>
                </c:pt>
                <c:pt idx="327">
                  <c:v>-1.4210854715202004E-14</c:v>
                </c:pt>
                <c:pt idx="328">
                  <c:v>-6.7000000000000144</c:v>
                </c:pt>
                <c:pt idx="329">
                  <c:v>23.899999999999988</c:v>
                </c:pt>
                <c:pt idx="330">
                  <c:v>-1.0658141036401503E-14</c:v>
                </c:pt>
                <c:pt idx="331">
                  <c:v>-20.900000000000009</c:v>
                </c:pt>
                <c:pt idx="332">
                  <c:v>3.4999999999999893</c:v>
                </c:pt>
                <c:pt idx="333">
                  <c:v>-1.0658141036401503E-14</c:v>
                </c:pt>
                <c:pt idx="334">
                  <c:v>-46.800000000000011</c:v>
                </c:pt>
                <c:pt idx="335">
                  <c:v>-44.900000000000013</c:v>
                </c:pt>
                <c:pt idx="336">
                  <c:v>-1.4210854715202004E-14</c:v>
                </c:pt>
                <c:pt idx="337">
                  <c:v>32.399999999999984</c:v>
                </c:pt>
                <c:pt idx="338">
                  <c:v>32.199999999999982</c:v>
                </c:pt>
                <c:pt idx="339">
                  <c:v>-2.1316282072803006E-14</c:v>
                </c:pt>
                <c:pt idx="340">
                  <c:v>36.59999999999998</c:v>
                </c:pt>
                <c:pt idx="341">
                  <c:v>-10.200000000000017</c:v>
                </c:pt>
                <c:pt idx="342">
                  <c:v>-1.7763568394002505E-14</c:v>
                </c:pt>
                <c:pt idx="343">
                  <c:v>-40.100000000000023</c:v>
                </c:pt>
                <c:pt idx="344">
                  <c:v>-33.000000000000021</c:v>
                </c:pt>
                <c:pt idx="345">
                  <c:v>-2.1316282072803006E-14</c:v>
                </c:pt>
                <c:pt idx="346">
                  <c:v>-28.500000000000021</c:v>
                </c:pt>
                <c:pt idx="347">
                  <c:v>-35.700000000000024</c:v>
                </c:pt>
                <c:pt idx="348">
                  <c:v>-2.1316282072803006E-14</c:v>
                </c:pt>
                <c:pt idx="349">
                  <c:v>51.09999999999998</c:v>
                </c:pt>
                <c:pt idx="350">
                  <c:v>48.699999999999982</c:v>
                </c:pt>
                <c:pt idx="351">
                  <c:v>-2.1316282072803006E-14</c:v>
                </c:pt>
                <c:pt idx="352">
                  <c:v>-54.500000000000021</c:v>
                </c:pt>
                <c:pt idx="353">
                  <c:v>27.899999999999984</c:v>
                </c:pt>
                <c:pt idx="354">
                  <c:v>-1.4210854715202004E-14</c:v>
                </c:pt>
                <c:pt idx="355">
                  <c:v>26.599999999999987</c:v>
                </c:pt>
                <c:pt idx="356">
                  <c:v>5.8999999999999879</c:v>
                </c:pt>
                <c:pt idx="357">
                  <c:v>-1.2434497875801753E-14</c:v>
                </c:pt>
                <c:pt idx="358">
                  <c:v>-38.900000000000013</c:v>
                </c:pt>
                <c:pt idx="359">
                  <c:v>-30.600000000000012</c:v>
                </c:pt>
                <c:pt idx="360">
                  <c:v>-1.0658141036401503E-14</c:v>
                </c:pt>
                <c:pt idx="361">
                  <c:v>-25.70000000000001</c:v>
                </c:pt>
                <c:pt idx="362">
                  <c:v>-18.70000000000001</c:v>
                </c:pt>
                <c:pt idx="363">
                  <c:v>-1.0658141036401503E-14</c:v>
                </c:pt>
                <c:pt idx="364">
                  <c:v>-42.400000000000006</c:v>
                </c:pt>
                <c:pt idx="365">
                  <c:v>5.2999999999999972</c:v>
                </c:pt>
                <c:pt idx="366">
                  <c:v>-2.6645352591003757E-15</c:v>
                </c:pt>
                <c:pt idx="367">
                  <c:v>1.1999999999999973</c:v>
                </c:pt>
                <c:pt idx="368">
                  <c:v>18.399999999999995</c:v>
                </c:pt>
                <c:pt idx="369">
                  <c:v>-3.5527136788005009E-15</c:v>
                </c:pt>
                <c:pt idx="370">
                  <c:v>14.599999999999996</c:v>
                </c:pt>
                <c:pt idx="371">
                  <c:v>15.199999999999996</c:v>
                </c:pt>
                <c:pt idx="372">
                  <c:v>-3.5527136788005009E-15</c:v>
                </c:pt>
                <c:pt idx="373">
                  <c:v>-35</c:v>
                </c:pt>
                <c:pt idx="374">
                  <c:v>-8.3999999999999986</c:v>
                </c:pt>
                <c:pt idx="375">
                  <c:v>1.7763568394002505E-15</c:v>
                </c:pt>
                <c:pt idx="376">
                  <c:v>23.200000000000003</c:v>
                </c:pt>
                <c:pt idx="377">
                  <c:v>16.900000000000002</c:v>
                </c:pt>
                <c:pt idx="378">
                  <c:v>3.5527136788005009E-15</c:v>
                </c:pt>
                <c:pt idx="379">
                  <c:v>-4.9999999999999964</c:v>
                </c:pt>
                <c:pt idx="380">
                  <c:v>-51</c:v>
                </c:pt>
                <c:pt idx="381">
                  <c:v>0</c:v>
                </c:pt>
                <c:pt idx="382">
                  <c:v>56.6</c:v>
                </c:pt>
                <c:pt idx="383">
                  <c:v>20.800000000000004</c:v>
                </c:pt>
                <c:pt idx="384">
                  <c:v>3.5527136788005009E-15</c:v>
                </c:pt>
                <c:pt idx="385">
                  <c:v>-21.199999999999996</c:v>
                </c:pt>
                <c:pt idx="386">
                  <c:v>7.2000000000000028</c:v>
                </c:pt>
                <c:pt idx="387">
                  <c:v>2.6645352591003757E-15</c:v>
                </c:pt>
                <c:pt idx="388">
                  <c:v>7.5000000000000027</c:v>
                </c:pt>
                <c:pt idx="389">
                  <c:v>28.500000000000004</c:v>
                </c:pt>
                <c:pt idx="390">
                  <c:v>3.5527136788005009E-15</c:v>
                </c:pt>
                <c:pt idx="391">
                  <c:v>15.500000000000004</c:v>
                </c:pt>
                <c:pt idx="392">
                  <c:v>-3.5999999999999979</c:v>
                </c:pt>
                <c:pt idx="393">
                  <c:v>2.2204460492503131E-15</c:v>
                </c:pt>
                <c:pt idx="394">
                  <c:v>-2.5999999999999979</c:v>
                </c:pt>
                <c:pt idx="395">
                  <c:v>27.700000000000003</c:v>
                </c:pt>
                <c:pt idx="396">
                  <c:v>3.5527136788005009E-15</c:v>
                </c:pt>
                <c:pt idx="397">
                  <c:v>27.900000000000002</c:v>
                </c:pt>
                <c:pt idx="398">
                  <c:v>27.6</c:v>
                </c:pt>
                <c:pt idx="3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90-4E99-9147-E0246CD3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-12.820512820512821</c:v>
                </c:pt>
                <c:pt idx="1">
                  <c:v>-5.1282051282051286</c:v>
                </c:pt>
                <c:pt idx="2">
                  <c:v>-8.064516129032258</c:v>
                </c:pt>
                <c:pt idx="3">
                  <c:v>17.699115044247787</c:v>
                </c:pt>
                <c:pt idx="4">
                  <c:v>-44.444444444444443</c:v>
                </c:pt>
                <c:pt idx="5">
                  <c:v>58.823529411764703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E-4CF3-B122-B5B10B9EA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66</c:v>
                </c:pt>
                <c:pt idx="1">
                  <c:v>162</c:v>
                </c:pt>
                <c:pt idx="2">
                  <c:v>168</c:v>
                </c:pt>
                <c:pt idx="3">
                  <c:v>163</c:v>
                </c:pt>
                <c:pt idx="4">
                  <c:v>133</c:v>
                </c:pt>
                <c:pt idx="5">
                  <c:v>98</c:v>
                </c:pt>
                <c:pt idx="6">
                  <c:v>52</c:v>
                </c:pt>
                <c:pt idx="7">
                  <c:v>24</c:v>
                </c:pt>
                <c:pt idx="8">
                  <c:v>17</c:v>
                </c:pt>
                <c:pt idx="9">
                  <c:v>10</c:v>
                </c:pt>
                <c:pt idx="10">
                  <c:v>4</c:v>
                </c:pt>
                <c:pt idx="11">
                  <c:v>5</c:v>
                </c:pt>
                <c:pt idx="1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F-4B78-A755-2C512936C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れんたろう!$L$2:$L$73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  <c:pt idx="55">
                  <c:v>-114.10000000000005</c:v>
                </c:pt>
                <c:pt idx="56">
                  <c:v>-110.70000000000005</c:v>
                </c:pt>
                <c:pt idx="57">
                  <c:v>-89.600000000000051</c:v>
                </c:pt>
                <c:pt idx="58">
                  <c:v>-110.00000000000006</c:v>
                </c:pt>
                <c:pt idx="59">
                  <c:v>-105.20000000000006</c:v>
                </c:pt>
                <c:pt idx="60">
                  <c:v>-152.00000000000006</c:v>
                </c:pt>
                <c:pt idx="61">
                  <c:v>-119.60000000000005</c:v>
                </c:pt>
                <c:pt idx="62">
                  <c:v>-112.60000000000005</c:v>
                </c:pt>
                <c:pt idx="63">
                  <c:v>-64.900000000000048</c:v>
                </c:pt>
                <c:pt idx="64">
                  <c:v>-63.700000000000045</c:v>
                </c:pt>
                <c:pt idx="65">
                  <c:v>-78.900000000000048</c:v>
                </c:pt>
                <c:pt idx="66">
                  <c:v>-52.300000000000047</c:v>
                </c:pt>
                <c:pt idx="67">
                  <c:v>-69.200000000000045</c:v>
                </c:pt>
                <c:pt idx="68">
                  <c:v>-74.200000000000045</c:v>
                </c:pt>
                <c:pt idx="69">
                  <c:v>-17.600000000000044</c:v>
                </c:pt>
                <c:pt idx="70">
                  <c:v>10.799999999999955</c:v>
                </c:pt>
                <c:pt idx="71">
                  <c:v>18.299999999999955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7-4166-9D43-978BA487E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-755.88235294117646</c:v>
                </c:pt>
                <c:pt idx="1">
                  <c:v>-1600</c:v>
                </c:pt>
                <c:pt idx="2">
                  <c:v>104.61538461538461</c:v>
                </c:pt>
                <c:pt idx="3">
                  <c:v>-763.33333333333337</c:v>
                </c:pt>
                <c:pt idx="4">
                  <c:v>1159.3220338983051</c:v>
                </c:pt>
                <c:pt idx="5">
                  <c:v>2975.5555555555557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8-44B8-84F1-33E518207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5</c:v>
                </c:pt>
                <c:pt idx="1">
                  <c:v>16</c:v>
                </c:pt>
                <c:pt idx="2">
                  <c:v>18</c:v>
                </c:pt>
                <c:pt idx="3">
                  <c:v>38</c:v>
                </c:pt>
                <c:pt idx="4">
                  <c:v>29</c:v>
                </c:pt>
                <c:pt idx="5">
                  <c:v>22</c:v>
                </c:pt>
                <c:pt idx="6">
                  <c:v>12</c:v>
                </c:pt>
                <c:pt idx="7">
                  <c:v>6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A-4154-84E0-548C0B715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A6-482C-865A-C3CA2BE3F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C-4BA2-A967-66E212759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E-48AE-A1FE-809B04B6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だいち!$L$2:$L$101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  <c:pt idx="74">
                  <c:v>678.00000000000023</c:v>
                </c:pt>
                <c:pt idx="75">
                  <c:v>707.50000000000023</c:v>
                </c:pt>
                <c:pt idx="76">
                  <c:v>741.60000000000025</c:v>
                </c:pt>
                <c:pt idx="77">
                  <c:v>757.4000000000002</c:v>
                </c:pt>
                <c:pt idx="78">
                  <c:v>729.20000000000016</c:v>
                </c:pt>
                <c:pt idx="79">
                  <c:v>745.50000000000011</c:v>
                </c:pt>
                <c:pt idx="80">
                  <c:v>712.20000000000016</c:v>
                </c:pt>
                <c:pt idx="81">
                  <c:v>689.10000000000014</c:v>
                </c:pt>
                <c:pt idx="82">
                  <c:v>719.70000000000016</c:v>
                </c:pt>
                <c:pt idx="83">
                  <c:v>716.20000000000016</c:v>
                </c:pt>
                <c:pt idx="84">
                  <c:v>718.10000000000014</c:v>
                </c:pt>
                <c:pt idx="85">
                  <c:v>685.90000000000009</c:v>
                </c:pt>
                <c:pt idx="86">
                  <c:v>722.50000000000011</c:v>
                </c:pt>
                <c:pt idx="87">
                  <c:v>755.50000000000011</c:v>
                </c:pt>
                <c:pt idx="88">
                  <c:v>791.20000000000016</c:v>
                </c:pt>
                <c:pt idx="89">
                  <c:v>842.30000000000018</c:v>
                </c:pt>
                <c:pt idx="90">
                  <c:v>787.80000000000018</c:v>
                </c:pt>
                <c:pt idx="91">
                  <c:v>781.9000000000002</c:v>
                </c:pt>
                <c:pt idx="92">
                  <c:v>743.00000000000023</c:v>
                </c:pt>
                <c:pt idx="93">
                  <c:v>761.70000000000027</c:v>
                </c:pt>
                <c:pt idx="94">
                  <c:v>770.10000000000025</c:v>
                </c:pt>
                <c:pt idx="95">
                  <c:v>748.9000000000002</c:v>
                </c:pt>
                <c:pt idx="96">
                  <c:v>720.4000000000002</c:v>
                </c:pt>
                <c:pt idx="97">
                  <c:v>735.9000000000002</c:v>
                </c:pt>
                <c:pt idx="98">
                  <c:v>708.20000000000016</c:v>
                </c:pt>
                <c:pt idx="99">
                  <c:v>680.60000000000014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BF-4371-8094-C00CB3218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1267.3469387755101</c:v>
                </c:pt>
                <c:pt idx="1">
                  <c:v>2581.4432989690722</c:v>
                </c:pt>
                <c:pt idx="2">
                  <c:v>1509.6774193548388</c:v>
                </c:pt>
                <c:pt idx="3">
                  <c:v>922.61904761904759</c:v>
                </c:pt>
                <c:pt idx="4">
                  <c:v>-1207.5</c:v>
                </c:pt>
                <c:pt idx="5">
                  <c:v>2225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50-4731-8B57-DE923E09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13</c:v>
                </c:pt>
                <c:pt idx="1">
                  <c:v>35</c:v>
                </c:pt>
                <c:pt idx="2">
                  <c:v>44</c:v>
                </c:pt>
                <c:pt idx="3">
                  <c:v>41</c:v>
                </c:pt>
                <c:pt idx="4">
                  <c:v>38</c:v>
                </c:pt>
                <c:pt idx="5">
                  <c:v>22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4-4546-BA4F-B2A94F2D6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りくと!$L$2:$L$44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  <c:pt idx="32">
                  <c:v>-277.49999999999994</c:v>
                </c:pt>
                <c:pt idx="33">
                  <c:v>-276.19999999999993</c:v>
                </c:pt>
                <c:pt idx="34">
                  <c:v>-295.39999999999992</c:v>
                </c:pt>
                <c:pt idx="35">
                  <c:v>-288.2999999999999</c:v>
                </c:pt>
                <c:pt idx="36">
                  <c:v>-258.7999999999999</c:v>
                </c:pt>
                <c:pt idx="37">
                  <c:v>-287.2999999999999</c:v>
                </c:pt>
                <c:pt idx="38">
                  <c:v>-289.69999999999987</c:v>
                </c:pt>
                <c:pt idx="39">
                  <c:v>-263.09999999999985</c:v>
                </c:pt>
                <c:pt idx="40">
                  <c:v>-254.79999999999984</c:v>
                </c:pt>
                <c:pt idx="41">
                  <c:v>-261.99999999999983</c:v>
                </c:pt>
                <c:pt idx="42">
                  <c:v>-240.99999999999983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6-4148-B5F3-D07B2C4DC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-3502.439024390244</c:v>
                </c:pt>
                <c:pt idx="1">
                  <c:v>1695</c:v>
                </c:pt>
                <c:pt idx="2">
                  <c:v>-1289.4736842105262</c:v>
                </c:pt>
                <c:pt idx="3">
                  <c:v>-1578.7878787878788</c:v>
                </c:pt>
                <c:pt idx="4">
                  <c:v>3472.4137931034484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6-466F-A3AB-E7526FC00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17</c:v>
                </c:pt>
                <c:pt idx="2">
                  <c:v>19</c:v>
                </c:pt>
                <c:pt idx="3">
                  <c:v>14</c:v>
                </c:pt>
                <c:pt idx="4">
                  <c:v>10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3-4FF2-BF94-D0C6AE57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まっつん!$L$2:$L$67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  <c:pt idx="53">
                  <c:v>-73.59999999999998</c:v>
                </c:pt>
                <c:pt idx="54">
                  <c:v>-104.39999999999998</c:v>
                </c:pt>
                <c:pt idx="55">
                  <c:v>-68.199999999999974</c:v>
                </c:pt>
                <c:pt idx="56">
                  <c:v>-92.099999999999966</c:v>
                </c:pt>
                <c:pt idx="57">
                  <c:v>-112.99999999999997</c:v>
                </c:pt>
                <c:pt idx="58">
                  <c:v>-30.599999999999966</c:v>
                </c:pt>
                <c:pt idx="59">
                  <c:v>-56.299999999999969</c:v>
                </c:pt>
                <c:pt idx="60">
                  <c:v>-98.69999999999996</c:v>
                </c:pt>
                <c:pt idx="61">
                  <c:v>-47.69999999999996</c:v>
                </c:pt>
                <c:pt idx="62">
                  <c:v>-83.499999999999957</c:v>
                </c:pt>
                <c:pt idx="63">
                  <c:v>-102.59999999999997</c:v>
                </c:pt>
                <c:pt idx="64">
                  <c:v>-72.299999999999969</c:v>
                </c:pt>
                <c:pt idx="65">
                  <c:v>-72.599999999999966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4-44F2-BA90-75CA606B9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-148.4375</c:v>
                </c:pt>
                <c:pt idx="1">
                  <c:v>0</c:v>
                </c:pt>
                <c:pt idx="2">
                  <c:v>-844.44444444444446</c:v>
                </c:pt>
                <c:pt idx="3">
                  <c:v>1456.6666666666667</c:v>
                </c:pt>
                <c:pt idx="4">
                  <c:v>-1131.4814814814815</c:v>
                </c:pt>
                <c:pt idx="5">
                  <c:v>-1763.6363636363637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D-4D91-87A3-AB1C0DEDE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27</c:v>
                </c:pt>
                <c:pt idx="2">
                  <c:v>35</c:v>
                </c:pt>
                <c:pt idx="3">
                  <c:v>23</c:v>
                </c:pt>
                <c:pt idx="4">
                  <c:v>16</c:v>
                </c:pt>
                <c:pt idx="5">
                  <c:v>9</c:v>
                </c:pt>
                <c:pt idx="6">
                  <c:v>9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6-46F6-AC59-CD506DE6B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  <c:pt idx="34">
                  <c:v>63.800000000000011</c:v>
                </c:pt>
                <c:pt idx="35">
                  <c:v>94.4</c:v>
                </c:pt>
                <c:pt idx="36">
                  <c:v>89.100000000000009</c:v>
                </c:pt>
                <c:pt idx="37">
                  <c:v>106.30000000000001</c:v>
                </c:pt>
                <c:pt idx="38">
                  <c:v>106.9</c:v>
                </c:pt>
                <c:pt idx="39">
                  <c:v>130.1</c:v>
                </c:pt>
                <c:pt idx="40">
                  <c:v>84.1</c:v>
                </c:pt>
                <c:pt idx="41">
                  <c:v>63.3</c:v>
                </c:pt>
                <c:pt idx="42">
                  <c:v>66.899999999999991</c:v>
                </c:pt>
                <c:pt idx="43">
                  <c:v>64.3</c:v>
                </c:pt>
                <c:pt idx="44">
                  <c:v>92.199999999999989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D2-43AD-8CC2-9651D5EEC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-561.36363636363637</c:v>
                </c:pt>
                <c:pt idx="1">
                  <c:v>-1965.1162790697674</c:v>
                </c:pt>
                <c:pt idx="2">
                  <c:v>2161.5384615384614</c:v>
                </c:pt>
                <c:pt idx="3">
                  <c:v>-869.44444444444446</c:v>
                </c:pt>
                <c:pt idx="4">
                  <c:v>1987.0967741935483</c:v>
                </c:pt>
                <c:pt idx="5">
                  <c:v>546.42857142857144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B-4752-99BF-5D57C4257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25</c:v>
                </c:pt>
                <c:pt idx="3">
                  <c:v>14</c:v>
                </c:pt>
                <c:pt idx="4">
                  <c:v>20</c:v>
                </c:pt>
                <c:pt idx="5">
                  <c:v>8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4-4123-AD90-6CC11EEE3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のり!$L$2:$L$12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  <c:pt idx="10">
                  <c:v>-13.400000000000013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2-4620-ADC8-F0E2F242E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3370</c:v>
                </c:pt>
                <c:pt idx="1">
                  <c:v>-740</c:v>
                </c:pt>
                <c:pt idx="2">
                  <c:v>-3850</c:v>
                </c:pt>
                <c:pt idx="3">
                  <c:v>-5450</c:v>
                </c:pt>
                <c:pt idx="4">
                  <c:v>5142.8571428571431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7-4C48-B421-62DA7FE37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8-4F75-A94C-2AFC4C74A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ただ!$L$2:$L$44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  <c:pt idx="36">
                  <c:v>-215.90000000000003</c:v>
                </c:pt>
                <c:pt idx="37">
                  <c:v>-222.60000000000002</c:v>
                </c:pt>
                <c:pt idx="38">
                  <c:v>-198.20000000000002</c:v>
                </c:pt>
                <c:pt idx="39">
                  <c:v>-153.30000000000001</c:v>
                </c:pt>
                <c:pt idx="40">
                  <c:v>-153.5</c:v>
                </c:pt>
                <c:pt idx="41">
                  <c:v>-200.3</c:v>
                </c:pt>
                <c:pt idx="42">
                  <c:v>-193.20000000000002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0F-4EB5-920A-412F4BBBA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680</c:v>
                </c:pt>
                <c:pt idx="1">
                  <c:v>-2204.7619047619046</c:v>
                </c:pt>
                <c:pt idx="2">
                  <c:v>-1525</c:v>
                </c:pt>
                <c:pt idx="3">
                  <c:v>1436.1111111111111</c:v>
                </c:pt>
                <c:pt idx="4">
                  <c:v>-1740</c:v>
                </c:pt>
                <c:pt idx="5">
                  <c:v>-1759.2592592592594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DF-4321-A7B1-DABE6256C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15</c:v>
                </c:pt>
                <c:pt idx="3">
                  <c:v>19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9-47C2-AA65-5BE49084A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8-4F69-9B50-38CE03A79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6-4C68-85D6-208849664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79-4275-A79E-908D08193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94-4AF8-A4E4-C91A04A2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-7160</c:v>
                </c:pt>
                <c:pt idx="1">
                  <c:v>-2425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8C-4ADE-80B7-DA29A3463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7-4604-8920-2EBD640A3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D8-4021-BB5C-FDCDA1B84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いちかわ!$O$2:$O$7</c:f>
              <c:numCache>
                <c:formatCode>\+0;\-0;\±0</c:formatCode>
                <c:ptCount val="6"/>
                <c:pt idx="0">
                  <c:v>-3766.6666666666665</c:v>
                </c:pt>
                <c:pt idx="1">
                  <c:v>800</c:v>
                </c:pt>
                <c:pt idx="2">
                  <c:v>6333.333333333333</c:v>
                </c:pt>
                <c:pt idx="3">
                  <c:v>-5133.333333333333</c:v>
                </c:pt>
                <c:pt idx="4">
                  <c:v>-6666.666666666667</c:v>
                </c:pt>
                <c:pt idx="5">
                  <c:v>5066.666666666667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19-41E8-8737-1F444C46B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いちかわ!$B$36:$B$48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71-4AF3-81A0-C51D77925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たかの2!$B$3:$B$47</c:f>
              <c:numCache>
                <c:formatCode>\+0.0;\-0.0;\±0</c:formatCode>
                <c:ptCount val="45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  <c:pt idx="34">
                  <c:v>63.800000000000011</c:v>
                </c:pt>
                <c:pt idx="35">
                  <c:v>94.4</c:v>
                </c:pt>
                <c:pt idx="36">
                  <c:v>89.100000000000009</c:v>
                </c:pt>
                <c:pt idx="37">
                  <c:v>106.30000000000001</c:v>
                </c:pt>
                <c:pt idx="38">
                  <c:v>106.9</c:v>
                </c:pt>
                <c:pt idx="39">
                  <c:v>130.1</c:v>
                </c:pt>
                <c:pt idx="40">
                  <c:v>84.1</c:v>
                </c:pt>
                <c:pt idx="41">
                  <c:v>63.3</c:v>
                </c:pt>
                <c:pt idx="42">
                  <c:v>66.899999999999991</c:v>
                </c:pt>
                <c:pt idx="43">
                  <c:v>64.3</c:v>
                </c:pt>
                <c:pt idx="44">
                  <c:v>92.199999999999989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たかの2!$C$3:$C$47</c:f>
              <c:numCache>
                <c:formatCode>\+0.0;\-0.0;\±0</c:formatCode>
                <c:ptCount val="45"/>
                <c:pt idx="1">
                  <c:v>56</c:v>
                </c:pt>
                <c:pt idx="2">
                  <c:v>68.75</c:v>
                </c:pt>
                <c:pt idx="3">
                  <c:v>53</c:v>
                </c:pt>
                <c:pt idx="4">
                  <c:v>28.1</c:v>
                </c:pt>
                <c:pt idx="5">
                  <c:v>28.060000000000002</c:v>
                </c:pt>
                <c:pt idx="6">
                  <c:v>27.883333333333336</c:v>
                </c:pt>
                <c:pt idx="7">
                  <c:v>16.914285714285715</c:v>
                </c:pt>
                <c:pt idx="8">
                  <c:v>12.100000000000001</c:v>
                </c:pt>
                <c:pt idx="9">
                  <c:v>5.7333333333333343</c:v>
                </c:pt>
                <c:pt idx="10">
                  <c:v>2.830000000000001</c:v>
                </c:pt>
                <c:pt idx="11">
                  <c:v>4.036363636363637</c:v>
                </c:pt>
                <c:pt idx="12">
                  <c:v>2.6500000000000004</c:v>
                </c:pt>
                <c:pt idx="13">
                  <c:v>6.3923076923076918</c:v>
                </c:pt>
                <c:pt idx="14">
                  <c:v>6.3857142857142852</c:v>
                </c:pt>
                <c:pt idx="15">
                  <c:v>7.5066666666666659</c:v>
                </c:pt>
                <c:pt idx="16">
                  <c:v>7.4562499999999998</c:v>
                </c:pt>
                <c:pt idx="17">
                  <c:v>4.2176470588235286</c:v>
                </c:pt>
                <c:pt idx="18">
                  <c:v>2.5222222222222217</c:v>
                </c:pt>
                <c:pt idx="19">
                  <c:v>5.2684210526315782</c:v>
                </c:pt>
                <c:pt idx="20">
                  <c:v>2.6399999999999997</c:v>
                </c:pt>
                <c:pt idx="21">
                  <c:v>1.9523809523809523</c:v>
                </c:pt>
                <c:pt idx="22">
                  <c:v>4.1136363636363633</c:v>
                </c:pt>
                <c:pt idx="23">
                  <c:v>4.2173913043478262</c:v>
                </c:pt>
                <c:pt idx="24">
                  <c:v>3.8416666666666668</c:v>
                </c:pt>
                <c:pt idx="25">
                  <c:v>1.64</c:v>
                </c:pt>
                <c:pt idx="26">
                  <c:v>3.3384615384615381</c:v>
                </c:pt>
                <c:pt idx="27">
                  <c:v>3.159259259259259</c:v>
                </c:pt>
                <c:pt idx="28">
                  <c:v>1.8035714285714286</c:v>
                </c:pt>
                <c:pt idx="29">
                  <c:v>1.9862068965517241</c:v>
                </c:pt>
                <c:pt idx="30">
                  <c:v>2.7333333333333334</c:v>
                </c:pt>
                <c:pt idx="31">
                  <c:v>2.6419354838709679</c:v>
                </c:pt>
                <c:pt idx="32">
                  <c:v>2.3781250000000003</c:v>
                </c:pt>
                <c:pt idx="33">
                  <c:v>2.560606060606061</c:v>
                </c:pt>
                <c:pt idx="34">
                  <c:v>1.8764705882352946</c:v>
                </c:pt>
                <c:pt idx="35">
                  <c:v>2.6971428571428575</c:v>
                </c:pt>
                <c:pt idx="36">
                  <c:v>2.4750000000000001</c:v>
                </c:pt>
                <c:pt idx="37">
                  <c:v>2.8729729729729732</c:v>
                </c:pt>
                <c:pt idx="38">
                  <c:v>2.8131578947368423</c:v>
                </c:pt>
                <c:pt idx="39">
                  <c:v>3.3358974358974356</c:v>
                </c:pt>
                <c:pt idx="40">
                  <c:v>2.1025</c:v>
                </c:pt>
                <c:pt idx="41">
                  <c:v>1.5439024390243903</c:v>
                </c:pt>
                <c:pt idx="42">
                  <c:v>1.5928571428571427</c:v>
                </c:pt>
                <c:pt idx="43">
                  <c:v>1.4953488372093022</c:v>
                </c:pt>
                <c:pt idx="44">
                  <c:v>2.0954545454545452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たかの2!$D$3:$D$47</c:f>
              <c:numCache>
                <c:formatCode>0.00\ "位"</c:formatCode>
                <c:ptCount val="45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1.5</c:v>
                </c:pt>
                <c:pt idx="5">
                  <c:v>1.4</c:v>
                </c:pt>
                <c:pt idx="6">
                  <c:v>1.3333333333333333</c:v>
                </c:pt>
                <c:pt idx="7">
                  <c:v>1.5714285714285714</c:v>
                </c:pt>
                <c:pt idx="8">
                  <c:v>1.75</c:v>
                </c:pt>
                <c:pt idx="9">
                  <c:v>1.8888888888888888</c:v>
                </c:pt>
                <c:pt idx="10">
                  <c:v>2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1.8461538461538463</c:v>
                </c:pt>
                <c:pt idx="14">
                  <c:v>1.8571428571428572</c:v>
                </c:pt>
                <c:pt idx="15">
                  <c:v>1.8666666666666667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2</c:v>
                </c:pt>
                <c:pt idx="19">
                  <c:v>1.9473684210526316</c:v>
                </c:pt>
                <c:pt idx="20">
                  <c:v>2</c:v>
                </c:pt>
                <c:pt idx="21">
                  <c:v>2</c:v>
                </c:pt>
                <c:pt idx="22">
                  <c:v>1.9545454545454546</c:v>
                </c:pt>
                <c:pt idx="23">
                  <c:v>1.9565217391304348</c:v>
                </c:pt>
                <c:pt idx="24">
                  <c:v>1.9583333333333333</c:v>
                </c:pt>
                <c:pt idx="25">
                  <c:v>2</c:v>
                </c:pt>
                <c:pt idx="26">
                  <c:v>1.9615384615384615</c:v>
                </c:pt>
                <c:pt idx="27">
                  <c:v>1.962962962962963</c:v>
                </c:pt>
                <c:pt idx="28">
                  <c:v>2</c:v>
                </c:pt>
                <c:pt idx="29">
                  <c:v>2</c:v>
                </c:pt>
                <c:pt idx="30">
                  <c:v>1.9666666666666666</c:v>
                </c:pt>
                <c:pt idx="31">
                  <c:v>1.967741935483871</c:v>
                </c:pt>
                <c:pt idx="32">
                  <c:v>1.96875</c:v>
                </c:pt>
                <c:pt idx="33">
                  <c:v>1.9696969696969697</c:v>
                </c:pt>
                <c:pt idx="34">
                  <c:v>2</c:v>
                </c:pt>
                <c:pt idx="35">
                  <c:v>1.9714285714285715</c:v>
                </c:pt>
                <c:pt idx="36">
                  <c:v>1.9722222222222223</c:v>
                </c:pt>
                <c:pt idx="37">
                  <c:v>1.9459459459459461</c:v>
                </c:pt>
                <c:pt idx="38">
                  <c:v>1.9473684210526316</c:v>
                </c:pt>
                <c:pt idx="39">
                  <c:v>1.9230769230769231</c:v>
                </c:pt>
                <c:pt idx="40">
                  <c:v>1.95</c:v>
                </c:pt>
                <c:pt idx="41">
                  <c:v>1.9512195121951219</c:v>
                </c:pt>
                <c:pt idx="42">
                  <c:v>1.9523809523809523</c:v>
                </c:pt>
                <c:pt idx="43">
                  <c:v>1.9534883720930232</c:v>
                </c:pt>
                <c:pt idx="44">
                  <c:v>1.9318181818181819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たかの2!$E$3:$E$47</c:f>
              <c:numCache>
                <c:formatCode>0.0%</c:formatCode>
                <c:ptCount val="45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0.7142857142857143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0.375</c:v>
                </c:pt>
                <c:pt idx="25">
                  <c:v>0.36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0.3235294117647059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0.34090909090909088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たかの2!$F$3:$F$47</c:f>
              <c:numCache>
                <c:formatCode>0.0%</c:formatCode>
                <c:ptCount val="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0.33333333333333331</c:v>
                </c:pt>
                <c:pt idx="31">
                  <c:v>0.32258064516129031</c:v>
                </c:pt>
                <c:pt idx="32">
                  <c:v>0.3125</c:v>
                </c:pt>
                <c:pt idx="33">
                  <c:v>0.30303030303030304</c:v>
                </c:pt>
                <c:pt idx="34">
                  <c:v>0.3235294117647059</c:v>
                </c:pt>
                <c:pt idx="35">
                  <c:v>0.31428571428571428</c:v>
                </c:pt>
                <c:pt idx="36">
                  <c:v>0.30555555555555558</c:v>
                </c:pt>
                <c:pt idx="37">
                  <c:v>0.29729729729729731</c:v>
                </c:pt>
                <c:pt idx="38">
                  <c:v>0.28947368421052633</c:v>
                </c:pt>
                <c:pt idx="39">
                  <c:v>0.28205128205128205</c:v>
                </c:pt>
                <c:pt idx="40">
                  <c:v>0.3</c:v>
                </c:pt>
                <c:pt idx="41">
                  <c:v>0.29268292682926828</c:v>
                </c:pt>
                <c:pt idx="42">
                  <c:v>0.2857142857142857</c:v>
                </c:pt>
                <c:pt idx="43">
                  <c:v>0.27906976744186046</c:v>
                </c:pt>
                <c:pt idx="44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たかの2!$G$3:$G$47</c:f>
              <c:numCache>
                <c:formatCode>0.0%</c:formatCode>
                <c:ptCount val="45"/>
                <c:pt idx="1">
                  <c:v>0.5</c:v>
                </c:pt>
                <c:pt idx="2">
                  <c:v>0.75</c:v>
                </c:pt>
                <c:pt idx="3">
                  <c:v>0.52173913043478259</c:v>
                </c:pt>
                <c:pt idx="4">
                  <c:v>0.4</c:v>
                </c:pt>
                <c:pt idx="5">
                  <c:v>0.4</c:v>
                </c:pt>
                <c:pt idx="6">
                  <c:v>0.39130434782608697</c:v>
                </c:pt>
                <c:pt idx="7">
                  <c:v>0.36538461538461536</c:v>
                </c:pt>
                <c:pt idx="8">
                  <c:v>0.35</c:v>
                </c:pt>
                <c:pt idx="9">
                  <c:v>0.328125</c:v>
                </c:pt>
                <c:pt idx="10">
                  <c:v>0.30555555555555558</c:v>
                </c:pt>
                <c:pt idx="11">
                  <c:v>0.32051282051282054</c:v>
                </c:pt>
                <c:pt idx="12">
                  <c:v>0.32926829268292684</c:v>
                </c:pt>
                <c:pt idx="13">
                  <c:v>0.36046511627906974</c:v>
                </c:pt>
                <c:pt idx="14">
                  <c:v>0.34375</c:v>
                </c:pt>
                <c:pt idx="15">
                  <c:v>0.34653465346534651</c:v>
                </c:pt>
                <c:pt idx="16">
                  <c:v>0.34862385321100919</c:v>
                </c:pt>
                <c:pt idx="17">
                  <c:v>0.33613445378151263</c:v>
                </c:pt>
                <c:pt idx="18">
                  <c:v>0.32539682539682541</c:v>
                </c:pt>
                <c:pt idx="19">
                  <c:v>0.33333333333333331</c:v>
                </c:pt>
                <c:pt idx="20">
                  <c:v>0.32116788321167883</c:v>
                </c:pt>
                <c:pt idx="21">
                  <c:v>0.31034482758620691</c:v>
                </c:pt>
                <c:pt idx="22">
                  <c:v>0.32484076433121017</c:v>
                </c:pt>
                <c:pt idx="23">
                  <c:v>0.32515337423312884</c:v>
                </c:pt>
                <c:pt idx="24">
                  <c:v>0.32369942196531792</c:v>
                </c:pt>
                <c:pt idx="25">
                  <c:v>0.30939226519337015</c:v>
                </c:pt>
                <c:pt idx="26">
                  <c:v>0.31413612565445026</c:v>
                </c:pt>
                <c:pt idx="27">
                  <c:v>0.30964467005076141</c:v>
                </c:pt>
                <c:pt idx="28">
                  <c:v>0.30582524271844658</c:v>
                </c:pt>
                <c:pt idx="29">
                  <c:v>0.31132075471698112</c:v>
                </c:pt>
                <c:pt idx="30">
                  <c:v>0.31192660550458717</c:v>
                </c:pt>
                <c:pt idx="31">
                  <c:v>0.31555555555555553</c:v>
                </c:pt>
                <c:pt idx="32">
                  <c:v>0.31120331950207469</c:v>
                </c:pt>
                <c:pt idx="33">
                  <c:v>0.3147410358565737</c:v>
                </c:pt>
                <c:pt idx="34">
                  <c:v>0.31517509727626458</c:v>
                </c:pt>
                <c:pt idx="35">
                  <c:v>0.3193916349809886</c:v>
                </c:pt>
                <c:pt idx="36">
                  <c:v>0.32</c:v>
                </c:pt>
                <c:pt idx="37">
                  <c:v>0.32508833922261482</c:v>
                </c:pt>
                <c:pt idx="38">
                  <c:v>0.32423208191126279</c:v>
                </c:pt>
                <c:pt idx="39">
                  <c:v>0.32894736842105265</c:v>
                </c:pt>
                <c:pt idx="40">
                  <c:v>0.32679738562091504</c:v>
                </c:pt>
                <c:pt idx="41">
                  <c:v>0.330188679245283</c:v>
                </c:pt>
                <c:pt idx="42">
                  <c:v>0.33333333333333331</c:v>
                </c:pt>
                <c:pt idx="43">
                  <c:v>0.33233532934131738</c:v>
                </c:pt>
                <c:pt idx="44">
                  <c:v>0.33526011560693642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9266603714195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たかの2!$H$3:$H$47</c:f>
              <c:numCache>
                <c:formatCode>0.0%</c:formatCode>
                <c:ptCount val="45"/>
                <c:pt idx="1">
                  <c:v>0.25</c:v>
                </c:pt>
                <c:pt idx="2">
                  <c:v>8.3333333333333329E-2</c:v>
                </c:pt>
                <c:pt idx="3">
                  <c:v>8.6956521739130432E-2</c:v>
                </c:pt>
                <c:pt idx="4">
                  <c:v>0.13333333333333333</c:v>
                </c:pt>
                <c:pt idx="5">
                  <c:v>0.125</c:v>
                </c:pt>
                <c:pt idx="6">
                  <c:v>0.10869565217391304</c:v>
                </c:pt>
                <c:pt idx="7">
                  <c:v>0.13461538461538461</c:v>
                </c:pt>
                <c:pt idx="8">
                  <c:v>0.13333333333333333</c:v>
                </c:pt>
                <c:pt idx="9">
                  <c:v>0.171875</c:v>
                </c:pt>
                <c:pt idx="10">
                  <c:v>0.15277777777777779</c:v>
                </c:pt>
                <c:pt idx="11">
                  <c:v>0.14102564102564102</c:v>
                </c:pt>
                <c:pt idx="12">
                  <c:v>0.13414634146341464</c:v>
                </c:pt>
                <c:pt idx="13">
                  <c:v>0.12790697674418605</c:v>
                </c:pt>
                <c:pt idx="14">
                  <c:v>0.125</c:v>
                </c:pt>
                <c:pt idx="15">
                  <c:v>0.11881188118811881</c:v>
                </c:pt>
                <c:pt idx="16">
                  <c:v>0.11926605504587157</c:v>
                </c:pt>
                <c:pt idx="17">
                  <c:v>0.14285714285714285</c:v>
                </c:pt>
                <c:pt idx="18">
                  <c:v>0.14285714285714285</c:v>
                </c:pt>
                <c:pt idx="19">
                  <c:v>0.13636363636363635</c:v>
                </c:pt>
                <c:pt idx="20">
                  <c:v>0.145985401459854</c:v>
                </c:pt>
                <c:pt idx="21">
                  <c:v>0.14482758620689656</c:v>
                </c:pt>
                <c:pt idx="22">
                  <c:v>0.13375796178343949</c:v>
                </c:pt>
                <c:pt idx="23">
                  <c:v>0.13496932515337423</c:v>
                </c:pt>
                <c:pt idx="24">
                  <c:v>0.13294797687861271</c:v>
                </c:pt>
                <c:pt idx="25">
                  <c:v>0.13259668508287292</c:v>
                </c:pt>
                <c:pt idx="26">
                  <c:v>0.14136125654450263</c:v>
                </c:pt>
                <c:pt idx="27">
                  <c:v>0.14213197969543148</c:v>
                </c:pt>
                <c:pt idx="28">
                  <c:v>0.14563106796116504</c:v>
                </c:pt>
                <c:pt idx="29">
                  <c:v>0.14150943396226415</c:v>
                </c:pt>
                <c:pt idx="30">
                  <c:v>0.13761467889908258</c:v>
                </c:pt>
                <c:pt idx="31">
                  <c:v>0.13333333333333333</c:v>
                </c:pt>
                <c:pt idx="32">
                  <c:v>0.13692946058091288</c:v>
                </c:pt>
                <c:pt idx="33">
                  <c:v>0.1394422310756972</c:v>
                </c:pt>
                <c:pt idx="34">
                  <c:v>0.14396887159533073</c:v>
                </c:pt>
                <c:pt idx="35">
                  <c:v>0.14068441064638784</c:v>
                </c:pt>
                <c:pt idx="36">
                  <c:v>0.14181818181818182</c:v>
                </c:pt>
                <c:pt idx="37">
                  <c:v>0.14134275618374559</c:v>
                </c:pt>
                <c:pt idx="38">
                  <c:v>0.13993174061433447</c:v>
                </c:pt>
                <c:pt idx="39">
                  <c:v>0.13486842105263158</c:v>
                </c:pt>
                <c:pt idx="40">
                  <c:v>0.13725490196078433</c:v>
                </c:pt>
                <c:pt idx="41">
                  <c:v>0.14150943396226415</c:v>
                </c:pt>
                <c:pt idx="42">
                  <c:v>0.1388888888888889</c:v>
                </c:pt>
                <c:pt idx="43">
                  <c:v>0.1437125748502994</c:v>
                </c:pt>
                <c:pt idx="44">
                  <c:v>0.1416184971098266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085930122757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たかの2!$I$3:$I$47</c:f>
              <c:numCache>
                <c:formatCode>0</c:formatCode>
                <c:ptCount val="45"/>
                <c:pt idx="1">
                  <c:v>28000</c:v>
                </c:pt>
                <c:pt idx="2">
                  <c:v>12555.555555555555</c:v>
                </c:pt>
                <c:pt idx="3">
                  <c:v>11216.666666666666</c:v>
                </c:pt>
                <c:pt idx="4">
                  <c:v>11216.666666666666</c:v>
                </c:pt>
                <c:pt idx="5">
                  <c:v>10318.75</c:v>
                </c:pt>
                <c:pt idx="6">
                  <c:v>10283.333333333334</c:v>
                </c:pt>
                <c:pt idx="7">
                  <c:v>9878.9473684210534</c:v>
                </c:pt>
                <c:pt idx="8">
                  <c:v>9185.7142857142862</c:v>
                </c:pt>
                <c:pt idx="9">
                  <c:v>9185.7142857142862</c:v>
                </c:pt>
                <c:pt idx="10">
                  <c:v>8836.363636363636</c:v>
                </c:pt>
                <c:pt idx="11">
                  <c:v>8184</c:v>
                </c:pt>
                <c:pt idx="12">
                  <c:v>8148.1481481481478</c:v>
                </c:pt>
                <c:pt idx="13">
                  <c:v>8300</c:v>
                </c:pt>
                <c:pt idx="14">
                  <c:v>8221.2121212121219</c:v>
                </c:pt>
                <c:pt idx="15">
                  <c:v>8305.7142857142862</c:v>
                </c:pt>
                <c:pt idx="16">
                  <c:v>7971.0526315789475</c:v>
                </c:pt>
                <c:pt idx="17">
                  <c:v>7675</c:v>
                </c:pt>
                <c:pt idx="18">
                  <c:v>7682.9268292682927</c:v>
                </c:pt>
                <c:pt idx="19">
                  <c:v>8250</c:v>
                </c:pt>
                <c:pt idx="20">
                  <c:v>8250</c:v>
                </c:pt>
                <c:pt idx="21">
                  <c:v>8153.333333333333</c:v>
                </c:pt>
                <c:pt idx="22">
                  <c:v>8037.2549019607841</c:v>
                </c:pt>
                <c:pt idx="23">
                  <c:v>7958.4905660377362</c:v>
                </c:pt>
                <c:pt idx="24">
                  <c:v>7930.3571428571431</c:v>
                </c:pt>
                <c:pt idx="25">
                  <c:v>7930.3571428571431</c:v>
                </c:pt>
                <c:pt idx="26">
                  <c:v>8308.3333333333339</c:v>
                </c:pt>
                <c:pt idx="27">
                  <c:v>8236.065573770491</c:v>
                </c:pt>
                <c:pt idx="28">
                  <c:v>8120.6349206349205</c:v>
                </c:pt>
                <c:pt idx="29">
                  <c:v>8086.363636363636</c:v>
                </c:pt>
                <c:pt idx="30">
                  <c:v>7964.7058823529414</c:v>
                </c:pt>
                <c:pt idx="31">
                  <c:v>7805.6338028169012</c:v>
                </c:pt>
                <c:pt idx="32">
                  <c:v>7746.666666666667</c:v>
                </c:pt>
                <c:pt idx="33">
                  <c:v>7745.5696202531644</c:v>
                </c:pt>
                <c:pt idx="34">
                  <c:v>7734.5679012345681</c:v>
                </c:pt>
                <c:pt idx="35">
                  <c:v>7826.1904761904761</c:v>
                </c:pt>
                <c:pt idx="36">
                  <c:v>7734.090909090909</c:v>
                </c:pt>
                <c:pt idx="37">
                  <c:v>7679.347826086957</c:v>
                </c:pt>
                <c:pt idx="38">
                  <c:v>7632.6315789473683</c:v>
                </c:pt>
                <c:pt idx="39">
                  <c:v>7380</c:v>
                </c:pt>
                <c:pt idx="40">
                  <c:v>7380</c:v>
                </c:pt>
                <c:pt idx="41">
                  <c:v>7329.5238095238092</c:v>
                </c:pt>
                <c:pt idx="42">
                  <c:v>7228.7037037037035</c:v>
                </c:pt>
                <c:pt idx="43">
                  <c:v>7296.3963963963961</c:v>
                </c:pt>
                <c:pt idx="44">
                  <c:v>7188.7931034482763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43.09031556039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たかの2!$J$3:$J$47</c:f>
              <c:numCache>
                <c:formatCode>0</c:formatCode>
                <c:ptCount val="45"/>
                <c:pt idx="1">
                  <c:v>-12000</c:v>
                </c:pt>
                <c:pt idx="2">
                  <c:v>-12000</c:v>
                </c:pt>
                <c:pt idx="3">
                  <c:v>-6800</c:v>
                </c:pt>
                <c:pt idx="4">
                  <c:v>-4225</c:v>
                </c:pt>
                <c:pt idx="5">
                  <c:v>-4980</c:v>
                </c:pt>
                <c:pt idx="6">
                  <c:v>-4980</c:v>
                </c:pt>
                <c:pt idx="7">
                  <c:v>-9271.4285714285706</c:v>
                </c:pt>
                <c:pt idx="8">
                  <c:v>-8237.5</c:v>
                </c:pt>
                <c:pt idx="9">
                  <c:v>-8509.0909090909099</c:v>
                </c:pt>
                <c:pt idx="10">
                  <c:v>-8509.0909090909099</c:v>
                </c:pt>
                <c:pt idx="11">
                  <c:v>-8509.0909090909099</c:v>
                </c:pt>
                <c:pt idx="12">
                  <c:v>-8509.0909090909099</c:v>
                </c:pt>
                <c:pt idx="13">
                  <c:v>-8509.0909090909099</c:v>
                </c:pt>
                <c:pt idx="14">
                  <c:v>-8041.666666666667</c:v>
                </c:pt>
                <c:pt idx="15">
                  <c:v>-8041.666666666667</c:v>
                </c:pt>
                <c:pt idx="16">
                  <c:v>-7576.9230769230771</c:v>
                </c:pt>
                <c:pt idx="17">
                  <c:v>-6929.411764705882</c:v>
                </c:pt>
                <c:pt idx="18">
                  <c:v>-7211.1111111111113</c:v>
                </c:pt>
                <c:pt idx="19">
                  <c:v>-7211.1111111111113</c:v>
                </c:pt>
                <c:pt idx="20">
                  <c:v>-7775</c:v>
                </c:pt>
                <c:pt idx="21">
                  <c:v>-7785.7142857142853</c:v>
                </c:pt>
                <c:pt idx="22">
                  <c:v>-7785.7142857142853</c:v>
                </c:pt>
                <c:pt idx="23">
                  <c:v>-7609.090909090909</c:v>
                </c:pt>
                <c:pt idx="24">
                  <c:v>-7447.826086956522</c:v>
                </c:pt>
                <c:pt idx="25">
                  <c:v>-7887.5</c:v>
                </c:pt>
                <c:pt idx="26">
                  <c:v>-7514.8148148148148</c:v>
                </c:pt>
                <c:pt idx="27">
                  <c:v>-7385.7142857142853</c:v>
                </c:pt>
                <c:pt idx="28">
                  <c:v>-7280</c:v>
                </c:pt>
                <c:pt idx="29">
                  <c:v>-7280</c:v>
                </c:pt>
                <c:pt idx="30">
                  <c:v>-7280</c:v>
                </c:pt>
                <c:pt idx="31">
                  <c:v>-7280</c:v>
                </c:pt>
                <c:pt idx="32">
                  <c:v>-6827.272727272727</c:v>
                </c:pt>
                <c:pt idx="33">
                  <c:v>-7008.5714285714284</c:v>
                </c:pt>
                <c:pt idx="34">
                  <c:v>-7170.27027027027</c:v>
                </c:pt>
                <c:pt idx="35">
                  <c:v>-7170.27027027027</c:v>
                </c:pt>
                <c:pt idx="36">
                  <c:v>-7315.3846153846152</c:v>
                </c:pt>
                <c:pt idx="37">
                  <c:v>-7325</c:v>
                </c:pt>
                <c:pt idx="38">
                  <c:v>-7334.1463414634145</c:v>
                </c:pt>
                <c:pt idx="39">
                  <c:v>-7334.1463414634145</c:v>
                </c:pt>
                <c:pt idx="40">
                  <c:v>-7921.4285714285716</c:v>
                </c:pt>
                <c:pt idx="41">
                  <c:v>-8168.8888888888887</c:v>
                </c:pt>
                <c:pt idx="42">
                  <c:v>-8168.8888888888887</c:v>
                </c:pt>
                <c:pt idx="43">
                  <c:v>-8281.25</c:v>
                </c:pt>
                <c:pt idx="44">
                  <c:v>-8171.4285714285716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46.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たかの2!$K$3:$K$47</c:f>
              <c:numCache>
                <c:formatCode>0.0%</c:formatCode>
                <c:ptCount val="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0.24</c:v>
                </c:pt>
                <c:pt idx="26">
                  <c:v>0.23076923076923078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0.15789473684210525</c:v>
                </c:pt>
                <c:pt idx="39">
                  <c:v>0.15384615384615385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526315789473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たかの2!$L$3:$L$47</c:f>
              <c:numCache>
                <c:formatCode>0.0%</c:formatCode>
                <c:ptCount val="45"/>
                <c:pt idx="1">
                  <c:v>0</c:v>
                </c:pt>
                <c:pt idx="2">
                  <c:v>0.33333333333333331</c:v>
                </c:pt>
                <c:pt idx="3">
                  <c:v>0.2608695652173913</c:v>
                </c:pt>
                <c:pt idx="4">
                  <c:v>0.23333333333333334</c:v>
                </c:pt>
                <c:pt idx="5">
                  <c:v>0.22500000000000001</c:v>
                </c:pt>
                <c:pt idx="6">
                  <c:v>0.2391304347826087</c:v>
                </c:pt>
                <c:pt idx="7">
                  <c:v>0.23076923076923078</c:v>
                </c:pt>
                <c:pt idx="8">
                  <c:v>0.21666666666666667</c:v>
                </c:pt>
                <c:pt idx="9">
                  <c:v>0.203125</c:v>
                </c:pt>
                <c:pt idx="10">
                  <c:v>0.18055555555555555</c:v>
                </c:pt>
                <c:pt idx="11">
                  <c:v>0.17948717948717949</c:v>
                </c:pt>
                <c:pt idx="12">
                  <c:v>0.17073170731707318</c:v>
                </c:pt>
                <c:pt idx="13">
                  <c:v>0.18604651162790697</c:v>
                </c:pt>
                <c:pt idx="14">
                  <c:v>0.17708333333333334</c:v>
                </c:pt>
                <c:pt idx="15">
                  <c:v>0.18811881188118812</c:v>
                </c:pt>
                <c:pt idx="16">
                  <c:v>0.1743119266055046</c:v>
                </c:pt>
                <c:pt idx="17">
                  <c:v>0.16806722689075632</c:v>
                </c:pt>
                <c:pt idx="18">
                  <c:v>0.15873015873015872</c:v>
                </c:pt>
                <c:pt idx="19">
                  <c:v>0.15909090909090909</c:v>
                </c:pt>
                <c:pt idx="20">
                  <c:v>0.15328467153284672</c:v>
                </c:pt>
                <c:pt idx="21">
                  <c:v>0.15172413793103448</c:v>
                </c:pt>
                <c:pt idx="22">
                  <c:v>0.1464968152866242</c:v>
                </c:pt>
                <c:pt idx="23">
                  <c:v>0.1411042944785276</c:v>
                </c:pt>
                <c:pt idx="24">
                  <c:v>0.14450867052023122</c:v>
                </c:pt>
                <c:pt idx="25">
                  <c:v>0.13812154696132597</c:v>
                </c:pt>
                <c:pt idx="26">
                  <c:v>0.14136125654450263</c:v>
                </c:pt>
                <c:pt idx="27">
                  <c:v>0.13705583756345177</c:v>
                </c:pt>
                <c:pt idx="28">
                  <c:v>0.14077669902912621</c:v>
                </c:pt>
                <c:pt idx="29">
                  <c:v>0.14150943396226415</c:v>
                </c:pt>
                <c:pt idx="30">
                  <c:v>0.13761467889908258</c:v>
                </c:pt>
                <c:pt idx="31">
                  <c:v>0.13333333333333333</c:v>
                </c:pt>
                <c:pt idx="32">
                  <c:v>0.13278008298755187</c:v>
                </c:pt>
                <c:pt idx="33">
                  <c:v>0.1394422310756972</c:v>
                </c:pt>
                <c:pt idx="34">
                  <c:v>0.14785992217898833</c:v>
                </c:pt>
                <c:pt idx="35">
                  <c:v>0.15209125475285171</c:v>
                </c:pt>
                <c:pt idx="36">
                  <c:v>0.15272727272727274</c:v>
                </c:pt>
                <c:pt idx="37">
                  <c:v>0.15547703180212014</c:v>
                </c:pt>
                <c:pt idx="38">
                  <c:v>0.15017064846416384</c:v>
                </c:pt>
                <c:pt idx="39">
                  <c:v>0.15460526315789475</c:v>
                </c:pt>
                <c:pt idx="40">
                  <c:v>0.15686274509803921</c:v>
                </c:pt>
                <c:pt idx="41">
                  <c:v>0.16037735849056603</c:v>
                </c:pt>
                <c:pt idx="42">
                  <c:v>0.16049382716049382</c:v>
                </c:pt>
                <c:pt idx="43">
                  <c:v>0.16467065868263472</c:v>
                </c:pt>
                <c:pt idx="44">
                  <c:v>0.16184971098265896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8589864652187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たかの2!$M$3:$M$47</c:f>
              <c:numCache>
                <c:formatCode>0.0%</c:formatCode>
                <c:ptCount val="45"/>
                <c:pt idx="1">
                  <c:v>0.5</c:v>
                </c:pt>
                <c:pt idx="2">
                  <c:v>0.25</c:v>
                </c:pt>
                <c:pt idx="3">
                  <c:v>0.2608695652173913</c:v>
                </c:pt>
                <c:pt idx="4">
                  <c:v>0.33333333333333331</c:v>
                </c:pt>
                <c:pt idx="5">
                  <c:v>0.375</c:v>
                </c:pt>
                <c:pt idx="6">
                  <c:v>0.36956521739130432</c:v>
                </c:pt>
                <c:pt idx="7">
                  <c:v>0.34615384615384615</c:v>
                </c:pt>
                <c:pt idx="8">
                  <c:v>0.4</c:v>
                </c:pt>
                <c:pt idx="9">
                  <c:v>0.421875</c:v>
                </c:pt>
                <c:pt idx="10">
                  <c:v>0.3888888888888889</c:v>
                </c:pt>
                <c:pt idx="11">
                  <c:v>0.37179487179487181</c:v>
                </c:pt>
                <c:pt idx="12">
                  <c:v>0.37804878048780488</c:v>
                </c:pt>
                <c:pt idx="13">
                  <c:v>0.38372093023255816</c:v>
                </c:pt>
                <c:pt idx="14">
                  <c:v>0.36458333333333331</c:v>
                </c:pt>
                <c:pt idx="15">
                  <c:v>0.35643564356435642</c:v>
                </c:pt>
                <c:pt idx="16">
                  <c:v>0.3577981651376147</c:v>
                </c:pt>
                <c:pt idx="17">
                  <c:v>0.33613445378151263</c:v>
                </c:pt>
                <c:pt idx="18">
                  <c:v>0.34126984126984128</c:v>
                </c:pt>
                <c:pt idx="19">
                  <c:v>0.34090909090909088</c:v>
                </c:pt>
                <c:pt idx="20">
                  <c:v>0.33576642335766421</c:v>
                </c:pt>
                <c:pt idx="21">
                  <c:v>0.33103448275862069</c:v>
                </c:pt>
                <c:pt idx="22">
                  <c:v>0.33121019108280253</c:v>
                </c:pt>
                <c:pt idx="23">
                  <c:v>0.33128834355828218</c:v>
                </c:pt>
                <c:pt idx="24">
                  <c:v>0.33526011560693642</c:v>
                </c:pt>
                <c:pt idx="25">
                  <c:v>0.32044198895027626</c:v>
                </c:pt>
                <c:pt idx="26">
                  <c:v>0.31413612565445026</c:v>
                </c:pt>
                <c:pt idx="27">
                  <c:v>0.32487309644670048</c:v>
                </c:pt>
                <c:pt idx="28">
                  <c:v>0.32524271844660196</c:v>
                </c:pt>
                <c:pt idx="29">
                  <c:v>0.32075471698113206</c:v>
                </c:pt>
                <c:pt idx="30">
                  <c:v>0.33027522935779818</c:v>
                </c:pt>
                <c:pt idx="31">
                  <c:v>0.33333333333333331</c:v>
                </c:pt>
                <c:pt idx="32">
                  <c:v>0.35269709543568467</c:v>
                </c:pt>
                <c:pt idx="33">
                  <c:v>0.36254980079681276</c:v>
                </c:pt>
                <c:pt idx="34">
                  <c:v>0.35408560311284049</c:v>
                </c:pt>
                <c:pt idx="35">
                  <c:v>0.34980988593155893</c:v>
                </c:pt>
                <c:pt idx="36">
                  <c:v>0.35272727272727272</c:v>
                </c:pt>
                <c:pt idx="37">
                  <c:v>0.3462897526501767</c:v>
                </c:pt>
                <c:pt idx="38">
                  <c:v>0.34812286689419797</c:v>
                </c:pt>
                <c:pt idx="39">
                  <c:v>0.35197368421052633</c:v>
                </c:pt>
                <c:pt idx="40">
                  <c:v>0.34967320261437906</c:v>
                </c:pt>
                <c:pt idx="41">
                  <c:v>0.34905660377358488</c:v>
                </c:pt>
                <c:pt idx="42">
                  <c:v>0.35185185185185186</c:v>
                </c:pt>
                <c:pt idx="43">
                  <c:v>0.35029940119760478</c:v>
                </c:pt>
                <c:pt idx="44">
                  <c:v>0.3583815028901734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711362920994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たかの2!$N$3:$N$47</c:f>
              <c:numCache>
                <c:formatCode>0.0%</c:formatCode>
                <c:ptCount val="45"/>
                <c:pt idx="1">
                  <c:v>0</c:v>
                </c:pt>
                <c:pt idx="2">
                  <c:v>1</c:v>
                </c:pt>
                <c:pt idx="3">
                  <c:v>0.66666666666666663</c:v>
                </c:pt>
                <c:pt idx="4">
                  <c:v>0.5714285714285714</c:v>
                </c:pt>
                <c:pt idx="5">
                  <c:v>0.55555555555555558</c:v>
                </c:pt>
                <c:pt idx="6">
                  <c:v>0.63636363636363635</c:v>
                </c:pt>
                <c:pt idx="7">
                  <c:v>0.58333333333333337</c:v>
                </c:pt>
                <c:pt idx="8">
                  <c:v>0.53846153846153844</c:v>
                </c:pt>
                <c:pt idx="9">
                  <c:v>0.53846153846153844</c:v>
                </c:pt>
                <c:pt idx="10">
                  <c:v>0.53846153846153844</c:v>
                </c:pt>
                <c:pt idx="11">
                  <c:v>0.5714285714285714</c:v>
                </c:pt>
                <c:pt idx="12">
                  <c:v>0.5714285714285714</c:v>
                </c:pt>
                <c:pt idx="13">
                  <c:v>0.625</c:v>
                </c:pt>
                <c:pt idx="14">
                  <c:v>0.6470588235294118</c:v>
                </c:pt>
                <c:pt idx="15">
                  <c:v>0.63157894736842102</c:v>
                </c:pt>
                <c:pt idx="16">
                  <c:v>0.63157894736842102</c:v>
                </c:pt>
                <c:pt idx="17">
                  <c:v>0.6</c:v>
                </c:pt>
                <c:pt idx="18">
                  <c:v>0.6</c:v>
                </c:pt>
                <c:pt idx="19">
                  <c:v>0.61904761904761907</c:v>
                </c:pt>
                <c:pt idx="20">
                  <c:v>0.61904761904761907</c:v>
                </c:pt>
                <c:pt idx="21">
                  <c:v>0.59090909090909094</c:v>
                </c:pt>
                <c:pt idx="22">
                  <c:v>0.60869565217391308</c:v>
                </c:pt>
                <c:pt idx="23">
                  <c:v>0.60869565217391308</c:v>
                </c:pt>
                <c:pt idx="24">
                  <c:v>0.6</c:v>
                </c:pt>
                <c:pt idx="25">
                  <c:v>0.6</c:v>
                </c:pt>
                <c:pt idx="26">
                  <c:v>0.62962962962962965</c:v>
                </c:pt>
                <c:pt idx="27">
                  <c:v>0.62962962962962965</c:v>
                </c:pt>
                <c:pt idx="28">
                  <c:v>0.62068965517241381</c:v>
                </c:pt>
                <c:pt idx="29">
                  <c:v>0.6333333333333333</c:v>
                </c:pt>
                <c:pt idx="30">
                  <c:v>0.6333333333333333</c:v>
                </c:pt>
                <c:pt idx="31">
                  <c:v>0.6333333333333333</c:v>
                </c:pt>
                <c:pt idx="32">
                  <c:v>0.625</c:v>
                </c:pt>
                <c:pt idx="33">
                  <c:v>0.6</c:v>
                </c:pt>
                <c:pt idx="34">
                  <c:v>0.60526315789473684</c:v>
                </c:pt>
                <c:pt idx="35">
                  <c:v>0.625</c:v>
                </c:pt>
                <c:pt idx="36">
                  <c:v>0.6428571428571429</c:v>
                </c:pt>
                <c:pt idx="37">
                  <c:v>0.65909090909090906</c:v>
                </c:pt>
                <c:pt idx="38">
                  <c:v>0.65909090909090906</c:v>
                </c:pt>
                <c:pt idx="39">
                  <c:v>0.61702127659574468</c:v>
                </c:pt>
                <c:pt idx="40">
                  <c:v>0.60416666666666663</c:v>
                </c:pt>
                <c:pt idx="41">
                  <c:v>0.58823529411764708</c:v>
                </c:pt>
                <c:pt idx="42">
                  <c:v>0.57692307692307687</c:v>
                </c:pt>
                <c:pt idx="43">
                  <c:v>0.58181818181818179</c:v>
                </c:pt>
                <c:pt idx="44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9366754617414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たかの2!$O$3:$O$47</c:f>
              <c:numCache>
                <c:formatCode>0.0%</c:formatCode>
                <c:ptCount val="45"/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0.3</c:v>
                </c:pt>
                <c:pt idx="5">
                  <c:v>0.4</c:v>
                </c:pt>
                <c:pt idx="6">
                  <c:v>0.35294117647058826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0.29629629629629628</c:v>
                </c:pt>
                <c:pt idx="10">
                  <c:v>0.32142857142857145</c:v>
                </c:pt>
                <c:pt idx="11">
                  <c:v>0.34482758620689657</c:v>
                </c:pt>
                <c:pt idx="12">
                  <c:v>0.38709677419354838</c:v>
                </c:pt>
                <c:pt idx="13">
                  <c:v>0.42424242424242425</c:v>
                </c:pt>
                <c:pt idx="14">
                  <c:v>0.4</c:v>
                </c:pt>
                <c:pt idx="15">
                  <c:v>0.41666666666666669</c:v>
                </c:pt>
                <c:pt idx="16">
                  <c:v>0.41025641025641024</c:v>
                </c:pt>
                <c:pt idx="17">
                  <c:v>0.42499999999999999</c:v>
                </c:pt>
                <c:pt idx="18">
                  <c:v>0.41860465116279072</c:v>
                </c:pt>
                <c:pt idx="19">
                  <c:v>0.42222222222222222</c:v>
                </c:pt>
                <c:pt idx="20">
                  <c:v>0.41304347826086957</c:v>
                </c:pt>
                <c:pt idx="21">
                  <c:v>0.41666666666666669</c:v>
                </c:pt>
                <c:pt idx="22">
                  <c:v>0.44230769230769229</c:v>
                </c:pt>
                <c:pt idx="23">
                  <c:v>0.46296296296296297</c:v>
                </c:pt>
                <c:pt idx="24">
                  <c:v>0.44827586206896552</c:v>
                </c:pt>
                <c:pt idx="25">
                  <c:v>0.44827586206896552</c:v>
                </c:pt>
                <c:pt idx="26">
                  <c:v>0.43333333333333335</c:v>
                </c:pt>
                <c:pt idx="27">
                  <c:v>0.40625</c:v>
                </c:pt>
                <c:pt idx="28">
                  <c:v>0.40298507462686567</c:v>
                </c:pt>
                <c:pt idx="29">
                  <c:v>0.41176470588235292</c:v>
                </c:pt>
                <c:pt idx="30">
                  <c:v>0.41666666666666669</c:v>
                </c:pt>
                <c:pt idx="31">
                  <c:v>0.42666666666666669</c:v>
                </c:pt>
                <c:pt idx="32">
                  <c:v>0.41176470588235292</c:v>
                </c:pt>
                <c:pt idx="33">
                  <c:v>0.4175824175824176</c:v>
                </c:pt>
                <c:pt idx="34">
                  <c:v>0.4175824175824176</c:v>
                </c:pt>
                <c:pt idx="35">
                  <c:v>0.42391304347826086</c:v>
                </c:pt>
                <c:pt idx="36">
                  <c:v>0.42268041237113402</c:v>
                </c:pt>
                <c:pt idx="37">
                  <c:v>0.41836734693877553</c:v>
                </c:pt>
                <c:pt idx="38">
                  <c:v>0.42156862745098039</c:v>
                </c:pt>
                <c:pt idx="39">
                  <c:v>0.42990654205607476</c:v>
                </c:pt>
                <c:pt idx="40">
                  <c:v>0.42990654205607476</c:v>
                </c:pt>
                <c:pt idx="41">
                  <c:v>0.44144144144144143</c:v>
                </c:pt>
                <c:pt idx="42">
                  <c:v>0.44736842105263158</c:v>
                </c:pt>
                <c:pt idx="43">
                  <c:v>0.4358974358974359</c:v>
                </c:pt>
                <c:pt idx="44">
                  <c:v>0.42741935483870969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3373860182370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たかの2!$P$3:$P$47</c:f>
              <c:numCache>
                <c:formatCode>0.0%</c:formatCode>
                <c:ptCount val="45"/>
                <c:pt idx="1">
                  <c:v>1</c:v>
                </c:pt>
                <c:pt idx="2">
                  <c:v>0.55555555555555558</c:v>
                </c:pt>
                <c:pt idx="3">
                  <c:v>0.5</c:v>
                </c:pt>
                <c:pt idx="4">
                  <c:v>0.5</c:v>
                </c:pt>
                <c:pt idx="5">
                  <c:v>0.4375</c:v>
                </c:pt>
                <c:pt idx="6">
                  <c:v>0.5</c:v>
                </c:pt>
                <c:pt idx="7">
                  <c:v>0.47368421052631576</c:v>
                </c:pt>
                <c:pt idx="8">
                  <c:v>0.42857142857142855</c:v>
                </c:pt>
                <c:pt idx="9">
                  <c:v>0.42857142857142855</c:v>
                </c:pt>
                <c:pt idx="10">
                  <c:v>0.40909090909090912</c:v>
                </c:pt>
                <c:pt idx="11">
                  <c:v>0.48</c:v>
                </c:pt>
                <c:pt idx="12">
                  <c:v>0.51851851851851849</c:v>
                </c:pt>
                <c:pt idx="13">
                  <c:v>0.4838709677419355</c:v>
                </c:pt>
                <c:pt idx="14">
                  <c:v>0.45454545454545453</c:v>
                </c:pt>
                <c:pt idx="15">
                  <c:v>0.48571428571428571</c:v>
                </c:pt>
                <c:pt idx="16">
                  <c:v>0.5</c:v>
                </c:pt>
                <c:pt idx="17">
                  <c:v>0.5</c:v>
                </c:pt>
                <c:pt idx="18">
                  <c:v>0.48780487804878048</c:v>
                </c:pt>
                <c:pt idx="19">
                  <c:v>0.52272727272727271</c:v>
                </c:pt>
                <c:pt idx="20">
                  <c:v>0.52272727272727271</c:v>
                </c:pt>
                <c:pt idx="21">
                  <c:v>0.51111111111111107</c:v>
                </c:pt>
                <c:pt idx="22">
                  <c:v>0.49019607843137253</c:v>
                </c:pt>
                <c:pt idx="23">
                  <c:v>0.47169811320754718</c:v>
                </c:pt>
                <c:pt idx="24">
                  <c:v>0.44642857142857145</c:v>
                </c:pt>
                <c:pt idx="25">
                  <c:v>0.44642857142857145</c:v>
                </c:pt>
                <c:pt idx="26">
                  <c:v>0.46666666666666667</c:v>
                </c:pt>
                <c:pt idx="27">
                  <c:v>0.45901639344262296</c:v>
                </c:pt>
                <c:pt idx="28">
                  <c:v>0.46031746031746029</c:v>
                </c:pt>
                <c:pt idx="29">
                  <c:v>0.46969696969696972</c:v>
                </c:pt>
                <c:pt idx="30">
                  <c:v>0.47058823529411764</c:v>
                </c:pt>
                <c:pt idx="31">
                  <c:v>0.46478873239436619</c:v>
                </c:pt>
                <c:pt idx="32">
                  <c:v>0.46666666666666667</c:v>
                </c:pt>
                <c:pt idx="33">
                  <c:v>0.44303797468354428</c:v>
                </c:pt>
                <c:pt idx="34">
                  <c:v>0.44444444444444442</c:v>
                </c:pt>
                <c:pt idx="35">
                  <c:v>0.45238095238095238</c:v>
                </c:pt>
                <c:pt idx="36">
                  <c:v>0.44318181818181818</c:v>
                </c:pt>
                <c:pt idx="37">
                  <c:v>0.44565217391304346</c:v>
                </c:pt>
                <c:pt idx="38">
                  <c:v>0.43157894736842106</c:v>
                </c:pt>
                <c:pt idx="39">
                  <c:v>0.43</c:v>
                </c:pt>
                <c:pt idx="40">
                  <c:v>0.43</c:v>
                </c:pt>
                <c:pt idx="41">
                  <c:v>0.44761904761904764</c:v>
                </c:pt>
                <c:pt idx="42">
                  <c:v>0.43518518518518517</c:v>
                </c:pt>
                <c:pt idx="43">
                  <c:v>0.44144144144144143</c:v>
                </c:pt>
                <c:pt idx="44">
                  <c:v>0.45689655172413796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5516866158868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40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43927.609282407408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43927.609282407408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43930.800243055557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43930.800243055557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43930.800243055557</v>
      </c>
      <c r="C6" s="2" t="s">
        <v>127</v>
      </c>
      <c r="D6" s="2" t="s">
        <v>191</v>
      </c>
    </row>
    <row r="7" spans="1:12" x14ac:dyDescent="0.45">
      <c r="A7" s="2" t="s">
        <v>209</v>
      </c>
      <c r="B7" s="3">
        <v>43931.056145833332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210</v>
      </c>
      <c r="B8" s="3">
        <v>44017.977951388886</v>
      </c>
      <c r="C8" s="2" t="s">
        <v>127</v>
      </c>
    </row>
    <row r="9" spans="1:12" x14ac:dyDescent="0.45">
      <c r="A9" s="2" t="s">
        <v>211</v>
      </c>
      <c r="B9" s="3">
        <v>44017.977951388886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213</v>
      </c>
      <c r="B10" s="3">
        <v>44017.977951388886</v>
      </c>
      <c r="C10" s="2" t="s">
        <v>127</v>
      </c>
      <c r="D10" s="2" t="s">
        <v>191</v>
      </c>
    </row>
    <row r="11" spans="1:12" x14ac:dyDescent="0.45">
      <c r="A11" s="2" t="s">
        <v>214</v>
      </c>
      <c r="B11" s="3">
        <v>44017.977951388886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215</v>
      </c>
      <c r="B12" s="3">
        <v>44017.977951388886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216</v>
      </c>
      <c r="B13" s="3">
        <v>44017.977951388886</v>
      </c>
      <c r="C13" s="2" t="s">
        <v>127</v>
      </c>
      <c r="D13" s="2" t="s">
        <v>191</v>
      </c>
    </row>
    <row r="14" spans="1:12" x14ac:dyDescent="0.45">
      <c r="A14" s="2" t="s">
        <v>217</v>
      </c>
      <c r="B14" s="3">
        <v>44017.977951388886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218</v>
      </c>
      <c r="B15" s="3">
        <v>44017.977951388886</v>
      </c>
      <c r="C15" s="2" t="s">
        <v>127</v>
      </c>
      <c r="D15" s="2" t="s">
        <v>191</v>
      </c>
    </row>
    <row r="16" spans="1:12" x14ac:dyDescent="0.45">
      <c r="A16" s="2" t="s">
        <v>219</v>
      </c>
      <c r="B16" s="3">
        <v>44017.977951388886</v>
      </c>
      <c r="C16" s="2" t="s">
        <v>127</v>
      </c>
    </row>
    <row r="17" spans="1:8" x14ac:dyDescent="0.45">
      <c r="A17" s="2" t="s">
        <v>220</v>
      </c>
      <c r="B17" s="3">
        <v>44017.977951388886</v>
      </c>
      <c r="C17" s="2" t="s">
        <v>127</v>
      </c>
      <c r="D17" s="2" t="s">
        <v>191</v>
      </c>
    </row>
    <row r="18" spans="1:8" x14ac:dyDescent="0.45">
      <c r="A18" s="2" t="s">
        <v>221</v>
      </c>
      <c r="B18" s="3">
        <v>44017.977951388886</v>
      </c>
      <c r="C18" s="2" t="s">
        <v>127</v>
      </c>
      <c r="D18" s="2" t="s">
        <v>191</v>
      </c>
      <c r="E18" s="2" t="s">
        <v>195</v>
      </c>
    </row>
    <row r="19" spans="1:8" x14ac:dyDescent="0.45">
      <c r="A19" s="2" t="s">
        <v>222</v>
      </c>
      <c r="B19" s="3">
        <v>44017.977951388886</v>
      </c>
      <c r="C19" s="2" t="s">
        <v>127</v>
      </c>
      <c r="D19" s="2" t="s">
        <v>191</v>
      </c>
    </row>
    <row r="20" spans="1:8" x14ac:dyDescent="0.45">
      <c r="A20" s="2" t="s">
        <v>223</v>
      </c>
      <c r="B20" s="3">
        <v>44017.977951388886</v>
      </c>
      <c r="C20" s="2" t="s">
        <v>127</v>
      </c>
      <c r="D20" s="2" t="s">
        <v>191</v>
      </c>
    </row>
    <row r="21" spans="1:8" x14ac:dyDescent="0.45">
      <c r="A21" s="2" t="s">
        <v>224</v>
      </c>
      <c r="B21" s="3">
        <v>44017.977951388886</v>
      </c>
      <c r="C21" s="2" t="s">
        <v>127</v>
      </c>
      <c r="D21" s="2" t="s">
        <v>191</v>
      </c>
    </row>
    <row r="22" spans="1:8" x14ac:dyDescent="0.45">
      <c r="A22" s="2" t="s">
        <v>225</v>
      </c>
      <c r="B22" s="3">
        <v>44017.977951388886</v>
      </c>
      <c r="C22" s="2" t="s">
        <v>127</v>
      </c>
    </row>
    <row r="23" spans="1:8" x14ac:dyDescent="0.45">
      <c r="A23" s="2" t="s">
        <v>226</v>
      </c>
      <c r="B23" s="3">
        <v>44017.977951388886</v>
      </c>
      <c r="C23" s="2" t="s">
        <v>127</v>
      </c>
    </row>
    <row r="24" spans="1:8" x14ac:dyDescent="0.45">
      <c r="A24" s="2" t="s">
        <v>227</v>
      </c>
      <c r="B24" s="3">
        <v>44017.977951388886</v>
      </c>
      <c r="C24" s="2" t="s">
        <v>127</v>
      </c>
      <c r="D24" s="2" t="s">
        <v>191</v>
      </c>
      <c r="E24" s="2" t="s">
        <v>195</v>
      </c>
    </row>
    <row r="25" spans="1:8" x14ac:dyDescent="0.45">
      <c r="A25" s="2" t="s">
        <v>228</v>
      </c>
      <c r="B25" s="3">
        <v>44017.977951388886</v>
      </c>
      <c r="C25" s="2" t="s">
        <v>127</v>
      </c>
      <c r="D25" s="2" t="s">
        <v>191</v>
      </c>
      <c r="E25" s="2" t="s">
        <v>195</v>
      </c>
    </row>
    <row r="26" spans="1:8" x14ac:dyDescent="0.45">
      <c r="A26" s="2" t="s">
        <v>229</v>
      </c>
      <c r="B26" s="3">
        <v>44017.977951388886</v>
      </c>
      <c r="C26" s="2" t="s">
        <v>127</v>
      </c>
      <c r="D26" s="2" t="s">
        <v>191</v>
      </c>
      <c r="E26" s="2" t="s">
        <v>195</v>
      </c>
      <c r="F26" s="2" t="s">
        <v>197</v>
      </c>
    </row>
    <row r="27" spans="1:8" x14ac:dyDescent="0.45">
      <c r="A27" s="2" t="s">
        <v>230</v>
      </c>
      <c r="B27" s="3">
        <v>44017.977951388886</v>
      </c>
      <c r="C27" s="2" t="s">
        <v>127</v>
      </c>
      <c r="D27" s="2" t="s">
        <v>191</v>
      </c>
    </row>
    <row r="28" spans="1:8" x14ac:dyDescent="0.45">
      <c r="A28" s="2" t="s">
        <v>231</v>
      </c>
      <c r="B28" s="3">
        <v>44017.977951388886</v>
      </c>
      <c r="C28" s="2" t="s">
        <v>127</v>
      </c>
      <c r="D28" s="2" t="s">
        <v>191</v>
      </c>
      <c r="E28" s="2" t="s">
        <v>195</v>
      </c>
      <c r="F28" s="2" t="s">
        <v>197</v>
      </c>
      <c r="G28" s="2" t="s">
        <v>198</v>
      </c>
      <c r="H28" s="2" t="s">
        <v>200</v>
      </c>
    </row>
    <row r="29" spans="1:8" x14ac:dyDescent="0.45">
      <c r="A29" s="2" t="s">
        <v>232</v>
      </c>
      <c r="B29" s="3">
        <v>44018.77548611111</v>
      </c>
      <c r="C29" s="2" t="s">
        <v>127</v>
      </c>
      <c r="D29" s="2" t="s">
        <v>191</v>
      </c>
      <c r="E29" s="2" t="s">
        <v>195</v>
      </c>
    </row>
    <row r="30" spans="1:8" x14ac:dyDescent="0.45">
      <c r="A30" s="2" t="s">
        <v>233</v>
      </c>
      <c r="B30" s="3">
        <v>44018.651041666664</v>
      </c>
      <c r="C30" s="2" t="s">
        <v>127</v>
      </c>
    </row>
    <row r="31" spans="1:8" x14ac:dyDescent="0.45">
      <c r="A31" s="2" t="s">
        <v>234</v>
      </c>
      <c r="B31" s="3">
        <v>44022.791030092594</v>
      </c>
      <c r="C31" s="2" t="s">
        <v>127</v>
      </c>
      <c r="D31" s="2" t="s">
        <v>191</v>
      </c>
    </row>
    <row r="32" spans="1:8" x14ac:dyDescent="0.45">
      <c r="A32" s="2" t="s">
        <v>235</v>
      </c>
      <c r="B32" s="3">
        <v>44024.751493055555</v>
      </c>
      <c r="C32" s="2" t="s">
        <v>127</v>
      </c>
      <c r="D32" s="2" t="s">
        <v>191</v>
      </c>
    </row>
    <row r="33" spans="1:7" x14ac:dyDescent="0.45">
      <c r="A33" s="2" t="s">
        <v>237</v>
      </c>
      <c r="B33" s="3">
        <v>44026.760995370372</v>
      </c>
      <c r="C33" s="2" t="s">
        <v>127</v>
      </c>
    </row>
    <row r="34" spans="1:7" x14ac:dyDescent="0.45">
      <c r="A34" s="2" t="s">
        <v>238</v>
      </c>
      <c r="B34" s="3">
        <v>44030.014479166668</v>
      </c>
      <c r="C34" s="2" t="s">
        <v>127</v>
      </c>
      <c r="D34" s="2" t="s">
        <v>191</v>
      </c>
      <c r="E34" s="2" t="s">
        <v>195</v>
      </c>
      <c r="F34" s="2" t="s">
        <v>197</v>
      </c>
    </row>
    <row r="35" spans="1:7" x14ac:dyDescent="0.45">
      <c r="A35" s="2" t="s">
        <v>239</v>
      </c>
      <c r="B35" s="3">
        <v>44030.997048611112</v>
      </c>
      <c r="C35" s="2" t="s">
        <v>127</v>
      </c>
      <c r="D35" s="2" t="s">
        <v>191</v>
      </c>
      <c r="E35" s="2" t="s">
        <v>195</v>
      </c>
      <c r="F35" s="2" t="s">
        <v>197</v>
      </c>
      <c r="G35" s="2" t="s">
        <v>198</v>
      </c>
    </row>
    <row r="36" spans="1:7" x14ac:dyDescent="0.45">
      <c r="A36" s="2" t="s">
        <v>241</v>
      </c>
      <c r="B36" s="3">
        <v>44033.989502314813</v>
      </c>
      <c r="C36" s="2" t="s">
        <v>127</v>
      </c>
      <c r="D36" s="2" t="s">
        <v>191</v>
      </c>
      <c r="E36" s="2" t="s">
        <v>195</v>
      </c>
      <c r="F36" s="2" t="s">
        <v>197</v>
      </c>
    </row>
    <row r="37" spans="1:7" x14ac:dyDescent="0.45">
      <c r="A37" s="2" t="s">
        <v>242</v>
      </c>
      <c r="B37" s="3">
        <v>44039.966226851851</v>
      </c>
      <c r="C37" s="2" t="s">
        <v>127</v>
      </c>
      <c r="D37" s="2" t="s">
        <v>191</v>
      </c>
      <c r="E37" s="2" t="s">
        <v>195</v>
      </c>
      <c r="F37" s="2" t="s">
        <v>197</v>
      </c>
    </row>
    <row r="38" spans="1:7" x14ac:dyDescent="0.45">
      <c r="A38" s="2" t="s">
        <v>244</v>
      </c>
      <c r="B38" s="3">
        <v>44039.964803240742</v>
      </c>
      <c r="C38" s="2" t="s">
        <v>127</v>
      </c>
      <c r="D38" s="2" t="s">
        <v>191</v>
      </c>
    </row>
    <row r="39" spans="1:7" x14ac:dyDescent="0.45">
      <c r="A39" s="2" t="s">
        <v>245</v>
      </c>
      <c r="B39" s="3">
        <v>44040.95952546296</v>
      </c>
      <c r="C39" s="2" t="s">
        <v>127</v>
      </c>
      <c r="D39" s="2" t="s">
        <v>191</v>
      </c>
      <c r="E39" s="2" t="s">
        <v>195</v>
      </c>
      <c r="F39" s="2" t="s">
        <v>197</v>
      </c>
    </row>
    <row r="40" spans="1:7" x14ac:dyDescent="0.45">
      <c r="A40" s="2" t="s">
        <v>246</v>
      </c>
      <c r="B40" s="3">
        <v>44042.957696759258</v>
      </c>
      <c r="C40" s="2" t="s">
        <v>127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2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399</v>
      </c>
    </row>
    <row r="2" spans="1:2" x14ac:dyDescent="0.45">
      <c r="A2" t="s">
        <v>164</v>
      </c>
      <c r="B2">
        <v>71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99</v>
      </c>
    </row>
    <row r="5" spans="1:2" x14ac:dyDescent="0.45">
      <c r="A5" t="s">
        <v>194</v>
      </c>
      <c r="B5">
        <v>42</v>
      </c>
    </row>
    <row r="6" spans="1:2" x14ac:dyDescent="0.45">
      <c r="A6" t="s">
        <v>192</v>
      </c>
      <c r="B6">
        <v>65</v>
      </c>
    </row>
    <row r="7" spans="1:2" x14ac:dyDescent="0.45">
      <c r="A7" t="s">
        <v>193</v>
      </c>
      <c r="B7">
        <v>44</v>
      </c>
    </row>
    <row r="8" spans="1:2" x14ac:dyDescent="0.45">
      <c r="A8" t="s">
        <v>196</v>
      </c>
      <c r="B8">
        <v>10</v>
      </c>
    </row>
    <row r="9" spans="1:2" x14ac:dyDescent="0.45">
      <c r="A9" t="s">
        <v>205</v>
      </c>
      <c r="B9">
        <v>42</v>
      </c>
    </row>
    <row r="10" spans="1:2" x14ac:dyDescent="0.45">
      <c r="A10" t="s">
        <v>212</v>
      </c>
      <c r="B10">
        <v>9</v>
      </c>
    </row>
    <row r="11" spans="1:2" x14ac:dyDescent="0.45">
      <c r="A11" t="s">
        <v>240</v>
      </c>
      <c r="B11">
        <v>5</v>
      </c>
    </row>
    <row r="12" spans="1:2" x14ac:dyDescent="0.45">
      <c r="A12" t="s">
        <v>243</v>
      </c>
      <c r="B12">
        <v>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/>
      <c r="C1" s="138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0</v>
      </c>
      <c r="C2" s="14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41">
        <v>0</v>
      </c>
      <c r="C3" s="14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43">
        <v>0</v>
      </c>
      <c r="C4" s="14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31">
        <f>IF(B$2=0,0,B$4/B$2)</f>
        <v>0</v>
      </c>
      <c r="C5" s="13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5">
        <f>IF(B$2=0,0,(B$7*1+B$8*2+B$9*3)/B$2)</f>
        <v>0</v>
      </c>
      <c r="C6" s="14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33">
        <v>0</v>
      </c>
      <c r="C32" s="13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5">
        <v>-1000000</v>
      </c>
      <c r="C33" s="13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4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236</v>
      </c>
      <c r="B1" s="151" t="s">
        <v>9</v>
      </c>
      <c r="C1" s="152"/>
      <c r="D1" s="149" t="s">
        <v>6</v>
      </c>
      <c r="E1" s="150"/>
      <c r="F1" s="149" t="s">
        <v>7</v>
      </c>
      <c r="G1" s="150"/>
      <c r="H1" s="151" t="s">
        <v>188</v>
      </c>
      <c r="I1" s="152"/>
      <c r="J1" s="149" t="s">
        <v>15</v>
      </c>
      <c r="K1" s="150"/>
      <c r="L1" s="149" t="s">
        <v>14</v>
      </c>
      <c r="M1" s="150"/>
      <c r="N1" s="149" t="s">
        <v>150</v>
      </c>
      <c r="O1" s="150"/>
      <c r="P1" s="149" t="s">
        <v>143</v>
      </c>
      <c r="Q1" s="150"/>
      <c r="R1" s="149" t="s">
        <v>144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145</v>
      </c>
      <c r="AG1" s="150"/>
      <c r="AH1" s="149" t="s">
        <v>138</v>
      </c>
      <c r="AI1" s="150"/>
      <c r="AJ1" s="149" t="s">
        <v>181</v>
      </c>
      <c r="AK1" s="150"/>
    </row>
    <row r="2" spans="1:37" x14ac:dyDescent="0.45">
      <c r="A2" s="38" t="s">
        <v>149</v>
      </c>
      <c r="B2" s="147">
        <v>0.68084915504637122</v>
      </c>
      <c r="C2" s="148"/>
      <c r="D2" s="153"/>
      <c r="E2" s="154"/>
      <c r="F2" s="153"/>
      <c r="G2" s="154"/>
      <c r="H2" s="147">
        <v>-0.15467902941656939</v>
      </c>
      <c r="I2" s="148"/>
      <c r="J2" s="147">
        <v>0.90623170601364877</v>
      </c>
      <c r="K2" s="148"/>
      <c r="L2" s="147">
        <v>0.76498475620901341</v>
      </c>
      <c r="M2" s="148"/>
      <c r="N2" s="147">
        <v>0.59520053509523474</v>
      </c>
      <c r="O2" s="148"/>
      <c r="P2" s="147">
        <v>0.1494859189116467</v>
      </c>
      <c r="Q2" s="148"/>
      <c r="R2" s="147">
        <v>0.13445728120306952</v>
      </c>
      <c r="S2" s="148"/>
      <c r="T2" s="147">
        <v>0.49751177817443659</v>
      </c>
      <c r="U2" s="148"/>
      <c r="V2" s="147">
        <v>-9.0684858512866284E-2</v>
      </c>
      <c r="W2" s="148"/>
      <c r="X2" s="147">
        <v>0.29490939049512305</v>
      </c>
      <c r="Y2" s="148"/>
      <c r="Z2" s="147">
        <v>0.14557941687478895</v>
      </c>
      <c r="AA2" s="148"/>
      <c r="AB2" s="147">
        <v>-0.15202089317878195</v>
      </c>
      <c r="AC2" s="148"/>
      <c r="AD2" s="147">
        <v>7.1439127851062517E-2</v>
      </c>
      <c r="AE2" s="148"/>
      <c r="AF2" s="147">
        <v>0.15104765449282054</v>
      </c>
      <c r="AG2" s="148"/>
      <c r="AH2" s="147">
        <v>0.27369128260253439</v>
      </c>
      <c r="AI2" s="148"/>
      <c r="AJ2" s="147">
        <v>0.11611389241203109</v>
      </c>
      <c r="AK2" s="148"/>
    </row>
    <row r="3" spans="1:37" x14ac:dyDescent="0.45">
      <c r="A3" s="40">
        <v>1</v>
      </c>
      <c r="B3" s="43" t="s">
        <v>139</v>
      </c>
      <c r="C3" s="117">
        <v>133</v>
      </c>
      <c r="D3" s="41" t="s">
        <v>126</v>
      </c>
      <c r="E3" s="42">
        <v>680.60000000000014</v>
      </c>
      <c r="F3" s="43" t="s">
        <v>126</v>
      </c>
      <c r="G3" s="62">
        <v>6.8747474747474762</v>
      </c>
      <c r="H3" s="43" t="s">
        <v>196</v>
      </c>
      <c r="I3" s="62">
        <v>5.644444444444443</v>
      </c>
      <c r="J3" s="43" t="s">
        <v>126</v>
      </c>
      <c r="K3" s="44">
        <v>1.8181818181818181</v>
      </c>
      <c r="L3" s="43" t="s">
        <v>126</v>
      </c>
      <c r="M3" s="45">
        <v>0.43434343434343436</v>
      </c>
      <c r="N3" s="43" t="s">
        <v>196</v>
      </c>
      <c r="O3" s="45">
        <v>0.2</v>
      </c>
      <c r="P3" s="43" t="s">
        <v>193</v>
      </c>
      <c r="Q3" s="46">
        <v>0.33526011560693642</v>
      </c>
      <c r="R3" s="43" t="s">
        <v>196</v>
      </c>
      <c r="S3" s="46">
        <v>7.407407407407407E-2</v>
      </c>
      <c r="T3" s="43" t="s">
        <v>164</v>
      </c>
      <c r="U3" s="47">
        <v>10199.358974358975</v>
      </c>
      <c r="V3" s="43" t="s">
        <v>196</v>
      </c>
      <c r="W3" s="47">
        <v>-3916.6666666666665</v>
      </c>
      <c r="X3" s="43" t="s">
        <v>196</v>
      </c>
      <c r="Y3" s="45">
        <v>0</v>
      </c>
      <c r="Z3" s="43" t="s">
        <v>212</v>
      </c>
      <c r="AA3" s="46">
        <v>0.32432432432432434</v>
      </c>
      <c r="AB3" s="43" t="s">
        <v>193</v>
      </c>
      <c r="AC3" s="46">
        <v>0.3583815028901734</v>
      </c>
      <c r="AD3" s="43" t="s">
        <v>243</v>
      </c>
      <c r="AE3" s="46">
        <v>0.8</v>
      </c>
      <c r="AF3" s="43" t="s">
        <v>212</v>
      </c>
      <c r="AG3" s="46">
        <v>0.5714285714285714</v>
      </c>
      <c r="AH3" s="43" t="s">
        <v>243</v>
      </c>
      <c r="AI3" s="46">
        <v>0.66666666666666663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99</v>
      </c>
      <c r="D4" s="49" t="s">
        <v>193</v>
      </c>
      <c r="E4" s="50">
        <v>92.199999999999989</v>
      </c>
      <c r="F4" s="51" t="s">
        <v>193</v>
      </c>
      <c r="G4" s="63">
        <v>2.0954545454545452</v>
      </c>
      <c r="H4" s="51" t="s">
        <v>194</v>
      </c>
      <c r="I4" s="63">
        <v>2.3292592592592598</v>
      </c>
      <c r="J4" s="51" t="s">
        <v>193</v>
      </c>
      <c r="K4" s="52">
        <v>1.9318181818181819</v>
      </c>
      <c r="L4" s="51" t="s">
        <v>164</v>
      </c>
      <c r="M4" s="53">
        <v>0.36619718309859156</v>
      </c>
      <c r="N4" s="51" t="s">
        <v>126</v>
      </c>
      <c r="O4" s="53">
        <v>0.25252525252525254</v>
      </c>
      <c r="P4" s="51" t="s">
        <v>205</v>
      </c>
      <c r="Q4" s="54">
        <v>0.31578947368421051</v>
      </c>
      <c r="R4" s="51" t="s">
        <v>192</v>
      </c>
      <c r="S4" s="54">
        <v>0.11654135338345864</v>
      </c>
      <c r="T4" s="51" t="s">
        <v>126</v>
      </c>
      <c r="U4" s="55">
        <v>9700.4237288135591</v>
      </c>
      <c r="V4" s="51" t="s">
        <v>243</v>
      </c>
      <c r="W4" s="55">
        <v>-4914.2857142857147</v>
      </c>
      <c r="X4" s="51" t="s">
        <v>212</v>
      </c>
      <c r="Y4" s="53">
        <v>0</v>
      </c>
      <c r="Z4" s="51" t="s">
        <v>164</v>
      </c>
      <c r="AA4" s="54">
        <v>0.30228471001757468</v>
      </c>
      <c r="AB4" s="51" t="s">
        <v>205</v>
      </c>
      <c r="AC4" s="54">
        <v>0.26934984520123839</v>
      </c>
      <c r="AD4" s="51" t="s">
        <v>212</v>
      </c>
      <c r="AE4" s="54">
        <v>0.70833333333333337</v>
      </c>
      <c r="AF4" s="51" t="s">
        <v>194</v>
      </c>
      <c r="AG4" s="54">
        <v>0.56862745098039214</v>
      </c>
      <c r="AH4" s="51" t="s">
        <v>189</v>
      </c>
      <c r="AI4" s="54">
        <v>0.5625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71</v>
      </c>
      <c r="D5" s="49" t="s">
        <v>164</v>
      </c>
      <c r="E5" s="50">
        <v>18.299999999999955</v>
      </c>
      <c r="F5" s="51" t="s">
        <v>164</v>
      </c>
      <c r="G5" s="63">
        <v>0.25774647887323882</v>
      </c>
      <c r="H5" s="51" t="s">
        <v>212</v>
      </c>
      <c r="I5" s="63">
        <v>2.1361111111111115</v>
      </c>
      <c r="J5" s="51" t="s">
        <v>164</v>
      </c>
      <c r="K5" s="52">
        <v>2</v>
      </c>
      <c r="L5" s="51" t="s">
        <v>193</v>
      </c>
      <c r="M5" s="53">
        <v>0.34090909090909088</v>
      </c>
      <c r="N5" s="51" t="s">
        <v>193</v>
      </c>
      <c r="O5" s="53">
        <v>0.27272727272727271</v>
      </c>
      <c r="P5" s="51" t="s">
        <v>212</v>
      </c>
      <c r="Q5" s="54">
        <v>0.3108108108108108</v>
      </c>
      <c r="R5" s="51" t="s">
        <v>126</v>
      </c>
      <c r="S5" s="54">
        <v>0.13885350318471337</v>
      </c>
      <c r="T5" s="51" t="s">
        <v>243</v>
      </c>
      <c r="U5" s="55">
        <v>9433.3333333333339</v>
      </c>
      <c r="V5" s="51" t="s">
        <v>194</v>
      </c>
      <c r="W5" s="55">
        <v>-7148.0769230769229</v>
      </c>
      <c r="X5" s="51" t="s">
        <v>243</v>
      </c>
      <c r="Y5" s="53">
        <v>0</v>
      </c>
      <c r="Z5" s="51" t="s">
        <v>189</v>
      </c>
      <c r="AA5" s="54">
        <v>0.28378378378378377</v>
      </c>
      <c r="AB5" s="51" t="s">
        <v>192</v>
      </c>
      <c r="AC5" s="54">
        <v>0.23684210526315788</v>
      </c>
      <c r="AD5" s="51" t="s">
        <v>205</v>
      </c>
      <c r="AE5" s="54">
        <v>0.64912280701754388</v>
      </c>
      <c r="AF5" s="51" t="s">
        <v>189</v>
      </c>
      <c r="AG5" s="54">
        <v>0.5</v>
      </c>
      <c r="AH5" s="51" t="s">
        <v>212</v>
      </c>
      <c r="AI5" s="54">
        <v>0.52173913043478259</v>
      </c>
      <c r="AJ5" s="51" t="s">
        <v>192</v>
      </c>
      <c r="AK5" s="58">
        <v>107400</v>
      </c>
    </row>
    <row r="6" spans="1:37" x14ac:dyDescent="0.45">
      <c r="A6" s="48">
        <v>4</v>
      </c>
      <c r="B6" s="51" t="s">
        <v>192</v>
      </c>
      <c r="C6" s="118">
        <v>65</v>
      </c>
      <c r="D6" s="49" t="s">
        <v>139</v>
      </c>
      <c r="E6" s="50">
        <v>0</v>
      </c>
      <c r="F6" s="51" t="s">
        <v>139</v>
      </c>
      <c r="G6" s="63">
        <v>0</v>
      </c>
      <c r="H6" s="51" t="s">
        <v>192</v>
      </c>
      <c r="I6" s="63">
        <v>0.43527777777777982</v>
      </c>
      <c r="J6" s="51" t="s">
        <v>196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126</v>
      </c>
      <c r="Q6" s="54">
        <v>0.30063694267515922</v>
      </c>
      <c r="R6" s="51" t="s">
        <v>193</v>
      </c>
      <c r="S6" s="54">
        <v>0.1416184971098266</v>
      </c>
      <c r="T6" s="51" t="s">
        <v>189</v>
      </c>
      <c r="U6" s="55">
        <v>9062.5</v>
      </c>
      <c r="V6" s="51" t="s">
        <v>189</v>
      </c>
      <c r="W6" s="55">
        <v>-7317.6470588235297</v>
      </c>
      <c r="X6" s="51" t="s">
        <v>126</v>
      </c>
      <c r="Y6" s="53">
        <v>6.0606060606060608E-2</v>
      </c>
      <c r="Z6" s="51" t="s">
        <v>240</v>
      </c>
      <c r="AA6" s="54">
        <v>0.26829268292682928</v>
      </c>
      <c r="AB6" s="51" t="s">
        <v>139</v>
      </c>
      <c r="AC6" s="54">
        <v>0.2071136292099465</v>
      </c>
      <c r="AD6" s="51" t="s">
        <v>196</v>
      </c>
      <c r="AE6" s="54">
        <v>0.61904761904761907</v>
      </c>
      <c r="AF6" s="51" t="s">
        <v>126</v>
      </c>
      <c r="AG6" s="54">
        <v>0.47619047619047616</v>
      </c>
      <c r="AH6" s="51" t="s">
        <v>194</v>
      </c>
      <c r="AI6" s="54">
        <v>0.5161290322580645</v>
      </c>
      <c r="AJ6" s="51" t="s">
        <v>193</v>
      </c>
      <c r="AK6" s="58">
        <v>106500</v>
      </c>
    </row>
    <row r="7" spans="1:37" x14ac:dyDescent="0.45">
      <c r="A7" s="48">
        <v>5</v>
      </c>
      <c r="B7" s="51" t="s">
        <v>193</v>
      </c>
      <c r="C7" s="118">
        <v>44</v>
      </c>
      <c r="D7" s="49" t="s">
        <v>243</v>
      </c>
      <c r="E7" s="50">
        <v>-10.099999999999998</v>
      </c>
      <c r="F7" s="51" t="s">
        <v>192</v>
      </c>
      <c r="G7" s="63">
        <v>-1.1169230769230765</v>
      </c>
      <c r="H7" s="51" t="s">
        <v>126</v>
      </c>
      <c r="I7" s="63">
        <v>0.16952038009501771</v>
      </c>
      <c r="J7" s="51" t="s">
        <v>139</v>
      </c>
      <c r="K7" s="52">
        <v>2</v>
      </c>
      <c r="L7" s="51" t="s">
        <v>243</v>
      </c>
      <c r="M7" s="53">
        <v>0.33333333333333331</v>
      </c>
      <c r="N7" s="51" t="s">
        <v>212</v>
      </c>
      <c r="O7" s="53">
        <v>0.33333333333333331</v>
      </c>
      <c r="P7" s="51" t="s">
        <v>139</v>
      </c>
      <c r="Q7" s="54">
        <v>0.28926660371419577</v>
      </c>
      <c r="R7" s="51" t="s">
        <v>240</v>
      </c>
      <c r="S7" s="54">
        <v>0.14634146341463414</v>
      </c>
      <c r="T7" s="51" t="s">
        <v>139</v>
      </c>
      <c r="U7" s="55">
        <v>8743.0903155603919</v>
      </c>
      <c r="V7" s="51" t="s">
        <v>164</v>
      </c>
      <c r="W7" s="55">
        <v>-7550</v>
      </c>
      <c r="X7" s="51" t="s">
        <v>192</v>
      </c>
      <c r="Y7" s="53">
        <v>7.6923076923076927E-2</v>
      </c>
      <c r="Z7" s="51" t="s">
        <v>196</v>
      </c>
      <c r="AA7" s="54">
        <v>0.25925925925925924</v>
      </c>
      <c r="AB7" s="51" t="s">
        <v>164</v>
      </c>
      <c r="AC7" s="54">
        <v>0.19683655536028119</v>
      </c>
      <c r="AD7" s="51" t="s">
        <v>126</v>
      </c>
      <c r="AE7" s="54">
        <v>0.59375</v>
      </c>
      <c r="AF7" s="51" t="s">
        <v>193</v>
      </c>
      <c r="AG7" s="54">
        <v>0.42741935483870969</v>
      </c>
      <c r="AH7" s="51" t="s">
        <v>126</v>
      </c>
      <c r="AI7" s="54">
        <v>0.50423728813559321</v>
      </c>
      <c r="AJ7" s="51" t="s">
        <v>194</v>
      </c>
      <c r="AK7" s="58">
        <v>104100</v>
      </c>
    </row>
    <row r="8" spans="1:37" x14ac:dyDescent="0.45">
      <c r="A8" s="48">
        <v>6</v>
      </c>
      <c r="B8" s="51" t="s">
        <v>194</v>
      </c>
      <c r="C8" s="118">
        <v>42</v>
      </c>
      <c r="D8" s="49" t="s">
        <v>196</v>
      </c>
      <c r="E8" s="50">
        <v>-13.400000000000013</v>
      </c>
      <c r="F8" s="51" t="s">
        <v>196</v>
      </c>
      <c r="G8" s="63">
        <v>-1.3400000000000012</v>
      </c>
      <c r="H8" s="51" t="s">
        <v>164</v>
      </c>
      <c r="I8" s="63">
        <v>0.15101214574899302</v>
      </c>
      <c r="J8" s="51" t="s">
        <v>243</v>
      </c>
      <c r="K8" s="52">
        <v>2</v>
      </c>
      <c r="L8" s="51" t="s">
        <v>192</v>
      </c>
      <c r="M8" s="53">
        <v>0.32307692307692309</v>
      </c>
      <c r="N8" s="51" t="s">
        <v>243</v>
      </c>
      <c r="O8" s="53">
        <v>0.33333333333333331</v>
      </c>
      <c r="P8" s="51" t="s">
        <v>194</v>
      </c>
      <c r="Q8" s="54">
        <v>0.28792569659442724</v>
      </c>
      <c r="R8" s="51" t="s">
        <v>139</v>
      </c>
      <c r="S8" s="54">
        <v>0.15108593012275731</v>
      </c>
      <c r="T8" s="51" t="s">
        <v>192</v>
      </c>
      <c r="U8" s="55">
        <v>8196.5517241379312</v>
      </c>
      <c r="V8" s="51" t="s">
        <v>139</v>
      </c>
      <c r="W8" s="55">
        <v>-7946.25</v>
      </c>
      <c r="X8" s="51" t="s">
        <v>139</v>
      </c>
      <c r="Y8" s="53">
        <v>0.10526315789473684</v>
      </c>
      <c r="Z8" s="51" t="s">
        <v>126</v>
      </c>
      <c r="AA8" s="54">
        <v>0.2445859872611465</v>
      </c>
      <c r="AB8" s="51" t="s">
        <v>126</v>
      </c>
      <c r="AC8" s="54">
        <v>0.16050955414012738</v>
      </c>
      <c r="AD8" s="51" t="s">
        <v>193</v>
      </c>
      <c r="AE8" s="54">
        <v>0.5714285714285714</v>
      </c>
      <c r="AF8" s="51" t="s">
        <v>139</v>
      </c>
      <c r="AG8" s="54">
        <v>0.41337386018237082</v>
      </c>
      <c r="AH8" s="51" t="s">
        <v>139</v>
      </c>
      <c r="AI8" s="54">
        <v>0.47551686615886835</v>
      </c>
      <c r="AJ8" s="51" t="s">
        <v>126</v>
      </c>
      <c r="AK8" s="58">
        <v>102700</v>
      </c>
    </row>
    <row r="9" spans="1:37" x14ac:dyDescent="0.45">
      <c r="A9" s="48">
        <v>7</v>
      </c>
      <c r="B9" s="51" t="s">
        <v>205</v>
      </c>
      <c r="C9" s="118">
        <v>42</v>
      </c>
      <c r="D9" s="49" t="s">
        <v>212</v>
      </c>
      <c r="E9" s="50">
        <v>-41.599999999999994</v>
      </c>
      <c r="F9" s="51" t="s">
        <v>243</v>
      </c>
      <c r="G9" s="63">
        <v>-3.3666666666666658</v>
      </c>
      <c r="H9" s="51" t="s">
        <v>139</v>
      </c>
      <c r="I9" s="63">
        <v>0</v>
      </c>
      <c r="J9" s="51" t="s">
        <v>192</v>
      </c>
      <c r="K9" s="52">
        <v>2.046153846153846</v>
      </c>
      <c r="L9" s="51" t="s">
        <v>205</v>
      </c>
      <c r="M9" s="53">
        <v>0.2857142857142857</v>
      </c>
      <c r="N9" s="51" t="s">
        <v>164</v>
      </c>
      <c r="O9" s="53">
        <v>0.36619718309859156</v>
      </c>
      <c r="P9" s="51" t="s">
        <v>164</v>
      </c>
      <c r="Q9" s="54">
        <v>0.27416520210896311</v>
      </c>
      <c r="R9" s="51" t="s">
        <v>194</v>
      </c>
      <c r="S9" s="54">
        <v>0.1609907120743034</v>
      </c>
      <c r="T9" s="51" t="s">
        <v>205</v>
      </c>
      <c r="U9" s="55">
        <v>8118.6274509803925</v>
      </c>
      <c r="V9" s="51" t="s">
        <v>192</v>
      </c>
      <c r="W9" s="55">
        <v>-8167.7419354838712</v>
      </c>
      <c r="X9" s="51" t="s">
        <v>189</v>
      </c>
      <c r="Y9" s="53">
        <v>0.1111111111111111</v>
      </c>
      <c r="Z9" s="51" t="s">
        <v>139</v>
      </c>
      <c r="AA9" s="54">
        <v>0.23858986465218759</v>
      </c>
      <c r="AB9" s="51" t="s">
        <v>194</v>
      </c>
      <c r="AC9" s="54">
        <v>0.15789473684210525</v>
      </c>
      <c r="AD9" s="51" t="s">
        <v>139</v>
      </c>
      <c r="AE9" s="54">
        <v>0.55936675461741425</v>
      </c>
      <c r="AF9" s="51" t="s">
        <v>192</v>
      </c>
      <c r="AG9" s="54">
        <v>0.40476190476190477</v>
      </c>
      <c r="AH9" s="51" t="s">
        <v>196</v>
      </c>
      <c r="AI9" s="54">
        <v>0.47368421052631576</v>
      </c>
      <c r="AJ9" s="51" t="s">
        <v>212</v>
      </c>
      <c r="AK9" s="58">
        <v>95000</v>
      </c>
    </row>
    <row r="10" spans="1:37" x14ac:dyDescent="0.45">
      <c r="A10" s="48">
        <v>8</v>
      </c>
      <c r="B10" s="51" t="s">
        <v>196</v>
      </c>
      <c r="C10" s="118">
        <v>10</v>
      </c>
      <c r="D10" s="49" t="s">
        <v>192</v>
      </c>
      <c r="E10" s="50">
        <v>-72.599999999999966</v>
      </c>
      <c r="F10" s="51" t="s">
        <v>205</v>
      </c>
      <c r="G10" s="63">
        <v>-4.6000000000000005</v>
      </c>
      <c r="H10" s="51" t="s">
        <v>193</v>
      </c>
      <c r="I10" s="63">
        <v>-0.49630718954248226</v>
      </c>
      <c r="J10" s="51" t="s">
        <v>205</v>
      </c>
      <c r="K10" s="52">
        <v>2.0952380952380953</v>
      </c>
      <c r="L10" s="51" t="s">
        <v>189</v>
      </c>
      <c r="M10" s="53">
        <v>0.22222222222222221</v>
      </c>
      <c r="N10" s="51" t="s">
        <v>192</v>
      </c>
      <c r="O10" s="53">
        <v>0.36923076923076925</v>
      </c>
      <c r="P10" s="51" t="s">
        <v>192</v>
      </c>
      <c r="Q10" s="54">
        <v>0.27255639097744361</v>
      </c>
      <c r="R10" s="51" t="s">
        <v>205</v>
      </c>
      <c r="S10" s="54">
        <v>0.17337461300309598</v>
      </c>
      <c r="T10" s="51" t="s">
        <v>194</v>
      </c>
      <c r="U10" s="55">
        <v>7873.1182795698924</v>
      </c>
      <c r="V10" s="51" t="s">
        <v>193</v>
      </c>
      <c r="W10" s="55">
        <v>-8171.4285714285716</v>
      </c>
      <c r="X10" s="51" t="s">
        <v>205</v>
      </c>
      <c r="Y10" s="53">
        <v>0.11904761904761904</v>
      </c>
      <c r="Z10" s="51" t="s">
        <v>194</v>
      </c>
      <c r="AA10" s="54">
        <v>0.23839009287925697</v>
      </c>
      <c r="AB10" s="51" t="s">
        <v>196</v>
      </c>
      <c r="AC10" s="54">
        <v>0.13580246913580246</v>
      </c>
      <c r="AD10" s="51" t="s">
        <v>194</v>
      </c>
      <c r="AE10" s="54">
        <v>0.54545454545454541</v>
      </c>
      <c r="AF10" s="51" t="s">
        <v>196</v>
      </c>
      <c r="AG10" s="54">
        <v>0.36363636363636365</v>
      </c>
      <c r="AH10" s="51" t="s">
        <v>205</v>
      </c>
      <c r="AI10" s="54">
        <v>0.46078431372549017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189</v>
      </c>
      <c r="C11" s="118">
        <v>9</v>
      </c>
      <c r="D11" s="49" t="s">
        <v>189</v>
      </c>
      <c r="E11" s="50">
        <v>-105.5</v>
      </c>
      <c r="F11" s="51" t="s">
        <v>212</v>
      </c>
      <c r="G11" s="63">
        <v>-4.6222222222222218</v>
      </c>
      <c r="H11" s="51" t="s">
        <v>205</v>
      </c>
      <c r="I11" s="63">
        <v>-1.1235119047619051</v>
      </c>
      <c r="J11" s="51" t="s">
        <v>212</v>
      </c>
      <c r="K11" s="52">
        <v>2.1111111111111112</v>
      </c>
      <c r="L11" s="51" t="s">
        <v>212</v>
      </c>
      <c r="M11" s="53">
        <v>0.22222222222222221</v>
      </c>
      <c r="N11" s="51" t="s">
        <v>205</v>
      </c>
      <c r="O11" s="53">
        <v>0.38095238095238093</v>
      </c>
      <c r="P11" s="51" t="s">
        <v>196</v>
      </c>
      <c r="Q11" s="54">
        <v>0.23456790123456789</v>
      </c>
      <c r="R11" s="51" t="s">
        <v>164</v>
      </c>
      <c r="S11" s="54">
        <v>0.17926186291739896</v>
      </c>
      <c r="T11" s="51" t="s">
        <v>196</v>
      </c>
      <c r="U11" s="55">
        <v>7736.8421052631575</v>
      </c>
      <c r="V11" s="51" t="s">
        <v>126</v>
      </c>
      <c r="W11" s="55">
        <v>-8182.5688073394494</v>
      </c>
      <c r="X11" s="51" t="s">
        <v>194</v>
      </c>
      <c r="Y11" s="53">
        <v>0.14285714285714285</v>
      </c>
      <c r="Z11" s="51" t="s">
        <v>192</v>
      </c>
      <c r="AA11" s="54">
        <v>0.22932330827067668</v>
      </c>
      <c r="AB11" s="51" t="s">
        <v>240</v>
      </c>
      <c r="AC11" s="54">
        <v>0.12195121951219512</v>
      </c>
      <c r="AD11" s="51" t="s">
        <v>192</v>
      </c>
      <c r="AE11" s="54">
        <v>0.53278688524590168</v>
      </c>
      <c r="AF11" s="51" t="s">
        <v>164</v>
      </c>
      <c r="AG11" s="54">
        <v>0.3392857142857143</v>
      </c>
      <c r="AH11" s="51" t="s">
        <v>193</v>
      </c>
      <c r="AI11" s="54">
        <v>0.45689655172413796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212</v>
      </c>
      <c r="C12" s="118">
        <v>9</v>
      </c>
      <c r="D12" s="49" t="s">
        <v>240</v>
      </c>
      <c r="E12" s="50">
        <v>-113.70000000000002</v>
      </c>
      <c r="F12" s="51" t="s">
        <v>194</v>
      </c>
      <c r="G12" s="63">
        <v>-5.7380952380952337</v>
      </c>
      <c r="H12" s="51" t="s">
        <v>243</v>
      </c>
      <c r="I12" s="63">
        <v>-3.3666666666666658</v>
      </c>
      <c r="J12" s="51" t="s">
        <v>194</v>
      </c>
      <c r="K12" s="52">
        <v>2.2142857142857144</v>
      </c>
      <c r="L12" s="51" t="s">
        <v>194</v>
      </c>
      <c r="M12" s="53">
        <v>0.21428571428571427</v>
      </c>
      <c r="N12" s="51" t="s">
        <v>240</v>
      </c>
      <c r="O12" s="53">
        <v>0.4</v>
      </c>
      <c r="P12" s="51" t="s">
        <v>189</v>
      </c>
      <c r="Q12" s="54">
        <v>0.21621621621621623</v>
      </c>
      <c r="R12" s="51" t="s">
        <v>212</v>
      </c>
      <c r="S12" s="54">
        <v>0.1891891891891892</v>
      </c>
      <c r="T12" s="51" t="s">
        <v>212</v>
      </c>
      <c r="U12" s="55">
        <v>7530.434782608696</v>
      </c>
      <c r="V12" s="51" t="s">
        <v>212</v>
      </c>
      <c r="W12" s="55">
        <v>-8671.4285714285706</v>
      </c>
      <c r="X12" s="51" t="s">
        <v>164</v>
      </c>
      <c r="Y12" s="53">
        <v>0.15492957746478872</v>
      </c>
      <c r="Z12" s="51" t="s">
        <v>205</v>
      </c>
      <c r="AA12" s="54">
        <v>0.17647058823529413</v>
      </c>
      <c r="AB12" s="51" t="s">
        <v>243</v>
      </c>
      <c r="AC12" s="54">
        <v>0.10344827586206896</v>
      </c>
      <c r="AD12" s="51" t="s">
        <v>164</v>
      </c>
      <c r="AE12" s="54">
        <v>0.4941860465116279</v>
      </c>
      <c r="AF12" s="51" t="s">
        <v>243</v>
      </c>
      <c r="AG12" s="54">
        <v>0.33333333333333331</v>
      </c>
      <c r="AH12" s="51" t="s">
        <v>164</v>
      </c>
      <c r="AI12" s="54">
        <v>0.45512820512820512</v>
      </c>
      <c r="AJ12" s="51" t="s">
        <v>189</v>
      </c>
      <c r="AK12" s="58">
        <v>66700</v>
      </c>
    </row>
    <row r="13" spans="1:37" x14ac:dyDescent="0.45">
      <c r="A13" s="48">
        <v>11</v>
      </c>
      <c r="B13" s="51" t="s">
        <v>240</v>
      </c>
      <c r="C13" s="118">
        <v>5</v>
      </c>
      <c r="D13" s="49" t="s">
        <v>205</v>
      </c>
      <c r="E13" s="50">
        <v>-193.20000000000002</v>
      </c>
      <c r="F13" s="51" t="s">
        <v>189</v>
      </c>
      <c r="G13" s="63">
        <v>-11.722222222222221</v>
      </c>
      <c r="H13" s="51" t="s">
        <v>189</v>
      </c>
      <c r="I13" s="63">
        <v>-3.6805555555555549</v>
      </c>
      <c r="J13" s="51" t="s">
        <v>189</v>
      </c>
      <c r="K13" s="52">
        <v>2.2222222222222223</v>
      </c>
      <c r="L13" s="51" t="s">
        <v>196</v>
      </c>
      <c r="M13" s="53">
        <v>0.2</v>
      </c>
      <c r="N13" s="51" t="s">
        <v>194</v>
      </c>
      <c r="O13" s="53">
        <v>0.42857142857142855</v>
      </c>
      <c r="P13" s="51" t="s">
        <v>243</v>
      </c>
      <c r="Q13" s="54">
        <v>0.20689655172413793</v>
      </c>
      <c r="R13" s="51" t="s">
        <v>189</v>
      </c>
      <c r="S13" s="54">
        <v>0.22972972972972974</v>
      </c>
      <c r="T13" s="51" t="s">
        <v>193</v>
      </c>
      <c r="U13" s="55">
        <v>7188.7931034482763</v>
      </c>
      <c r="V13" s="51" t="s">
        <v>240</v>
      </c>
      <c r="W13" s="55">
        <v>-8866.6666666666661</v>
      </c>
      <c r="X13" s="51" t="s">
        <v>193</v>
      </c>
      <c r="Y13" s="53">
        <v>0.15909090909090909</v>
      </c>
      <c r="Z13" s="51" t="s">
        <v>243</v>
      </c>
      <c r="AA13" s="54">
        <v>0.17241379310344829</v>
      </c>
      <c r="AB13" s="51" t="s">
        <v>212</v>
      </c>
      <c r="AC13" s="54">
        <v>9.45945945945946E-2</v>
      </c>
      <c r="AD13" s="51" t="s">
        <v>189</v>
      </c>
      <c r="AE13" s="54">
        <v>0.47619047619047616</v>
      </c>
      <c r="AF13" s="51" t="s">
        <v>205</v>
      </c>
      <c r="AG13" s="54">
        <v>0.32183908045977011</v>
      </c>
      <c r="AH13" s="51" t="s">
        <v>240</v>
      </c>
      <c r="AI13" s="54">
        <v>0.42857142857142855</v>
      </c>
      <c r="AJ13" s="51" t="s">
        <v>240</v>
      </c>
      <c r="AK13" s="58">
        <v>45200</v>
      </c>
    </row>
    <row r="14" spans="1:37" x14ac:dyDescent="0.45">
      <c r="A14" s="48">
        <v>12</v>
      </c>
      <c r="B14" s="51" t="s">
        <v>243</v>
      </c>
      <c r="C14" s="118">
        <v>3</v>
      </c>
      <c r="D14" s="49" t="s">
        <v>194</v>
      </c>
      <c r="E14" s="50">
        <v>-240.99999999999983</v>
      </c>
      <c r="F14" s="51" t="s">
        <v>240</v>
      </c>
      <c r="G14" s="63">
        <v>-22.740000000000002</v>
      </c>
      <c r="H14" s="51" t="s">
        <v>240</v>
      </c>
      <c r="I14" s="63">
        <v>-17.566666666666666</v>
      </c>
      <c r="J14" s="51" t="s">
        <v>240</v>
      </c>
      <c r="K14" s="52">
        <v>2.4</v>
      </c>
      <c r="L14" s="51" t="s">
        <v>240</v>
      </c>
      <c r="M14" s="53">
        <v>0</v>
      </c>
      <c r="N14" s="51" t="s">
        <v>189</v>
      </c>
      <c r="O14" s="53">
        <v>0.44444444444444442</v>
      </c>
      <c r="P14" s="51" t="s">
        <v>240</v>
      </c>
      <c r="Q14" s="54">
        <v>0.17073170731707318</v>
      </c>
      <c r="R14" s="51" t="s">
        <v>243</v>
      </c>
      <c r="S14" s="54">
        <v>0.2413793103448276</v>
      </c>
      <c r="T14" s="51" t="s">
        <v>240</v>
      </c>
      <c r="U14" s="55">
        <v>7142.8571428571431</v>
      </c>
      <c r="V14" s="51" t="s">
        <v>205</v>
      </c>
      <c r="W14" s="55">
        <v>-9228.5714285714294</v>
      </c>
      <c r="X14" s="51" t="s">
        <v>240</v>
      </c>
      <c r="Y14" s="53">
        <v>0.2</v>
      </c>
      <c r="Z14" s="51" t="s">
        <v>193</v>
      </c>
      <c r="AA14" s="54">
        <v>0.16184971098265896</v>
      </c>
      <c r="AB14" s="51" t="s">
        <v>189</v>
      </c>
      <c r="AC14" s="54">
        <v>8.1081081081081086E-2</v>
      </c>
      <c r="AD14" s="51" t="s">
        <v>240</v>
      </c>
      <c r="AE14" s="54">
        <v>0.45454545454545453</v>
      </c>
      <c r="AF14" s="51" t="s">
        <v>240</v>
      </c>
      <c r="AG14" s="54">
        <v>0.2</v>
      </c>
      <c r="AH14" s="51" t="s">
        <v>192</v>
      </c>
      <c r="AI14" s="54">
        <v>0.42758620689655175</v>
      </c>
      <c r="AJ14" s="51" t="s">
        <v>243</v>
      </c>
      <c r="AK14" s="58">
        <v>39600</v>
      </c>
    </row>
  </sheetData>
  <sortState xmlns:xlrd2="http://schemas.microsoft.com/office/spreadsheetml/2017/richdata2" ref="AJ3:AK44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5C6B-E77A-471B-97EC-924ABD9F2C1D}">
  <sheetPr codeName="Sheet4"/>
  <dimension ref="A1:Q40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139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399</v>
      </c>
      <c r="C2" s="140"/>
      <c r="E2" s="28" t="s">
        <v>66</v>
      </c>
      <c r="F2" s="25" t="s">
        <v>22</v>
      </c>
      <c r="G2" s="13">
        <v>662</v>
      </c>
      <c r="H2" s="91">
        <f>IF(B$19=0,0,G2/B$19)</f>
        <v>0.720348204570185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-12.820512820512821</v>
      </c>
      <c r="P2" s="80">
        <v>390</v>
      </c>
      <c r="Q2" s="67">
        <v>-5000</v>
      </c>
    </row>
    <row r="3" spans="1:17" x14ac:dyDescent="0.45">
      <c r="A3" s="21" t="s">
        <v>8</v>
      </c>
      <c r="B3" s="141">
        <v>3177</v>
      </c>
      <c r="C3" s="142"/>
      <c r="E3" s="29" t="s">
        <v>72</v>
      </c>
      <c r="F3" s="26" t="s">
        <v>27</v>
      </c>
      <c r="G3" s="14">
        <v>517</v>
      </c>
      <c r="H3" s="92">
        <f>IF(B$19=0,0,G3/B$19)</f>
        <v>0.56256800870511425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-5.1282051282051286</v>
      </c>
      <c r="P3" s="81">
        <v>390</v>
      </c>
      <c r="Q3" s="68">
        <v>-2000</v>
      </c>
    </row>
    <row r="4" spans="1:17" x14ac:dyDescent="0.45">
      <c r="A4" s="21" t="s">
        <v>6</v>
      </c>
      <c r="B4" s="143">
        <v>0</v>
      </c>
      <c r="C4" s="144"/>
      <c r="E4" s="29" t="s">
        <v>64</v>
      </c>
      <c r="F4" s="26" t="s">
        <v>20</v>
      </c>
      <c r="G4" s="14">
        <v>410</v>
      </c>
      <c r="H4" s="92">
        <f>IF(B$19=0,0,G4/B$19)</f>
        <v>0.44613710554951036</v>
      </c>
      <c r="I4" s="60">
        <v>8</v>
      </c>
      <c r="K4" s="7">
        <v>2</v>
      </c>
      <c r="L4" s="65">
        <v>-39.199999999999996</v>
      </c>
      <c r="N4" s="78" t="s">
        <v>130</v>
      </c>
      <c r="O4" s="84">
        <f t="shared" si="0"/>
        <v>-8.064516129032258</v>
      </c>
      <c r="P4" s="81">
        <v>372</v>
      </c>
      <c r="Q4" s="68">
        <v>-3000</v>
      </c>
    </row>
    <row r="5" spans="1:17" x14ac:dyDescent="0.45">
      <c r="A5" s="21" t="s">
        <v>7</v>
      </c>
      <c r="B5" s="131">
        <f>IF(B$2=0,0,B$4/B$2)</f>
        <v>0</v>
      </c>
      <c r="C5" s="132"/>
      <c r="E5" s="29" t="s">
        <v>160</v>
      </c>
      <c r="F5" s="26" t="s">
        <v>161</v>
      </c>
      <c r="G5" s="14">
        <v>392</v>
      </c>
      <c r="H5" s="92">
        <f>IF(B$19=0,0,G5/B$19)</f>
        <v>0.42655059847660498</v>
      </c>
      <c r="I5" s="60">
        <v>10</v>
      </c>
      <c r="K5" s="7">
        <v>3</v>
      </c>
      <c r="L5" s="65">
        <v>7.1054273576010019E-15</v>
      </c>
      <c r="N5" s="78" t="s">
        <v>131</v>
      </c>
      <c r="O5" s="84">
        <f t="shared" si="0"/>
        <v>17.699115044247787</v>
      </c>
      <c r="P5" s="81">
        <v>339</v>
      </c>
      <c r="Q5" s="68">
        <v>6000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68</v>
      </c>
      <c r="F6" s="26" t="s">
        <v>12</v>
      </c>
      <c r="G6" s="14">
        <v>300</v>
      </c>
      <c r="H6" s="92">
        <f>IF(B$19=0,0,G6/B$19)</f>
        <v>0.32644178454842221</v>
      </c>
      <c r="I6" s="60">
        <v>8</v>
      </c>
      <c r="K6" s="7">
        <v>4</v>
      </c>
      <c r="L6" s="65">
        <v>-55.499999999999993</v>
      </c>
      <c r="N6" s="78" t="s">
        <v>132</v>
      </c>
      <c r="O6" s="84">
        <f t="shared" si="0"/>
        <v>-44.444444444444443</v>
      </c>
      <c r="P6" s="81">
        <v>315</v>
      </c>
      <c r="Q6" s="68">
        <v>-14000</v>
      </c>
    </row>
    <row r="7" spans="1:17" x14ac:dyDescent="0.45">
      <c r="A7" s="21" t="s">
        <v>2</v>
      </c>
      <c r="B7" s="14">
        <v>133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233</v>
      </c>
      <c r="H7" s="92">
        <f>IF(B$19=0,0,G7/B$19)</f>
        <v>0.25353645266594121</v>
      </c>
      <c r="I7" s="60">
        <v>7</v>
      </c>
      <c r="K7" s="7">
        <v>5</v>
      </c>
      <c r="L7" s="65">
        <v>-55.999999999999993</v>
      </c>
      <c r="N7" s="79" t="s">
        <v>133</v>
      </c>
      <c r="O7" s="85">
        <f t="shared" si="0"/>
        <v>58.823529411764703</v>
      </c>
      <c r="P7" s="82">
        <v>255</v>
      </c>
      <c r="Q7" s="69">
        <v>15000</v>
      </c>
    </row>
    <row r="8" spans="1:17" x14ac:dyDescent="0.45">
      <c r="A8" s="21" t="s">
        <v>3</v>
      </c>
      <c r="B8" s="14">
        <v>133</v>
      </c>
      <c r="C8" s="8">
        <f t="shared" si="1"/>
        <v>0.33333333333333331</v>
      </c>
      <c r="E8" s="29" t="s">
        <v>69</v>
      </c>
      <c r="F8" s="26" t="s">
        <v>24</v>
      </c>
      <c r="G8" s="14">
        <v>134</v>
      </c>
      <c r="H8" s="92">
        <f>IF(B$19=0,0,G8/B$19)</f>
        <v>0.14581066376496191</v>
      </c>
      <c r="I8" s="60">
        <v>6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133</v>
      </c>
      <c r="C9" s="9">
        <f t="shared" si="1"/>
        <v>0.33333333333333331</v>
      </c>
      <c r="E9" s="29" t="s">
        <v>89</v>
      </c>
      <c r="F9" s="26" t="s">
        <v>44</v>
      </c>
      <c r="G9" s="14">
        <v>132</v>
      </c>
      <c r="H9" s="92">
        <f>IF(B$19=0,0,G9/B$19)</f>
        <v>0.14363438520130578</v>
      </c>
      <c r="I9" s="60">
        <v>6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38.074436090225568</v>
      </c>
      <c r="C10" s="114">
        <v>5063.9000000000005</v>
      </c>
      <c r="E10" s="29" t="s">
        <v>65</v>
      </c>
      <c r="F10" s="26" t="s">
        <v>21</v>
      </c>
      <c r="G10" s="14">
        <v>87</v>
      </c>
      <c r="H10" s="92">
        <f>IF(B$19=0,0,G10/B$19)</f>
        <v>9.4668117519042444E-2</v>
      </c>
      <c r="I10" s="60">
        <v>8</v>
      </c>
      <c r="K10" s="7">
        <v>8</v>
      </c>
      <c r="L10" s="65">
        <v>-81.5</v>
      </c>
      <c r="N10" s="77" t="s">
        <v>152</v>
      </c>
      <c r="O10" s="86">
        <f>IF(P10=0,0,Q10/P10)</f>
        <v>-5.1894736842105234</v>
      </c>
      <c r="P10" s="80">
        <v>133</v>
      </c>
      <c r="Q10" s="71">
        <v>-690.19999999999959</v>
      </c>
    </row>
    <row r="11" spans="1:17" x14ac:dyDescent="0.45">
      <c r="A11" s="22" t="s">
        <v>186</v>
      </c>
      <c r="B11" s="113">
        <f>IF(B8=0,0,C11/B8)</f>
        <v>-2.4240601503759405</v>
      </c>
      <c r="C11" s="114">
        <v>-322.40000000000009</v>
      </c>
      <c r="E11" s="29" t="s">
        <v>70</v>
      </c>
      <c r="F11" s="26" t="s">
        <v>25</v>
      </c>
      <c r="G11" s="14">
        <v>76</v>
      </c>
      <c r="H11" s="92">
        <f>IF(B$19=0,0,G11/B$19)</f>
        <v>8.2698585418933629E-2</v>
      </c>
      <c r="I11" s="60">
        <v>7</v>
      </c>
      <c r="K11" s="7">
        <v>9</v>
      </c>
      <c r="L11" s="65">
        <v>0</v>
      </c>
      <c r="N11" s="78" t="s">
        <v>153</v>
      </c>
      <c r="O11" s="87">
        <f>IF(P11=0,0,Q11/P11)</f>
        <v>2.4902255639097741</v>
      </c>
      <c r="P11" s="81">
        <v>133</v>
      </c>
      <c r="Q11" s="72">
        <v>331.19999999999993</v>
      </c>
    </row>
    <row r="12" spans="1:17" x14ac:dyDescent="0.45">
      <c r="A12" s="22" t="s">
        <v>187</v>
      </c>
      <c r="B12" s="113">
        <f>IF(B9=0,0,C12/B9)</f>
        <v>-35.650375939849617</v>
      </c>
      <c r="C12" s="114">
        <v>-4741.4999999999991</v>
      </c>
      <c r="E12" s="29" t="s">
        <v>71</v>
      </c>
      <c r="F12" s="26" t="s">
        <v>26</v>
      </c>
      <c r="G12" s="14">
        <v>54</v>
      </c>
      <c r="H12" s="92">
        <f>IF(B$19=0,0,G12/B$19)</f>
        <v>5.8759521218715999E-2</v>
      </c>
      <c r="I12" s="60">
        <v>7</v>
      </c>
      <c r="K12" s="7">
        <v>10</v>
      </c>
      <c r="L12" s="65">
        <v>60.4</v>
      </c>
      <c r="N12" s="79" t="s">
        <v>154</v>
      </c>
      <c r="O12" s="88">
        <f>IF(P12=0,0,Q12/P12)</f>
        <v>2.6992481203007492</v>
      </c>
      <c r="P12" s="82">
        <v>133</v>
      </c>
      <c r="Q12" s="73">
        <v>358.99999999999966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86</v>
      </c>
      <c r="F13" s="26" t="s">
        <v>41</v>
      </c>
      <c r="G13" s="14">
        <v>54</v>
      </c>
      <c r="H13" s="92">
        <f>IF(B$19=0,0,G13/B$19)</f>
        <v>5.8759521218715999E-2</v>
      </c>
      <c r="I13" s="60">
        <v>7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42</v>
      </c>
      <c r="C14" s="11">
        <f t="shared" si="1"/>
        <v>0.10526315789473684</v>
      </c>
      <c r="E14" s="29" t="s">
        <v>83</v>
      </c>
      <c r="F14" s="26" t="s">
        <v>38</v>
      </c>
      <c r="G14" s="14">
        <v>42</v>
      </c>
      <c r="H14" s="92">
        <f>IF(B$19=0,0,G14/B$19)</f>
        <v>4.5701849836779107E-2</v>
      </c>
      <c r="I14" s="60">
        <v>6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758</v>
      </c>
      <c r="C15" s="12">
        <f>IF(B$3=0,0,B15/B$3)</f>
        <v>0.23858986465218759</v>
      </c>
      <c r="E15" s="29" t="s">
        <v>78</v>
      </c>
      <c r="F15" s="26" t="s">
        <v>33</v>
      </c>
      <c r="G15" s="14">
        <v>36</v>
      </c>
      <c r="H15" s="92">
        <f>IF(B$19=0,0,G15/B$19)</f>
        <v>3.9173014145810661E-2</v>
      </c>
      <c r="I15" s="60">
        <v>5</v>
      </c>
      <c r="K15" s="7">
        <v>13</v>
      </c>
      <c r="L15" s="65">
        <v>14.300000000000002</v>
      </c>
      <c r="N15" s="77" t="s">
        <v>240</v>
      </c>
      <c r="O15" s="86">
        <f>IF(P15=0,0,Q15/P15)</f>
        <v>34.11</v>
      </c>
      <c r="P15" s="80">
        <v>10</v>
      </c>
      <c r="Q15" s="71">
        <v>341.1</v>
      </c>
    </row>
    <row r="16" spans="1:17" x14ac:dyDescent="0.45">
      <c r="A16" s="21" t="s">
        <v>118</v>
      </c>
      <c r="B16" s="14">
        <v>658</v>
      </c>
      <c r="C16" s="8">
        <f>IF(B$3=0,0,B16/B$3)</f>
        <v>0.2071136292099465</v>
      </c>
      <c r="E16" s="29" t="s">
        <v>81</v>
      </c>
      <c r="F16" s="26" t="s">
        <v>36</v>
      </c>
      <c r="G16" s="14">
        <v>27</v>
      </c>
      <c r="H16" s="92">
        <f>IF(B$19=0,0,G16/B$19)</f>
        <v>2.9379760609357999E-2</v>
      </c>
      <c r="I16" s="60">
        <v>4</v>
      </c>
      <c r="K16" s="7">
        <v>14</v>
      </c>
      <c r="L16" s="65">
        <v>12.800000000000002</v>
      </c>
      <c r="N16" s="78" t="s">
        <v>189</v>
      </c>
      <c r="O16" s="87">
        <f>IF(P16=0,0,Q16/P16)</f>
        <v>17.583333333333336</v>
      </c>
      <c r="P16" s="81">
        <v>18</v>
      </c>
      <c r="Q16" s="72">
        <v>316.50000000000006</v>
      </c>
    </row>
    <row r="17" spans="1:17" x14ac:dyDescent="0.45">
      <c r="A17" s="20" t="s">
        <v>123</v>
      </c>
      <c r="B17" s="13">
        <f>B23</f>
        <v>424</v>
      </c>
      <c r="C17" s="6">
        <f>IF(B$15=0,0,B17/B$15)</f>
        <v>0.55936675461741425</v>
      </c>
      <c r="E17" s="29" t="s">
        <v>79</v>
      </c>
      <c r="F17" s="26" t="s">
        <v>34</v>
      </c>
      <c r="G17" s="14">
        <v>21</v>
      </c>
      <c r="H17" s="92">
        <f>IF(B$19=0,0,G17/B$19)</f>
        <v>2.2850924918389554E-2</v>
      </c>
      <c r="I17" s="60">
        <v>6</v>
      </c>
      <c r="K17" s="7">
        <v>15</v>
      </c>
      <c r="L17" s="65">
        <v>1.7763568394002505E-15</v>
      </c>
      <c r="N17" s="78" t="s">
        <v>194</v>
      </c>
      <c r="O17" s="87">
        <f>IF(P17=0,0,Q17/P17)</f>
        <v>8.6071428571428612</v>
      </c>
      <c r="P17" s="81">
        <v>84</v>
      </c>
      <c r="Q17" s="72">
        <v>723.00000000000034</v>
      </c>
    </row>
    <row r="18" spans="1:17" x14ac:dyDescent="0.45">
      <c r="A18" s="20" t="s">
        <v>124</v>
      </c>
      <c r="B18" s="13">
        <f>B24</f>
        <v>272</v>
      </c>
      <c r="C18" s="6">
        <f>IF(B$16=0,0,B18/B$16)</f>
        <v>0.41337386018237082</v>
      </c>
      <c r="E18" s="29" t="s">
        <v>91</v>
      </c>
      <c r="F18" s="26" t="s">
        <v>46</v>
      </c>
      <c r="G18" s="14">
        <v>20</v>
      </c>
      <c r="H18" s="92">
        <f>IF(B$19=0,0,G18/B$19)</f>
        <v>2.176278563656148E-2</v>
      </c>
      <c r="I18" s="60">
        <v>3</v>
      </c>
      <c r="K18" s="7">
        <v>16</v>
      </c>
      <c r="L18" s="65">
        <v>3.4000000000000017</v>
      </c>
      <c r="N18" s="78" t="s">
        <v>212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5">
      <c r="A19" s="20" t="s">
        <v>10</v>
      </c>
      <c r="B19" s="13">
        <f>B22+B21</f>
        <v>919</v>
      </c>
      <c r="C19" s="6">
        <f>IF(B$3=0,0,B19/B$3)</f>
        <v>0.28926660371419577</v>
      </c>
      <c r="E19" s="29" t="s">
        <v>156</v>
      </c>
      <c r="F19" s="26" t="s">
        <v>157</v>
      </c>
      <c r="G19" s="14">
        <v>15</v>
      </c>
      <c r="H19" s="92">
        <f>IF(B$19=0,0,G19/B$19)</f>
        <v>1.6322089227421111E-2</v>
      </c>
      <c r="I19" s="60">
        <v>3</v>
      </c>
      <c r="K19" s="7">
        <v>17</v>
      </c>
      <c r="L19" s="65">
        <v>-35.800000000000004</v>
      </c>
      <c r="N19" s="78" t="s">
        <v>205</v>
      </c>
      <c r="O19" s="87">
        <f>IF(P19=0,0,Q19/P19)</f>
        <v>6.9</v>
      </c>
      <c r="P19" s="81">
        <v>84</v>
      </c>
      <c r="Q19" s="72">
        <v>579.6</v>
      </c>
    </row>
    <row r="20" spans="1:17" x14ac:dyDescent="0.45">
      <c r="A20" s="21" t="s">
        <v>13</v>
      </c>
      <c r="B20" s="14">
        <v>480</v>
      </c>
      <c r="C20" s="8">
        <f>IF(B$3=0,0,B20/B$3)</f>
        <v>0.15108593012275731</v>
      </c>
      <c r="E20" s="29" t="s">
        <v>92</v>
      </c>
      <c r="F20" s="26" t="s">
        <v>47</v>
      </c>
      <c r="G20" s="14">
        <v>10</v>
      </c>
      <c r="H20" s="92">
        <f>IF(B$19=0,0,G20/B$19)</f>
        <v>1.088139281828074E-2</v>
      </c>
      <c r="I20" s="60">
        <v>4</v>
      </c>
      <c r="K20" s="7">
        <v>18</v>
      </c>
      <c r="L20" s="65">
        <v>-7.1054273576010019E-15</v>
      </c>
      <c r="N20" s="78" t="s">
        <v>243</v>
      </c>
      <c r="O20" s="87">
        <f>IF(P20=0,0,Q20/P20)</f>
        <v>5.0499999999999989</v>
      </c>
      <c r="P20" s="81">
        <v>6</v>
      </c>
      <c r="Q20" s="72">
        <v>30.299999999999994</v>
      </c>
    </row>
    <row r="21" spans="1:17" x14ac:dyDescent="0.45">
      <c r="A21" s="21" t="s">
        <v>12</v>
      </c>
      <c r="B21" s="14">
        <v>437</v>
      </c>
      <c r="C21" s="8">
        <f>IF(B$19=0,0,B21/B$19)</f>
        <v>0.47551686615886835</v>
      </c>
      <c r="E21" s="29" t="s">
        <v>75</v>
      </c>
      <c r="F21" s="26" t="s">
        <v>30</v>
      </c>
      <c r="G21" s="14">
        <v>6</v>
      </c>
      <c r="H21" s="92">
        <f>IF(B$19=0,0,G21/B$19)</f>
        <v>6.5288356909684441E-3</v>
      </c>
      <c r="I21" s="60">
        <v>5</v>
      </c>
      <c r="K21" s="7">
        <v>19</v>
      </c>
      <c r="L21" s="65">
        <v>-27.100000000000009</v>
      </c>
      <c r="N21" s="78" t="s">
        <v>196</v>
      </c>
      <c r="O21" s="87">
        <f>IF(P21=0,0,Q21/P21)</f>
        <v>2.009999999999998</v>
      </c>
      <c r="P21" s="81">
        <v>20</v>
      </c>
      <c r="Q21" s="72">
        <v>40.19999999999996</v>
      </c>
    </row>
    <row r="22" spans="1:17" x14ac:dyDescent="0.45">
      <c r="A22" s="21" t="s">
        <v>11</v>
      </c>
      <c r="B22" s="14">
        <v>482</v>
      </c>
      <c r="C22" s="8">
        <f>IF(B$19=0,0,B22/B$19)</f>
        <v>0.52448313384113165</v>
      </c>
      <c r="E22" s="29" t="s">
        <v>77</v>
      </c>
      <c r="F22" s="26" t="s">
        <v>32</v>
      </c>
      <c r="G22" s="14">
        <v>6</v>
      </c>
      <c r="H22" s="92">
        <f>IF(B$19=0,0,G22/B$19)</f>
        <v>6.5288356909684441E-3</v>
      </c>
      <c r="I22" s="60">
        <v>5</v>
      </c>
      <c r="K22" s="7">
        <v>20</v>
      </c>
      <c r="L22" s="65">
        <v>-28.600000000000009</v>
      </c>
      <c r="N22" s="78" t="s">
        <v>192</v>
      </c>
      <c r="O22" s="87">
        <f>IF(P22=0,0,Q22/P22)</f>
        <v>1.6753846153846186</v>
      </c>
      <c r="P22" s="81">
        <v>130</v>
      </c>
      <c r="Q22" s="72">
        <v>217.80000000000041</v>
      </c>
    </row>
    <row r="23" spans="1:17" x14ac:dyDescent="0.45">
      <c r="A23" s="21" t="s">
        <v>184</v>
      </c>
      <c r="B23" s="14">
        <v>424</v>
      </c>
      <c r="C23" s="8">
        <f>IF(B$19=0,0,B23/B$19)</f>
        <v>0.46137105549510338</v>
      </c>
      <c r="E23" s="29" t="s">
        <v>73</v>
      </c>
      <c r="F23" s="26" t="s">
        <v>28</v>
      </c>
      <c r="G23" s="14">
        <v>3</v>
      </c>
      <c r="H23" s="92">
        <f>IF(B$19=0,0,G23/B$19)</f>
        <v>3.2644178454842221E-3</v>
      </c>
      <c r="I23" s="60">
        <v>4</v>
      </c>
      <c r="K23" s="7">
        <v>21</v>
      </c>
      <c r="L23" s="65">
        <v>-7.1054273576010019E-15</v>
      </c>
      <c r="N23" s="78" t="s">
        <v>164</v>
      </c>
      <c r="O23" s="87">
        <f>IF(P23=0,0,Q23/P23)</f>
        <v>-0.3866197183098618</v>
      </c>
      <c r="P23" s="81">
        <v>142</v>
      </c>
      <c r="Q23" s="72">
        <v>-54.900000000000375</v>
      </c>
    </row>
    <row r="24" spans="1:17" x14ac:dyDescent="0.45">
      <c r="A24" s="21" t="s">
        <v>182</v>
      </c>
      <c r="B24" s="14">
        <v>272</v>
      </c>
      <c r="C24" s="8">
        <f>IF(B$19=0,0,B24/B$19)</f>
        <v>0.29597388465723612</v>
      </c>
      <c r="E24" s="29" t="s">
        <v>85</v>
      </c>
      <c r="F24" s="26" t="s">
        <v>40</v>
      </c>
      <c r="G24" s="14">
        <v>3</v>
      </c>
      <c r="H24" s="92">
        <f>IF(B$19=0,0,G24/B$19)</f>
        <v>3.2644178454842221E-3</v>
      </c>
      <c r="I24" s="60">
        <v>3</v>
      </c>
      <c r="K24" s="7">
        <v>22</v>
      </c>
      <c r="L24" s="65">
        <v>-7.5000000000000071</v>
      </c>
      <c r="N24" s="78" t="s">
        <v>193</v>
      </c>
      <c r="O24" s="87">
        <f>IF(P24=0,0,Q24/P24)</f>
        <v>-3.1431818181818163</v>
      </c>
      <c r="P24" s="81">
        <v>88</v>
      </c>
      <c r="Q24" s="72">
        <v>-276.59999999999985</v>
      </c>
    </row>
    <row r="25" spans="1:17" x14ac:dyDescent="0.45">
      <c r="A25" s="21" t="s">
        <v>183</v>
      </c>
      <c r="B25" s="14">
        <v>223</v>
      </c>
      <c r="C25" s="8">
        <f>IF(B$19=0,0,B25/B$19)</f>
        <v>0.2426550598476605</v>
      </c>
      <c r="E25" s="29" t="s">
        <v>74</v>
      </c>
      <c r="F25" s="26" t="s">
        <v>29</v>
      </c>
      <c r="G25" s="14">
        <v>2</v>
      </c>
      <c r="H25" s="92">
        <f>IF(B$19=0,0,G25/B$19)</f>
        <v>2.176278563656148E-3</v>
      </c>
      <c r="I25" s="60">
        <v>3</v>
      </c>
      <c r="K25" s="7">
        <v>23</v>
      </c>
      <c r="L25" s="65">
        <v>-41.600000000000009</v>
      </c>
      <c r="N25" s="78" t="s">
        <v>126</v>
      </c>
      <c r="O25" s="87">
        <f>IF(P25=0,0,Q25/P25)</f>
        <v>-10.312121212121204</v>
      </c>
      <c r="P25" s="81">
        <v>198</v>
      </c>
      <c r="Q25" s="72">
        <v>-2041.7999999999984</v>
      </c>
    </row>
    <row r="26" spans="1:17" x14ac:dyDescent="0.45">
      <c r="A26" s="21" t="s">
        <v>5</v>
      </c>
      <c r="B26" s="18">
        <f>IF(B$19=0,0,C26/B$19)</f>
        <v>8743.0903155603919</v>
      </c>
      <c r="C26" s="10">
        <v>8034900</v>
      </c>
      <c r="E26" s="29" t="s">
        <v>87</v>
      </c>
      <c r="F26" s="26" t="s">
        <v>42</v>
      </c>
      <c r="G26" s="14">
        <v>2</v>
      </c>
      <c r="H26" s="92">
        <f>IF(B$19=0,0,G26/B$19)</f>
        <v>2.176278563656148E-3</v>
      </c>
      <c r="I26" s="60">
        <v>3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9312.0556414219482</v>
      </c>
      <c r="C27" s="100">
        <v>6024900</v>
      </c>
      <c r="E27" s="29" t="s">
        <v>88</v>
      </c>
      <c r="F27" s="26" t="s">
        <v>43</v>
      </c>
      <c r="G27" s="14">
        <v>2</v>
      </c>
      <c r="H27" s="92">
        <f>IF(B$19=0,0,G27/B$19)</f>
        <v>2.176278563656148E-3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7389.7058823529414</v>
      </c>
      <c r="C28" s="100">
        <v>2010000</v>
      </c>
      <c r="E28" s="29" t="s">
        <v>93</v>
      </c>
      <c r="F28" s="26" t="s">
        <v>48</v>
      </c>
      <c r="G28" s="14">
        <v>2</v>
      </c>
      <c r="H28" s="92">
        <f>IF(B$19=0,0,G28/B$19)</f>
        <v>2.176278563656148E-3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-7946.25</v>
      </c>
      <c r="C29" s="100">
        <v>-3814200</v>
      </c>
      <c r="E29" s="29" t="s">
        <v>95</v>
      </c>
      <c r="F29" s="26" t="s">
        <v>50</v>
      </c>
      <c r="G29" s="14">
        <v>2</v>
      </c>
      <c r="H29" s="92">
        <f>IF(B$19=0,0,G29/B$19)</f>
        <v>2.176278563656148E-3</v>
      </c>
      <c r="I29" s="60">
        <v>3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84</v>
      </c>
      <c r="F30" s="26" t="s">
        <v>39</v>
      </c>
      <c r="G30" s="14">
        <v>1</v>
      </c>
      <c r="H30" s="92">
        <f>IF(B$19=0,0,G30/B$19)</f>
        <v>1.088139281828074E-3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38</v>
      </c>
      <c r="C31" s="94">
        <v>3</v>
      </c>
      <c r="E31" s="29" t="s">
        <v>97</v>
      </c>
      <c r="F31" s="26" t="s">
        <v>52</v>
      </c>
      <c r="G31" s="14">
        <v>1</v>
      </c>
      <c r="H31" s="92">
        <f>IF(B$19=0,0,G31/B$19)</f>
        <v>1.088139281828074E-3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33">
        <v>10</v>
      </c>
      <c r="C32" s="134"/>
      <c r="E32" s="29" t="s">
        <v>102</v>
      </c>
      <c r="F32" s="26" t="s">
        <v>57</v>
      </c>
      <c r="G32" s="14">
        <v>1</v>
      </c>
      <c r="H32" s="92">
        <f>IF(B$19=0,0,G32/B$19)</f>
        <v>1.088139281828074E-3</v>
      </c>
      <c r="I32" s="60">
        <v>2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35">
        <v>116000</v>
      </c>
      <c r="C33" s="136"/>
      <c r="E33" s="29" t="s">
        <v>106</v>
      </c>
      <c r="F33" s="26" t="s">
        <v>113</v>
      </c>
      <c r="G33" s="14">
        <v>1</v>
      </c>
      <c r="H33" s="92">
        <f>IF(B$19=0,0,G33/B$19)</f>
        <v>1.088139281828074E-3</v>
      </c>
      <c r="I33" s="60">
        <v>2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8</v>
      </c>
      <c r="C34" s="11">
        <f>IF(B$3=0,0,B34/B$3)</f>
        <v>2.5180988353792886E-3</v>
      </c>
      <c r="E34" s="29" t="s">
        <v>76</v>
      </c>
      <c r="F34" s="26" t="s">
        <v>31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80</v>
      </c>
      <c r="F35" s="26" t="s">
        <v>35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66</v>
      </c>
      <c r="C36" s="102">
        <f t="shared" ref="C36:C48" si="2">IF(B$19=0,0,B36/B$19)</f>
        <v>7.181719260065289E-2</v>
      </c>
      <c r="E36" s="29" t="s">
        <v>82</v>
      </c>
      <c r="F36" s="26" t="s">
        <v>37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162</v>
      </c>
      <c r="C37" s="8">
        <f t="shared" si="2"/>
        <v>0.176278563656148</v>
      </c>
      <c r="E37" s="29" t="s">
        <v>90</v>
      </c>
      <c r="F37" s="26" t="s">
        <v>45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168</v>
      </c>
      <c r="C38" s="8">
        <f t="shared" si="2"/>
        <v>0.18280739934711643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163</v>
      </c>
      <c r="C39" s="8">
        <f t="shared" si="2"/>
        <v>0.17736670293797607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133</v>
      </c>
      <c r="C40" s="8">
        <f t="shared" si="2"/>
        <v>0.14472252448313383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98</v>
      </c>
      <c r="C41" s="8">
        <f t="shared" si="2"/>
        <v>0.10663764961915125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52</v>
      </c>
      <c r="C42" s="8">
        <f t="shared" si="2"/>
        <v>5.6583242655059846E-2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24</v>
      </c>
      <c r="C43" s="8">
        <f t="shared" si="2"/>
        <v>2.6115342763873776E-2</v>
      </c>
      <c r="E43" s="29" t="s">
        <v>101</v>
      </c>
      <c r="F43" s="26" t="s">
        <v>56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17</v>
      </c>
      <c r="C44" s="8">
        <f t="shared" si="2"/>
        <v>1.8498367791077257E-2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10</v>
      </c>
      <c r="C45" s="8">
        <f t="shared" si="2"/>
        <v>1.088139281828074E-2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4.3525571273122961E-3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5</v>
      </c>
      <c r="C47" s="8">
        <f t="shared" si="2"/>
        <v>5.4406964091403701E-3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17</v>
      </c>
      <c r="C48" s="11">
        <f t="shared" si="2"/>
        <v>1.8498367791077257E-2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  <row r="243" spans="11:12" x14ac:dyDescent="0.45">
      <c r="K243" s="7">
        <v>241</v>
      </c>
      <c r="L243" s="65">
        <v>-33.000000000000021</v>
      </c>
    </row>
    <row r="244" spans="11:12" x14ac:dyDescent="0.45">
      <c r="K244" s="7">
        <v>242</v>
      </c>
      <c r="L244" s="65">
        <v>-40.90000000000002</v>
      </c>
    </row>
    <row r="245" spans="11:12" x14ac:dyDescent="0.45">
      <c r="K245" s="7">
        <v>243</v>
      </c>
      <c r="L245" s="65">
        <v>-2.1316282072803006E-14</v>
      </c>
    </row>
    <row r="246" spans="11:12" x14ac:dyDescent="0.45">
      <c r="K246" s="7">
        <v>244</v>
      </c>
      <c r="L246" s="65">
        <v>-3.4000000000000212</v>
      </c>
    </row>
    <row r="247" spans="11:12" x14ac:dyDescent="0.45">
      <c r="K247" s="7">
        <v>245</v>
      </c>
      <c r="L247" s="65">
        <v>14.499999999999977</v>
      </c>
    </row>
    <row r="248" spans="11:12" x14ac:dyDescent="0.45">
      <c r="K248" s="7">
        <v>246</v>
      </c>
      <c r="L248" s="65">
        <v>-2.3092638912203256E-14</v>
      </c>
    </row>
    <row r="249" spans="11:12" x14ac:dyDescent="0.45">
      <c r="K249" s="7">
        <v>247</v>
      </c>
      <c r="L249" s="65">
        <v>-29.800000000000026</v>
      </c>
    </row>
    <row r="250" spans="11:12" x14ac:dyDescent="0.45">
      <c r="K250" s="7">
        <v>248</v>
      </c>
      <c r="L250" s="65">
        <v>4.099999999999973</v>
      </c>
    </row>
    <row r="251" spans="11:12" x14ac:dyDescent="0.45">
      <c r="K251" s="7">
        <v>249</v>
      </c>
      <c r="L251" s="65">
        <v>-2.6645352591003757E-14</v>
      </c>
    </row>
    <row r="252" spans="11:12" x14ac:dyDescent="0.45">
      <c r="K252" s="7">
        <v>250</v>
      </c>
      <c r="L252" s="65">
        <v>13.499999999999973</v>
      </c>
    </row>
    <row r="253" spans="11:12" x14ac:dyDescent="0.45">
      <c r="K253" s="7">
        <v>251</v>
      </c>
      <c r="L253" s="65">
        <v>-34.500000000000028</v>
      </c>
    </row>
    <row r="254" spans="11:12" x14ac:dyDescent="0.45">
      <c r="K254" s="7">
        <v>252</v>
      </c>
      <c r="L254" s="65">
        <v>-2.8421709430404007E-14</v>
      </c>
    </row>
    <row r="255" spans="11:12" x14ac:dyDescent="0.45">
      <c r="K255" s="7">
        <v>253</v>
      </c>
      <c r="L255" s="65">
        <v>-46.300000000000026</v>
      </c>
    </row>
    <row r="256" spans="11:12" x14ac:dyDescent="0.45">
      <c r="K256" s="7">
        <v>254</v>
      </c>
      <c r="L256" s="65">
        <v>-43.500000000000028</v>
      </c>
    </row>
    <row r="257" spans="11:12" x14ac:dyDescent="0.45">
      <c r="K257" s="7">
        <v>255</v>
      </c>
      <c r="L257" s="65">
        <v>-2.8421709430404007E-14</v>
      </c>
    </row>
    <row r="258" spans="11:12" x14ac:dyDescent="0.45">
      <c r="K258" s="7">
        <v>256</v>
      </c>
      <c r="L258" s="65">
        <v>-23.60000000000003</v>
      </c>
    </row>
    <row r="259" spans="11:12" x14ac:dyDescent="0.45">
      <c r="K259" s="7">
        <v>257</v>
      </c>
      <c r="L259" s="65">
        <v>45.499999999999964</v>
      </c>
    </row>
    <row r="260" spans="11:12" x14ac:dyDescent="0.45">
      <c r="K260" s="7">
        <v>258</v>
      </c>
      <c r="L260" s="65">
        <v>-3.5527136788005009E-14</v>
      </c>
    </row>
    <row r="261" spans="11:12" x14ac:dyDescent="0.45">
      <c r="K261" s="7">
        <v>259</v>
      </c>
      <c r="L261" s="65">
        <v>3.3999999999999644</v>
      </c>
    </row>
    <row r="262" spans="11:12" x14ac:dyDescent="0.45">
      <c r="K262" s="7">
        <v>260</v>
      </c>
      <c r="L262" s="65">
        <v>-15.300000000000034</v>
      </c>
    </row>
    <row r="263" spans="11:12" x14ac:dyDescent="0.45">
      <c r="K263" s="7">
        <v>261</v>
      </c>
      <c r="L263" s="65">
        <v>-3.3750779948604759E-14</v>
      </c>
    </row>
    <row r="264" spans="11:12" x14ac:dyDescent="0.45">
      <c r="K264" s="7">
        <v>262</v>
      </c>
      <c r="L264" s="65">
        <v>-20.700000000000031</v>
      </c>
    </row>
    <row r="265" spans="11:12" x14ac:dyDescent="0.45">
      <c r="K265" s="7">
        <v>263</v>
      </c>
      <c r="L265" s="65">
        <v>-19.500000000000032</v>
      </c>
    </row>
    <row r="266" spans="11:12" x14ac:dyDescent="0.45">
      <c r="K266" s="7">
        <v>264</v>
      </c>
      <c r="L266" s="65">
        <v>-3.1974423109204508E-14</v>
      </c>
    </row>
    <row r="267" spans="11:12" x14ac:dyDescent="0.45">
      <c r="K267" s="7">
        <v>265</v>
      </c>
      <c r="L267" s="65">
        <v>-8.9000000000000323</v>
      </c>
    </row>
    <row r="268" spans="11:12" x14ac:dyDescent="0.45">
      <c r="K268" s="7">
        <v>266</v>
      </c>
      <c r="L268" s="65">
        <v>27.099999999999966</v>
      </c>
    </row>
    <row r="269" spans="11:12" x14ac:dyDescent="0.45">
      <c r="K269" s="7">
        <v>267</v>
      </c>
      <c r="L269" s="65">
        <v>-3.5527136788005009E-14</v>
      </c>
    </row>
    <row r="270" spans="11:12" x14ac:dyDescent="0.45">
      <c r="K270" s="7">
        <v>268</v>
      </c>
      <c r="L270" s="65">
        <v>-15.700000000000035</v>
      </c>
    </row>
    <row r="271" spans="11:12" x14ac:dyDescent="0.45">
      <c r="K271" s="7">
        <v>269</v>
      </c>
      <c r="L271" s="65">
        <v>4.6999999999999638</v>
      </c>
    </row>
    <row r="272" spans="11:12" x14ac:dyDescent="0.45">
      <c r="K272" s="7">
        <v>270</v>
      </c>
      <c r="L272" s="65">
        <v>-3.6415315207705135E-14</v>
      </c>
    </row>
    <row r="273" spans="11:12" x14ac:dyDescent="0.45">
      <c r="K273" s="7">
        <v>271</v>
      </c>
      <c r="L273" s="65">
        <v>-16.000000000000036</v>
      </c>
    </row>
    <row r="274" spans="11:12" x14ac:dyDescent="0.45">
      <c r="K274" s="7">
        <v>272</v>
      </c>
      <c r="L274" s="65">
        <v>1.4999999999999645</v>
      </c>
    </row>
    <row r="275" spans="11:12" x14ac:dyDescent="0.45">
      <c r="K275" s="7">
        <v>273</v>
      </c>
      <c r="L275" s="65">
        <v>-3.5527136788005009E-14</v>
      </c>
    </row>
    <row r="276" spans="11:12" x14ac:dyDescent="0.45">
      <c r="K276" s="7">
        <v>274</v>
      </c>
      <c r="L276" s="65">
        <v>-34.800000000000033</v>
      </c>
    </row>
    <row r="277" spans="11:12" x14ac:dyDescent="0.45">
      <c r="K277" s="7">
        <v>275</v>
      </c>
      <c r="L277" s="65">
        <v>-50.800000000000033</v>
      </c>
    </row>
    <row r="278" spans="11:12" x14ac:dyDescent="0.45">
      <c r="K278" s="7">
        <v>276</v>
      </c>
      <c r="L278" s="65">
        <v>-3.5527136788005009E-14</v>
      </c>
    </row>
    <row r="279" spans="11:12" x14ac:dyDescent="0.45">
      <c r="K279" s="7">
        <v>277</v>
      </c>
      <c r="L279" s="65">
        <v>33.199999999999967</v>
      </c>
    </row>
    <row r="280" spans="11:12" x14ac:dyDescent="0.45">
      <c r="K280" s="7">
        <v>278</v>
      </c>
      <c r="L280" s="65">
        <v>41.599999999999966</v>
      </c>
    </row>
    <row r="281" spans="11:12" x14ac:dyDescent="0.45">
      <c r="K281" s="7">
        <v>279</v>
      </c>
      <c r="L281" s="65">
        <v>-3.5527136788005009E-14</v>
      </c>
    </row>
    <row r="282" spans="11:12" x14ac:dyDescent="0.45">
      <c r="K282" s="7">
        <v>280</v>
      </c>
      <c r="L282" s="65">
        <v>11.899999999999965</v>
      </c>
    </row>
    <row r="283" spans="11:12" x14ac:dyDescent="0.45">
      <c r="K283" s="7">
        <v>281</v>
      </c>
      <c r="L283" s="65">
        <v>36.199999999999967</v>
      </c>
    </row>
    <row r="284" spans="11:12" x14ac:dyDescent="0.45">
      <c r="K284" s="7">
        <v>282</v>
      </c>
      <c r="L284" s="65">
        <v>-3.5527136788005009E-14</v>
      </c>
    </row>
    <row r="285" spans="11:12" x14ac:dyDescent="0.45">
      <c r="K285" s="7">
        <v>283</v>
      </c>
      <c r="L285" s="65">
        <v>6.1999999999999647</v>
      </c>
    </row>
    <row r="286" spans="11:12" x14ac:dyDescent="0.45">
      <c r="K286" s="7">
        <v>284</v>
      </c>
      <c r="L286" s="65">
        <v>-28.100000000000033</v>
      </c>
    </row>
    <row r="287" spans="11:12" x14ac:dyDescent="0.45">
      <c r="K287" s="7">
        <v>285</v>
      </c>
      <c r="L287" s="65">
        <v>-3.1974423109204508E-14</v>
      </c>
    </row>
    <row r="288" spans="11:12" x14ac:dyDescent="0.45">
      <c r="K288" s="7">
        <v>286</v>
      </c>
      <c r="L288" s="65">
        <v>-40.800000000000026</v>
      </c>
    </row>
    <row r="289" spans="11:12" x14ac:dyDescent="0.45">
      <c r="K289" s="7">
        <v>287</v>
      </c>
      <c r="L289" s="65">
        <v>-33.700000000000024</v>
      </c>
    </row>
    <row r="290" spans="11:12" x14ac:dyDescent="0.45">
      <c r="K290" s="7">
        <v>288</v>
      </c>
      <c r="L290" s="65">
        <v>-2.1316282072803006E-14</v>
      </c>
    </row>
    <row r="291" spans="11:12" x14ac:dyDescent="0.45">
      <c r="K291" s="7">
        <v>289</v>
      </c>
      <c r="L291" s="65">
        <v>0.99999999999997868</v>
      </c>
    </row>
    <row r="292" spans="11:12" x14ac:dyDescent="0.45">
      <c r="K292" s="7">
        <v>290</v>
      </c>
      <c r="L292" s="65">
        <v>-24.40000000000002</v>
      </c>
    </row>
    <row r="293" spans="11:12" x14ac:dyDescent="0.45">
      <c r="K293" s="7">
        <v>291</v>
      </c>
      <c r="L293" s="65">
        <v>-2.1316282072803006E-14</v>
      </c>
    </row>
    <row r="294" spans="11:12" x14ac:dyDescent="0.45">
      <c r="K294" s="7">
        <v>292</v>
      </c>
      <c r="L294" s="65">
        <v>-0.10000000000002132</v>
      </c>
    </row>
    <row r="295" spans="11:12" x14ac:dyDescent="0.45">
      <c r="K295" s="7">
        <v>293</v>
      </c>
      <c r="L295" s="65">
        <v>-19.400000000000023</v>
      </c>
    </row>
    <row r="296" spans="11:12" x14ac:dyDescent="0.45">
      <c r="K296" s="7">
        <v>294</v>
      </c>
      <c r="L296" s="65">
        <v>-2.4868995751603507E-14</v>
      </c>
    </row>
    <row r="297" spans="11:12" x14ac:dyDescent="0.45">
      <c r="K297" s="7">
        <v>295</v>
      </c>
      <c r="L297" s="65">
        <v>60.499999999999972</v>
      </c>
    </row>
    <row r="298" spans="11:12" x14ac:dyDescent="0.45">
      <c r="K298" s="7">
        <v>296</v>
      </c>
      <c r="L298" s="65">
        <v>54.699999999999974</v>
      </c>
    </row>
    <row r="299" spans="11:12" x14ac:dyDescent="0.45">
      <c r="K299" s="7">
        <v>297</v>
      </c>
      <c r="L299" s="65">
        <v>-2.8421709430404007E-14</v>
      </c>
    </row>
    <row r="300" spans="11:12" x14ac:dyDescent="0.45">
      <c r="K300" s="7">
        <v>298</v>
      </c>
      <c r="L300" s="65">
        <v>20.199999999999971</v>
      </c>
    </row>
    <row r="301" spans="11:12" x14ac:dyDescent="0.45">
      <c r="K301" s="7">
        <v>299</v>
      </c>
      <c r="L301" s="65">
        <v>18.199999999999971</v>
      </c>
    </row>
    <row r="302" spans="11:12" x14ac:dyDescent="0.45">
      <c r="K302" s="7">
        <v>300</v>
      </c>
      <c r="L302" s="65">
        <v>-2.8421709430404007E-14</v>
      </c>
    </row>
    <row r="303" spans="11:12" x14ac:dyDescent="0.45">
      <c r="K303" s="7">
        <v>301</v>
      </c>
      <c r="L303" s="65">
        <v>-27.500000000000028</v>
      </c>
    </row>
    <row r="304" spans="11:12" x14ac:dyDescent="0.45">
      <c r="K304" s="7">
        <v>302</v>
      </c>
      <c r="L304" s="65">
        <v>-19.10000000000003</v>
      </c>
    </row>
    <row r="305" spans="11:12" x14ac:dyDescent="0.45">
      <c r="K305" s="7">
        <v>303</v>
      </c>
      <c r="L305" s="65">
        <v>-2.8421709430404007E-14</v>
      </c>
    </row>
    <row r="306" spans="11:12" x14ac:dyDescent="0.45">
      <c r="K306" s="7">
        <v>304</v>
      </c>
      <c r="L306" s="65">
        <v>29.499999999999972</v>
      </c>
    </row>
    <row r="307" spans="11:12" x14ac:dyDescent="0.45">
      <c r="K307" s="7">
        <v>305</v>
      </c>
      <c r="L307" s="65">
        <v>30.799999999999972</v>
      </c>
    </row>
    <row r="308" spans="11:12" x14ac:dyDescent="0.45">
      <c r="K308" s="7">
        <v>306</v>
      </c>
      <c r="L308" s="65">
        <v>-2.8421709430404007E-14</v>
      </c>
    </row>
    <row r="309" spans="11:12" x14ac:dyDescent="0.45">
      <c r="K309" s="7">
        <v>307</v>
      </c>
      <c r="L309" s="65">
        <v>14.099999999999971</v>
      </c>
    </row>
    <row r="310" spans="11:12" x14ac:dyDescent="0.45">
      <c r="K310" s="7">
        <v>308</v>
      </c>
      <c r="L310" s="65">
        <v>50.299999999999976</v>
      </c>
    </row>
    <row r="311" spans="11:12" x14ac:dyDescent="0.45">
      <c r="K311" s="7">
        <v>309</v>
      </c>
      <c r="L311" s="65">
        <v>-2.1316282072803006E-14</v>
      </c>
    </row>
    <row r="312" spans="11:12" x14ac:dyDescent="0.45">
      <c r="K312" s="7">
        <v>310</v>
      </c>
      <c r="L312" s="65">
        <v>8.399999999999979</v>
      </c>
    </row>
    <row r="313" spans="11:12" x14ac:dyDescent="0.45">
      <c r="K313" s="7">
        <v>311</v>
      </c>
      <c r="L313" s="65">
        <v>42.499999999999979</v>
      </c>
    </row>
    <row r="314" spans="11:12" x14ac:dyDescent="0.45">
      <c r="K314" s="7">
        <v>312</v>
      </c>
      <c r="L314" s="65">
        <v>-2.1316282072803006E-14</v>
      </c>
    </row>
    <row r="315" spans="11:12" x14ac:dyDescent="0.45">
      <c r="K315" s="7">
        <v>313</v>
      </c>
      <c r="L315" s="65">
        <v>-19.200000000000021</v>
      </c>
    </row>
    <row r="316" spans="11:12" x14ac:dyDescent="0.45">
      <c r="K316" s="7">
        <v>314</v>
      </c>
      <c r="L316" s="65">
        <v>-15.80000000000002</v>
      </c>
    </row>
    <row r="317" spans="11:12" x14ac:dyDescent="0.45">
      <c r="K317" s="7">
        <v>315</v>
      </c>
      <c r="L317" s="65">
        <v>-1.9539925233402755E-14</v>
      </c>
    </row>
    <row r="318" spans="11:12" x14ac:dyDescent="0.45">
      <c r="K318" s="7">
        <v>316</v>
      </c>
      <c r="L318" s="65">
        <v>7.0999999999999801</v>
      </c>
    </row>
    <row r="319" spans="11:12" x14ac:dyDescent="0.45">
      <c r="K319" s="7">
        <v>317</v>
      </c>
      <c r="L319" s="65">
        <v>28.199999999999982</v>
      </c>
    </row>
    <row r="320" spans="11:12" x14ac:dyDescent="0.45">
      <c r="K320" s="7">
        <v>318</v>
      </c>
      <c r="L320" s="65">
        <v>-1.7763568394002505E-14</v>
      </c>
    </row>
    <row r="321" spans="11:12" x14ac:dyDescent="0.45">
      <c r="K321" s="7">
        <v>319</v>
      </c>
      <c r="L321" s="65">
        <v>-20.400000000000016</v>
      </c>
    </row>
    <row r="322" spans="11:12" x14ac:dyDescent="0.45">
      <c r="K322" s="7">
        <v>320</v>
      </c>
      <c r="L322" s="65">
        <v>-16.300000000000018</v>
      </c>
    </row>
    <row r="323" spans="11:12" x14ac:dyDescent="0.45">
      <c r="K323" s="7">
        <v>321</v>
      </c>
      <c r="L323" s="65">
        <v>-1.7763568394002505E-14</v>
      </c>
    </row>
    <row r="324" spans="11:12" x14ac:dyDescent="0.45">
      <c r="K324" s="7">
        <v>322</v>
      </c>
      <c r="L324" s="65">
        <v>4.7999999999999821</v>
      </c>
    </row>
    <row r="325" spans="11:12" x14ac:dyDescent="0.45">
      <c r="K325" s="7">
        <v>323</v>
      </c>
      <c r="L325" s="65">
        <v>-28.500000000000014</v>
      </c>
    </row>
    <row r="326" spans="11:12" x14ac:dyDescent="0.45">
      <c r="K326" s="7">
        <v>324</v>
      </c>
      <c r="L326" s="65">
        <v>-1.4210854715202004E-14</v>
      </c>
    </row>
    <row r="327" spans="11:12" x14ac:dyDescent="0.45">
      <c r="K327" s="7">
        <v>325</v>
      </c>
      <c r="L327" s="65">
        <v>29.499999999999986</v>
      </c>
    </row>
    <row r="328" spans="11:12" x14ac:dyDescent="0.45">
      <c r="K328" s="7">
        <v>326</v>
      </c>
      <c r="L328" s="65">
        <v>23.099999999999987</v>
      </c>
    </row>
    <row r="329" spans="11:12" x14ac:dyDescent="0.45">
      <c r="K329" s="7">
        <v>327</v>
      </c>
      <c r="L329" s="65">
        <v>-1.4210854715202004E-14</v>
      </c>
    </row>
    <row r="330" spans="11:12" x14ac:dyDescent="0.45">
      <c r="K330" s="7">
        <v>328</v>
      </c>
      <c r="L330" s="65">
        <v>-6.7000000000000144</v>
      </c>
    </row>
    <row r="331" spans="11:12" x14ac:dyDescent="0.45">
      <c r="K331" s="7">
        <v>329</v>
      </c>
      <c r="L331" s="65">
        <v>23.899999999999988</v>
      </c>
    </row>
    <row r="332" spans="11:12" x14ac:dyDescent="0.45">
      <c r="K332" s="7">
        <v>330</v>
      </c>
      <c r="L332" s="65">
        <v>-1.0658141036401503E-14</v>
      </c>
    </row>
    <row r="333" spans="11:12" x14ac:dyDescent="0.45">
      <c r="K333" s="7">
        <v>331</v>
      </c>
      <c r="L333" s="65">
        <v>-20.900000000000009</v>
      </c>
    </row>
    <row r="334" spans="11:12" x14ac:dyDescent="0.45">
      <c r="K334" s="7">
        <v>332</v>
      </c>
      <c r="L334" s="65">
        <v>3.4999999999999893</v>
      </c>
    </row>
    <row r="335" spans="11:12" x14ac:dyDescent="0.45">
      <c r="K335" s="7">
        <v>333</v>
      </c>
      <c r="L335" s="65">
        <v>-1.0658141036401503E-14</v>
      </c>
    </row>
    <row r="336" spans="11:12" x14ac:dyDescent="0.45">
      <c r="K336" s="7">
        <v>334</v>
      </c>
      <c r="L336" s="65">
        <v>-46.800000000000011</v>
      </c>
    </row>
    <row r="337" spans="11:12" x14ac:dyDescent="0.45">
      <c r="K337" s="7">
        <v>335</v>
      </c>
      <c r="L337" s="65">
        <v>-44.900000000000013</v>
      </c>
    </row>
    <row r="338" spans="11:12" x14ac:dyDescent="0.45">
      <c r="K338" s="7">
        <v>336</v>
      </c>
      <c r="L338" s="65">
        <v>-1.4210854715202004E-14</v>
      </c>
    </row>
    <row r="339" spans="11:12" x14ac:dyDescent="0.45">
      <c r="K339" s="7">
        <v>337</v>
      </c>
      <c r="L339" s="65">
        <v>32.399999999999984</v>
      </c>
    </row>
    <row r="340" spans="11:12" x14ac:dyDescent="0.45">
      <c r="K340" s="7">
        <v>338</v>
      </c>
      <c r="L340" s="65">
        <v>32.199999999999982</v>
      </c>
    </row>
    <row r="341" spans="11:12" x14ac:dyDescent="0.45">
      <c r="K341" s="7">
        <v>339</v>
      </c>
      <c r="L341" s="65">
        <v>-2.1316282072803006E-14</v>
      </c>
    </row>
    <row r="342" spans="11:12" x14ac:dyDescent="0.45">
      <c r="K342" s="7">
        <v>340</v>
      </c>
      <c r="L342" s="65">
        <v>36.59999999999998</v>
      </c>
    </row>
    <row r="343" spans="11:12" x14ac:dyDescent="0.45">
      <c r="K343" s="7">
        <v>341</v>
      </c>
      <c r="L343" s="65">
        <v>-10.200000000000017</v>
      </c>
    </row>
    <row r="344" spans="11:12" x14ac:dyDescent="0.45">
      <c r="K344" s="7">
        <v>342</v>
      </c>
      <c r="L344" s="65">
        <v>-1.7763568394002505E-14</v>
      </c>
    </row>
    <row r="345" spans="11:12" x14ac:dyDescent="0.45">
      <c r="K345" s="7">
        <v>343</v>
      </c>
      <c r="L345" s="65">
        <v>-40.100000000000023</v>
      </c>
    </row>
    <row r="346" spans="11:12" x14ac:dyDescent="0.45">
      <c r="K346" s="7">
        <v>344</v>
      </c>
      <c r="L346" s="65">
        <v>-33.000000000000021</v>
      </c>
    </row>
    <row r="347" spans="11:12" x14ac:dyDescent="0.45">
      <c r="K347" s="7">
        <v>345</v>
      </c>
      <c r="L347" s="65">
        <v>-2.1316282072803006E-14</v>
      </c>
    </row>
    <row r="348" spans="11:12" x14ac:dyDescent="0.45">
      <c r="K348" s="7">
        <v>346</v>
      </c>
      <c r="L348" s="65">
        <v>-28.500000000000021</v>
      </c>
    </row>
    <row r="349" spans="11:12" x14ac:dyDescent="0.45">
      <c r="K349" s="7">
        <v>347</v>
      </c>
      <c r="L349" s="65">
        <v>-35.700000000000024</v>
      </c>
    </row>
    <row r="350" spans="11:12" x14ac:dyDescent="0.45">
      <c r="K350" s="7">
        <v>348</v>
      </c>
      <c r="L350" s="65">
        <v>-2.1316282072803006E-14</v>
      </c>
    </row>
    <row r="351" spans="11:12" x14ac:dyDescent="0.45">
      <c r="K351" s="7">
        <v>349</v>
      </c>
      <c r="L351" s="65">
        <v>51.09999999999998</v>
      </c>
    </row>
    <row r="352" spans="11:12" x14ac:dyDescent="0.45">
      <c r="K352" s="7">
        <v>350</v>
      </c>
      <c r="L352" s="65">
        <v>48.699999999999982</v>
      </c>
    </row>
    <row r="353" spans="11:12" x14ac:dyDescent="0.45">
      <c r="K353" s="7">
        <v>351</v>
      </c>
      <c r="L353" s="65">
        <v>-2.1316282072803006E-14</v>
      </c>
    </row>
    <row r="354" spans="11:12" x14ac:dyDescent="0.45">
      <c r="K354" s="7">
        <v>352</v>
      </c>
      <c r="L354" s="65">
        <v>-54.500000000000021</v>
      </c>
    </row>
    <row r="355" spans="11:12" x14ac:dyDescent="0.45">
      <c r="K355" s="7">
        <v>353</v>
      </c>
      <c r="L355" s="65">
        <v>27.899999999999984</v>
      </c>
    </row>
    <row r="356" spans="11:12" x14ac:dyDescent="0.45">
      <c r="K356" s="7">
        <v>354</v>
      </c>
      <c r="L356" s="65">
        <v>-1.4210854715202004E-14</v>
      </c>
    </row>
    <row r="357" spans="11:12" x14ac:dyDescent="0.45">
      <c r="K357" s="7">
        <v>355</v>
      </c>
      <c r="L357" s="65">
        <v>26.599999999999987</v>
      </c>
    </row>
    <row r="358" spans="11:12" x14ac:dyDescent="0.45">
      <c r="K358" s="7">
        <v>356</v>
      </c>
      <c r="L358" s="65">
        <v>5.8999999999999879</v>
      </c>
    </row>
    <row r="359" spans="11:12" x14ac:dyDescent="0.45">
      <c r="K359" s="7">
        <v>357</v>
      </c>
      <c r="L359" s="65">
        <v>-1.2434497875801753E-14</v>
      </c>
    </row>
    <row r="360" spans="11:12" x14ac:dyDescent="0.45">
      <c r="K360" s="7">
        <v>358</v>
      </c>
      <c r="L360" s="65">
        <v>-38.900000000000013</v>
      </c>
    </row>
    <row r="361" spans="11:12" x14ac:dyDescent="0.45">
      <c r="K361" s="7">
        <v>359</v>
      </c>
      <c r="L361" s="65">
        <v>-30.600000000000012</v>
      </c>
    </row>
    <row r="362" spans="11:12" x14ac:dyDescent="0.45">
      <c r="K362" s="7">
        <v>360</v>
      </c>
      <c r="L362" s="65">
        <v>-1.0658141036401503E-14</v>
      </c>
    </row>
    <row r="363" spans="11:12" x14ac:dyDescent="0.45">
      <c r="K363" s="7">
        <v>361</v>
      </c>
      <c r="L363" s="65">
        <v>-25.70000000000001</v>
      </c>
    </row>
    <row r="364" spans="11:12" x14ac:dyDescent="0.45">
      <c r="K364" s="7">
        <v>362</v>
      </c>
      <c r="L364" s="65">
        <v>-18.70000000000001</v>
      </c>
    </row>
    <row r="365" spans="11:12" x14ac:dyDescent="0.45">
      <c r="K365" s="7">
        <v>363</v>
      </c>
      <c r="L365" s="65">
        <v>-1.0658141036401503E-14</v>
      </c>
    </row>
    <row r="366" spans="11:12" x14ac:dyDescent="0.45">
      <c r="K366" s="7">
        <v>364</v>
      </c>
      <c r="L366" s="65">
        <v>-42.400000000000006</v>
      </c>
    </row>
    <row r="367" spans="11:12" x14ac:dyDescent="0.45">
      <c r="K367" s="7">
        <v>365</v>
      </c>
      <c r="L367" s="65">
        <v>5.2999999999999972</v>
      </c>
    </row>
    <row r="368" spans="11:12" x14ac:dyDescent="0.45">
      <c r="K368" s="7">
        <v>366</v>
      </c>
      <c r="L368" s="65">
        <v>-2.6645352591003757E-15</v>
      </c>
    </row>
    <row r="369" spans="11:12" x14ac:dyDescent="0.45">
      <c r="K369" s="7">
        <v>367</v>
      </c>
      <c r="L369" s="65">
        <v>1.1999999999999973</v>
      </c>
    </row>
    <row r="370" spans="11:12" x14ac:dyDescent="0.45">
      <c r="K370" s="7">
        <v>368</v>
      </c>
      <c r="L370" s="65">
        <v>18.399999999999995</v>
      </c>
    </row>
    <row r="371" spans="11:12" x14ac:dyDescent="0.45">
      <c r="K371" s="7">
        <v>369</v>
      </c>
      <c r="L371" s="65">
        <v>-3.5527136788005009E-15</v>
      </c>
    </row>
    <row r="372" spans="11:12" x14ac:dyDescent="0.45">
      <c r="K372" s="7">
        <v>370</v>
      </c>
      <c r="L372" s="65">
        <v>14.599999999999996</v>
      </c>
    </row>
    <row r="373" spans="11:12" x14ac:dyDescent="0.45">
      <c r="K373" s="7">
        <v>371</v>
      </c>
      <c r="L373" s="65">
        <v>15.199999999999996</v>
      </c>
    </row>
    <row r="374" spans="11:12" x14ac:dyDescent="0.45">
      <c r="K374" s="7">
        <v>372</v>
      </c>
      <c r="L374" s="65">
        <v>-3.5527136788005009E-15</v>
      </c>
    </row>
    <row r="375" spans="11:12" x14ac:dyDescent="0.45">
      <c r="K375" s="7">
        <v>373</v>
      </c>
      <c r="L375" s="65">
        <v>-35</v>
      </c>
    </row>
    <row r="376" spans="11:12" x14ac:dyDescent="0.45">
      <c r="K376" s="7">
        <v>374</v>
      </c>
      <c r="L376" s="65">
        <v>-8.3999999999999986</v>
      </c>
    </row>
    <row r="377" spans="11:12" x14ac:dyDescent="0.45">
      <c r="K377" s="7">
        <v>375</v>
      </c>
      <c r="L377" s="65">
        <v>1.7763568394002505E-15</v>
      </c>
    </row>
    <row r="378" spans="11:12" x14ac:dyDescent="0.45">
      <c r="K378" s="7">
        <v>376</v>
      </c>
      <c r="L378" s="65">
        <v>23.200000000000003</v>
      </c>
    </row>
    <row r="379" spans="11:12" x14ac:dyDescent="0.45">
      <c r="K379" s="7">
        <v>377</v>
      </c>
      <c r="L379" s="65">
        <v>16.900000000000002</v>
      </c>
    </row>
    <row r="380" spans="11:12" x14ac:dyDescent="0.45">
      <c r="K380" s="7">
        <v>378</v>
      </c>
      <c r="L380" s="65">
        <v>3.5527136788005009E-15</v>
      </c>
    </row>
    <row r="381" spans="11:12" x14ac:dyDescent="0.45">
      <c r="K381" s="7">
        <v>379</v>
      </c>
      <c r="L381" s="65">
        <v>-4.9999999999999964</v>
      </c>
    </row>
    <row r="382" spans="11:12" x14ac:dyDescent="0.45">
      <c r="K382" s="7">
        <v>380</v>
      </c>
      <c r="L382" s="65">
        <v>-51</v>
      </c>
    </row>
    <row r="383" spans="11:12" x14ac:dyDescent="0.45">
      <c r="K383" s="7">
        <v>381</v>
      </c>
      <c r="L383" s="65">
        <v>0</v>
      </c>
    </row>
    <row r="384" spans="11:12" x14ac:dyDescent="0.45">
      <c r="K384" s="7">
        <v>382</v>
      </c>
      <c r="L384" s="65">
        <v>56.6</v>
      </c>
    </row>
    <row r="385" spans="11:12" x14ac:dyDescent="0.45">
      <c r="K385" s="7">
        <v>383</v>
      </c>
      <c r="L385" s="65">
        <v>20.800000000000004</v>
      </c>
    </row>
    <row r="386" spans="11:12" x14ac:dyDescent="0.45">
      <c r="K386" s="7">
        <v>384</v>
      </c>
      <c r="L386" s="65">
        <v>3.5527136788005009E-15</v>
      </c>
    </row>
    <row r="387" spans="11:12" x14ac:dyDescent="0.45">
      <c r="K387" s="7">
        <v>385</v>
      </c>
      <c r="L387" s="65">
        <v>-21.199999999999996</v>
      </c>
    </row>
    <row r="388" spans="11:12" x14ac:dyDescent="0.45">
      <c r="K388" s="7">
        <v>386</v>
      </c>
      <c r="L388" s="65">
        <v>7.2000000000000028</v>
      </c>
    </row>
    <row r="389" spans="11:12" x14ac:dyDescent="0.45">
      <c r="K389" s="7">
        <v>387</v>
      </c>
      <c r="L389" s="65">
        <v>2.6645352591003757E-15</v>
      </c>
    </row>
    <row r="390" spans="11:12" x14ac:dyDescent="0.45">
      <c r="K390" s="7">
        <v>388</v>
      </c>
      <c r="L390" s="65">
        <v>7.5000000000000027</v>
      </c>
    </row>
    <row r="391" spans="11:12" x14ac:dyDescent="0.45">
      <c r="K391" s="7">
        <v>389</v>
      </c>
      <c r="L391" s="65">
        <v>28.500000000000004</v>
      </c>
    </row>
    <row r="392" spans="11:12" x14ac:dyDescent="0.45">
      <c r="K392" s="7">
        <v>390</v>
      </c>
      <c r="L392" s="65">
        <v>3.5527136788005009E-15</v>
      </c>
    </row>
    <row r="393" spans="11:12" x14ac:dyDescent="0.45">
      <c r="K393" s="7">
        <v>391</v>
      </c>
      <c r="L393" s="65">
        <v>15.500000000000004</v>
      </c>
    </row>
    <row r="394" spans="11:12" x14ac:dyDescent="0.45">
      <c r="K394" s="7">
        <v>392</v>
      </c>
      <c r="L394" s="65">
        <v>-3.5999999999999979</v>
      </c>
    </row>
    <row r="395" spans="11:12" x14ac:dyDescent="0.45">
      <c r="K395" s="7">
        <v>393</v>
      </c>
      <c r="L395" s="65">
        <v>2.2204460492503131E-15</v>
      </c>
    </row>
    <row r="396" spans="11:12" x14ac:dyDescent="0.45">
      <c r="K396" s="7">
        <v>394</v>
      </c>
      <c r="L396" s="65">
        <v>-2.5999999999999979</v>
      </c>
    </row>
    <row r="397" spans="11:12" x14ac:dyDescent="0.45">
      <c r="K397" s="7">
        <v>395</v>
      </c>
      <c r="L397" s="65">
        <v>27.700000000000003</v>
      </c>
    </row>
    <row r="398" spans="11:12" x14ac:dyDescent="0.45">
      <c r="K398" s="7">
        <v>396</v>
      </c>
      <c r="L398" s="65">
        <v>3.5527136788005009E-15</v>
      </c>
    </row>
    <row r="399" spans="11:12" x14ac:dyDescent="0.45">
      <c r="K399" s="7">
        <v>397</v>
      </c>
      <c r="L399" s="65">
        <v>27.900000000000002</v>
      </c>
    </row>
    <row r="400" spans="11:12" x14ac:dyDescent="0.45">
      <c r="K400" s="7">
        <v>398</v>
      </c>
      <c r="L400" s="65">
        <v>27.6</v>
      </c>
    </row>
    <row r="401" spans="11:12" x14ac:dyDescent="0.45">
      <c r="K401" s="7">
        <v>399</v>
      </c>
      <c r="L401" s="65">
        <v>0</v>
      </c>
    </row>
  </sheetData>
  <sortState xmlns:xlrd2="http://schemas.microsoft.com/office/spreadsheetml/2017/richdata2" ref="N15:Q25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46315-2903-48E4-91F6-AADE9C8976B2}">
  <sheetPr codeName="Sheet7"/>
  <dimension ref="A1:Q7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164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71</v>
      </c>
      <c r="C2" s="140"/>
      <c r="E2" s="28" t="s">
        <v>66</v>
      </c>
      <c r="F2" s="25" t="s">
        <v>22</v>
      </c>
      <c r="G2" s="13">
        <v>140</v>
      </c>
      <c r="H2" s="91">
        <f>IF(B$19=0,0,G2/B$19)</f>
        <v>0.89743589743589747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-755.88235294117646</v>
      </c>
      <c r="P2" s="80">
        <v>68</v>
      </c>
      <c r="Q2" s="67">
        <v>-51400</v>
      </c>
    </row>
    <row r="3" spans="1:17" x14ac:dyDescent="0.45">
      <c r="A3" s="21" t="s">
        <v>8</v>
      </c>
      <c r="B3" s="141">
        <v>569</v>
      </c>
      <c r="C3" s="142"/>
      <c r="E3" s="29" t="s">
        <v>72</v>
      </c>
      <c r="F3" s="26" t="s">
        <v>27</v>
      </c>
      <c r="G3" s="14">
        <v>85</v>
      </c>
      <c r="H3" s="92">
        <f>IF(B$19=0,0,G3/B$19)</f>
        <v>0.54487179487179482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-1600</v>
      </c>
      <c r="P3" s="81">
        <v>70</v>
      </c>
      <c r="Q3" s="68">
        <v>-112000</v>
      </c>
    </row>
    <row r="4" spans="1:17" x14ac:dyDescent="0.45">
      <c r="A4" s="21" t="s">
        <v>6</v>
      </c>
      <c r="B4" s="143">
        <v>18.299999999999955</v>
      </c>
      <c r="C4" s="144"/>
      <c r="E4" s="29" t="s">
        <v>64</v>
      </c>
      <c r="F4" s="26" t="s">
        <v>20</v>
      </c>
      <c r="G4" s="14">
        <v>84</v>
      </c>
      <c r="H4" s="92">
        <f>IF(B$19=0,0,G4/B$19)</f>
        <v>0.53846153846153844</v>
      </c>
      <c r="I4" s="60">
        <v>6</v>
      </c>
      <c r="K4" s="7">
        <v>2</v>
      </c>
      <c r="L4" s="65">
        <v>32.9</v>
      </c>
      <c r="N4" s="78" t="s">
        <v>130</v>
      </c>
      <c r="O4" s="84">
        <f t="shared" si="0"/>
        <v>104.61538461538461</v>
      </c>
      <c r="P4" s="81">
        <v>65</v>
      </c>
      <c r="Q4" s="68">
        <v>6800</v>
      </c>
    </row>
    <row r="5" spans="1:17" x14ac:dyDescent="0.45">
      <c r="A5" s="21" t="s">
        <v>7</v>
      </c>
      <c r="B5" s="131">
        <f>IF(B$2=0,0,B$4/B$2)</f>
        <v>0.25774647887323882</v>
      </c>
      <c r="C5" s="132"/>
      <c r="E5" s="29" t="s">
        <v>160</v>
      </c>
      <c r="F5" s="26" t="s">
        <v>161</v>
      </c>
      <c r="G5" s="14">
        <v>70</v>
      </c>
      <c r="H5" s="92">
        <f>IF(B$19=0,0,G5/B$19)</f>
        <v>0.44871794871794873</v>
      </c>
      <c r="I5" s="60">
        <v>6</v>
      </c>
      <c r="K5" s="7">
        <v>3</v>
      </c>
      <c r="L5" s="65">
        <v>61.5</v>
      </c>
      <c r="N5" s="78" t="s">
        <v>131</v>
      </c>
      <c r="O5" s="84">
        <f t="shared" si="0"/>
        <v>-763.33333333333337</v>
      </c>
      <c r="P5" s="81">
        <v>60</v>
      </c>
      <c r="Q5" s="68">
        <v>-45800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68</v>
      </c>
      <c r="F6" s="26" t="s">
        <v>12</v>
      </c>
      <c r="G6" s="14">
        <v>51</v>
      </c>
      <c r="H6" s="92">
        <f>IF(B$19=0,0,G6/B$19)</f>
        <v>0.32692307692307693</v>
      </c>
      <c r="I6" s="60">
        <v>7</v>
      </c>
      <c r="K6" s="7">
        <v>4</v>
      </c>
      <c r="L6" s="65">
        <v>27.4</v>
      </c>
      <c r="N6" s="78" t="s">
        <v>132</v>
      </c>
      <c r="O6" s="84">
        <f t="shared" si="0"/>
        <v>1159.3220338983051</v>
      </c>
      <c r="P6" s="81">
        <v>59</v>
      </c>
      <c r="Q6" s="68">
        <v>68400</v>
      </c>
    </row>
    <row r="7" spans="1:17" x14ac:dyDescent="0.45">
      <c r="A7" s="21" t="s">
        <v>2</v>
      </c>
      <c r="B7" s="14">
        <v>26</v>
      </c>
      <c r="C7" s="8">
        <f t="shared" ref="C7:C14" si="1">IF(B$2=0,0,B7/B$2)</f>
        <v>0.36619718309859156</v>
      </c>
      <c r="E7" s="29" t="s">
        <v>67</v>
      </c>
      <c r="F7" s="26" t="s">
        <v>23</v>
      </c>
      <c r="G7" s="14">
        <v>39</v>
      </c>
      <c r="H7" s="92">
        <f>IF(B$19=0,0,G7/B$19)</f>
        <v>0.25</v>
      </c>
      <c r="I7" s="60">
        <v>8</v>
      </c>
      <c r="K7" s="7">
        <v>5</v>
      </c>
      <c r="L7" s="65">
        <v>18</v>
      </c>
      <c r="N7" s="79" t="s">
        <v>133</v>
      </c>
      <c r="O7" s="85">
        <f t="shared" si="0"/>
        <v>2975.5555555555557</v>
      </c>
      <c r="P7" s="82">
        <v>45</v>
      </c>
      <c r="Q7" s="69">
        <v>133900</v>
      </c>
    </row>
    <row r="8" spans="1:17" x14ac:dyDescent="0.45">
      <c r="A8" s="21" t="s">
        <v>3</v>
      </c>
      <c r="B8" s="14">
        <v>19</v>
      </c>
      <c r="C8" s="8">
        <f t="shared" si="1"/>
        <v>0.26760563380281688</v>
      </c>
      <c r="E8" s="29" t="s">
        <v>69</v>
      </c>
      <c r="F8" s="26" t="s">
        <v>24</v>
      </c>
      <c r="G8" s="14">
        <v>23</v>
      </c>
      <c r="H8" s="92">
        <f>IF(B$19=0,0,G8/B$19)</f>
        <v>0.14743589743589744</v>
      </c>
      <c r="I8" s="60">
        <v>5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26</v>
      </c>
      <c r="C9" s="9">
        <f t="shared" si="1"/>
        <v>0.36619718309859156</v>
      </c>
      <c r="E9" s="29" t="s">
        <v>89</v>
      </c>
      <c r="F9" s="26" t="s">
        <v>44</v>
      </c>
      <c r="G9" s="14">
        <v>23</v>
      </c>
      <c r="H9" s="92">
        <f>IF(B$19=0,0,G9/B$19)</f>
        <v>0.14743589743589744</v>
      </c>
      <c r="I9" s="60">
        <v>5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38.90384615384616</v>
      </c>
      <c r="C10" s="114">
        <v>1011.5000000000002</v>
      </c>
      <c r="E10" s="29" t="s">
        <v>65</v>
      </c>
      <c r="F10" s="26" t="s">
        <v>21</v>
      </c>
      <c r="G10" s="14">
        <v>19</v>
      </c>
      <c r="H10" s="92">
        <f>IF(B$19=0,0,G10/B$19)</f>
        <v>0.12179487179487179</v>
      </c>
      <c r="I10" s="60">
        <v>5</v>
      </c>
      <c r="K10" s="7">
        <v>8</v>
      </c>
      <c r="L10" s="65">
        <v>-9.9999999999999964</v>
      </c>
      <c r="N10" s="77" t="s">
        <v>152</v>
      </c>
      <c r="O10" s="86">
        <f>IF(P10=0,0,Q10/P10)</f>
        <v>-6.5360000000000014</v>
      </c>
      <c r="P10" s="80">
        <v>25</v>
      </c>
      <c r="Q10" s="71">
        <v>-163.40000000000003</v>
      </c>
    </row>
    <row r="11" spans="1:17" x14ac:dyDescent="0.45">
      <c r="A11" s="22" t="s">
        <v>186</v>
      </c>
      <c r="B11" s="113">
        <f>IF(B8=0,0,C11/B8)</f>
        <v>-0.93157894736842117</v>
      </c>
      <c r="C11" s="114">
        <v>-17.700000000000003</v>
      </c>
      <c r="E11" s="29" t="s">
        <v>70</v>
      </c>
      <c r="F11" s="26" t="s">
        <v>25</v>
      </c>
      <c r="G11" s="14">
        <v>18</v>
      </c>
      <c r="H11" s="92">
        <f>IF(B$19=0,0,G11/B$19)</f>
        <v>0.11538461538461539</v>
      </c>
      <c r="I11" s="60">
        <v>5</v>
      </c>
      <c r="K11" s="7">
        <v>9</v>
      </c>
      <c r="L11" s="65">
        <v>33.5</v>
      </c>
      <c r="N11" s="78" t="s">
        <v>153</v>
      </c>
      <c r="O11" s="87">
        <f>IF(P11=0,0,Q11/P11)</f>
        <v>12.721739130434784</v>
      </c>
      <c r="P11" s="81">
        <v>23</v>
      </c>
      <c r="Q11" s="72">
        <v>292.60000000000002</v>
      </c>
    </row>
    <row r="12" spans="1:17" x14ac:dyDescent="0.45">
      <c r="A12" s="22" t="s">
        <v>187</v>
      </c>
      <c r="B12" s="113">
        <f>IF(B9=0,0,C12/B9)</f>
        <v>-37.519230769230759</v>
      </c>
      <c r="C12" s="114">
        <v>-975.49999999999977</v>
      </c>
      <c r="E12" s="29" t="s">
        <v>86</v>
      </c>
      <c r="F12" s="26" t="s">
        <v>41</v>
      </c>
      <c r="G12" s="14">
        <v>12</v>
      </c>
      <c r="H12" s="92">
        <f>IF(B$19=0,0,G12/B$19)</f>
        <v>7.6923076923076927E-2</v>
      </c>
      <c r="I12" s="60">
        <v>3</v>
      </c>
      <c r="K12" s="7">
        <v>10</v>
      </c>
      <c r="L12" s="65">
        <v>26</v>
      </c>
      <c r="N12" s="79" t="s">
        <v>154</v>
      </c>
      <c r="O12" s="88">
        <f>IF(P12=0,0,Q12/P12)</f>
        <v>-4.8217391304347812</v>
      </c>
      <c r="P12" s="82">
        <v>23</v>
      </c>
      <c r="Q12" s="73">
        <v>-110.89999999999998</v>
      </c>
    </row>
    <row r="13" spans="1:17" x14ac:dyDescent="0.45">
      <c r="A13" s="22" t="s">
        <v>188</v>
      </c>
      <c r="B13" s="131">
        <f>AVERAGE(B10:B12)</f>
        <v>0.15101214574899302</v>
      </c>
      <c r="C13" s="132"/>
      <c r="E13" s="29" t="s">
        <v>71</v>
      </c>
      <c r="F13" s="26" t="s">
        <v>26</v>
      </c>
      <c r="G13" s="14">
        <v>10</v>
      </c>
      <c r="H13" s="92">
        <f>IF(B$19=0,0,G13/B$19)</f>
        <v>6.4102564102564097E-2</v>
      </c>
      <c r="I13" s="60">
        <v>4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</v>
      </c>
      <c r="C14" s="11">
        <f t="shared" si="1"/>
        <v>0.15492957746478872</v>
      </c>
      <c r="E14" s="29" t="s">
        <v>91</v>
      </c>
      <c r="F14" s="26" t="s">
        <v>46</v>
      </c>
      <c r="G14" s="14">
        <v>10</v>
      </c>
      <c r="H14" s="92">
        <f>IF(B$19=0,0,G14/B$19)</f>
        <v>6.4102564102564097E-2</v>
      </c>
      <c r="I14" s="60">
        <v>1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172</v>
      </c>
      <c r="C15" s="12">
        <f>IF(B$3=0,0,B15/B$3)</f>
        <v>0.30228471001757468</v>
      </c>
      <c r="E15" s="29" t="s">
        <v>81</v>
      </c>
      <c r="F15" s="26" t="s">
        <v>36</v>
      </c>
      <c r="G15" s="14">
        <v>7</v>
      </c>
      <c r="H15" s="92">
        <f>IF(B$19=0,0,G15/B$19)</f>
        <v>4.4871794871794872E-2</v>
      </c>
      <c r="I15" s="60">
        <v>2</v>
      </c>
      <c r="K15" s="7">
        <v>13</v>
      </c>
      <c r="L15" s="65">
        <v>-33.5</v>
      </c>
      <c r="N15" s="77" t="s">
        <v>189</v>
      </c>
      <c r="O15" s="86">
        <f t="shared" ref="O15:O23" si="2"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112</v>
      </c>
      <c r="C16" s="8">
        <f>IF(B$3=0,0,B16/B$3)</f>
        <v>0.19683655536028119</v>
      </c>
      <c r="E16" s="29" t="s">
        <v>78</v>
      </c>
      <c r="F16" s="26" t="s">
        <v>33</v>
      </c>
      <c r="G16" s="14">
        <v>5</v>
      </c>
      <c r="H16" s="92">
        <f>IF(B$19=0,0,G16/B$19)</f>
        <v>3.2051282051282048E-2</v>
      </c>
      <c r="I16" s="60">
        <v>8</v>
      </c>
      <c r="K16" s="7">
        <v>14</v>
      </c>
      <c r="L16" s="65">
        <v>15.100000000000001</v>
      </c>
      <c r="N16" s="78" t="s">
        <v>212</v>
      </c>
      <c r="O16" s="87">
        <f t="shared" si="2"/>
        <v>9.1222222222222218</v>
      </c>
      <c r="P16" s="81">
        <v>9</v>
      </c>
      <c r="Q16" s="72">
        <v>82.1</v>
      </c>
    </row>
    <row r="17" spans="1:17" x14ac:dyDescent="0.45">
      <c r="A17" s="20" t="s">
        <v>123</v>
      </c>
      <c r="B17" s="13">
        <f>B23</f>
        <v>85</v>
      </c>
      <c r="C17" s="6">
        <f>IF(B$15=0,0,B17/B$15)</f>
        <v>0.4941860465116279</v>
      </c>
      <c r="E17" s="29" t="s">
        <v>83</v>
      </c>
      <c r="F17" s="26" t="s">
        <v>38</v>
      </c>
      <c r="G17" s="14">
        <v>5</v>
      </c>
      <c r="H17" s="92">
        <f>IF(B$19=0,0,G17/B$19)</f>
        <v>3.2051282051282048E-2</v>
      </c>
      <c r="I17" s="60">
        <v>7</v>
      </c>
      <c r="K17" s="7">
        <v>15</v>
      </c>
      <c r="L17" s="65">
        <v>-33.1</v>
      </c>
      <c r="N17" s="78" t="s">
        <v>205</v>
      </c>
      <c r="O17" s="87">
        <f t="shared" si="2"/>
        <v>5.4470588235294111</v>
      </c>
      <c r="P17" s="81">
        <v>17</v>
      </c>
      <c r="Q17" s="72">
        <v>92.6</v>
      </c>
    </row>
    <row r="18" spans="1:17" x14ac:dyDescent="0.45">
      <c r="A18" s="20" t="s">
        <v>124</v>
      </c>
      <c r="B18" s="13">
        <f>B24</f>
        <v>38</v>
      </c>
      <c r="C18" s="6">
        <f>IF(B$16=0,0,B18/B$16)</f>
        <v>0.3392857142857143</v>
      </c>
      <c r="E18" s="29" t="s">
        <v>79</v>
      </c>
      <c r="F18" s="26" t="s">
        <v>34</v>
      </c>
      <c r="G18" s="14">
        <v>4</v>
      </c>
      <c r="H18" s="92">
        <f>IF(B$19=0,0,G18/B$19)</f>
        <v>2.564102564102564E-2</v>
      </c>
      <c r="I18" s="60">
        <v>4</v>
      </c>
      <c r="K18" s="7">
        <v>16</v>
      </c>
      <c r="L18" s="65">
        <v>-10.8</v>
      </c>
      <c r="N18" s="78" t="s">
        <v>192</v>
      </c>
      <c r="O18" s="87">
        <f t="shared" si="2"/>
        <v>2.3038461538461537</v>
      </c>
      <c r="P18" s="81">
        <v>26</v>
      </c>
      <c r="Q18" s="72">
        <v>59.899999999999991</v>
      </c>
    </row>
    <row r="19" spans="1:17" x14ac:dyDescent="0.45">
      <c r="A19" s="20" t="s">
        <v>10</v>
      </c>
      <c r="B19" s="13">
        <f>B22+B21</f>
        <v>156</v>
      </c>
      <c r="C19" s="6">
        <f>IF(B$3=0,0,B19/B$3)</f>
        <v>0.27416520210896311</v>
      </c>
      <c r="E19" s="29" t="s">
        <v>156</v>
      </c>
      <c r="F19" s="26" t="s">
        <v>157</v>
      </c>
      <c r="G19" s="14">
        <v>3</v>
      </c>
      <c r="H19" s="92">
        <f>IF(B$19=0,0,G19/B$19)</f>
        <v>1.9230769230769232E-2</v>
      </c>
      <c r="I19" s="60">
        <v>2</v>
      </c>
      <c r="K19" s="7">
        <v>17</v>
      </c>
      <c r="L19" s="65">
        <v>-32.900000000000006</v>
      </c>
      <c r="N19" s="78" t="s">
        <v>126</v>
      </c>
      <c r="O19" s="87">
        <f t="shared" si="2"/>
        <v>0.6769230769230814</v>
      </c>
      <c r="P19" s="81">
        <v>52</v>
      </c>
      <c r="Q19" s="72">
        <v>35.20000000000023</v>
      </c>
    </row>
    <row r="20" spans="1:17" x14ac:dyDescent="0.45">
      <c r="A20" s="21" t="s">
        <v>13</v>
      </c>
      <c r="B20" s="14">
        <v>102</v>
      </c>
      <c r="C20" s="8">
        <f>IF(B$3=0,0,B20/B$3)</f>
        <v>0.17926186291739896</v>
      </c>
      <c r="E20" s="29" t="s">
        <v>75</v>
      </c>
      <c r="F20" s="26" t="s">
        <v>30</v>
      </c>
      <c r="G20" s="14">
        <v>2</v>
      </c>
      <c r="H20" s="92">
        <f>IF(B$19=0,0,G20/B$19)</f>
        <v>1.282051282051282E-2</v>
      </c>
      <c r="I20" s="60">
        <v>1</v>
      </c>
      <c r="K20" s="7">
        <v>18</v>
      </c>
      <c r="L20" s="65">
        <v>-69.300000000000011</v>
      </c>
      <c r="N20" s="78" t="s">
        <v>196</v>
      </c>
      <c r="O20" s="87">
        <f t="shared" si="2"/>
        <v>-0.73999999999999344</v>
      </c>
      <c r="P20" s="81">
        <v>5</v>
      </c>
      <c r="Q20" s="72">
        <v>-3.6999999999999673</v>
      </c>
    </row>
    <row r="21" spans="1:17" x14ac:dyDescent="0.45">
      <c r="A21" s="21" t="s">
        <v>12</v>
      </c>
      <c r="B21" s="14">
        <v>71</v>
      </c>
      <c r="C21" s="8">
        <f>IF(B$19=0,0,B21/B$19)</f>
        <v>0.45512820512820512</v>
      </c>
      <c r="E21" s="29" t="s">
        <v>92</v>
      </c>
      <c r="F21" s="26" t="s">
        <v>47</v>
      </c>
      <c r="G21" s="14">
        <v>2</v>
      </c>
      <c r="H21" s="92">
        <f>IF(B$19=0,0,G21/B$19)</f>
        <v>1.282051282051282E-2</v>
      </c>
      <c r="I21" s="60">
        <v>2</v>
      </c>
      <c r="K21" s="7">
        <v>19</v>
      </c>
      <c r="L21" s="65">
        <v>-44.500000000000014</v>
      </c>
      <c r="N21" s="78" t="s">
        <v>243</v>
      </c>
      <c r="O21" s="87">
        <f t="shared" si="2"/>
        <v>-6.9333333333333336</v>
      </c>
      <c r="P21" s="81">
        <v>3</v>
      </c>
      <c r="Q21" s="72">
        <v>-20.8</v>
      </c>
    </row>
    <row r="22" spans="1:17" x14ac:dyDescent="0.45">
      <c r="A22" s="21" t="s">
        <v>11</v>
      </c>
      <c r="B22" s="14">
        <v>85</v>
      </c>
      <c r="C22" s="8">
        <f>IF(B$19=0,0,B22/B$19)</f>
        <v>0.54487179487179482</v>
      </c>
      <c r="E22" s="29" t="s">
        <v>74</v>
      </c>
      <c r="F22" s="26" t="s">
        <v>29</v>
      </c>
      <c r="G22" s="14">
        <v>1</v>
      </c>
      <c r="H22" s="92">
        <f>IF(B$19=0,0,G22/B$19)</f>
        <v>6.41025641025641E-3</v>
      </c>
      <c r="I22" s="60">
        <v>2</v>
      </c>
      <c r="K22" s="7">
        <v>20</v>
      </c>
      <c r="L22" s="65">
        <v>-72.000000000000014</v>
      </c>
      <c r="N22" s="78" t="s">
        <v>193</v>
      </c>
      <c r="O22" s="87">
        <f t="shared" si="2"/>
        <v>-8.5357142857142847</v>
      </c>
      <c r="P22" s="81">
        <v>14</v>
      </c>
      <c r="Q22" s="72">
        <v>-119.49999999999999</v>
      </c>
    </row>
    <row r="23" spans="1:17" x14ac:dyDescent="0.45">
      <c r="A23" s="21" t="s">
        <v>184</v>
      </c>
      <c r="B23" s="14">
        <v>85</v>
      </c>
      <c r="C23" s="8">
        <f>IF(B$19=0,0,B23/B$19)</f>
        <v>0.54487179487179482</v>
      </c>
      <c r="E23" s="29" t="s">
        <v>97</v>
      </c>
      <c r="F23" s="26" t="s">
        <v>52</v>
      </c>
      <c r="G23" s="14">
        <v>1</v>
      </c>
      <c r="H23" s="92">
        <f>IF(B$19=0,0,G23/B$19)</f>
        <v>6.41025641025641E-3</v>
      </c>
      <c r="I23" s="60">
        <v>1</v>
      </c>
      <c r="K23" s="7">
        <v>21</v>
      </c>
      <c r="L23" s="65">
        <v>-118.50000000000001</v>
      </c>
      <c r="N23" s="78" t="s">
        <v>194</v>
      </c>
      <c r="O23" s="87">
        <f t="shared" si="2"/>
        <v>-14.800000000000004</v>
      </c>
      <c r="P23" s="81">
        <v>12</v>
      </c>
      <c r="Q23" s="72">
        <v>-177.60000000000005</v>
      </c>
    </row>
    <row r="24" spans="1:17" x14ac:dyDescent="0.45">
      <c r="A24" s="21" t="s">
        <v>182</v>
      </c>
      <c r="B24" s="14">
        <v>38</v>
      </c>
      <c r="C24" s="8">
        <f>IF(B$19=0,0,B24/B$19)</f>
        <v>0.24358974358974358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5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33</v>
      </c>
      <c r="C25" s="8">
        <f>IF(B$19=0,0,B25/B$19)</f>
        <v>0.21153846153846154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10199.358974358975</v>
      </c>
      <c r="C26" s="10">
        <v>1591100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7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10637.28813559322</v>
      </c>
      <c r="C27" s="100">
        <v>1255200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8839.4736842105267</v>
      </c>
      <c r="C28" s="100">
        <v>335900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-7550</v>
      </c>
      <c r="C29" s="100">
        <v>-770100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1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25</v>
      </c>
      <c r="C31" s="94">
        <v>3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33">
        <v>7</v>
      </c>
      <c r="C32" s="134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35">
        <v>116000</v>
      </c>
      <c r="C33" s="136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5</v>
      </c>
      <c r="C34" s="11">
        <f>IF(B$3=0,0,B34/B$3)</f>
        <v>8.7873462214411256E-3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5</v>
      </c>
      <c r="C36" s="102">
        <f t="shared" ref="C36:C48" si="3">IF(B$19=0,0,B36/B$19)</f>
        <v>3.2051282051282048E-2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4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16</v>
      </c>
      <c r="C37" s="8">
        <f t="shared" si="3"/>
        <v>0.10256410256410256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18</v>
      </c>
      <c r="C38" s="8">
        <f t="shared" si="3"/>
        <v>0.11538461538461539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38</v>
      </c>
      <c r="C39" s="8">
        <f t="shared" si="3"/>
        <v>0.24358974358974358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29</v>
      </c>
      <c r="C40" s="8">
        <f t="shared" si="3"/>
        <v>0.1858974358974359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22</v>
      </c>
      <c r="C41" s="8">
        <f t="shared" si="3"/>
        <v>0.14102564102564102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12</v>
      </c>
      <c r="C42" s="8">
        <f t="shared" si="3"/>
        <v>7.6923076923076927E-2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6</v>
      </c>
      <c r="C43" s="8">
        <f t="shared" si="3"/>
        <v>3.8461538461538464E-2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4</v>
      </c>
      <c r="C44" s="8">
        <f t="shared" si="3"/>
        <v>2.564102564102564E-2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-184.20000000000005</v>
      </c>
    </row>
    <row r="47" spans="1:12" x14ac:dyDescent="0.45">
      <c r="A47" s="21" t="s">
        <v>179</v>
      </c>
      <c r="B47" s="122">
        <v>3</v>
      </c>
      <c r="C47" s="8">
        <f t="shared" si="3"/>
        <v>1.9230769230769232E-2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5">
      <c r="A48" s="23" t="s">
        <v>180</v>
      </c>
      <c r="B48" s="101">
        <v>3</v>
      </c>
      <c r="C48" s="11">
        <f t="shared" si="3"/>
        <v>1.9230769230769232E-2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  <row r="53" spans="5:12" x14ac:dyDescent="0.45">
      <c r="K53" s="7">
        <v>51</v>
      </c>
      <c r="L53" s="65">
        <v>-114.20000000000006</v>
      </c>
    </row>
    <row r="54" spans="5:12" x14ac:dyDescent="0.45">
      <c r="K54" s="7">
        <v>52</v>
      </c>
      <c r="L54" s="65">
        <v>-89.900000000000063</v>
      </c>
    </row>
    <row r="55" spans="5:12" x14ac:dyDescent="0.45">
      <c r="K55" s="7">
        <v>53</v>
      </c>
      <c r="L55" s="65">
        <v>-61.800000000000061</v>
      </c>
    </row>
    <row r="56" spans="5:12" x14ac:dyDescent="0.45">
      <c r="K56" s="7">
        <v>54</v>
      </c>
      <c r="L56" s="65">
        <v>-63.800000000000061</v>
      </c>
    </row>
    <row r="57" spans="5:12" x14ac:dyDescent="0.45">
      <c r="K57" s="7">
        <v>55</v>
      </c>
      <c r="L57" s="65">
        <v>-114.10000000000005</v>
      </c>
    </row>
    <row r="58" spans="5:12" x14ac:dyDescent="0.45">
      <c r="K58" s="7">
        <v>56</v>
      </c>
      <c r="L58" s="65">
        <v>-110.70000000000005</v>
      </c>
    </row>
    <row r="59" spans="5:12" x14ac:dyDescent="0.45">
      <c r="K59" s="7">
        <v>57</v>
      </c>
      <c r="L59" s="65">
        <v>-89.600000000000051</v>
      </c>
    </row>
    <row r="60" spans="5:12" x14ac:dyDescent="0.45">
      <c r="K60" s="7">
        <v>58</v>
      </c>
      <c r="L60" s="65">
        <v>-110.00000000000006</v>
      </c>
    </row>
    <row r="61" spans="5:12" x14ac:dyDescent="0.45">
      <c r="K61" s="7">
        <v>59</v>
      </c>
      <c r="L61" s="65">
        <v>-105.20000000000006</v>
      </c>
    </row>
    <row r="62" spans="5:12" x14ac:dyDescent="0.45">
      <c r="K62" s="7">
        <v>60</v>
      </c>
      <c r="L62" s="65">
        <v>-152.00000000000006</v>
      </c>
    </row>
    <row r="63" spans="5:12" x14ac:dyDescent="0.45">
      <c r="K63" s="7">
        <v>61</v>
      </c>
      <c r="L63" s="65">
        <v>-119.60000000000005</v>
      </c>
    </row>
    <row r="64" spans="5:12" x14ac:dyDescent="0.45">
      <c r="K64" s="7">
        <v>62</v>
      </c>
      <c r="L64" s="65">
        <v>-112.60000000000005</v>
      </c>
    </row>
    <row r="65" spans="11:12" x14ac:dyDescent="0.45">
      <c r="K65" s="7">
        <v>63</v>
      </c>
      <c r="L65" s="65">
        <v>-64.900000000000048</v>
      </c>
    </row>
    <row r="66" spans="11:12" x14ac:dyDescent="0.45">
      <c r="K66" s="7">
        <v>64</v>
      </c>
      <c r="L66" s="65">
        <v>-63.700000000000045</v>
      </c>
    </row>
    <row r="67" spans="11:12" x14ac:dyDescent="0.45">
      <c r="K67" s="7">
        <v>65</v>
      </c>
      <c r="L67" s="65">
        <v>-78.900000000000048</v>
      </c>
    </row>
    <row r="68" spans="11:12" x14ac:dyDescent="0.45">
      <c r="K68" s="7">
        <v>66</v>
      </c>
      <c r="L68" s="65">
        <v>-52.300000000000047</v>
      </c>
    </row>
    <row r="69" spans="11:12" x14ac:dyDescent="0.45">
      <c r="K69" s="7">
        <v>67</v>
      </c>
      <c r="L69" s="65">
        <v>-69.200000000000045</v>
      </c>
    </row>
    <row r="70" spans="11:12" x14ac:dyDescent="0.45">
      <c r="K70" s="7">
        <v>68</v>
      </c>
      <c r="L70" s="65">
        <v>-74.200000000000045</v>
      </c>
    </row>
    <row r="71" spans="11:12" x14ac:dyDescent="0.45">
      <c r="K71" s="7">
        <v>69</v>
      </c>
      <c r="L71" s="65">
        <v>-17.600000000000044</v>
      </c>
    </row>
    <row r="72" spans="11:12" x14ac:dyDescent="0.45">
      <c r="K72" s="7">
        <v>70</v>
      </c>
      <c r="L72" s="65">
        <v>10.799999999999955</v>
      </c>
    </row>
    <row r="73" spans="11:12" x14ac:dyDescent="0.45">
      <c r="K73" s="7">
        <v>71</v>
      </c>
      <c r="L73" s="65">
        <v>18.299999999999955</v>
      </c>
    </row>
  </sheetData>
  <sortState xmlns:xlrd2="http://schemas.microsoft.com/office/spreadsheetml/2017/richdata2" ref="E2:I7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8AC7-600F-4D93-BD3A-C5B4FF0B6BD9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189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9</v>
      </c>
      <c r="C2" s="140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41">
        <v>74</v>
      </c>
      <c r="C3" s="142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43">
        <v>-105.5</v>
      </c>
      <c r="C4" s="144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1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31">
        <f>IF(B$2=0,0,B$4/B$2)</f>
        <v>-11.722222222222221</v>
      </c>
      <c r="C5" s="132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45">
        <f>IF(B$2=0,0,(B$7*1+B$8*2+B$9*3)/B$2)</f>
        <v>2.2222222222222223</v>
      </c>
      <c r="C6" s="146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12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11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1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4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9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3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-3.6805555555555549</v>
      </c>
      <c r="C13" s="132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11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5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4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7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11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7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33">
        <v>4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66700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88E22-7249-44F8-858A-468D9C96E270}">
  <sheetPr codeName="Sheet11"/>
  <dimension ref="A1:Q10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126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99</v>
      </c>
      <c r="C2" s="140"/>
      <c r="E2" s="28" t="s">
        <v>66</v>
      </c>
      <c r="F2" s="25" t="s">
        <v>22</v>
      </c>
      <c r="G2" s="13">
        <v>159</v>
      </c>
      <c r="H2" s="91">
        <f>IF(B$19=0,0,G2/B$19)</f>
        <v>0.67372881355932202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1267.3469387755101</v>
      </c>
      <c r="P2" s="80">
        <v>98</v>
      </c>
      <c r="Q2" s="67">
        <v>124200</v>
      </c>
    </row>
    <row r="3" spans="1:17" x14ac:dyDescent="0.45">
      <c r="A3" s="21" t="s">
        <v>8</v>
      </c>
      <c r="B3" s="141">
        <v>785</v>
      </c>
      <c r="C3" s="142"/>
      <c r="E3" s="29" t="s">
        <v>72</v>
      </c>
      <c r="F3" s="26" t="s">
        <v>27</v>
      </c>
      <c r="G3" s="14">
        <v>122</v>
      </c>
      <c r="H3" s="92">
        <f>IF(B$19=0,0,G3/B$19)</f>
        <v>0.51694915254237284</v>
      </c>
      <c r="I3" s="60">
        <v>7</v>
      </c>
      <c r="K3" s="7">
        <v>1</v>
      </c>
      <c r="L3" s="65">
        <v>39.200000000000003</v>
      </c>
      <c r="N3" s="78" t="s">
        <v>129</v>
      </c>
      <c r="O3" s="84">
        <f t="shared" si="0"/>
        <v>2581.4432989690722</v>
      </c>
      <c r="P3" s="81">
        <v>97</v>
      </c>
      <c r="Q3" s="68">
        <v>250400</v>
      </c>
    </row>
    <row r="4" spans="1:17" x14ac:dyDescent="0.45">
      <c r="A4" s="21" t="s">
        <v>6</v>
      </c>
      <c r="B4" s="143">
        <v>680.60000000000014</v>
      </c>
      <c r="C4" s="144"/>
      <c r="E4" s="29" t="s">
        <v>64</v>
      </c>
      <c r="F4" s="26" t="s">
        <v>20</v>
      </c>
      <c r="G4" s="14">
        <v>102</v>
      </c>
      <c r="H4" s="92">
        <f>IF(B$19=0,0,G4/B$19)</f>
        <v>0.43220338983050849</v>
      </c>
      <c r="I4" s="60">
        <v>9</v>
      </c>
      <c r="K4" s="7">
        <v>2</v>
      </c>
      <c r="L4" s="65">
        <v>99.6</v>
      </c>
      <c r="N4" s="78" t="s">
        <v>130</v>
      </c>
      <c r="O4" s="84">
        <f t="shared" si="0"/>
        <v>1509.6774193548388</v>
      </c>
      <c r="P4" s="81">
        <v>93</v>
      </c>
      <c r="Q4" s="68">
        <v>140400</v>
      </c>
    </row>
    <row r="5" spans="1:17" x14ac:dyDescent="0.45">
      <c r="A5" s="21" t="s">
        <v>7</v>
      </c>
      <c r="B5" s="131">
        <f>IF(B$2=0,0,B$4/B$2)</f>
        <v>6.8747474747474762</v>
      </c>
      <c r="C5" s="132"/>
      <c r="E5" s="29" t="s">
        <v>160</v>
      </c>
      <c r="F5" s="26" t="s">
        <v>161</v>
      </c>
      <c r="G5" s="14">
        <v>102</v>
      </c>
      <c r="H5" s="92">
        <f>IF(B$19=0,0,G5/B$19)</f>
        <v>0.43220338983050849</v>
      </c>
      <c r="I5" s="60">
        <v>8</v>
      </c>
      <c r="K5" s="7">
        <v>3</v>
      </c>
      <c r="L5" s="65">
        <v>98.1</v>
      </c>
      <c r="N5" s="78" t="s">
        <v>131</v>
      </c>
      <c r="O5" s="84">
        <f t="shared" si="0"/>
        <v>922.61904761904759</v>
      </c>
      <c r="P5" s="81">
        <v>84</v>
      </c>
      <c r="Q5" s="68">
        <v>77500</v>
      </c>
    </row>
    <row r="6" spans="1:17" x14ac:dyDescent="0.45">
      <c r="A6" s="21" t="s">
        <v>1</v>
      </c>
      <c r="B6" s="145">
        <f>IF(B$2=0,0,(B$7*1+B$8*2+B$9*3)/B$2)</f>
        <v>1.8181818181818181</v>
      </c>
      <c r="C6" s="146"/>
      <c r="E6" s="29" t="s">
        <v>68</v>
      </c>
      <c r="F6" s="26" t="s">
        <v>12</v>
      </c>
      <c r="G6" s="14">
        <v>91</v>
      </c>
      <c r="H6" s="92">
        <f>IF(B$19=0,0,G6/B$19)</f>
        <v>0.38559322033898308</v>
      </c>
      <c r="I6" s="60">
        <v>5</v>
      </c>
      <c r="K6" s="7">
        <v>4</v>
      </c>
      <c r="L6" s="65">
        <v>101.5</v>
      </c>
      <c r="N6" s="78" t="s">
        <v>132</v>
      </c>
      <c r="O6" s="84">
        <f t="shared" si="0"/>
        <v>-1207.5</v>
      </c>
      <c r="P6" s="81">
        <v>80</v>
      </c>
      <c r="Q6" s="68">
        <v>-96600</v>
      </c>
    </row>
    <row r="7" spans="1:17" x14ac:dyDescent="0.45">
      <c r="A7" s="21" t="s">
        <v>2</v>
      </c>
      <c r="B7" s="14">
        <v>43</v>
      </c>
      <c r="C7" s="8">
        <f t="shared" ref="C7:C14" si="1">IF(B$2=0,0,B7/B$2)</f>
        <v>0.43434343434343436</v>
      </c>
      <c r="E7" s="29" t="s">
        <v>67</v>
      </c>
      <c r="F7" s="26" t="s">
        <v>23</v>
      </c>
      <c r="G7" s="14">
        <v>64</v>
      </c>
      <c r="H7" s="92">
        <f>IF(B$19=0,0,G7/B$19)</f>
        <v>0.2711864406779661</v>
      </c>
      <c r="I7" s="60">
        <v>4</v>
      </c>
      <c r="K7" s="7">
        <v>5</v>
      </c>
      <c r="L7" s="65">
        <v>143.1</v>
      </c>
      <c r="N7" s="79" t="s">
        <v>133</v>
      </c>
      <c r="O7" s="85">
        <f t="shared" si="0"/>
        <v>2225</v>
      </c>
      <c r="P7" s="82">
        <v>64</v>
      </c>
      <c r="Q7" s="69">
        <v>142400</v>
      </c>
    </row>
    <row r="8" spans="1:17" x14ac:dyDescent="0.45">
      <c r="A8" s="21" t="s">
        <v>3</v>
      </c>
      <c r="B8" s="14">
        <v>31</v>
      </c>
      <c r="C8" s="8">
        <f t="shared" si="1"/>
        <v>0.31313131313131315</v>
      </c>
      <c r="E8" s="29" t="s">
        <v>69</v>
      </c>
      <c r="F8" s="26" t="s">
        <v>24</v>
      </c>
      <c r="G8" s="14">
        <v>45</v>
      </c>
      <c r="H8" s="92">
        <f>IF(B$19=0,0,G8/B$19)</f>
        <v>0.19067796610169491</v>
      </c>
      <c r="I8" s="60">
        <v>2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25</v>
      </c>
      <c r="C9" s="9">
        <f t="shared" si="1"/>
        <v>0.25252525252525254</v>
      </c>
      <c r="E9" s="29" t="s">
        <v>89</v>
      </c>
      <c r="F9" s="26" t="s">
        <v>44</v>
      </c>
      <c r="G9" s="14">
        <v>41</v>
      </c>
      <c r="H9" s="92">
        <f>IF(B$19=0,0,G9/B$19)</f>
        <v>0.17372881355932204</v>
      </c>
      <c r="I9" s="60">
        <v>2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37.334883720930222</v>
      </c>
      <c r="C10" s="114">
        <v>1605.3999999999996</v>
      </c>
      <c r="E10" s="29" t="s">
        <v>65</v>
      </c>
      <c r="F10" s="26" t="s">
        <v>21</v>
      </c>
      <c r="G10" s="14">
        <v>25</v>
      </c>
      <c r="H10" s="92">
        <f>IF(B$19=0,0,G10/B$19)</f>
        <v>0.1059322033898305</v>
      </c>
      <c r="I10" s="60">
        <v>6</v>
      </c>
      <c r="K10" s="7">
        <v>8</v>
      </c>
      <c r="L10" s="65">
        <v>132.6</v>
      </c>
      <c r="N10" s="77" t="s">
        <v>152</v>
      </c>
      <c r="O10" s="86">
        <f>IF(P10=0,0,Q10/P10)</f>
        <v>2.1548387096774193</v>
      </c>
      <c r="P10" s="80">
        <v>31</v>
      </c>
      <c r="Q10" s="71">
        <v>66.8</v>
      </c>
    </row>
    <row r="11" spans="1:17" x14ac:dyDescent="0.45">
      <c r="A11" s="22" t="s">
        <v>186</v>
      </c>
      <c r="B11" s="113">
        <f>IF(B8=0,0,C11/B8)</f>
        <v>-0.69032258064516128</v>
      </c>
      <c r="C11" s="114">
        <v>-21.4</v>
      </c>
      <c r="E11" s="29" t="s">
        <v>70</v>
      </c>
      <c r="F11" s="26" t="s">
        <v>25</v>
      </c>
      <c r="G11" s="14">
        <v>19</v>
      </c>
      <c r="H11" s="92">
        <f>IF(B$19=0,0,G11/B$19)</f>
        <v>8.050847457627118E-2</v>
      </c>
      <c r="I11" s="60">
        <v>8</v>
      </c>
      <c r="K11" s="7">
        <v>9</v>
      </c>
      <c r="L11" s="65">
        <v>151.29999999999998</v>
      </c>
      <c r="N11" s="78" t="s">
        <v>153</v>
      </c>
      <c r="O11" s="87">
        <f>IF(P11=0,0,Q11/P11)</f>
        <v>8.0999999999999979</v>
      </c>
      <c r="P11" s="81">
        <v>31</v>
      </c>
      <c r="Q11" s="72">
        <v>251.09999999999991</v>
      </c>
    </row>
    <row r="12" spans="1:17" x14ac:dyDescent="0.45">
      <c r="A12" s="22" t="s">
        <v>187</v>
      </c>
      <c r="B12" s="113">
        <f>IF(B9=0,0,C12/B9)</f>
        <v>-36.13600000000001</v>
      </c>
      <c r="C12" s="114">
        <v>-903.4000000000002</v>
      </c>
      <c r="E12" s="29" t="s">
        <v>86</v>
      </c>
      <c r="F12" s="26" t="s">
        <v>41</v>
      </c>
      <c r="G12" s="14">
        <v>18</v>
      </c>
      <c r="H12" s="92">
        <f>IF(B$19=0,0,G12/B$19)</f>
        <v>7.6271186440677971E-2</v>
      </c>
      <c r="I12" s="60">
        <v>4</v>
      </c>
      <c r="K12" s="7">
        <v>10</v>
      </c>
      <c r="L12" s="65">
        <v>229</v>
      </c>
      <c r="N12" s="79" t="s">
        <v>154</v>
      </c>
      <c r="O12" s="88">
        <f>IF(P12=0,0,Q12/P12)</f>
        <v>9.8027027027027049</v>
      </c>
      <c r="P12" s="82">
        <v>37</v>
      </c>
      <c r="Q12" s="73">
        <v>362.7000000000001</v>
      </c>
    </row>
    <row r="13" spans="1:17" x14ac:dyDescent="0.45">
      <c r="A13" s="22" t="s">
        <v>188</v>
      </c>
      <c r="B13" s="131">
        <f>AVERAGE(B10:B12)</f>
        <v>0.16952038009501771</v>
      </c>
      <c r="C13" s="132"/>
      <c r="E13" s="29" t="s">
        <v>71</v>
      </c>
      <c r="F13" s="26" t="s">
        <v>26</v>
      </c>
      <c r="G13" s="14">
        <v>15</v>
      </c>
      <c r="H13" s="92">
        <f>IF(B$19=0,0,G13/B$19)</f>
        <v>6.3559322033898302E-2</v>
      </c>
      <c r="I13" s="60">
        <v>5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6.0606060606060608E-2</v>
      </c>
      <c r="E14" s="29" t="s">
        <v>78</v>
      </c>
      <c r="F14" s="26" t="s">
        <v>33</v>
      </c>
      <c r="G14" s="14">
        <v>12</v>
      </c>
      <c r="H14" s="92">
        <f>IF(B$19=0,0,G14/B$19)</f>
        <v>5.0847457627118647E-2</v>
      </c>
      <c r="I14" s="60">
        <v>1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192</v>
      </c>
      <c r="C15" s="12">
        <f>IF(B$3=0,0,B15/B$3)</f>
        <v>0.2445859872611465</v>
      </c>
      <c r="E15" s="29" t="s">
        <v>83</v>
      </c>
      <c r="F15" s="26" t="s">
        <v>38</v>
      </c>
      <c r="G15" s="14">
        <v>11</v>
      </c>
      <c r="H15" s="92">
        <f>IF(B$19=0,0,G15/B$19)</f>
        <v>4.6610169491525424E-2</v>
      </c>
      <c r="I15" s="60">
        <v>5</v>
      </c>
      <c r="K15" s="7">
        <v>13</v>
      </c>
      <c r="L15" s="65">
        <v>197</v>
      </c>
      <c r="N15" s="77" t="s">
        <v>240</v>
      </c>
      <c r="O15" s="86">
        <f>IF(P15=0,0,Q15/P15)</f>
        <v>43.12</v>
      </c>
      <c r="P15" s="80">
        <v>5</v>
      </c>
      <c r="Q15" s="71">
        <v>215.6</v>
      </c>
    </row>
    <row r="16" spans="1:17" x14ac:dyDescent="0.45">
      <c r="A16" s="21" t="s">
        <v>118</v>
      </c>
      <c r="B16" s="14">
        <v>126</v>
      </c>
      <c r="C16" s="8">
        <f>IF(B$3=0,0,B16/B$3)</f>
        <v>0.16050955414012738</v>
      </c>
      <c r="E16" s="29" t="s">
        <v>156</v>
      </c>
      <c r="F16" s="26" t="s">
        <v>157</v>
      </c>
      <c r="G16" s="14">
        <v>11</v>
      </c>
      <c r="H16" s="92">
        <f>IF(B$19=0,0,G16/B$19)</f>
        <v>4.6610169491525424E-2</v>
      </c>
      <c r="I16" s="60">
        <v>1</v>
      </c>
      <c r="K16" s="7">
        <v>14</v>
      </c>
      <c r="L16" s="65">
        <v>249.2</v>
      </c>
      <c r="N16" s="78" t="s">
        <v>196</v>
      </c>
      <c r="O16" s="87">
        <f>IF(P16=0,0,Q16/P16)</f>
        <v>37.733333333333334</v>
      </c>
      <c r="P16" s="81">
        <v>3</v>
      </c>
      <c r="Q16" s="72">
        <v>113.2</v>
      </c>
    </row>
    <row r="17" spans="1:17" x14ac:dyDescent="0.45">
      <c r="A17" s="20" t="s">
        <v>123</v>
      </c>
      <c r="B17" s="13">
        <f>B23</f>
        <v>114</v>
      </c>
      <c r="C17" s="6">
        <f>IF(B$15=0,0,B17/B$15)</f>
        <v>0.59375</v>
      </c>
      <c r="E17" s="29" t="s">
        <v>79</v>
      </c>
      <c r="F17" s="26" t="s">
        <v>34</v>
      </c>
      <c r="G17" s="14">
        <v>6</v>
      </c>
      <c r="H17" s="92">
        <f>IF(B$19=0,0,G17/B$19)</f>
        <v>2.5423728813559324E-2</v>
      </c>
      <c r="I17" s="60">
        <v>5</v>
      </c>
      <c r="K17" s="7">
        <v>15</v>
      </c>
      <c r="L17" s="65">
        <v>213.5</v>
      </c>
      <c r="N17" s="78" t="s">
        <v>189</v>
      </c>
      <c r="O17" s="87">
        <f>IF(P17=0,0,Q17/P17)</f>
        <v>29.983333333333331</v>
      </c>
      <c r="P17" s="81">
        <v>6</v>
      </c>
      <c r="Q17" s="72">
        <v>179.89999999999998</v>
      </c>
    </row>
    <row r="18" spans="1:17" x14ac:dyDescent="0.45">
      <c r="A18" s="20" t="s">
        <v>124</v>
      </c>
      <c r="B18" s="13">
        <f>B24</f>
        <v>60</v>
      </c>
      <c r="C18" s="6">
        <f>IF(B$16=0,0,B18/B$16)</f>
        <v>0.47619047619047616</v>
      </c>
      <c r="E18" s="29" t="s">
        <v>81</v>
      </c>
      <c r="F18" s="26" t="s">
        <v>36</v>
      </c>
      <c r="G18" s="14">
        <v>6</v>
      </c>
      <c r="H18" s="92">
        <f>IF(B$19=0,0,G18/B$19)</f>
        <v>2.5423728813559324E-2</v>
      </c>
      <c r="I18" s="60">
        <v>5</v>
      </c>
      <c r="K18" s="7">
        <v>16</v>
      </c>
      <c r="L18" s="65">
        <v>273.8</v>
      </c>
      <c r="N18" s="78" t="s">
        <v>192</v>
      </c>
      <c r="O18" s="87">
        <f>IF(P18=0,0,Q18/P18)</f>
        <v>15.17105263157895</v>
      </c>
      <c r="P18" s="81">
        <v>38</v>
      </c>
      <c r="Q18" s="72">
        <v>576.50000000000011</v>
      </c>
    </row>
    <row r="19" spans="1:17" x14ac:dyDescent="0.45">
      <c r="A19" s="20" t="s">
        <v>10</v>
      </c>
      <c r="B19" s="13">
        <f>B22+B21</f>
        <v>236</v>
      </c>
      <c r="C19" s="6">
        <f>IF(B$3=0,0,B19/B$3)</f>
        <v>0.30063694267515922</v>
      </c>
      <c r="E19" s="29" t="s">
        <v>91</v>
      </c>
      <c r="F19" s="26" t="s">
        <v>46</v>
      </c>
      <c r="G19" s="14">
        <v>3</v>
      </c>
      <c r="H19" s="92">
        <f>IF(B$19=0,0,G19/B$19)</f>
        <v>1.2711864406779662E-2</v>
      </c>
      <c r="I19" s="60">
        <v>4</v>
      </c>
      <c r="K19" s="7">
        <v>17</v>
      </c>
      <c r="L19" s="65">
        <v>242.8</v>
      </c>
      <c r="N19" s="78" t="s">
        <v>194</v>
      </c>
      <c r="O19" s="87">
        <f>IF(P19=0,0,Q19/P19)</f>
        <v>13.85</v>
      </c>
      <c r="P19" s="81">
        <v>28</v>
      </c>
      <c r="Q19" s="72">
        <v>387.8</v>
      </c>
    </row>
    <row r="20" spans="1:17" x14ac:dyDescent="0.45">
      <c r="A20" s="21" t="s">
        <v>13</v>
      </c>
      <c r="B20" s="14">
        <v>109</v>
      </c>
      <c r="C20" s="8">
        <f>IF(B$3=0,0,B20/B$3)</f>
        <v>0.13885350318471337</v>
      </c>
      <c r="E20" s="29" t="s">
        <v>92</v>
      </c>
      <c r="F20" s="26" t="s">
        <v>47</v>
      </c>
      <c r="G20" s="14">
        <v>3</v>
      </c>
      <c r="H20" s="92">
        <f>IF(B$19=0,0,G20/B$19)</f>
        <v>1.2711864406779662E-2</v>
      </c>
      <c r="I20" s="60">
        <v>3</v>
      </c>
      <c r="K20" s="7">
        <v>18</v>
      </c>
      <c r="L20" s="65">
        <v>280</v>
      </c>
      <c r="N20" s="78" t="s">
        <v>193</v>
      </c>
      <c r="O20" s="87">
        <f>IF(P20=0,0,Q20/P20)</f>
        <v>12.552380952380954</v>
      </c>
      <c r="P20" s="81">
        <v>21</v>
      </c>
      <c r="Q20" s="72">
        <v>263.60000000000002</v>
      </c>
    </row>
    <row r="21" spans="1:17" x14ac:dyDescent="0.45">
      <c r="A21" s="21" t="s">
        <v>12</v>
      </c>
      <c r="B21" s="14">
        <v>119</v>
      </c>
      <c r="C21" s="8">
        <f>IF(B$19=0,0,B21/B$19)</f>
        <v>0.50423728813559321</v>
      </c>
      <c r="E21" s="29" t="s">
        <v>93</v>
      </c>
      <c r="F21" s="26" t="s">
        <v>48</v>
      </c>
      <c r="G21" s="14">
        <v>2</v>
      </c>
      <c r="H21" s="92">
        <f>IF(B$19=0,0,G21/B$19)</f>
        <v>8.4745762711864406E-3</v>
      </c>
      <c r="I21" s="60">
        <v>1</v>
      </c>
      <c r="K21" s="7">
        <v>19</v>
      </c>
      <c r="L21" s="65">
        <v>281.5</v>
      </c>
      <c r="N21" s="78" t="s">
        <v>205</v>
      </c>
      <c r="O21" s="87">
        <f>IF(P21=0,0,Q21/P21)</f>
        <v>8.2694444444444422</v>
      </c>
      <c r="P21" s="81">
        <v>36</v>
      </c>
      <c r="Q21" s="72">
        <v>297.69999999999993</v>
      </c>
    </row>
    <row r="22" spans="1:17" x14ac:dyDescent="0.45">
      <c r="A22" s="21" t="s">
        <v>11</v>
      </c>
      <c r="B22" s="14">
        <v>117</v>
      </c>
      <c r="C22" s="8">
        <f>IF(B$19=0,0,B22/B$19)</f>
        <v>0.49576271186440679</v>
      </c>
      <c r="E22" s="29" t="s">
        <v>73</v>
      </c>
      <c r="F22" s="26" t="s">
        <v>28</v>
      </c>
      <c r="G22" s="14">
        <v>1</v>
      </c>
      <c r="H22" s="92">
        <f>IF(B$19=0,0,G22/B$19)</f>
        <v>4.2372881355932203E-3</v>
      </c>
      <c r="I22" s="60">
        <v>3</v>
      </c>
      <c r="K22" s="7">
        <v>20</v>
      </c>
      <c r="L22" s="65">
        <v>287.2</v>
      </c>
      <c r="N22" s="78" t="s">
        <v>212</v>
      </c>
      <c r="O22" s="87">
        <f>IF(P22=0,0,Q22/P22)</f>
        <v>4.7444444444444436</v>
      </c>
      <c r="P22" s="81">
        <v>9</v>
      </c>
      <c r="Q22" s="72">
        <v>42.699999999999989</v>
      </c>
    </row>
    <row r="23" spans="1:17" x14ac:dyDescent="0.45">
      <c r="A23" s="21" t="s">
        <v>184</v>
      </c>
      <c r="B23" s="14">
        <v>114</v>
      </c>
      <c r="C23" s="8">
        <f>IF(B$19=0,0,B23/B$19)</f>
        <v>0.48305084745762711</v>
      </c>
      <c r="E23" s="29" t="s">
        <v>75</v>
      </c>
      <c r="F23" s="26" t="s">
        <v>30</v>
      </c>
      <c r="G23" s="14">
        <v>1</v>
      </c>
      <c r="H23" s="92">
        <f>IF(B$19=0,0,G23/B$19)</f>
        <v>4.2372881355932203E-3</v>
      </c>
      <c r="I23" s="60">
        <v>6</v>
      </c>
      <c r="K23" s="7">
        <v>21</v>
      </c>
      <c r="L23" s="65">
        <v>286.3</v>
      </c>
      <c r="N23" s="78" t="s">
        <v>164</v>
      </c>
      <c r="O23" s="87">
        <f>IF(P23=0,0,Q23/P23)</f>
        <v>-0.67692307692307996</v>
      </c>
      <c r="P23" s="81">
        <v>52</v>
      </c>
      <c r="Q23" s="72">
        <v>-35.200000000000159</v>
      </c>
    </row>
    <row r="24" spans="1:17" x14ac:dyDescent="0.45">
      <c r="A24" s="21" t="s">
        <v>182</v>
      </c>
      <c r="B24" s="14">
        <v>60</v>
      </c>
      <c r="C24" s="8">
        <f>IF(B$19=0,0,B24/B$19)</f>
        <v>0.25423728813559321</v>
      </c>
      <c r="E24" s="29" t="s">
        <v>77</v>
      </c>
      <c r="F24" s="26" t="s">
        <v>32</v>
      </c>
      <c r="G24" s="14">
        <v>1</v>
      </c>
      <c r="H24" s="92">
        <f>IF(B$19=0,0,G24/B$19)</f>
        <v>4.2372881355932203E-3</v>
      </c>
      <c r="I24" s="60">
        <v>6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62</v>
      </c>
      <c r="C25" s="8">
        <f>IF(B$19=0,0,B25/B$19)</f>
        <v>0.26271186440677968</v>
      </c>
      <c r="E25" s="29" t="s">
        <v>84</v>
      </c>
      <c r="F25" s="26" t="s">
        <v>39</v>
      </c>
      <c r="G25" s="14">
        <v>1</v>
      </c>
      <c r="H25" s="92">
        <f>IF(B$19=0,0,G25/B$19)</f>
        <v>4.2372881355932203E-3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9700.4237288135591</v>
      </c>
      <c r="C26" s="10">
        <v>2289300</v>
      </c>
      <c r="E26" s="29" t="s">
        <v>87</v>
      </c>
      <c r="F26" s="26" t="s">
        <v>42</v>
      </c>
      <c r="G26" s="14">
        <v>1</v>
      </c>
      <c r="H26" s="92">
        <f>IF(B$19=0,0,G26/B$19)</f>
        <v>4.2372881355932203E-3</v>
      </c>
      <c r="I26" s="60">
        <v>2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10068.181818181818</v>
      </c>
      <c r="C27" s="100">
        <v>1772000</v>
      </c>
      <c r="E27" s="29" t="s">
        <v>95</v>
      </c>
      <c r="F27" s="26" t="s">
        <v>50</v>
      </c>
      <c r="G27" s="14">
        <v>1</v>
      </c>
      <c r="H27" s="92">
        <f>IF(B$19=0,0,G27/B$19)</f>
        <v>4.2372881355932203E-3</v>
      </c>
      <c r="I27" s="60">
        <v>2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8621.6666666666661</v>
      </c>
      <c r="C28" s="100">
        <v>517300</v>
      </c>
      <c r="E28" s="29" t="s">
        <v>106</v>
      </c>
      <c r="F28" s="26" t="s">
        <v>113</v>
      </c>
      <c r="G28" s="14">
        <v>1</v>
      </c>
      <c r="H28" s="92">
        <f>IF(B$19=0,0,G28/B$19)</f>
        <v>4.2372881355932203E-3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-8182.5688073394494</v>
      </c>
      <c r="C29" s="100">
        <v>-891900</v>
      </c>
      <c r="E29" s="29" t="s">
        <v>74</v>
      </c>
      <c r="F29" s="26" t="s">
        <v>29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3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33">
        <v>6</v>
      </c>
      <c r="C32" s="134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35">
        <v>102700</v>
      </c>
      <c r="C33" s="136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4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583.00000000000011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13</v>
      </c>
      <c r="C36" s="102">
        <f t="shared" ref="C36:C48" si="2">IF(B$19=0,0,B36/B$19)</f>
        <v>5.5084745762711863E-2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35</v>
      </c>
      <c r="C37" s="8">
        <f t="shared" si="2"/>
        <v>0.14830508474576271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44</v>
      </c>
      <c r="C38" s="8">
        <f t="shared" si="2"/>
        <v>0.1864406779661017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41</v>
      </c>
      <c r="C39" s="8">
        <f t="shared" si="2"/>
        <v>0.17372881355932204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38</v>
      </c>
      <c r="C40" s="8">
        <f t="shared" si="2"/>
        <v>0.16101694915254236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22</v>
      </c>
      <c r="C41" s="8">
        <f t="shared" si="2"/>
        <v>9.3220338983050849E-2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15</v>
      </c>
      <c r="C42" s="8">
        <f t="shared" si="2"/>
        <v>6.3559322033898302E-2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9</v>
      </c>
      <c r="C43" s="8">
        <f t="shared" si="2"/>
        <v>3.8135593220338986E-2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3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6</v>
      </c>
      <c r="C44" s="8">
        <f t="shared" si="2"/>
        <v>2.5423728813559324E-2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4</v>
      </c>
      <c r="C45" s="8">
        <f t="shared" si="2"/>
        <v>1.6949152542372881E-2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4.2372881355932203E-3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1</v>
      </c>
      <c r="C47" s="8">
        <f t="shared" si="2"/>
        <v>4.2372881355932203E-3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7</v>
      </c>
      <c r="C48" s="11">
        <f t="shared" si="2"/>
        <v>2.9661016949152543E-2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  <row r="60" spans="5:12" x14ac:dyDescent="0.45">
      <c r="K60" s="7">
        <v>58</v>
      </c>
      <c r="L60" s="65">
        <v>636.70000000000016</v>
      </c>
    </row>
    <row r="61" spans="5:12" x14ac:dyDescent="0.45">
      <c r="K61" s="7">
        <v>59</v>
      </c>
      <c r="L61" s="65">
        <v>633.30000000000018</v>
      </c>
    </row>
    <row r="62" spans="5:12" x14ac:dyDescent="0.45">
      <c r="K62" s="7">
        <v>60</v>
      </c>
      <c r="L62" s="65">
        <v>629.20000000000016</v>
      </c>
    </row>
    <row r="63" spans="5:12" x14ac:dyDescent="0.45">
      <c r="K63" s="7">
        <v>61</v>
      </c>
      <c r="L63" s="65">
        <v>581.20000000000016</v>
      </c>
    </row>
    <row r="64" spans="5:12" x14ac:dyDescent="0.45">
      <c r="K64" s="7">
        <v>62</v>
      </c>
      <c r="L64" s="65">
        <v>534.9000000000002</v>
      </c>
    </row>
    <row r="65" spans="11:12" x14ac:dyDescent="0.45">
      <c r="K65" s="7">
        <v>63</v>
      </c>
      <c r="L65" s="65">
        <v>511.30000000000018</v>
      </c>
    </row>
    <row r="66" spans="11:12" x14ac:dyDescent="0.45">
      <c r="K66" s="7">
        <v>64</v>
      </c>
      <c r="L66" s="65">
        <v>512.50000000000023</v>
      </c>
    </row>
    <row r="67" spans="11:12" x14ac:dyDescent="0.45">
      <c r="K67" s="7">
        <v>65</v>
      </c>
      <c r="L67" s="65">
        <v>548.50000000000023</v>
      </c>
    </row>
    <row r="68" spans="11:12" x14ac:dyDescent="0.45">
      <c r="K68" s="7">
        <v>66</v>
      </c>
      <c r="L68" s="65">
        <v>568.9000000000002</v>
      </c>
    </row>
    <row r="69" spans="11:12" x14ac:dyDescent="0.45">
      <c r="K69" s="7">
        <v>67</v>
      </c>
      <c r="L69" s="65">
        <v>586.4000000000002</v>
      </c>
    </row>
    <row r="70" spans="11:12" x14ac:dyDescent="0.45">
      <c r="K70" s="7">
        <v>68</v>
      </c>
      <c r="L70" s="65">
        <v>619.60000000000025</v>
      </c>
    </row>
    <row r="71" spans="11:12" x14ac:dyDescent="0.45">
      <c r="K71" s="7">
        <v>69</v>
      </c>
      <c r="L71" s="65">
        <v>631.50000000000023</v>
      </c>
    </row>
    <row r="72" spans="11:12" x14ac:dyDescent="0.45">
      <c r="K72" s="7">
        <v>70</v>
      </c>
      <c r="L72" s="65">
        <v>597.20000000000027</v>
      </c>
    </row>
    <row r="73" spans="11:12" x14ac:dyDescent="0.45">
      <c r="K73" s="7">
        <v>71</v>
      </c>
      <c r="L73" s="65">
        <v>616.60000000000025</v>
      </c>
    </row>
    <row r="74" spans="11:12" x14ac:dyDescent="0.45">
      <c r="K74" s="7">
        <v>72</v>
      </c>
      <c r="L74" s="65">
        <v>677.10000000000025</v>
      </c>
    </row>
    <row r="75" spans="11:12" x14ac:dyDescent="0.45">
      <c r="K75" s="7">
        <v>73</v>
      </c>
      <c r="L75" s="65">
        <v>658.9000000000002</v>
      </c>
    </row>
    <row r="76" spans="11:12" x14ac:dyDescent="0.45">
      <c r="K76" s="7">
        <v>74</v>
      </c>
      <c r="L76" s="65">
        <v>678.00000000000023</v>
      </c>
    </row>
    <row r="77" spans="11:12" x14ac:dyDescent="0.45">
      <c r="K77" s="7">
        <v>75</v>
      </c>
      <c r="L77" s="65">
        <v>707.50000000000023</v>
      </c>
    </row>
    <row r="78" spans="11:12" x14ac:dyDescent="0.45">
      <c r="K78" s="7">
        <v>76</v>
      </c>
      <c r="L78" s="65">
        <v>741.60000000000025</v>
      </c>
    </row>
    <row r="79" spans="11:12" x14ac:dyDescent="0.45">
      <c r="K79" s="7">
        <v>77</v>
      </c>
      <c r="L79" s="65">
        <v>757.4000000000002</v>
      </c>
    </row>
    <row r="80" spans="11:12" x14ac:dyDescent="0.45">
      <c r="K80" s="7">
        <v>78</v>
      </c>
      <c r="L80" s="65">
        <v>729.20000000000016</v>
      </c>
    </row>
    <row r="81" spans="11:12" x14ac:dyDescent="0.45">
      <c r="K81" s="7">
        <v>79</v>
      </c>
      <c r="L81" s="65">
        <v>745.50000000000011</v>
      </c>
    </row>
    <row r="82" spans="11:12" x14ac:dyDescent="0.45">
      <c r="K82" s="7">
        <v>80</v>
      </c>
      <c r="L82" s="65">
        <v>712.20000000000016</v>
      </c>
    </row>
    <row r="83" spans="11:12" x14ac:dyDescent="0.45">
      <c r="K83" s="7">
        <v>81</v>
      </c>
      <c r="L83" s="65">
        <v>689.10000000000014</v>
      </c>
    </row>
    <row r="84" spans="11:12" x14ac:dyDescent="0.45">
      <c r="K84" s="7">
        <v>82</v>
      </c>
      <c r="L84" s="65">
        <v>719.70000000000016</v>
      </c>
    </row>
    <row r="85" spans="11:12" x14ac:dyDescent="0.45">
      <c r="K85" s="7">
        <v>83</v>
      </c>
      <c r="L85" s="65">
        <v>716.20000000000016</v>
      </c>
    </row>
    <row r="86" spans="11:12" x14ac:dyDescent="0.45">
      <c r="K86" s="7">
        <v>84</v>
      </c>
      <c r="L86" s="65">
        <v>718.10000000000014</v>
      </c>
    </row>
    <row r="87" spans="11:12" x14ac:dyDescent="0.45">
      <c r="K87" s="7">
        <v>85</v>
      </c>
      <c r="L87" s="65">
        <v>685.90000000000009</v>
      </c>
    </row>
    <row r="88" spans="11:12" x14ac:dyDescent="0.45">
      <c r="K88" s="7">
        <v>86</v>
      </c>
      <c r="L88" s="65">
        <v>722.50000000000011</v>
      </c>
    </row>
    <row r="89" spans="11:12" x14ac:dyDescent="0.45">
      <c r="K89" s="7">
        <v>87</v>
      </c>
      <c r="L89" s="65">
        <v>755.50000000000011</v>
      </c>
    </row>
    <row r="90" spans="11:12" x14ac:dyDescent="0.45">
      <c r="K90" s="7">
        <v>88</v>
      </c>
      <c r="L90" s="65">
        <v>791.20000000000016</v>
      </c>
    </row>
    <row r="91" spans="11:12" x14ac:dyDescent="0.45">
      <c r="K91" s="7">
        <v>89</v>
      </c>
      <c r="L91" s="65">
        <v>842.30000000000018</v>
      </c>
    </row>
    <row r="92" spans="11:12" x14ac:dyDescent="0.45">
      <c r="K92" s="7">
        <v>90</v>
      </c>
      <c r="L92" s="65">
        <v>787.80000000000018</v>
      </c>
    </row>
    <row r="93" spans="11:12" x14ac:dyDescent="0.45">
      <c r="K93" s="7">
        <v>91</v>
      </c>
      <c r="L93" s="65">
        <v>781.9000000000002</v>
      </c>
    </row>
    <row r="94" spans="11:12" x14ac:dyDescent="0.45">
      <c r="K94" s="7">
        <v>92</v>
      </c>
      <c r="L94" s="65">
        <v>743.00000000000023</v>
      </c>
    </row>
    <row r="95" spans="11:12" x14ac:dyDescent="0.45">
      <c r="K95" s="7">
        <v>93</v>
      </c>
      <c r="L95" s="65">
        <v>761.70000000000027</v>
      </c>
    </row>
    <row r="96" spans="11:12" x14ac:dyDescent="0.45">
      <c r="K96" s="7">
        <v>94</v>
      </c>
      <c r="L96" s="65">
        <v>770.10000000000025</v>
      </c>
    </row>
    <row r="97" spans="11:12" x14ac:dyDescent="0.45">
      <c r="K97" s="7">
        <v>95</v>
      </c>
      <c r="L97" s="65">
        <v>748.9000000000002</v>
      </c>
    </row>
    <row r="98" spans="11:12" x14ac:dyDescent="0.45">
      <c r="K98" s="7">
        <v>96</v>
      </c>
      <c r="L98" s="65">
        <v>720.4000000000002</v>
      </c>
    </row>
    <row r="99" spans="11:12" x14ac:dyDescent="0.45">
      <c r="K99" s="7">
        <v>97</v>
      </c>
      <c r="L99" s="65">
        <v>735.9000000000002</v>
      </c>
    </row>
    <row r="100" spans="11:12" x14ac:dyDescent="0.45">
      <c r="K100" s="7">
        <v>98</v>
      </c>
      <c r="L100" s="65">
        <v>708.20000000000016</v>
      </c>
    </row>
    <row r="101" spans="11:12" x14ac:dyDescent="0.45">
      <c r="K101" s="7">
        <v>99</v>
      </c>
      <c r="L101" s="65">
        <v>680.60000000000014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214D5-DF1B-4880-A0E6-DFFB0CA1016C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194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42</v>
      </c>
      <c r="C2" s="140"/>
      <c r="E2" s="28" t="s">
        <v>66</v>
      </c>
      <c r="F2" s="25" t="s">
        <v>22</v>
      </c>
      <c r="G2" s="13">
        <v>67</v>
      </c>
      <c r="H2" s="91">
        <f>IF(B$19=0,0,G2/B$19)</f>
        <v>0.72043010752688175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-3502.439024390244</v>
      </c>
      <c r="P2" s="80">
        <v>41</v>
      </c>
      <c r="Q2" s="67">
        <v>-143600</v>
      </c>
    </row>
    <row r="3" spans="1:17" x14ac:dyDescent="0.45">
      <c r="A3" s="21" t="s">
        <v>8</v>
      </c>
      <c r="B3" s="141">
        <v>323</v>
      </c>
      <c r="C3" s="142"/>
      <c r="E3" s="29" t="s">
        <v>72</v>
      </c>
      <c r="F3" s="26" t="s">
        <v>27</v>
      </c>
      <c r="G3" s="14">
        <v>48</v>
      </c>
      <c r="H3" s="92">
        <f>IF(B$19=0,0,G3/B$19)</f>
        <v>0.5161290322580645</v>
      </c>
      <c r="I3" s="60">
        <v>8</v>
      </c>
      <c r="K3" s="7">
        <v>1</v>
      </c>
      <c r="L3" s="65">
        <v>-55.5</v>
      </c>
      <c r="N3" s="78" t="s">
        <v>129</v>
      </c>
      <c r="O3" s="84">
        <f t="shared" si="0"/>
        <v>1695</v>
      </c>
      <c r="P3" s="81">
        <v>40</v>
      </c>
      <c r="Q3" s="68">
        <v>67800</v>
      </c>
    </row>
    <row r="4" spans="1:17" x14ac:dyDescent="0.45">
      <c r="A4" s="21" t="s">
        <v>6</v>
      </c>
      <c r="B4" s="143">
        <v>-240.99999999999983</v>
      </c>
      <c r="C4" s="144"/>
      <c r="E4" s="29" t="s">
        <v>64</v>
      </c>
      <c r="F4" s="26" t="s">
        <v>20</v>
      </c>
      <c r="G4" s="14">
        <v>44</v>
      </c>
      <c r="H4" s="92">
        <f>IF(B$19=0,0,G4/B$19)</f>
        <v>0.4731182795698925</v>
      </c>
      <c r="I4" s="60">
        <v>7</v>
      </c>
      <c r="K4" s="7">
        <v>2</v>
      </c>
      <c r="L4" s="65">
        <v>-106.5</v>
      </c>
      <c r="N4" s="78" t="s">
        <v>130</v>
      </c>
      <c r="O4" s="84">
        <f t="shared" si="0"/>
        <v>-1289.4736842105262</v>
      </c>
      <c r="P4" s="81">
        <v>38</v>
      </c>
      <c r="Q4" s="68">
        <v>-49000</v>
      </c>
    </row>
    <row r="5" spans="1:17" x14ac:dyDescent="0.45">
      <c r="A5" s="21" t="s">
        <v>7</v>
      </c>
      <c r="B5" s="131">
        <f>IF(B$2=0,0,B$4/B$2)</f>
        <v>-5.7380952380952337</v>
      </c>
      <c r="C5" s="132"/>
      <c r="E5" s="29" t="s">
        <v>160</v>
      </c>
      <c r="F5" s="26" t="s">
        <v>161</v>
      </c>
      <c r="G5" s="14">
        <v>44</v>
      </c>
      <c r="H5" s="92">
        <f>IF(B$19=0,0,G5/B$19)</f>
        <v>0.4731182795698925</v>
      </c>
      <c r="I5" s="60">
        <v>4</v>
      </c>
      <c r="K5" s="7">
        <v>3</v>
      </c>
      <c r="L5" s="65">
        <v>-108</v>
      </c>
      <c r="N5" s="78" t="s">
        <v>131</v>
      </c>
      <c r="O5" s="84">
        <f t="shared" si="0"/>
        <v>-1578.7878787878788</v>
      </c>
      <c r="P5" s="81">
        <v>33</v>
      </c>
      <c r="Q5" s="68">
        <v>-52100</v>
      </c>
    </row>
    <row r="6" spans="1:17" x14ac:dyDescent="0.45">
      <c r="A6" s="21" t="s">
        <v>1</v>
      </c>
      <c r="B6" s="145">
        <f>IF(B$2=0,0,(B$7*1+B$8*2+B$9*3)/B$2)</f>
        <v>2.2142857142857144</v>
      </c>
      <c r="C6" s="146"/>
      <c r="E6" s="29" t="s">
        <v>68</v>
      </c>
      <c r="F6" s="26" t="s">
        <v>12</v>
      </c>
      <c r="G6" s="14">
        <v>32</v>
      </c>
      <c r="H6" s="92">
        <f>IF(B$19=0,0,G6/B$19)</f>
        <v>0.34408602150537637</v>
      </c>
      <c r="I6" s="60">
        <v>6</v>
      </c>
      <c r="K6" s="7">
        <v>4</v>
      </c>
      <c r="L6" s="65">
        <v>-115.5</v>
      </c>
      <c r="N6" s="78" t="s">
        <v>132</v>
      </c>
      <c r="O6" s="84">
        <f t="shared" si="0"/>
        <v>3472.4137931034484</v>
      </c>
      <c r="P6" s="81">
        <v>29</v>
      </c>
      <c r="Q6" s="68">
        <v>100700</v>
      </c>
    </row>
    <row r="7" spans="1:17" x14ac:dyDescent="0.45">
      <c r="A7" s="21" t="s">
        <v>2</v>
      </c>
      <c r="B7" s="14">
        <v>9</v>
      </c>
      <c r="C7" s="8">
        <f t="shared" ref="C7:C14" si="1">IF(B$2=0,0,B7/B$2)</f>
        <v>0.21428571428571427</v>
      </c>
      <c r="E7" s="29" t="s">
        <v>67</v>
      </c>
      <c r="F7" s="26" t="s">
        <v>23</v>
      </c>
      <c r="G7" s="14">
        <v>20</v>
      </c>
      <c r="H7" s="92">
        <f>IF(B$19=0,0,G7/B$19)</f>
        <v>0.21505376344086022</v>
      </c>
      <c r="I7" s="60">
        <v>9</v>
      </c>
      <c r="K7" s="7">
        <v>5</v>
      </c>
      <c r="L7" s="65">
        <v>-116</v>
      </c>
      <c r="N7" s="79" t="s">
        <v>133</v>
      </c>
      <c r="O7" s="85">
        <f t="shared" si="0"/>
        <v>-3650</v>
      </c>
      <c r="P7" s="82">
        <v>24</v>
      </c>
      <c r="Q7" s="69">
        <v>-87600</v>
      </c>
    </row>
    <row r="8" spans="1:17" x14ac:dyDescent="0.45">
      <c r="A8" s="21" t="s">
        <v>3</v>
      </c>
      <c r="B8" s="14">
        <v>15</v>
      </c>
      <c r="C8" s="8">
        <f t="shared" si="1"/>
        <v>0.35714285714285715</v>
      </c>
      <c r="E8" s="29" t="s">
        <v>89</v>
      </c>
      <c r="F8" s="26" t="s">
        <v>44</v>
      </c>
      <c r="G8" s="14">
        <v>13</v>
      </c>
      <c r="H8" s="92">
        <f>IF(B$19=0,0,G8/B$19)</f>
        <v>0.13978494623655913</v>
      </c>
      <c r="I8" s="60">
        <v>7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18</v>
      </c>
      <c r="C9" s="9">
        <f t="shared" si="1"/>
        <v>0.42857142857142855</v>
      </c>
      <c r="E9" s="29" t="s">
        <v>70</v>
      </c>
      <c r="F9" s="26" t="s">
        <v>25</v>
      </c>
      <c r="G9" s="14">
        <v>10</v>
      </c>
      <c r="H9" s="92">
        <f>IF(B$19=0,0,G9/B$19)</f>
        <v>0.10752688172043011</v>
      </c>
      <c r="I9" s="60">
        <v>6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41.111111111111114</v>
      </c>
      <c r="C10" s="114">
        <v>370</v>
      </c>
      <c r="E10" s="29" t="s">
        <v>69</v>
      </c>
      <c r="F10" s="26" t="s">
        <v>24</v>
      </c>
      <c r="G10" s="14">
        <v>9</v>
      </c>
      <c r="H10" s="92">
        <f>IF(B$19=0,0,G10/B$19)</f>
        <v>9.6774193548387094E-2</v>
      </c>
      <c r="I10" s="60">
        <v>10</v>
      </c>
      <c r="K10" s="7">
        <v>8</v>
      </c>
      <c r="L10" s="65">
        <v>-157.19999999999999</v>
      </c>
      <c r="N10" s="77" t="s">
        <v>152</v>
      </c>
      <c r="O10" s="86">
        <f>IF(P10=0,0,Q10/P10)</f>
        <v>-18.146666666666661</v>
      </c>
      <c r="P10" s="80">
        <v>15</v>
      </c>
      <c r="Q10" s="71">
        <v>-272.19999999999993</v>
      </c>
    </row>
    <row r="11" spans="1:17" x14ac:dyDescent="0.45">
      <c r="A11" s="22" t="s">
        <v>186</v>
      </c>
      <c r="B11" s="113">
        <f>IF(B8=0,0,C11/B8)</f>
        <v>-1.0733333333333335</v>
      </c>
      <c r="C11" s="114">
        <v>-16.100000000000001</v>
      </c>
      <c r="E11" s="29" t="s">
        <v>86</v>
      </c>
      <c r="F11" s="26" t="s">
        <v>41</v>
      </c>
      <c r="G11" s="14">
        <v>7</v>
      </c>
      <c r="H11" s="92">
        <f>IF(B$19=0,0,G11/B$19)</f>
        <v>7.5268817204301078E-2</v>
      </c>
      <c r="I11" s="60">
        <v>5</v>
      </c>
      <c r="K11" s="7">
        <v>9</v>
      </c>
      <c r="L11" s="65">
        <v>-172.39999999999998</v>
      </c>
      <c r="N11" s="78" t="s">
        <v>153</v>
      </c>
      <c r="O11" s="87">
        <f>IF(P11=0,0,Q11/P11)</f>
        <v>-4.6937500000000005</v>
      </c>
      <c r="P11" s="81">
        <v>16</v>
      </c>
      <c r="Q11" s="72">
        <v>-75.100000000000009</v>
      </c>
    </row>
    <row r="12" spans="1:17" x14ac:dyDescent="0.45">
      <c r="A12" s="22" t="s">
        <v>187</v>
      </c>
      <c r="B12" s="113">
        <f>IF(B9=0,0,C12/B9)</f>
        <v>-33.050000000000004</v>
      </c>
      <c r="C12" s="114">
        <v>-594.90000000000009</v>
      </c>
      <c r="E12" s="29" t="s">
        <v>65</v>
      </c>
      <c r="F12" s="26" t="s">
        <v>21</v>
      </c>
      <c r="G12" s="14">
        <v>6</v>
      </c>
      <c r="H12" s="92">
        <f>IF(B$19=0,0,G12/B$19)</f>
        <v>6.4516129032258063E-2</v>
      </c>
      <c r="I12" s="60">
        <v>12</v>
      </c>
      <c r="K12" s="7">
        <v>10</v>
      </c>
      <c r="L12" s="65">
        <v>-217.59999999999997</v>
      </c>
      <c r="N12" s="79" t="s">
        <v>154</v>
      </c>
      <c r="O12" s="88">
        <f>IF(P12=0,0,Q12/P12)</f>
        <v>9.663636363636364</v>
      </c>
      <c r="P12" s="82">
        <v>11</v>
      </c>
      <c r="Q12" s="73">
        <v>106.3</v>
      </c>
    </row>
    <row r="13" spans="1:17" x14ac:dyDescent="0.45">
      <c r="A13" s="22" t="s">
        <v>188</v>
      </c>
      <c r="B13" s="131">
        <f>AVERAGE(B10:B12)</f>
        <v>2.3292592592592598</v>
      </c>
      <c r="C13" s="132"/>
      <c r="E13" s="29" t="s">
        <v>71</v>
      </c>
      <c r="F13" s="26" t="s">
        <v>26</v>
      </c>
      <c r="G13" s="14">
        <v>4</v>
      </c>
      <c r="H13" s="92">
        <f>IF(B$19=0,0,G13/B$19)</f>
        <v>4.3010752688172046E-2</v>
      </c>
      <c r="I13" s="60">
        <v>10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0.14285714285714285</v>
      </c>
      <c r="E14" s="29" t="s">
        <v>78</v>
      </c>
      <c r="F14" s="26" t="s">
        <v>33</v>
      </c>
      <c r="G14" s="14">
        <v>4</v>
      </c>
      <c r="H14" s="92">
        <f>IF(B$19=0,0,G14/B$19)</f>
        <v>4.3010752688172046E-2</v>
      </c>
      <c r="I14" s="60">
        <v>4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77</v>
      </c>
      <c r="C15" s="12">
        <f>IF(B$3=0,0,B15/B$3)</f>
        <v>0.23839009287925697</v>
      </c>
      <c r="E15" s="29" t="s">
        <v>81</v>
      </c>
      <c r="F15" s="26" t="s">
        <v>36</v>
      </c>
      <c r="G15" s="14">
        <v>3</v>
      </c>
      <c r="H15" s="92">
        <f>IF(B$19=0,0,G15/B$19)</f>
        <v>3.2258064516129031E-2</v>
      </c>
      <c r="I15" s="60">
        <v>3</v>
      </c>
      <c r="K15" s="7">
        <v>13</v>
      </c>
      <c r="L15" s="65">
        <v>-280.59999999999997</v>
      </c>
      <c r="N15" s="77" t="s">
        <v>164</v>
      </c>
      <c r="O15" s="86">
        <f t="shared" ref="O15:O21" si="2">IF(P15=0,0,Q15/P15)</f>
        <v>14.800000000000004</v>
      </c>
      <c r="P15" s="80">
        <v>12</v>
      </c>
      <c r="Q15" s="71">
        <v>177.60000000000005</v>
      </c>
    </row>
    <row r="16" spans="1:17" x14ac:dyDescent="0.45">
      <c r="A16" s="21" t="s">
        <v>118</v>
      </c>
      <c r="B16" s="14">
        <v>51</v>
      </c>
      <c r="C16" s="8">
        <f>IF(B$3=0,0,B16/B$3)</f>
        <v>0.15789473684210525</v>
      </c>
      <c r="E16" s="29" t="s">
        <v>73</v>
      </c>
      <c r="F16" s="26" t="s">
        <v>28</v>
      </c>
      <c r="G16" s="14">
        <v>1</v>
      </c>
      <c r="H16" s="92">
        <f>IF(B$19=0,0,G16/B$19)</f>
        <v>1.0752688172043012E-2</v>
      </c>
      <c r="I16" s="60">
        <v>2</v>
      </c>
      <c r="K16" s="7">
        <v>14</v>
      </c>
      <c r="L16" s="65">
        <v>-330.7</v>
      </c>
      <c r="N16" s="78" t="s">
        <v>240</v>
      </c>
      <c r="O16" s="87">
        <f t="shared" si="2"/>
        <v>12.500000000000002</v>
      </c>
      <c r="P16" s="81">
        <v>2</v>
      </c>
      <c r="Q16" s="72">
        <v>25.000000000000004</v>
      </c>
    </row>
    <row r="17" spans="1:17" x14ac:dyDescent="0.45">
      <c r="A17" s="20" t="s">
        <v>123</v>
      </c>
      <c r="B17" s="13">
        <f>B23</f>
        <v>42</v>
      </c>
      <c r="C17" s="6">
        <f>IF(B$15=0,0,B17/B$15)</f>
        <v>0.54545454545454541</v>
      </c>
      <c r="E17" s="29" t="s">
        <v>83</v>
      </c>
      <c r="F17" s="26" t="s">
        <v>38</v>
      </c>
      <c r="G17" s="14">
        <v>1</v>
      </c>
      <c r="H17" s="92">
        <f>IF(B$19=0,0,G17/B$19)</f>
        <v>1.0752688172043012E-2</v>
      </c>
      <c r="I17" s="60">
        <v>8</v>
      </c>
      <c r="K17" s="7">
        <v>15</v>
      </c>
      <c r="L17" s="65">
        <v>-284.09999999999997</v>
      </c>
      <c r="N17" s="78" t="s">
        <v>205</v>
      </c>
      <c r="O17" s="87">
        <f t="shared" si="2"/>
        <v>-0.79166666666666596</v>
      </c>
      <c r="P17" s="81">
        <v>12</v>
      </c>
      <c r="Q17" s="72">
        <v>-9.4999999999999911</v>
      </c>
    </row>
    <row r="18" spans="1:17" x14ac:dyDescent="0.45">
      <c r="A18" s="20" t="s">
        <v>124</v>
      </c>
      <c r="B18" s="13">
        <f>B24</f>
        <v>29</v>
      </c>
      <c r="C18" s="6">
        <f>IF(B$16=0,0,B18/B$16)</f>
        <v>0.56862745098039214</v>
      </c>
      <c r="E18" s="29" t="s">
        <v>87</v>
      </c>
      <c r="F18" s="26" t="s">
        <v>42</v>
      </c>
      <c r="G18" s="14">
        <v>1</v>
      </c>
      <c r="H18" s="92">
        <f>IF(B$19=0,0,G18/B$19)</f>
        <v>1.0752688172043012E-2</v>
      </c>
      <c r="I18" s="60">
        <v>1</v>
      </c>
      <c r="K18" s="7">
        <v>16</v>
      </c>
      <c r="L18" s="65">
        <v>-234.59999999999997</v>
      </c>
      <c r="N18" s="78" t="s">
        <v>192</v>
      </c>
      <c r="O18" s="87">
        <f t="shared" si="2"/>
        <v>-4.0250000000000004</v>
      </c>
      <c r="P18" s="81">
        <v>16</v>
      </c>
      <c r="Q18" s="72">
        <v>-64.400000000000006</v>
      </c>
    </row>
    <row r="19" spans="1:17" x14ac:dyDescent="0.45">
      <c r="A19" s="20" t="s">
        <v>10</v>
      </c>
      <c r="B19" s="13">
        <f>B22+B21</f>
        <v>93</v>
      </c>
      <c r="C19" s="6">
        <f>IF(B$3=0,0,B19/B$3)</f>
        <v>0.28792569659442724</v>
      </c>
      <c r="E19" s="29" t="s">
        <v>91</v>
      </c>
      <c r="F19" s="26" t="s">
        <v>46</v>
      </c>
      <c r="G19" s="14">
        <v>1</v>
      </c>
      <c r="H19" s="92">
        <f>IF(B$19=0,0,G19/B$19)</f>
        <v>1.0752688172043012E-2</v>
      </c>
      <c r="I19" s="60">
        <v>5</v>
      </c>
      <c r="K19" s="7">
        <v>17</v>
      </c>
      <c r="L19" s="65">
        <v>-233.19999999999996</v>
      </c>
      <c r="N19" s="78" t="s">
        <v>126</v>
      </c>
      <c r="O19" s="87">
        <f t="shared" si="2"/>
        <v>-13.85</v>
      </c>
      <c r="P19" s="81">
        <v>28</v>
      </c>
      <c r="Q19" s="72">
        <v>-387.8</v>
      </c>
    </row>
    <row r="20" spans="1:17" x14ac:dyDescent="0.45">
      <c r="A20" s="21" t="s">
        <v>13</v>
      </c>
      <c r="B20" s="14">
        <v>52</v>
      </c>
      <c r="C20" s="8">
        <f>IF(B$3=0,0,B20/B$3)</f>
        <v>0.1609907120743034</v>
      </c>
      <c r="E20" s="29" t="s">
        <v>92</v>
      </c>
      <c r="F20" s="26" t="s">
        <v>47</v>
      </c>
      <c r="G20" s="14">
        <v>1</v>
      </c>
      <c r="H20" s="92">
        <f>IF(B$19=0,0,G20/B$19)</f>
        <v>1.0752688172043012E-2</v>
      </c>
      <c r="I20" s="60">
        <v>5</v>
      </c>
      <c r="K20" s="7">
        <v>18</v>
      </c>
      <c r="L20" s="65">
        <v>-154.09999999999997</v>
      </c>
      <c r="N20" s="78" t="s">
        <v>196</v>
      </c>
      <c r="O20" s="87">
        <f t="shared" si="2"/>
        <v>-20.5</v>
      </c>
      <c r="P20" s="81">
        <v>1</v>
      </c>
      <c r="Q20" s="72">
        <v>-20.5</v>
      </c>
    </row>
    <row r="21" spans="1:17" x14ac:dyDescent="0.45">
      <c r="A21" s="21" t="s">
        <v>12</v>
      </c>
      <c r="B21" s="14">
        <v>48</v>
      </c>
      <c r="C21" s="8">
        <f>IF(B$19=0,0,B21/B$19)</f>
        <v>0.5161290322580645</v>
      </c>
      <c r="E21" s="29" t="s">
        <v>74</v>
      </c>
      <c r="F21" s="26" t="s">
        <v>29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  <c r="N21" s="78" t="s">
        <v>193</v>
      </c>
      <c r="O21" s="87">
        <f t="shared" si="2"/>
        <v>-34.107692307692304</v>
      </c>
      <c r="P21" s="81">
        <v>13</v>
      </c>
      <c r="Q21" s="72">
        <v>-443.4</v>
      </c>
    </row>
    <row r="22" spans="1:17" x14ac:dyDescent="0.45">
      <c r="A22" s="21" t="s">
        <v>11</v>
      </c>
      <c r="B22" s="14">
        <v>45</v>
      </c>
      <c r="C22" s="8">
        <f>IF(B$19=0,0,B22/B$19)</f>
        <v>0.4838709677419355</v>
      </c>
      <c r="E22" s="29" t="s">
        <v>75</v>
      </c>
      <c r="F22" s="26" t="s">
        <v>30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42</v>
      </c>
      <c r="C23" s="8">
        <f>IF(B$19=0,0,B23/B$19)</f>
        <v>0.45161290322580644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29</v>
      </c>
      <c r="C24" s="8">
        <f>IF(B$19=0,0,B24/B$19)</f>
        <v>0.31182795698924731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7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22</v>
      </c>
      <c r="C25" s="8">
        <f>IF(B$19=0,0,B25/B$19)</f>
        <v>0.23655913978494625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8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7873.1182795698924</v>
      </c>
      <c r="C26" s="10">
        <v>732200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9082.8125</v>
      </c>
      <c r="C27" s="100">
        <v>581300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5203.4482758620688</v>
      </c>
      <c r="C28" s="100">
        <v>150900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5">
      <c r="A29" s="22" t="s">
        <v>165</v>
      </c>
      <c r="B29" s="99">
        <f>IF(B$20=0,0,C29/B$20)</f>
        <v>-7148.0769230769229</v>
      </c>
      <c r="C29" s="100">
        <v>-371700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5">
      <c r="A31" s="21" t="s">
        <v>159</v>
      </c>
      <c r="B31" s="14">
        <v>26</v>
      </c>
      <c r="C31" s="94">
        <v>4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5">
      <c r="A32" s="56" t="s">
        <v>136</v>
      </c>
      <c r="B32" s="133">
        <v>6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45">
      <c r="A33" s="24" t="s">
        <v>181</v>
      </c>
      <c r="B33" s="135">
        <v>104100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45">
      <c r="A34" s="23" t="s">
        <v>137</v>
      </c>
      <c r="B34" s="31">
        <v>1</v>
      </c>
      <c r="C34" s="11">
        <f>IF(B$3=0,0,B34/B$3)</f>
        <v>3.0959752321981426E-3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  <c r="K34" s="7">
        <v>32</v>
      </c>
      <c r="L34" s="65">
        <v>-277.49999999999994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-276.19999999999993</v>
      </c>
    </row>
    <row r="36" spans="1:12" x14ac:dyDescent="0.45">
      <c r="A36" s="56" t="s">
        <v>172</v>
      </c>
      <c r="B36" s="121">
        <v>10</v>
      </c>
      <c r="C36" s="102">
        <f t="shared" ref="C36:C48" si="3">IF(B$19=0,0,B36/B$19)</f>
        <v>0.10752688172043011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-295.39999999999992</v>
      </c>
    </row>
    <row r="37" spans="1:12" x14ac:dyDescent="0.45">
      <c r="A37" s="21" t="s">
        <v>168</v>
      </c>
      <c r="B37" s="14">
        <v>17</v>
      </c>
      <c r="C37" s="8">
        <f t="shared" si="3"/>
        <v>0.18279569892473119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-288.2999999999999</v>
      </c>
    </row>
    <row r="38" spans="1:12" x14ac:dyDescent="0.45">
      <c r="A38" s="21" t="s">
        <v>169</v>
      </c>
      <c r="B38" s="122">
        <v>19</v>
      </c>
      <c r="C38" s="8">
        <f t="shared" si="3"/>
        <v>0.20430107526881722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-258.7999999999999</v>
      </c>
    </row>
    <row r="39" spans="1:12" x14ac:dyDescent="0.45">
      <c r="A39" s="21" t="s">
        <v>170</v>
      </c>
      <c r="B39" s="122">
        <v>14</v>
      </c>
      <c r="C39" s="8">
        <f t="shared" si="3"/>
        <v>0.15053763440860216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-287.2999999999999</v>
      </c>
    </row>
    <row r="40" spans="1:12" x14ac:dyDescent="0.45">
      <c r="A40" s="21" t="s">
        <v>171</v>
      </c>
      <c r="B40" s="122">
        <v>10</v>
      </c>
      <c r="C40" s="8">
        <f t="shared" si="3"/>
        <v>0.10752688172043011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-289.69999999999987</v>
      </c>
    </row>
    <row r="41" spans="1:12" x14ac:dyDescent="0.45">
      <c r="A41" s="21" t="s">
        <v>173</v>
      </c>
      <c r="B41" s="122">
        <v>14</v>
      </c>
      <c r="C41" s="8">
        <f t="shared" si="3"/>
        <v>0.15053763440860216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-263.09999999999985</v>
      </c>
    </row>
    <row r="42" spans="1:12" x14ac:dyDescent="0.45">
      <c r="A42" s="21" t="s">
        <v>174</v>
      </c>
      <c r="B42" s="122">
        <v>4</v>
      </c>
      <c r="C42" s="8">
        <f t="shared" si="3"/>
        <v>4.3010752688172046E-2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-254.79999999999984</v>
      </c>
    </row>
    <row r="43" spans="1:12" x14ac:dyDescent="0.45">
      <c r="A43" s="21" t="s">
        <v>175</v>
      </c>
      <c r="B43" s="122">
        <v>2</v>
      </c>
      <c r="C43" s="8">
        <f t="shared" si="3"/>
        <v>2.1505376344086023E-2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-261.99999999999983</v>
      </c>
    </row>
    <row r="44" spans="1:12" x14ac:dyDescent="0.45">
      <c r="A44" s="21" t="s">
        <v>176</v>
      </c>
      <c r="B44" s="122">
        <v>1</v>
      </c>
      <c r="C44" s="8">
        <f t="shared" si="3"/>
        <v>1.0752688172043012E-2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-240.99999999999983</v>
      </c>
    </row>
    <row r="45" spans="1:12" x14ac:dyDescent="0.45">
      <c r="A45" s="21" t="s">
        <v>177</v>
      </c>
      <c r="B45" s="122">
        <v>1</v>
      </c>
      <c r="C45" s="8">
        <f t="shared" si="3"/>
        <v>1.0752688172043012E-2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1.0752688172043012E-2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2D5FA-3F71-4EA1-B049-0D5B81FFA4EC}">
  <sheetPr codeName="Sheet15"/>
  <dimension ref="A1:Q6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192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65</v>
      </c>
      <c r="C2" s="140"/>
      <c r="E2" s="28" t="s">
        <v>66</v>
      </c>
      <c r="F2" s="25" t="s">
        <v>22</v>
      </c>
      <c r="G2" s="13">
        <v>94</v>
      </c>
      <c r="H2" s="91">
        <f>IF(B$19=0,0,G2/B$19)</f>
        <v>0.64827586206896548</v>
      </c>
      <c r="I2" s="59">
        <v>7</v>
      </c>
      <c r="K2" s="5">
        <v>0</v>
      </c>
      <c r="L2" s="64">
        <v>0</v>
      </c>
      <c r="N2" s="77" t="s">
        <v>128</v>
      </c>
      <c r="O2" s="83">
        <f t="shared" ref="O2:O7" si="0">IF(P2=0,0,Q2/P2)</f>
        <v>-148.4375</v>
      </c>
      <c r="P2" s="80">
        <v>64</v>
      </c>
      <c r="Q2" s="67">
        <v>-9500</v>
      </c>
    </row>
    <row r="3" spans="1:17" x14ac:dyDescent="0.45">
      <c r="A3" s="21" t="s">
        <v>8</v>
      </c>
      <c r="B3" s="141">
        <v>532</v>
      </c>
      <c r="C3" s="142"/>
      <c r="E3" s="29" t="s">
        <v>72</v>
      </c>
      <c r="F3" s="26" t="s">
        <v>27</v>
      </c>
      <c r="G3" s="14">
        <v>93</v>
      </c>
      <c r="H3" s="92">
        <f>IF(B$19=0,0,G3/B$19)</f>
        <v>0.64137931034482754</v>
      </c>
      <c r="I3" s="60">
        <v>3</v>
      </c>
      <c r="K3" s="7">
        <v>1</v>
      </c>
      <c r="L3" s="65">
        <v>-0.5</v>
      </c>
      <c r="N3" s="78" t="s">
        <v>129</v>
      </c>
      <c r="O3" s="84">
        <f t="shared" si="0"/>
        <v>0</v>
      </c>
      <c r="P3" s="81">
        <v>64</v>
      </c>
      <c r="Q3" s="68">
        <v>0</v>
      </c>
    </row>
    <row r="4" spans="1:17" x14ac:dyDescent="0.45">
      <c r="A4" s="21" t="s">
        <v>6</v>
      </c>
      <c r="B4" s="143">
        <v>-72.599999999999966</v>
      </c>
      <c r="C4" s="144"/>
      <c r="E4" s="29" t="s">
        <v>64</v>
      </c>
      <c r="F4" s="26" t="s">
        <v>20</v>
      </c>
      <c r="G4" s="14">
        <v>62</v>
      </c>
      <c r="H4" s="92">
        <f>IF(B$19=0,0,G4/B$19)</f>
        <v>0.42758620689655175</v>
      </c>
      <c r="I4" s="60">
        <v>10</v>
      </c>
      <c r="K4" s="7">
        <v>2</v>
      </c>
      <c r="L4" s="65">
        <v>-62.8</v>
      </c>
      <c r="N4" s="78" t="s">
        <v>130</v>
      </c>
      <c r="O4" s="84">
        <f t="shared" si="0"/>
        <v>-844.44444444444446</v>
      </c>
      <c r="P4" s="81">
        <v>63</v>
      </c>
      <c r="Q4" s="68">
        <v>-53200</v>
      </c>
    </row>
    <row r="5" spans="1:17" x14ac:dyDescent="0.45">
      <c r="A5" s="21" t="s">
        <v>7</v>
      </c>
      <c r="B5" s="131">
        <f>IF(B$2=0,0,B$4/B$2)</f>
        <v>-1.1169230769230765</v>
      </c>
      <c r="C5" s="132"/>
      <c r="E5" s="29" t="s">
        <v>160</v>
      </c>
      <c r="F5" s="26" t="s">
        <v>161</v>
      </c>
      <c r="G5" s="14">
        <v>56</v>
      </c>
      <c r="H5" s="92">
        <f>IF(B$19=0,0,G5/B$19)</f>
        <v>0.38620689655172413</v>
      </c>
      <c r="I5" s="60">
        <v>11</v>
      </c>
      <c r="K5" s="7">
        <v>3</v>
      </c>
      <c r="L5" s="65">
        <v>-48.5</v>
      </c>
      <c r="N5" s="78" t="s">
        <v>131</v>
      </c>
      <c r="O5" s="84">
        <f t="shared" si="0"/>
        <v>1456.6666666666667</v>
      </c>
      <c r="P5" s="81">
        <v>60</v>
      </c>
      <c r="Q5" s="68">
        <v>87400</v>
      </c>
    </row>
    <row r="6" spans="1:17" x14ac:dyDescent="0.45">
      <c r="A6" s="21" t="s">
        <v>1</v>
      </c>
      <c r="B6" s="145">
        <f>IF(B$2=0,0,(B$7*1+B$8*2+B$9*3)/B$2)</f>
        <v>2.046153846153846</v>
      </c>
      <c r="C6" s="146"/>
      <c r="E6" s="29" t="s">
        <v>67</v>
      </c>
      <c r="F6" s="26" t="s">
        <v>23</v>
      </c>
      <c r="G6" s="14">
        <v>40</v>
      </c>
      <c r="H6" s="92">
        <f>IF(B$19=0,0,G6/B$19)</f>
        <v>0.27586206896551724</v>
      </c>
      <c r="I6" s="60">
        <v>3</v>
      </c>
      <c r="K6" s="7">
        <v>4</v>
      </c>
      <c r="L6" s="65">
        <v>-75.599999999999994</v>
      </c>
      <c r="N6" s="78" t="s">
        <v>132</v>
      </c>
      <c r="O6" s="84">
        <f t="shared" si="0"/>
        <v>-1131.4814814814815</v>
      </c>
      <c r="P6" s="81">
        <v>54</v>
      </c>
      <c r="Q6" s="68">
        <v>-61100</v>
      </c>
    </row>
    <row r="7" spans="1:17" x14ac:dyDescent="0.45">
      <c r="A7" s="21" t="s">
        <v>2</v>
      </c>
      <c r="B7" s="14">
        <v>21</v>
      </c>
      <c r="C7" s="8">
        <f t="shared" ref="C7:C14" si="1">IF(B$2=0,0,B7/B$2)</f>
        <v>0.32307692307692309</v>
      </c>
      <c r="E7" s="29" t="s">
        <v>68</v>
      </c>
      <c r="F7" s="26" t="s">
        <v>12</v>
      </c>
      <c r="G7" s="14">
        <v>38</v>
      </c>
      <c r="H7" s="92">
        <f>IF(B$19=0,0,G7/B$19)</f>
        <v>0.2620689655172414</v>
      </c>
      <c r="I7" s="60">
        <v>10</v>
      </c>
      <c r="K7" s="7">
        <v>5</v>
      </c>
      <c r="L7" s="65">
        <v>-96.5</v>
      </c>
      <c r="N7" s="79" t="s">
        <v>133</v>
      </c>
      <c r="O7" s="85">
        <f t="shared" si="0"/>
        <v>-1763.6363636363637</v>
      </c>
      <c r="P7" s="82">
        <v>44</v>
      </c>
      <c r="Q7" s="69">
        <v>-77600</v>
      </c>
    </row>
    <row r="8" spans="1:17" x14ac:dyDescent="0.45">
      <c r="A8" s="21" t="s">
        <v>3</v>
      </c>
      <c r="B8" s="14">
        <v>20</v>
      </c>
      <c r="C8" s="8">
        <f t="shared" si="1"/>
        <v>0.30769230769230771</v>
      </c>
      <c r="E8" s="29" t="s">
        <v>89</v>
      </c>
      <c r="F8" s="26" t="s">
        <v>44</v>
      </c>
      <c r="G8" s="14">
        <v>19</v>
      </c>
      <c r="H8" s="92">
        <f>IF(B$19=0,0,G8/B$19)</f>
        <v>0.1310344827586207</v>
      </c>
      <c r="I8" s="60">
        <v>8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24</v>
      </c>
      <c r="C9" s="9">
        <f t="shared" si="1"/>
        <v>0.36923076923076925</v>
      </c>
      <c r="E9" s="29" t="s">
        <v>69</v>
      </c>
      <c r="F9" s="26" t="s">
        <v>24</v>
      </c>
      <c r="G9" s="14">
        <v>14</v>
      </c>
      <c r="H9" s="92">
        <f>IF(B$19=0,0,G9/B$19)</f>
        <v>9.6551724137931033E-2</v>
      </c>
      <c r="I9" s="60">
        <v>11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38.866666666666667</v>
      </c>
      <c r="C10" s="114">
        <v>816.2</v>
      </c>
      <c r="E10" s="29" t="s">
        <v>65</v>
      </c>
      <c r="F10" s="26" t="s">
        <v>21</v>
      </c>
      <c r="G10" s="14">
        <v>10</v>
      </c>
      <c r="H10" s="92">
        <f>IF(B$19=0,0,G10/B$19)</f>
        <v>6.8965517241379309E-2</v>
      </c>
      <c r="I10" s="60">
        <v>11</v>
      </c>
      <c r="K10" s="7">
        <v>8</v>
      </c>
      <c r="L10" s="65">
        <v>-28.3</v>
      </c>
      <c r="N10" s="77" t="s">
        <v>152</v>
      </c>
      <c r="O10" s="86">
        <f>IF(P10=0,0,Q10/P10)</f>
        <v>-9.9523809523809526</v>
      </c>
      <c r="P10" s="80">
        <v>21</v>
      </c>
      <c r="Q10" s="71">
        <v>-209</v>
      </c>
    </row>
    <row r="11" spans="1:17" x14ac:dyDescent="0.45">
      <c r="A11" s="22" t="s">
        <v>186</v>
      </c>
      <c r="B11" s="113">
        <f>IF(B8=0,0,C11/B8)</f>
        <v>-3.165</v>
      </c>
      <c r="C11" s="114">
        <v>-63.3</v>
      </c>
      <c r="E11" s="29" t="s">
        <v>70</v>
      </c>
      <c r="F11" s="26" t="s">
        <v>25</v>
      </c>
      <c r="G11" s="14">
        <v>8</v>
      </c>
      <c r="H11" s="92">
        <f>IF(B$19=0,0,G11/B$19)</f>
        <v>5.5172413793103448E-2</v>
      </c>
      <c r="I11" s="60">
        <v>9</v>
      </c>
      <c r="K11" s="7">
        <v>9</v>
      </c>
      <c r="L11" s="65">
        <v>-20.3</v>
      </c>
      <c r="N11" s="78" t="s">
        <v>153</v>
      </c>
      <c r="O11" s="87">
        <f>IF(P11=0,0,Q11/P11)</f>
        <v>1.320833333333334</v>
      </c>
      <c r="P11" s="81">
        <v>24</v>
      </c>
      <c r="Q11" s="72">
        <v>31.700000000000014</v>
      </c>
    </row>
    <row r="12" spans="1:17" x14ac:dyDescent="0.45">
      <c r="A12" s="22" t="s">
        <v>187</v>
      </c>
      <c r="B12" s="113">
        <f>IF(B9=0,0,C12/B9)</f>
        <v>-34.395833333333329</v>
      </c>
      <c r="C12" s="114">
        <v>-825.49999999999989</v>
      </c>
      <c r="E12" s="29" t="s">
        <v>71</v>
      </c>
      <c r="F12" s="26" t="s">
        <v>26</v>
      </c>
      <c r="G12" s="14">
        <v>8</v>
      </c>
      <c r="H12" s="92">
        <f>IF(B$19=0,0,G12/B$19)</f>
        <v>5.5172413793103448E-2</v>
      </c>
      <c r="I12" s="60">
        <v>8</v>
      </c>
      <c r="K12" s="7">
        <v>10</v>
      </c>
      <c r="L12" s="65">
        <v>-14.9</v>
      </c>
      <c r="N12" s="79" t="s">
        <v>154</v>
      </c>
      <c r="O12" s="88">
        <f>IF(P12=0,0,Q12/P12)</f>
        <v>5.2350000000000012</v>
      </c>
      <c r="P12" s="82">
        <v>20</v>
      </c>
      <c r="Q12" s="73">
        <v>104.70000000000002</v>
      </c>
    </row>
    <row r="13" spans="1:17" x14ac:dyDescent="0.45">
      <c r="A13" s="22" t="s">
        <v>188</v>
      </c>
      <c r="B13" s="131">
        <f>AVERAGE(B10:B12)</f>
        <v>0.43527777777777982</v>
      </c>
      <c r="C13" s="132"/>
      <c r="E13" s="29" t="s">
        <v>83</v>
      </c>
      <c r="F13" s="26" t="s">
        <v>38</v>
      </c>
      <c r="G13" s="14">
        <v>8</v>
      </c>
      <c r="H13" s="92">
        <f>IF(B$19=0,0,G13/B$19)</f>
        <v>5.5172413793103448E-2</v>
      </c>
      <c r="I13" s="60">
        <v>3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7.6923076923076927E-2</v>
      </c>
      <c r="E14" s="29" t="s">
        <v>79</v>
      </c>
      <c r="F14" s="26" t="s">
        <v>34</v>
      </c>
      <c r="G14" s="14">
        <v>6</v>
      </c>
      <c r="H14" s="92">
        <f>IF(B$19=0,0,G14/B$19)</f>
        <v>4.1379310344827586E-2</v>
      </c>
      <c r="I14" s="60">
        <v>3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122</v>
      </c>
      <c r="C15" s="12">
        <f>IF(B$3=0,0,B15/B$3)</f>
        <v>0.22932330827067668</v>
      </c>
      <c r="E15" s="29" t="s">
        <v>78</v>
      </c>
      <c r="F15" s="26" t="s">
        <v>33</v>
      </c>
      <c r="G15" s="14">
        <v>5</v>
      </c>
      <c r="H15" s="92">
        <f>IF(B$19=0,0,G15/B$19)</f>
        <v>3.4482758620689655E-2</v>
      </c>
      <c r="I15" s="60">
        <v>6</v>
      </c>
      <c r="K15" s="7">
        <v>13</v>
      </c>
      <c r="L15" s="65">
        <v>-125.89999999999999</v>
      </c>
      <c r="N15" s="77" t="s">
        <v>240</v>
      </c>
      <c r="O15" s="86">
        <f>IF(P15=0,0,Q15/P15)</f>
        <v>110.30000000000001</v>
      </c>
      <c r="P15" s="80">
        <v>1</v>
      </c>
      <c r="Q15" s="71">
        <v>110.30000000000001</v>
      </c>
    </row>
    <row r="16" spans="1:17" x14ac:dyDescent="0.45">
      <c r="A16" s="21" t="s">
        <v>118</v>
      </c>
      <c r="B16" s="14">
        <v>126</v>
      </c>
      <c r="C16" s="8">
        <f>IF(B$3=0,0,B16/B$3)</f>
        <v>0.23684210526315788</v>
      </c>
      <c r="E16" s="29" t="s">
        <v>91</v>
      </c>
      <c r="F16" s="26" t="s">
        <v>46</v>
      </c>
      <c r="G16" s="14">
        <v>5</v>
      </c>
      <c r="H16" s="92">
        <f>IF(B$19=0,0,G16/B$19)</f>
        <v>3.4482758620689655E-2</v>
      </c>
      <c r="I16" s="60">
        <v>2</v>
      </c>
      <c r="K16" s="7">
        <v>14</v>
      </c>
      <c r="L16" s="65">
        <v>-149.39999999999998</v>
      </c>
      <c r="N16" s="78" t="s">
        <v>189</v>
      </c>
      <c r="O16" s="87">
        <f>IF(P16=0,0,Q16/P16)</f>
        <v>23.599999999999998</v>
      </c>
      <c r="P16" s="81">
        <v>3</v>
      </c>
      <c r="Q16" s="72">
        <v>70.8</v>
      </c>
    </row>
    <row r="17" spans="1:17" x14ac:dyDescent="0.45">
      <c r="A17" s="20" t="s">
        <v>123</v>
      </c>
      <c r="B17" s="13">
        <f>B23</f>
        <v>65</v>
      </c>
      <c r="C17" s="6">
        <f>IF(B$15=0,0,B17/B$15)</f>
        <v>0.53278688524590168</v>
      </c>
      <c r="E17" s="29" t="s">
        <v>86</v>
      </c>
      <c r="F17" s="26" t="s">
        <v>41</v>
      </c>
      <c r="G17" s="14">
        <v>4</v>
      </c>
      <c r="H17" s="92">
        <f>IF(B$19=0,0,G17/B$19)</f>
        <v>2.7586206896551724E-2</v>
      </c>
      <c r="I17" s="60">
        <v>9</v>
      </c>
      <c r="K17" s="7">
        <v>15</v>
      </c>
      <c r="L17" s="65">
        <v>-121.39999999999998</v>
      </c>
      <c r="N17" s="78" t="s">
        <v>193</v>
      </c>
      <c r="O17" s="87">
        <f>IF(P17=0,0,Q17/P17)</f>
        <v>11.403846153846159</v>
      </c>
      <c r="P17" s="81">
        <v>26</v>
      </c>
      <c r="Q17" s="72">
        <v>296.50000000000011</v>
      </c>
    </row>
    <row r="18" spans="1:17" x14ac:dyDescent="0.45">
      <c r="A18" s="20" t="s">
        <v>124</v>
      </c>
      <c r="B18" s="13">
        <f>B24</f>
        <v>51</v>
      </c>
      <c r="C18" s="6">
        <f>IF(B$16=0,0,B18/B$16)</f>
        <v>0.40476190476190477</v>
      </c>
      <c r="E18" s="29" t="s">
        <v>81</v>
      </c>
      <c r="F18" s="26" t="s">
        <v>36</v>
      </c>
      <c r="G18" s="14">
        <v>3</v>
      </c>
      <c r="H18" s="92">
        <f>IF(B$19=0,0,G18/B$19)</f>
        <v>2.0689655172413793E-2</v>
      </c>
      <c r="I18" s="60">
        <v>6</v>
      </c>
      <c r="K18" s="7">
        <v>16</v>
      </c>
      <c r="L18" s="65">
        <v>-141.29999999999998</v>
      </c>
      <c r="N18" s="78" t="s">
        <v>194</v>
      </c>
      <c r="O18" s="87">
        <f>IF(P18=0,0,Q18/P18)</f>
        <v>4.0250000000000021</v>
      </c>
      <c r="P18" s="81">
        <v>16</v>
      </c>
      <c r="Q18" s="72">
        <v>64.400000000000034</v>
      </c>
    </row>
    <row r="19" spans="1:17" x14ac:dyDescent="0.45">
      <c r="A19" s="20" t="s">
        <v>10</v>
      </c>
      <c r="B19" s="13">
        <f>B22+B21</f>
        <v>145</v>
      </c>
      <c r="C19" s="6">
        <f>IF(B$3=0,0,B19/B$3)</f>
        <v>0.27255639097744361</v>
      </c>
      <c r="E19" s="29" t="s">
        <v>92</v>
      </c>
      <c r="F19" s="26" t="s">
        <v>47</v>
      </c>
      <c r="G19" s="14">
        <v>3</v>
      </c>
      <c r="H19" s="92">
        <f>IF(B$19=0,0,G19/B$19)</f>
        <v>2.0689655172413793E-2</v>
      </c>
      <c r="I19" s="60">
        <v>1</v>
      </c>
      <c r="K19" s="7">
        <v>17</v>
      </c>
      <c r="L19" s="65">
        <v>-149.1</v>
      </c>
      <c r="N19" s="78" t="s">
        <v>205</v>
      </c>
      <c r="O19" s="87">
        <f>IF(P19=0,0,Q19/P19)</f>
        <v>-0.84166666666666501</v>
      </c>
      <c r="P19" s="81">
        <v>12</v>
      </c>
      <c r="Q19" s="72">
        <v>-10.09999999999998</v>
      </c>
    </row>
    <row r="20" spans="1:17" x14ac:dyDescent="0.45">
      <c r="A20" s="21" t="s">
        <v>13</v>
      </c>
      <c r="B20" s="14">
        <v>62</v>
      </c>
      <c r="C20" s="8">
        <f>IF(B$3=0,0,B20/B$3)</f>
        <v>0.11654135338345864</v>
      </c>
      <c r="E20" s="29" t="s">
        <v>75</v>
      </c>
      <c r="F20" s="26" t="s">
        <v>30</v>
      </c>
      <c r="G20" s="14">
        <v>1</v>
      </c>
      <c r="H20" s="92">
        <f>IF(B$19=0,0,G20/B$19)</f>
        <v>6.8965517241379309E-3</v>
      </c>
      <c r="I20" s="60">
        <v>4</v>
      </c>
      <c r="K20" s="7">
        <v>18</v>
      </c>
      <c r="L20" s="65">
        <v>-201.89999999999998</v>
      </c>
      <c r="N20" s="78" t="s">
        <v>164</v>
      </c>
      <c r="O20" s="87">
        <f>IF(P20=0,0,Q20/P20)</f>
        <v>-2.3038461538461528</v>
      </c>
      <c r="P20" s="81">
        <v>26</v>
      </c>
      <c r="Q20" s="72">
        <v>-59.899999999999977</v>
      </c>
    </row>
    <row r="21" spans="1:17" x14ac:dyDescent="0.45">
      <c r="A21" s="21" t="s">
        <v>12</v>
      </c>
      <c r="B21" s="14">
        <v>62</v>
      </c>
      <c r="C21" s="8">
        <f>IF(B$19=0,0,B21/B$19)</f>
        <v>0.42758620689655175</v>
      </c>
      <c r="E21" s="29" t="s">
        <v>77</v>
      </c>
      <c r="F21" s="26" t="s">
        <v>32</v>
      </c>
      <c r="G21" s="14">
        <v>1</v>
      </c>
      <c r="H21" s="92">
        <f>IF(B$19=0,0,G21/B$19)</f>
        <v>6.8965517241379309E-3</v>
      </c>
      <c r="I21" s="60">
        <v>4</v>
      </c>
      <c r="K21" s="7">
        <v>19</v>
      </c>
      <c r="L21" s="65">
        <v>-152.39999999999998</v>
      </c>
      <c r="N21" s="78" t="s">
        <v>196</v>
      </c>
      <c r="O21" s="87">
        <f>IF(P21=0,0,Q21/P21)</f>
        <v>-14.1625</v>
      </c>
      <c r="P21" s="81">
        <v>8</v>
      </c>
      <c r="Q21" s="72">
        <v>-113.3</v>
      </c>
    </row>
    <row r="22" spans="1:17" x14ac:dyDescent="0.45">
      <c r="A22" s="21" t="s">
        <v>11</v>
      </c>
      <c r="B22" s="14">
        <v>83</v>
      </c>
      <c r="C22" s="8">
        <f>IF(B$19=0,0,B22/B$19)</f>
        <v>0.57241379310344831</v>
      </c>
      <c r="E22" s="29" t="s">
        <v>85</v>
      </c>
      <c r="F22" s="26" t="s">
        <v>40</v>
      </c>
      <c r="G22" s="14">
        <v>1</v>
      </c>
      <c r="H22" s="92">
        <f>IF(B$19=0,0,G22/B$19)</f>
        <v>6.8965517241379309E-3</v>
      </c>
      <c r="I22" s="60">
        <v>2</v>
      </c>
      <c r="K22" s="7">
        <v>20</v>
      </c>
      <c r="L22" s="65">
        <v>-140.19999999999999</v>
      </c>
      <c r="N22" s="78" t="s">
        <v>126</v>
      </c>
      <c r="O22" s="87">
        <f>IF(P22=0,0,Q22/P22)</f>
        <v>-15.17105263157895</v>
      </c>
      <c r="P22" s="81">
        <v>38</v>
      </c>
      <c r="Q22" s="72">
        <v>-576.50000000000011</v>
      </c>
    </row>
    <row r="23" spans="1:17" x14ac:dyDescent="0.45">
      <c r="A23" s="21" t="s">
        <v>184</v>
      </c>
      <c r="B23" s="14">
        <v>65</v>
      </c>
      <c r="C23" s="8">
        <f>IF(B$19=0,0,B23/B$19)</f>
        <v>0.44827586206896552</v>
      </c>
      <c r="E23" s="29" t="s">
        <v>95</v>
      </c>
      <c r="F23" s="26" t="s">
        <v>50</v>
      </c>
      <c r="G23" s="14">
        <v>1</v>
      </c>
      <c r="H23" s="92">
        <f>IF(B$19=0,0,G23/B$19)</f>
        <v>6.8965517241379309E-3</v>
      </c>
      <c r="I23" s="60">
        <v>1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51</v>
      </c>
      <c r="C24" s="8">
        <f>IF(B$19=0,0,B24/B$19)</f>
        <v>0.35172413793103446</v>
      </c>
      <c r="E24" s="29" t="s">
        <v>156</v>
      </c>
      <c r="F24" s="26" t="s">
        <v>157</v>
      </c>
      <c r="G24" s="14">
        <v>1</v>
      </c>
      <c r="H24" s="92">
        <f>IF(B$19=0,0,G24/B$19)</f>
        <v>6.8965517241379309E-3</v>
      </c>
      <c r="I24" s="60">
        <v>4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29</v>
      </c>
      <c r="C25" s="8">
        <f>IF(B$19=0,0,B25/B$19)</f>
        <v>0.2</v>
      </c>
      <c r="E25" s="29" t="s">
        <v>73</v>
      </c>
      <c r="F25" s="26" t="s">
        <v>28</v>
      </c>
      <c r="G25" s="14">
        <v>0</v>
      </c>
      <c r="H25" s="92">
        <f>IF(B$19=0,0,G25/B$19)</f>
        <v>0</v>
      </c>
      <c r="I25" s="60">
        <v>5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8196.5517241379312</v>
      </c>
      <c r="C26" s="10">
        <v>1188500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8644.6808510638293</v>
      </c>
      <c r="C27" s="100">
        <v>812600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7370.588235294118</v>
      </c>
      <c r="C28" s="100">
        <v>375900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-8167.7419354838712</v>
      </c>
      <c r="C29" s="100">
        <v>-506400</v>
      </c>
      <c r="E29" s="29" t="s">
        <v>82</v>
      </c>
      <c r="F29" s="26" t="s">
        <v>37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84</v>
      </c>
      <c r="F30" s="26" t="s">
        <v>39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16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33">
        <v>5</v>
      </c>
      <c r="C32" s="134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-201</v>
      </c>
    </row>
    <row r="33" spans="1:12" x14ac:dyDescent="0.45">
      <c r="A33" s="24" t="s">
        <v>181</v>
      </c>
      <c r="B33" s="135">
        <v>107400</v>
      </c>
      <c r="C33" s="136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-137.5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12</v>
      </c>
      <c r="C36" s="102">
        <f t="shared" ref="C36:C48" si="2">IF(B$19=0,0,B36/B$19)</f>
        <v>8.2758620689655171E-2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27</v>
      </c>
      <c r="C37" s="8">
        <f t="shared" si="2"/>
        <v>0.18620689655172415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35</v>
      </c>
      <c r="C38" s="8">
        <f t="shared" si="2"/>
        <v>0.2413793103448276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23</v>
      </c>
      <c r="C39" s="8">
        <f t="shared" si="2"/>
        <v>0.15862068965517243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16</v>
      </c>
      <c r="C40" s="8">
        <f t="shared" si="2"/>
        <v>0.1103448275862069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9</v>
      </c>
      <c r="C41" s="8">
        <f t="shared" si="2"/>
        <v>6.2068965517241378E-2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9</v>
      </c>
      <c r="C42" s="8">
        <f t="shared" si="2"/>
        <v>6.2068965517241378E-2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2"/>
        <v>2.0689655172413793E-2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3</v>
      </c>
      <c r="C44" s="8">
        <f t="shared" si="2"/>
        <v>2.0689655172413793E-2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3</v>
      </c>
      <c r="C45" s="8">
        <f t="shared" si="2"/>
        <v>2.0689655172413793E-2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2"/>
        <v>6.8965517241379309E-3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5">
      <c r="A48" s="23" t="s">
        <v>180</v>
      </c>
      <c r="B48" s="101">
        <v>4</v>
      </c>
      <c r="C48" s="11">
        <f t="shared" si="2"/>
        <v>2.7586206896551724E-2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-76.899999999999977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-26.09999999999998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-19.899999999999981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13.800000000000022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-11.599999999999977</v>
      </c>
    </row>
    <row r="53" spans="5:12" x14ac:dyDescent="0.45">
      <c r="K53" s="7">
        <v>51</v>
      </c>
      <c r="L53" s="65">
        <v>-66.299999999999983</v>
      </c>
    </row>
    <row r="54" spans="5:12" x14ac:dyDescent="0.45">
      <c r="K54" s="7">
        <v>52</v>
      </c>
      <c r="L54" s="65">
        <v>-46.09999999999998</v>
      </c>
    </row>
    <row r="55" spans="5:12" x14ac:dyDescent="0.45">
      <c r="K55" s="7">
        <v>53</v>
      </c>
      <c r="L55" s="65">
        <v>-73.59999999999998</v>
      </c>
    </row>
    <row r="56" spans="5:12" x14ac:dyDescent="0.45">
      <c r="K56" s="7">
        <v>54</v>
      </c>
      <c r="L56" s="65">
        <v>-104.39999999999998</v>
      </c>
    </row>
    <row r="57" spans="5:12" x14ac:dyDescent="0.45">
      <c r="K57" s="7">
        <v>55</v>
      </c>
      <c r="L57" s="65">
        <v>-68.199999999999974</v>
      </c>
    </row>
    <row r="58" spans="5:12" x14ac:dyDescent="0.45">
      <c r="K58" s="7">
        <v>56</v>
      </c>
      <c r="L58" s="65">
        <v>-92.099999999999966</v>
      </c>
    </row>
    <row r="59" spans="5:12" x14ac:dyDescent="0.45">
      <c r="K59" s="7">
        <v>57</v>
      </c>
      <c r="L59" s="65">
        <v>-112.99999999999997</v>
      </c>
    </row>
    <row r="60" spans="5:12" x14ac:dyDescent="0.45">
      <c r="K60" s="7">
        <v>58</v>
      </c>
      <c r="L60" s="65">
        <v>-30.599999999999966</v>
      </c>
    </row>
    <row r="61" spans="5:12" x14ac:dyDescent="0.45">
      <c r="K61" s="7">
        <v>59</v>
      </c>
      <c r="L61" s="65">
        <v>-56.299999999999969</v>
      </c>
    </row>
    <row r="62" spans="5:12" x14ac:dyDescent="0.45">
      <c r="K62" s="7">
        <v>60</v>
      </c>
      <c r="L62" s="65">
        <v>-98.69999999999996</v>
      </c>
    </row>
    <row r="63" spans="5:12" x14ac:dyDescent="0.45">
      <c r="K63" s="7">
        <v>61</v>
      </c>
      <c r="L63" s="65">
        <v>-47.69999999999996</v>
      </c>
    </row>
    <row r="64" spans="5:12" x14ac:dyDescent="0.45">
      <c r="K64" s="7">
        <v>62</v>
      </c>
      <c r="L64" s="65">
        <v>-83.499999999999957</v>
      </c>
    </row>
    <row r="65" spans="11:12" x14ac:dyDescent="0.45">
      <c r="K65" s="7">
        <v>63</v>
      </c>
      <c r="L65" s="65">
        <v>-102.59999999999997</v>
      </c>
    </row>
    <row r="66" spans="11:12" x14ac:dyDescent="0.45">
      <c r="K66" s="7">
        <v>64</v>
      </c>
      <c r="L66" s="65">
        <v>-72.299999999999969</v>
      </c>
    </row>
    <row r="67" spans="11:12" x14ac:dyDescent="0.45">
      <c r="K67" s="7">
        <v>65</v>
      </c>
      <c r="L67" s="65">
        <v>-72.599999999999966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46C72-88AB-423C-8534-D0602949E4EA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193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44</v>
      </c>
      <c r="C2" s="140"/>
      <c r="E2" s="28" t="s">
        <v>72</v>
      </c>
      <c r="F2" s="25" t="s">
        <v>27</v>
      </c>
      <c r="G2" s="13">
        <v>79</v>
      </c>
      <c r="H2" s="91">
        <f>IF(B$19=0,0,G2/B$19)</f>
        <v>0.68103448275862066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-561.36363636363637</v>
      </c>
      <c r="P2" s="80">
        <v>44</v>
      </c>
      <c r="Q2" s="67">
        <v>-24700</v>
      </c>
    </row>
    <row r="3" spans="1:17" x14ac:dyDescent="0.45">
      <c r="A3" s="21" t="s">
        <v>8</v>
      </c>
      <c r="B3" s="141">
        <v>346</v>
      </c>
      <c r="C3" s="142"/>
      <c r="E3" s="29" t="s">
        <v>66</v>
      </c>
      <c r="F3" s="26" t="s">
        <v>22</v>
      </c>
      <c r="G3" s="14">
        <v>75</v>
      </c>
      <c r="H3" s="92">
        <f>IF(B$19=0,0,G3/B$19)</f>
        <v>0.64655172413793105</v>
      </c>
      <c r="I3" s="60">
        <v>8</v>
      </c>
      <c r="K3" s="7">
        <v>1</v>
      </c>
      <c r="L3" s="65">
        <v>56</v>
      </c>
      <c r="N3" s="78" t="s">
        <v>129</v>
      </c>
      <c r="O3" s="84">
        <f t="shared" si="0"/>
        <v>-1965.1162790697674</v>
      </c>
      <c r="P3" s="81">
        <v>43</v>
      </c>
      <c r="Q3" s="68">
        <v>-84500</v>
      </c>
    </row>
    <row r="4" spans="1:17" x14ac:dyDescent="0.45">
      <c r="A4" s="21" t="s">
        <v>6</v>
      </c>
      <c r="B4" s="143">
        <v>92.199999999999989</v>
      </c>
      <c r="C4" s="144"/>
      <c r="E4" s="29" t="s">
        <v>160</v>
      </c>
      <c r="F4" s="26" t="s">
        <v>161</v>
      </c>
      <c r="G4" s="14">
        <v>38</v>
      </c>
      <c r="H4" s="92">
        <f>IF(B$19=0,0,G4/B$19)</f>
        <v>0.32758620689655171</v>
      </c>
      <c r="I4" s="60">
        <v>12</v>
      </c>
      <c r="K4" s="7">
        <v>2</v>
      </c>
      <c r="L4" s="65">
        <v>137.5</v>
      </c>
      <c r="N4" s="78" t="s">
        <v>130</v>
      </c>
      <c r="O4" s="84">
        <f t="shared" si="0"/>
        <v>2161.5384615384614</v>
      </c>
      <c r="P4" s="81">
        <v>39</v>
      </c>
      <c r="Q4" s="68">
        <v>84300</v>
      </c>
    </row>
    <row r="5" spans="1:17" x14ac:dyDescent="0.45">
      <c r="A5" s="21" t="s">
        <v>7</v>
      </c>
      <c r="B5" s="131">
        <f>IF(B$2=0,0,B$4/B$2)</f>
        <v>2.0954545454545452</v>
      </c>
      <c r="C5" s="132"/>
      <c r="E5" s="29" t="s">
        <v>64</v>
      </c>
      <c r="F5" s="26" t="s">
        <v>20</v>
      </c>
      <c r="G5" s="14">
        <v>31</v>
      </c>
      <c r="H5" s="92">
        <f>IF(B$19=0,0,G5/B$19)</f>
        <v>0.26724137931034481</v>
      </c>
      <c r="I5" s="60">
        <v>12</v>
      </c>
      <c r="K5" s="7">
        <v>3</v>
      </c>
      <c r="L5" s="65">
        <v>159</v>
      </c>
      <c r="N5" s="78" t="s">
        <v>131</v>
      </c>
      <c r="O5" s="84">
        <f t="shared" si="0"/>
        <v>-869.44444444444446</v>
      </c>
      <c r="P5" s="81">
        <v>36</v>
      </c>
      <c r="Q5" s="68">
        <v>-31300</v>
      </c>
    </row>
    <row r="6" spans="1:17" x14ac:dyDescent="0.45">
      <c r="A6" s="21" t="s">
        <v>1</v>
      </c>
      <c r="B6" s="145">
        <f>IF(B$2=0,0,(B$7*1+B$8*2+B$9*3)/B$2)</f>
        <v>1.9318181818181819</v>
      </c>
      <c r="C6" s="146"/>
      <c r="E6" s="29" t="s">
        <v>68</v>
      </c>
      <c r="F6" s="26" t="s">
        <v>12</v>
      </c>
      <c r="G6" s="14">
        <v>30</v>
      </c>
      <c r="H6" s="92">
        <f>IF(B$19=0,0,G6/B$19)</f>
        <v>0.25862068965517243</v>
      </c>
      <c r="I6" s="60">
        <v>11</v>
      </c>
      <c r="K6" s="7">
        <v>4</v>
      </c>
      <c r="L6" s="65">
        <v>112.4</v>
      </c>
      <c r="N6" s="78" t="s">
        <v>132</v>
      </c>
      <c r="O6" s="84">
        <f t="shared" si="0"/>
        <v>1987.0967741935483</v>
      </c>
      <c r="P6" s="81">
        <v>31</v>
      </c>
      <c r="Q6" s="68">
        <v>61600</v>
      </c>
    </row>
    <row r="7" spans="1:17" x14ac:dyDescent="0.45">
      <c r="A7" s="21" t="s">
        <v>2</v>
      </c>
      <c r="B7" s="14">
        <v>15</v>
      </c>
      <c r="C7" s="8">
        <f t="shared" ref="C7:C14" si="1">IF(B$2=0,0,B7/B$2)</f>
        <v>0.34090909090909088</v>
      </c>
      <c r="E7" s="29" t="s">
        <v>67</v>
      </c>
      <c r="F7" s="26" t="s">
        <v>23</v>
      </c>
      <c r="G7" s="14">
        <v>22</v>
      </c>
      <c r="H7" s="92">
        <f>IF(B$19=0,0,G7/B$19)</f>
        <v>0.18965517241379309</v>
      </c>
      <c r="I7" s="60">
        <v>10</v>
      </c>
      <c r="K7" s="7">
        <v>5</v>
      </c>
      <c r="L7" s="65">
        <v>140.30000000000001</v>
      </c>
      <c r="N7" s="79" t="s">
        <v>133</v>
      </c>
      <c r="O7" s="85">
        <f t="shared" si="0"/>
        <v>546.42857142857144</v>
      </c>
      <c r="P7" s="82">
        <v>28</v>
      </c>
      <c r="Q7" s="69">
        <v>15300</v>
      </c>
    </row>
    <row r="8" spans="1:17" x14ac:dyDescent="0.45">
      <c r="A8" s="21" t="s">
        <v>3</v>
      </c>
      <c r="B8" s="14">
        <v>17</v>
      </c>
      <c r="C8" s="8">
        <f t="shared" si="1"/>
        <v>0.38636363636363635</v>
      </c>
      <c r="E8" s="29" t="s">
        <v>69</v>
      </c>
      <c r="F8" s="26" t="s">
        <v>24</v>
      </c>
      <c r="G8" s="14">
        <v>18</v>
      </c>
      <c r="H8" s="92">
        <f>IF(B$19=0,0,G8/B$19)</f>
        <v>0.15517241379310345</v>
      </c>
      <c r="I8" s="60">
        <v>4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12</v>
      </c>
      <c r="C9" s="9">
        <f t="shared" si="1"/>
        <v>0.27272727272727271</v>
      </c>
      <c r="E9" s="29" t="s">
        <v>89</v>
      </c>
      <c r="F9" s="26" t="s">
        <v>44</v>
      </c>
      <c r="G9" s="14">
        <v>12</v>
      </c>
      <c r="H9" s="92">
        <f>IF(B$19=0,0,G9/B$19)</f>
        <v>0.10344827586206896</v>
      </c>
      <c r="I9" s="60">
        <v>10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36.973333333333336</v>
      </c>
      <c r="C10" s="114">
        <v>554.6</v>
      </c>
      <c r="E10" s="29" t="s">
        <v>83</v>
      </c>
      <c r="F10" s="26" t="s">
        <v>38</v>
      </c>
      <c r="G10" s="14">
        <v>11</v>
      </c>
      <c r="H10" s="92">
        <f>IF(B$19=0,0,G10/B$19)</f>
        <v>9.4827586206896547E-2</v>
      </c>
      <c r="I10" s="60">
        <v>1</v>
      </c>
      <c r="K10" s="7">
        <v>8</v>
      </c>
      <c r="L10" s="65">
        <v>96.800000000000011</v>
      </c>
      <c r="N10" s="77" t="s">
        <v>152</v>
      </c>
      <c r="O10" s="86">
        <f>IF(P10=0,0,Q10/P10)</f>
        <v>-2.7142857142857126</v>
      </c>
      <c r="P10" s="80">
        <v>14</v>
      </c>
      <c r="Q10" s="71">
        <v>-37.999999999999979</v>
      </c>
    </row>
    <row r="11" spans="1:17" x14ac:dyDescent="0.45">
      <c r="A11" s="22" t="s">
        <v>186</v>
      </c>
      <c r="B11" s="113">
        <f>IF(B8=0,0,C11/B8)</f>
        <v>-0.17058823529411798</v>
      </c>
      <c r="C11" s="114">
        <v>-2.9000000000000057</v>
      </c>
      <c r="E11" s="29" t="s">
        <v>65</v>
      </c>
      <c r="F11" s="26" t="s">
        <v>21</v>
      </c>
      <c r="G11" s="14">
        <v>9</v>
      </c>
      <c r="H11" s="92">
        <f>IF(B$19=0,0,G11/B$19)</f>
        <v>7.7586206896551727E-2</v>
      </c>
      <c r="I11" s="60">
        <v>10</v>
      </c>
      <c r="K11" s="7">
        <v>9</v>
      </c>
      <c r="L11" s="65">
        <v>51.600000000000009</v>
      </c>
      <c r="N11" s="78" t="s">
        <v>153</v>
      </c>
      <c r="O11" s="87">
        <f>IF(P11=0,0,Q11/P11)</f>
        <v>-1.4714285714285718</v>
      </c>
      <c r="P11" s="81">
        <v>14</v>
      </c>
      <c r="Q11" s="72">
        <v>-20.600000000000005</v>
      </c>
    </row>
    <row r="12" spans="1:17" x14ac:dyDescent="0.45">
      <c r="A12" s="22" t="s">
        <v>187</v>
      </c>
      <c r="B12" s="113">
        <f>IF(B9=0,0,C12/B9)</f>
        <v>-38.291666666666664</v>
      </c>
      <c r="C12" s="114">
        <v>-459.5</v>
      </c>
      <c r="E12" s="29" t="s">
        <v>81</v>
      </c>
      <c r="F12" s="26" t="s">
        <v>36</v>
      </c>
      <c r="G12" s="14">
        <v>6</v>
      </c>
      <c r="H12" s="92">
        <f>IF(B$19=0,0,G12/B$19)</f>
        <v>5.1724137931034482E-2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9.4249999999999972</v>
      </c>
      <c r="P12" s="82">
        <v>16</v>
      </c>
      <c r="Q12" s="73">
        <v>150.79999999999995</v>
      </c>
    </row>
    <row r="13" spans="1:17" x14ac:dyDescent="0.45">
      <c r="A13" s="22" t="s">
        <v>188</v>
      </c>
      <c r="B13" s="131">
        <f>AVERAGE(B10:B12)</f>
        <v>-0.49630718954248226</v>
      </c>
      <c r="C13" s="132"/>
      <c r="E13" s="29" t="s">
        <v>71</v>
      </c>
      <c r="F13" s="26" t="s">
        <v>26</v>
      </c>
      <c r="G13" s="14">
        <v>5</v>
      </c>
      <c r="H13" s="92">
        <f>IF(B$19=0,0,G13/B$19)</f>
        <v>4.3103448275862072E-2</v>
      </c>
      <c r="I13" s="60">
        <v>9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7</v>
      </c>
      <c r="C14" s="11">
        <f t="shared" si="1"/>
        <v>0.15909090909090909</v>
      </c>
      <c r="E14" s="29" t="s">
        <v>70</v>
      </c>
      <c r="F14" s="26" t="s">
        <v>25</v>
      </c>
      <c r="G14" s="14">
        <v>4</v>
      </c>
      <c r="H14" s="92">
        <f>IF(B$19=0,0,G14/B$19)</f>
        <v>3.4482758620689655E-2</v>
      </c>
      <c r="I14" s="60">
        <v>10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56</v>
      </c>
      <c r="C15" s="12">
        <f>IF(B$3=0,0,B15/B$3)</f>
        <v>0.16184971098265896</v>
      </c>
      <c r="E15" s="29" t="s">
        <v>78</v>
      </c>
      <c r="F15" s="26" t="s">
        <v>33</v>
      </c>
      <c r="G15" s="14">
        <v>4</v>
      </c>
      <c r="H15" s="92">
        <f>IF(B$19=0,0,G15/B$19)</f>
        <v>3.4482758620689655E-2</v>
      </c>
      <c r="I15" s="60">
        <v>6</v>
      </c>
      <c r="K15" s="7">
        <v>13</v>
      </c>
      <c r="L15" s="65">
        <v>83.1</v>
      </c>
      <c r="N15" s="77" t="s">
        <v>205</v>
      </c>
      <c r="O15" s="86">
        <f>IF(P15=0,0,Q15/P15)</f>
        <v>35.35</v>
      </c>
      <c r="P15" s="80">
        <v>4</v>
      </c>
      <c r="Q15" s="71">
        <v>141.4</v>
      </c>
    </row>
    <row r="16" spans="1:17" x14ac:dyDescent="0.45">
      <c r="A16" s="21" t="s">
        <v>118</v>
      </c>
      <c r="B16" s="14">
        <v>124</v>
      </c>
      <c r="C16" s="8">
        <f>IF(B$3=0,0,B16/B$3)</f>
        <v>0.3583815028901734</v>
      </c>
      <c r="E16" s="29" t="s">
        <v>86</v>
      </c>
      <c r="F16" s="26" t="s">
        <v>41</v>
      </c>
      <c r="G16" s="14">
        <v>3</v>
      </c>
      <c r="H16" s="92">
        <f>IF(B$19=0,0,G16/B$19)</f>
        <v>2.5862068965517241E-2</v>
      </c>
      <c r="I16" s="60">
        <v>10</v>
      </c>
      <c r="K16" s="7">
        <v>14</v>
      </c>
      <c r="L16" s="65">
        <v>89.399999999999991</v>
      </c>
      <c r="N16" s="78" t="s">
        <v>194</v>
      </c>
      <c r="O16" s="87">
        <f>IF(P16=0,0,Q16/P16)</f>
        <v>34.107692307692304</v>
      </c>
      <c r="P16" s="81">
        <v>13</v>
      </c>
      <c r="Q16" s="72">
        <v>443.4</v>
      </c>
    </row>
    <row r="17" spans="1:17" x14ac:dyDescent="0.45">
      <c r="A17" s="20" t="s">
        <v>123</v>
      </c>
      <c r="B17" s="13">
        <f>B23</f>
        <v>32</v>
      </c>
      <c r="C17" s="6">
        <f>IF(B$15=0,0,B17/B$15)</f>
        <v>0.5714285714285714</v>
      </c>
      <c r="E17" s="29" t="s">
        <v>77</v>
      </c>
      <c r="F17" s="26" t="s">
        <v>32</v>
      </c>
      <c r="G17" s="14">
        <v>2</v>
      </c>
      <c r="H17" s="92">
        <f>IF(B$19=0,0,G17/B$19)</f>
        <v>1.7241379310344827E-2</v>
      </c>
      <c r="I17" s="60">
        <v>3</v>
      </c>
      <c r="K17" s="7">
        <v>15</v>
      </c>
      <c r="L17" s="65">
        <v>112.6</v>
      </c>
      <c r="N17" s="78" t="s">
        <v>196</v>
      </c>
      <c r="O17" s="87">
        <f>IF(P17=0,0,Q17/P17)</f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53</v>
      </c>
      <c r="C18" s="6">
        <f>IF(B$16=0,0,B18/B$16)</f>
        <v>0.42741935483870969</v>
      </c>
      <c r="E18" s="29" t="s">
        <v>79</v>
      </c>
      <c r="F18" s="26" t="s">
        <v>34</v>
      </c>
      <c r="G18" s="14">
        <v>2</v>
      </c>
      <c r="H18" s="92">
        <f>IF(B$19=0,0,G18/B$19)</f>
        <v>1.7241379310344827E-2</v>
      </c>
      <c r="I18" s="60">
        <v>7</v>
      </c>
      <c r="K18" s="7">
        <v>16</v>
      </c>
      <c r="L18" s="65">
        <v>119.3</v>
      </c>
      <c r="N18" s="78" t="s">
        <v>243</v>
      </c>
      <c r="O18" s="87">
        <f>IF(P18=0,0,Q18/P18)</f>
        <v>17.033333333333331</v>
      </c>
      <c r="P18" s="81">
        <v>3</v>
      </c>
      <c r="Q18" s="72">
        <v>51.099999999999994</v>
      </c>
    </row>
    <row r="19" spans="1:17" x14ac:dyDescent="0.45">
      <c r="A19" s="20" t="s">
        <v>10</v>
      </c>
      <c r="B19" s="13">
        <f>B22+B21</f>
        <v>116</v>
      </c>
      <c r="C19" s="6">
        <f>IF(B$3=0,0,B19/B$3)</f>
        <v>0.33526011560693642</v>
      </c>
      <c r="E19" s="29" t="s">
        <v>85</v>
      </c>
      <c r="F19" s="26" t="s">
        <v>40</v>
      </c>
      <c r="G19" s="14">
        <v>2</v>
      </c>
      <c r="H19" s="92">
        <f>IF(B$19=0,0,G19/B$19)</f>
        <v>1.7241379310344827E-2</v>
      </c>
      <c r="I19" s="60">
        <v>1</v>
      </c>
      <c r="K19" s="7">
        <v>17</v>
      </c>
      <c r="L19" s="65">
        <v>71.699999999999989</v>
      </c>
      <c r="N19" s="78" t="s">
        <v>164</v>
      </c>
      <c r="O19" s="87">
        <f>IF(P19=0,0,Q19/P19)</f>
        <v>8.5357142857142829</v>
      </c>
      <c r="P19" s="81">
        <v>14</v>
      </c>
      <c r="Q19" s="72">
        <v>119.49999999999997</v>
      </c>
    </row>
    <row r="20" spans="1:17" x14ac:dyDescent="0.45">
      <c r="A20" s="21" t="s">
        <v>13</v>
      </c>
      <c r="B20" s="14">
        <v>49</v>
      </c>
      <c r="C20" s="8">
        <f>IF(B$3=0,0,B20/B$3)</f>
        <v>0.1416184971098266</v>
      </c>
      <c r="E20" s="29" t="s">
        <v>88</v>
      </c>
      <c r="F20" s="26" t="s">
        <v>43</v>
      </c>
      <c r="G20" s="14">
        <v>2</v>
      </c>
      <c r="H20" s="92">
        <f>IF(B$19=0,0,G20/B$19)</f>
        <v>1.7241379310344827E-2</v>
      </c>
      <c r="I20" s="60">
        <v>1</v>
      </c>
      <c r="K20" s="7">
        <v>18</v>
      </c>
      <c r="L20" s="65">
        <v>45.399999999999991</v>
      </c>
      <c r="N20" s="78" t="s">
        <v>189</v>
      </c>
      <c r="O20" s="87">
        <f>IF(P20=0,0,Q20/P20)</f>
        <v>4.2000000000000011</v>
      </c>
      <c r="P20" s="81">
        <v>4</v>
      </c>
      <c r="Q20" s="72">
        <v>16.800000000000004</v>
      </c>
    </row>
    <row r="21" spans="1:17" x14ac:dyDescent="0.45">
      <c r="A21" s="21" t="s">
        <v>12</v>
      </c>
      <c r="B21" s="14">
        <v>53</v>
      </c>
      <c r="C21" s="8">
        <f>IF(B$19=0,0,B21/B$19)</f>
        <v>0.45689655172413796</v>
      </c>
      <c r="E21" s="29" t="s">
        <v>74</v>
      </c>
      <c r="F21" s="26" t="s">
        <v>29</v>
      </c>
      <c r="G21" s="14">
        <v>1</v>
      </c>
      <c r="H21" s="92">
        <f>IF(B$19=0,0,G21/B$19)</f>
        <v>8.6206896551724137E-3</v>
      </c>
      <c r="I21" s="60">
        <v>1</v>
      </c>
      <c r="K21" s="7">
        <v>19</v>
      </c>
      <c r="L21" s="65">
        <v>100.1</v>
      </c>
      <c r="N21" s="78" t="s">
        <v>192</v>
      </c>
      <c r="O21" s="87">
        <f>IF(P21=0,0,Q21/P21)</f>
        <v>-11.403846153846159</v>
      </c>
      <c r="P21" s="81">
        <v>26</v>
      </c>
      <c r="Q21" s="72">
        <v>-296.50000000000011</v>
      </c>
    </row>
    <row r="22" spans="1:17" x14ac:dyDescent="0.45">
      <c r="A22" s="21" t="s">
        <v>11</v>
      </c>
      <c r="B22" s="14">
        <v>63</v>
      </c>
      <c r="C22" s="8">
        <f>IF(B$19=0,0,B22/B$19)</f>
        <v>0.5431034482758621</v>
      </c>
      <c r="E22" s="29" t="s">
        <v>75</v>
      </c>
      <c r="F22" s="26" t="s">
        <v>30</v>
      </c>
      <c r="G22" s="14">
        <v>1</v>
      </c>
      <c r="H22" s="92">
        <f>IF(B$19=0,0,G22/B$19)</f>
        <v>8.6206896551724137E-3</v>
      </c>
      <c r="I22" s="60">
        <v>3</v>
      </c>
      <c r="K22" s="7">
        <v>20</v>
      </c>
      <c r="L22" s="65">
        <v>52.8</v>
      </c>
      <c r="N22" s="78" t="s">
        <v>126</v>
      </c>
      <c r="O22" s="87">
        <f>IF(P22=0,0,Q22/P22)</f>
        <v>-12.552380952380954</v>
      </c>
      <c r="P22" s="81">
        <v>21</v>
      </c>
      <c r="Q22" s="72">
        <v>-263.60000000000002</v>
      </c>
    </row>
    <row r="23" spans="1:17" x14ac:dyDescent="0.45">
      <c r="A23" s="21" t="s">
        <v>184</v>
      </c>
      <c r="B23" s="14">
        <v>32</v>
      </c>
      <c r="C23" s="8">
        <f>IF(B$19=0,0,B23/B$19)</f>
        <v>0.27586206896551724</v>
      </c>
      <c r="E23" s="29" t="s">
        <v>91</v>
      </c>
      <c r="F23" s="26" t="s">
        <v>46</v>
      </c>
      <c r="G23" s="14">
        <v>1</v>
      </c>
      <c r="H23" s="92">
        <f>IF(B$19=0,0,G23/B$19)</f>
        <v>8.6206896551724137E-3</v>
      </c>
      <c r="I23" s="60">
        <v>6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53</v>
      </c>
      <c r="C24" s="8">
        <f>IF(B$19=0,0,B24/B$19)</f>
        <v>0.45689655172413796</v>
      </c>
      <c r="E24" s="29" t="s">
        <v>102</v>
      </c>
      <c r="F24" s="26" t="s">
        <v>57</v>
      </c>
      <c r="G24" s="14">
        <v>1</v>
      </c>
      <c r="H24" s="92">
        <f>IF(B$19=0,0,G24/B$19)</f>
        <v>8.6206896551724137E-3</v>
      </c>
      <c r="I24" s="60">
        <v>1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31</v>
      </c>
      <c r="C25" s="8">
        <f>IF(B$19=0,0,B25/B$19)</f>
        <v>0.26724137931034481</v>
      </c>
      <c r="E25" s="29" t="s">
        <v>73</v>
      </c>
      <c r="F25" s="26" t="s">
        <v>28</v>
      </c>
      <c r="G25" s="14">
        <v>0</v>
      </c>
      <c r="H25" s="92">
        <f>IF(B$19=0,0,G25/B$19)</f>
        <v>0</v>
      </c>
      <c r="I25" s="60">
        <v>5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7188.7931034482763</v>
      </c>
      <c r="C26" s="10">
        <v>833900</v>
      </c>
      <c r="E26" s="29" t="s">
        <v>76</v>
      </c>
      <c r="F26" s="26" t="s">
        <v>31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8384.1269841269841</v>
      </c>
      <c r="C27" s="100">
        <v>528200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5767.9245283018872</v>
      </c>
      <c r="C28" s="100">
        <v>305700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-8171.4285714285716</v>
      </c>
      <c r="C29" s="100">
        <v>-400400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85.3</v>
      </c>
    </row>
    <row r="30" spans="1:17" x14ac:dyDescent="0.45">
      <c r="A30" s="21" t="s">
        <v>158</v>
      </c>
      <c r="B30" s="14">
        <v>7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50.5</v>
      </c>
    </row>
    <row r="31" spans="1:17" x14ac:dyDescent="0.45">
      <c r="A31" s="21" t="s">
        <v>159</v>
      </c>
      <c r="B31" s="14">
        <v>27</v>
      </c>
      <c r="C31" s="94">
        <v>6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57.6</v>
      </c>
    </row>
    <row r="32" spans="1:17" x14ac:dyDescent="0.45">
      <c r="A32" s="56" t="s">
        <v>136</v>
      </c>
      <c r="B32" s="133">
        <v>6</v>
      </c>
      <c r="C32" s="13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82</v>
      </c>
    </row>
    <row r="33" spans="1:12" x14ac:dyDescent="0.45">
      <c r="A33" s="24" t="s">
        <v>181</v>
      </c>
      <c r="B33" s="135">
        <v>106500</v>
      </c>
      <c r="C33" s="13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81.900000000000006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76.100000000000009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  <c r="K35" s="7">
        <v>33</v>
      </c>
      <c r="L35" s="65">
        <v>84.500000000000014</v>
      </c>
    </row>
    <row r="36" spans="1:12" x14ac:dyDescent="0.45">
      <c r="A36" s="56" t="s">
        <v>172</v>
      </c>
      <c r="B36" s="121">
        <v>12</v>
      </c>
      <c r="C36" s="102">
        <f t="shared" ref="C36:C48" si="2">IF(B$19=0,0,B36/B$19)</f>
        <v>0.10344827586206896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63.800000000000011</v>
      </c>
    </row>
    <row r="37" spans="1:12" x14ac:dyDescent="0.45">
      <c r="A37" s="21" t="s">
        <v>168</v>
      </c>
      <c r="B37" s="14">
        <v>28</v>
      </c>
      <c r="C37" s="8">
        <f t="shared" si="2"/>
        <v>0.2413793103448276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94.4</v>
      </c>
    </row>
    <row r="38" spans="1:12" x14ac:dyDescent="0.45">
      <c r="A38" s="21" t="s">
        <v>169</v>
      </c>
      <c r="B38" s="122">
        <v>25</v>
      </c>
      <c r="C38" s="8">
        <f t="shared" si="2"/>
        <v>0.21551724137931033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89.100000000000009</v>
      </c>
    </row>
    <row r="39" spans="1:12" x14ac:dyDescent="0.45">
      <c r="A39" s="21" t="s">
        <v>170</v>
      </c>
      <c r="B39" s="122">
        <v>14</v>
      </c>
      <c r="C39" s="8">
        <f t="shared" si="2"/>
        <v>0.1206896551724138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106.30000000000001</v>
      </c>
    </row>
    <row r="40" spans="1:12" x14ac:dyDescent="0.45">
      <c r="A40" s="21" t="s">
        <v>171</v>
      </c>
      <c r="B40" s="122">
        <v>20</v>
      </c>
      <c r="C40" s="8">
        <f t="shared" si="2"/>
        <v>0.17241379310344829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106.9</v>
      </c>
    </row>
    <row r="41" spans="1:12" x14ac:dyDescent="0.45">
      <c r="A41" s="21" t="s">
        <v>173</v>
      </c>
      <c r="B41" s="122">
        <v>8</v>
      </c>
      <c r="C41" s="8">
        <f t="shared" si="2"/>
        <v>6.8965517241379309E-2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130.1</v>
      </c>
    </row>
    <row r="42" spans="1:12" x14ac:dyDescent="0.45">
      <c r="A42" s="21" t="s">
        <v>174</v>
      </c>
      <c r="B42" s="122">
        <v>5</v>
      </c>
      <c r="C42" s="8">
        <f t="shared" si="2"/>
        <v>4.3103448275862072E-2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84.1</v>
      </c>
    </row>
    <row r="43" spans="1:12" x14ac:dyDescent="0.45">
      <c r="A43" s="21" t="s">
        <v>175</v>
      </c>
      <c r="B43" s="122">
        <v>1</v>
      </c>
      <c r="C43" s="8">
        <f t="shared" si="2"/>
        <v>8.6206896551724137E-3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63.3</v>
      </c>
    </row>
    <row r="44" spans="1:12" x14ac:dyDescent="0.45">
      <c r="A44" s="21" t="s">
        <v>176</v>
      </c>
      <c r="B44" s="122">
        <v>1</v>
      </c>
      <c r="C44" s="8">
        <f t="shared" si="2"/>
        <v>8.6206896551724137E-3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66.899999999999991</v>
      </c>
    </row>
    <row r="45" spans="1:12" x14ac:dyDescent="0.45">
      <c r="A45" s="21" t="s">
        <v>177</v>
      </c>
      <c r="B45" s="122">
        <v>1</v>
      </c>
      <c r="C45" s="8">
        <f t="shared" si="2"/>
        <v>8.6206896551724137E-3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64.3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92.199999999999989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8.6206896551724137E-3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360D-9E68-48C1-AF47-AB2591A838E2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196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10</v>
      </c>
      <c r="C2" s="140"/>
      <c r="E2" s="28" t="s">
        <v>64</v>
      </c>
      <c r="F2" s="25" t="s">
        <v>20</v>
      </c>
      <c r="G2" s="13">
        <v>12</v>
      </c>
      <c r="H2" s="91">
        <f>IF(B$19=0,0,G2/B$19)</f>
        <v>0.63157894736842102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3370</v>
      </c>
      <c r="P2" s="80">
        <v>10</v>
      </c>
      <c r="Q2" s="67">
        <v>33700</v>
      </c>
    </row>
    <row r="3" spans="1:17" x14ac:dyDescent="0.45">
      <c r="A3" s="21" t="s">
        <v>8</v>
      </c>
      <c r="B3" s="141">
        <v>81</v>
      </c>
      <c r="C3" s="142"/>
      <c r="E3" s="29" t="s">
        <v>66</v>
      </c>
      <c r="F3" s="26" t="s">
        <v>22</v>
      </c>
      <c r="G3" s="14">
        <v>10</v>
      </c>
      <c r="H3" s="92">
        <f>IF(B$19=0,0,G3/B$19)</f>
        <v>0.52631578947368418</v>
      </c>
      <c r="I3" s="60">
        <v>9</v>
      </c>
      <c r="K3" s="7">
        <v>1</v>
      </c>
      <c r="L3" s="65">
        <v>-30.5</v>
      </c>
      <c r="N3" s="78" t="s">
        <v>129</v>
      </c>
      <c r="O3" s="84">
        <f t="shared" si="0"/>
        <v>-740</v>
      </c>
      <c r="P3" s="81">
        <v>10</v>
      </c>
      <c r="Q3" s="68">
        <v>-7400</v>
      </c>
    </row>
    <row r="4" spans="1:17" x14ac:dyDescent="0.45">
      <c r="A4" s="21" t="s">
        <v>6</v>
      </c>
      <c r="B4" s="143">
        <v>-13.400000000000013</v>
      </c>
      <c r="C4" s="144"/>
      <c r="E4" s="29" t="s">
        <v>160</v>
      </c>
      <c r="F4" s="26" t="s">
        <v>161</v>
      </c>
      <c r="G4" s="14">
        <v>9</v>
      </c>
      <c r="H4" s="92">
        <f>IF(B$19=0,0,G4/B$19)</f>
        <v>0.47368421052631576</v>
      </c>
      <c r="I4" s="60">
        <v>3</v>
      </c>
      <c r="K4" s="7">
        <v>2</v>
      </c>
      <c r="L4" s="65">
        <v>-28.6</v>
      </c>
      <c r="N4" s="78" t="s">
        <v>130</v>
      </c>
      <c r="O4" s="84">
        <f t="shared" si="0"/>
        <v>-3850</v>
      </c>
      <c r="P4" s="81">
        <v>10</v>
      </c>
      <c r="Q4" s="68">
        <v>-38500</v>
      </c>
    </row>
    <row r="5" spans="1:17" x14ac:dyDescent="0.45">
      <c r="A5" s="21" t="s">
        <v>7</v>
      </c>
      <c r="B5" s="131">
        <f>IF(B$2=0,0,B$4/B$2)</f>
        <v>-1.3400000000000012</v>
      </c>
      <c r="C5" s="132"/>
      <c r="E5" s="29" t="s">
        <v>68</v>
      </c>
      <c r="F5" s="26" t="s">
        <v>12</v>
      </c>
      <c r="G5" s="14">
        <v>8</v>
      </c>
      <c r="H5" s="92">
        <f>IF(B$19=0,0,G5/B$19)</f>
        <v>0.42105263157894735</v>
      </c>
      <c r="I5" s="60">
        <v>4</v>
      </c>
      <c r="K5" s="7">
        <v>3</v>
      </c>
      <c r="L5" s="65">
        <v>-41.400000000000006</v>
      </c>
      <c r="N5" s="78" t="s">
        <v>131</v>
      </c>
      <c r="O5" s="84">
        <f t="shared" si="0"/>
        <v>-5450</v>
      </c>
      <c r="P5" s="81">
        <v>8</v>
      </c>
      <c r="Q5" s="68">
        <v>-43600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72</v>
      </c>
      <c r="F6" s="26" t="s">
        <v>27</v>
      </c>
      <c r="G6" s="14">
        <v>7</v>
      </c>
      <c r="H6" s="92">
        <f>IF(B$19=0,0,G6/B$19)</f>
        <v>0.36842105263157893</v>
      </c>
      <c r="I6" s="60">
        <v>11</v>
      </c>
      <c r="K6" s="7">
        <v>4</v>
      </c>
      <c r="L6" s="65">
        <v>-56.000000000000007</v>
      </c>
      <c r="N6" s="78" t="s">
        <v>132</v>
      </c>
      <c r="O6" s="84">
        <f t="shared" si="0"/>
        <v>5142.8571428571431</v>
      </c>
      <c r="P6" s="81">
        <v>7</v>
      </c>
      <c r="Q6" s="68">
        <v>36000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</v>
      </c>
      <c r="E7" s="29" t="s">
        <v>67</v>
      </c>
      <c r="F7" s="26" t="s">
        <v>23</v>
      </c>
      <c r="G7" s="14">
        <v>5</v>
      </c>
      <c r="H7" s="92">
        <f>IF(B$19=0,0,G7/B$19)</f>
        <v>0.26315789473684209</v>
      </c>
      <c r="I7" s="60">
        <v>5</v>
      </c>
      <c r="K7" s="7">
        <v>5</v>
      </c>
      <c r="L7" s="65">
        <v>-64.400000000000006</v>
      </c>
      <c r="N7" s="79" t="s">
        <v>133</v>
      </c>
      <c r="O7" s="85">
        <f t="shared" si="0"/>
        <v>100</v>
      </c>
      <c r="P7" s="82">
        <v>4</v>
      </c>
      <c r="Q7" s="69">
        <v>400</v>
      </c>
    </row>
    <row r="8" spans="1:17" x14ac:dyDescent="0.45">
      <c r="A8" s="21" t="s">
        <v>3</v>
      </c>
      <c r="B8" s="14">
        <v>6</v>
      </c>
      <c r="C8" s="8">
        <f t="shared" si="1"/>
        <v>0.6</v>
      </c>
      <c r="E8" s="29" t="s">
        <v>71</v>
      </c>
      <c r="F8" s="26" t="s">
        <v>26</v>
      </c>
      <c r="G8" s="14">
        <v>3</v>
      </c>
      <c r="H8" s="92">
        <f>IF(B$19=0,0,G8/B$19)</f>
        <v>0.15789473684210525</v>
      </c>
      <c r="I8" s="60">
        <v>2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0.2</v>
      </c>
      <c r="E9" s="29" t="s">
        <v>65</v>
      </c>
      <c r="F9" s="26" t="s">
        <v>21</v>
      </c>
      <c r="G9" s="14">
        <v>2</v>
      </c>
      <c r="H9" s="92">
        <f>IF(B$19=0,0,G9/B$19)</f>
        <v>0.10526315789473684</v>
      </c>
      <c r="I9" s="60">
        <v>7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0.10526315789473684</v>
      </c>
      <c r="I10" s="60">
        <v>2</v>
      </c>
      <c r="K10" s="7">
        <v>8</v>
      </c>
      <c r="L10" s="65">
        <v>7.4999999999999858</v>
      </c>
      <c r="N10" s="77" t="s">
        <v>152</v>
      </c>
      <c r="O10" s="86">
        <f>IF(P10=0,0,Q10/P10)</f>
        <v>-0.97999999999999976</v>
      </c>
      <c r="P10" s="80">
        <v>5</v>
      </c>
      <c r="Q10" s="71">
        <v>-4.8999999999999986</v>
      </c>
    </row>
    <row r="11" spans="1:17" x14ac:dyDescent="0.45">
      <c r="A11" s="22" t="s">
        <v>186</v>
      </c>
      <c r="B11" s="113">
        <f>IF(B8=0,0,C11/B8)</f>
        <v>-11.816666666666668</v>
      </c>
      <c r="C11" s="114">
        <v>-70.900000000000006</v>
      </c>
      <c r="E11" s="29" t="s">
        <v>89</v>
      </c>
      <c r="F11" s="26" t="s">
        <v>44</v>
      </c>
      <c r="G11" s="14">
        <v>2</v>
      </c>
      <c r="H11" s="92">
        <f>IF(B$19=0,0,G11/B$19)</f>
        <v>0.10526315789473684</v>
      </c>
      <c r="I11" s="60">
        <v>9</v>
      </c>
      <c r="K11" s="7">
        <v>9</v>
      </c>
      <c r="L11" s="65">
        <v>21.599999999999987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-23.9</v>
      </c>
      <c r="C12" s="114">
        <v>-47.8</v>
      </c>
      <c r="E12" s="29" t="s">
        <v>69</v>
      </c>
      <c r="F12" s="26" t="s">
        <v>24</v>
      </c>
      <c r="G12" s="14">
        <v>1</v>
      </c>
      <c r="H12" s="92">
        <f>IF(B$19=0,0,G12/B$19)</f>
        <v>5.2631578947368418E-2</v>
      </c>
      <c r="I12" s="60">
        <v>12</v>
      </c>
      <c r="K12" s="7">
        <v>10</v>
      </c>
      <c r="L12" s="65">
        <v>-13.400000000000013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31">
        <f>AVERAGE(B10:B12)</f>
        <v>5.644444444444443</v>
      </c>
      <c r="C13" s="132"/>
      <c r="E13" s="29" t="s">
        <v>73</v>
      </c>
      <c r="F13" s="26" t="s">
        <v>28</v>
      </c>
      <c r="G13" s="14">
        <v>1</v>
      </c>
      <c r="H13" s="92">
        <f>IF(B$19=0,0,G13/B$19)</f>
        <v>5.2631578947368418E-2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77</v>
      </c>
      <c r="F14" s="26" t="s">
        <v>32</v>
      </c>
      <c r="G14" s="14">
        <v>1</v>
      </c>
      <c r="H14" s="92">
        <f>IF(B$19=0,0,G14/B$19)</f>
        <v>5.2631578947368418E-2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0.25925925925925924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11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11</v>
      </c>
      <c r="C16" s="8">
        <f>IF(B$3=0,0,B16/B$3)</f>
        <v>0.13580246913580246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4</v>
      </c>
      <c r="N16" s="78" t="s">
        <v>192</v>
      </c>
      <c r="O16" s="87">
        <f>IF(P16=0,0,Q16/P16)</f>
        <v>14.162500000000003</v>
      </c>
      <c r="P16" s="81">
        <v>8</v>
      </c>
      <c r="Q16" s="72">
        <v>113.30000000000003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0.61904761904761907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7</v>
      </c>
      <c r="N17" s="78" t="s">
        <v>164</v>
      </c>
      <c r="O17" s="87">
        <f>IF(P17=0,0,Q17/P17)</f>
        <v>0.7399999999999991</v>
      </c>
      <c r="P17" s="81">
        <v>5</v>
      </c>
      <c r="Q17" s="72">
        <v>3.6999999999999957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0.36363636363636365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19</v>
      </c>
      <c r="C19" s="6">
        <f>IF(B$3=0,0,B19/B$3)</f>
        <v>0.23456790123456789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-37.733333333333334</v>
      </c>
      <c r="P19" s="81">
        <v>3</v>
      </c>
      <c r="Q19" s="72">
        <v>-113.2</v>
      </c>
    </row>
    <row r="20" spans="1:17" x14ac:dyDescent="0.45">
      <c r="A20" s="21" t="s">
        <v>13</v>
      </c>
      <c r="B20" s="14">
        <v>6</v>
      </c>
      <c r="C20" s="8">
        <f>IF(B$3=0,0,B20/B$3)</f>
        <v>7.407407407407407E-2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9</v>
      </c>
      <c r="C21" s="8">
        <f>IF(B$19=0,0,B21/B$19)</f>
        <v>0.47368421052631576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10</v>
      </c>
      <c r="C22" s="8">
        <f>IF(B$19=0,0,B22/B$19)</f>
        <v>0.52631578947368418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0.68421052631578949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0.21052631578947367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9</v>
      </c>
    </row>
    <row r="25" spans="1:17" x14ac:dyDescent="0.45">
      <c r="A25" s="21" t="s">
        <v>183</v>
      </c>
      <c r="B25" s="14">
        <v>2</v>
      </c>
      <c r="C25" s="8">
        <f>IF(B$19=0,0,B25/B$19)</f>
        <v>0.10526315789473684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7736.8421052631575</v>
      </c>
      <c r="C26" s="10">
        <v>147000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8186.666666666667</v>
      </c>
      <c r="C27" s="100">
        <v>122800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6050</v>
      </c>
      <c r="C28" s="100">
        <v>24200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-3916.6666666666665</v>
      </c>
      <c r="C29" s="100">
        <v>-23500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7</v>
      </c>
    </row>
    <row r="31" spans="1:17" x14ac:dyDescent="0.45">
      <c r="A31" s="21" t="s">
        <v>159</v>
      </c>
      <c r="B31" s="14">
        <v>29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33">
        <v>4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89000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0.10526315789473684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0.15789473684210525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6</v>
      </c>
      <c r="C38" s="8">
        <f t="shared" si="2"/>
        <v>0.31578947368421051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5.2631578947368418E-2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0.10526315789473684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5.2631578947368418E-2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A15D-2F39-44B4-BBD0-7DAB5AD475E5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205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42</v>
      </c>
      <c r="C2" s="140"/>
      <c r="E2" s="28" t="s">
        <v>66</v>
      </c>
      <c r="F2" s="25" t="s">
        <v>22</v>
      </c>
      <c r="G2" s="13">
        <v>89</v>
      </c>
      <c r="H2" s="91">
        <f>IF(B$19=0,0,G2/B$19)</f>
        <v>0.87254901960784315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680</v>
      </c>
      <c r="P2" s="80">
        <v>40</v>
      </c>
      <c r="Q2" s="67">
        <v>27200</v>
      </c>
    </row>
    <row r="3" spans="1:17" x14ac:dyDescent="0.45">
      <c r="A3" s="21" t="s">
        <v>8</v>
      </c>
      <c r="B3" s="141">
        <v>323</v>
      </c>
      <c r="C3" s="142"/>
      <c r="E3" s="29" t="s">
        <v>72</v>
      </c>
      <c r="F3" s="26" t="s">
        <v>27</v>
      </c>
      <c r="G3" s="14">
        <v>56</v>
      </c>
      <c r="H3" s="92">
        <f>IF(B$19=0,0,G3/B$19)</f>
        <v>0.5490196078431373</v>
      </c>
      <c r="I3" s="60">
        <v>5</v>
      </c>
      <c r="K3" s="7">
        <v>1</v>
      </c>
      <c r="L3" s="65">
        <v>68.2</v>
      </c>
      <c r="N3" s="78" t="s">
        <v>129</v>
      </c>
      <c r="O3" s="84">
        <f t="shared" si="0"/>
        <v>-2204.7619047619046</v>
      </c>
      <c r="P3" s="81">
        <v>42</v>
      </c>
      <c r="Q3" s="68">
        <v>-92600</v>
      </c>
    </row>
    <row r="4" spans="1:17" x14ac:dyDescent="0.45">
      <c r="A4" s="21" t="s">
        <v>6</v>
      </c>
      <c r="B4" s="143">
        <v>-193.20000000000002</v>
      </c>
      <c r="C4" s="144"/>
      <c r="E4" s="29" t="s">
        <v>160</v>
      </c>
      <c r="F4" s="26" t="s">
        <v>161</v>
      </c>
      <c r="G4" s="14">
        <v>48</v>
      </c>
      <c r="H4" s="92">
        <f>IF(B$19=0,0,G4/B$19)</f>
        <v>0.47058823529411764</v>
      </c>
      <c r="I4" s="60">
        <v>5</v>
      </c>
      <c r="K4" s="7">
        <v>2</v>
      </c>
      <c r="L4" s="65">
        <v>41.2</v>
      </c>
      <c r="N4" s="78" t="s">
        <v>130</v>
      </c>
      <c r="O4" s="84">
        <f t="shared" si="0"/>
        <v>-1525</v>
      </c>
      <c r="P4" s="81">
        <v>40</v>
      </c>
      <c r="Q4" s="68">
        <v>-61000</v>
      </c>
    </row>
    <row r="5" spans="1:17" x14ac:dyDescent="0.45">
      <c r="A5" s="21" t="s">
        <v>7</v>
      </c>
      <c r="B5" s="131">
        <f>IF(B$2=0,0,B$4/B$2)</f>
        <v>-4.6000000000000005</v>
      </c>
      <c r="C5" s="132"/>
      <c r="E5" s="29" t="s">
        <v>64</v>
      </c>
      <c r="F5" s="26" t="s">
        <v>20</v>
      </c>
      <c r="G5" s="14">
        <v>38</v>
      </c>
      <c r="H5" s="92">
        <f>IF(B$19=0,0,G5/B$19)</f>
        <v>0.37254901960784315</v>
      </c>
      <c r="I5" s="60">
        <v>11</v>
      </c>
      <c r="K5" s="7">
        <v>3</v>
      </c>
      <c r="L5" s="65">
        <v>8.9000000000000057</v>
      </c>
      <c r="N5" s="78" t="s">
        <v>131</v>
      </c>
      <c r="O5" s="84">
        <f t="shared" si="0"/>
        <v>1436.1111111111111</v>
      </c>
      <c r="P5" s="81">
        <v>36</v>
      </c>
      <c r="Q5" s="68">
        <v>51700</v>
      </c>
    </row>
    <row r="6" spans="1:17" x14ac:dyDescent="0.45">
      <c r="A6" s="21" t="s">
        <v>1</v>
      </c>
      <c r="B6" s="145">
        <f>IF(B$2=0,0,(B$7*1+B$8*2+B$9*3)/B$2)</f>
        <v>2.0952380952380953</v>
      </c>
      <c r="C6" s="146"/>
      <c r="E6" s="29" t="s">
        <v>68</v>
      </c>
      <c r="F6" s="26" t="s">
        <v>12</v>
      </c>
      <c r="G6" s="14">
        <v>28</v>
      </c>
      <c r="H6" s="92">
        <f>IF(B$19=0,0,G6/B$19)</f>
        <v>0.27450980392156865</v>
      </c>
      <c r="I6" s="60">
        <v>9</v>
      </c>
      <c r="K6" s="7">
        <v>4</v>
      </c>
      <c r="L6" s="65">
        <v>-41.199999999999996</v>
      </c>
      <c r="N6" s="78" t="s">
        <v>132</v>
      </c>
      <c r="O6" s="84">
        <f t="shared" si="0"/>
        <v>-1740</v>
      </c>
      <c r="P6" s="81">
        <v>35</v>
      </c>
      <c r="Q6" s="68">
        <v>-60900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0.2857142857142857</v>
      </c>
      <c r="E7" s="29" t="s">
        <v>67</v>
      </c>
      <c r="F7" s="26" t="s">
        <v>23</v>
      </c>
      <c r="G7" s="14">
        <v>26</v>
      </c>
      <c r="H7" s="92">
        <f>IF(B$19=0,0,G7/B$19)</f>
        <v>0.25490196078431371</v>
      </c>
      <c r="I7" s="60">
        <v>6</v>
      </c>
      <c r="K7" s="7">
        <v>5</v>
      </c>
      <c r="L7" s="65">
        <v>-72.899999999999991</v>
      </c>
      <c r="N7" s="79" t="s">
        <v>133</v>
      </c>
      <c r="O7" s="85">
        <f t="shared" si="0"/>
        <v>-1759.2592592592594</v>
      </c>
      <c r="P7" s="82">
        <v>27</v>
      </c>
      <c r="Q7" s="69">
        <v>-47500</v>
      </c>
    </row>
    <row r="8" spans="1:17" x14ac:dyDescent="0.45">
      <c r="A8" s="21" t="s">
        <v>3</v>
      </c>
      <c r="B8" s="14">
        <v>14</v>
      </c>
      <c r="C8" s="8">
        <f t="shared" si="1"/>
        <v>0.33333333333333331</v>
      </c>
      <c r="E8" s="29" t="s">
        <v>89</v>
      </c>
      <c r="F8" s="26" t="s">
        <v>44</v>
      </c>
      <c r="G8" s="14">
        <v>17</v>
      </c>
      <c r="H8" s="92">
        <f>IF(B$19=0,0,G8/B$19)</f>
        <v>0.16666666666666666</v>
      </c>
      <c r="I8" s="60">
        <v>3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16</v>
      </c>
      <c r="C9" s="9">
        <f t="shared" si="1"/>
        <v>0.38095238095238093</v>
      </c>
      <c r="E9" s="29" t="s">
        <v>69</v>
      </c>
      <c r="F9" s="26" t="s">
        <v>24</v>
      </c>
      <c r="G9" s="14">
        <v>16</v>
      </c>
      <c r="H9" s="92">
        <f>IF(B$19=0,0,G9/B$19)</f>
        <v>0.15686274509803921</v>
      </c>
      <c r="I9" s="60">
        <v>3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35.549999999999997</v>
      </c>
      <c r="C10" s="114">
        <v>426.59999999999997</v>
      </c>
      <c r="E10" s="29" t="s">
        <v>70</v>
      </c>
      <c r="F10" s="26" t="s">
        <v>25</v>
      </c>
      <c r="G10" s="14">
        <v>12</v>
      </c>
      <c r="H10" s="92">
        <f>IF(B$19=0,0,G10/B$19)</f>
        <v>0.11764705882352941</v>
      </c>
      <c r="I10" s="60">
        <v>4</v>
      </c>
      <c r="K10" s="7">
        <v>8</v>
      </c>
      <c r="L10" s="65">
        <v>-128.6</v>
      </c>
      <c r="N10" s="77" t="s">
        <v>152</v>
      </c>
      <c r="O10" s="86">
        <f>IF(P10=0,0,Q10/P10)</f>
        <v>-5.291666666666667</v>
      </c>
      <c r="P10" s="80">
        <v>12</v>
      </c>
      <c r="Q10" s="71">
        <v>-63.5</v>
      </c>
    </row>
    <row r="11" spans="1:17" x14ac:dyDescent="0.45">
      <c r="A11" s="22" t="s">
        <v>186</v>
      </c>
      <c r="B11" s="113">
        <f>IF(B8=0,0,C11/B8)</f>
        <v>-1.4642857142857142</v>
      </c>
      <c r="C11" s="114">
        <v>-20.5</v>
      </c>
      <c r="E11" s="29" t="s">
        <v>65</v>
      </c>
      <c r="F11" s="26" t="s">
        <v>21</v>
      </c>
      <c r="G11" s="14">
        <v>8</v>
      </c>
      <c r="H11" s="92">
        <f>IF(B$19=0,0,G11/B$19)</f>
        <v>7.8431372549019607E-2</v>
      </c>
      <c r="I11" s="60">
        <v>9</v>
      </c>
      <c r="K11" s="7">
        <v>9</v>
      </c>
      <c r="L11" s="65">
        <v>-120</v>
      </c>
      <c r="N11" s="78" t="s">
        <v>153</v>
      </c>
      <c r="O11" s="87">
        <f>IF(P11=0,0,Q11/P11)</f>
        <v>-0.61538461538461553</v>
      </c>
      <c r="P11" s="81">
        <v>13</v>
      </c>
      <c r="Q11" s="72">
        <v>-8.0000000000000018</v>
      </c>
    </row>
    <row r="12" spans="1:17" x14ac:dyDescent="0.45">
      <c r="A12" s="22" t="s">
        <v>187</v>
      </c>
      <c r="B12" s="113">
        <f>IF(B9=0,0,C12/B9)</f>
        <v>-37.456249999999997</v>
      </c>
      <c r="C12" s="114">
        <v>-599.29999999999995</v>
      </c>
      <c r="E12" s="29" t="s">
        <v>71</v>
      </c>
      <c r="F12" s="26" t="s">
        <v>26</v>
      </c>
      <c r="G12" s="14">
        <v>6</v>
      </c>
      <c r="H12" s="92">
        <f>IF(B$19=0,0,G12/B$19)</f>
        <v>5.8823529411764705E-2</v>
      </c>
      <c r="I12" s="60">
        <v>6</v>
      </c>
      <c r="K12" s="7">
        <v>10</v>
      </c>
      <c r="L12" s="65">
        <v>-112.8</v>
      </c>
      <c r="N12" s="79" t="s">
        <v>154</v>
      </c>
      <c r="O12" s="88">
        <f>IF(P12=0,0,Q12/P12)</f>
        <v>-7.1588235294117659</v>
      </c>
      <c r="P12" s="82">
        <v>17</v>
      </c>
      <c r="Q12" s="73">
        <v>-121.70000000000002</v>
      </c>
    </row>
    <row r="13" spans="1:17" x14ac:dyDescent="0.45">
      <c r="A13" s="22" t="s">
        <v>188</v>
      </c>
      <c r="B13" s="131">
        <f>AVERAGE(B10:B12)</f>
        <v>-1.1235119047619051</v>
      </c>
      <c r="C13" s="132"/>
      <c r="E13" s="29" t="s">
        <v>86</v>
      </c>
      <c r="F13" s="26" t="s">
        <v>41</v>
      </c>
      <c r="G13" s="14">
        <v>6</v>
      </c>
      <c r="H13" s="92">
        <f>IF(B$19=0,0,G13/B$19)</f>
        <v>5.8823529411764705E-2</v>
      </c>
      <c r="I13" s="60">
        <v>6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0.11904761904761904</v>
      </c>
      <c r="E14" s="29" t="s">
        <v>78</v>
      </c>
      <c r="F14" s="26" t="s">
        <v>33</v>
      </c>
      <c r="G14" s="14">
        <v>5</v>
      </c>
      <c r="H14" s="92">
        <f>IF(B$19=0,0,G14/B$19)</f>
        <v>4.9019607843137254E-2</v>
      </c>
      <c r="I14" s="60">
        <v>2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57</v>
      </c>
      <c r="C15" s="12">
        <f>IF(B$3=0,0,B15/B$3)</f>
        <v>0.17647058823529413</v>
      </c>
      <c r="E15" s="29" t="s">
        <v>83</v>
      </c>
      <c r="F15" s="26" t="s">
        <v>38</v>
      </c>
      <c r="G15" s="14">
        <v>5</v>
      </c>
      <c r="H15" s="92">
        <f>IF(B$19=0,0,G15/B$19)</f>
        <v>4.9019607843137254E-2</v>
      </c>
      <c r="I15" s="60">
        <v>4</v>
      </c>
      <c r="K15" s="7">
        <v>13</v>
      </c>
      <c r="L15" s="65">
        <v>-63.4</v>
      </c>
      <c r="N15" s="77" t="s">
        <v>192</v>
      </c>
      <c r="O15" s="86">
        <f t="shared" ref="O15:O21" si="2">IF(P15=0,0,Q15/P15)</f>
        <v>0.84166666666666501</v>
      </c>
      <c r="P15" s="80">
        <v>12</v>
      </c>
      <c r="Q15" s="71">
        <v>10.09999999999998</v>
      </c>
    </row>
    <row r="16" spans="1:17" x14ac:dyDescent="0.45">
      <c r="A16" s="21" t="s">
        <v>118</v>
      </c>
      <c r="B16" s="14">
        <v>87</v>
      </c>
      <c r="C16" s="8">
        <f>IF(B$3=0,0,B16/B$3)</f>
        <v>0.26934984520123839</v>
      </c>
      <c r="E16" s="29" t="s">
        <v>81</v>
      </c>
      <c r="F16" s="26" t="s">
        <v>36</v>
      </c>
      <c r="G16" s="14">
        <v>2</v>
      </c>
      <c r="H16" s="92">
        <f>IF(B$19=0,0,G16/B$19)</f>
        <v>1.9607843137254902E-2</v>
      </c>
      <c r="I16" s="60">
        <v>7</v>
      </c>
      <c r="K16" s="7">
        <v>14</v>
      </c>
      <c r="L16" s="65">
        <v>-42.4</v>
      </c>
      <c r="N16" s="78" t="s">
        <v>194</v>
      </c>
      <c r="O16" s="87">
        <f t="shared" si="2"/>
        <v>0.79166666666666663</v>
      </c>
      <c r="P16" s="81">
        <v>12</v>
      </c>
      <c r="Q16" s="72">
        <v>9.5</v>
      </c>
    </row>
    <row r="17" spans="1:17" x14ac:dyDescent="0.45">
      <c r="A17" s="20" t="s">
        <v>123</v>
      </c>
      <c r="B17" s="13">
        <f>B23</f>
        <v>37</v>
      </c>
      <c r="C17" s="6">
        <f>IF(B$15=0,0,B17/B$15)</f>
        <v>0.64912280701754388</v>
      </c>
      <c r="E17" s="29" t="s">
        <v>75</v>
      </c>
      <c r="F17" s="26" t="s">
        <v>30</v>
      </c>
      <c r="G17" s="14">
        <v>1</v>
      </c>
      <c r="H17" s="92">
        <f>IF(B$19=0,0,G17/B$19)</f>
        <v>9.8039215686274508E-3</v>
      </c>
      <c r="I17" s="60">
        <v>2</v>
      </c>
      <c r="K17" s="7">
        <v>15</v>
      </c>
      <c r="L17" s="65">
        <v>-65.7</v>
      </c>
      <c r="N17" s="78" t="s">
        <v>240</v>
      </c>
      <c r="O17" s="87">
        <f t="shared" si="2"/>
        <v>-4.8999999999999986</v>
      </c>
      <c r="P17" s="81">
        <v>2</v>
      </c>
      <c r="Q17" s="72">
        <v>-9.7999999999999972</v>
      </c>
    </row>
    <row r="18" spans="1:17" x14ac:dyDescent="0.45">
      <c r="A18" s="20" t="s">
        <v>124</v>
      </c>
      <c r="B18" s="13">
        <f>B24</f>
        <v>28</v>
      </c>
      <c r="C18" s="6">
        <f>IF(B$16=0,0,B18/B$16)</f>
        <v>0.32183908045977011</v>
      </c>
      <c r="E18" s="29" t="s">
        <v>92</v>
      </c>
      <c r="F18" s="26" t="s">
        <v>47</v>
      </c>
      <c r="G18" s="14">
        <v>1</v>
      </c>
      <c r="H18" s="92">
        <f>IF(B$19=0,0,G18/B$19)</f>
        <v>9.8039215686274508E-3</v>
      </c>
      <c r="I18" s="60">
        <v>6</v>
      </c>
      <c r="K18" s="7">
        <v>16</v>
      </c>
      <c r="L18" s="65">
        <v>-104.80000000000001</v>
      </c>
      <c r="N18" s="78" t="s">
        <v>164</v>
      </c>
      <c r="O18" s="87">
        <f t="shared" si="2"/>
        <v>-5.4470588235294146</v>
      </c>
      <c r="P18" s="81">
        <v>17</v>
      </c>
      <c r="Q18" s="72">
        <v>-92.600000000000051</v>
      </c>
    </row>
    <row r="19" spans="1:17" x14ac:dyDescent="0.45">
      <c r="A19" s="20" t="s">
        <v>10</v>
      </c>
      <c r="B19" s="13">
        <f>B22+B21</f>
        <v>102</v>
      </c>
      <c r="C19" s="6">
        <f>IF(B$3=0,0,B19/B$3)</f>
        <v>0.31578947368421051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5</v>
      </c>
      <c r="K19" s="7">
        <v>17</v>
      </c>
      <c r="L19" s="65">
        <v>-52.900000000000013</v>
      </c>
      <c r="N19" s="78" t="s">
        <v>126</v>
      </c>
      <c r="O19" s="87">
        <f t="shared" si="2"/>
        <v>-8.2694444444444475</v>
      </c>
      <c r="P19" s="81">
        <v>36</v>
      </c>
      <c r="Q19" s="72">
        <v>-297.7000000000001</v>
      </c>
    </row>
    <row r="20" spans="1:17" x14ac:dyDescent="0.45">
      <c r="A20" s="21" t="s">
        <v>13</v>
      </c>
      <c r="B20" s="14">
        <v>56</v>
      </c>
      <c r="C20" s="8">
        <f>IF(B$3=0,0,B20/B$3)</f>
        <v>0.17337461300309598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  <c r="N20" s="78" t="s">
        <v>193</v>
      </c>
      <c r="O20" s="87">
        <f t="shared" si="2"/>
        <v>-35.35</v>
      </c>
      <c r="P20" s="81">
        <v>4</v>
      </c>
      <c r="Q20" s="72">
        <v>-141.4</v>
      </c>
    </row>
    <row r="21" spans="1:17" x14ac:dyDescent="0.45">
      <c r="A21" s="21" t="s">
        <v>12</v>
      </c>
      <c r="B21" s="14">
        <v>47</v>
      </c>
      <c r="C21" s="8">
        <f>IF(B$19=0,0,B21/B$19)</f>
        <v>0.46078431372549017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  <c r="N21" s="78" t="s">
        <v>189</v>
      </c>
      <c r="O21" s="87">
        <f t="shared" si="2"/>
        <v>-57.7</v>
      </c>
      <c r="P21" s="81">
        <v>1</v>
      </c>
      <c r="Q21" s="72">
        <v>-57.7</v>
      </c>
    </row>
    <row r="22" spans="1:17" x14ac:dyDescent="0.45">
      <c r="A22" s="21" t="s">
        <v>11</v>
      </c>
      <c r="B22" s="14">
        <v>55</v>
      </c>
      <c r="C22" s="8">
        <f>IF(B$19=0,0,B22/B$19)</f>
        <v>0.53921568627450978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-26.70000000000001</v>
      </c>
    </row>
    <row r="23" spans="1:17" x14ac:dyDescent="0.45">
      <c r="A23" s="21" t="s">
        <v>184</v>
      </c>
      <c r="B23" s="14">
        <v>37</v>
      </c>
      <c r="C23" s="8">
        <f>IF(B$19=0,0,B23/B$19)</f>
        <v>0.36274509803921567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8</v>
      </c>
      <c r="K23" s="7">
        <v>21</v>
      </c>
      <c r="L23" s="65">
        <v>-41.20000000000001</v>
      </c>
    </row>
    <row r="24" spans="1:17" x14ac:dyDescent="0.45">
      <c r="A24" s="21" t="s">
        <v>182</v>
      </c>
      <c r="B24" s="14">
        <v>28</v>
      </c>
      <c r="C24" s="8">
        <f>IF(B$19=0,0,B24/B$19)</f>
        <v>0.27450980392156865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5">
      <c r="A25" s="21" t="s">
        <v>183</v>
      </c>
      <c r="B25" s="14">
        <v>37</v>
      </c>
      <c r="C25" s="8">
        <f>IF(B$19=0,0,B25/B$19)</f>
        <v>0.36274509803921567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5">
      <c r="A26" s="21" t="s">
        <v>5</v>
      </c>
      <c r="B26" s="18">
        <f>IF(B$19=0,0,C26/B$19)</f>
        <v>8118.6274509803925</v>
      </c>
      <c r="C26" s="10">
        <v>828100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5">
      <c r="A27" s="22" t="s">
        <v>166</v>
      </c>
      <c r="B27" s="99">
        <f>IF($B$19-B$18=0,0,C27/($B$19-B$18))</f>
        <v>8355.405405405405</v>
      </c>
      <c r="C27" s="100">
        <v>618300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5">
      <c r="A28" s="22" t="s">
        <v>167</v>
      </c>
      <c r="B28" s="99">
        <f>IF(B$18=0,0,C28/B$18)</f>
        <v>7492.8571428571431</v>
      </c>
      <c r="C28" s="100">
        <v>209800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45">
      <c r="A29" s="22" t="s">
        <v>165</v>
      </c>
      <c r="B29" s="99">
        <f>IF(B$20=0,0,C29/B$20)</f>
        <v>-9228.5714285714294</v>
      </c>
      <c r="C29" s="100">
        <v>-516800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-104.30000000000001</v>
      </c>
    </row>
    <row r="31" spans="1:17" x14ac:dyDescent="0.45">
      <c r="A31" s="21" t="s">
        <v>159</v>
      </c>
      <c r="B31" s="14">
        <v>17</v>
      </c>
      <c r="C31" s="94">
        <v>6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-140.5</v>
      </c>
    </row>
    <row r="32" spans="1:17" x14ac:dyDescent="0.45">
      <c r="A32" s="56" t="s">
        <v>136</v>
      </c>
      <c r="B32" s="133">
        <v>10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-181.3</v>
      </c>
    </row>
    <row r="33" spans="1:12" x14ac:dyDescent="0.45">
      <c r="A33" s="24" t="s">
        <v>181</v>
      </c>
      <c r="B33" s="135">
        <v>93200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-180.3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  <c r="K34" s="7">
        <v>32</v>
      </c>
      <c r="L34" s="65">
        <v>-199.60000000000002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-242.10000000000002</v>
      </c>
    </row>
    <row r="36" spans="1:12" x14ac:dyDescent="0.45">
      <c r="A36" s="56" t="s">
        <v>172</v>
      </c>
      <c r="B36" s="121">
        <v>8</v>
      </c>
      <c r="C36" s="102">
        <f t="shared" ref="C36:C48" si="3">IF(B$19=0,0,B36/B$19)</f>
        <v>7.8431372549019607E-2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-238.00000000000003</v>
      </c>
    </row>
    <row r="37" spans="1:12" x14ac:dyDescent="0.45">
      <c r="A37" s="21" t="s">
        <v>168</v>
      </c>
      <c r="B37" s="14">
        <v>25</v>
      </c>
      <c r="C37" s="8">
        <f t="shared" si="3"/>
        <v>0.24509803921568626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-209.50000000000003</v>
      </c>
    </row>
    <row r="38" spans="1:12" x14ac:dyDescent="0.45">
      <c r="A38" s="21" t="s">
        <v>169</v>
      </c>
      <c r="B38" s="122">
        <v>15</v>
      </c>
      <c r="C38" s="8">
        <f t="shared" si="3"/>
        <v>0.14705882352941177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-215.90000000000003</v>
      </c>
    </row>
    <row r="39" spans="1:12" x14ac:dyDescent="0.45">
      <c r="A39" s="21" t="s">
        <v>170</v>
      </c>
      <c r="B39" s="122">
        <v>19</v>
      </c>
      <c r="C39" s="8">
        <f t="shared" si="3"/>
        <v>0.18627450980392157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-222.60000000000002</v>
      </c>
    </row>
    <row r="40" spans="1:12" x14ac:dyDescent="0.45">
      <c r="A40" s="21" t="s">
        <v>171</v>
      </c>
      <c r="B40" s="122">
        <v>13</v>
      </c>
      <c r="C40" s="8">
        <f t="shared" si="3"/>
        <v>0.12745098039215685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-198.20000000000002</v>
      </c>
    </row>
    <row r="41" spans="1:12" x14ac:dyDescent="0.45">
      <c r="A41" s="21" t="s">
        <v>173</v>
      </c>
      <c r="B41" s="122">
        <v>9</v>
      </c>
      <c r="C41" s="8">
        <f t="shared" si="3"/>
        <v>8.8235294117647065E-2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-153.30000000000001</v>
      </c>
    </row>
    <row r="42" spans="1:12" x14ac:dyDescent="0.45">
      <c r="A42" s="21" t="s">
        <v>174</v>
      </c>
      <c r="B42" s="122">
        <v>4</v>
      </c>
      <c r="C42" s="8">
        <f t="shared" si="3"/>
        <v>3.9215686274509803E-2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-153.5</v>
      </c>
    </row>
    <row r="43" spans="1:12" x14ac:dyDescent="0.45">
      <c r="A43" s="21" t="s">
        <v>175</v>
      </c>
      <c r="B43" s="122">
        <v>3</v>
      </c>
      <c r="C43" s="8">
        <f t="shared" si="3"/>
        <v>2.9411764705882353E-2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-200.3</v>
      </c>
    </row>
    <row r="44" spans="1:12" x14ac:dyDescent="0.45">
      <c r="A44" s="21" t="s">
        <v>176</v>
      </c>
      <c r="B44" s="122">
        <v>1</v>
      </c>
      <c r="C44" s="8">
        <f t="shared" si="3"/>
        <v>9.8039215686274508E-3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-193.20000000000002</v>
      </c>
    </row>
    <row r="45" spans="1:12" x14ac:dyDescent="0.45">
      <c r="A45" s="21" t="s">
        <v>177</v>
      </c>
      <c r="B45" s="122">
        <v>1</v>
      </c>
      <c r="C45" s="8">
        <f t="shared" si="3"/>
        <v>9.8039215686274508E-3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2</v>
      </c>
      <c r="C46" s="8">
        <f t="shared" si="3"/>
        <v>1.9607843137254902E-2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3"/>
        <v>9.8039215686274508E-3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9.8039215686274508E-3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4CEB-C91F-4C5B-92D9-C37B27CE90F3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212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9</v>
      </c>
      <c r="C2" s="140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41">
        <v>74</v>
      </c>
      <c r="C3" s="142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43">
        <v>-41.599999999999994</v>
      </c>
      <c r="C4" s="144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2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31">
        <f>IF(B$2=0,0,B$4/B$2)</f>
        <v>-4.6222222222222218</v>
      </c>
      <c r="C5" s="132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45">
        <f>IF(B$2=0,0,(B$7*1+B$8*2+B$9*3)/B$2)</f>
        <v>2.1111111111111112</v>
      </c>
      <c r="C6" s="146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7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3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8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3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2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31">
        <f>AVERAGE(B10:B12)</f>
        <v>2.1361111111111115</v>
      </c>
      <c r="C13" s="132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11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5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4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7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7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9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7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33">
        <v>5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95000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4A4CB-651C-4988-AFC4-95E613352557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240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5</v>
      </c>
      <c r="C2" s="140"/>
      <c r="E2" s="28" t="s">
        <v>64</v>
      </c>
      <c r="F2" s="25" t="s">
        <v>20</v>
      </c>
      <c r="G2" s="13">
        <v>5</v>
      </c>
      <c r="H2" s="91">
        <f>IF(B$19=0,0,G2/B$19)</f>
        <v>0.7142857142857143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-7160</v>
      </c>
      <c r="P2" s="80">
        <v>5</v>
      </c>
      <c r="Q2" s="67">
        <v>-35800</v>
      </c>
    </row>
    <row r="3" spans="1:17" x14ac:dyDescent="0.45">
      <c r="A3" s="21" t="s">
        <v>8</v>
      </c>
      <c r="B3" s="141">
        <v>41</v>
      </c>
      <c r="C3" s="142"/>
      <c r="E3" s="29" t="s">
        <v>68</v>
      </c>
      <c r="F3" s="26" t="s">
        <v>12</v>
      </c>
      <c r="G3" s="14">
        <v>3</v>
      </c>
      <c r="H3" s="92">
        <f>IF(B$19=0,0,G3/B$19)</f>
        <v>0.42857142857142855</v>
      </c>
      <c r="I3" s="60">
        <v>3</v>
      </c>
      <c r="K3" s="7">
        <v>1</v>
      </c>
      <c r="L3" s="65">
        <v>10.199999999999999</v>
      </c>
      <c r="N3" s="78" t="s">
        <v>129</v>
      </c>
      <c r="O3" s="84">
        <f t="shared" si="0"/>
        <v>-2425</v>
      </c>
      <c r="P3" s="81">
        <v>4</v>
      </c>
      <c r="Q3" s="68">
        <v>-9700</v>
      </c>
    </row>
    <row r="4" spans="1:17" x14ac:dyDescent="0.45">
      <c r="A4" s="21" t="s">
        <v>6</v>
      </c>
      <c r="B4" s="143">
        <v>-113.70000000000002</v>
      </c>
      <c r="C4" s="144"/>
      <c r="E4" s="29" t="s">
        <v>72</v>
      </c>
      <c r="F4" s="26" t="s">
        <v>27</v>
      </c>
      <c r="G4" s="14">
        <v>3</v>
      </c>
      <c r="H4" s="92">
        <f>IF(B$19=0,0,G4/B$19)</f>
        <v>0.42857142857142855</v>
      </c>
      <c r="I4" s="60">
        <v>10</v>
      </c>
      <c r="K4" s="7">
        <v>2</v>
      </c>
      <c r="L4" s="65">
        <v>-29.900000000000002</v>
      </c>
      <c r="N4" s="78" t="s">
        <v>130</v>
      </c>
      <c r="O4" s="84">
        <f t="shared" si="0"/>
        <v>4475</v>
      </c>
      <c r="P4" s="81">
        <v>4</v>
      </c>
      <c r="Q4" s="68">
        <v>17900</v>
      </c>
    </row>
    <row r="5" spans="1:17" x14ac:dyDescent="0.45">
      <c r="A5" s="21" t="s">
        <v>7</v>
      </c>
      <c r="B5" s="131">
        <f>IF(B$2=0,0,B$4/B$2)</f>
        <v>-22.740000000000002</v>
      </c>
      <c r="C5" s="132"/>
      <c r="E5" s="29" t="s">
        <v>160</v>
      </c>
      <c r="F5" s="26" t="s">
        <v>161</v>
      </c>
      <c r="G5" s="14">
        <v>3</v>
      </c>
      <c r="H5" s="92">
        <f>IF(B$19=0,0,G5/B$19)</f>
        <v>0.42857142857142855</v>
      </c>
      <c r="I5" s="60">
        <v>9</v>
      </c>
      <c r="K5" s="7">
        <v>3</v>
      </c>
      <c r="L5" s="65">
        <v>-37.1</v>
      </c>
      <c r="N5" s="78" t="s">
        <v>131</v>
      </c>
      <c r="O5" s="84">
        <f t="shared" si="0"/>
        <v>-10500</v>
      </c>
      <c r="P5" s="81">
        <v>3</v>
      </c>
      <c r="Q5" s="68">
        <v>-31500</v>
      </c>
    </row>
    <row r="6" spans="1:17" x14ac:dyDescent="0.45">
      <c r="A6" s="21" t="s">
        <v>1</v>
      </c>
      <c r="B6" s="145">
        <f>IF(B$2=0,0,(B$7*1+B$8*2+B$9*3)/B$2)</f>
        <v>2.4</v>
      </c>
      <c r="C6" s="146"/>
      <c r="E6" s="29" t="s">
        <v>65</v>
      </c>
      <c r="F6" s="26" t="s">
        <v>21</v>
      </c>
      <c r="G6" s="14">
        <v>2</v>
      </c>
      <c r="H6" s="92">
        <f>IF(B$19=0,0,G6/B$19)</f>
        <v>0.2857142857142857</v>
      </c>
      <c r="I6" s="60">
        <v>1</v>
      </c>
      <c r="K6" s="7">
        <v>4</v>
      </c>
      <c r="L6" s="65">
        <v>-85.800000000000011</v>
      </c>
      <c r="N6" s="78" t="s">
        <v>132</v>
      </c>
      <c r="O6" s="84">
        <f t="shared" si="0"/>
        <v>-400</v>
      </c>
      <c r="P6" s="81">
        <v>2</v>
      </c>
      <c r="Q6" s="68">
        <v>-800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66</v>
      </c>
      <c r="F7" s="26" t="s">
        <v>22</v>
      </c>
      <c r="G7" s="14">
        <v>2</v>
      </c>
      <c r="H7" s="92">
        <f>IF(B$19=0,0,G7/B$19)</f>
        <v>0.2857142857142857</v>
      </c>
      <c r="I7" s="60">
        <v>11</v>
      </c>
      <c r="K7" s="7">
        <v>5</v>
      </c>
      <c r="L7" s="65">
        <v>-113.70000000000002</v>
      </c>
      <c r="N7" s="79" t="s">
        <v>133</v>
      </c>
      <c r="O7" s="85">
        <f t="shared" si="0"/>
        <v>-11000</v>
      </c>
      <c r="P7" s="82">
        <v>2</v>
      </c>
      <c r="Q7" s="69">
        <v>-22000</v>
      </c>
    </row>
    <row r="8" spans="1:17" x14ac:dyDescent="0.45">
      <c r="A8" s="21" t="s">
        <v>3</v>
      </c>
      <c r="B8" s="14">
        <v>3</v>
      </c>
      <c r="C8" s="8">
        <f t="shared" si="1"/>
        <v>0.6</v>
      </c>
      <c r="E8" s="29" t="s">
        <v>67</v>
      </c>
      <c r="F8" s="26" t="s">
        <v>23</v>
      </c>
      <c r="G8" s="14">
        <v>1</v>
      </c>
      <c r="H8" s="92">
        <f>IF(B$19=0,0,G8/B$19)</f>
        <v>0.14285714285714285</v>
      </c>
      <c r="I8" s="60">
        <v>12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69</v>
      </c>
      <c r="F9" s="26" t="s">
        <v>24</v>
      </c>
      <c r="G9" s="14">
        <v>1</v>
      </c>
      <c r="H9" s="92">
        <f>IF(B$19=0,0,G9/B$19)</f>
        <v>0.14285714285714285</v>
      </c>
      <c r="I9" s="60">
        <v>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1</v>
      </c>
      <c r="H10" s="92">
        <f>IF(B$19=0,0,G10/B$19)</f>
        <v>0.14285714285714285</v>
      </c>
      <c r="I10" s="60">
        <v>2</v>
      </c>
      <c r="N10" s="77" t="s">
        <v>152</v>
      </c>
      <c r="O10" s="86">
        <f>IF(P10=0,0,Q10/P10)</f>
        <v>-40.1</v>
      </c>
      <c r="P10" s="80">
        <v>1</v>
      </c>
      <c r="Q10" s="71">
        <v>-40.1</v>
      </c>
    </row>
    <row r="11" spans="1:17" x14ac:dyDescent="0.45">
      <c r="A11" s="22" t="s">
        <v>186</v>
      </c>
      <c r="B11" s="113">
        <f>IF(B8=0,0,C11/B8)</f>
        <v>-8.2999999999999989</v>
      </c>
      <c r="C11" s="114">
        <v>-24.9</v>
      </c>
      <c r="E11" s="29" t="s">
        <v>79</v>
      </c>
      <c r="F11" s="26" t="s">
        <v>34</v>
      </c>
      <c r="G11" s="14">
        <v>1</v>
      </c>
      <c r="H11" s="92">
        <f>IF(B$19=0,0,G11/B$19)</f>
        <v>0.14285714285714285</v>
      </c>
      <c r="I11" s="60">
        <v>1</v>
      </c>
      <c r="N11" s="78" t="s">
        <v>153</v>
      </c>
      <c r="O11" s="87">
        <f>IF(P11=0,0,Q11/P11)</f>
        <v>-7.2</v>
      </c>
      <c r="P11" s="81">
        <v>1</v>
      </c>
      <c r="Q11" s="72">
        <v>-7.2</v>
      </c>
    </row>
    <row r="12" spans="1:17" x14ac:dyDescent="0.45">
      <c r="A12" s="22" t="s">
        <v>187</v>
      </c>
      <c r="B12" s="113">
        <f>IF(B9=0,0,C12/B9)</f>
        <v>-44.400000000000006</v>
      </c>
      <c r="C12" s="114">
        <v>-88.800000000000011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11</v>
      </c>
      <c r="N12" s="79" t="s">
        <v>154</v>
      </c>
      <c r="O12" s="88">
        <f>IF(P12=0,0,Q12/P12)</f>
        <v>-22.133333333333336</v>
      </c>
      <c r="P12" s="82">
        <v>3</v>
      </c>
      <c r="Q12" s="73">
        <v>-66.400000000000006</v>
      </c>
    </row>
    <row r="13" spans="1:17" x14ac:dyDescent="0.45">
      <c r="A13" s="22" t="s">
        <v>188</v>
      </c>
      <c r="B13" s="131">
        <f>AVERAGE(B10:B12)</f>
        <v>-17.566666666666666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</v>
      </c>
      <c r="C15" s="12">
        <f>IF(B$3=0,0,B15/B$3)</f>
        <v>0.26829268292682928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7</v>
      </c>
      <c r="N15" s="77" t="s">
        <v>205</v>
      </c>
      <c r="O15" s="86">
        <f>IF(P15=0,0,Q15/P15)</f>
        <v>4.8999999999999995</v>
      </c>
      <c r="P15" s="80">
        <v>2</v>
      </c>
      <c r="Q15" s="71">
        <v>9.7999999999999989</v>
      </c>
    </row>
    <row r="16" spans="1:17" x14ac:dyDescent="0.45">
      <c r="A16" s="21" t="s">
        <v>118</v>
      </c>
      <c r="B16" s="14">
        <v>5</v>
      </c>
      <c r="C16" s="8">
        <f>IF(B$3=0,0,B16/B$3)</f>
        <v>0.12195121951219512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-12.500000000000002</v>
      </c>
      <c r="P16" s="81">
        <v>2</v>
      </c>
      <c r="Q16" s="72">
        <v>-25.000000000000004</v>
      </c>
    </row>
    <row r="17" spans="1:17" x14ac:dyDescent="0.45">
      <c r="A17" s="20" t="s">
        <v>123</v>
      </c>
      <c r="B17" s="13">
        <f>B23</f>
        <v>5</v>
      </c>
      <c r="C17" s="6">
        <f>IF(B$15=0,0,B17/B$15)</f>
        <v>0.45454545454545453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7</v>
      </c>
      <c r="N17" s="78" t="s">
        <v>126</v>
      </c>
      <c r="O17" s="87">
        <f>IF(P17=0,0,Q17/P17)</f>
        <v>-43.120000000000005</v>
      </c>
      <c r="P17" s="81">
        <v>5</v>
      </c>
      <c r="Q17" s="72">
        <v>-215.60000000000002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9</v>
      </c>
      <c r="N18" s="78" t="s">
        <v>192</v>
      </c>
      <c r="O18" s="87">
        <f>IF(P18=0,0,Q18/P18)</f>
        <v>-110.30000000000001</v>
      </c>
      <c r="P18" s="81">
        <v>1</v>
      </c>
      <c r="Q18" s="72">
        <v>-110.30000000000001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0.17073170731707318</v>
      </c>
      <c r="E19" s="29" t="s">
        <v>80</v>
      </c>
      <c r="F19" s="26" t="s">
        <v>35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6</v>
      </c>
      <c r="C20" s="8">
        <f>IF(B$3=0,0,B20/B$3)</f>
        <v>0.14634146341463414</v>
      </c>
      <c r="E20" s="29" t="s">
        <v>81</v>
      </c>
      <c r="F20" s="26" t="s">
        <v>36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3</v>
      </c>
      <c r="C21" s="8">
        <f>IF(B$19=0,0,B21/B$19)</f>
        <v>0.42857142857142855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4</v>
      </c>
      <c r="C22" s="8">
        <f>IF(B$19=0,0,B22/B$19)</f>
        <v>0.5714285714285714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9</v>
      </c>
    </row>
    <row r="23" spans="1:17" x14ac:dyDescent="0.45">
      <c r="A23" s="21" t="s">
        <v>184</v>
      </c>
      <c r="B23" s="14">
        <v>5</v>
      </c>
      <c r="C23" s="8">
        <f>IF(B$19=0,0,B23/B$19)</f>
        <v>0.7142857142857143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1</v>
      </c>
      <c r="C24" s="8">
        <f>IF(B$19=0,0,B24/B$19)</f>
        <v>0.14285714285714285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4</v>
      </c>
    </row>
    <row r="25" spans="1:17" x14ac:dyDescent="0.45">
      <c r="A25" s="21" t="s">
        <v>183</v>
      </c>
      <c r="B25" s="14">
        <v>1</v>
      </c>
      <c r="C25" s="8">
        <f>IF(B$19=0,0,B25/B$19)</f>
        <v>0.14285714285714285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11</v>
      </c>
    </row>
    <row r="26" spans="1:17" x14ac:dyDescent="0.45">
      <c r="A26" s="21" t="s">
        <v>5</v>
      </c>
      <c r="B26" s="18">
        <f>IF(B$19=0,0,C26/B$19)</f>
        <v>7142.8571428571431</v>
      </c>
      <c r="C26" s="10">
        <v>50000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6400</v>
      </c>
      <c r="C27" s="100">
        <v>38400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11600</v>
      </c>
      <c r="C28" s="100">
        <v>11600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12</v>
      </c>
    </row>
    <row r="29" spans="1:17" x14ac:dyDescent="0.45">
      <c r="A29" s="22" t="s">
        <v>165</v>
      </c>
      <c r="B29" s="99">
        <f>IF(B$20=0,0,C29/B$20)</f>
        <v>-8866.6666666666661</v>
      </c>
      <c r="C29" s="100">
        <v>-53200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7</v>
      </c>
    </row>
    <row r="31" spans="1:17" x14ac:dyDescent="0.45">
      <c r="A31" s="21" t="s">
        <v>159</v>
      </c>
      <c r="B31" s="14">
        <v>14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33">
        <v>2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45200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2</v>
      </c>
      <c r="C37" s="8">
        <f t="shared" si="2"/>
        <v>0.2857142857142857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1</v>
      </c>
      <c r="C38" s="8">
        <f t="shared" si="2"/>
        <v>0.14285714285714285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4</v>
      </c>
      <c r="C39" s="8">
        <f t="shared" si="2"/>
        <v>0.5714285714285714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04550-1DEE-4331-9501-5BD2BEE2867C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243</v>
      </c>
      <c r="C1" s="138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3</v>
      </c>
      <c r="C2" s="140"/>
      <c r="E2" s="28" t="s">
        <v>64</v>
      </c>
      <c r="F2" s="25" t="s">
        <v>20</v>
      </c>
      <c r="G2" s="13">
        <v>4</v>
      </c>
      <c r="H2" s="91">
        <f>IF(B$19=0,0,G2/B$19)</f>
        <v>0.66666666666666663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-3766.6666666666665</v>
      </c>
      <c r="P2" s="80">
        <v>3</v>
      </c>
      <c r="Q2" s="67">
        <v>-11300</v>
      </c>
    </row>
    <row r="3" spans="1:17" x14ac:dyDescent="0.45">
      <c r="A3" s="21" t="s">
        <v>8</v>
      </c>
      <c r="B3" s="141">
        <v>29</v>
      </c>
      <c r="C3" s="142"/>
      <c r="E3" s="29" t="s">
        <v>68</v>
      </c>
      <c r="F3" s="26" t="s">
        <v>12</v>
      </c>
      <c r="G3" s="14">
        <v>4</v>
      </c>
      <c r="H3" s="92">
        <f>IF(B$19=0,0,G3/B$19)</f>
        <v>0.66666666666666663</v>
      </c>
      <c r="I3" s="60">
        <v>1</v>
      </c>
      <c r="K3" s="7">
        <v>1</v>
      </c>
      <c r="L3" s="65">
        <v>-18.399999999999999</v>
      </c>
      <c r="N3" s="78" t="s">
        <v>129</v>
      </c>
      <c r="O3" s="84">
        <f t="shared" si="0"/>
        <v>800</v>
      </c>
      <c r="P3" s="81">
        <v>3</v>
      </c>
      <c r="Q3" s="68">
        <v>2400</v>
      </c>
    </row>
    <row r="4" spans="1:17" x14ac:dyDescent="0.45">
      <c r="A4" s="21" t="s">
        <v>6</v>
      </c>
      <c r="B4" s="143">
        <v>-10.099999999999998</v>
      </c>
      <c r="C4" s="144"/>
      <c r="E4" s="29" t="s">
        <v>160</v>
      </c>
      <c r="F4" s="26" t="s">
        <v>161</v>
      </c>
      <c r="G4" s="14">
        <v>3</v>
      </c>
      <c r="H4" s="92">
        <f>IF(B$19=0,0,G4/B$19)</f>
        <v>0.5</v>
      </c>
      <c r="I4" s="60">
        <v>2</v>
      </c>
      <c r="K4" s="7">
        <v>2</v>
      </c>
      <c r="L4" s="65">
        <v>-3.7999999999999989</v>
      </c>
      <c r="N4" s="78" t="s">
        <v>130</v>
      </c>
      <c r="O4" s="84">
        <f t="shared" si="0"/>
        <v>6333.333333333333</v>
      </c>
      <c r="P4" s="81">
        <v>3</v>
      </c>
      <c r="Q4" s="68">
        <v>19000</v>
      </c>
    </row>
    <row r="5" spans="1:17" x14ac:dyDescent="0.45">
      <c r="A5" s="21" t="s">
        <v>7</v>
      </c>
      <c r="B5" s="131">
        <f>IF(B$2=0,0,B$4/B$2)</f>
        <v>-3.3666666666666658</v>
      </c>
      <c r="C5" s="132"/>
      <c r="E5" s="29" t="s">
        <v>67</v>
      </c>
      <c r="F5" s="26" t="s">
        <v>23</v>
      </c>
      <c r="G5" s="14">
        <v>2</v>
      </c>
      <c r="H5" s="92">
        <f>IF(B$19=0,0,G5/B$19)</f>
        <v>0.33333333333333331</v>
      </c>
      <c r="I5" s="60">
        <v>2</v>
      </c>
      <c r="K5" s="7">
        <v>3</v>
      </c>
      <c r="L5" s="65">
        <v>-10.099999999999998</v>
      </c>
      <c r="N5" s="78" t="s">
        <v>131</v>
      </c>
      <c r="O5" s="84">
        <f t="shared" si="0"/>
        <v>-5133.333333333333</v>
      </c>
      <c r="P5" s="81">
        <v>3</v>
      </c>
      <c r="Q5" s="68">
        <v>-15400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69</v>
      </c>
      <c r="F6" s="26" t="s">
        <v>24</v>
      </c>
      <c r="G6" s="14">
        <v>2</v>
      </c>
      <c r="H6" s="92">
        <f>IF(B$19=0,0,G6/B$19)</f>
        <v>0.33333333333333331</v>
      </c>
      <c r="I6" s="60">
        <v>1</v>
      </c>
      <c r="N6" s="78" t="s">
        <v>132</v>
      </c>
      <c r="O6" s="84">
        <f t="shared" si="0"/>
        <v>-6666.666666666667</v>
      </c>
      <c r="P6" s="81">
        <v>3</v>
      </c>
      <c r="Q6" s="68">
        <v>-20000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0.33333333333333331</v>
      </c>
      <c r="E7" s="29" t="s">
        <v>72</v>
      </c>
      <c r="F7" s="26" t="s">
        <v>27</v>
      </c>
      <c r="G7" s="14">
        <v>2</v>
      </c>
      <c r="H7" s="92">
        <f>IF(B$19=0,0,G7/B$19)</f>
        <v>0.33333333333333331</v>
      </c>
      <c r="I7" s="60">
        <v>12</v>
      </c>
      <c r="N7" s="79" t="s">
        <v>133</v>
      </c>
      <c r="O7" s="85">
        <f t="shared" si="0"/>
        <v>5066.666666666667</v>
      </c>
      <c r="P7" s="82">
        <v>3</v>
      </c>
      <c r="Q7" s="69">
        <v>15200</v>
      </c>
    </row>
    <row r="8" spans="1:17" x14ac:dyDescent="0.45">
      <c r="A8" s="21" t="s">
        <v>3</v>
      </c>
      <c r="B8" s="14">
        <v>1</v>
      </c>
      <c r="C8" s="8">
        <f t="shared" si="1"/>
        <v>0.33333333333333331</v>
      </c>
      <c r="E8" s="29" t="s">
        <v>65</v>
      </c>
      <c r="F8" s="26" t="s">
        <v>21</v>
      </c>
      <c r="G8" s="14">
        <v>1</v>
      </c>
      <c r="H8" s="92">
        <f>IF(B$19=0,0,G8/B$19)</f>
        <v>0.16666666666666666</v>
      </c>
      <c r="I8" s="60">
        <v>2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0.33333333333333331</v>
      </c>
      <c r="E9" s="29" t="s">
        <v>66</v>
      </c>
      <c r="F9" s="26" t="s">
        <v>22</v>
      </c>
      <c r="G9" s="14">
        <v>1</v>
      </c>
      <c r="H9" s="92">
        <f>IF(B$19=0,0,G9/B$19)</f>
        <v>0.16666666666666666</v>
      </c>
      <c r="I9" s="60">
        <v>12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14.6</v>
      </c>
      <c r="C10" s="114">
        <v>14.6</v>
      </c>
      <c r="E10" s="29" t="s">
        <v>70</v>
      </c>
      <c r="F10" s="26" t="s">
        <v>25</v>
      </c>
      <c r="G10" s="14">
        <v>1</v>
      </c>
      <c r="H10" s="92">
        <f>IF(B$19=0,0,G10/B$19)</f>
        <v>0.16666666666666666</v>
      </c>
      <c r="I10" s="60">
        <v>1</v>
      </c>
      <c r="N10" s="77" t="s">
        <v>152</v>
      </c>
      <c r="O10" s="86">
        <f>IF(P10=0,0,Q10/P10)</f>
        <v>14.6</v>
      </c>
      <c r="P10" s="80">
        <v>1</v>
      </c>
      <c r="Q10" s="71">
        <v>14.6</v>
      </c>
    </row>
    <row r="11" spans="1:17" x14ac:dyDescent="0.45">
      <c r="A11" s="22" t="s">
        <v>186</v>
      </c>
      <c r="B11" s="113">
        <f>IF(B8=0,0,C11/B8)</f>
        <v>-6.3</v>
      </c>
      <c r="C11" s="114">
        <v>-6.3</v>
      </c>
      <c r="E11" s="29" t="s">
        <v>71</v>
      </c>
      <c r="F11" s="26" t="s">
        <v>26</v>
      </c>
      <c r="G11" s="14">
        <v>1</v>
      </c>
      <c r="H11" s="92">
        <f>IF(B$19=0,0,G11/B$19)</f>
        <v>0.16666666666666666</v>
      </c>
      <c r="I11" s="60">
        <v>1</v>
      </c>
      <c r="N11" s="78" t="s">
        <v>153</v>
      </c>
      <c r="O11" s="87">
        <f>IF(P11=0,0,Q11/P11)</f>
        <v>-6.3</v>
      </c>
      <c r="P11" s="81">
        <v>1</v>
      </c>
      <c r="Q11" s="72">
        <v>-6.3</v>
      </c>
    </row>
    <row r="12" spans="1:17" x14ac:dyDescent="0.45">
      <c r="A12" s="22" t="s">
        <v>187</v>
      </c>
      <c r="B12" s="113">
        <f>IF(B9=0,0,C12/B9)</f>
        <v>-18.399999999999999</v>
      </c>
      <c r="C12" s="114">
        <v>-18.399999999999999</v>
      </c>
      <c r="E12" s="29" t="s">
        <v>86</v>
      </c>
      <c r="F12" s="26" t="s">
        <v>41</v>
      </c>
      <c r="G12" s="14">
        <v>1</v>
      </c>
      <c r="H12" s="92">
        <f>IF(B$19=0,0,G12/B$19)</f>
        <v>0.16666666666666666</v>
      </c>
      <c r="I12" s="60">
        <v>1</v>
      </c>
      <c r="N12" s="79" t="s">
        <v>154</v>
      </c>
      <c r="O12" s="88">
        <f>IF(P12=0,0,Q12/P12)</f>
        <v>-18.399999999999999</v>
      </c>
      <c r="P12" s="82">
        <v>1</v>
      </c>
      <c r="Q12" s="73">
        <v>-18.399999999999999</v>
      </c>
    </row>
    <row r="13" spans="1:17" x14ac:dyDescent="0.45">
      <c r="A13" s="22" t="s">
        <v>188</v>
      </c>
      <c r="B13" s="131">
        <f>AVERAGE(B10:B12)</f>
        <v>-3.3666666666666658</v>
      </c>
      <c r="C13" s="132"/>
      <c r="E13" s="29" t="s">
        <v>89</v>
      </c>
      <c r="F13" s="26" t="s">
        <v>44</v>
      </c>
      <c r="G13" s="14">
        <v>1</v>
      </c>
      <c r="H13" s="92">
        <f>IF(B$19=0,0,G13/B$19)</f>
        <v>0.16666666666666666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</v>
      </c>
      <c r="C15" s="12">
        <f>IF(B$3=0,0,B15/B$3)</f>
        <v>0.17241379310344829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4</v>
      </c>
      <c r="N15" s="77" t="s">
        <v>164</v>
      </c>
      <c r="O15" s="86">
        <f>IF(P15=0,0,Q15/P15)</f>
        <v>6.9333333333333336</v>
      </c>
      <c r="P15" s="80">
        <v>3</v>
      </c>
      <c r="Q15" s="71">
        <v>20.8</v>
      </c>
    </row>
    <row r="16" spans="1:17" x14ac:dyDescent="0.45">
      <c r="A16" s="21" t="s">
        <v>118</v>
      </c>
      <c r="B16" s="14">
        <v>3</v>
      </c>
      <c r="C16" s="8">
        <f>IF(B$3=0,0,B16/B$3)</f>
        <v>0.10344827586206896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7</v>
      </c>
      <c r="N16" s="78" t="s">
        <v>193</v>
      </c>
      <c r="O16" s="87">
        <f>IF(P16=0,0,Q16/P16)</f>
        <v>-17.033333333333331</v>
      </c>
      <c r="P16" s="81">
        <v>3</v>
      </c>
      <c r="Q16" s="72">
        <v>-51.099999999999994</v>
      </c>
    </row>
    <row r="17" spans="1:9" x14ac:dyDescent="0.45">
      <c r="A17" s="20" t="s">
        <v>123</v>
      </c>
      <c r="B17" s="13">
        <f>B23</f>
        <v>4</v>
      </c>
      <c r="C17" s="6">
        <f>IF(B$15=0,0,B17/B$15)</f>
        <v>0.8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1</v>
      </c>
      <c r="C18" s="6">
        <f>IF(B$16=0,0,B18/B$16)</f>
        <v>0.33333333333333331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7</v>
      </c>
    </row>
    <row r="19" spans="1:9" x14ac:dyDescent="0.45">
      <c r="A19" s="20" t="s">
        <v>10</v>
      </c>
      <c r="B19" s="13">
        <f>B22+B21</f>
        <v>6</v>
      </c>
      <c r="C19" s="6">
        <f>IF(B$3=0,0,B19/B$3)</f>
        <v>0.20689655172413793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</row>
    <row r="20" spans="1:9" x14ac:dyDescent="0.45">
      <c r="A20" s="21" t="s">
        <v>13</v>
      </c>
      <c r="B20" s="14">
        <v>7</v>
      </c>
      <c r="C20" s="8">
        <f>IF(B$3=0,0,B20/B$3)</f>
        <v>0.2413793103448276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9" x14ac:dyDescent="0.45">
      <c r="A21" s="21" t="s">
        <v>12</v>
      </c>
      <c r="B21" s="14">
        <v>4</v>
      </c>
      <c r="C21" s="8">
        <f>IF(B$19=0,0,B21/B$19)</f>
        <v>0.66666666666666663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2</v>
      </c>
      <c r="C22" s="8">
        <f>IF(B$19=0,0,B22/B$19)</f>
        <v>0.33333333333333331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4</v>
      </c>
      <c r="C23" s="8">
        <f>IF(B$19=0,0,B23/B$19)</f>
        <v>0.66666666666666663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1</v>
      </c>
      <c r="C24" s="8">
        <f>IF(B$19=0,0,B24/B$19)</f>
        <v>0.16666666666666666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9</v>
      </c>
    </row>
    <row r="25" spans="1:9" x14ac:dyDescent="0.45">
      <c r="A25" s="21" t="s">
        <v>183</v>
      </c>
      <c r="B25" s="14">
        <v>1</v>
      </c>
      <c r="C25" s="8">
        <f>IF(B$19=0,0,B25/B$19)</f>
        <v>0.16666666666666666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9433.3333333333339</v>
      </c>
      <c r="C26" s="10">
        <v>56600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11120</v>
      </c>
      <c r="C27" s="100">
        <v>55600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</v>
      </c>
      <c r="C28" s="100">
        <v>1000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-4914.2857142857147</v>
      </c>
      <c r="C29" s="100">
        <v>-34400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7</v>
      </c>
    </row>
    <row r="31" spans="1:9" x14ac:dyDescent="0.45">
      <c r="A31" s="21" t="s">
        <v>159</v>
      </c>
      <c r="B31" s="14">
        <v>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33">
        <v>3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39600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9">
        <v>1</v>
      </c>
      <c r="C36" s="102">
        <f t="shared" ref="C36:C48" si="2">IF(B$19=0,0,B36/B$19)</f>
        <v>0.16666666666666666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0">
        <v>1</v>
      </c>
      <c r="C38" s="8">
        <f t="shared" si="2"/>
        <v>0.16666666666666666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0">
        <v>1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0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0">
        <v>3</v>
      </c>
      <c r="C41" s="8">
        <f t="shared" si="2"/>
        <v>0.5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30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3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011A4-DABC-4F5A-B9BE-FFFFD23AB47A}">
  <sheetPr codeName="Sheet28"/>
  <dimension ref="A1:Q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243</v>
      </c>
      <c r="B1" s="36" t="s">
        <v>243</v>
      </c>
      <c r="C1" s="36" t="s">
        <v>243</v>
      </c>
      <c r="D1" s="37" t="s">
        <v>243</v>
      </c>
      <c r="E1" s="36" t="s">
        <v>243</v>
      </c>
      <c r="F1" s="36" t="s">
        <v>243</v>
      </c>
      <c r="G1" s="36" t="s">
        <v>243</v>
      </c>
      <c r="H1" s="36" t="s">
        <v>243</v>
      </c>
      <c r="I1" s="36" t="s">
        <v>243</v>
      </c>
      <c r="J1" s="36" t="s">
        <v>243</v>
      </c>
      <c r="K1" s="36" t="s">
        <v>243</v>
      </c>
      <c r="L1" s="36" t="s">
        <v>243</v>
      </c>
      <c r="M1" s="36" t="s">
        <v>243</v>
      </c>
      <c r="N1" s="36" t="s">
        <v>243</v>
      </c>
      <c r="O1" s="36" t="s">
        <v>243</v>
      </c>
      <c r="P1" s="36" t="s">
        <v>243</v>
      </c>
      <c r="Q1" s="36" t="s">
        <v>243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-18.399999999999999</v>
      </c>
      <c r="C4" s="32">
        <v>-18.399999999999999</v>
      </c>
      <c r="D4" s="37">
        <v>3</v>
      </c>
      <c r="E4" s="33">
        <v>0</v>
      </c>
      <c r="F4" s="33">
        <v>1</v>
      </c>
      <c r="G4" s="33">
        <v>0.125</v>
      </c>
      <c r="H4" s="33">
        <v>0.25</v>
      </c>
      <c r="I4" s="34">
        <v>18000</v>
      </c>
      <c r="J4" s="34">
        <v>-5950</v>
      </c>
      <c r="K4" s="33">
        <v>0</v>
      </c>
      <c r="L4" s="33">
        <v>0.25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-3.7999999999999989</v>
      </c>
      <c r="C5" s="32">
        <v>-1.8999999999999995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0.16666666666666666</v>
      </c>
      <c r="I5" s="34">
        <v>10150</v>
      </c>
      <c r="J5" s="34">
        <v>-6633.333333333333</v>
      </c>
      <c r="K5" s="33">
        <v>0</v>
      </c>
      <c r="L5" s="33">
        <v>0.22222222222222221</v>
      </c>
      <c r="M5" s="33">
        <v>0.1111111111111111</v>
      </c>
      <c r="N5" s="33">
        <v>0.75</v>
      </c>
      <c r="O5" s="33">
        <v>0.5</v>
      </c>
      <c r="P5" s="33">
        <v>0.75</v>
      </c>
    </row>
    <row r="6" spans="1:17" x14ac:dyDescent="0.45">
      <c r="A6" s="35">
        <v>3</v>
      </c>
      <c r="B6" s="32">
        <v>-10.099999999999998</v>
      </c>
      <c r="C6" s="32">
        <v>-3.3666666666666658</v>
      </c>
      <c r="D6" s="37">
        <v>2</v>
      </c>
      <c r="E6" s="33">
        <v>0.33333333333333331</v>
      </c>
      <c r="F6" s="33">
        <v>0.33333333333333331</v>
      </c>
      <c r="G6" s="33">
        <v>0.20689655172413793</v>
      </c>
      <c r="H6" s="33">
        <v>0.2413793103448276</v>
      </c>
      <c r="I6" s="34">
        <v>9433.3333333333339</v>
      </c>
      <c r="J6" s="34">
        <v>-4914.2857142857147</v>
      </c>
      <c r="K6" s="33">
        <v>0</v>
      </c>
      <c r="L6" s="33">
        <v>0.17241379310344829</v>
      </c>
      <c r="M6" s="33">
        <v>0.10344827586206896</v>
      </c>
      <c r="N6" s="33">
        <v>0.8</v>
      </c>
      <c r="O6" s="33">
        <v>0.33333333333333331</v>
      </c>
      <c r="P6" s="33">
        <v>0.66666666666666663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FBD00-92E5-4D20-9194-9D1646BB2DD9}">
  <sheetPr codeName="Sheet26"/>
  <dimension ref="A1:Q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240</v>
      </c>
      <c r="B1" s="36" t="s">
        <v>240</v>
      </c>
      <c r="C1" s="36" t="s">
        <v>240</v>
      </c>
      <c r="D1" s="37" t="s">
        <v>240</v>
      </c>
      <c r="E1" s="36" t="s">
        <v>240</v>
      </c>
      <c r="F1" s="36" t="s">
        <v>240</v>
      </c>
      <c r="G1" s="36" t="s">
        <v>240</v>
      </c>
      <c r="H1" s="36" t="s">
        <v>240</v>
      </c>
      <c r="I1" s="36" t="s">
        <v>240</v>
      </c>
      <c r="J1" s="36" t="s">
        <v>240</v>
      </c>
      <c r="K1" s="36" t="s">
        <v>240</v>
      </c>
      <c r="L1" s="36" t="s">
        <v>240</v>
      </c>
      <c r="M1" s="36" t="s">
        <v>240</v>
      </c>
      <c r="N1" s="36" t="s">
        <v>240</v>
      </c>
      <c r="O1" s="36" t="s">
        <v>240</v>
      </c>
      <c r="P1" s="36" t="s">
        <v>240</v>
      </c>
      <c r="Q1" s="36" t="s">
        <v>240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10.199999999999999</v>
      </c>
      <c r="C4" s="32">
        <v>10.199999999999999</v>
      </c>
      <c r="D4" s="37">
        <v>2</v>
      </c>
      <c r="E4" s="33">
        <v>0</v>
      </c>
      <c r="F4" s="33">
        <v>0</v>
      </c>
      <c r="G4" s="33">
        <v>0.2857142857142857</v>
      </c>
      <c r="H4" s="33">
        <v>0</v>
      </c>
      <c r="I4" s="34">
        <v>7100</v>
      </c>
      <c r="J4" s="34">
        <v>0</v>
      </c>
      <c r="K4" s="33">
        <v>0</v>
      </c>
      <c r="L4" s="33">
        <v>0.14285714285714285</v>
      </c>
      <c r="M4" s="33">
        <v>0.42857142857142855</v>
      </c>
      <c r="N4" s="33">
        <v>1</v>
      </c>
      <c r="O4" s="33">
        <v>0.33333333333333331</v>
      </c>
      <c r="P4" s="33">
        <v>0</v>
      </c>
    </row>
    <row r="5" spans="1:17" x14ac:dyDescent="0.45">
      <c r="A5" s="35">
        <v>2</v>
      </c>
      <c r="B5" s="32">
        <v>-29.900000000000002</v>
      </c>
      <c r="C5" s="32">
        <v>-14.950000000000001</v>
      </c>
      <c r="D5" s="37">
        <v>2.5</v>
      </c>
      <c r="E5" s="33">
        <v>0</v>
      </c>
      <c r="F5" s="33">
        <v>0.5</v>
      </c>
      <c r="G5" s="33">
        <v>0.2</v>
      </c>
      <c r="H5" s="33">
        <v>6.6666666666666666E-2</v>
      </c>
      <c r="I5" s="34">
        <v>7300</v>
      </c>
      <c r="J5" s="34">
        <v>-16000</v>
      </c>
      <c r="K5" s="33">
        <v>0</v>
      </c>
      <c r="L5" s="33">
        <v>6.6666666666666666E-2</v>
      </c>
      <c r="M5" s="33">
        <v>0.26666666666666666</v>
      </c>
      <c r="N5" s="33">
        <v>1</v>
      </c>
      <c r="O5" s="33">
        <v>0.25</v>
      </c>
      <c r="P5" s="33">
        <v>0.33333333333333331</v>
      </c>
    </row>
    <row r="6" spans="1:17" x14ac:dyDescent="0.45">
      <c r="A6" s="35">
        <v>3</v>
      </c>
      <c r="B6" s="32">
        <v>-37.1</v>
      </c>
      <c r="C6" s="32">
        <v>-12.366666666666667</v>
      </c>
      <c r="D6" s="37">
        <v>2.3333333333333335</v>
      </c>
      <c r="E6" s="33">
        <v>0</v>
      </c>
      <c r="F6" s="33">
        <v>0.33333333333333331</v>
      </c>
      <c r="G6" s="33">
        <v>0.25</v>
      </c>
      <c r="H6" s="33">
        <v>8.3333333333333329E-2</v>
      </c>
      <c r="I6" s="34">
        <v>6400</v>
      </c>
      <c r="J6" s="34">
        <v>-11850</v>
      </c>
      <c r="K6" s="33">
        <v>0</v>
      </c>
      <c r="L6" s="33">
        <v>0.20833333333333334</v>
      </c>
      <c r="M6" s="33">
        <v>0.16666666666666666</v>
      </c>
      <c r="N6" s="33">
        <v>0.8</v>
      </c>
      <c r="O6" s="33">
        <v>0.25</v>
      </c>
      <c r="P6" s="33">
        <v>0.5</v>
      </c>
    </row>
    <row r="7" spans="1:17" x14ac:dyDescent="0.45">
      <c r="A7" s="35">
        <v>4</v>
      </c>
      <c r="B7" s="32">
        <v>-85.800000000000011</v>
      </c>
      <c r="C7" s="32">
        <v>-21.450000000000003</v>
      </c>
      <c r="D7" s="37">
        <v>2.5</v>
      </c>
      <c r="E7" s="33">
        <v>0</v>
      </c>
      <c r="F7" s="33">
        <v>0.5</v>
      </c>
      <c r="G7" s="33">
        <v>0.1875</v>
      </c>
      <c r="H7" s="33">
        <v>9.375E-2</v>
      </c>
      <c r="I7" s="34">
        <v>6400</v>
      </c>
      <c r="J7" s="34">
        <v>-8400</v>
      </c>
      <c r="K7" s="33">
        <v>0.25</v>
      </c>
      <c r="L7" s="33">
        <v>0.1875</v>
      </c>
      <c r="M7" s="33">
        <v>0.125</v>
      </c>
      <c r="N7" s="33">
        <v>0.66666666666666663</v>
      </c>
      <c r="O7" s="33">
        <v>0.25</v>
      </c>
      <c r="P7" s="33">
        <v>0.5</v>
      </c>
    </row>
    <row r="8" spans="1:17" x14ac:dyDescent="0.45">
      <c r="A8" s="35">
        <v>5</v>
      </c>
      <c r="B8" s="32">
        <v>-113.70000000000002</v>
      </c>
      <c r="C8" s="32">
        <v>-22.740000000000002</v>
      </c>
      <c r="D8" s="37">
        <v>2.4</v>
      </c>
      <c r="E8" s="33">
        <v>0</v>
      </c>
      <c r="F8" s="33">
        <v>0.4</v>
      </c>
      <c r="G8" s="33">
        <v>0.17073170731707318</v>
      </c>
      <c r="H8" s="33">
        <v>0.14634146341463414</v>
      </c>
      <c r="I8" s="34">
        <v>7142.8571428571431</v>
      </c>
      <c r="J8" s="34">
        <v>-8866.6666666666661</v>
      </c>
      <c r="K8" s="33">
        <v>0.2</v>
      </c>
      <c r="L8" s="33">
        <v>0.26829268292682928</v>
      </c>
      <c r="M8" s="33">
        <v>0.12195121951219512</v>
      </c>
      <c r="N8" s="33">
        <v>0.45454545454545453</v>
      </c>
      <c r="O8" s="33">
        <v>0.2</v>
      </c>
      <c r="P8" s="33">
        <v>0.42857142857142855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8DBED-E05B-4D37-B811-AE55893EF611}">
  <sheetPr codeName="Sheet24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212</v>
      </c>
      <c r="B1" s="36" t="s">
        <v>212</v>
      </c>
      <c r="C1" s="36" t="s">
        <v>212</v>
      </c>
      <c r="D1" s="37" t="s">
        <v>212</v>
      </c>
      <c r="E1" s="36" t="s">
        <v>212</v>
      </c>
      <c r="F1" s="36" t="s">
        <v>212</v>
      </c>
      <c r="G1" s="36" t="s">
        <v>212</v>
      </c>
      <c r="H1" s="36" t="s">
        <v>212</v>
      </c>
      <c r="I1" s="36" t="s">
        <v>212</v>
      </c>
      <c r="J1" s="36" t="s">
        <v>212</v>
      </c>
      <c r="K1" s="36" t="s">
        <v>212</v>
      </c>
      <c r="L1" s="36" t="s">
        <v>212</v>
      </c>
      <c r="M1" s="36" t="s">
        <v>212</v>
      </c>
      <c r="N1" s="36" t="s">
        <v>212</v>
      </c>
      <c r="O1" s="36" t="s">
        <v>212</v>
      </c>
      <c r="P1" s="36" t="s">
        <v>212</v>
      </c>
      <c r="Q1" s="36" t="s">
        <v>212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56685-A7FA-4349-97BA-FD686999AD40}">
  <sheetPr codeName="Sheet22"/>
  <dimension ref="A1:Q4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5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5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5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5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5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5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45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45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  <row r="31" spans="1:16" x14ac:dyDescent="0.45">
      <c r="A31" s="35">
        <v>28</v>
      </c>
      <c r="B31" s="32">
        <v>-104.30000000000001</v>
      </c>
      <c r="C31" s="32">
        <v>-3.7250000000000005</v>
      </c>
      <c r="D31" s="37">
        <v>2.0714285714285716</v>
      </c>
      <c r="E31" s="33">
        <v>0.32142857142857145</v>
      </c>
      <c r="F31" s="33">
        <v>0.39285714285714285</v>
      </c>
      <c r="G31" s="33">
        <v>0.3108108108108108</v>
      </c>
      <c r="H31" s="33">
        <v>0.18468468468468469</v>
      </c>
      <c r="I31" s="34">
        <v>8523.188405797102</v>
      </c>
      <c r="J31" s="34">
        <v>-8975.6097560975613</v>
      </c>
      <c r="K31" s="33">
        <v>0.14285714285714285</v>
      </c>
      <c r="L31" s="33">
        <v>0.16216216216216217</v>
      </c>
      <c r="M31" s="33">
        <v>0.30180180180180183</v>
      </c>
      <c r="N31" s="33">
        <v>0.61111111111111116</v>
      </c>
      <c r="O31" s="33">
        <v>0.29850746268656714</v>
      </c>
      <c r="P31" s="33">
        <v>0.40579710144927539</v>
      </c>
    </row>
    <row r="32" spans="1:16" x14ac:dyDescent="0.45">
      <c r="A32" s="35">
        <v>29</v>
      </c>
      <c r="B32" s="32">
        <v>-140.5</v>
      </c>
      <c r="C32" s="32">
        <v>-4.8448275862068968</v>
      </c>
      <c r="D32" s="37">
        <v>2.103448275862069</v>
      </c>
      <c r="E32" s="33">
        <v>0.31034482758620691</v>
      </c>
      <c r="F32" s="33">
        <v>0.41379310344827586</v>
      </c>
      <c r="G32" s="33">
        <v>0.30735930735930733</v>
      </c>
      <c r="H32" s="33">
        <v>0.18181818181818182</v>
      </c>
      <c r="I32" s="34">
        <v>8347.8873239436616</v>
      </c>
      <c r="J32" s="34">
        <v>-9142.8571428571431</v>
      </c>
      <c r="K32" s="33">
        <v>0.13793103448275862</v>
      </c>
      <c r="L32" s="33">
        <v>0.16883116883116883</v>
      </c>
      <c r="M32" s="33">
        <v>0.29870129870129869</v>
      </c>
      <c r="N32" s="33">
        <v>0.61538461538461542</v>
      </c>
      <c r="O32" s="33">
        <v>0.28985507246376813</v>
      </c>
      <c r="P32" s="33">
        <v>0.39436619718309857</v>
      </c>
    </row>
    <row r="33" spans="1:16" x14ac:dyDescent="0.45">
      <c r="A33" s="35">
        <v>30</v>
      </c>
      <c r="B33" s="32">
        <v>-181.3</v>
      </c>
      <c r="C33" s="32">
        <v>-6.0433333333333339</v>
      </c>
      <c r="D33" s="37">
        <v>2.1333333333333333</v>
      </c>
      <c r="E33" s="33">
        <v>0.3</v>
      </c>
      <c r="F33" s="33">
        <v>0.43333333333333335</v>
      </c>
      <c r="G33" s="33">
        <v>0.29957805907172996</v>
      </c>
      <c r="H33" s="33">
        <v>0.18143459915611815</v>
      </c>
      <c r="I33" s="34">
        <v>8347.8873239436616</v>
      </c>
      <c r="J33" s="34">
        <v>-9116.2790697674427</v>
      </c>
      <c r="K33" s="33">
        <v>0.13333333333333333</v>
      </c>
      <c r="L33" s="33">
        <v>0.16877637130801687</v>
      </c>
      <c r="M33" s="33">
        <v>0.29535864978902954</v>
      </c>
      <c r="N33" s="33">
        <v>0.6</v>
      </c>
      <c r="O33" s="33">
        <v>0.2857142857142857</v>
      </c>
      <c r="P33" s="33">
        <v>0.39436619718309857</v>
      </c>
    </row>
    <row r="34" spans="1:16" x14ac:dyDescent="0.45">
      <c r="A34" s="35">
        <v>31</v>
      </c>
      <c r="B34" s="32">
        <v>-180.3</v>
      </c>
      <c r="C34" s="32">
        <v>-5.8161290322580648</v>
      </c>
      <c r="D34" s="37">
        <v>2.129032258064516</v>
      </c>
      <c r="E34" s="33">
        <v>0.29032258064516131</v>
      </c>
      <c r="F34" s="33">
        <v>0.41935483870967744</v>
      </c>
      <c r="G34" s="33">
        <v>0.29629629629629628</v>
      </c>
      <c r="H34" s="33">
        <v>0.17695473251028807</v>
      </c>
      <c r="I34" s="34">
        <v>8343.0555555555547</v>
      </c>
      <c r="J34" s="34">
        <v>-9116.2790697674427</v>
      </c>
      <c r="K34" s="33">
        <v>0.12903225806451613</v>
      </c>
      <c r="L34" s="33">
        <v>0.16460905349794239</v>
      </c>
      <c r="M34" s="33">
        <v>0.29218106995884774</v>
      </c>
      <c r="N34" s="33">
        <v>0.6</v>
      </c>
      <c r="O34" s="33">
        <v>0.29577464788732394</v>
      </c>
      <c r="P34" s="33">
        <v>0.3888888888888889</v>
      </c>
    </row>
    <row r="35" spans="1:16" x14ac:dyDescent="0.45">
      <c r="A35" s="35">
        <v>32</v>
      </c>
      <c r="B35" s="32">
        <v>-199.60000000000002</v>
      </c>
      <c r="C35" s="32">
        <v>-6.2375000000000007</v>
      </c>
      <c r="D35" s="37">
        <v>2.15625</v>
      </c>
      <c r="E35" s="33">
        <v>0.28125</v>
      </c>
      <c r="F35" s="33">
        <v>0.4375</v>
      </c>
      <c r="G35" s="33">
        <v>0.3</v>
      </c>
      <c r="H35" s="33">
        <v>0.17599999999999999</v>
      </c>
      <c r="I35" s="34">
        <v>8145.333333333333</v>
      </c>
      <c r="J35" s="34">
        <v>-9090.9090909090901</v>
      </c>
      <c r="K35" s="33">
        <v>0.125</v>
      </c>
      <c r="L35" s="33">
        <v>0.16400000000000001</v>
      </c>
      <c r="M35" s="33">
        <v>0.29599999999999999</v>
      </c>
      <c r="N35" s="33">
        <v>0.6097560975609756</v>
      </c>
      <c r="O35" s="33">
        <v>0.3108108108108108</v>
      </c>
      <c r="P35" s="33">
        <v>0.38666666666666666</v>
      </c>
    </row>
    <row r="36" spans="1:16" x14ac:dyDescent="0.45">
      <c r="A36" s="35">
        <v>33</v>
      </c>
      <c r="B36" s="32">
        <v>-242.10000000000002</v>
      </c>
      <c r="C36" s="32">
        <v>-7.3363636363636369</v>
      </c>
      <c r="D36" s="37">
        <v>2.1818181818181817</v>
      </c>
      <c r="E36" s="33">
        <v>0.27272727272727271</v>
      </c>
      <c r="F36" s="33">
        <v>0.45454545454545453</v>
      </c>
      <c r="G36" s="33">
        <v>0.29615384615384616</v>
      </c>
      <c r="H36" s="33">
        <v>0.18461538461538463</v>
      </c>
      <c r="I36" s="34">
        <v>8141.5584415584417</v>
      </c>
      <c r="J36" s="34">
        <v>-9333.3333333333339</v>
      </c>
      <c r="K36" s="33">
        <v>0.12121212121212122</v>
      </c>
      <c r="L36" s="33">
        <v>0.16923076923076924</v>
      </c>
      <c r="M36" s="33">
        <v>0.28846153846153844</v>
      </c>
      <c r="N36" s="33">
        <v>0.61363636363636365</v>
      </c>
      <c r="O36" s="33">
        <v>0.30666666666666664</v>
      </c>
      <c r="P36" s="33">
        <v>0.38961038961038963</v>
      </c>
    </row>
    <row r="37" spans="1:16" x14ac:dyDescent="0.45">
      <c r="A37" s="35">
        <v>34</v>
      </c>
      <c r="B37" s="32">
        <v>-238.00000000000003</v>
      </c>
      <c r="C37" s="32">
        <v>-7.0000000000000009</v>
      </c>
      <c r="D37" s="37">
        <v>2.1764705882352939</v>
      </c>
      <c r="E37" s="33">
        <v>0.26470588235294118</v>
      </c>
      <c r="F37" s="33">
        <v>0.44117647058823528</v>
      </c>
      <c r="G37" s="33">
        <v>0.29699248120300753</v>
      </c>
      <c r="H37" s="33">
        <v>0.18045112781954886</v>
      </c>
      <c r="I37" s="34">
        <v>8153.164556962025</v>
      </c>
      <c r="J37" s="34">
        <v>-9333.3333333333339</v>
      </c>
      <c r="K37" s="33">
        <v>0.11764705882352941</v>
      </c>
      <c r="L37" s="33">
        <v>0.16917293233082706</v>
      </c>
      <c r="M37" s="33">
        <v>0.28195488721804512</v>
      </c>
      <c r="N37" s="33">
        <v>0.62222222222222223</v>
      </c>
      <c r="O37" s="33">
        <v>0.30666666666666664</v>
      </c>
      <c r="P37" s="33">
        <v>0.379746835443038</v>
      </c>
    </row>
    <row r="38" spans="1:16" x14ac:dyDescent="0.45">
      <c r="A38" s="35">
        <v>35</v>
      </c>
      <c r="B38" s="32">
        <v>-209.50000000000003</v>
      </c>
      <c r="C38" s="32">
        <v>-5.9857142857142867</v>
      </c>
      <c r="D38" s="37">
        <v>2.1428571428571428</v>
      </c>
      <c r="E38" s="33">
        <v>0.2857142857142857</v>
      </c>
      <c r="F38" s="33">
        <v>0.42857142857142855</v>
      </c>
      <c r="G38" s="33">
        <v>0.3014705882352941</v>
      </c>
      <c r="H38" s="33">
        <v>0.17647058823529413</v>
      </c>
      <c r="I38" s="34">
        <v>8186.5853658536589</v>
      </c>
      <c r="J38" s="34">
        <v>-9333.3333333333339</v>
      </c>
      <c r="K38" s="33">
        <v>0.11428571428571428</v>
      </c>
      <c r="L38" s="33">
        <v>0.17279411764705882</v>
      </c>
      <c r="M38" s="33">
        <v>0.28308823529411764</v>
      </c>
      <c r="N38" s="33">
        <v>0.63829787234042556</v>
      </c>
      <c r="O38" s="33">
        <v>0.31168831168831168</v>
      </c>
      <c r="P38" s="33">
        <v>0.3902439024390244</v>
      </c>
    </row>
    <row r="39" spans="1:16" x14ac:dyDescent="0.45">
      <c r="A39" s="35">
        <v>36</v>
      </c>
      <c r="B39" s="32">
        <v>-215.90000000000003</v>
      </c>
      <c r="C39" s="32">
        <v>-5.9972222222222236</v>
      </c>
      <c r="D39" s="37">
        <v>2.1388888888888888</v>
      </c>
      <c r="E39" s="33">
        <v>0.27777777777777779</v>
      </c>
      <c r="F39" s="33">
        <v>0.41666666666666669</v>
      </c>
      <c r="G39" s="33">
        <v>0.30107526881720431</v>
      </c>
      <c r="H39" s="33">
        <v>0.17921146953405018</v>
      </c>
      <c r="I39" s="34">
        <v>8229.7619047619046</v>
      </c>
      <c r="J39" s="34">
        <v>-9328</v>
      </c>
      <c r="K39" s="33">
        <v>0.1111111111111111</v>
      </c>
      <c r="L39" s="33">
        <v>0.17562724014336917</v>
      </c>
      <c r="M39" s="33">
        <v>0.28673835125448027</v>
      </c>
      <c r="N39" s="33">
        <v>0.63265306122448983</v>
      </c>
      <c r="O39" s="33">
        <v>0.3125</v>
      </c>
      <c r="P39" s="33">
        <v>0.40476190476190477</v>
      </c>
    </row>
    <row r="40" spans="1:16" x14ac:dyDescent="0.45">
      <c r="A40" s="35">
        <v>37</v>
      </c>
      <c r="B40" s="32">
        <v>-222.60000000000002</v>
      </c>
      <c r="C40" s="32">
        <v>-6.0162162162162165</v>
      </c>
      <c r="D40" s="37">
        <v>2.1351351351351351</v>
      </c>
      <c r="E40" s="33">
        <v>0.27027027027027029</v>
      </c>
      <c r="F40" s="33">
        <v>0.40540540540540543</v>
      </c>
      <c r="G40" s="33">
        <v>0.30313588850174217</v>
      </c>
      <c r="H40" s="33">
        <v>0.17770034843205576</v>
      </c>
      <c r="I40" s="34">
        <v>8110.3448275862065</v>
      </c>
      <c r="J40" s="34">
        <v>-9301.9607843137255</v>
      </c>
      <c r="K40" s="33">
        <v>0.10810810810810811</v>
      </c>
      <c r="L40" s="33">
        <v>0.18118466898954705</v>
      </c>
      <c r="M40" s="33">
        <v>0.28222996515679444</v>
      </c>
      <c r="N40" s="33">
        <v>0.63461538461538458</v>
      </c>
      <c r="O40" s="33">
        <v>0.32098765432098764</v>
      </c>
      <c r="P40" s="33">
        <v>0.41379310344827586</v>
      </c>
    </row>
    <row r="41" spans="1:16" x14ac:dyDescent="0.45">
      <c r="A41" s="35">
        <v>38</v>
      </c>
      <c r="B41" s="32">
        <v>-198.20000000000002</v>
      </c>
      <c r="C41" s="32">
        <v>-5.215789473684211</v>
      </c>
      <c r="D41" s="37">
        <v>2.1052631578947367</v>
      </c>
      <c r="E41" s="33">
        <v>0.28947368421052633</v>
      </c>
      <c r="F41" s="33">
        <v>0.39473684210526316</v>
      </c>
      <c r="G41" s="33">
        <v>0.30952380952380953</v>
      </c>
      <c r="H41" s="33">
        <v>0.17687074829931973</v>
      </c>
      <c r="I41" s="34">
        <v>8087.9120879120883</v>
      </c>
      <c r="J41" s="34">
        <v>-9161.538461538461</v>
      </c>
      <c r="K41" s="33">
        <v>0.10526315789473684</v>
      </c>
      <c r="L41" s="33">
        <v>0.17687074829931973</v>
      </c>
      <c r="M41" s="33">
        <v>0.27551020408163263</v>
      </c>
      <c r="N41" s="33">
        <v>0.63461538461538458</v>
      </c>
      <c r="O41" s="33">
        <v>0.32098765432098764</v>
      </c>
      <c r="P41" s="33">
        <v>0.43956043956043955</v>
      </c>
    </row>
    <row r="42" spans="1:16" x14ac:dyDescent="0.45">
      <c r="A42" s="35">
        <v>39</v>
      </c>
      <c r="B42" s="32">
        <v>-153.30000000000001</v>
      </c>
      <c r="C42" s="32">
        <v>-3.930769230769231</v>
      </c>
      <c r="D42" s="37">
        <v>2.0769230769230771</v>
      </c>
      <c r="E42" s="33">
        <v>0.30769230769230771</v>
      </c>
      <c r="F42" s="33">
        <v>0.38461538461538464</v>
      </c>
      <c r="G42" s="33">
        <v>0.32</v>
      </c>
      <c r="H42" s="33">
        <v>0.17333333333333334</v>
      </c>
      <c r="I42" s="34">
        <v>7946.875</v>
      </c>
      <c r="J42" s="34">
        <v>-9161.538461538461</v>
      </c>
      <c r="K42" s="33">
        <v>0.10256410256410256</v>
      </c>
      <c r="L42" s="33">
        <v>0.17333333333333334</v>
      </c>
      <c r="M42" s="33">
        <v>0.27333333333333332</v>
      </c>
      <c r="N42" s="33">
        <v>0.63461538461538458</v>
      </c>
      <c r="O42" s="33">
        <v>0.32926829268292684</v>
      </c>
      <c r="P42" s="33">
        <v>0.44791666666666669</v>
      </c>
    </row>
    <row r="43" spans="1:16" x14ac:dyDescent="0.45">
      <c r="A43" s="35">
        <v>40</v>
      </c>
      <c r="B43" s="32">
        <v>-153.5</v>
      </c>
      <c r="C43" s="32">
        <v>-3.8374999999999999</v>
      </c>
      <c r="D43" s="37">
        <v>2.0750000000000002</v>
      </c>
      <c r="E43" s="33">
        <v>0.3</v>
      </c>
      <c r="F43" s="33">
        <v>0.375</v>
      </c>
      <c r="G43" s="33">
        <v>0.32142857142857145</v>
      </c>
      <c r="H43" s="33">
        <v>0.16883116883116883</v>
      </c>
      <c r="I43" s="34">
        <v>7921.212121212121</v>
      </c>
      <c r="J43" s="34">
        <v>-9161.538461538461</v>
      </c>
      <c r="K43" s="33">
        <v>0.1</v>
      </c>
      <c r="L43" s="33">
        <v>0.17207792207792208</v>
      </c>
      <c r="M43" s="33">
        <v>0.27272727272727271</v>
      </c>
      <c r="N43" s="33">
        <v>0.64150943396226412</v>
      </c>
      <c r="O43" s="33">
        <v>0.33333333333333331</v>
      </c>
      <c r="P43" s="33">
        <v>0.46464646464646464</v>
      </c>
    </row>
    <row r="44" spans="1:16" x14ac:dyDescent="0.45">
      <c r="A44" s="35">
        <v>41</v>
      </c>
      <c r="B44" s="32">
        <v>-200.3</v>
      </c>
      <c r="C44" s="32">
        <v>-4.8853658536585369</v>
      </c>
      <c r="D44" s="37">
        <v>2.0975609756097562</v>
      </c>
      <c r="E44" s="33">
        <v>0.29268292682926828</v>
      </c>
      <c r="F44" s="33">
        <v>0.3902439024390244</v>
      </c>
      <c r="G44" s="33">
        <v>0.31746031746031744</v>
      </c>
      <c r="H44" s="33">
        <v>0.17142857142857143</v>
      </c>
      <c r="I44" s="34">
        <v>7881</v>
      </c>
      <c r="J44" s="34">
        <v>-9251.8518518518522</v>
      </c>
      <c r="K44" s="33">
        <v>0.12195121951219512</v>
      </c>
      <c r="L44" s="33">
        <v>0.17460317460317459</v>
      </c>
      <c r="M44" s="33">
        <v>0.26984126984126983</v>
      </c>
      <c r="N44" s="33">
        <v>0.63636363636363635</v>
      </c>
      <c r="O44" s="33">
        <v>0.32941176470588235</v>
      </c>
      <c r="P44" s="33">
        <v>0.46</v>
      </c>
    </row>
    <row r="45" spans="1:16" x14ac:dyDescent="0.45">
      <c r="A45" s="35">
        <v>42</v>
      </c>
      <c r="B45" s="32">
        <v>-193.20000000000002</v>
      </c>
      <c r="C45" s="32">
        <v>-4.6000000000000005</v>
      </c>
      <c r="D45" s="37">
        <v>2.0952380952380953</v>
      </c>
      <c r="E45" s="33">
        <v>0.2857142857142857</v>
      </c>
      <c r="F45" s="33">
        <v>0.38095238095238093</v>
      </c>
      <c r="G45" s="33">
        <v>0.31578947368421051</v>
      </c>
      <c r="H45" s="33">
        <v>0.17337461300309598</v>
      </c>
      <c r="I45" s="34">
        <v>8118.6274509803925</v>
      </c>
      <c r="J45" s="34">
        <v>-9228.5714285714294</v>
      </c>
      <c r="K45" s="33">
        <v>0.11904761904761904</v>
      </c>
      <c r="L45" s="33">
        <v>0.17647058823529413</v>
      </c>
      <c r="M45" s="33">
        <v>0.26934984520123839</v>
      </c>
      <c r="N45" s="33">
        <v>0.64912280701754388</v>
      </c>
      <c r="O45" s="33">
        <v>0.32183908045977011</v>
      </c>
      <c r="P45" s="33">
        <v>0.46078431372549017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41051-9763-4F69-8384-2612E5FC2847}">
  <sheetPr codeName="Sheet20"/>
  <dimension ref="A1:Q1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  <row r="12" spans="1:17" x14ac:dyDescent="0.45">
      <c r="A12" s="35">
        <v>9</v>
      </c>
      <c r="B12" s="32">
        <v>21.599999999999987</v>
      </c>
      <c r="C12" s="32">
        <v>2.3999999999999986</v>
      </c>
      <c r="D12" s="37">
        <v>1.8888888888888888</v>
      </c>
      <c r="E12" s="33">
        <v>0.22222222222222221</v>
      </c>
      <c r="F12" s="33">
        <v>0.1111111111111111</v>
      </c>
      <c r="G12" s="33">
        <v>0.26027397260273971</v>
      </c>
      <c r="H12" s="33">
        <v>6.8493150684931503E-2</v>
      </c>
      <c r="I12" s="34">
        <v>7736.8421052631575</v>
      </c>
      <c r="J12" s="34">
        <v>-4300</v>
      </c>
      <c r="K12" s="33">
        <v>0</v>
      </c>
      <c r="L12" s="33">
        <v>0.27397260273972601</v>
      </c>
      <c r="M12" s="33">
        <v>0.15068493150684931</v>
      </c>
      <c r="N12" s="33">
        <v>0.65</v>
      </c>
      <c r="O12" s="33">
        <v>0.36363636363636365</v>
      </c>
      <c r="P12" s="33">
        <v>0.47368421052631576</v>
      </c>
    </row>
    <row r="13" spans="1:17" x14ac:dyDescent="0.45">
      <c r="A13" s="35">
        <v>10</v>
      </c>
      <c r="B13" s="32">
        <v>-13.400000000000013</v>
      </c>
      <c r="C13" s="32">
        <v>-1.3400000000000012</v>
      </c>
      <c r="D13" s="37">
        <v>2</v>
      </c>
      <c r="E13" s="33">
        <v>0.2</v>
      </c>
      <c r="F13" s="33">
        <v>0.2</v>
      </c>
      <c r="G13" s="33">
        <v>0.23456790123456789</v>
      </c>
      <c r="H13" s="33">
        <v>7.407407407407407E-2</v>
      </c>
      <c r="I13" s="34">
        <v>7736.8421052631575</v>
      </c>
      <c r="J13" s="34">
        <v>-3916.6666666666665</v>
      </c>
      <c r="K13" s="33">
        <v>0</v>
      </c>
      <c r="L13" s="33">
        <v>0.25925925925925924</v>
      </c>
      <c r="M13" s="33">
        <v>0.13580246913580246</v>
      </c>
      <c r="N13" s="33">
        <v>0.61904761904761907</v>
      </c>
      <c r="O13" s="33">
        <v>0.36363636363636365</v>
      </c>
      <c r="P13" s="33">
        <v>0.47368421052631576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FB93-E7C7-4BB7-8240-FB11CC61D43E}">
  <sheetPr codeName="Sheet18"/>
  <dimension ref="A1:Q47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45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  <row r="31" spans="1:16" x14ac:dyDescent="0.45">
      <c r="A31" s="35">
        <v>28</v>
      </c>
      <c r="B31" s="32">
        <v>50.5</v>
      </c>
      <c r="C31" s="32">
        <v>1.8035714285714286</v>
      </c>
      <c r="D31" s="37">
        <v>2</v>
      </c>
      <c r="E31" s="33">
        <v>0.35714285714285715</v>
      </c>
      <c r="F31" s="33">
        <v>0.35714285714285715</v>
      </c>
      <c r="G31" s="33">
        <v>0.30582524271844658</v>
      </c>
      <c r="H31" s="33">
        <v>0.14563106796116504</v>
      </c>
      <c r="I31" s="34">
        <v>8120.6349206349205</v>
      </c>
      <c r="J31" s="34">
        <v>-7280</v>
      </c>
      <c r="K31" s="33">
        <v>0.21428571428571427</v>
      </c>
      <c r="L31" s="33">
        <v>0.14077669902912621</v>
      </c>
      <c r="M31" s="33">
        <v>0.32524271844660196</v>
      </c>
      <c r="N31" s="33">
        <v>0.62068965517241381</v>
      </c>
      <c r="O31" s="33">
        <v>0.40298507462686567</v>
      </c>
      <c r="P31" s="33">
        <v>0.46031746031746029</v>
      </c>
    </row>
    <row r="32" spans="1:16" x14ac:dyDescent="0.45">
      <c r="A32" s="35">
        <v>29</v>
      </c>
      <c r="B32" s="32">
        <v>57.6</v>
      </c>
      <c r="C32" s="32">
        <v>1.9862068965517241</v>
      </c>
      <c r="D32" s="37">
        <v>2</v>
      </c>
      <c r="E32" s="33">
        <v>0.34482758620689657</v>
      </c>
      <c r="F32" s="33">
        <v>0.34482758620689657</v>
      </c>
      <c r="G32" s="33">
        <v>0.31132075471698112</v>
      </c>
      <c r="H32" s="33">
        <v>0.14150943396226415</v>
      </c>
      <c r="I32" s="34">
        <v>8086.363636363636</v>
      </c>
      <c r="J32" s="34">
        <v>-7280</v>
      </c>
      <c r="K32" s="33">
        <v>0.20689655172413793</v>
      </c>
      <c r="L32" s="33">
        <v>0.14150943396226415</v>
      </c>
      <c r="M32" s="33">
        <v>0.32075471698113206</v>
      </c>
      <c r="N32" s="33">
        <v>0.6333333333333333</v>
      </c>
      <c r="O32" s="33">
        <v>0.41176470588235292</v>
      </c>
      <c r="P32" s="33">
        <v>0.46969696969696972</v>
      </c>
    </row>
    <row r="33" spans="1:16" x14ac:dyDescent="0.45">
      <c r="A33" s="35">
        <v>30</v>
      </c>
      <c r="B33" s="32">
        <v>82</v>
      </c>
      <c r="C33" s="32">
        <v>2.7333333333333334</v>
      </c>
      <c r="D33" s="37">
        <v>1.9666666666666666</v>
      </c>
      <c r="E33" s="33">
        <v>0.36666666666666664</v>
      </c>
      <c r="F33" s="33">
        <v>0.33333333333333331</v>
      </c>
      <c r="G33" s="33">
        <v>0.31192660550458717</v>
      </c>
      <c r="H33" s="33">
        <v>0.13761467889908258</v>
      </c>
      <c r="I33" s="34">
        <v>7964.7058823529414</v>
      </c>
      <c r="J33" s="34">
        <v>-7280</v>
      </c>
      <c r="K33" s="33">
        <v>0.2</v>
      </c>
      <c r="L33" s="33">
        <v>0.13761467889908258</v>
      </c>
      <c r="M33" s="33">
        <v>0.33027522935779818</v>
      </c>
      <c r="N33" s="33">
        <v>0.6333333333333333</v>
      </c>
      <c r="O33" s="33">
        <v>0.41666666666666669</v>
      </c>
      <c r="P33" s="33">
        <v>0.47058823529411764</v>
      </c>
    </row>
    <row r="34" spans="1:16" x14ac:dyDescent="0.45">
      <c r="A34" s="35">
        <v>31</v>
      </c>
      <c r="B34" s="32">
        <v>81.900000000000006</v>
      </c>
      <c r="C34" s="32">
        <v>2.6419354838709679</v>
      </c>
      <c r="D34" s="37">
        <v>1.967741935483871</v>
      </c>
      <c r="E34" s="33">
        <v>0.35483870967741937</v>
      </c>
      <c r="F34" s="33">
        <v>0.32258064516129031</v>
      </c>
      <c r="G34" s="33">
        <v>0.31555555555555553</v>
      </c>
      <c r="H34" s="33">
        <v>0.13333333333333333</v>
      </c>
      <c r="I34" s="34">
        <v>7805.6338028169012</v>
      </c>
      <c r="J34" s="34">
        <v>-7280</v>
      </c>
      <c r="K34" s="33">
        <v>0.19354838709677419</v>
      </c>
      <c r="L34" s="33">
        <v>0.13333333333333333</v>
      </c>
      <c r="M34" s="33">
        <v>0.33333333333333331</v>
      </c>
      <c r="N34" s="33">
        <v>0.6333333333333333</v>
      </c>
      <c r="O34" s="33">
        <v>0.42666666666666669</v>
      </c>
      <c r="P34" s="33">
        <v>0.46478873239436619</v>
      </c>
    </row>
    <row r="35" spans="1:16" x14ac:dyDescent="0.45">
      <c r="A35" s="35">
        <v>32</v>
      </c>
      <c r="B35" s="32">
        <v>76.100000000000009</v>
      </c>
      <c r="C35" s="32">
        <v>2.3781250000000003</v>
      </c>
      <c r="D35" s="37">
        <v>1.96875</v>
      </c>
      <c r="E35" s="33">
        <v>0.34375</v>
      </c>
      <c r="F35" s="33">
        <v>0.3125</v>
      </c>
      <c r="G35" s="33">
        <v>0.31120331950207469</v>
      </c>
      <c r="H35" s="33">
        <v>0.13692946058091288</v>
      </c>
      <c r="I35" s="34">
        <v>7746.666666666667</v>
      </c>
      <c r="J35" s="34">
        <v>-6827.272727272727</v>
      </c>
      <c r="K35" s="33">
        <v>0.1875</v>
      </c>
      <c r="L35" s="33">
        <v>0.13278008298755187</v>
      </c>
      <c r="M35" s="33">
        <v>0.35269709543568467</v>
      </c>
      <c r="N35" s="33">
        <v>0.625</v>
      </c>
      <c r="O35" s="33">
        <v>0.41176470588235292</v>
      </c>
      <c r="P35" s="33">
        <v>0.46666666666666667</v>
      </c>
    </row>
    <row r="36" spans="1:16" x14ac:dyDescent="0.45">
      <c r="A36" s="35">
        <v>33</v>
      </c>
      <c r="B36" s="32">
        <v>84.500000000000014</v>
      </c>
      <c r="C36" s="32">
        <v>2.560606060606061</v>
      </c>
      <c r="D36" s="37">
        <v>1.9696969696969697</v>
      </c>
      <c r="E36" s="33">
        <v>0.33333333333333331</v>
      </c>
      <c r="F36" s="33">
        <v>0.30303030303030304</v>
      </c>
      <c r="G36" s="33">
        <v>0.3147410358565737</v>
      </c>
      <c r="H36" s="33">
        <v>0.1394422310756972</v>
      </c>
      <c r="I36" s="34">
        <v>7745.5696202531644</v>
      </c>
      <c r="J36" s="34">
        <v>-7008.5714285714284</v>
      </c>
      <c r="K36" s="33">
        <v>0.18181818181818182</v>
      </c>
      <c r="L36" s="33">
        <v>0.1394422310756972</v>
      </c>
      <c r="M36" s="33">
        <v>0.36254980079681276</v>
      </c>
      <c r="N36" s="33">
        <v>0.6</v>
      </c>
      <c r="O36" s="33">
        <v>0.4175824175824176</v>
      </c>
      <c r="P36" s="33">
        <v>0.44303797468354428</v>
      </c>
    </row>
    <row r="37" spans="1:16" x14ac:dyDescent="0.45">
      <c r="A37" s="35">
        <v>34</v>
      </c>
      <c r="B37" s="32">
        <v>63.800000000000011</v>
      </c>
      <c r="C37" s="32">
        <v>1.8764705882352946</v>
      </c>
      <c r="D37" s="37">
        <v>2</v>
      </c>
      <c r="E37" s="33">
        <v>0.3235294117647059</v>
      </c>
      <c r="F37" s="33">
        <v>0.3235294117647059</v>
      </c>
      <c r="G37" s="33">
        <v>0.31517509727626458</v>
      </c>
      <c r="H37" s="33">
        <v>0.14396887159533073</v>
      </c>
      <c r="I37" s="34">
        <v>7734.5679012345681</v>
      </c>
      <c r="J37" s="34">
        <v>-7170.27027027027</v>
      </c>
      <c r="K37" s="33">
        <v>0.17647058823529413</v>
      </c>
      <c r="L37" s="33">
        <v>0.14785992217898833</v>
      </c>
      <c r="M37" s="33">
        <v>0.35408560311284049</v>
      </c>
      <c r="N37" s="33">
        <v>0.60526315789473684</v>
      </c>
      <c r="O37" s="33">
        <v>0.4175824175824176</v>
      </c>
      <c r="P37" s="33">
        <v>0.44444444444444442</v>
      </c>
    </row>
    <row r="38" spans="1:16" x14ac:dyDescent="0.45">
      <c r="A38" s="35">
        <v>35</v>
      </c>
      <c r="B38" s="32">
        <v>94.4</v>
      </c>
      <c r="C38" s="32">
        <v>2.6971428571428575</v>
      </c>
      <c r="D38" s="37">
        <v>1.9714285714285715</v>
      </c>
      <c r="E38" s="33">
        <v>0.34285714285714286</v>
      </c>
      <c r="F38" s="33">
        <v>0.31428571428571428</v>
      </c>
      <c r="G38" s="33">
        <v>0.3193916349809886</v>
      </c>
      <c r="H38" s="33">
        <v>0.14068441064638784</v>
      </c>
      <c r="I38" s="34">
        <v>7826.1904761904761</v>
      </c>
      <c r="J38" s="34">
        <v>-7170.27027027027</v>
      </c>
      <c r="K38" s="33">
        <v>0.17142857142857143</v>
      </c>
      <c r="L38" s="33">
        <v>0.15209125475285171</v>
      </c>
      <c r="M38" s="33">
        <v>0.34980988593155893</v>
      </c>
      <c r="N38" s="33">
        <v>0.625</v>
      </c>
      <c r="O38" s="33">
        <v>0.42391304347826086</v>
      </c>
      <c r="P38" s="33">
        <v>0.45238095238095238</v>
      </c>
    </row>
    <row r="39" spans="1:16" x14ac:dyDescent="0.45">
      <c r="A39" s="35">
        <v>36</v>
      </c>
      <c r="B39" s="32">
        <v>89.100000000000009</v>
      </c>
      <c r="C39" s="32">
        <v>2.4750000000000001</v>
      </c>
      <c r="D39" s="37">
        <v>1.9722222222222223</v>
      </c>
      <c r="E39" s="33">
        <v>0.33333333333333331</v>
      </c>
      <c r="F39" s="33">
        <v>0.30555555555555558</v>
      </c>
      <c r="G39" s="33">
        <v>0.32</v>
      </c>
      <c r="H39" s="33">
        <v>0.14181818181818182</v>
      </c>
      <c r="I39" s="34">
        <v>7734.090909090909</v>
      </c>
      <c r="J39" s="34">
        <v>-7315.3846153846152</v>
      </c>
      <c r="K39" s="33">
        <v>0.16666666666666666</v>
      </c>
      <c r="L39" s="33">
        <v>0.15272727272727274</v>
      </c>
      <c r="M39" s="33">
        <v>0.35272727272727272</v>
      </c>
      <c r="N39" s="33">
        <v>0.6428571428571429</v>
      </c>
      <c r="O39" s="33">
        <v>0.42268041237113402</v>
      </c>
      <c r="P39" s="33">
        <v>0.44318181818181818</v>
      </c>
    </row>
    <row r="40" spans="1:16" x14ac:dyDescent="0.45">
      <c r="A40" s="35">
        <v>37</v>
      </c>
      <c r="B40" s="32">
        <v>106.30000000000001</v>
      </c>
      <c r="C40" s="32">
        <v>2.8729729729729732</v>
      </c>
      <c r="D40" s="37">
        <v>1.9459459459459461</v>
      </c>
      <c r="E40" s="33">
        <v>0.35135135135135137</v>
      </c>
      <c r="F40" s="33">
        <v>0.29729729729729731</v>
      </c>
      <c r="G40" s="33">
        <v>0.32508833922261482</v>
      </c>
      <c r="H40" s="33">
        <v>0.14134275618374559</v>
      </c>
      <c r="I40" s="34">
        <v>7679.347826086957</v>
      </c>
      <c r="J40" s="34">
        <v>-7325</v>
      </c>
      <c r="K40" s="33">
        <v>0.16216216216216217</v>
      </c>
      <c r="L40" s="33">
        <v>0.15547703180212014</v>
      </c>
      <c r="M40" s="33">
        <v>0.3462897526501767</v>
      </c>
      <c r="N40" s="33">
        <v>0.65909090909090906</v>
      </c>
      <c r="O40" s="33">
        <v>0.41836734693877553</v>
      </c>
      <c r="P40" s="33">
        <v>0.44565217391304346</v>
      </c>
    </row>
    <row r="41" spans="1:16" x14ac:dyDescent="0.45">
      <c r="A41" s="35">
        <v>38</v>
      </c>
      <c r="B41" s="32">
        <v>106.9</v>
      </c>
      <c r="C41" s="32">
        <v>2.8131578947368423</v>
      </c>
      <c r="D41" s="37">
        <v>1.9473684210526316</v>
      </c>
      <c r="E41" s="33">
        <v>0.34210526315789475</v>
      </c>
      <c r="F41" s="33">
        <v>0.28947368421052633</v>
      </c>
      <c r="G41" s="33">
        <v>0.32423208191126279</v>
      </c>
      <c r="H41" s="33">
        <v>0.13993174061433447</v>
      </c>
      <c r="I41" s="34">
        <v>7632.6315789473683</v>
      </c>
      <c r="J41" s="34">
        <v>-7334.1463414634145</v>
      </c>
      <c r="K41" s="33">
        <v>0.15789473684210525</v>
      </c>
      <c r="L41" s="33">
        <v>0.15017064846416384</v>
      </c>
      <c r="M41" s="33">
        <v>0.34812286689419797</v>
      </c>
      <c r="N41" s="33">
        <v>0.65909090909090906</v>
      </c>
      <c r="O41" s="33">
        <v>0.42156862745098039</v>
      </c>
      <c r="P41" s="33">
        <v>0.43157894736842106</v>
      </c>
    </row>
    <row r="42" spans="1:16" x14ac:dyDescent="0.45">
      <c r="A42" s="35">
        <v>39</v>
      </c>
      <c r="B42" s="32">
        <v>130.1</v>
      </c>
      <c r="C42" s="32">
        <v>3.3358974358974356</v>
      </c>
      <c r="D42" s="37">
        <v>1.9230769230769231</v>
      </c>
      <c r="E42" s="33">
        <v>0.35897435897435898</v>
      </c>
      <c r="F42" s="33">
        <v>0.28205128205128205</v>
      </c>
      <c r="G42" s="33">
        <v>0.32894736842105265</v>
      </c>
      <c r="H42" s="33">
        <v>0.13486842105263158</v>
      </c>
      <c r="I42" s="34">
        <v>7380</v>
      </c>
      <c r="J42" s="34">
        <v>-7334.1463414634145</v>
      </c>
      <c r="K42" s="33">
        <v>0.15384615384615385</v>
      </c>
      <c r="L42" s="33">
        <v>0.15460526315789475</v>
      </c>
      <c r="M42" s="33">
        <v>0.35197368421052633</v>
      </c>
      <c r="N42" s="33">
        <v>0.61702127659574468</v>
      </c>
      <c r="O42" s="33">
        <v>0.42990654205607476</v>
      </c>
      <c r="P42" s="33">
        <v>0.43</v>
      </c>
    </row>
    <row r="43" spans="1:16" x14ac:dyDescent="0.45">
      <c r="A43" s="35">
        <v>40</v>
      </c>
      <c r="B43" s="32">
        <v>84.1</v>
      </c>
      <c r="C43" s="32">
        <v>2.1025</v>
      </c>
      <c r="D43" s="37">
        <v>1.95</v>
      </c>
      <c r="E43" s="33">
        <v>0.35</v>
      </c>
      <c r="F43" s="33">
        <v>0.3</v>
      </c>
      <c r="G43" s="33">
        <v>0.32679738562091504</v>
      </c>
      <c r="H43" s="33">
        <v>0.13725490196078433</v>
      </c>
      <c r="I43" s="34">
        <v>7380</v>
      </c>
      <c r="J43" s="34">
        <v>-7921.4285714285716</v>
      </c>
      <c r="K43" s="33">
        <v>0.17499999999999999</v>
      </c>
      <c r="L43" s="33">
        <v>0.15686274509803921</v>
      </c>
      <c r="M43" s="33">
        <v>0.34967320261437906</v>
      </c>
      <c r="N43" s="33">
        <v>0.60416666666666663</v>
      </c>
      <c r="O43" s="33">
        <v>0.42990654205607476</v>
      </c>
      <c r="P43" s="33">
        <v>0.43</v>
      </c>
    </row>
    <row r="44" spans="1:16" x14ac:dyDescent="0.45">
      <c r="A44" s="35">
        <v>41</v>
      </c>
      <c r="B44" s="32">
        <v>63.3</v>
      </c>
      <c r="C44" s="32">
        <v>1.5439024390243903</v>
      </c>
      <c r="D44" s="37">
        <v>1.9512195121951219</v>
      </c>
      <c r="E44" s="33">
        <v>0.34146341463414637</v>
      </c>
      <c r="F44" s="33">
        <v>0.29268292682926828</v>
      </c>
      <c r="G44" s="33">
        <v>0.330188679245283</v>
      </c>
      <c r="H44" s="33">
        <v>0.14150943396226415</v>
      </c>
      <c r="I44" s="34">
        <v>7329.5238095238092</v>
      </c>
      <c r="J44" s="34">
        <v>-8168.8888888888887</v>
      </c>
      <c r="K44" s="33">
        <v>0.17073170731707318</v>
      </c>
      <c r="L44" s="33">
        <v>0.16037735849056603</v>
      </c>
      <c r="M44" s="33">
        <v>0.34905660377358488</v>
      </c>
      <c r="N44" s="33">
        <v>0.58823529411764708</v>
      </c>
      <c r="O44" s="33">
        <v>0.44144144144144143</v>
      </c>
      <c r="P44" s="33">
        <v>0.44761904761904764</v>
      </c>
    </row>
    <row r="45" spans="1:16" x14ac:dyDescent="0.45">
      <c r="A45" s="35">
        <v>42</v>
      </c>
      <c r="B45" s="32">
        <v>66.899999999999991</v>
      </c>
      <c r="C45" s="32">
        <v>1.5928571428571427</v>
      </c>
      <c r="D45" s="37">
        <v>1.9523809523809523</v>
      </c>
      <c r="E45" s="33">
        <v>0.33333333333333331</v>
      </c>
      <c r="F45" s="33">
        <v>0.2857142857142857</v>
      </c>
      <c r="G45" s="33">
        <v>0.33333333333333331</v>
      </c>
      <c r="H45" s="33">
        <v>0.1388888888888889</v>
      </c>
      <c r="I45" s="34">
        <v>7228.7037037037035</v>
      </c>
      <c r="J45" s="34">
        <v>-8168.8888888888887</v>
      </c>
      <c r="K45" s="33">
        <v>0.16666666666666666</v>
      </c>
      <c r="L45" s="33">
        <v>0.16049382716049382</v>
      </c>
      <c r="M45" s="33">
        <v>0.35185185185185186</v>
      </c>
      <c r="N45" s="33">
        <v>0.57692307692307687</v>
      </c>
      <c r="O45" s="33">
        <v>0.44736842105263158</v>
      </c>
      <c r="P45" s="33">
        <v>0.43518518518518517</v>
      </c>
    </row>
    <row r="46" spans="1:16" x14ac:dyDescent="0.45">
      <c r="A46" s="35">
        <v>43</v>
      </c>
      <c r="B46" s="32">
        <v>64.3</v>
      </c>
      <c r="C46" s="32">
        <v>1.4953488372093022</v>
      </c>
      <c r="D46" s="37">
        <v>1.9534883720930232</v>
      </c>
      <c r="E46" s="33">
        <v>0.32558139534883723</v>
      </c>
      <c r="F46" s="33">
        <v>0.27906976744186046</v>
      </c>
      <c r="G46" s="33">
        <v>0.33233532934131738</v>
      </c>
      <c r="H46" s="33">
        <v>0.1437125748502994</v>
      </c>
      <c r="I46" s="34">
        <v>7296.3963963963961</v>
      </c>
      <c r="J46" s="34">
        <v>-8281.25</v>
      </c>
      <c r="K46" s="33">
        <v>0.16279069767441862</v>
      </c>
      <c r="L46" s="33">
        <v>0.16467065868263472</v>
      </c>
      <c r="M46" s="33">
        <v>0.35029940119760478</v>
      </c>
      <c r="N46" s="33">
        <v>0.58181818181818179</v>
      </c>
      <c r="O46" s="33">
        <v>0.4358974358974359</v>
      </c>
      <c r="P46" s="33">
        <v>0.44144144144144143</v>
      </c>
    </row>
    <row r="47" spans="1:16" x14ac:dyDescent="0.45">
      <c r="A47" s="35">
        <v>44</v>
      </c>
      <c r="B47" s="32">
        <v>92.199999999999989</v>
      </c>
      <c r="C47" s="32">
        <v>2.0954545454545452</v>
      </c>
      <c r="D47" s="37">
        <v>1.9318181818181819</v>
      </c>
      <c r="E47" s="33">
        <v>0.34090909090909088</v>
      </c>
      <c r="F47" s="33">
        <v>0.27272727272727271</v>
      </c>
      <c r="G47" s="33">
        <v>0.33526011560693642</v>
      </c>
      <c r="H47" s="33">
        <v>0.1416184971098266</v>
      </c>
      <c r="I47" s="34">
        <v>7188.7931034482763</v>
      </c>
      <c r="J47" s="34">
        <v>-8171.4285714285716</v>
      </c>
      <c r="K47" s="33">
        <v>0.15909090909090909</v>
      </c>
      <c r="L47" s="33">
        <v>0.16184971098265896</v>
      </c>
      <c r="M47" s="33">
        <v>0.3583815028901734</v>
      </c>
      <c r="N47" s="33">
        <v>0.5714285714285714</v>
      </c>
      <c r="O47" s="33">
        <v>0.42741935483870969</v>
      </c>
      <c r="P47" s="33">
        <v>0.45689655172413796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D540A-ED1C-438D-8FAA-1A53808905F0}">
  <sheetPr codeName="Sheet16"/>
  <dimension ref="A1:Q6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5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  <row r="49" spans="1:16" x14ac:dyDescent="0.45">
      <c r="A49" s="35">
        <v>46</v>
      </c>
      <c r="B49" s="32">
        <v>-76.899999999999977</v>
      </c>
      <c r="C49" s="32">
        <v>-1.6717391304347822</v>
      </c>
      <c r="D49" s="37">
        <v>2</v>
      </c>
      <c r="E49" s="33">
        <v>0.30434782608695654</v>
      </c>
      <c r="F49" s="33">
        <v>0.30434782608695654</v>
      </c>
      <c r="G49" s="33">
        <v>0.28142076502732238</v>
      </c>
      <c r="H49" s="33">
        <v>0.11475409836065574</v>
      </c>
      <c r="I49" s="34">
        <v>7539.8058252427181</v>
      </c>
      <c r="J49" s="34">
        <v>-7726.1904761904761</v>
      </c>
      <c r="K49" s="33">
        <v>8.6956521739130432E-2</v>
      </c>
      <c r="L49" s="33">
        <v>0.25409836065573771</v>
      </c>
      <c r="M49" s="33">
        <v>0.24316939890710382</v>
      </c>
      <c r="N49" s="33">
        <v>0.5268817204301075</v>
      </c>
      <c r="O49" s="33">
        <v>0.3707865168539326</v>
      </c>
      <c r="P49" s="33">
        <v>0.40776699029126212</v>
      </c>
    </row>
    <row r="50" spans="1:16" x14ac:dyDescent="0.45">
      <c r="A50" s="35">
        <v>47</v>
      </c>
      <c r="B50" s="32">
        <v>-26.09999999999998</v>
      </c>
      <c r="C50" s="32">
        <v>-0.55531914893616974</v>
      </c>
      <c r="D50" s="37">
        <v>1.9787234042553192</v>
      </c>
      <c r="E50" s="33">
        <v>0.31914893617021278</v>
      </c>
      <c r="F50" s="33">
        <v>0.2978723404255319</v>
      </c>
      <c r="G50" s="33">
        <v>0.28533333333333333</v>
      </c>
      <c r="H50" s="33">
        <v>0.112</v>
      </c>
      <c r="I50" s="34">
        <v>7702.8037383177571</v>
      </c>
      <c r="J50" s="34">
        <v>-7726.1904761904761</v>
      </c>
      <c r="K50" s="33">
        <v>8.5106382978723402E-2</v>
      </c>
      <c r="L50" s="33">
        <v>0.25333333333333335</v>
      </c>
      <c r="M50" s="33">
        <v>0.24266666666666667</v>
      </c>
      <c r="N50" s="33">
        <v>0.5368421052631579</v>
      </c>
      <c r="O50" s="33">
        <v>0.37362637362637363</v>
      </c>
      <c r="P50" s="33">
        <v>0.41121495327102803</v>
      </c>
    </row>
    <row r="51" spans="1:16" x14ac:dyDescent="0.45">
      <c r="A51" s="35">
        <v>48</v>
      </c>
      <c r="B51" s="32">
        <v>-19.899999999999981</v>
      </c>
      <c r="C51" s="32">
        <v>-0.41458333333333292</v>
      </c>
      <c r="D51" s="37">
        <v>1.9791666666666667</v>
      </c>
      <c r="E51" s="33">
        <v>0.3125</v>
      </c>
      <c r="F51" s="33">
        <v>0.29166666666666669</v>
      </c>
      <c r="G51" s="33">
        <v>0.28720626631853785</v>
      </c>
      <c r="H51" s="33">
        <v>0.11488250652741515</v>
      </c>
      <c r="I51" s="34">
        <v>7708.181818181818</v>
      </c>
      <c r="J51" s="34">
        <v>-7829.545454545455</v>
      </c>
      <c r="K51" s="33">
        <v>8.3333333333333329E-2</v>
      </c>
      <c r="L51" s="33">
        <v>0.25848563968668409</v>
      </c>
      <c r="M51" s="33">
        <v>0.23759791122715404</v>
      </c>
      <c r="N51" s="33">
        <v>0.54545454545454541</v>
      </c>
      <c r="O51" s="33">
        <v>0.37362637362637363</v>
      </c>
      <c r="P51" s="33">
        <v>0.41818181818181815</v>
      </c>
    </row>
    <row r="52" spans="1:16" x14ac:dyDescent="0.45">
      <c r="A52" s="35">
        <v>49</v>
      </c>
      <c r="B52" s="32">
        <v>13.800000000000022</v>
      </c>
      <c r="C52" s="32">
        <v>0.28163265306122492</v>
      </c>
      <c r="D52" s="37">
        <v>1.9591836734693877</v>
      </c>
      <c r="E52" s="33">
        <v>0.32653061224489793</v>
      </c>
      <c r="F52" s="33">
        <v>0.2857142857142857</v>
      </c>
      <c r="G52" s="33">
        <v>0.2879177377892031</v>
      </c>
      <c r="H52" s="33">
        <v>0.11311053984575835</v>
      </c>
      <c r="I52" s="34">
        <v>7820.5357142857147</v>
      </c>
      <c r="J52" s="34">
        <v>-7829.545454545455</v>
      </c>
      <c r="K52" s="33">
        <v>8.1632653061224483E-2</v>
      </c>
      <c r="L52" s="33">
        <v>0.25706940874035988</v>
      </c>
      <c r="M52" s="33">
        <v>0.2416452442159383</v>
      </c>
      <c r="N52" s="33">
        <v>0.55000000000000004</v>
      </c>
      <c r="O52" s="33">
        <v>0.36170212765957449</v>
      </c>
      <c r="P52" s="33">
        <v>0.42857142857142855</v>
      </c>
    </row>
    <row r="53" spans="1:16" x14ac:dyDescent="0.45">
      <c r="A53" s="35">
        <v>50</v>
      </c>
      <c r="B53" s="32">
        <v>-11.599999999999977</v>
      </c>
      <c r="C53" s="32">
        <v>-0.23199999999999954</v>
      </c>
      <c r="D53" s="37">
        <v>1.98</v>
      </c>
      <c r="E53" s="33">
        <v>0.32</v>
      </c>
      <c r="F53" s="33">
        <v>0.3</v>
      </c>
      <c r="G53" s="33">
        <v>0.28607594936708863</v>
      </c>
      <c r="H53" s="33">
        <v>0.11645569620253164</v>
      </c>
      <c r="I53" s="34">
        <v>7786.7256637168139</v>
      </c>
      <c r="J53" s="34">
        <v>-7747.826086956522</v>
      </c>
      <c r="K53" s="33">
        <v>0.08</v>
      </c>
      <c r="L53" s="33">
        <v>0.25569620253164554</v>
      </c>
      <c r="M53" s="33">
        <v>0.2481012658227848</v>
      </c>
      <c r="N53" s="33">
        <v>0.54455445544554459</v>
      </c>
      <c r="O53" s="33">
        <v>0.35714285714285715</v>
      </c>
      <c r="P53" s="33">
        <v>0.4336283185840708</v>
      </c>
    </row>
    <row r="54" spans="1:16" x14ac:dyDescent="0.45">
      <c r="A54" s="35">
        <v>51</v>
      </c>
      <c r="B54" s="32">
        <v>-66.299999999999983</v>
      </c>
      <c r="C54" s="32">
        <v>-1.2999999999999996</v>
      </c>
      <c r="D54" s="37">
        <v>2</v>
      </c>
      <c r="E54" s="33">
        <v>0.31372549019607843</v>
      </c>
      <c r="F54" s="33">
        <v>0.31372549019607843</v>
      </c>
      <c r="G54" s="33">
        <v>0.27980535279805352</v>
      </c>
      <c r="H54" s="33">
        <v>0.11922141119221411</v>
      </c>
      <c r="I54" s="34">
        <v>7701.739130434783</v>
      </c>
      <c r="J54" s="34">
        <v>-7618.3673469387759</v>
      </c>
      <c r="K54" s="33">
        <v>9.8039215686274508E-2</v>
      </c>
      <c r="L54" s="33">
        <v>0.24574209245742093</v>
      </c>
      <c r="M54" s="33">
        <v>0.24574209245742093</v>
      </c>
      <c r="N54" s="33">
        <v>0.54455445544554459</v>
      </c>
      <c r="O54" s="33">
        <v>0.35643564356435642</v>
      </c>
      <c r="P54" s="33">
        <v>0.42608695652173911</v>
      </c>
    </row>
    <row r="55" spans="1:16" x14ac:dyDescent="0.45">
      <c r="A55" s="35">
        <v>52</v>
      </c>
      <c r="B55" s="32">
        <v>-46.09999999999998</v>
      </c>
      <c r="C55" s="32">
        <v>-0.88653846153846116</v>
      </c>
      <c r="D55" s="37">
        <v>1.9807692307692308</v>
      </c>
      <c r="E55" s="33">
        <v>0.32692307692307693</v>
      </c>
      <c r="F55" s="33">
        <v>0.30769230769230771</v>
      </c>
      <c r="G55" s="33">
        <v>0.28297362110311752</v>
      </c>
      <c r="H55" s="33">
        <v>0.11990407673860912</v>
      </c>
      <c r="I55" s="34">
        <v>7774.5762711864409</v>
      </c>
      <c r="J55" s="34">
        <v>-7786</v>
      </c>
      <c r="K55" s="33">
        <v>9.6153846153846159E-2</v>
      </c>
      <c r="L55" s="33">
        <v>0.2446043165467626</v>
      </c>
      <c r="M55" s="33">
        <v>0.25179856115107913</v>
      </c>
      <c r="N55" s="33">
        <v>0.5490196078431373</v>
      </c>
      <c r="O55" s="33">
        <v>0.3619047619047619</v>
      </c>
      <c r="P55" s="33">
        <v>0.43220338983050849</v>
      </c>
    </row>
    <row r="56" spans="1:16" x14ac:dyDescent="0.45">
      <c r="A56" s="35">
        <v>53</v>
      </c>
      <c r="B56" s="32">
        <v>-73.59999999999998</v>
      </c>
      <c r="C56" s="32">
        <v>-1.3886792452830186</v>
      </c>
      <c r="D56" s="37">
        <v>2</v>
      </c>
      <c r="E56" s="33">
        <v>0.32075471698113206</v>
      </c>
      <c r="F56" s="33">
        <v>0.32075471698113206</v>
      </c>
      <c r="G56" s="33">
        <v>0.28235294117647058</v>
      </c>
      <c r="H56" s="33">
        <v>0.11764705882352941</v>
      </c>
      <c r="I56" s="34">
        <v>7695</v>
      </c>
      <c r="J56" s="34">
        <v>-7786</v>
      </c>
      <c r="K56" s="33">
        <v>9.4339622641509441E-2</v>
      </c>
      <c r="L56" s="33">
        <v>0.24235294117647058</v>
      </c>
      <c r="M56" s="33">
        <v>0.2541176470588235</v>
      </c>
      <c r="N56" s="33">
        <v>0.5436893203883495</v>
      </c>
      <c r="O56" s="33">
        <v>0.37037037037037035</v>
      </c>
      <c r="P56" s="33">
        <v>0.43333333333333335</v>
      </c>
    </row>
    <row r="57" spans="1:16" x14ac:dyDescent="0.45">
      <c r="A57" s="35">
        <v>54</v>
      </c>
      <c r="B57" s="32">
        <v>-104.39999999999998</v>
      </c>
      <c r="C57" s="32">
        <v>-1.9333333333333329</v>
      </c>
      <c r="D57" s="37">
        <v>2.0185185185185186</v>
      </c>
      <c r="E57" s="33">
        <v>0.31481481481481483</v>
      </c>
      <c r="F57" s="33">
        <v>0.33333333333333331</v>
      </c>
      <c r="G57" s="33">
        <v>0.28310502283105021</v>
      </c>
      <c r="H57" s="33">
        <v>0.11872146118721461</v>
      </c>
      <c r="I57" s="34">
        <v>7693.5483870967746</v>
      </c>
      <c r="J57" s="34">
        <v>-7998.0769230769229</v>
      </c>
      <c r="K57" s="33">
        <v>9.2592592592592587E-2</v>
      </c>
      <c r="L57" s="33">
        <v>0.24200913242009131</v>
      </c>
      <c r="M57" s="33">
        <v>0.25342465753424659</v>
      </c>
      <c r="N57" s="33">
        <v>0.54716981132075471</v>
      </c>
      <c r="O57" s="33">
        <v>0.3783783783783784</v>
      </c>
      <c r="P57" s="33">
        <v>0.41935483870967744</v>
      </c>
    </row>
    <row r="58" spans="1:16" x14ac:dyDescent="0.45">
      <c r="A58" s="35">
        <v>55</v>
      </c>
      <c r="B58" s="32">
        <v>-68.199999999999974</v>
      </c>
      <c r="C58" s="32">
        <v>-1.2399999999999995</v>
      </c>
      <c r="D58" s="37">
        <v>2</v>
      </c>
      <c r="E58" s="33">
        <v>0.32727272727272727</v>
      </c>
      <c r="F58" s="33">
        <v>0.32727272727272727</v>
      </c>
      <c r="G58" s="33">
        <v>0.28475336322869954</v>
      </c>
      <c r="H58" s="33">
        <v>0.11659192825112108</v>
      </c>
      <c r="I58" s="34">
        <v>7690.5511811023625</v>
      </c>
      <c r="J58" s="34">
        <v>-7998.0769230769229</v>
      </c>
      <c r="K58" s="33">
        <v>9.0909090909090912E-2</v>
      </c>
      <c r="L58" s="33">
        <v>0.23766816143497757</v>
      </c>
      <c r="M58" s="33">
        <v>0.25784753363228702</v>
      </c>
      <c r="N58" s="33">
        <v>0.54716981132075471</v>
      </c>
      <c r="O58" s="33">
        <v>0.39130434782608697</v>
      </c>
      <c r="P58" s="33">
        <v>0.41732283464566927</v>
      </c>
    </row>
    <row r="59" spans="1:16" x14ac:dyDescent="0.45">
      <c r="A59" s="35">
        <v>56</v>
      </c>
      <c r="B59" s="32">
        <v>-92.099999999999966</v>
      </c>
      <c r="C59" s="32">
        <v>-1.6446428571428566</v>
      </c>
      <c r="D59" s="37">
        <v>2.0178571428571428</v>
      </c>
      <c r="E59" s="33">
        <v>0.32142857142857145</v>
      </c>
      <c r="F59" s="33">
        <v>0.3392857142857143</v>
      </c>
      <c r="G59" s="33">
        <v>0.28193832599118945</v>
      </c>
      <c r="H59" s="33">
        <v>0.11674008810572688</v>
      </c>
      <c r="I59" s="34">
        <v>7771.09375</v>
      </c>
      <c r="J59" s="34">
        <v>-8186.7924528301883</v>
      </c>
      <c r="K59" s="33">
        <v>8.9285714285714288E-2</v>
      </c>
      <c r="L59" s="33">
        <v>0.23568281938325991</v>
      </c>
      <c r="M59" s="33">
        <v>0.25330396475770928</v>
      </c>
      <c r="N59" s="33">
        <v>0.55140186915887845</v>
      </c>
      <c r="O59" s="33">
        <v>0.39130434782608697</v>
      </c>
      <c r="P59" s="33">
        <v>0.421875</v>
      </c>
    </row>
    <row r="60" spans="1:16" x14ac:dyDescent="0.45">
      <c r="A60" s="35">
        <v>57</v>
      </c>
      <c r="B60" s="32">
        <v>-112.99999999999997</v>
      </c>
      <c r="C60" s="32">
        <v>-1.9824561403508767</v>
      </c>
      <c r="D60" s="37">
        <v>2.0350877192982457</v>
      </c>
      <c r="E60" s="33">
        <v>0.31578947368421051</v>
      </c>
      <c r="F60" s="33">
        <v>0.35087719298245612</v>
      </c>
      <c r="G60" s="33">
        <v>0.27982646420824298</v>
      </c>
      <c r="H60" s="33">
        <v>0.11496746203904555</v>
      </c>
      <c r="I60" s="34">
        <v>7803.8759689922481</v>
      </c>
      <c r="J60" s="34">
        <v>-8186.7924528301883</v>
      </c>
      <c r="K60" s="33">
        <v>8.771929824561403E-2</v>
      </c>
      <c r="L60" s="33">
        <v>0.23644251626898047</v>
      </c>
      <c r="M60" s="33">
        <v>0.24945770065075923</v>
      </c>
      <c r="N60" s="33">
        <v>0.55045871559633031</v>
      </c>
      <c r="O60" s="33">
        <v>0.39130434782608697</v>
      </c>
      <c r="P60" s="33">
        <v>0.4263565891472868</v>
      </c>
    </row>
    <row r="61" spans="1:16" x14ac:dyDescent="0.45">
      <c r="A61" s="35">
        <v>58</v>
      </c>
      <c r="B61" s="32">
        <v>-30.599999999999966</v>
      </c>
      <c r="C61" s="32">
        <v>-0.52758620689655111</v>
      </c>
      <c r="D61" s="37">
        <v>2.0172413793103448</v>
      </c>
      <c r="E61" s="33">
        <v>0.32758620689655171</v>
      </c>
      <c r="F61" s="33">
        <v>0.34482758620689657</v>
      </c>
      <c r="G61" s="33">
        <v>0.28297872340425534</v>
      </c>
      <c r="H61" s="33">
        <v>0.1148936170212766</v>
      </c>
      <c r="I61" s="34">
        <v>8103.0075187969924</v>
      </c>
      <c r="J61" s="34">
        <v>-8250</v>
      </c>
      <c r="K61" s="33">
        <v>8.6206896551724144E-2</v>
      </c>
      <c r="L61" s="33">
        <v>0.23829787234042554</v>
      </c>
      <c r="M61" s="33">
        <v>0.24468085106382978</v>
      </c>
      <c r="N61" s="33">
        <v>0.5535714285714286</v>
      </c>
      <c r="O61" s="33">
        <v>0.39130434782608697</v>
      </c>
      <c r="P61" s="33">
        <v>0.42857142857142855</v>
      </c>
    </row>
    <row r="62" spans="1:16" x14ac:dyDescent="0.45">
      <c r="A62" s="35">
        <v>59</v>
      </c>
      <c r="B62" s="32">
        <v>-56.299999999999969</v>
      </c>
      <c r="C62" s="32">
        <v>-0.95423728813559272</v>
      </c>
      <c r="D62" s="37">
        <v>2.0338983050847457</v>
      </c>
      <c r="E62" s="33">
        <v>0.32203389830508472</v>
      </c>
      <c r="F62" s="33">
        <v>0.3559322033898305</v>
      </c>
      <c r="G62" s="33">
        <v>0.28033472803347281</v>
      </c>
      <c r="H62" s="33">
        <v>0.11506276150627615</v>
      </c>
      <c r="I62" s="34">
        <v>8102.2388059701489</v>
      </c>
      <c r="J62" s="34">
        <v>-8240</v>
      </c>
      <c r="K62" s="33">
        <v>8.4745762711864403E-2</v>
      </c>
      <c r="L62" s="33">
        <v>0.23430962343096234</v>
      </c>
      <c r="M62" s="33">
        <v>0.24267782426778242</v>
      </c>
      <c r="N62" s="33">
        <v>0.5535714285714286</v>
      </c>
      <c r="O62" s="33">
        <v>0.39655172413793105</v>
      </c>
      <c r="P62" s="33">
        <v>0.43283582089552236</v>
      </c>
    </row>
    <row r="63" spans="1:16" x14ac:dyDescent="0.45">
      <c r="A63" s="35">
        <v>60</v>
      </c>
      <c r="B63" s="32">
        <v>-98.69999999999996</v>
      </c>
      <c r="C63" s="32">
        <v>-1.6449999999999994</v>
      </c>
      <c r="D63" s="37">
        <v>2.0499999999999998</v>
      </c>
      <c r="E63" s="33">
        <v>0.31666666666666665</v>
      </c>
      <c r="F63" s="33">
        <v>0.36666666666666664</v>
      </c>
      <c r="G63" s="33">
        <v>0.27551020408163263</v>
      </c>
      <c r="H63" s="33">
        <v>0.11632653061224489</v>
      </c>
      <c r="I63" s="34">
        <v>8085.1851851851852</v>
      </c>
      <c r="J63" s="34">
        <v>-8182.4561403508769</v>
      </c>
      <c r="K63" s="33">
        <v>8.3333333333333329E-2</v>
      </c>
      <c r="L63" s="33">
        <v>0.23469387755102042</v>
      </c>
      <c r="M63" s="33">
        <v>0.24081632653061225</v>
      </c>
      <c r="N63" s="33">
        <v>0.53913043478260869</v>
      </c>
      <c r="O63" s="33">
        <v>0.39830508474576271</v>
      </c>
      <c r="P63" s="33">
        <v>0.42962962962962964</v>
      </c>
    </row>
    <row r="64" spans="1:16" x14ac:dyDescent="0.45">
      <c r="A64" s="35">
        <v>61</v>
      </c>
      <c r="B64" s="32">
        <v>-47.69999999999996</v>
      </c>
      <c r="C64" s="32">
        <v>-0.78196721311475348</v>
      </c>
      <c r="D64" s="37">
        <v>2.0327868852459017</v>
      </c>
      <c r="E64" s="33">
        <v>0.32786885245901637</v>
      </c>
      <c r="F64" s="33">
        <v>0.36065573770491804</v>
      </c>
      <c r="G64" s="33">
        <v>0.27845528455284552</v>
      </c>
      <c r="H64" s="33">
        <v>0.11585365853658537</v>
      </c>
      <c r="I64" s="34">
        <v>8259.1240875912408</v>
      </c>
      <c r="J64" s="34">
        <v>-8182.4561403508769</v>
      </c>
      <c r="K64" s="33">
        <v>8.1967213114754092E-2</v>
      </c>
      <c r="L64" s="33">
        <v>0.23577235772357724</v>
      </c>
      <c r="M64" s="33">
        <v>0.241869918699187</v>
      </c>
      <c r="N64" s="33">
        <v>0.5431034482758621</v>
      </c>
      <c r="O64" s="33">
        <v>0.40336134453781514</v>
      </c>
      <c r="P64" s="33">
        <v>0.43065693430656932</v>
      </c>
    </row>
    <row r="65" spans="1:16" x14ac:dyDescent="0.45">
      <c r="A65" s="35">
        <v>62</v>
      </c>
      <c r="B65" s="32">
        <v>-83.499999999999957</v>
      </c>
      <c r="C65" s="32">
        <v>-1.3467741935483863</v>
      </c>
      <c r="D65" s="37">
        <v>2.0483870967741935</v>
      </c>
      <c r="E65" s="33">
        <v>0.32258064516129031</v>
      </c>
      <c r="F65" s="33">
        <v>0.37096774193548387</v>
      </c>
      <c r="G65" s="33">
        <v>0.27380952380952384</v>
      </c>
      <c r="H65" s="33">
        <v>0.11706349206349206</v>
      </c>
      <c r="I65" s="34">
        <v>8257.246376811594</v>
      </c>
      <c r="J65" s="34">
        <v>-8298.3050847457635</v>
      </c>
      <c r="K65" s="33">
        <v>8.0645161290322578E-2</v>
      </c>
      <c r="L65" s="33">
        <v>0.2361111111111111</v>
      </c>
      <c r="M65" s="33">
        <v>0.23809523809523808</v>
      </c>
      <c r="N65" s="33">
        <v>0.52941176470588236</v>
      </c>
      <c r="O65" s="33">
        <v>0.40833333333333333</v>
      </c>
      <c r="P65" s="33">
        <v>0.42753623188405798</v>
      </c>
    </row>
    <row r="66" spans="1:16" x14ac:dyDescent="0.45">
      <c r="A66" s="35">
        <v>63</v>
      </c>
      <c r="B66" s="32">
        <v>-102.59999999999997</v>
      </c>
      <c r="C66" s="32">
        <v>-1.6285714285714281</v>
      </c>
      <c r="D66" s="37">
        <v>2.0634920634920637</v>
      </c>
      <c r="E66" s="33">
        <v>0.31746031746031744</v>
      </c>
      <c r="F66" s="33">
        <v>0.38095238095238093</v>
      </c>
      <c r="G66" s="33">
        <v>0.27254901960784311</v>
      </c>
      <c r="H66" s="33">
        <v>0.11960784313725491</v>
      </c>
      <c r="I66" s="34">
        <v>8226.6187050359713</v>
      </c>
      <c r="J66" s="34">
        <v>-8175.4098360655735</v>
      </c>
      <c r="K66" s="33">
        <v>7.9365079365079361E-2</v>
      </c>
      <c r="L66" s="33">
        <v>0.23529411764705882</v>
      </c>
      <c r="M66" s="33">
        <v>0.23921568627450981</v>
      </c>
      <c r="N66" s="33">
        <v>0.53333333333333333</v>
      </c>
      <c r="O66" s="33">
        <v>0.40163934426229508</v>
      </c>
      <c r="P66" s="33">
        <v>0.43165467625899279</v>
      </c>
    </row>
    <row r="67" spans="1:16" x14ac:dyDescent="0.45">
      <c r="A67" s="35">
        <v>64</v>
      </c>
      <c r="B67" s="32">
        <v>-72.299999999999969</v>
      </c>
      <c r="C67" s="32">
        <v>-1.1296874999999995</v>
      </c>
      <c r="D67" s="37">
        <v>2.046875</v>
      </c>
      <c r="E67" s="33">
        <v>0.328125</v>
      </c>
      <c r="F67" s="33">
        <v>0.375</v>
      </c>
      <c r="G67" s="33">
        <v>0.27500000000000002</v>
      </c>
      <c r="H67" s="33">
        <v>0.11923076923076924</v>
      </c>
      <c r="I67" s="34">
        <v>8270.6293706293709</v>
      </c>
      <c r="J67" s="34">
        <v>-8167.7419354838712</v>
      </c>
      <c r="K67" s="33">
        <v>7.8125E-2</v>
      </c>
      <c r="L67" s="33">
        <v>0.23076923076923078</v>
      </c>
      <c r="M67" s="33">
        <v>0.24038461538461539</v>
      </c>
      <c r="N67" s="33">
        <v>0.53333333333333333</v>
      </c>
      <c r="O67" s="33">
        <v>0.40799999999999997</v>
      </c>
      <c r="P67" s="33">
        <v>0.42657342657342656</v>
      </c>
    </row>
    <row r="68" spans="1:16" x14ac:dyDescent="0.45">
      <c r="A68" s="35">
        <v>65</v>
      </c>
      <c r="B68" s="32">
        <v>-72.599999999999966</v>
      </c>
      <c r="C68" s="32">
        <v>-1.1169230769230765</v>
      </c>
      <c r="D68" s="37">
        <v>2.046153846153846</v>
      </c>
      <c r="E68" s="33">
        <v>0.32307692307692309</v>
      </c>
      <c r="F68" s="33">
        <v>0.36923076923076925</v>
      </c>
      <c r="G68" s="33">
        <v>0.27255639097744361</v>
      </c>
      <c r="H68" s="33">
        <v>0.11654135338345864</v>
      </c>
      <c r="I68" s="34">
        <v>8196.5517241379312</v>
      </c>
      <c r="J68" s="34">
        <v>-8167.7419354838712</v>
      </c>
      <c r="K68" s="33">
        <v>7.6923076923076927E-2</v>
      </c>
      <c r="L68" s="33">
        <v>0.22932330827067668</v>
      </c>
      <c r="M68" s="33">
        <v>0.23684210526315788</v>
      </c>
      <c r="N68" s="33">
        <v>0.53278688524590168</v>
      </c>
      <c r="O68" s="33">
        <v>0.40476190476190477</v>
      </c>
      <c r="P68" s="33">
        <v>0.42758620689655175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8E81-B496-4E0B-8B41-0F484153F2BA}">
  <sheetPr codeName="Sheet14"/>
  <dimension ref="A1:Q4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5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5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5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5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45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45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  <row r="35" spans="1:16" x14ac:dyDescent="0.45">
      <c r="A35" s="35">
        <v>32</v>
      </c>
      <c r="B35" s="32">
        <v>-277.49999999999994</v>
      </c>
      <c r="C35" s="32">
        <v>-8.6718749999999982</v>
      </c>
      <c r="D35" s="37">
        <v>2.3125</v>
      </c>
      <c r="E35" s="33">
        <v>0.1875</v>
      </c>
      <c r="F35" s="33">
        <v>0.5</v>
      </c>
      <c r="G35" s="33">
        <v>0.27049180327868855</v>
      </c>
      <c r="H35" s="33">
        <v>0.16803278688524589</v>
      </c>
      <c r="I35" s="34">
        <v>7892.424242424242</v>
      </c>
      <c r="J35" s="34">
        <v>-7195.1219512195121</v>
      </c>
      <c r="K35" s="33">
        <v>0.1875</v>
      </c>
      <c r="L35" s="33">
        <v>0.21311475409836064</v>
      </c>
      <c r="M35" s="33">
        <v>0.1598360655737705</v>
      </c>
      <c r="N35" s="33">
        <v>0.48076923076923078</v>
      </c>
      <c r="O35" s="33">
        <v>0.58974358974358976</v>
      </c>
      <c r="P35" s="33">
        <v>0.43939393939393939</v>
      </c>
    </row>
    <row r="36" spans="1:16" x14ac:dyDescent="0.45">
      <c r="A36" s="35">
        <v>33</v>
      </c>
      <c r="B36" s="32">
        <v>-276.19999999999993</v>
      </c>
      <c r="C36" s="32">
        <v>-8.3696969696969674</v>
      </c>
      <c r="D36" s="37">
        <v>2.3030303030303032</v>
      </c>
      <c r="E36" s="33">
        <v>0.18181818181818182</v>
      </c>
      <c r="F36" s="33">
        <v>0.48484848484848486</v>
      </c>
      <c r="G36" s="33">
        <v>0.2723735408560311</v>
      </c>
      <c r="H36" s="33">
        <v>0.17120622568093385</v>
      </c>
      <c r="I36" s="34">
        <v>8015.7142857142853</v>
      </c>
      <c r="J36" s="34">
        <v>-7452.272727272727</v>
      </c>
      <c r="K36" s="33">
        <v>0.18181818181818182</v>
      </c>
      <c r="L36" s="33">
        <v>0.21789883268482491</v>
      </c>
      <c r="M36" s="33">
        <v>0.15953307392996108</v>
      </c>
      <c r="N36" s="33">
        <v>0.5</v>
      </c>
      <c r="O36" s="33">
        <v>0.58536585365853655</v>
      </c>
      <c r="P36" s="33">
        <v>0.45714285714285713</v>
      </c>
    </row>
    <row r="37" spans="1:16" x14ac:dyDescent="0.45">
      <c r="A37" s="35">
        <v>34</v>
      </c>
      <c r="B37" s="32">
        <v>-295.39999999999992</v>
      </c>
      <c r="C37" s="32">
        <v>-8.6882352941176446</v>
      </c>
      <c r="D37" s="37">
        <v>2.3235294117647061</v>
      </c>
      <c r="E37" s="33">
        <v>0.17647058823529413</v>
      </c>
      <c r="F37" s="33">
        <v>0.5</v>
      </c>
      <c r="G37" s="33">
        <v>0.27376425855513309</v>
      </c>
      <c r="H37" s="33">
        <v>0.17490494296577946</v>
      </c>
      <c r="I37" s="34">
        <v>7877.7777777777774</v>
      </c>
      <c r="J37" s="34">
        <v>-7428.260869565217</v>
      </c>
      <c r="K37" s="33">
        <v>0.17647058823529413</v>
      </c>
      <c r="L37" s="33">
        <v>0.21292775665399238</v>
      </c>
      <c r="M37" s="33">
        <v>0.16730038022813687</v>
      </c>
      <c r="N37" s="33">
        <v>0.5</v>
      </c>
      <c r="O37" s="33">
        <v>0.59090909090909094</v>
      </c>
      <c r="P37" s="33">
        <v>0.47222222222222221</v>
      </c>
    </row>
    <row r="38" spans="1:16" x14ac:dyDescent="0.45">
      <c r="A38" s="35">
        <v>35</v>
      </c>
      <c r="B38" s="32">
        <v>-288.2999999999999</v>
      </c>
      <c r="C38" s="32">
        <v>-8.2371428571428549</v>
      </c>
      <c r="D38" s="37">
        <v>2.3142857142857145</v>
      </c>
      <c r="E38" s="33">
        <v>0.17142857142857143</v>
      </c>
      <c r="F38" s="33">
        <v>0.48571428571428571</v>
      </c>
      <c r="G38" s="33">
        <v>0.27407407407407408</v>
      </c>
      <c r="H38" s="33">
        <v>0.17037037037037037</v>
      </c>
      <c r="I38" s="34">
        <v>7848.6486486486483</v>
      </c>
      <c r="J38" s="34">
        <v>-7428.260869565217</v>
      </c>
      <c r="K38" s="33">
        <v>0.17142857142857143</v>
      </c>
      <c r="L38" s="33">
        <v>0.21481481481481482</v>
      </c>
      <c r="M38" s="33">
        <v>0.16666666666666666</v>
      </c>
      <c r="N38" s="33">
        <v>0.5</v>
      </c>
      <c r="O38" s="33">
        <v>0.57777777777777772</v>
      </c>
      <c r="P38" s="33">
        <v>0.48648648648648651</v>
      </c>
    </row>
    <row r="39" spans="1:16" x14ac:dyDescent="0.45">
      <c r="A39" s="35">
        <v>36</v>
      </c>
      <c r="B39" s="32">
        <v>-258.7999999999999</v>
      </c>
      <c r="C39" s="32">
        <v>-7.1888888888888864</v>
      </c>
      <c r="D39" s="37">
        <v>2.2777777777777777</v>
      </c>
      <c r="E39" s="33">
        <v>0.19444444444444445</v>
      </c>
      <c r="F39" s="33">
        <v>0.47222222222222221</v>
      </c>
      <c r="G39" s="33">
        <v>0.27436823104693142</v>
      </c>
      <c r="H39" s="33">
        <v>0.16606498194945848</v>
      </c>
      <c r="I39" s="34">
        <v>8010.5263157894733</v>
      </c>
      <c r="J39" s="34">
        <v>-7428.260869565217</v>
      </c>
      <c r="K39" s="33">
        <v>0.16666666666666666</v>
      </c>
      <c r="L39" s="33">
        <v>0.22021660649819494</v>
      </c>
      <c r="M39" s="33">
        <v>0.16245487364620939</v>
      </c>
      <c r="N39" s="33">
        <v>0.50819672131147542</v>
      </c>
      <c r="O39" s="33">
        <v>0.57777777777777772</v>
      </c>
      <c r="P39" s="33">
        <v>0.48684210526315791</v>
      </c>
    </row>
    <row r="40" spans="1:16" x14ac:dyDescent="0.45">
      <c r="A40" s="35">
        <v>37</v>
      </c>
      <c r="B40" s="32">
        <v>-287.2999999999999</v>
      </c>
      <c r="C40" s="32">
        <v>-7.7648648648648617</v>
      </c>
      <c r="D40" s="37">
        <v>2.2972972972972974</v>
      </c>
      <c r="E40" s="33">
        <v>0.1891891891891892</v>
      </c>
      <c r="F40" s="33">
        <v>0.48648648648648651</v>
      </c>
      <c r="G40" s="33">
        <v>0.27272727272727271</v>
      </c>
      <c r="H40" s="33">
        <v>0.16433566433566432</v>
      </c>
      <c r="I40" s="34">
        <v>7948.7179487179483</v>
      </c>
      <c r="J40" s="34">
        <v>-7372.3404255319147</v>
      </c>
      <c r="K40" s="33">
        <v>0.16216216216216217</v>
      </c>
      <c r="L40" s="33">
        <v>0.23076923076923078</v>
      </c>
      <c r="M40" s="33">
        <v>0.15734265734265734</v>
      </c>
      <c r="N40" s="33">
        <v>0.5</v>
      </c>
      <c r="O40" s="33">
        <v>0.57777777777777772</v>
      </c>
      <c r="P40" s="33">
        <v>0.48717948717948717</v>
      </c>
    </row>
    <row r="41" spans="1:16" x14ac:dyDescent="0.45">
      <c r="A41" s="35">
        <v>38</v>
      </c>
      <c r="B41" s="32">
        <v>-289.69999999999987</v>
      </c>
      <c r="C41" s="32">
        <v>-7.6236842105263127</v>
      </c>
      <c r="D41" s="37">
        <v>2.2894736842105261</v>
      </c>
      <c r="E41" s="33">
        <v>0.18421052631578946</v>
      </c>
      <c r="F41" s="33">
        <v>0.47368421052631576</v>
      </c>
      <c r="G41" s="33">
        <v>0.27551020408163263</v>
      </c>
      <c r="H41" s="33">
        <v>0.16666666666666666</v>
      </c>
      <c r="I41" s="34">
        <v>7929.6296296296296</v>
      </c>
      <c r="J41" s="34">
        <v>-7269.3877551020405</v>
      </c>
      <c r="K41" s="33">
        <v>0.15789473684210525</v>
      </c>
      <c r="L41" s="33">
        <v>0.23129251700680273</v>
      </c>
      <c r="M41" s="33">
        <v>0.15646258503401361</v>
      </c>
      <c r="N41" s="33">
        <v>0.5</v>
      </c>
      <c r="O41" s="33">
        <v>0.58695652173913049</v>
      </c>
      <c r="P41" s="33">
        <v>0.50617283950617287</v>
      </c>
    </row>
    <row r="42" spans="1:16" x14ac:dyDescent="0.45">
      <c r="A42" s="35">
        <v>39</v>
      </c>
      <c r="B42" s="32">
        <v>-263.09999999999985</v>
      </c>
      <c r="C42" s="32">
        <v>-6.7461538461538426</v>
      </c>
      <c r="D42" s="37">
        <v>2.2564102564102564</v>
      </c>
      <c r="E42" s="33">
        <v>0.20512820512820512</v>
      </c>
      <c r="F42" s="33">
        <v>0.46153846153846156</v>
      </c>
      <c r="G42" s="33">
        <v>0.28000000000000003</v>
      </c>
      <c r="H42" s="33">
        <v>0.16666666666666666</v>
      </c>
      <c r="I42" s="34">
        <v>7976.1904761904761</v>
      </c>
      <c r="J42" s="34">
        <v>-7176</v>
      </c>
      <c r="K42" s="33">
        <v>0.15384615384615385</v>
      </c>
      <c r="L42" s="33">
        <v>0.23666666666666666</v>
      </c>
      <c r="M42" s="33">
        <v>0.15666666666666668</v>
      </c>
      <c r="N42" s="33">
        <v>0.52112676056338025</v>
      </c>
      <c r="O42" s="33">
        <v>0.57446808510638303</v>
      </c>
      <c r="P42" s="33">
        <v>0.5</v>
      </c>
    </row>
    <row r="43" spans="1:16" x14ac:dyDescent="0.45">
      <c r="A43" s="35">
        <v>40</v>
      </c>
      <c r="B43" s="32">
        <v>-254.79999999999984</v>
      </c>
      <c r="C43" s="32">
        <v>-6.3699999999999957</v>
      </c>
      <c r="D43" s="37">
        <v>2.25</v>
      </c>
      <c r="E43" s="33">
        <v>0.2</v>
      </c>
      <c r="F43" s="33">
        <v>0.45</v>
      </c>
      <c r="G43" s="33">
        <v>0.28431372549019607</v>
      </c>
      <c r="H43" s="33">
        <v>0.16339869281045752</v>
      </c>
      <c r="I43" s="34">
        <v>7955.1724137931033</v>
      </c>
      <c r="J43" s="34">
        <v>-7176</v>
      </c>
      <c r="K43" s="33">
        <v>0.15</v>
      </c>
      <c r="L43" s="33">
        <v>0.24183006535947713</v>
      </c>
      <c r="M43" s="33">
        <v>0.15359477124183007</v>
      </c>
      <c r="N43" s="33">
        <v>0.54054054054054057</v>
      </c>
      <c r="O43" s="33">
        <v>0.57446808510638303</v>
      </c>
      <c r="P43" s="33">
        <v>0.51724137931034486</v>
      </c>
    </row>
    <row r="44" spans="1:16" x14ac:dyDescent="0.45">
      <c r="A44" s="35">
        <v>41</v>
      </c>
      <c r="B44" s="32">
        <v>-261.99999999999983</v>
      </c>
      <c r="C44" s="32">
        <v>-6.3902439024390203</v>
      </c>
      <c r="D44" s="37">
        <v>2.2439024390243905</v>
      </c>
      <c r="E44" s="33">
        <v>0.1951219512195122</v>
      </c>
      <c r="F44" s="33">
        <v>0.43902439024390244</v>
      </c>
      <c r="G44" s="33">
        <v>0.28253968253968254</v>
      </c>
      <c r="H44" s="33">
        <v>0.16190476190476191</v>
      </c>
      <c r="I44" s="34">
        <v>7910.1123595505615</v>
      </c>
      <c r="J44" s="34">
        <v>-7137.2549019607841</v>
      </c>
      <c r="K44" s="33">
        <v>0.14634146341463414</v>
      </c>
      <c r="L44" s="33">
        <v>0.24126984126984127</v>
      </c>
      <c r="M44" s="33">
        <v>0.15873015873015872</v>
      </c>
      <c r="N44" s="33">
        <v>0.53947368421052633</v>
      </c>
      <c r="O44" s="33">
        <v>0.56000000000000005</v>
      </c>
      <c r="P44" s="33">
        <v>0.5168539325842697</v>
      </c>
    </row>
    <row r="45" spans="1:16" x14ac:dyDescent="0.45">
      <c r="A45" s="35">
        <v>42</v>
      </c>
      <c r="B45" s="32">
        <v>-240.99999999999983</v>
      </c>
      <c r="C45" s="32">
        <v>-5.7380952380952337</v>
      </c>
      <c r="D45" s="37">
        <v>2.2142857142857144</v>
      </c>
      <c r="E45" s="33">
        <v>0.21428571428571427</v>
      </c>
      <c r="F45" s="33">
        <v>0.42857142857142855</v>
      </c>
      <c r="G45" s="33">
        <v>0.28792569659442724</v>
      </c>
      <c r="H45" s="33">
        <v>0.1609907120743034</v>
      </c>
      <c r="I45" s="34">
        <v>7873.1182795698924</v>
      </c>
      <c r="J45" s="34">
        <v>-7148.0769230769229</v>
      </c>
      <c r="K45" s="33">
        <v>0.14285714285714285</v>
      </c>
      <c r="L45" s="33">
        <v>0.23839009287925697</v>
      </c>
      <c r="M45" s="33">
        <v>0.15789473684210525</v>
      </c>
      <c r="N45" s="33">
        <v>0.54545454545454541</v>
      </c>
      <c r="O45" s="33">
        <v>0.56862745098039214</v>
      </c>
      <c r="P45" s="33">
        <v>0.5161290322580645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652FD-D1C2-453D-8583-1CA8940CD3A5}">
  <sheetPr codeName="Sheet12"/>
  <dimension ref="A1:Q10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5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5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5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5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5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5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5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45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45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45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  <row r="71" spans="1:16" x14ac:dyDescent="0.45">
      <c r="A71" s="35">
        <v>68</v>
      </c>
      <c r="B71" s="32">
        <v>619.60000000000025</v>
      </c>
      <c r="C71" s="32">
        <v>9.1117647058823561</v>
      </c>
      <c r="D71" s="37">
        <v>1.7647058823529411</v>
      </c>
      <c r="E71" s="33">
        <v>0.4264705882352941</v>
      </c>
      <c r="F71" s="33">
        <v>0.19117647058823528</v>
      </c>
      <c r="G71" s="33">
        <v>0.31332082551594748</v>
      </c>
      <c r="H71" s="33">
        <v>0.13883677298311445</v>
      </c>
      <c r="I71" s="34">
        <v>9858.6826347305396</v>
      </c>
      <c r="J71" s="34">
        <v>-8451.3513513513517</v>
      </c>
      <c r="K71" s="33">
        <v>7.3529411764705885E-2</v>
      </c>
      <c r="L71" s="33">
        <v>0.25515947467166977</v>
      </c>
      <c r="M71" s="33">
        <v>0.16510318949343339</v>
      </c>
      <c r="N71" s="33">
        <v>0.61029411764705888</v>
      </c>
      <c r="O71" s="33">
        <v>0.47727272727272729</v>
      </c>
      <c r="P71" s="33">
        <v>0.52694610778443118</v>
      </c>
    </row>
    <row r="72" spans="1:16" x14ac:dyDescent="0.45">
      <c r="A72" s="35">
        <v>69</v>
      </c>
      <c r="B72" s="32">
        <v>631.50000000000023</v>
      </c>
      <c r="C72" s="32">
        <v>9.152173913043482</v>
      </c>
      <c r="D72" s="37">
        <v>1.7681159420289856</v>
      </c>
      <c r="E72" s="33">
        <v>0.42028985507246375</v>
      </c>
      <c r="F72" s="33">
        <v>0.18840579710144928</v>
      </c>
      <c r="G72" s="33">
        <v>0.31365313653136534</v>
      </c>
      <c r="H72" s="33">
        <v>0.14022140221402213</v>
      </c>
      <c r="I72" s="34">
        <v>9828.823529411764</v>
      </c>
      <c r="J72" s="34">
        <v>-8289.4736842105267</v>
      </c>
      <c r="K72" s="33">
        <v>7.2463768115942032E-2</v>
      </c>
      <c r="L72" s="33">
        <v>0.26014760147601473</v>
      </c>
      <c r="M72" s="33">
        <v>0.16420664206642066</v>
      </c>
      <c r="N72" s="33">
        <v>0.6028368794326241</v>
      </c>
      <c r="O72" s="33">
        <v>0.47191011235955055</v>
      </c>
      <c r="P72" s="33">
        <v>0.52352941176470591</v>
      </c>
    </row>
    <row r="73" spans="1:16" x14ac:dyDescent="0.45">
      <c r="A73" s="35">
        <v>70</v>
      </c>
      <c r="B73" s="32">
        <v>597.20000000000027</v>
      </c>
      <c r="C73" s="32">
        <v>8.5314285714285756</v>
      </c>
      <c r="D73" s="37">
        <v>1.7857142857142858</v>
      </c>
      <c r="E73" s="33">
        <v>0.41428571428571431</v>
      </c>
      <c r="F73" s="33">
        <v>0.2</v>
      </c>
      <c r="G73" s="33">
        <v>0.31090909090909091</v>
      </c>
      <c r="H73" s="33">
        <v>0.14181818181818182</v>
      </c>
      <c r="I73" s="34">
        <v>9818.1286549707602</v>
      </c>
      <c r="J73" s="34">
        <v>-8333.3333333333339</v>
      </c>
      <c r="K73" s="33">
        <v>7.1428571428571425E-2</v>
      </c>
      <c r="L73" s="33">
        <v>0.25818181818181818</v>
      </c>
      <c r="M73" s="33">
        <v>0.16727272727272727</v>
      </c>
      <c r="N73" s="33">
        <v>0.59859154929577463</v>
      </c>
      <c r="O73" s="33">
        <v>0.46739130434782611</v>
      </c>
      <c r="P73" s="33">
        <v>0.52046783625730997</v>
      </c>
    </row>
    <row r="74" spans="1:16" x14ac:dyDescent="0.45">
      <c r="A74" s="35">
        <v>71</v>
      </c>
      <c r="B74" s="32">
        <v>616.60000000000025</v>
      </c>
      <c r="C74" s="32">
        <v>8.6845070422535251</v>
      </c>
      <c r="D74" s="37">
        <v>1.7746478873239437</v>
      </c>
      <c r="E74" s="33">
        <v>0.42253521126760563</v>
      </c>
      <c r="F74" s="33">
        <v>0.19718309859154928</v>
      </c>
      <c r="G74" s="33">
        <v>0.30879712746858168</v>
      </c>
      <c r="H74" s="33">
        <v>0.14542190305206462</v>
      </c>
      <c r="I74" s="34">
        <v>9900.5813953488378</v>
      </c>
      <c r="J74" s="34">
        <v>-8155.5555555555557</v>
      </c>
      <c r="K74" s="33">
        <v>7.0422535211267609E-2</v>
      </c>
      <c r="L74" s="33">
        <v>0.25673249551166966</v>
      </c>
      <c r="M74" s="33">
        <v>0.16696588868940754</v>
      </c>
      <c r="N74" s="33">
        <v>0.59440559440559437</v>
      </c>
      <c r="O74" s="33">
        <v>0.4731182795698925</v>
      </c>
      <c r="P74" s="33">
        <v>0.52325581395348841</v>
      </c>
    </row>
    <row r="75" spans="1:16" x14ac:dyDescent="0.45">
      <c r="A75" s="35">
        <v>72</v>
      </c>
      <c r="B75" s="32">
        <v>677.10000000000025</v>
      </c>
      <c r="C75" s="32">
        <v>9.4041666666666703</v>
      </c>
      <c r="D75" s="37">
        <v>1.7638888888888888</v>
      </c>
      <c r="E75" s="33">
        <v>0.43055555555555558</v>
      </c>
      <c r="F75" s="33">
        <v>0.19444444444444445</v>
      </c>
      <c r="G75" s="33">
        <v>0.31413612565445026</v>
      </c>
      <c r="H75" s="33">
        <v>0.14485165794066318</v>
      </c>
      <c r="I75" s="34">
        <v>9749.4444444444453</v>
      </c>
      <c r="J75" s="34">
        <v>-8025.3012048192768</v>
      </c>
      <c r="K75" s="33">
        <v>6.9444444444444448E-2</v>
      </c>
      <c r="L75" s="33">
        <v>0.2513089005235602</v>
      </c>
      <c r="M75" s="33">
        <v>0.16753926701570682</v>
      </c>
      <c r="N75" s="33">
        <v>0.59027777777777779</v>
      </c>
      <c r="O75" s="33">
        <v>0.48958333333333331</v>
      </c>
      <c r="P75" s="33">
        <v>0.52222222222222225</v>
      </c>
    </row>
    <row r="76" spans="1:16" x14ac:dyDescent="0.45">
      <c r="A76" s="35">
        <v>73</v>
      </c>
      <c r="B76" s="32">
        <v>658.9000000000002</v>
      </c>
      <c r="C76" s="32">
        <v>9.0260273972602771</v>
      </c>
      <c r="D76" s="37">
        <v>1.7808219178082192</v>
      </c>
      <c r="E76" s="33">
        <v>0.42465753424657532</v>
      </c>
      <c r="F76" s="33">
        <v>0.20547945205479451</v>
      </c>
      <c r="G76" s="33">
        <v>0.31260794473229708</v>
      </c>
      <c r="H76" s="33">
        <v>0.14507772020725387</v>
      </c>
      <c r="I76" s="34">
        <v>9761.8784530386747</v>
      </c>
      <c r="J76" s="34">
        <v>-8021.4285714285716</v>
      </c>
      <c r="K76" s="33">
        <v>6.8493150684931503E-2</v>
      </c>
      <c r="L76" s="33">
        <v>0.25215889464594127</v>
      </c>
      <c r="M76" s="33">
        <v>0.16580310880829016</v>
      </c>
      <c r="N76" s="33">
        <v>0.58904109589041098</v>
      </c>
      <c r="O76" s="33">
        <v>0.48958333333333331</v>
      </c>
      <c r="P76" s="33">
        <v>0.52486187845303867</v>
      </c>
    </row>
    <row r="77" spans="1:16" x14ac:dyDescent="0.45">
      <c r="A77" s="35">
        <v>74</v>
      </c>
      <c r="B77" s="32">
        <v>678.00000000000023</v>
      </c>
      <c r="C77" s="32">
        <v>9.1621621621621649</v>
      </c>
      <c r="D77" s="37">
        <v>1.7702702702702702</v>
      </c>
      <c r="E77" s="33">
        <v>0.43243243243243246</v>
      </c>
      <c r="F77" s="33">
        <v>0.20270270270270271</v>
      </c>
      <c r="G77" s="33">
        <v>0.31175468483816016</v>
      </c>
      <c r="H77" s="33">
        <v>0.14480408858603067</v>
      </c>
      <c r="I77" s="34">
        <v>9760.6557377049176</v>
      </c>
      <c r="J77" s="34">
        <v>-7972.9411764705883</v>
      </c>
      <c r="K77" s="33">
        <v>6.7567567567567571E-2</v>
      </c>
      <c r="L77" s="33">
        <v>0.25212947189097101</v>
      </c>
      <c r="M77" s="33">
        <v>0.16524701873935263</v>
      </c>
      <c r="N77" s="33">
        <v>0.58783783783783783</v>
      </c>
      <c r="O77" s="33">
        <v>0.4845360824742268</v>
      </c>
      <c r="P77" s="33">
        <v>0.52459016393442626</v>
      </c>
    </row>
    <row r="78" spans="1:16" x14ac:dyDescent="0.45">
      <c r="A78" s="35">
        <v>75</v>
      </c>
      <c r="B78" s="32">
        <v>707.50000000000023</v>
      </c>
      <c r="C78" s="32">
        <v>9.4333333333333371</v>
      </c>
      <c r="D78" s="37">
        <v>1.76</v>
      </c>
      <c r="E78" s="33">
        <v>0.44</v>
      </c>
      <c r="F78" s="33">
        <v>0.2</v>
      </c>
      <c r="G78" s="33">
        <v>0.31</v>
      </c>
      <c r="H78" s="33">
        <v>0.14499999999999999</v>
      </c>
      <c r="I78" s="34">
        <v>9893.5483870967746</v>
      </c>
      <c r="J78" s="34">
        <v>-7970.1149425287358</v>
      </c>
      <c r="K78" s="33">
        <v>6.6666666666666666E-2</v>
      </c>
      <c r="L78" s="33">
        <v>0.255</v>
      </c>
      <c r="M78" s="33">
        <v>0.16333333333333333</v>
      </c>
      <c r="N78" s="33">
        <v>0.58823529411764708</v>
      </c>
      <c r="O78" s="33">
        <v>0.47959183673469385</v>
      </c>
      <c r="P78" s="33">
        <v>0.521505376344086</v>
      </c>
    </row>
    <row r="79" spans="1:16" x14ac:dyDescent="0.45">
      <c r="A79" s="35">
        <v>76</v>
      </c>
      <c r="B79" s="32">
        <v>741.60000000000025</v>
      </c>
      <c r="C79" s="32">
        <v>9.7578947368421094</v>
      </c>
      <c r="D79" s="37">
        <v>1.75</v>
      </c>
      <c r="E79" s="33">
        <v>0.44736842105263158</v>
      </c>
      <c r="F79" s="33">
        <v>0.19736842105263158</v>
      </c>
      <c r="G79" s="33">
        <v>0.30983606557377047</v>
      </c>
      <c r="H79" s="33">
        <v>0.14590163934426228</v>
      </c>
      <c r="I79" s="34">
        <v>9948.1481481481478</v>
      </c>
      <c r="J79" s="34">
        <v>-7913.4831460674159</v>
      </c>
      <c r="K79" s="33">
        <v>6.5789473684210523E-2</v>
      </c>
      <c r="L79" s="33">
        <v>0.25081967213114753</v>
      </c>
      <c r="M79" s="33">
        <v>0.16393442622950818</v>
      </c>
      <c r="N79" s="33">
        <v>0.58823529411764708</v>
      </c>
      <c r="O79" s="33">
        <v>0.48</v>
      </c>
      <c r="P79" s="33">
        <v>0.51322751322751325</v>
      </c>
    </row>
    <row r="80" spans="1:16" x14ac:dyDescent="0.45">
      <c r="A80" s="35">
        <v>77</v>
      </c>
      <c r="B80" s="32">
        <v>757.4000000000002</v>
      </c>
      <c r="C80" s="32">
        <v>9.8363636363636395</v>
      </c>
      <c r="D80" s="37">
        <v>1.7402597402597402</v>
      </c>
      <c r="E80" s="33">
        <v>0.45454545454545453</v>
      </c>
      <c r="F80" s="33">
        <v>0.19480519480519481</v>
      </c>
      <c r="G80" s="33">
        <v>0.31006493506493504</v>
      </c>
      <c r="H80" s="33">
        <v>0.1461038961038961</v>
      </c>
      <c r="I80" s="34">
        <v>9916.2303664921474</v>
      </c>
      <c r="J80" s="34">
        <v>-7883.333333333333</v>
      </c>
      <c r="K80" s="33">
        <v>6.4935064935064929E-2</v>
      </c>
      <c r="L80" s="33">
        <v>0.24837662337662339</v>
      </c>
      <c r="M80" s="33">
        <v>0.16233766233766234</v>
      </c>
      <c r="N80" s="33">
        <v>0.58823529411764708</v>
      </c>
      <c r="O80" s="33">
        <v>0.48</v>
      </c>
      <c r="P80" s="33">
        <v>0.50785340314136129</v>
      </c>
    </row>
    <row r="81" spans="1:16" x14ac:dyDescent="0.45">
      <c r="A81" s="35">
        <v>78</v>
      </c>
      <c r="B81" s="32">
        <v>729.20000000000016</v>
      </c>
      <c r="C81" s="32">
        <v>9.348717948717951</v>
      </c>
      <c r="D81" s="37">
        <v>1.7564102564102564</v>
      </c>
      <c r="E81" s="33">
        <v>0.44871794871794873</v>
      </c>
      <c r="F81" s="33">
        <v>0.20512820512820512</v>
      </c>
      <c r="G81" s="33">
        <v>0.3097913322632424</v>
      </c>
      <c r="H81" s="33">
        <v>0.1476725521669342</v>
      </c>
      <c r="I81" s="34">
        <v>9868.3937823834203</v>
      </c>
      <c r="J81" s="34">
        <v>-7929.347826086957</v>
      </c>
      <c r="K81" s="33">
        <v>6.4102564102564097E-2</v>
      </c>
      <c r="L81" s="33">
        <v>0.24879614767255218</v>
      </c>
      <c r="M81" s="33">
        <v>0.16211878009630817</v>
      </c>
      <c r="N81" s="33">
        <v>0.58709677419354833</v>
      </c>
      <c r="O81" s="33">
        <v>0.48514851485148514</v>
      </c>
      <c r="P81" s="33">
        <v>0.50259067357512954</v>
      </c>
    </row>
    <row r="82" spans="1:16" x14ac:dyDescent="0.45">
      <c r="A82" s="35">
        <v>79</v>
      </c>
      <c r="B82" s="32">
        <v>745.50000000000011</v>
      </c>
      <c r="C82" s="32">
        <v>9.4367088607594951</v>
      </c>
      <c r="D82" s="37">
        <v>1.7468354430379747</v>
      </c>
      <c r="E82" s="33">
        <v>0.45569620253164556</v>
      </c>
      <c r="F82" s="33">
        <v>0.20253164556962025</v>
      </c>
      <c r="G82" s="33">
        <v>0.31160572337042924</v>
      </c>
      <c r="H82" s="33">
        <v>0.14785373608903021</v>
      </c>
      <c r="I82" s="34">
        <v>9828.0612244897966</v>
      </c>
      <c r="J82" s="34">
        <v>-7973.1182795698924</v>
      </c>
      <c r="K82" s="33">
        <v>6.3291139240506333E-2</v>
      </c>
      <c r="L82" s="33">
        <v>0.24960254372019078</v>
      </c>
      <c r="M82" s="33">
        <v>0.16057233704292528</v>
      </c>
      <c r="N82" s="33">
        <v>0.5859872611464968</v>
      </c>
      <c r="O82" s="33">
        <v>0.48514851485148514</v>
      </c>
      <c r="P82" s="33">
        <v>0.51020408163265307</v>
      </c>
    </row>
    <row r="83" spans="1:16" x14ac:dyDescent="0.45">
      <c r="A83" s="35">
        <v>80</v>
      </c>
      <c r="B83" s="32">
        <v>712.20000000000016</v>
      </c>
      <c r="C83" s="32">
        <v>8.9025000000000016</v>
      </c>
      <c r="D83" s="37">
        <v>1.7625</v>
      </c>
      <c r="E83" s="33">
        <v>0.45</v>
      </c>
      <c r="F83" s="33">
        <v>0.21249999999999999</v>
      </c>
      <c r="G83" s="33">
        <v>0.31023622047244093</v>
      </c>
      <c r="H83" s="33">
        <v>0.14645669291338584</v>
      </c>
      <c r="I83" s="34">
        <v>9794.4162436548231</v>
      </c>
      <c r="J83" s="34">
        <v>-7973.1182795698924</v>
      </c>
      <c r="K83" s="33">
        <v>6.25E-2</v>
      </c>
      <c r="L83" s="33">
        <v>0.24724409448818899</v>
      </c>
      <c r="M83" s="33">
        <v>0.15905511811023623</v>
      </c>
      <c r="N83" s="33">
        <v>0.5859872611464968</v>
      </c>
      <c r="O83" s="33">
        <v>0.48514851485148514</v>
      </c>
      <c r="P83" s="33">
        <v>0.51269035532994922</v>
      </c>
    </row>
    <row r="84" spans="1:16" x14ac:dyDescent="0.45">
      <c r="A84" s="35">
        <v>81</v>
      </c>
      <c r="B84" s="32">
        <v>689.10000000000014</v>
      </c>
      <c r="C84" s="32">
        <v>8.5074074074074097</v>
      </c>
      <c r="D84" s="37">
        <v>1.7777777777777777</v>
      </c>
      <c r="E84" s="33">
        <v>0.44444444444444442</v>
      </c>
      <c r="F84" s="33">
        <v>0.22222222222222221</v>
      </c>
      <c r="G84" s="33">
        <v>0.3099688473520249</v>
      </c>
      <c r="H84" s="33">
        <v>0.14485981308411214</v>
      </c>
      <c r="I84" s="34">
        <v>9748.2412060301504</v>
      </c>
      <c r="J84" s="34">
        <v>-7973.1182795698924</v>
      </c>
      <c r="K84" s="33">
        <v>6.1728395061728392E-2</v>
      </c>
      <c r="L84" s="33">
        <v>0.24922118380062305</v>
      </c>
      <c r="M84" s="33">
        <v>0.15887850467289719</v>
      </c>
      <c r="N84" s="33">
        <v>0.58125000000000004</v>
      </c>
      <c r="O84" s="33">
        <v>0.49019607843137253</v>
      </c>
      <c r="P84" s="33">
        <v>0.51256281407035176</v>
      </c>
    </row>
    <row r="85" spans="1:16" x14ac:dyDescent="0.45">
      <c r="A85" s="35">
        <v>82</v>
      </c>
      <c r="B85" s="32">
        <v>719.70000000000016</v>
      </c>
      <c r="C85" s="32">
        <v>8.7768292682926852</v>
      </c>
      <c r="D85" s="37">
        <v>1.7682926829268293</v>
      </c>
      <c r="E85" s="33">
        <v>0.45121951219512196</v>
      </c>
      <c r="F85" s="33">
        <v>0.21951219512195122</v>
      </c>
      <c r="G85" s="33">
        <v>0.31076923076923074</v>
      </c>
      <c r="H85" s="33">
        <v>0.14461538461538462</v>
      </c>
      <c r="I85" s="34">
        <v>9791.5841584158425</v>
      </c>
      <c r="J85" s="34">
        <v>-7915.9574468085102</v>
      </c>
      <c r="K85" s="33">
        <v>6.097560975609756E-2</v>
      </c>
      <c r="L85" s="33">
        <v>0.25230769230769229</v>
      </c>
      <c r="M85" s="33">
        <v>0.15846153846153846</v>
      </c>
      <c r="N85" s="33">
        <v>0.57926829268292679</v>
      </c>
      <c r="O85" s="33">
        <v>0.4854368932038835</v>
      </c>
      <c r="P85" s="33">
        <v>0.50990099009900991</v>
      </c>
    </row>
    <row r="86" spans="1:16" x14ac:dyDescent="0.45">
      <c r="A86" s="35">
        <v>83</v>
      </c>
      <c r="B86" s="32">
        <v>716.20000000000016</v>
      </c>
      <c r="C86" s="32">
        <v>8.6289156626506038</v>
      </c>
      <c r="D86" s="37">
        <v>1.7710843373493976</v>
      </c>
      <c r="E86" s="33">
        <v>0.44578313253012047</v>
      </c>
      <c r="F86" s="33">
        <v>0.21686746987951808</v>
      </c>
      <c r="G86" s="33">
        <v>0.31050228310502281</v>
      </c>
      <c r="H86" s="33">
        <v>0.14307458143074581</v>
      </c>
      <c r="I86" s="34">
        <v>9783.823529411764</v>
      </c>
      <c r="J86" s="34">
        <v>-7915.9574468085102</v>
      </c>
      <c r="K86" s="33">
        <v>6.0240963855421686E-2</v>
      </c>
      <c r="L86" s="33">
        <v>0.25114155251141551</v>
      </c>
      <c r="M86" s="33">
        <v>0.15829528158295281</v>
      </c>
      <c r="N86" s="33">
        <v>0.58181818181818179</v>
      </c>
      <c r="O86" s="33">
        <v>0.49038461538461536</v>
      </c>
      <c r="P86" s="33">
        <v>0.50980392156862742</v>
      </c>
    </row>
    <row r="87" spans="1:16" x14ac:dyDescent="0.45">
      <c r="A87" s="35">
        <v>84</v>
      </c>
      <c r="B87" s="32">
        <v>718.10000000000014</v>
      </c>
      <c r="C87" s="32">
        <v>8.5488095238095259</v>
      </c>
      <c r="D87" s="37">
        <v>1.7738095238095237</v>
      </c>
      <c r="E87" s="33">
        <v>0.44047619047619047</v>
      </c>
      <c r="F87" s="33">
        <v>0.21428571428571427</v>
      </c>
      <c r="G87" s="33">
        <v>0.30920060331825039</v>
      </c>
      <c r="H87" s="33">
        <v>0.14177978883861236</v>
      </c>
      <c r="I87" s="34">
        <v>9745.8536585365855</v>
      </c>
      <c r="J87" s="34">
        <v>-7915.9574468085102</v>
      </c>
      <c r="K87" s="33">
        <v>5.9523809523809521E-2</v>
      </c>
      <c r="L87" s="33">
        <v>0.25037707390648567</v>
      </c>
      <c r="M87" s="33">
        <v>0.15837104072398189</v>
      </c>
      <c r="N87" s="33">
        <v>0.58433734939759041</v>
      </c>
      <c r="O87" s="33">
        <v>0.48571428571428571</v>
      </c>
      <c r="P87" s="33">
        <v>0.50731707317073171</v>
      </c>
    </row>
    <row r="88" spans="1:16" x14ac:dyDescent="0.45">
      <c r="A88" s="35">
        <v>85</v>
      </c>
      <c r="B88" s="32">
        <v>685.90000000000009</v>
      </c>
      <c r="C88" s="32">
        <v>8.0694117647058832</v>
      </c>
      <c r="D88" s="37">
        <v>1.7882352941176471</v>
      </c>
      <c r="E88" s="33">
        <v>0.43529411764705883</v>
      </c>
      <c r="F88" s="33">
        <v>0.22352941176470589</v>
      </c>
      <c r="G88" s="33">
        <v>0.30700447093889716</v>
      </c>
      <c r="H88" s="33">
        <v>0.14157973174366617</v>
      </c>
      <c r="I88" s="34">
        <v>9776.213592233009</v>
      </c>
      <c r="J88" s="34">
        <v>-7958.9473684210525</v>
      </c>
      <c r="K88" s="33">
        <v>5.8823529411764705E-2</v>
      </c>
      <c r="L88" s="33">
        <v>0.25186289120715349</v>
      </c>
      <c r="M88" s="33">
        <v>0.15648286140089418</v>
      </c>
      <c r="N88" s="33">
        <v>0.57988165680473369</v>
      </c>
      <c r="O88" s="33">
        <v>0.48571428571428571</v>
      </c>
      <c r="P88" s="33">
        <v>0.50970873786407767</v>
      </c>
    </row>
    <row r="89" spans="1:16" x14ac:dyDescent="0.45">
      <c r="A89" s="35">
        <v>86</v>
      </c>
      <c r="B89" s="32">
        <v>722.50000000000011</v>
      </c>
      <c r="C89" s="32">
        <v>8.4011627906976756</v>
      </c>
      <c r="D89" s="37">
        <v>1.7790697674418605</v>
      </c>
      <c r="E89" s="33">
        <v>0.44186046511627908</v>
      </c>
      <c r="F89" s="33">
        <v>0.22093023255813954</v>
      </c>
      <c r="G89" s="33">
        <v>0.30825958702064898</v>
      </c>
      <c r="H89" s="33">
        <v>0.14306784660766961</v>
      </c>
      <c r="I89" s="34">
        <v>9787.0813397129186</v>
      </c>
      <c r="J89" s="34">
        <v>-7861.855670103093</v>
      </c>
      <c r="K89" s="33">
        <v>5.8139534883720929E-2</v>
      </c>
      <c r="L89" s="33">
        <v>0.25221238938053098</v>
      </c>
      <c r="M89" s="33">
        <v>0.15781710914454278</v>
      </c>
      <c r="N89" s="33">
        <v>0.57894736842105265</v>
      </c>
      <c r="O89" s="33">
        <v>0.49532710280373832</v>
      </c>
      <c r="P89" s="33">
        <v>0.51196172248803828</v>
      </c>
    </row>
    <row r="90" spans="1:16" x14ac:dyDescent="0.45">
      <c r="A90" s="35">
        <v>87</v>
      </c>
      <c r="B90" s="32">
        <v>755.50000000000011</v>
      </c>
      <c r="C90" s="32">
        <v>8.683908045977013</v>
      </c>
      <c r="D90" s="37">
        <v>1.7701149425287357</v>
      </c>
      <c r="E90" s="33">
        <v>0.44827586206896552</v>
      </c>
      <c r="F90" s="33">
        <v>0.21839080459770116</v>
      </c>
      <c r="G90" s="33">
        <v>0.31049562682215742</v>
      </c>
      <c r="H90" s="33">
        <v>0.14139941690962099</v>
      </c>
      <c r="I90" s="34">
        <v>9778.403755868545</v>
      </c>
      <c r="J90" s="34">
        <v>-7861.855670103093</v>
      </c>
      <c r="K90" s="33">
        <v>5.7471264367816091E-2</v>
      </c>
      <c r="L90" s="33">
        <v>0.25364431486880468</v>
      </c>
      <c r="M90" s="33">
        <v>0.15743440233236153</v>
      </c>
      <c r="N90" s="33">
        <v>0.58045977011494254</v>
      </c>
      <c r="O90" s="33">
        <v>0.49074074074074076</v>
      </c>
      <c r="P90" s="33">
        <v>0.51173708920187788</v>
      </c>
    </row>
    <row r="91" spans="1:16" x14ac:dyDescent="0.45">
      <c r="A91" s="35">
        <v>88</v>
      </c>
      <c r="B91" s="32">
        <v>791.20000000000016</v>
      </c>
      <c r="C91" s="32">
        <v>8.9909090909090921</v>
      </c>
      <c r="D91" s="37">
        <v>1.7613636363636365</v>
      </c>
      <c r="E91" s="33">
        <v>0.45454545454545453</v>
      </c>
      <c r="F91" s="33">
        <v>0.21590909090909091</v>
      </c>
      <c r="G91" s="33">
        <v>0.3107913669064748</v>
      </c>
      <c r="H91" s="33">
        <v>0.14100719424460431</v>
      </c>
      <c r="I91" s="34">
        <v>9807.8703703703704</v>
      </c>
      <c r="J91" s="34">
        <v>-7834.6938775510207</v>
      </c>
      <c r="K91" s="33">
        <v>5.6818181818181816E-2</v>
      </c>
      <c r="L91" s="33">
        <v>0.25179856115107913</v>
      </c>
      <c r="M91" s="33">
        <v>0.15971223021582734</v>
      </c>
      <c r="N91" s="33">
        <v>0.58285714285714285</v>
      </c>
      <c r="O91" s="33">
        <v>0.49549549549549549</v>
      </c>
      <c r="P91" s="33">
        <v>0.51388888888888884</v>
      </c>
    </row>
    <row r="92" spans="1:16" x14ac:dyDescent="0.45">
      <c r="A92" s="35">
        <v>89</v>
      </c>
      <c r="B92" s="32">
        <v>842.30000000000018</v>
      </c>
      <c r="C92" s="32">
        <v>9.4640449438202268</v>
      </c>
      <c r="D92" s="37">
        <v>1.752808988764045</v>
      </c>
      <c r="E92" s="33">
        <v>0.4606741573033708</v>
      </c>
      <c r="F92" s="33">
        <v>0.21348314606741572</v>
      </c>
      <c r="G92" s="33">
        <v>0.31436699857752487</v>
      </c>
      <c r="H92" s="33">
        <v>0.13940256045519203</v>
      </c>
      <c r="I92" s="34">
        <v>9799.5475113122175</v>
      </c>
      <c r="J92" s="34">
        <v>-7834.6938775510207</v>
      </c>
      <c r="K92" s="33">
        <v>5.6179775280898875E-2</v>
      </c>
      <c r="L92" s="33">
        <v>0.25462304409672831</v>
      </c>
      <c r="M92" s="33">
        <v>0.15931721194879089</v>
      </c>
      <c r="N92" s="33">
        <v>0.58659217877094971</v>
      </c>
      <c r="O92" s="33">
        <v>0.5</v>
      </c>
      <c r="P92" s="33">
        <v>0.5113122171945701</v>
      </c>
    </row>
    <row r="93" spans="1:16" x14ac:dyDescent="0.45">
      <c r="A93" s="35">
        <v>90</v>
      </c>
      <c r="B93" s="32">
        <v>787.80000000000018</v>
      </c>
      <c r="C93" s="32">
        <v>8.7533333333333356</v>
      </c>
      <c r="D93" s="37">
        <v>1.7666666666666666</v>
      </c>
      <c r="E93" s="33">
        <v>0.45555555555555555</v>
      </c>
      <c r="F93" s="33">
        <v>0.22222222222222221</v>
      </c>
      <c r="G93" s="33">
        <v>0.31320224719101125</v>
      </c>
      <c r="H93" s="33">
        <v>0.13904494382022473</v>
      </c>
      <c r="I93" s="34">
        <v>9801.3452914798199</v>
      </c>
      <c r="J93" s="34">
        <v>-8240.4040404040406</v>
      </c>
      <c r="K93" s="33">
        <v>6.6666666666666666E-2</v>
      </c>
      <c r="L93" s="33">
        <v>0.25280898876404495</v>
      </c>
      <c r="M93" s="33">
        <v>0.15730337078651685</v>
      </c>
      <c r="N93" s="33">
        <v>0.58888888888888891</v>
      </c>
      <c r="O93" s="33">
        <v>0.5</v>
      </c>
      <c r="P93" s="33">
        <v>0.50672645739910316</v>
      </c>
    </row>
    <row r="94" spans="1:16" x14ac:dyDescent="0.45">
      <c r="A94" s="35">
        <v>91</v>
      </c>
      <c r="B94" s="32">
        <v>781.9000000000002</v>
      </c>
      <c r="C94" s="32">
        <v>8.5923076923076938</v>
      </c>
      <c r="D94" s="37">
        <v>1.7692307692307692</v>
      </c>
      <c r="E94" s="33">
        <v>0.45054945054945056</v>
      </c>
      <c r="F94" s="33">
        <v>0.21978021978021978</v>
      </c>
      <c r="G94" s="33">
        <v>0.31058495821727017</v>
      </c>
      <c r="H94" s="33">
        <v>0.13788300835654596</v>
      </c>
      <c r="I94" s="34">
        <v>9801.3452914798199</v>
      </c>
      <c r="J94" s="34">
        <v>-8240.4040404040406</v>
      </c>
      <c r="K94" s="33">
        <v>6.5934065934065936E-2</v>
      </c>
      <c r="L94" s="33">
        <v>0.25069637883008355</v>
      </c>
      <c r="M94" s="33">
        <v>0.1573816155988858</v>
      </c>
      <c r="N94" s="33">
        <v>0.58888888888888891</v>
      </c>
      <c r="O94" s="33">
        <v>0.49557522123893805</v>
      </c>
      <c r="P94" s="33">
        <v>0.50672645739910316</v>
      </c>
    </row>
    <row r="95" spans="1:16" x14ac:dyDescent="0.45">
      <c r="A95" s="35">
        <v>92</v>
      </c>
      <c r="B95" s="32">
        <v>743.00000000000023</v>
      </c>
      <c r="C95" s="32">
        <v>8.0760869565217419</v>
      </c>
      <c r="D95" s="37">
        <v>1.7826086956521738</v>
      </c>
      <c r="E95" s="33">
        <v>0.44565217391304346</v>
      </c>
      <c r="F95" s="33">
        <v>0.22826086956521738</v>
      </c>
      <c r="G95" s="33">
        <v>0.30801104972375692</v>
      </c>
      <c r="H95" s="33">
        <v>0.13812154696132597</v>
      </c>
      <c r="I95" s="34">
        <v>9801.3452914798199</v>
      </c>
      <c r="J95" s="34">
        <v>-8210</v>
      </c>
      <c r="K95" s="33">
        <v>6.5217391304347824E-2</v>
      </c>
      <c r="L95" s="33">
        <v>0.24861878453038674</v>
      </c>
      <c r="M95" s="33">
        <v>0.15883977900552487</v>
      </c>
      <c r="N95" s="33">
        <v>0.58888888888888891</v>
      </c>
      <c r="O95" s="33">
        <v>0.48695652173913045</v>
      </c>
      <c r="P95" s="33">
        <v>0.50672645739910316</v>
      </c>
    </row>
    <row r="96" spans="1:16" x14ac:dyDescent="0.45">
      <c r="A96" s="35">
        <v>93</v>
      </c>
      <c r="B96" s="32">
        <v>761.70000000000027</v>
      </c>
      <c r="C96" s="32">
        <v>8.1903225806451641</v>
      </c>
      <c r="D96" s="37">
        <v>1.7741935483870968</v>
      </c>
      <c r="E96" s="33">
        <v>0.45161290322580644</v>
      </c>
      <c r="F96" s="33">
        <v>0.22580645161290322</v>
      </c>
      <c r="G96" s="33">
        <v>0.30737704918032788</v>
      </c>
      <c r="H96" s="33">
        <v>0.13797814207650272</v>
      </c>
      <c r="I96" s="34">
        <v>9835.1111111111113</v>
      </c>
      <c r="J96" s="34">
        <v>-8287.1287128712866</v>
      </c>
      <c r="K96" s="33">
        <v>6.4516129032258063E-2</v>
      </c>
      <c r="L96" s="33">
        <v>0.24863387978142076</v>
      </c>
      <c r="M96" s="33">
        <v>0.15846994535519127</v>
      </c>
      <c r="N96" s="33">
        <v>0.59340659340659341</v>
      </c>
      <c r="O96" s="33">
        <v>0.48275862068965519</v>
      </c>
      <c r="P96" s="33">
        <v>0.50666666666666671</v>
      </c>
    </row>
    <row r="97" spans="1:16" x14ac:dyDescent="0.45">
      <c r="A97" s="35">
        <v>94</v>
      </c>
      <c r="B97" s="32">
        <v>770.10000000000025</v>
      </c>
      <c r="C97" s="32">
        <v>8.192553191489365</v>
      </c>
      <c r="D97" s="37">
        <v>1.7765957446808511</v>
      </c>
      <c r="E97" s="33">
        <v>0.44680851063829785</v>
      </c>
      <c r="F97" s="33">
        <v>0.22340425531914893</v>
      </c>
      <c r="G97" s="33">
        <v>0.30810810810810813</v>
      </c>
      <c r="H97" s="33">
        <v>0.13648648648648648</v>
      </c>
      <c r="I97" s="34">
        <v>9801.7543859649122</v>
      </c>
      <c r="J97" s="34">
        <v>-8287.1287128712866</v>
      </c>
      <c r="K97" s="33">
        <v>6.3829787234042548E-2</v>
      </c>
      <c r="L97" s="33">
        <v>0.25</v>
      </c>
      <c r="M97" s="33">
        <v>0.1581081081081081</v>
      </c>
      <c r="N97" s="33">
        <v>0.59459459459459463</v>
      </c>
      <c r="O97" s="33">
        <v>0.48717948717948717</v>
      </c>
      <c r="P97" s="33">
        <v>0.50438596491228072</v>
      </c>
    </row>
    <row r="98" spans="1:16" x14ac:dyDescent="0.45">
      <c r="A98" s="35">
        <v>95</v>
      </c>
      <c r="B98" s="32">
        <v>748.9000000000002</v>
      </c>
      <c r="C98" s="32">
        <v>7.8831578947368444</v>
      </c>
      <c r="D98" s="37">
        <v>1.7894736842105263</v>
      </c>
      <c r="E98" s="33">
        <v>0.44210526315789472</v>
      </c>
      <c r="F98" s="33">
        <v>0.23157894736842105</v>
      </c>
      <c r="G98" s="33">
        <v>0.30707610146862485</v>
      </c>
      <c r="H98" s="33">
        <v>0.13618157543391188</v>
      </c>
      <c r="I98" s="34">
        <v>9791.3043478260861</v>
      </c>
      <c r="J98" s="34">
        <v>-8323.5294117647063</v>
      </c>
      <c r="K98" s="33">
        <v>6.3157894736842107E-2</v>
      </c>
      <c r="L98" s="33">
        <v>0.25100133511348466</v>
      </c>
      <c r="M98" s="33">
        <v>0.15887850467289719</v>
      </c>
      <c r="N98" s="33">
        <v>0.5957446808510638</v>
      </c>
      <c r="O98" s="33">
        <v>0.47899159663865548</v>
      </c>
      <c r="P98" s="33">
        <v>0.5043478260869565</v>
      </c>
    </row>
    <row r="99" spans="1:16" x14ac:dyDescent="0.45">
      <c r="A99" s="35">
        <v>96</v>
      </c>
      <c r="B99" s="32">
        <v>720.4000000000002</v>
      </c>
      <c r="C99" s="32">
        <v>7.5041666666666691</v>
      </c>
      <c r="D99" s="37">
        <v>1.8020833333333333</v>
      </c>
      <c r="E99" s="33">
        <v>0.4375</v>
      </c>
      <c r="F99" s="33">
        <v>0.23958333333333334</v>
      </c>
      <c r="G99" s="33">
        <v>0.30515191545574638</v>
      </c>
      <c r="H99" s="33">
        <v>0.13738441215323646</v>
      </c>
      <c r="I99" s="34">
        <v>9800.8658008658003</v>
      </c>
      <c r="J99" s="34">
        <v>-8355.7692307692305</v>
      </c>
      <c r="K99" s="33">
        <v>6.25E-2</v>
      </c>
      <c r="L99" s="33">
        <v>0.24966974900924702</v>
      </c>
      <c r="M99" s="33">
        <v>0.15852047556142668</v>
      </c>
      <c r="N99" s="33">
        <v>0.59259259259259256</v>
      </c>
      <c r="O99" s="33">
        <v>0.48333333333333334</v>
      </c>
      <c r="P99" s="33">
        <v>0.50649350649350644</v>
      </c>
    </row>
    <row r="100" spans="1:16" x14ac:dyDescent="0.45">
      <c r="A100" s="35">
        <v>97</v>
      </c>
      <c r="B100" s="32">
        <v>735.9000000000002</v>
      </c>
      <c r="C100" s="32">
        <v>7.5865979381443323</v>
      </c>
      <c r="D100" s="37">
        <v>1.7938144329896908</v>
      </c>
      <c r="E100" s="33">
        <v>0.44329896907216493</v>
      </c>
      <c r="F100" s="33">
        <v>0.23711340206185566</v>
      </c>
      <c r="G100" s="33">
        <v>0.30406290956749671</v>
      </c>
      <c r="H100" s="33">
        <v>0.13761467889908258</v>
      </c>
      <c r="I100" s="34">
        <v>9793.1034482758623</v>
      </c>
      <c r="J100" s="34">
        <v>-8295.2380952380954</v>
      </c>
      <c r="K100" s="33">
        <v>6.1855670103092786E-2</v>
      </c>
      <c r="L100" s="33">
        <v>0.24770642201834864</v>
      </c>
      <c r="M100" s="33">
        <v>0.15858453473132372</v>
      </c>
      <c r="N100" s="33">
        <v>0.59259259259259256</v>
      </c>
      <c r="O100" s="33">
        <v>0.47933884297520662</v>
      </c>
      <c r="P100" s="33">
        <v>0.50862068965517238</v>
      </c>
    </row>
    <row r="101" spans="1:16" x14ac:dyDescent="0.45">
      <c r="A101" s="35">
        <v>98</v>
      </c>
      <c r="B101" s="32">
        <v>708.20000000000016</v>
      </c>
      <c r="C101" s="32">
        <v>7.2265306122448996</v>
      </c>
      <c r="D101" s="37">
        <v>1.8061224489795917</v>
      </c>
      <c r="E101" s="33">
        <v>0.43877551020408162</v>
      </c>
      <c r="F101" s="33">
        <v>0.24489795918367346</v>
      </c>
      <c r="G101" s="33">
        <v>0.30401034928848641</v>
      </c>
      <c r="H101" s="33">
        <v>0.13842173350582149</v>
      </c>
      <c r="I101" s="34">
        <v>9729.3617021276605</v>
      </c>
      <c r="J101" s="34">
        <v>-8297.1962616822439</v>
      </c>
      <c r="K101" s="33">
        <v>6.1224489795918366E-2</v>
      </c>
      <c r="L101" s="33">
        <v>0.24838292367399742</v>
      </c>
      <c r="M101" s="33">
        <v>0.15782664941785252</v>
      </c>
      <c r="N101" s="33">
        <v>0.59375</v>
      </c>
      <c r="O101" s="33">
        <v>0.48360655737704916</v>
      </c>
      <c r="P101" s="33">
        <v>0.50638297872340421</v>
      </c>
    </row>
    <row r="102" spans="1:16" x14ac:dyDescent="0.45">
      <c r="A102" s="35">
        <v>99</v>
      </c>
      <c r="B102" s="32">
        <v>680.60000000000014</v>
      </c>
      <c r="C102" s="32">
        <v>6.8747474747474762</v>
      </c>
      <c r="D102" s="37">
        <v>1.8181818181818181</v>
      </c>
      <c r="E102" s="33">
        <v>0.43434343434343436</v>
      </c>
      <c r="F102" s="33">
        <v>0.25252525252525254</v>
      </c>
      <c r="G102" s="33">
        <v>0.30063694267515922</v>
      </c>
      <c r="H102" s="33">
        <v>0.13885350318471337</v>
      </c>
      <c r="I102" s="34">
        <v>9700.4237288135591</v>
      </c>
      <c r="J102" s="34">
        <v>-8182.5688073394494</v>
      </c>
      <c r="K102" s="33">
        <v>6.0606060606060608E-2</v>
      </c>
      <c r="L102" s="33">
        <v>0.2445859872611465</v>
      </c>
      <c r="M102" s="33">
        <v>0.16050955414012738</v>
      </c>
      <c r="N102" s="33">
        <v>0.59375</v>
      </c>
      <c r="O102" s="33">
        <v>0.47619047619047616</v>
      </c>
      <c r="P102" s="33">
        <v>0.50423728813559321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20F6-42AF-4B78-8327-BC31CBD27D7F}">
  <sheetPr codeName="Sheet1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9FC5-E1CA-4B9B-95A6-8DA9C932342E}">
  <sheetPr codeName="Sheet8"/>
  <dimension ref="A1:Q74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5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5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5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5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5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5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45">
      <c r="A53" s="35">
        <v>50</v>
      </c>
      <c r="B53" s="32">
        <v>-122.60000000000007</v>
      </c>
      <c r="C53" s="32">
        <v>-2.4520000000000013</v>
      </c>
      <c r="D53" s="37">
        <v>2.06</v>
      </c>
      <c r="E53" s="33">
        <v>0.36</v>
      </c>
      <c r="F53" s="33">
        <v>0.42</v>
      </c>
      <c r="G53" s="33">
        <v>0.26980198019801982</v>
      </c>
      <c r="H53" s="33">
        <v>0.18811881188118812</v>
      </c>
      <c r="I53" s="34">
        <v>10259.633027522936</v>
      </c>
      <c r="J53" s="34">
        <v>-8281.5789473684217</v>
      </c>
      <c r="K53" s="33">
        <v>0.18</v>
      </c>
      <c r="L53" s="33">
        <v>0.29207920792079206</v>
      </c>
      <c r="M53" s="33">
        <v>0.20049504950495051</v>
      </c>
      <c r="N53" s="33">
        <v>0.46610169491525422</v>
      </c>
      <c r="O53" s="33">
        <v>0.37037037037037035</v>
      </c>
      <c r="P53" s="33">
        <v>0.44954128440366975</v>
      </c>
    </row>
    <row r="54" spans="1:16" x14ac:dyDescent="0.45">
      <c r="A54" s="35">
        <v>51</v>
      </c>
      <c r="B54" s="32">
        <v>-114.20000000000006</v>
      </c>
      <c r="C54" s="32">
        <v>-2.2392156862745112</v>
      </c>
      <c r="D54" s="37">
        <v>2.0588235294117645</v>
      </c>
      <c r="E54" s="33">
        <v>0.35294117647058826</v>
      </c>
      <c r="F54" s="33">
        <v>0.41176470588235292</v>
      </c>
      <c r="G54" s="33">
        <v>0.27250608272506083</v>
      </c>
      <c r="H54" s="33">
        <v>0.18734793187347931</v>
      </c>
      <c r="I54" s="34">
        <v>10232.142857142857</v>
      </c>
      <c r="J54" s="34">
        <v>-8277.9220779220777</v>
      </c>
      <c r="K54" s="33">
        <v>0.17647058823529413</v>
      </c>
      <c r="L54" s="33">
        <v>0.29197080291970801</v>
      </c>
      <c r="M54" s="33">
        <v>0.19951338199513383</v>
      </c>
      <c r="N54" s="33">
        <v>0.46666666666666667</v>
      </c>
      <c r="O54" s="33">
        <v>0.36585365853658536</v>
      </c>
      <c r="P54" s="33">
        <v>0.44642857142857145</v>
      </c>
    </row>
    <row r="55" spans="1:16" x14ac:dyDescent="0.45">
      <c r="A55" s="35">
        <v>52</v>
      </c>
      <c r="B55" s="32">
        <v>-89.900000000000063</v>
      </c>
      <c r="C55" s="32">
        <v>-1.728846153846155</v>
      </c>
      <c r="D55" s="37">
        <v>2.0384615384615383</v>
      </c>
      <c r="E55" s="33">
        <v>0.36538461538461536</v>
      </c>
      <c r="F55" s="33">
        <v>0.40384615384615385</v>
      </c>
      <c r="G55" s="33">
        <v>0.27380952380952384</v>
      </c>
      <c r="H55" s="33">
        <v>0.18809523809523809</v>
      </c>
      <c r="I55" s="34">
        <v>10295.652173913044</v>
      </c>
      <c r="J55" s="34">
        <v>-8281.0126582278481</v>
      </c>
      <c r="K55" s="33">
        <v>0.17307692307692307</v>
      </c>
      <c r="L55" s="33">
        <v>0.29523809523809524</v>
      </c>
      <c r="M55" s="33">
        <v>0.19761904761904761</v>
      </c>
      <c r="N55" s="33">
        <v>0.47580645161290325</v>
      </c>
      <c r="O55" s="33">
        <v>0.36144578313253012</v>
      </c>
      <c r="P55" s="33">
        <v>0.45217391304347826</v>
      </c>
    </row>
    <row r="56" spans="1:16" x14ac:dyDescent="0.45">
      <c r="A56" s="35">
        <v>53</v>
      </c>
      <c r="B56" s="32">
        <v>-61.800000000000061</v>
      </c>
      <c r="C56" s="32">
        <v>-1.1660377358490577</v>
      </c>
      <c r="D56" s="37">
        <v>2.0188679245283021</v>
      </c>
      <c r="E56" s="33">
        <v>0.37735849056603776</v>
      </c>
      <c r="F56" s="33">
        <v>0.39622641509433965</v>
      </c>
      <c r="G56" s="33">
        <v>0.27570093457943923</v>
      </c>
      <c r="H56" s="33">
        <v>0.18457943925233644</v>
      </c>
      <c r="I56" s="34">
        <v>10262.71186440678</v>
      </c>
      <c r="J56" s="34">
        <v>-8281.0126582278481</v>
      </c>
      <c r="K56" s="33">
        <v>0.16981132075471697</v>
      </c>
      <c r="L56" s="33">
        <v>0.29906542056074764</v>
      </c>
      <c r="M56" s="33">
        <v>0.19626168224299065</v>
      </c>
      <c r="N56" s="33">
        <v>0.4765625</v>
      </c>
      <c r="O56" s="33">
        <v>0.36904761904761907</v>
      </c>
      <c r="P56" s="33">
        <v>0.44915254237288138</v>
      </c>
    </row>
    <row r="57" spans="1:16" x14ac:dyDescent="0.45">
      <c r="A57" s="35">
        <v>54</v>
      </c>
      <c r="B57" s="32">
        <v>-63.800000000000061</v>
      </c>
      <c r="C57" s="32">
        <v>-1.1814814814814827</v>
      </c>
      <c r="D57" s="37">
        <v>2.0185185185185186</v>
      </c>
      <c r="E57" s="33">
        <v>0.37037037037037035</v>
      </c>
      <c r="F57" s="33">
        <v>0.3888888888888889</v>
      </c>
      <c r="G57" s="33">
        <v>0.27419354838709675</v>
      </c>
      <c r="H57" s="33">
        <v>0.18202764976958524</v>
      </c>
      <c r="I57" s="34">
        <v>10310.9243697479</v>
      </c>
      <c r="J57" s="34">
        <v>-8281.0126582278481</v>
      </c>
      <c r="K57" s="33">
        <v>0.16666666666666666</v>
      </c>
      <c r="L57" s="33">
        <v>0.29723502304147464</v>
      </c>
      <c r="M57" s="33">
        <v>0.19354838709677419</v>
      </c>
      <c r="N57" s="33">
        <v>0.47286821705426357</v>
      </c>
      <c r="O57" s="33">
        <v>0.36904761904761907</v>
      </c>
      <c r="P57" s="33">
        <v>0.44537815126050423</v>
      </c>
    </row>
    <row r="58" spans="1:16" x14ac:dyDescent="0.45">
      <c r="A58" s="35">
        <v>55</v>
      </c>
      <c r="B58" s="32">
        <v>-114.10000000000005</v>
      </c>
      <c r="C58" s="32">
        <v>-2.0745454545454556</v>
      </c>
      <c r="D58" s="37">
        <v>2.0363636363636362</v>
      </c>
      <c r="E58" s="33">
        <v>0.36363636363636365</v>
      </c>
      <c r="F58" s="33">
        <v>0.4</v>
      </c>
      <c r="G58" s="33">
        <v>0.27149321266968324</v>
      </c>
      <c r="H58" s="33">
        <v>0.18778280542986425</v>
      </c>
      <c r="I58" s="34">
        <v>10291.666666666666</v>
      </c>
      <c r="J58" s="34">
        <v>-8259.0361445783128</v>
      </c>
      <c r="K58" s="33">
        <v>0.18181818181818182</v>
      </c>
      <c r="L58" s="33">
        <v>0.29638009049773756</v>
      </c>
      <c r="M58" s="33">
        <v>0.19683257918552036</v>
      </c>
      <c r="N58" s="33">
        <v>0.46564885496183206</v>
      </c>
      <c r="O58" s="33">
        <v>0.36781609195402298</v>
      </c>
      <c r="P58" s="33">
        <v>0.45</v>
      </c>
    </row>
    <row r="59" spans="1:16" x14ac:dyDescent="0.45">
      <c r="A59" s="35">
        <v>56</v>
      </c>
      <c r="B59" s="32">
        <v>-110.70000000000005</v>
      </c>
      <c r="C59" s="32">
        <v>-1.976785714285715</v>
      </c>
      <c r="D59" s="37">
        <v>2.0357142857142856</v>
      </c>
      <c r="E59" s="33">
        <v>0.35714285714285715</v>
      </c>
      <c r="F59" s="33">
        <v>0.39285714285714285</v>
      </c>
      <c r="G59" s="33">
        <v>0.2700892857142857</v>
      </c>
      <c r="H59" s="33">
        <v>0.18526785714285715</v>
      </c>
      <c r="I59" s="34">
        <v>10249.586776859504</v>
      </c>
      <c r="J59" s="34">
        <v>-8259.0361445783128</v>
      </c>
      <c r="K59" s="33">
        <v>0.17857142857142858</v>
      </c>
      <c r="L59" s="33">
        <v>0.296875</v>
      </c>
      <c r="M59" s="33">
        <v>0.19642857142857142</v>
      </c>
      <c r="N59" s="33">
        <v>0.46616541353383456</v>
      </c>
      <c r="O59" s="33">
        <v>0.36363636363636365</v>
      </c>
      <c r="P59" s="33">
        <v>0.4462809917355372</v>
      </c>
    </row>
    <row r="60" spans="1:16" x14ac:dyDescent="0.45">
      <c r="A60" s="35">
        <v>57</v>
      </c>
      <c r="B60" s="32">
        <v>-89.600000000000051</v>
      </c>
      <c r="C60" s="32">
        <v>-1.5719298245614044</v>
      </c>
      <c r="D60" s="37">
        <v>2.0175438596491229</v>
      </c>
      <c r="E60" s="33">
        <v>0.36842105263157893</v>
      </c>
      <c r="F60" s="33">
        <v>0.38596491228070173</v>
      </c>
      <c r="G60" s="33">
        <v>0.2725274725274725</v>
      </c>
      <c r="H60" s="33">
        <v>0.18681318681318682</v>
      </c>
      <c r="I60" s="34">
        <v>10227.41935483871</v>
      </c>
      <c r="J60" s="34">
        <v>-8189.411764705882</v>
      </c>
      <c r="K60" s="33">
        <v>0.17543859649122806</v>
      </c>
      <c r="L60" s="33">
        <v>0.29450549450549451</v>
      </c>
      <c r="M60" s="33">
        <v>0.2021978021978022</v>
      </c>
      <c r="N60" s="33">
        <v>0.47014925373134331</v>
      </c>
      <c r="O60" s="33">
        <v>0.35869565217391303</v>
      </c>
      <c r="P60" s="33">
        <v>0.44354838709677419</v>
      </c>
    </row>
    <row r="61" spans="1:16" x14ac:dyDescent="0.45">
      <c r="A61" s="35">
        <v>58</v>
      </c>
      <c r="B61" s="32">
        <v>-110.00000000000006</v>
      </c>
      <c r="C61" s="32">
        <v>-1.8965517241379319</v>
      </c>
      <c r="D61" s="37">
        <v>2.0344827586206895</v>
      </c>
      <c r="E61" s="33">
        <v>0.36206896551724138</v>
      </c>
      <c r="F61" s="33">
        <v>0.39655172413793105</v>
      </c>
      <c r="G61" s="33">
        <v>0.27114967462039047</v>
      </c>
      <c r="H61" s="33">
        <v>0.18655097613882862</v>
      </c>
      <c r="I61" s="34">
        <v>10196.799999999999</v>
      </c>
      <c r="J61" s="34">
        <v>-8154.6511627906975</v>
      </c>
      <c r="K61" s="33">
        <v>0.17241379310344829</v>
      </c>
      <c r="L61" s="33">
        <v>0.29284164859002171</v>
      </c>
      <c r="M61" s="33">
        <v>0.2017353579175705</v>
      </c>
      <c r="N61" s="33">
        <v>0.47407407407407409</v>
      </c>
      <c r="O61" s="33">
        <v>0.35483870967741937</v>
      </c>
      <c r="P61" s="33">
        <v>0.44800000000000001</v>
      </c>
    </row>
    <row r="62" spans="1:16" x14ac:dyDescent="0.45">
      <c r="A62" s="35">
        <v>59</v>
      </c>
      <c r="B62" s="32">
        <v>-105.20000000000006</v>
      </c>
      <c r="C62" s="32">
        <v>-1.7830508474576281</v>
      </c>
      <c r="D62" s="37">
        <v>2.0338983050847457</v>
      </c>
      <c r="E62" s="33">
        <v>0.3559322033898305</v>
      </c>
      <c r="F62" s="33">
        <v>0.38983050847457629</v>
      </c>
      <c r="G62" s="33">
        <v>0.26980728051391861</v>
      </c>
      <c r="H62" s="33">
        <v>0.18629550321199143</v>
      </c>
      <c r="I62" s="34">
        <v>10306.349206349207</v>
      </c>
      <c r="J62" s="34">
        <v>-8120.6896551724139</v>
      </c>
      <c r="K62" s="33">
        <v>0.16949152542372881</v>
      </c>
      <c r="L62" s="33">
        <v>0.2955032119914347</v>
      </c>
      <c r="M62" s="33">
        <v>0.2012847965738758</v>
      </c>
      <c r="N62" s="33">
        <v>0.46376811594202899</v>
      </c>
      <c r="O62" s="33">
        <v>0.35106382978723405</v>
      </c>
      <c r="P62" s="33">
        <v>0.45238095238095238</v>
      </c>
    </row>
    <row r="63" spans="1:16" x14ac:dyDescent="0.45">
      <c r="A63" s="35">
        <v>60</v>
      </c>
      <c r="B63" s="32">
        <v>-152.00000000000006</v>
      </c>
      <c r="C63" s="32">
        <v>-2.5333333333333341</v>
      </c>
      <c r="D63" s="37">
        <v>2.0499999999999998</v>
      </c>
      <c r="E63" s="33">
        <v>0.35</v>
      </c>
      <c r="F63" s="33">
        <v>0.4</v>
      </c>
      <c r="G63" s="33">
        <v>0.26638477801268501</v>
      </c>
      <c r="H63" s="33">
        <v>0.19027484143763213</v>
      </c>
      <c r="I63" s="34">
        <v>10306.349206349207</v>
      </c>
      <c r="J63" s="34">
        <v>-7973.333333333333</v>
      </c>
      <c r="K63" s="33">
        <v>0.18333333333333332</v>
      </c>
      <c r="L63" s="33">
        <v>0.29386892177589852</v>
      </c>
      <c r="M63" s="33">
        <v>0.20084566596194503</v>
      </c>
      <c r="N63" s="33">
        <v>0.46043165467625902</v>
      </c>
      <c r="O63" s="33">
        <v>0.3473684210526316</v>
      </c>
      <c r="P63" s="33">
        <v>0.45238095238095238</v>
      </c>
    </row>
    <row r="64" spans="1:16" x14ac:dyDescent="0.45">
      <c r="A64" s="35">
        <v>61</v>
      </c>
      <c r="B64" s="32">
        <v>-119.60000000000005</v>
      </c>
      <c r="C64" s="32">
        <v>-1.960655737704919</v>
      </c>
      <c r="D64" s="37">
        <v>2.0327868852459017</v>
      </c>
      <c r="E64" s="33">
        <v>0.36065573770491804</v>
      </c>
      <c r="F64" s="33">
        <v>0.39344262295081966</v>
      </c>
      <c r="G64" s="33">
        <v>0.26819126819126821</v>
      </c>
      <c r="H64" s="33">
        <v>0.18711018711018712</v>
      </c>
      <c r="I64" s="34">
        <v>10376.744186046511</v>
      </c>
      <c r="J64" s="34">
        <v>-7973.333333333333</v>
      </c>
      <c r="K64" s="33">
        <v>0.18032786885245902</v>
      </c>
      <c r="L64" s="33">
        <v>0.29729729729729731</v>
      </c>
      <c r="M64" s="33">
        <v>0.20166320166320167</v>
      </c>
      <c r="N64" s="33">
        <v>0.46153846153846156</v>
      </c>
      <c r="O64" s="33">
        <v>0.35051546391752575</v>
      </c>
      <c r="P64" s="33">
        <v>0.4573643410852713</v>
      </c>
    </row>
    <row r="65" spans="1:16" x14ac:dyDescent="0.45">
      <c r="A65" s="35">
        <v>62</v>
      </c>
      <c r="B65" s="32">
        <v>-112.60000000000005</v>
      </c>
      <c r="C65" s="32">
        <v>-1.8161290322580654</v>
      </c>
      <c r="D65" s="37">
        <v>2.032258064516129</v>
      </c>
      <c r="E65" s="33">
        <v>0.35483870967741937</v>
      </c>
      <c r="F65" s="33">
        <v>0.38709677419354838</v>
      </c>
      <c r="G65" s="33">
        <v>0.26789366053169733</v>
      </c>
      <c r="H65" s="33">
        <v>0.18609406952965235</v>
      </c>
      <c r="I65" s="34">
        <v>10399.236641221374</v>
      </c>
      <c r="J65" s="34">
        <v>-7920.8791208791208</v>
      </c>
      <c r="K65" s="33">
        <v>0.17741935483870969</v>
      </c>
      <c r="L65" s="33">
        <v>0.29856850715746419</v>
      </c>
      <c r="M65" s="33">
        <v>0.20245398773006135</v>
      </c>
      <c r="N65" s="33">
        <v>0.4589041095890411</v>
      </c>
      <c r="O65" s="33">
        <v>0.35353535353535354</v>
      </c>
      <c r="P65" s="33">
        <v>0.45038167938931295</v>
      </c>
    </row>
    <row r="66" spans="1:16" x14ac:dyDescent="0.45">
      <c r="A66" s="35">
        <v>63</v>
      </c>
      <c r="B66" s="32">
        <v>-64.900000000000048</v>
      </c>
      <c r="C66" s="32">
        <v>-1.0301587301587309</v>
      </c>
      <c r="D66" s="37">
        <v>2.0158730158730158</v>
      </c>
      <c r="E66" s="33">
        <v>0.36507936507936506</v>
      </c>
      <c r="F66" s="33">
        <v>0.38095238095238093</v>
      </c>
      <c r="G66" s="33">
        <v>0.26946107784431139</v>
      </c>
      <c r="H66" s="33">
        <v>0.18562874251497005</v>
      </c>
      <c r="I66" s="34">
        <v>10461.481481481482</v>
      </c>
      <c r="J66" s="34">
        <v>-7834.4086021505373</v>
      </c>
      <c r="K66" s="33">
        <v>0.17460317460317459</v>
      </c>
      <c r="L66" s="33">
        <v>0.30339321357285431</v>
      </c>
      <c r="M66" s="33">
        <v>0.19960079840319361</v>
      </c>
      <c r="N66" s="33">
        <v>0.46710526315789475</v>
      </c>
      <c r="O66" s="33">
        <v>0.35</v>
      </c>
      <c r="P66" s="33">
        <v>0.45185185185185184</v>
      </c>
    </row>
    <row r="67" spans="1:16" x14ac:dyDescent="0.45">
      <c r="A67" s="35">
        <v>64</v>
      </c>
      <c r="B67" s="32">
        <v>-63.700000000000045</v>
      </c>
      <c r="C67" s="32">
        <v>-0.99531250000000071</v>
      </c>
      <c r="D67" s="37">
        <v>2.015625</v>
      </c>
      <c r="E67" s="33">
        <v>0.359375</v>
      </c>
      <c r="F67" s="33">
        <v>0.375</v>
      </c>
      <c r="G67" s="33">
        <v>0.27111984282907664</v>
      </c>
      <c r="H67" s="33">
        <v>0.18467583497053044</v>
      </c>
      <c r="I67" s="34">
        <v>10376.811594202898</v>
      </c>
      <c r="J67" s="34">
        <v>-7772.3404255319147</v>
      </c>
      <c r="K67" s="33">
        <v>0.171875</v>
      </c>
      <c r="L67" s="33">
        <v>0.3005893909626719</v>
      </c>
      <c r="M67" s="33">
        <v>0.19646365422396855</v>
      </c>
      <c r="N67" s="33">
        <v>0.47058823529411764</v>
      </c>
      <c r="O67" s="33">
        <v>0.35</v>
      </c>
      <c r="P67" s="33">
        <v>0.44927536231884058</v>
      </c>
    </row>
    <row r="68" spans="1:16" x14ac:dyDescent="0.45">
      <c r="A68" s="35">
        <v>65</v>
      </c>
      <c r="B68" s="32">
        <v>-78.900000000000048</v>
      </c>
      <c r="C68" s="32">
        <v>-1.2138461538461547</v>
      </c>
      <c r="D68" s="37">
        <v>2.0307692307692307</v>
      </c>
      <c r="E68" s="33">
        <v>0.35384615384615387</v>
      </c>
      <c r="F68" s="33">
        <v>0.38461538461538464</v>
      </c>
      <c r="G68" s="33">
        <v>0.26974951830443161</v>
      </c>
      <c r="H68" s="33">
        <v>0.18689788053949905</v>
      </c>
      <c r="I68" s="34">
        <v>10369.285714285714</v>
      </c>
      <c r="J68" s="34">
        <v>-7651.5463917525776</v>
      </c>
      <c r="K68" s="33">
        <v>0.16923076923076924</v>
      </c>
      <c r="L68" s="33">
        <v>0.29672447013487474</v>
      </c>
      <c r="M68" s="33">
        <v>0.20231213872832371</v>
      </c>
      <c r="N68" s="33">
        <v>0.47402597402597402</v>
      </c>
      <c r="O68" s="33">
        <v>0.34285714285714286</v>
      </c>
      <c r="P68" s="33">
        <v>0.45</v>
      </c>
    </row>
    <row r="69" spans="1:16" x14ac:dyDescent="0.45">
      <c r="A69" s="35">
        <v>66</v>
      </c>
      <c r="B69" s="32">
        <v>-52.300000000000047</v>
      </c>
      <c r="C69" s="32">
        <v>-0.79242424242424314</v>
      </c>
      <c r="D69" s="37">
        <v>2.0151515151515151</v>
      </c>
      <c r="E69" s="33">
        <v>0.36363636363636365</v>
      </c>
      <c r="F69" s="33">
        <v>0.37878787878787878</v>
      </c>
      <c r="G69" s="33">
        <v>0.27134724857685011</v>
      </c>
      <c r="H69" s="33">
        <v>0.1859582542694497</v>
      </c>
      <c r="I69" s="34">
        <v>10347.552447552447</v>
      </c>
      <c r="J69" s="34">
        <v>-7613.2653061224491</v>
      </c>
      <c r="K69" s="33">
        <v>0.16666666666666666</v>
      </c>
      <c r="L69" s="33">
        <v>0.29981024667931688</v>
      </c>
      <c r="M69" s="33">
        <v>0.20113851992409867</v>
      </c>
      <c r="N69" s="33">
        <v>0.48101265822784811</v>
      </c>
      <c r="O69" s="33">
        <v>0.33962264150943394</v>
      </c>
      <c r="P69" s="33">
        <v>0.46153846153846156</v>
      </c>
    </row>
    <row r="70" spans="1:16" x14ac:dyDescent="0.45">
      <c r="A70" s="35">
        <v>67</v>
      </c>
      <c r="B70" s="32">
        <v>-69.200000000000045</v>
      </c>
      <c r="C70" s="32">
        <v>-1.0328358208955231</v>
      </c>
      <c r="D70" s="37">
        <v>2.0298507462686568</v>
      </c>
      <c r="E70" s="33">
        <v>0.35820895522388058</v>
      </c>
      <c r="F70" s="33">
        <v>0.38805970149253732</v>
      </c>
      <c r="G70" s="33">
        <v>0.27137546468401486</v>
      </c>
      <c r="H70" s="33">
        <v>0.18587360594795538</v>
      </c>
      <c r="I70" s="34">
        <v>10215.753424657534</v>
      </c>
      <c r="J70" s="34">
        <v>-7610</v>
      </c>
      <c r="K70" s="33">
        <v>0.16417910447761194</v>
      </c>
      <c r="L70" s="33">
        <v>0.2992565055762082</v>
      </c>
      <c r="M70" s="33">
        <v>0.20074349442379183</v>
      </c>
      <c r="N70" s="33">
        <v>0.47826086956521741</v>
      </c>
      <c r="O70" s="33">
        <v>0.33333333333333331</v>
      </c>
      <c r="P70" s="33">
        <v>0.4589041095890411</v>
      </c>
    </row>
    <row r="71" spans="1:16" x14ac:dyDescent="0.45">
      <c r="A71" s="35">
        <v>68</v>
      </c>
      <c r="B71" s="32">
        <v>-74.200000000000045</v>
      </c>
      <c r="C71" s="32">
        <v>-1.0911764705882359</v>
      </c>
      <c r="D71" s="37">
        <v>2.0294117647058822</v>
      </c>
      <c r="E71" s="33">
        <v>0.35294117647058826</v>
      </c>
      <c r="F71" s="33">
        <v>0.38235294117647056</v>
      </c>
      <c r="G71" s="33">
        <v>0.27037037037037037</v>
      </c>
      <c r="H71" s="33">
        <v>0.18518518518518517</v>
      </c>
      <c r="I71" s="34">
        <v>10215.753424657534</v>
      </c>
      <c r="J71" s="34">
        <v>-7610</v>
      </c>
      <c r="K71" s="33">
        <v>0.16176470588235295</v>
      </c>
      <c r="L71" s="33">
        <v>0.29814814814814816</v>
      </c>
      <c r="M71" s="33">
        <v>0.2</v>
      </c>
      <c r="N71" s="33">
        <v>0.47826086956521741</v>
      </c>
      <c r="O71" s="33">
        <v>0.33333333333333331</v>
      </c>
      <c r="P71" s="33">
        <v>0.4589041095890411</v>
      </c>
    </row>
    <row r="72" spans="1:16" x14ac:dyDescent="0.45">
      <c r="A72" s="35">
        <v>69</v>
      </c>
      <c r="B72" s="32">
        <v>-17.600000000000044</v>
      </c>
      <c r="C72" s="32">
        <v>-0.2550724637681166</v>
      </c>
      <c r="D72" s="37">
        <v>2.0144927536231885</v>
      </c>
      <c r="E72" s="33">
        <v>0.36231884057971014</v>
      </c>
      <c r="F72" s="33">
        <v>0.37681159420289856</v>
      </c>
      <c r="G72" s="33">
        <v>0.27173913043478259</v>
      </c>
      <c r="H72" s="33">
        <v>0.18115942028985507</v>
      </c>
      <c r="I72" s="34">
        <v>10237.333333333334</v>
      </c>
      <c r="J72" s="34">
        <v>-7610</v>
      </c>
      <c r="K72" s="33">
        <v>0.15942028985507245</v>
      </c>
      <c r="L72" s="33">
        <v>0.30072463768115942</v>
      </c>
      <c r="M72" s="33">
        <v>0.19927536231884058</v>
      </c>
      <c r="N72" s="33">
        <v>0.48192771084337349</v>
      </c>
      <c r="O72" s="33">
        <v>0.33636363636363636</v>
      </c>
      <c r="P72" s="33">
        <v>0.45333333333333331</v>
      </c>
    </row>
    <row r="73" spans="1:16" x14ac:dyDescent="0.45">
      <c r="A73" s="35">
        <v>70</v>
      </c>
      <c r="B73" s="32">
        <v>10.799999999999955</v>
      </c>
      <c r="C73" s="32">
        <v>0.15428571428571364</v>
      </c>
      <c r="D73" s="37">
        <v>2</v>
      </c>
      <c r="E73" s="33">
        <v>0.37142857142857144</v>
      </c>
      <c r="F73" s="33">
        <v>0.37142857142857144</v>
      </c>
      <c r="G73" s="33">
        <v>0.27272727272727271</v>
      </c>
      <c r="H73" s="33">
        <v>0.18003565062388591</v>
      </c>
      <c r="I73" s="34">
        <v>10244.444444444445</v>
      </c>
      <c r="J73" s="34">
        <v>-7573.2673267326736</v>
      </c>
      <c r="K73" s="33">
        <v>0.15714285714285714</v>
      </c>
      <c r="L73" s="33">
        <v>0.30303030303030304</v>
      </c>
      <c r="M73" s="33">
        <v>0.19607843137254902</v>
      </c>
      <c r="N73" s="33">
        <v>0.48823529411764705</v>
      </c>
      <c r="O73" s="33">
        <v>0.33636363636363636</v>
      </c>
      <c r="P73" s="33">
        <v>0.45751633986928103</v>
      </c>
    </row>
    <row r="74" spans="1:16" x14ac:dyDescent="0.45">
      <c r="A74" s="35">
        <v>71</v>
      </c>
      <c r="B74" s="32">
        <v>18.299999999999955</v>
      </c>
      <c r="C74" s="32">
        <v>0.25774647887323882</v>
      </c>
      <c r="D74" s="37">
        <v>2</v>
      </c>
      <c r="E74" s="33">
        <v>0.36619718309859156</v>
      </c>
      <c r="F74" s="33">
        <v>0.36619718309859156</v>
      </c>
      <c r="G74" s="33">
        <v>0.27416520210896311</v>
      </c>
      <c r="H74" s="33">
        <v>0.17926186291739896</v>
      </c>
      <c r="I74" s="34">
        <v>10199.358974358975</v>
      </c>
      <c r="J74" s="34">
        <v>-7550</v>
      </c>
      <c r="K74" s="33">
        <v>0.15492957746478872</v>
      </c>
      <c r="L74" s="33">
        <v>0.30228471001757468</v>
      </c>
      <c r="M74" s="33">
        <v>0.19683655536028119</v>
      </c>
      <c r="N74" s="33">
        <v>0.4941860465116279</v>
      </c>
      <c r="O74" s="33">
        <v>0.3392857142857143</v>
      </c>
      <c r="P74" s="33">
        <v>0.45512820512820512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315F-3D69-49EE-AC78-B893D71DFCF8}">
  <sheetPr codeName="Sheet6"/>
  <dimension ref="A1:Q13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5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5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5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5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5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5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5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5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45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45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45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  <row r="95" spans="1:16" x14ac:dyDescent="0.45">
      <c r="A95" s="35">
        <v>92</v>
      </c>
      <c r="B95" s="32">
        <v>-3.5527136788005009E-14</v>
      </c>
      <c r="C95" s="32">
        <v>-1.2872151010146743E-16</v>
      </c>
      <c r="D95" s="37">
        <v>2</v>
      </c>
      <c r="E95" s="33">
        <v>0.33333333333333331</v>
      </c>
      <c r="F95" s="33">
        <v>0.33333333333333331</v>
      </c>
      <c r="G95" s="33">
        <v>0.29103448275862071</v>
      </c>
      <c r="H95" s="33">
        <v>0.15494252873563219</v>
      </c>
      <c r="I95" s="34">
        <v>8842.022116903634</v>
      </c>
      <c r="J95" s="34">
        <v>-8044.5103857566764</v>
      </c>
      <c r="K95" s="33">
        <v>0.12681159420289856</v>
      </c>
      <c r="L95" s="33">
        <v>0.24229885057471265</v>
      </c>
      <c r="M95" s="33">
        <v>0.20689655172413793</v>
      </c>
      <c r="N95" s="33">
        <v>0.5540796963946869</v>
      </c>
      <c r="O95" s="33">
        <v>0.41111111111111109</v>
      </c>
      <c r="P95" s="33">
        <v>0.46445497630331756</v>
      </c>
    </row>
    <row r="96" spans="1:16" x14ac:dyDescent="0.45">
      <c r="A96" s="35">
        <v>93</v>
      </c>
      <c r="B96" s="32">
        <v>-3.5527136788005009E-14</v>
      </c>
      <c r="C96" s="32">
        <v>-1.2733740784231185E-16</v>
      </c>
      <c r="D96" s="37">
        <v>2</v>
      </c>
      <c r="E96" s="33">
        <v>0.33333333333333331</v>
      </c>
      <c r="F96" s="33">
        <v>0.33333333333333331</v>
      </c>
      <c r="G96" s="33">
        <v>0.29098360655737704</v>
      </c>
      <c r="H96" s="33">
        <v>0.15482695810564662</v>
      </c>
      <c r="I96" s="34">
        <v>8868.2316118935832</v>
      </c>
      <c r="J96" s="34">
        <v>-8043.2352941176468</v>
      </c>
      <c r="K96" s="33">
        <v>0.12544802867383512</v>
      </c>
      <c r="L96" s="33">
        <v>0.24134790528233152</v>
      </c>
      <c r="M96" s="33">
        <v>0.20719489981785064</v>
      </c>
      <c r="N96" s="33">
        <v>0.55471698113207546</v>
      </c>
      <c r="O96" s="33">
        <v>0.40879120879120878</v>
      </c>
      <c r="P96" s="33">
        <v>0.46478873239436619</v>
      </c>
    </row>
    <row r="97" spans="1:16" x14ac:dyDescent="0.45">
      <c r="A97" s="35">
        <v>94</v>
      </c>
      <c r="B97" s="32">
        <v>-3.5527136788005009E-14</v>
      </c>
      <c r="C97" s="32">
        <v>-1.2598275456739366E-16</v>
      </c>
      <c r="D97" s="37">
        <v>2</v>
      </c>
      <c r="E97" s="33">
        <v>0.33333333333333331</v>
      </c>
      <c r="F97" s="33">
        <v>0.33333333333333331</v>
      </c>
      <c r="G97" s="33">
        <v>0.29104813315339634</v>
      </c>
      <c r="H97" s="33">
        <v>0.15519568151147098</v>
      </c>
      <c r="I97" s="34">
        <v>8862.287480680061</v>
      </c>
      <c r="J97" s="34">
        <v>-8035.072463768116</v>
      </c>
      <c r="K97" s="33">
        <v>0.12411347517730496</v>
      </c>
      <c r="L97" s="33">
        <v>0.24381466486729644</v>
      </c>
      <c r="M97" s="33">
        <v>0.20647773279352227</v>
      </c>
      <c r="N97" s="33">
        <v>0.55535055350553508</v>
      </c>
      <c r="O97" s="33">
        <v>0.40522875816993464</v>
      </c>
      <c r="P97" s="33">
        <v>0.46367851622874806</v>
      </c>
    </row>
    <row r="98" spans="1:16" x14ac:dyDescent="0.45">
      <c r="A98" s="35">
        <v>95</v>
      </c>
      <c r="B98" s="32">
        <v>-3.1974423109204508E-14</v>
      </c>
      <c r="C98" s="32">
        <v>-1.1219095827791056E-16</v>
      </c>
      <c r="D98" s="37">
        <v>2</v>
      </c>
      <c r="E98" s="33">
        <v>0.33333333333333331</v>
      </c>
      <c r="F98" s="33">
        <v>0.33333333333333331</v>
      </c>
      <c r="G98" s="33">
        <v>0.29105473965287049</v>
      </c>
      <c r="H98" s="33">
        <v>0.155318202047174</v>
      </c>
      <c r="I98" s="34">
        <v>8857.1865443425067</v>
      </c>
      <c r="J98" s="34">
        <v>-8057.5931232091689</v>
      </c>
      <c r="K98" s="33">
        <v>0.12280701754385964</v>
      </c>
      <c r="L98" s="33">
        <v>0.24521584334668448</v>
      </c>
      <c r="M98" s="33">
        <v>0.20605251446372941</v>
      </c>
      <c r="N98" s="33">
        <v>0.55535390199637025</v>
      </c>
      <c r="O98" s="33">
        <v>0.40604751619870411</v>
      </c>
      <c r="P98" s="33">
        <v>0.46330275229357798</v>
      </c>
    </row>
    <row r="99" spans="1:16" x14ac:dyDescent="0.45">
      <c r="A99" s="35">
        <v>96</v>
      </c>
      <c r="B99" s="32">
        <v>-2.1316282072803006E-14</v>
      </c>
      <c r="C99" s="32">
        <v>-7.4014868308343765E-17</v>
      </c>
      <c r="D99" s="37">
        <v>2</v>
      </c>
      <c r="E99" s="33">
        <v>0.33333333333333331</v>
      </c>
      <c r="F99" s="33">
        <v>0.33333333333333331</v>
      </c>
      <c r="G99" s="33">
        <v>0.29094922737306844</v>
      </c>
      <c r="H99" s="33">
        <v>0.1545253863134658</v>
      </c>
      <c r="I99" s="34">
        <v>8866.0091047040969</v>
      </c>
      <c r="J99" s="34">
        <v>-8057.4285714285716</v>
      </c>
      <c r="K99" s="33">
        <v>0.12152777777777778</v>
      </c>
      <c r="L99" s="33">
        <v>0.24459161147902869</v>
      </c>
      <c r="M99" s="33">
        <v>0.20662251655629138</v>
      </c>
      <c r="N99" s="33">
        <v>0.55595667870036103</v>
      </c>
      <c r="O99" s="33">
        <v>0.40384615384615385</v>
      </c>
      <c r="P99" s="33">
        <v>0.46585735963581182</v>
      </c>
    </row>
    <row r="100" spans="1:16" x14ac:dyDescent="0.45">
      <c r="A100" s="35">
        <v>97</v>
      </c>
      <c r="B100" s="32">
        <v>-2.1316282072803006E-14</v>
      </c>
      <c r="C100" s="32">
        <v>-7.3251828428876306E-17</v>
      </c>
      <c r="D100" s="37">
        <v>2</v>
      </c>
      <c r="E100" s="33">
        <v>0.33333333333333331</v>
      </c>
      <c r="F100" s="33">
        <v>0.33333333333333331</v>
      </c>
      <c r="G100" s="33">
        <v>0.29040735873850199</v>
      </c>
      <c r="H100" s="33">
        <v>0.15418309242225142</v>
      </c>
      <c r="I100" s="34">
        <v>8842.5339366515836</v>
      </c>
      <c r="J100" s="34">
        <v>-8045.454545454545</v>
      </c>
      <c r="K100" s="33">
        <v>0.12027491408934708</v>
      </c>
      <c r="L100" s="33">
        <v>0.24310118265440211</v>
      </c>
      <c r="M100" s="33">
        <v>0.20893561103810776</v>
      </c>
      <c r="N100" s="33">
        <v>0.55495495495495495</v>
      </c>
      <c r="O100" s="33">
        <v>0.40461215932914046</v>
      </c>
      <c r="P100" s="33">
        <v>0.4660633484162896</v>
      </c>
    </row>
    <row r="101" spans="1:16" x14ac:dyDescent="0.45">
      <c r="A101" s="35">
        <v>98</v>
      </c>
      <c r="B101" s="32">
        <v>-2.4868995751603507E-14</v>
      </c>
      <c r="C101" s="32">
        <v>-8.4588420923821446E-17</v>
      </c>
      <c r="D101" s="37">
        <v>2</v>
      </c>
      <c r="E101" s="33">
        <v>0.33333333333333331</v>
      </c>
      <c r="F101" s="33">
        <v>0.33333333333333331</v>
      </c>
      <c r="G101" s="33">
        <v>0.2907986111111111</v>
      </c>
      <c r="H101" s="33">
        <v>0.1545138888888889</v>
      </c>
      <c r="I101" s="34">
        <v>8820</v>
      </c>
      <c r="J101" s="34">
        <v>-8007.303370786517</v>
      </c>
      <c r="K101" s="33">
        <v>0.11904761904761904</v>
      </c>
      <c r="L101" s="33">
        <v>0.24175347222222221</v>
      </c>
      <c r="M101" s="33">
        <v>0.21006944444444445</v>
      </c>
      <c r="N101" s="33">
        <v>0.55475763016157986</v>
      </c>
      <c r="O101" s="33">
        <v>0.40909090909090912</v>
      </c>
      <c r="P101" s="33">
        <v>0.46567164179104475</v>
      </c>
    </row>
    <row r="102" spans="1:16" x14ac:dyDescent="0.45">
      <c r="A102" s="35">
        <v>99</v>
      </c>
      <c r="B102" s="32">
        <v>-2.8421709430404007E-14</v>
      </c>
      <c r="C102" s="32">
        <v>-9.5695991348161637E-17</v>
      </c>
      <c r="D102" s="37">
        <v>2</v>
      </c>
      <c r="E102" s="33">
        <v>0.33333333333333331</v>
      </c>
      <c r="F102" s="33">
        <v>0.33333333333333331</v>
      </c>
      <c r="G102" s="33">
        <v>0.29081632653061223</v>
      </c>
      <c r="H102" s="33">
        <v>0.15476190476190477</v>
      </c>
      <c r="I102" s="34">
        <v>8763.1578947368416</v>
      </c>
      <c r="J102" s="34">
        <v>-7911.8131868131868</v>
      </c>
      <c r="K102" s="33">
        <v>0.12121212121212122</v>
      </c>
      <c r="L102" s="33">
        <v>0.23809523809523808</v>
      </c>
      <c r="M102" s="33">
        <v>0.21258503401360543</v>
      </c>
      <c r="N102" s="33">
        <v>0.5535714285714286</v>
      </c>
      <c r="O102" s="33">
        <v>0.41</v>
      </c>
      <c r="P102" s="33">
        <v>0.46491228070175439</v>
      </c>
    </row>
    <row r="103" spans="1:16" x14ac:dyDescent="0.45">
      <c r="A103" s="35">
        <v>100</v>
      </c>
      <c r="B103" s="32">
        <v>-2.8421709430404007E-14</v>
      </c>
      <c r="C103" s="32">
        <v>-9.4739031434680031E-17</v>
      </c>
      <c r="D103" s="37">
        <v>2</v>
      </c>
      <c r="E103" s="33">
        <v>0.33333333333333331</v>
      </c>
      <c r="F103" s="33">
        <v>0.33333333333333331</v>
      </c>
      <c r="G103" s="33">
        <v>0.29071729957805909</v>
      </c>
      <c r="H103" s="33">
        <v>0.15443037974683543</v>
      </c>
      <c r="I103" s="34">
        <v>8786.2119013062402</v>
      </c>
      <c r="J103" s="34">
        <v>-7933.333333333333</v>
      </c>
      <c r="K103" s="33">
        <v>0.12</v>
      </c>
      <c r="L103" s="33">
        <v>0.23797468354430379</v>
      </c>
      <c r="M103" s="33">
        <v>0.21265822784810126</v>
      </c>
      <c r="N103" s="33">
        <v>0.55319148936170215</v>
      </c>
      <c r="O103" s="33">
        <v>0.4107142857142857</v>
      </c>
      <c r="P103" s="33">
        <v>0.46589259796806964</v>
      </c>
    </row>
    <row r="104" spans="1:16" x14ac:dyDescent="0.45">
      <c r="A104" s="35">
        <v>101</v>
      </c>
      <c r="B104" s="32">
        <v>-2.8421709430404007E-14</v>
      </c>
      <c r="C104" s="32">
        <v>-9.3801021222455471E-17</v>
      </c>
      <c r="D104" s="37">
        <v>2</v>
      </c>
      <c r="E104" s="33">
        <v>0.33333333333333331</v>
      </c>
      <c r="F104" s="33">
        <v>0.33333333333333331</v>
      </c>
      <c r="G104" s="33">
        <v>0.28989139515455303</v>
      </c>
      <c r="H104" s="33">
        <v>0.15371762740183792</v>
      </c>
      <c r="I104" s="34">
        <v>8793.9481268011532</v>
      </c>
      <c r="J104" s="34">
        <v>-7904.347826086957</v>
      </c>
      <c r="K104" s="33">
        <v>0.11881188118811881</v>
      </c>
      <c r="L104" s="33">
        <v>0.23767752715121135</v>
      </c>
      <c r="M104" s="33">
        <v>0.21261487050960734</v>
      </c>
      <c r="N104" s="33">
        <v>0.55184534270650265</v>
      </c>
      <c r="O104" s="33">
        <v>0.41060903732809428</v>
      </c>
      <c r="P104" s="33">
        <v>0.4668587896253602</v>
      </c>
    </row>
    <row r="105" spans="1:16" x14ac:dyDescent="0.45">
      <c r="A105" s="35">
        <v>102</v>
      </c>
      <c r="B105" s="32">
        <v>-2.8421709430404007E-14</v>
      </c>
      <c r="C105" s="32">
        <v>-9.288140336733336E-17</v>
      </c>
      <c r="D105" s="37">
        <v>2</v>
      </c>
      <c r="E105" s="33">
        <v>0.33333333333333331</v>
      </c>
      <c r="F105" s="33">
        <v>0.33333333333333331</v>
      </c>
      <c r="G105" s="33">
        <v>0.28976572133168926</v>
      </c>
      <c r="H105" s="33">
        <v>0.15413070283600494</v>
      </c>
      <c r="I105" s="34">
        <v>8833.7588652482264</v>
      </c>
      <c r="J105" s="34">
        <v>-7957.333333333333</v>
      </c>
      <c r="K105" s="33">
        <v>0.11764705882352941</v>
      </c>
      <c r="L105" s="33">
        <v>0.23879983559391699</v>
      </c>
      <c r="M105" s="33">
        <v>0.21167283189478012</v>
      </c>
      <c r="N105" s="33">
        <v>0.55421686746987953</v>
      </c>
      <c r="O105" s="33">
        <v>0.4116504854368932</v>
      </c>
      <c r="P105" s="33">
        <v>0.46524822695035462</v>
      </c>
    </row>
    <row r="106" spans="1:16" x14ac:dyDescent="0.45">
      <c r="A106" s="35">
        <v>103</v>
      </c>
      <c r="B106" s="32">
        <v>-2.1316282072803006E-14</v>
      </c>
      <c r="C106" s="32">
        <v>-6.8984731627194187E-17</v>
      </c>
      <c r="D106" s="37">
        <v>2</v>
      </c>
      <c r="E106" s="33">
        <v>0.33333333333333331</v>
      </c>
      <c r="F106" s="33">
        <v>0.33333333333333331</v>
      </c>
      <c r="G106" s="33">
        <v>0.2893772893772894</v>
      </c>
      <c r="H106" s="33">
        <v>0.15425315425315425</v>
      </c>
      <c r="I106" s="34">
        <v>8818.706047819971</v>
      </c>
      <c r="J106" s="34">
        <v>-7955.9366754617413</v>
      </c>
      <c r="K106" s="33">
        <v>0.11974110032362459</v>
      </c>
      <c r="L106" s="33">
        <v>0.23768823768823769</v>
      </c>
      <c r="M106" s="33">
        <v>0.21326821326821327</v>
      </c>
      <c r="N106" s="33">
        <v>0.55136986301369861</v>
      </c>
      <c r="O106" s="33">
        <v>0.41412213740458015</v>
      </c>
      <c r="P106" s="33">
        <v>0.46413502109704641</v>
      </c>
    </row>
    <row r="107" spans="1:16" x14ac:dyDescent="0.45">
      <c r="A107" s="35">
        <v>104</v>
      </c>
      <c r="B107" s="32">
        <v>-2.1316282072803006E-14</v>
      </c>
      <c r="C107" s="32">
        <v>-6.8321416900009637E-17</v>
      </c>
      <c r="D107" s="37">
        <v>2</v>
      </c>
      <c r="E107" s="33">
        <v>0.33333333333333331</v>
      </c>
      <c r="F107" s="33">
        <v>0.33333333333333331</v>
      </c>
      <c r="G107" s="33">
        <v>0.28950542822677927</v>
      </c>
      <c r="H107" s="33">
        <v>0.15560916767189384</v>
      </c>
      <c r="I107" s="34">
        <v>8829.1666666666661</v>
      </c>
      <c r="J107" s="34">
        <v>-7995.3488372093025</v>
      </c>
      <c r="K107" s="33">
        <v>0.11858974358974358</v>
      </c>
      <c r="L107" s="33">
        <v>0.2372336147969441</v>
      </c>
      <c r="M107" s="33">
        <v>0.21431443506232409</v>
      </c>
      <c r="N107" s="33">
        <v>0.55084745762711862</v>
      </c>
      <c r="O107" s="33">
        <v>0.41463414634146339</v>
      </c>
      <c r="P107" s="33">
        <v>0.4597222222222222</v>
      </c>
    </row>
    <row r="108" spans="1:16" x14ac:dyDescent="0.45">
      <c r="A108" s="35">
        <v>105</v>
      </c>
      <c r="B108" s="32">
        <v>-1.9539925233402755E-14</v>
      </c>
      <c r="C108" s="32">
        <v>-6.2031508677469065E-17</v>
      </c>
      <c r="D108" s="37">
        <v>2</v>
      </c>
      <c r="E108" s="33">
        <v>0.33333333333333331</v>
      </c>
      <c r="F108" s="33">
        <v>0.33333333333333331</v>
      </c>
      <c r="G108" s="33">
        <v>0.28942115768463073</v>
      </c>
      <c r="H108" s="33">
        <v>0.15568862275449102</v>
      </c>
      <c r="I108" s="34">
        <v>8802.8965517241377</v>
      </c>
      <c r="J108" s="34">
        <v>-7982.5641025641025</v>
      </c>
      <c r="K108" s="33">
        <v>0.11746031746031746</v>
      </c>
      <c r="L108" s="33">
        <v>0.23632734530938124</v>
      </c>
      <c r="M108" s="33">
        <v>0.21437125748502994</v>
      </c>
      <c r="N108" s="33">
        <v>0.55067567567567566</v>
      </c>
      <c r="O108" s="33">
        <v>0.41527001862197394</v>
      </c>
      <c r="P108" s="33">
        <v>0.4593103448275862</v>
      </c>
    </row>
    <row r="109" spans="1:16" x14ac:dyDescent="0.45">
      <c r="A109" s="35">
        <v>106</v>
      </c>
      <c r="B109" s="32">
        <v>-1.7763568394002505E-14</v>
      </c>
      <c r="C109" s="32">
        <v>-5.5860277968561335E-17</v>
      </c>
      <c r="D109" s="37">
        <v>2</v>
      </c>
      <c r="E109" s="33">
        <v>0.33333333333333331</v>
      </c>
      <c r="F109" s="33">
        <v>0.33333333333333331</v>
      </c>
      <c r="G109" s="33">
        <v>0.28978622327790976</v>
      </c>
      <c r="H109" s="33">
        <v>0.15597783056215361</v>
      </c>
      <c r="I109" s="34">
        <v>8790.0273224043722</v>
      </c>
      <c r="J109" s="34">
        <v>-7979.1878172588831</v>
      </c>
      <c r="K109" s="33">
        <v>0.11635220125786164</v>
      </c>
      <c r="L109" s="33">
        <v>0.23634204275534443</v>
      </c>
      <c r="M109" s="33">
        <v>0.21496437054631828</v>
      </c>
      <c r="N109" s="33">
        <v>0.5510887772194305</v>
      </c>
      <c r="O109" s="33">
        <v>0.4143646408839779</v>
      </c>
      <c r="P109" s="33">
        <v>0.45901639344262296</v>
      </c>
    </row>
    <row r="110" spans="1:16" x14ac:dyDescent="0.45">
      <c r="A110" s="35">
        <v>107</v>
      </c>
      <c r="B110" s="32">
        <v>-1.7763568394002505E-14</v>
      </c>
      <c r="C110" s="32">
        <v>-5.5338219295957958E-17</v>
      </c>
      <c r="D110" s="37">
        <v>2</v>
      </c>
      <c r="E110" s="33">
        <v>0.33333333333333331</v>
      </c>
      <c r="F110" s="33">
        <v>0.33333333333333331</v>
      </c>
      <c r="G110" s="33">
        <v>0.29009433962264153</v>
      </c>
      <c r="H110" s="33">
        <v>0.15566037735849056</v>
      </c>
      <c r="I110" s="34">
        <v>8779.9457994579952</v>
      </c>
      <c r="J110" s="34">
        <v>-7982.3232323232323</v>
      </c>
      <c r="K110" s="33">
        <v>0.11526479750778816</v>
      </c>
      <c r="L110" s="33">
        <v>0.23624213836477986</v>
      </c>
      <c r="M110" s="33">
        <v>0.21383647798742139</v>
      </c>
      <c r="N110" s="33">
        <v>0.55241264559068215</v>
      </c>
      <c r="O110" s="33">
        <v>0.41360294117647056</v>
      </c>
      <c r="P110" s="33">
        <v>0.46070460704607047</v>
      </c>
    </row>
    <row r="111" spans="1:16" x14ac:dyDescent="0.45">
      <c r="A111" s="35">
        <v>108</v>
      </c>
      <c r="B111" s="32">
        <v>-1.4210854715202004E-14</v>
      </c>
      <c r="C111" s="32">
        <v>-4.386066270124075E-17</v>
      </c>
      <c r="D111" s="37">
        <v>2</v>
      </c>
      <c r="E111" s="33">
        <v>0.33333333333333331</v>
      </c>
      <c r="F111" s="33">
        <v>0.33333333333333331</v>
      </c>
      <c r="G111" s="33">
        <v>0.29000780640124901</v>
      </c>
      <c r="H111" s="33">
        <v>0.15495706479313037</v>
      </c>
      <c r="I111" s="34">
        <v>8794.0780619111702</v>
      </c>
      <c r="J111" s="34">
        <v>-7975.3148614609572</v>
      </c>
      <c r="K111" s="33">
        <v>0.11419753086419752</v>
      </c>
      <c r="L111" s="33">
        <v>0.23653395784543327</v>
      </c>
      <c r="M111" s="33">
        <v>0.21350507416081185</v>
      </c>
      <c r="N111" s="33">
        <v>0.55115511551155116</v>
      </c>
      <c r="O111" s="33">
        <v>0.41316270566727603</v>
      </c>
      <c r="P111" s="33">
        <v>0.46298788694481829</v>
      </c>
    </row>
    <row r="112" spans="1:16" x14ac:dyDescent="0.45">
      <c r="A112" s="35">
        <v>109</v>
      </c>
      <c r="B112" s="32">
        <v>-1.4210854715202004E-14</v>
      </c>
      <c r="C112" s="32">
        <v>-4.3458271300311938E-17</v>
      </c>
      <c r="D112" s="37">
        <v>2</v>
      </c>
      <c r="E112" s="33">
        <v>0.33333333333333331</v>
      </c>
      <c r="F112" s="33">
        <v>0.33333333333333331</v>
      </c>
      <c r="G112" s="33">
        <v>0.28997289972899731</v>
      </c>
      <c r="H112" s="33">
        <v>0.15447154471544716</v>
      </c>
      <c r="I112" s="34">
        <v>8801.6021361815747</v>
      </c>
      <c r="J112" s="34">
        <v>-7981.4536340852128</v>
      </c>
      <c r="K112" s="33">
        <v>0.11314984709480122</v>
      </c>
      <c r="L112" s="33">
        <v>0.23770809136662796</v>
      </c>
      <c r="M112" s="33">
        <v>0.21331784746418891</v>
      </c>
      <c r="N112" s="33">
        <v>0.55048859934853422</v>
      </c>
      <c r="O112" s="33">
        <v>0.41379310344827586</v>
      </c>
      <c r="P112" s="33">
        <v>0.46461949265687585</v>
      </c>
    </row>
    <row r="113" spans="1:16" x14ac:dyDescent="0.45">
      <c r="A113" s="35">
        <v>110</v>
      </c>
      <c r="B113" s="32">
        <v>-1.0658141036401503E-14</v>
      </c>
      <c r="C113" s="32">
        <v>-3.2297397080004552E-17</v>
      </c>
      <c r="D113" s="37">
        <v>2</v>
      </c>
      <c r="E113" s="33">
        <v>0.33333333333333331</v>
      </c>
      <c r="F113" s="33">
        <v>0.33333333333333331</v>
      </c>
      <c r="G113" s="33">
        <v>0.28998849252013809</v>
      </c>
      <c r="H113" s="33">
        <v>0.15420023014959724</v>
      </c>
      <c r="I113" s="34">
        <v>8813.0952380952385</v>
      </c>
      <c r="J113" s="34">
        <v>-7993.0348258706472</v>
      </c>
      <c r="K113" s="33">
        <v>0.11212121212121212</v>
      </c>
      <c r="L113" s="33">
        <v>0.23858841580360568</v>
      </c>
      <c r="M113" s="33">
        <v>0.21212121212121213</v>
      </c>
      <c r="N113" s="33">
        <v>0.55144694533762062</v>
      </c>
      <c r="O113" s="33">
        <v>0.41410488245931282</v>
      </c>
      <c r="P113" s="33">
        <v>0.46560846560846558</v>
      </c>
    </row>
    <row r="114" spans="1:16" x14ac:dyDescent="0.45">
      <c r="A114" s="35">
        <v>111</v>
      </c>
      <c r="B114" s="32">
        <v>-1.0658141036401503E-14</v>
      </c>
      <c r="C114" s="32">
        <v>-3.2006429538743251E-17</v>
      </c>
      <c r="D114" s="37">
        <v>2</v>
      </c>
      <c r="E114" s="33">
        <v>0.33333333333333331</v>
      </c>
      <c r="F114" s="33">
        <v>0.33333333333333331</v>
      </c>
      <c r="G114" s="33">
        <v>0.29033485540334858</v>
      </c>
      <c r="H114" s="33">
        <v>0.15334855403348555</v>
      </c>
      <c r="I114" s="34">
        <v>8811.4023591087807</v>
      </c>
      <c r="J114" s="34">
        <v>-7978.1637717121585</v>
      </c>
      <c r="K114" s="33">
        <v>0.1111111111111111</v>
      </c>
      <c r="L114" s="33">
        <v>0.2378234398782344</v>
      </c>
      <c r="M114" s="33">
        <v>0.21080669710806696</v>
      </c>
      <c r="N114" s="33">
        <v>0.55200000000000005</v>
      </c>
      <c r="O114" s="33">
        <v>0.41516245487364623</v>
      </c>
      <c r="P114" s="33">
        <v>0.4692005242463958</v>
      </c>
    </row>
    <row r="115" spans="1:16" x14ac:dyDescent="0.45">
      <c r="A115" s="35">
        <v>112</v>
      </c>
      <c r="B115" s="32">
        <v>-1.4210854715202004E-14</v>
      </c>
      <c r="C115" s="32">
        <v>-4.2294210461910723E-17</v>
      </c>
      <c r="D115" s="37">
        <v>2</v>
      </c>
      <c r="E115" s="33">
        <v>0.33333333333333331</v>
      </c>
      <c r="F115" s="33">
        <v>0.33333333333333331</v>
      </c>
      <c r="G115" s="33">
        <v>0.29062736205593348</v>
      </c>
      <c r="H115" s="33">
        <v>0.15343915343915343</v>
      </c>
      <c r="I115" s="34">
        <v>8780.2340702210658</v>
      </c>
      <c r="J115" s="34">
        <v>-7946.5517241379312</v>
      </c>
      <c r="K115" s="33">
        <v>0.1130952380952381</v>
      </c>
      <c r="L115" s="33">
        <v>0.23696145124716553</v>
      </c>
      <c r="M115" s="33">
        <v>0.21050642479213907</v>
      </c>
      <c r="N115" s="33">
        <v>0.55183413078149923</v>
      </c>
      <c r="O115" s="33">
        <v>0.414721723518851</v>
      </c>
      <c r="P115" s="33">
        <v>0.46944083224967492</v>
      </c>
    </row>
    <row r="116" spans="1:16" x14ac:dyDescent="0.45">
      <c r="A116" s="35">
        <v>113</v>
      </c>
      <c r="B116" s="32">
        <v>-2.1316282072803006E-14</v>
      </c>
      <c r="C116" s="32">
        <v>-6.2879888120362847E-17</v>
      </c>
      <c r="D116" s="37">
        <v>2</v>
      </c>
      <c r="E116" s="33">
        <v>0.33333333333333331</v>
      </c>
      <c r="F116" s="33">
        <v>0.33333333333333331</v>
      </c>
      <c r="G116" s="33">
        <v>0.29063670411985021</v>
      </c>
      <c r="H116" s="33">
        <v>0.15243445692883895</v>
      </c>
      <c r="I116" s="34">
        <v>8800.6443298969079</v>
      </c>
      <c r="J116" s="34">
        <v>-7956.5110565110563</v>
      </c>
      <c r="K116" s="33">
        <v>0.11209439528023599</v>
      </c>
      <c r="L116" s="33">
        <v>0.23782771535580524</v>
      </c>
      <c r="M116" s="33">
        <v>0.21011235955056179</v>
      </c>
      <c r="N116" s="33">
        <v>0.55118110236220474</v>
      </c>
      <c r="O116" s="33">
        <v>0.41532976827094475</v>
      </c>
      <c r="P116" s="33">
        <v>0.47293814432989689</v>
      </c>
    </row>
    <row r="117" spans="1:16" x14ac:dyDescent="0.45">
      <c r="A117" s="35">
        <v>114</v>
      </c>
      <c r="B117" s="32">
        <v>-1.7763568394002505E-14</v>
      </c>
      <c r="C117" s="32">
        <v>-5.1940258461995625E-17</v>
      </c>
      <c r="D117" s="37">
        <v>2</v>
      </c>
      <c r="E117" s="33">
        <v>0.33333333333333331</v>
      </c>
      <c r="F117" s="33">
        <v>0.33333333333333331</v>
      </c>
      <c r="G117" s="33">
        <v>0.29059829059829062</v>
      </c>
      <c r="H117" s="33">
        <v>0.15273132664437011</v>
      </c>
      <c r="I117" s="34">
        <v>8796.675191815857</v>
      </c>
      <c r="J117" s="34">
        <v>-7951.3381995133823</v>
      </c>
      <c r="K117" s="33">
        <v>0.11403508771929824</v>
      </c>
      <c r="L117" s="33">
        <v>0.23782980304719434</v>
      </c>
      <c r="M117" s="33">
        <v>0.21070234113712374</v>
      </c>
      <c r="N117" s="33">
        <v>0.55156249999999996</v>
      </c>
      <c r="O117" s="33">
        <v>0.41622574955908287</v>
      </c>
      <c r="P117" s="33">
        <v>0.47186700767263429</v>
      </c>
    </row>
    <row r="118" spans="1:16" x14ac:dyDescent="0.45">
      <c r="A118" s="35">
        <v>115</v>
      </c>
      <c r="B118" s="32">
        <v>-2.1316282072803006E-14</v>
      </c>
      <c r="C118" s="32">
        <v>-6.1786324848704365E-17</v>
      </c>
      <c r="D118" s="37">
        <v>2</v>
      </c>
      <c r="E118" s="33">
        <v>0.33333333333333331</v>
      </c>
      <c r="F118" s="33">
        <v>0.33333333333333331</v>
      </c>
      <c r="G118" s="33">
        <v>0.29060773480662982</v>
      </c>
      <c r="H118" s="33">
        <v>0.15248618784530388</v>
      </c>
      <c r="I118" s="34">
        <v>8826.3624841571618</v>
      </c>
      <c r="J118" s="34">
        <v>-7973.913043478261</v>
      </c>
      <c r="K118" s="33">
        <v>0.11304347826086956</v>
      </c>
      <c r="L118" s="33">
        <v>0.23756906077348067</v>
      </c>
      <c r="M118" s="33">
        <v>0.21031307550644568</v>
      </c>
      <c r="N118" s="33">
        <v>0.55348837209302326</v>
      </c>
      <c r="O118" s="33">
        <v>0.41330998248686512</v>
      </c>
      <c r="P118" s="33">
        <v>0.47275031685678076</v>
      </c>
    </row>
    <row r="119" spans="1:16" x14ac:dyDescent="0.45">
      <c r="A119" s="35">
        <v>116</v>
      </c>
      <c r="B119" s="32">
        <v>-2.1316282072803006E-14</v>
      </c>
      <c r="C119" s="32">
        <v>-6.1253684117250015E-17</v>
      </c>
      <c r="D119" s="37">
        <v>2</v>
      </c>
      <c r="E119" s="33">
        <v>0.33333333333333331</v>
      </c>
      <c r="F119" s="33">
        <v>0.33333333333333331</v>
      </c>
      <c r="G119" s="33">
        <v>0.29066374908825676</v>
      </c>
      <c r="H119" s="33">
        <v>0.15207877461706784</v>
      </c>
      <c r="I119" s="34">
        <v>8817.3149309912169</v>
      </c>
      <c r="J119" s="34">
        <v>-7958.9928057553952</v>
      </c>
      <c r="K119" s="33">
        <v>0.11206896551724138</v>
      </c>
      <c r="L119" s="33">
        <v>0.2388767323121809</v>
      </c>
      <c r="M119" s="33">
        <v>0.20933625091174327</v>
      </c>
      <c r="N119" s="33">
        <v>0.55419847328244276</v>
      </c>
      <c r="O119" s="33">
        <v>0.41463414634146339</v>
      </c>
      <c r="P119" s="33">
        <v>0.47427854454203261</v>
      </c>
    </row>
    <row r="120" spans="1:16" x14ac:dyDescent="0.45">
      <c r="A120" s="35">
        <v>117</v>
      </c>
      <c r="B120" s="32">
        <v>-2.1316282072803006E-14</v>
      </c>
      <c r="C120" s="32">
        <v>-6.0730148355564125E-17</v>
      </c>
      <c r="D120" s="37">
        <v>2</v>
      </c>
      <c r="E120" s="33">
        <v>0.33333333333333331</v>
      </c>
      <c r="F120" s="33">
        <v>0.33333333333333331</v>
      </c>
      <c r="G120" s="33">
        <v>0.29103398409255243</v>
      </c>
      <c r="H120" s="33">
        <v>0.15184381778741865</v>
      </c>
      <c r="I120" s="34">
        <v>8816.0248447204976</v>
      </c>
      <c r="J120" s="34">
        <v>-7928.8095238095239</v>
      </c>
      <c r="K120" s="33">
        <v>0.11396011396011396</v>
      </c>
      <c r="L120" s="33">
        <v>0.23933477946493131</v>
      </c>
      <c r="M120" s="33">
        <v>0.20824295010845986</v>
      </c>
      <c r="N120" s="33">
        <v>0.55438066465256797</v>
      </c>
      <c r="O120" s="33">
        <v>0.41666666666666669</v>
      </c>
      <c r="P120" s="33">
        <v>0.47577639751552797</v>
      </c>
    </row>
    <row r="121" spans="1:16" x14ac:dyDescent="0.45">
      <c r="A121" s="35">
        <v>118</v>
      </c>
      <c r="B121" s="32">
        <v>-1.4210854715202004E-14</v>
      </c>
      <c r="C121" s="32">
        <v>-4.0143657387576282E-17</v>
      </c>
      <c r="D121" s="37">
        <v>2</v>
      </c>
      <c r="E121" s="33">
        <v>0.33333333333333331</v>
      </c>
      <c r="F121" s="33">
        <v>0.33333333333333331</v>
      </c>
      <c r="G121" s="33">
        <v>0.2907268170426065</v>
      </c>
      <c r="H121" s="33">
        <v>0.15216612960973863</v>
      </c>
      <c r="I121" s="34">
        <v>8866.3793103448279</v>
      </c>
      <c r="J121" s="34">
        <v>-8041.6470588235297</v>
      </c>
      <c r="K121" s="33">
        <v>0.11581920903954802</v>
      </c>
      <c r="L121" s="33">
        <v>0.24024346580737557</v>
      </c>
      <c r="M121" s="33">
        <v>0.20658789831722163</v>
      </c>
      <c r="N121" s="33">
        <v>0.5529061102831595</v>
      </c>
      <c r="O121" s="33">
        <v>0.41594454072790293</v>
      </c>
      <c r="P121" s="33">
        <v>0.47413793103448276</v>
      </c>
    </row>
    <row r="122" spans="1:16" x14ac:dyDescent="0.45">
      <c r="A122" s="35">
        <v>119</v>
      </c>
      <c r="B122" s="32">
        <v>-1.2434497875801753E-14</v>
      </c>
      <c r="C122" s="32">
        <v>-3.4830526262750009E-17</v>
      </c>
      <c r="D122" s="37">
        <v>2</v>
      </c>
      <c r="E122" s="33">
        <v>0.33333333333333331</v>
      </c>
      <c r="F122" s="33">
        <v>0.33333333333333331</v>
      </c>
      <c r="G122" s="33">
        <v>0.29064389896833864</v>
      </c>
      <c r="H122" s="33">
        <v>0.15225898256848097</v>
      </c>
      <c r="I122" s="34">
        <v>8863.8922888616889</v>
      </c>
      <c r="J122" s="34">
        <v>-8038.0841121495323</v>
      </c>
      <c r="K122" s="33">
        <v>0.11484593837535013</v>
      </c>
      <c r="L122" s="33">
        <v>0.24083955887584491</v>
      </c>
      <c r="M122" s="33">
        <v>0.20597652081109924</v>
      </c>
      <c r="N122" s="33">
        <v>0.5553914327917282</v>
      </c>
      <c r="O122" s="33">
        <v>0.41450777202072536</v>
      </c>
      <c r="P122" s="33">
        <v>0.47368421052631576</v>
      </c>
    </row>
    <row r="123" spans="1:16" x14ac:dyDescent="0.45">
      <c r="A123" s="35">
        <v>120</v>
      </c>
      <c r="B123" s="32">
        <v>-1.0658141036401503E-14</v>
      </c>
      <c r="C123" s="32">
        <v>-2.9605947323337507E-17</v>
      </c>
      <c r="D123" s="37">
        <v>2</v>
      </c>
      <c r="E123" s="33">
        <v>0.33333333333333331</v>
      </c>
      <c r="F123" s="33">
        <v>0.33333333333333331</v>
      </c>
      <c r="G123" s="33">
        <v>0.2909155178508307</v>
      </c>
      <c r="H123" s="33">
        <v>0.15164369034994699</v>
      </c>
      <c r="I123" s="34">
        <v>8863.6695018226001</v>
      </c>
      <c r="J123" s="34">
        <v>-8031.4685314685312</v>
      </c>
      <c r="K123" s="33">
        <v>0.11388888888888889</v>
      </c>
      <c r="L123" s="33">
        <v>0.24107458465889006</v>
      </c>
      <c r="M123" s="33">
        <v>0.20572640509013787</v>
      </c>
      <c r="N123" s="33">
        <v>0.55865102639296182</v>
      </c>
      <c r="O123" s="33">
        <v>0.41408934707903783</v>
      </c>
      <c r="P123" s="33">
        <v>0.47630619684082626</v>
      </c>
    </row>
    <row r="124" spans="1:16" x14ac:dyDescent="0.45">
      <c r="A124" s="35">
        <v>121</v>
      </c>
      <c r="B124" s="32">
        <v>-1.0658141036401503E-14</v>
      </c>
      <c r="C124" s="32">
        <v>-2.9361270072731413E-17</v>
      </c>
      <c r="D124" s="37">
        <v>2</v>
      </c>
      <c r="E124" s="33">
        <v>0.33333333333333331</v>
      </c>
      <c r="F124" s="33">
        <v>0.33333333333333331</v>
      </c>
      <c r="G124" s="33">
        <v>0.29022082018927448</v>
      </c>
      <c r="H124" s="33">
        <v>0.15141955835962145</v>
      </c>
      <c r="I124" s="34">
        <v>8881.2801932367147</v>
      </c>
      <c r="J124" s="34">
        <v>-8037.9629629629626</v>
      </c>
      <c r="K124" s="33">
        <v>0.11294765840220386</v>
      </c>
      <c r="L124" s="33">
        <v>0.24079915878023134</v>
      </c>
      <c r="M124" s="33">
        <v>0.20539782684893096</v>
      </c>
      <c r="N124" s="33">
        <v>0.55895196506550215</v>
      </c>
      <c r="O124" s="33">
        <v>0.41467576791808874</v>
      </c>
      <c r="P124" s="33">
        <v>0.47584541062801933</v>
      </c>
    </row>
    <row r="125" spans="1:16" x14ac:dyDescent="0.45">
      <c r="A125" s="35">
        <v>122</v>
      </c>
      <c r="B125" s="32">
        <v>-2.6645352591003757E-15</v>
      </c>
      <c r="C125" s="32">
        <v>-7.2801509811485679E-18</v>
      </c>
      <c r="D125" s="37">
        <v>2</v>
      </c>
      <c r="E125" s="33">
        <v>0.33333333333333331</v>
      </c>
      <c r="F125" s="33">
        <v>0.33333333333333331</v>
      </c>
      <c r="G125" s="33">
        <v>0.28971962616822428</v>
      </c>
      <c r="H125" s="33">
        <v>0.15160955347871236</v>
      </c>
      <c r="I125" s="34">
        <v>8880.1672640382312</v>
      </c>
      <c r="J125" s="34">
        <v>-8021.4611872146115</v>
      </c>
      <c r="K125" s="33">
        <v>0.11202185792349727</v>
      </c>
      <c r="L125" s="33">
        <v>0.2416060920733818</v>
      </c>
      <c r="M125" s="33">
        <v>0.20560747663551401</v>
      </c>
      <c r="N125" s="33">
        <v>0.55873925501432664</v>
      </c>
      <c r="O125" s="33">
        <v>0.41414141414141414</v>
      </c>
      <c r="P125" s="33">
        <v>0.47431302270011949</v>
      </c>
    </row>
    <row r="126" spans="1:16" x14ac:dyDescent="0.45">
      <c r="A126" s="35">
        <v>123</v>
      </c>
      <c r="B126" s="32">
        <v>-3.5527136788005009E-15</v>
      </c>
      <c r="C126" s="32">
        <v>-9.627950349052848E-18</v>
      </c>
      <c r="D126" s="37">
        <v>2</v>
      </c>
      <c r="E126" s="33">
        <v>0.33333333333333331</v>
      </c>
      <c r="F126" s="33">
        <v>0.33333333333333331</v>
      </c>
      <c r="G126" s="33">
        <v>0.29007895640233439</v>
      </c>
      <c r="H126" s="33">
        <v>0.15173360796429797</v>
      </c>
      <c r="I126" s="34">
        <v>8871.3609467455626</v>
      </c>
      <c r="J126" s="34">
        <v>-7997.7375565610864</v>
      </c>
      <c r="K126" s="33">
        <v>0.1111111111111111</v>
      </c>
      <c r="L126" s="33">
        <v>0.24133196017851014</v>
      </c>
      <c r="M126" s="33">
        <v>0.20425677995193958</v>
      </c>
      <c r="N126" s="33">
        <v>0.5604551920341394</v>
      </c>
      <c r="O126" s="33">
        <v>0.41344537815126048</v>
      </c>
      <c r="P126" s="33">
        <v>0.47455621301775147</v>
      </c>
    </row>
    <row r="127" spans="1:16" x14ac:dyDescent="0.45">
      <c r="A127" s="35">
        <v>124</v>
      </c>
      <c r="B127" s="32">
        <v>-3.5527136788005009E-15</v>
      </c>
      <c r="C127" s="32">
        <v>-9.5503055881733904E-18</v>
      </c>
      <c r="D127" s="37">
        <v>2</v>
      </c>
      <c r="E127" s="33">
        <v>0.33333333333333331</v>
      </c>
      <c r="F127" s="33">
        <v>0.33333333333333331</v>
      </c>
      <c r="G127" s="33">
        <v>0.28984029901461095</v>
      </c>
      <c r="H127" s="33">
        <v>0.15188583078491336</v>
      </c>
      <c r="I127" s="34">
        <v>8859.5545134818294</v>
      </c>
      <c r="J127" s="34">
        <v>-7969.3512304250562</v>
      </c>
      <c r="K127" s="33">
        <v>0.11021505376344086</v>
      </c>
      <c r="L127" s="33">
        <v>0.23989126741420319</v>
      </c>
      <c r="M127" s="33">
        <v>0.20591233435270132</v>
      </c>
      <c r="N127" s="33">
        <v>0.56232294617563738</v>
      </c>
      <c r="O127" s="33">
        <v>0.41254125412541254</v>
      </c>
      <c r="P127" s="33">
        <v>0.47362250879249707</v>
      </c>
    </row>
    <row r="128" spans="1:16" x14ac:dyDescent="0.45">
      <c r="A128" s="35">
        <v>125</v>
      </c>
      <c r="B128" s="32">
        <v>1.7763568394002505E-15</v>
      </c>
      <c r="C128" s="32">
        <v>4.7369515717340011E-18</v>
      </c>
      <c r="D128" s="37">
        <v>2</v>
      </c>
      <c r="E128" s="33">
        <v>0.33333333333333331</v>
      </c>
      <c r="F128" s="33">
        <v>0.33333333333333331</v>
      </c>
      <c r="G128" s="33">
        <v>0.28951803168183349</v>
      </c>
      <c r="H128" s="33">
        <v>0.15133131108864173</v>
      </c>
      <c r="I128" s="34">
        <v>8855.762514551805</v>
      </c>
      <c r="J128" s="34">
        <v>-7946.9933184855236</v>
      </c>
      <c r="K128" s="33">
        <v>0.10933333333333334</v>
      </c>
      <c r="L128" s="33">
        <v>0.24064711830131447</v>
      </c>
      <c r="M128" s="33">
        <v>0.20492079541624536</v>
      </c>
      <c r="N128" s="33">
        <v>0.56302521008403361</v>
      </c>
      <c r="O128" s="33">
        <v>0.41282894736842107</v>
      </c>
      <c r="P128" s="33">
        <v>0.47497089639115253</v>
      </c>
    </row>
    <row r="129" spans="1:16" x14ac:dyDescent="0.45">
      <c r="A129" s="35">
        <v>126</v>
      </c>
      <c r="B129" s="32">
        <v>3.5527136788005009E-15</v>
      </c>
      <c r="C129" s="32">
        <v>9.3987134359801607E-18</v>
      </c>
      <c r="D129" s="37">
        <v>2</v>
      </c>
      <c r="E129" s="33">
        <v>0.33333333333333331</v>
      </c>
      <c r="F129" s="33">
        <v>0.33333333333333331</v>
      </c>
      <c r="G129" s="33">
        <v>0.28966666666666668</v>
      </c>
      <c r="H129" s="33">
        <v>0.15166666666666667</v>
      </c>
      <c r="I129" s="34">
        <v>8800.6904487917145</v>
      </c>
      <c r="J129" s="34">
        <v>-7906.8131868131868</v>
      </c>
      <c r="K129" s="33">
        <v>0.10846560846560846</v>
      </c>
      <c r="L129" s="33">
        <v>0.24033333333333334</v>
      </c>
      <c r="M129" s="33">
        <v>0.20533333333333334</v>
      </c>
      <c r="N129" s="33">
        <v>0.56033287101248264</v>
      </c>
      <c r="O129" s="33">
        <v>0.41233766233766234</v>
      </c>
      <c r="P129" s="33">
        <v>0.47410817031070196</v>
      </c>
    </row>
    <row r="130" spans="1:16" x14ac:dyDescent="0.45">
      <c r="A130" s="35">
        <v>127</v>
      </c>
      <c r="B130" s="32">
        <v>0</v>
      </c>
      <c r="C130" s="32">
        <v>0</v>
      </c>
      <c r="D130" s="37">
        <v>2</v>
      </c>
      <c r="E130" s="33">
        <v>0.33333333333333331</v>
      </c>
      <c r="F130" s="33">
        <v>0.33333333333333331</v>
      </c>
      <c r="G130" s="33">
        <v>0.28975382568196939</v>
      </c>
      <c r="H130" s="33">
        <v>0.15169660678642716</v>
      </c>
      <c r="I130" s="34">
        <v>8826.4064293915035</v>
      </c>
      <c r="J130" s="34">
        <v>-7959.6491228070172</v>
      </c>
      <c r="K130" s="33">
        <v>0.11023622047244094</v>
      </c>
      <c r="L130" s="33">
        <v>0.2405189620758483</v>
      </c>
      <c r="M130" s="33">
        <v>0.20525615435795078</v>
      </c>
      <c r="N130" s="33">
        <v>0.56016597510373445</v>
      </c>
      <c r="O130" s="33">
        <v>0.41329011345218802</v>
      </c>
      <c r="P130" s="33">
        <v>0.47416762342135477</v>
      </c>
    </row>
    <row r="131" spans="1:16" x14ac:dyDescent="0.45">
      <c r="A131" s="35">
        <v>128</v>
      </c>
      <c r="B131" s="32">
        <v>3.5527136788005009E-15</v>
      </c>
      <c r="C131" s="32">
        <v>9.2518585385429707E-18</v>
      </c>
      <c r="D131" s="37">
        <v>2</v>
      </c>
      <c r="E131" s="33">
        <v>0.33333333333333331</v>
      </c>
      <c r="F131" s="33">
        <v>0.33333333333333331</v>
      </c>
      <c r="G131" s="33">
        <v>0.28961209730440501</v>
      </c>
      <c r="H131" s="33">
        <v>0.15154503616042078</v>
      </c>
      <c r="I131" s="34">
        <v>8821.2258796821789</v>
      </c>
      <c r="J131" s="34">
        <v>-7999.3492407809108</v>
      </c>
      <c r="K131" s="33">
        <v>0.109375</v>
      </c>
      <c r="L131" s="33">
        <v>0.24128862590401051</v>
      </c>
      <c r="M131" s="33">
        <v>0.20512820512820512</v>
      </c>
      <c r="N131" s="33">
        <v>0.55722070844686644</v>
      </c>
      <c r="O131" s="33">
        <v>0.41666666666666669</v>
      </c>
      <c r="P131" s="33">
        <v>0.47446083995459704</v>
      </c>
    </row>
    <row r="132" spans="1:16" x14ac:dyDescent="0.45">
      <c r="A132" s="35">
        <v>129</v>
      </c>
      <c r="B132" s="32">
        <v>2.6645352591003757E-15</v>
      </c>
      <c r="C132" s="32">
        <v>6.8851040286831412E-18</v>
      </c>
      <c r="D132" s="37">
        <v>2</v>
      </c>
      <c r="E132" s="33">
        <v>0.33333333333333331</v>
      </c>
      <c r="F132" s="33">
        <v>0.33333333333333331</v>
      </c>
      <c r="G132" s="33">
        <v>0.28934506353861195</v>
      </c>
      <c r="H132" s="33">
        <v>0.15118931247963507</v>
      </c>
      <c r="I132" s="34">
        <v>8820.27027027027</v>
      </c>
      <c r="J132" s="34">
        <v>-7993.1034482758623</v>
      </c>
      <c r="K132" s="33">
        <v>0.10852713178294573</v>
      </c>
      <c r="L132" s="33">
        <v>0.24209840338872596</v>
      </c>
      <c r="M132" s="33">
        <v>0.20495275333985011</v>
      </c>
      <c r="N132" s="33">
        <v>0.55854643337819654</v>
      </c>
      <c r="O132" s="33">
        <v>0.4149443561208267</v>
      </c>
      <c r="P132" s="33">
        <v>0.4752252252252252</v>
      </c>
    </row>
    <row r="133" spans="1:16" x14ac:dyDescent="0.45">
      <c r="A133" s="35">
        <v>130</v>
      </c>
      <c r="B133" s="32">
        <v>3.5527136788005009E-15</v>
      </c>
      <c r="C133" s="32">
        <v>9.1095222533346178E-18</v>
      </c>
      <c r="D133" s="37">
        <v>2</v>
      </c>
      <c r="E133" s="33">
        <v>0.33333333333333331</v>
      </c>
      <c r="F133" s="33">
        <v>0.33333333333333331</v>
      </c>
      <c r="G133" s="33">
        <v>0.28968638861946333</v>
      </c>
      <c r="H133" s="33">
        <v>0.1513094083414161</v>
      </c>
      <c r="I133" s="34">
        <v>8812.8348214285706</v>
      </c>
      <c r="J133" s="34">
        <v>-7995.0854700854698</v>
      </c>
      <c r="K133" s="33">
        <v>0.1076923076923077</v>
      </c>
      <c r="L133" s="33">
        <v>0.24151309408341415</v>
      </c>
      <c r="M133" s="33">
        <v>0.2046556741028128</v>
      </c>
      <c r="N133" s="33">
        <v>0.55957161981258363</v>
      </c>
      <c r="O133" s="33">
        <v>0.41706161137440756</v>
      </c>
      <c r="P133" s="33">
        <v>0.47544642857142855</v>
      </c>
    </row>
    <row r="134" spans="1:16" x14ac:dyDescent="0.45">
      <c r="A134" s="35">
        <v>131</v>
      </c>
      <c r="B134" s="32">
        <v>2.2204460492503131E-15</v>
      </c>
      <c r="C134" s="32">
        <v>5.6499899472018141E-18</v>
      </c>
      <c r="D134" s="37">
        <v>2</v>
      </c>
      <c r="E134" s="33">
        <v>0.33333333333333331</v>
      </c>
      <c r="F134" s="33">
        <v>0.33333333333333331</v>
      </c>
      <c r="G134" s="33">
        <v>0.2896174863387978</v>
      </c>
      <c r="H134" s="33">
        <v>0.15139826422372227</v>
      </c>
      <c r="I134" s="34">
        <v>8789.5671476137632</v>
      </c>
      <c r="J134" s="34">
        <v>-7967.7282377919319</v>
      </c>
      <c r="K134" s="33">
        <v>0.10687022900763359</v>
      </c>
      <c r="L134" s="33">
        <v>0.24075859852137577</v>
      </c>
      <c r="M134" s="33">
        <v>0.20540019286403086</v>
      </c>
      <c r="N134" s="33">
        <v>0.55941255006675572</v>
      </c>
      <c r="O134" s="33">
        <v>0.41627543035993742</v>
      </c>
      <c r="P134" s="33">
        <v>0.47502774694783573</v>
      </c>
    </row>
    <row r="135" spans="1:16" x14ac:dyDescent="0.45">
      <c r="A135" s="35">
        <v>132</v>
      </c>
      <c r="B135" s="32">
        <v>3.5527136788005009E-15</v>
      </c>
      <c r="C135" s="32">
        <v>8.9714991888901546E-18</v>
      </c>
      <c r="D135" s="37">
        <v>2</v>
      </c>
      <c r="E135" s="33">
        <v>0.33333333333333331</v>
      </c>
      <c r="F135" s="33">
        <v>0.33333333333333331</v>
      </c>
      <c r="G135" s="33">
        <v>0.29003502069404646</v>
      </c>
      <c r="H135" s="33">
        <v>0.15186246418338109</v>
      </c>
      <c r="I135" s="34">
        <v>8783.9736553238199</v>
      </c>
      <c r="J135" s="34">
        <v>-7981.5513626834381</v>
      </c>
      <c r="K135" s="33">
        <v>0.10606060606060606</v>
      </c>
      <c r="L135" s="33">
        <v>0.24036930913721744</v>
      </c>
      <c r="M135" s="33">
        <v>0.20566698503661254</v>
      </c>
      <c r="N135" s="33">
        <v>0.56026490066225165</v>
      </c>
      <c r="O135" s="33">
        <v>0.41640866873065013</v>
      </c>
      <c r="P135" s="33">
        <v>0.47420417124039516</v>
      </c>
    </row>
    <row r="136" spans="1:16" x14ac:dyDescent="0.45">
      <c r="A136" s="35">
        <v>133</v>
      </c>
      <c r="B136" s="32">
        <v>0</v>
      </c>
      <c r="C136" s="32">
        <v>0</v>
      </c>
      <c r="D136" s="37">
        <v>2</v>
      </c>
      <c r="E136" s="33">
        <v>0.33333333333333331</v>
      </c>
      <c r="F136" s="33">
        <v>0.33333333333333331</v>
      </c>
      <c r="G136" s="33">
        <v>0.28926660371419577</v>
      </c>
      <c r="H136" s="33">
        <v>0.15108593012275731</v>
      </c>
      <c r="I136" s="34">
        <v>8743.0903155603919</v>
      </c>
      <c r="J136" s="34">
        <v>-7946.25</v>
      </c>
      <c r="K136" s="33">
        <v>0.10526315789473684</v>
      </c>
      <c r="L136" s="33">
        <v>0.23858986465218759</v>
      </c>
      <c r="M136" s="33">
        <v>0.2071136292099465</v>
      </c>
      <c r="N136" s="33">
        <v>0.55936675461741425</v>
      </c>
      <c r="O136" s="33">
        <v>0.41337386018237082</v>
      </c>
      <c r="P136" s="33">
        <v>0.47551686615886835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806</vt:i4>
      </vt:variant>
    </vt:vector>
  </HeadingPairs>
  <TitlesOfParts>
    <vt:vector size="850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てんちゃん</vt:lpstr>
      <vt:lpstr>いちかわ</vt:lpstr>
      <vt:lpstr>いちかわ2</vt:lpstr>
      <vt:lpstr>てんちゃん2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たかの!アガリ数</vt:lpstr>
      <vt:lpstr>ただ!アガリ数</vt:lpstr>
      <vt:lpstr>てんちゃん!アガリ数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いちかわ!アガリ率</vt:lpstr>
      <vt:lpstr>だいち!アガリ率</vt:lpstr>
      <vt:lpstr>たかの!アガリ率</vt:lpstr>
      <vt:lpstr>ただ!アガリ率</vt:lpstr>
      <vt:lpstr>てんちゃん!アガリ率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いちかわ!ダマアガリ数</vt:lpstr>
      <vt:lpstr>だいち!ダマアガリ数</vt:lpstr>
      <vt:lpstr>たかの!ダマアガリ数</vt:lpstr>
      <vt:lpstr>ただ!ダマアガリ数</vt:lpstr>
      <vt:lpstr>てんちゃん!ダマアガリ数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いちかわ!ダマアガリ率</vt:lpstr>
      <vt:lpstr>だいち!ダマアガリ率</vt:lpstr>
      <vt:lpstr>たかの!ダマアガリ率</vt:lpstr>
      <vt:lpstr>ただ!ダマアガリ率</vt:lpstr>
      <vt:lpstr>てんちゃん!ダマアガリ率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いちかわ!チョンボ数</vt:lpstr>
      <vt:lpstr>だいち!チョンボ数</vt:lpstr>
      <vt:lpstr>たかの!チョンボ数</vt:lpstr>
      <vt:lpstr>ただ!チョンボ数</vt:lpstr>
      <vt:lpstr>てんちゃん!チョンボ数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いちかわ!チョンボ率</vt:lpstr>
      <vt:lpstr>だいち!チョンボ率</vt:lpstr>
      <vt:lpstr>たかの!チョンボ率</vt:lpstr>
      <vt:lpstr>ただ!チョンボ率</vt:lpstr>
      <vt:lpstr>てんちゃん!チョンボ率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いちかわ!ツモ数</vt:lpstr>
      <vt:lpstr>だいち!ツモ数</vt:lpstr>
      <vt:lpstr>たかの!ツモ数</vt:lpstr>
      <vt:lpstr>ただ!ツモ数</vt:lpstr>
      <vt:lpstr>てんちゃん!ツモ数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いちかわ!ツモ率</vt:lpstr>
      <vt:lpstr>だいち!ツモ率</vt:lpstr>
      <vt:lpstr>たかの!ツモ率</vt:lpstr>
      <vt:lpstr>ただ!ツモ率</vt:lpstr>
      <vt:lpstr>てんちゃん!ツモ率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いちかわ!トップ数</vt:lpstr>
      <vt:lpstr>だいち!トップ数</vt:lpstr>
      <vt:lpstr>たかの!トップ数</vt:lpstr>
      <vt:lpstr>ただ!トップ数</vt:lpstr>
      <vt:lpstr>てんちゃん!トップ数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いちかわ!トップ率</vt:lpstr>
      <vt:lpstr>だいち!トップ率</vt:lpstr>
      <vt:lpstr>たかの!トップ率</vt:lpstr>
      <vt:lpstr>ただ!トップ率</vt:lpstr>
      <vt:lpstr>てんちゃん!トップ率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いちかわ!バランス</vt:lpstr>
      <vt:lpstr>だいち!バランス</vt:lpstr>
      <vt:lpstr>たかの!バランス</vt:lpstr>
      <vt:lpstr>ただ!バランス</vt:lpstr>
      <vt:lpstr>てんちゃん!バランス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たかの!ふっとび数</vt:lpstr>
      <vt:lpstr>ただ!ふっとび数</vt:lpstr>
      <vt:lpstr>てんちゃん!ふっとび数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いちかわ!ふっとび率</vt:lpstr>
      <vt:lpstr>だいち!ふっとび率</vt:lpstr>
      <vt:lpstr>たかの!ふっとび率</vt:lpstr>
      <vt:lpstr>ただ!ふっとび率</vt:lpstr>
      <vt:lpstr>てんちゃん!ふっとび率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いちかわ!ラス数</vt:lpstr>
      <vt:lpstr>だいち!ラス数</vt:lpstr>
      <vt:lpstr>たかの!ラス数</vt:lpstr>
      <vt:lpstr>ただ!ラス数</vt:lpstr>
      <vt:lpstr>てんちゃん!ラス数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いちかわ!ラス率</vt:lpstr>
      <vt:lpstr>だいち!ラス率</vt:lpstr>
      <vt:lpstr>たかの!ラス率</vt:lpstr>
      <vt:lpstr>ただ!ラス率</vt:lpstr>
      <vt:lpstr>てんちゃん!ラス率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いちかわ!リーチアガリ数</vt:lpstr>
      <vt:lpstr>だいち!リーチアガリ数</vt:lpstr>
      <vt:lpstr>たかの!リーチアガリ数</vt:lpstr>
      <vt:lpstr>ただ!リーチアガリ数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たかの!リーチアガリ率</vt:lpstr>
      <vt:lpstr>ただ!リーチアガリ率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いちかわ!リーチ数</vt:lpstr>
      <vt:lpstr>だいち!リーチ数</vt:lpstr>
      <vt:lpstr>たかの!リーチ数</vt:lpstr>
      <vt:lpstr>ただ!リーチ数</vt:lpstr>
      <vt:lpstr>てんちゃん!リーチ数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いちかわ!リーチ成功数</vt:lpstr>
      <vt:lpstr>だいち!リーチ成功数</vt:lpstr>
      <vt:lpstr>たかの!リーチ成功数</vt:lpstr>
      <vt:lpstr>ただ!リーチ成功数</vt:lpstr>
      <vt:lpstr>てんちゃん!リーチ成功数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いちかわ!リーチ成功率</vt:lpstr>
      <vt:lpstr>だいち!リーチ成功率</vt:lpstr>
      <vt:lpstr>たかの!リーチ成功率</vt:lpstr>
      <vt:lpstr>ただ!リーチ成功率</vt:lpstr>
      <vt:lpstr>てんちゃん!リーチ成功率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いちかわ!リーチ率</vt:lpstr>
      <vt:lpstr>だいち!リーチ率</vt:lpstr>
      <vt:lpstr>たかの!リーチ率</vt:lpstr>
      <vt:lpstr>ただ!リーチ率</vt:lpstr>
      <vt:lpstr>てんちゃん!リーチ率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いちかわ!ロン数</vt:lpstr>
      <vt:lpstr>だいち!ロン数</vt:lpstr>
      <vt:lpstr>たかの!ロン数</vt:lpstr>
      <vt:lpstr>ただ!ロン数</vt:lpstr>
      <vt:lpstr>てんちゃん!ロン数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いちかわ!ロン率</vt:lpstr>
      <vt:lpstr>だいち!ロン率</vt:lpstr>
      <vt:lpstr>たかの!ロン率</vt:lpstr>
      <vt:lpstr>ただ!ロン率</vt:lpstr>
      <vt:lpstr>てんちゃん!ロン率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いちかわ!一位スコア</vt:lpstr>
      <vt:lpstr>だいち!一位スコア</vt:lpstr>
      <vt:lpstr>たかの!一位スコア</vt:lpstr>
      <vt:lpstr>ただ!一位スコア</vt:lpstr>
      <vt:lpstr>てんちゃん!一位スコア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いちかわ!一位通算スコア</vt:lpstr>
      <vt:lpstr>だいち!一位通算スコア</vt:lpstr>
      <vt:lpstr>たかの!一位通算スコア</vt:lpstr>
      <vt:lpstr>ただ!一位通算スコア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いちかわ!一翻数</vt:lpstr>
      <vt:lpstr>だいち!一翻数</vt:lpstr>
      <vt:lpstr>たかの!一翻数</vt:lpstr>
      <vt:lpstr>ただ!一翻数</vt:lpstr>
      <vt:lpstr>てんちゃん!一翻数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いちかわ!一翻率</vt:lpstr>
      <vt:lpstr>だいち!一翻率</vt:lpstr>
      <vt:lpstr>たかの!一翻率</vt:lpstr>
      <vt:lpstr>ただ!一翻率</vt:lpstr>
      <vt:lpstr>てんちゃん!一翻率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たかの!現行連続アガリ</vt:lpstr>
      <vt:lpstr>ただ!現行連続アガリ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たかの!現行連続無放銃</vt:lpstr>
      <vt:lpstr>ただ!現行連続無放銃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いちかわ!最高点</vt:lpstr>
      <vt:lpstr>だいち!最高点</vt:lpstr>
      <vt:lpstr>たかの!最高点</vt:lpstr>
      <vt:lpstr>ただ!最高点</vt:lpstr>
      <vt:lpstr>てんちゃん!最高点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いちかわ!最大ドラ数</vt:lpstr>
      <vt:lpstr>だいち!最大ドラ数</vt:lpstr>
      <vt:lpstr>たかの!最大ドラ数</vt:lpstr>
      <vt:lpstr>ただ!最大ドラ数</vt:lpstr>
      <vt:lpstr>てんちゃん!最大ドラ数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いちかわ!最大点数</vt:lpstr>
      <vt:lpstr>だいち!最大点数</vt:lpstr>
      <vt:lpstr>たかの!最大点数</vt:lpstr>
      <vt:lpstr>ただ!最大点数</vt:lpstr>
      <vt:lpstr>てんちゃん!最大点数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いちかわ!三位スコア</vt:lpstr>
      <vt:lpstr>だいち!三位スコア</vt:lpstr>
      <vt:lpstr>たかの!三位スコア</vt:lpstr>
      <vt:lpstr>ただ!三位スコア</vt:lpstr>
      <vt:lpstr>てんちゃん!三位スコア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いちかわ!三位通算スコア</vt:lpstr>
      <vt:lpstr>だいち!三位通算スコア</vt:lpstr>
      <vt:lpstr>たかの!三位通算スコア</vt:lpstr>
      <vt:lpstr>ただ!三位通算スコア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たかの!総局数</vt:lpstr>
      <vt:lpstr>ただ!総局数</vt:lpstr>
      <vt:lpstr>てんちゃん!総局数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いちかわ!対戦数</vt:lpstr>
      <vt:lpstr>だいち!対戦数</vt:lpstr>
      <vt:lpstr>たかの!対戦数</vt:lpstr>
      <vt:lpstr>ただ!対戦数</vt:lpstr>
      <vt:lpstr>てんちゃん!対戦数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いちかわ!通算アガリ点</vt:lpstr>
      <vt:lpstr>だいち!通算アガリ点</vt:lpstr>
      <vt:lpstr>たかの!通算アガリ点</vt:lpstr>
      <vt:lpstr>ただ!通算アガリ点</vt:lpstr>
      <vt:lpstr>てんちゃん!通算アガリ点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いちかわ!通算スコア</vt:lpstr>
      <vt:lpstr>だいち!通算スコア</vt:lpstr>
      <vt:lpstr>たかの!通算スコア</vt:lpstr>
      <vt:lpstr>ただ!通算スコア</vt:lpstr>
      <vt:lpstr>てんちゃん!通算スコア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たかの!通算副露アガリ点</vt:lpstr>
      <vt:lpstr>ただ!通算副露アガリ点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たかの!通算放銃点</vt:lpstr>
      <vt:lpstr>ただ!通算放銃点</vt:lpstr>
      <vt:lpstr>てんちゃん!通算放銃点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たかの!通算門前アガリ点</vt:lpstr>
      <vt:lpstr>ただ!通算門前アガリ点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いちかわ!二位スコア</vt:lpstr>
      <vt:lpstr>だいち!二位スコア</vt:lpstr>
      <vt:lpstr>たかの!二位スコア</vt:lpstr>
      <vt:lpstr>ただ!二位スコア</vt:lpstr>
      <vt:lpstr>てんちゃん!二位スコア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たかの!二位数</vt:lpstr>
      <vt:lpstr>ただ!二位数</vt:lpstr>
      <vt:lpstr>てんちゃん!二位数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いちかわ!二位通算スコア</vt:lpstr>
      <vt:lpstr>だいち!二位通算スコア</vt:lpstr>
      <vt:lpstr>たかの!二位通算スコア</vt:lpstr>
      <vt:lpstr>ただ!二位通算スコア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たかの!二位率</vt:lpstr>
      <vt:lpstr>ただ!二位率</vt:lpstr>
      <vt:lpstr>てんちゃん!二位率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いちかわ!副露アガリ数</vt:lpstr>
      <vt:lpstr>だいち!副露アガリ数</vt:lpstr>
      <vt:lpstr>たかの!副露アガリ数</vt:lpstr>
      <vt:lpstr>ただ!副露アガリ数</vt:lpstr>
      <vt:lpstr>てんちゃん!副露アガリ数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いちかわ!副露アガリ点</vt:lpstr>
      <vt:lpstr>だいち!副露アガリ点</vt:lpstr>
      <vt:lpstr>たかの!副露アガリ点</vt:lpstr>
      <vt:lpstr>ただ!副露アガリ点</vt:lpstr>
      <vt:lpstr>てんちゃん!副露アガリ点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いちかわ!副露アガリ率</vt:lpstr>
      <vt:lpstr>だいち!副露アガリ率</vt:lpstr>
      <vt:lpstr>たかの!副露アガリ率</vt:lpstr>
      <vt:lpstr>ただ!副露アガリ率</vt:lpstr>
      <vt:lpstr>てんちゃん!副露アガリ率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いちかわ!副露数</vt:lpstr>
      <vt:lpstr>だいち!副露数</vt:lpstr>
      <vt:lpstr>たかの!副露数</vt:lpstr>
      <vt:lpstr>ただ!副露数</vt:lpstr>
      <vt:lpstr>てんちゃん!副露数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いちかわ!副露成功数</vt:lpstr>
      <vt:lpstr>だいち!副露成功数</vt:lpstr>
      <vt:lpstr>たかの!副露成功数</vt:lpstr>
      <vt:lpstr>ただ!副露成功数</vt:lpstr>
      <vt:lpstr>てんちゃん!副露成功数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いちかわ!副露成功率</vt:lpstr>
      <vt:lpstr>だいち!副露成功率</vt:lpstr>
      <vt:lpstr>たかの!副露成功率</vt:lpstr>
      <vt:lpstr>ただ!副露成功率</vt:lpstr>
      <vt:lpstr>てんちゃん!副露成功率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いちかわ!副露率</vt:lpstr>
      <vt:lpstr>だいち!副露率</vt:lpstr>
      <vt:lpstr>たかの!副露率</vt:lpstr>
      <vt:lpstr>ただ!副露率</vt:lpstr>
      <vt:lpstr>てんちゃん!副露率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いちかわ!平均アガリ点</vt:lpstr>
      <vt:lpstr>だいち!平均アガリ点</vt:lpstr>
      <vt:lpstr>たかの!平均アガリ点</vt:lpstr>
      <vt:lpstr>ただ!平均アガリ点</vt:lpstr>
      <vt:lpstr>てんちゃん!平均アガリ点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いちかわ!平均スコア</vt:lpstr>
      <vt:lpstr>だいち!平均スコア</vt:lpstr>
      <vt:lpstr>たかの!平均スコア</vt:lpstr>
      <vt:lpstr>ただ!平均スコア</vt:lpstr>
      <vt:lpstr>てんちゃん!平均スコア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いちかわ!平均順位</vt:lpstr>
      <vt:lpstr>だいち!平均順位</vt:lpstr>
      <vt:lpstr>たかの!平均順位</vt:lpstr>
      <vt:lpstr>ただ!平均順位</vt:lpstr>
      <vt:lpstr>てんちゃん!平均順位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いちかわ!平均放銃点</vt:lpstr>
      <vt:lpstr>だいち!平均放銃点</vt:lpstr>
      <vt:lpstr>たかの!平均放銃点</vt:lpstr>
      <vt:lpstr>ただ!平均放銃点</vt:lpstr>
      <vt:lpstr>てんちゃん!平均放銃点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いちかわ!放銃数</vt:lpstr>
      <vt:lpstr>だいち!放銃数</vt:lpstr>
      <vt:lpstr>たかの!放銃数</vt:lpstr>
      <vt:lpstr>ただ!放銃数</vt:lpstr>
      <vt:lpstr>てんちゃん!放銃数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いちかわ!放銃率</vt:lpstr>
      <vt:lpstr>だいち!放銃率</vt:lpstr>
      <vt:lpstr>たかの!放銃率</vt:lpstr>
      <vt:lpstr>ただ!放銃率</vt:lpstr>
      <vt:lpstr>てんちゃん!放銃率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いちかわ!名前</vt:lpstr>
      <vt:lpstr>だいち!名前</vt:lpstr>
      <vt:lpstr>たかの!名前</vt:lpstr>
      <vt:lpstr>ただ!名前</vt:lpstr>
      <vt:lpstr>てんちゃん!名前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いちかわ!門前アガリ点</vt:lpstr>
      <vt:lpstr>だいち!門前アガリ点</vt:lpstr>
      <vt:lpstr>たかの!門前アガリ点</vt:lpstr>
      <vt:lpstr>ただ!門前アガリ点</vt:lpstr>
      <vt:lpstr>てんちゃん!門前アガリ点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いちかわ!連続アガリ</vt:lpstr>
      <vt:lpstr>だいち!連続アガリ</vt:lpstr>
      <vt:lpstr>たかの!連続アガリ</vt:lpstr>
      <vt:lpstr>ただ!連続アガリ</vt:lpstr>
      <vt:lpstr>てんちゃん!連続アガリ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いちかわ!連続無放銃</vt:lpstr>
      <vt:lpstr>だいち!連続無放銃</vt:lpstr>
      <vt:lpstr>たかの!連続無放銃</vt:lpstr>
      <vt:lpstr>ただ!連続無放銃</vt:lpstr>
      <vt:lpstr>てんちゃん!連続無放銃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2020-07-30T13:59:49Z</dcterms:modified>
</cp:coreProperties>
</file>