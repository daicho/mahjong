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5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6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7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8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9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0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1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3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4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5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6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D18595DB-C810-4C77-A448-35FAEAB30FE8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18" r:id="rId6"/>
    <sheet name="れんたろう" sheetId="6120" r:id="rId7"/>
    <sheet name="ともき" sheetId="6122" r:id="rId8"/>
    <sheet name="だいち" sheetId="6124" r:id="rId9"/>
    <sheet name="りくと" sheetId="6126" r:id="rId10"/>
    <sheet name="まっつん" sheetId="6128" r:id="rId11"/>
    <sheet name="たかの" sheetId="6130" r:id="rId12"/>
    <sheet name="のり" sheetId="6132" r:id="rId13"/>
    <sheet name="ただ" sheetId="6134" r:id="rId14"/>
    <sheet name="ただ2" sheetId="6135" state="hidden" r:id="rId15"/>
    <sheet name="のり2" sheetId="6133" state="hidden" r:id="rId16"/>
    <sheet name="たかの2" sheetId="6131" state="hidden" r:id="rId17"/>
    <sheet name="まっつん2" sheetId="6129" state="hidden" r:id="rId18"/>
    <sheet name="りくと2" sheetId="6127" state="hidden" r:id="rId19"/>
    <sheet name="だいち2" sheetId="6125" state="hidden" r:id="rId20"/>
    <sheet name="ともき2" sheetId="6123" state="hidden" r:id="rId21"/>
    <sheet name="れんたろう2" sheetId="6121" state="hidden" r:id="rId22"/>
    <sheet name="全体2" sheetId="6119" state="hidden" r:id="rId23"/>
    <sheet name="通算スコア" sheetId="3331" state="hidden" r:id="rId24"/>
    <sheet name="平均スコア" sheetId="3493" state="hidden" r:id="rId25"/>
    <sheet name="平均順位" sheetId="3183" state="hidden" r:id="rId26"/>
    <sheet name="トップ率" sheetId="3185" state="hidden" r:id="rId27"/>
    <sheet name="ラス率" sheetId="4886" state="hidden" r:id="rId28"/>
    <sheet name="アガリ率" sheetId="3189" state="hidden" r:id="rId29"/>
    <sheet name="放銃率" sheetId="3190" state="hidden" r:id="rId30"/>
    <sheet name="平均アガリ点" sheetId="3520" state="hidden" r:id="rId31"/>
    <sheet name="平均放銃点" sheetId="3521" state="hidden" r:id="rId32"/>
    <sheet name="ふっとび率" sheetId="3522" state="hidden" r:id="rId33"/>
    <sheet name="リーチ率" sheetId="3524" state="hidden" r:id="rId34"/>
    <sheet name="副露率" sheetId="3525" state="hidden" r:id="rId35"/>
    <sheet name="リーチ成功率" sheetId="4841" state="hidden" r:id="rId36"/>
    <sheet name="副露成功率" sheetId="3527" state="hidden" r:id="rId37"/>
    <sheet name="ツモ率" sheetId="3528" state="hidden" r:id="rId38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6128" l="1"/>
  <c r="O17" i="6122"/>
  <c r="O21" i="6124" l="1"/>
  <c r="O18" i="6128"/>
  <c r="O20" i="6118"/>
  <c r="O16" i="6134"/>
  <c r="O15" i="6134"/>
  <c r="C34" i="6134"/>
  <c r="B29" i="6134"/>
  <c r="C20" i="6134"/>
  <c r="B19" i="6134"/>
  <c r="H50" i="6134" s="1"/>
  <c r="C18" i="6134"/>
  <c r="B18" i="6134"/>
  <c r="B28" i="6134" s="1"/>
  <c r="B17" i="6134"/>
  <c r="C17" i="6134" s="1"/>
  <c r="C16" i="6134"/>
  <c r="C15" i="6134"/>
  <c r="C14" i="6134"/>
  <c r="O12" i="6134"/>
  <c r="B12" i="6134"/>
  <c r="O11" i="6134"/>
  <c r="B11" i="6134"/>
  <c r="O10" i="6134"/>
  <c r="B10" i="6134"/>
  <c r="B13" i="6134" s="1"/>
  <c r="C9" i="6134"/>
  <c r="C8" i="6134"/>
  <c r="O7" i="6134"/>
  <c r="C7" i="6134"/>
  <c r="O6" i="6134"/>
  <c r="B6" i="6134"/>
  <c r="O5" i="6134"/>
  <c r="B5" i="6134"/>
  <c r="O4" i="6134"/>
  <c r="O3" i="6134"/>
  <c r="O2" i="6134"/>
  <c r="H30" i="6134" l="1"/>
  <c r="H2" i="6134"/>
  <c r="H7" i="6134"/>
  <c r="H13" i="6134"/>
  <c r="H33" i="6134"/>
  <c r="C22" i="6134"/>
  <c r="H31" i="6134"/>
  <c r="C21" i="6134"/>
  <c r="H12" i="6134"/>
  <c r="H22" i="6134"/>
  <c r="H15" i="6134"/>
  <c r="C42" i="6134"/>
  <c r="H19" i="6134"/>
  <c r="H17" i="6134"/>
  <c r="H39" i="6134"/>
  <c r="H18" i="6134"/>
  <c r="H41" i="6134"/>
  <c r="H3" i="6134"/>
  <c r="C24" i="6134"/>
  <c r="H16" i="6134"/>
  <c r="H43" i="6134"/>
  <c r="C46" i="6134"/>
  <c r="C25" i="6134"/>
  <c r="C36" i="6134"/>
  <c r="H44" i="6134"/>
  <c r="H4" i="6134"/>
  <c r="H8" i="6134"/>
  <c r="H20" i="6134"/>
  <c r="H37" i="6134"/>
  <c r="H38" i="6134"/>
  <c r="H47" i="6134"/>
  <c r="H26" i="6134"/>
  <c r="B26" i="6134"/>
  <c r="H11" i="6134"/>
  <c r="H5" i="6134"/>
  <c r="H9" i="6134"/>
  <c r="H21" i="6134"/>
  <c r="C38" i="6134"/>
  <c r="H48" i="6134"/>
  <c r="C48" i="6134"/>
  <c r="H25" i="6134"/>
  <c r="H34" i="6134"/>
  <c r="H42" i="6134"/>
  <c r="H49" i="6134"/>
  <c r="B27" i="6134"/>
  <c r="C39" i="6134"/>
  <c r="C44" i="6134"/>
  <c r="H51" i="6134"/>
  <c r="C23" i="6134"/>
  <c r="H28" i="6134"/>
  <c r="H35" i="6134"/>
  <c r="H40" i="6134"/>
  <c r="H45" i="6134"/>
  <c r="H6" i="6134"/>
  <c r="H14" i="6134"/>
  <c r="H10" i="6134"/>
  <c r="C19" i="6134"/>
  <c r="H24" i="6134"/>
  <c r="H29" i="6134"/>
  <c r="H36" i="6134"/>
  <c r="C40" i="6134"/>
  <c r="H46" i="6134"/>
  <c r="H52" i="6134"/>
  <c r="C43" i="6134"/>
  <c r="C47" i="6134"/>
  <c r="H23" i="6134"/>
  <c r="H27" i="6134"/>
  <c r="H32" i="6134"/>
  <c r="C37" i="6134"/>
  <c r="C41" i="6134"/>
  <c r="C45" i="6134"/>
  <c r="O15" i="6124"/>
  <c r="O19" i="6130"/>
  <c r="O19" i="6120"/>
  <c r="O17" i="6130"/>
  <c r="O16" i="6124" l="1"/>
  <c r="O18" i="6126"/>
  <c r="O16" i="6120"/>
  <c r="O17" i="6120"/>
  <c r="O15" i="6126"/>
  <c r="O17" i="6128"/>
  <c r="O16" i="6132" l="1"/>
  <c r="O17" i="6132"/>
  <c r="O20" i="6128"/>
  <c r="O19" i="6128"/>
  <c r="O17" i="6124"/>
  <c r="O18" i="6124"/>
  <c r="O15" i="6130"/>
  <c r="O15" i="6132"/>
  <c r="O18" i="6132"/>
  <c r="C34" i="6132"/>
  <c r="B29" i="6132"/>
  <c r="B28" i="6132"/>
  <c r="C20" i="6132"/>
  <c r="B19" i="6132"/>
  <c r="H9" i="6132" s="1"/>
  <c r="C18" i="6132"/>
  <c r="B18" i="6132"/>
  <c r="B17" i="6132"/>
  <c r="C17" i="6132" s="1"/>
  <c r="C16" i="6132"/>
  <c r="C15" i="6132"/>
  <c r="C14" i="6132"/>
  <c r="O12" i="6132"/>
  <c r="B12" i="6132"/>
  <c r="O11" i="6132"/>
  <c r="B11" i="6132"/>
  <c r="B13" i="6132" s="1"/>
  <c r="O10" i="6132"/>
  <c r="B10" i="6132"/>
  <c r="C9" i="6132"/>
  <c r="C8" i="6132"/>
  <c r="O7" i="6132"/>
  <c r="C7" i="6132"/>
  <c r="O6" i="6132"/>
  <c r="B6" i="6132"/>
  <c r="O5" i="6132"/>
  <c r="B5" i="6132"/>
  <c r="O4" i="6132"/>
  <c r="O3" i="6132"/>
  <c r="O2" i="6132"/>
  <c r="O17" i="6126"/>
  <c r="O17" i="6118"/>
  <c r="O18" i="6130"/>
  <c r="O16" i="6130"/>
  <c r="C34" i="6130"/>
  <c r="B29" i="6130"/>
  <c r="C20" i="6130"/>
  <c r="B19" i="6130"/>
  <c r="H49" i="6130" s="1"/>
  <c r="B18" i="6130"/>
  <c r="B28" i="6130" s="1"/>
  <c r="B17" i="6130"/>
  <c r="C17" i="6130" s="1"/>
  <c r="C16" i="6130"/>
  <c r="C15" i="6130"/>
  <c r="C14" i="6130"/>
  <c r="O12" i="6130"/>
  <c r="B12" i="6130"/>
  <c r="O11" i="6130"/>
  <c r="B11" i="6130"/>
  <c r="O10" i="6130"/>
  <c r="B10" i="6130"/>
  <c r="B13" i="6130" s="1"/>
  <c r="C9" i="6130"/>
  <c r="C8" i="6130"/>
  <c r="O7" i="6130"/>
  <c r="C7" i="6130"/>
  <c r="O6" i="6130"/>
  <c r="B6" i="6130"/>
  <c r="O5" i="6130"/>
  <c r="B5" i="6130"/>
  <c r="O4" i="6130"/>
  <c r="O3" i="6130"/>
  <c r="O2" i="6130"/>
  <c r="O16" i="6128"/>
  <c r="O21" i="6128"/>
  <c r="C34" i="6128"/>
  <c r="B29" i="6128"/>
  <c r="C20" i="6128"/>
  <c r="B19" i="6128"/>
  <c r="H51" i="6128" s="1"/>
  <c r="B18" i="6128"/>
  <c r="C18" i="6128" s="1"/>
  <c r="B17" i="6128"/>
  <c r="C17" i="6128" s="1"/>
  <c r="C16" i="6128"/>
  <c r="C15" i="6128"/>
  <c r="C14" i="6128"/>
  <c r="O12" i="6128"/>
  <c r="B12" i="6128"/>
  <c r="O11" i="6128"/>
  <c r="B11" i="6128"/>
  <c r="O10" i="6128"/>
  <c r="B10" i="6128"/>
  <c r="C9" i="6128"/>
  <c r="C8" i="6128"/>
  <c r="O7" i="6128"/>
  <c r="C7" i="6128"/>
  <c r="O6" i="6128"/>
  <c r="B6" i="6128"/>
  <c r="O5" i="6128"/>
  <c r="B5" i="6128"/>
  <c r="O4" i="6128"/>
  <c r="O3" i="6128"/>
  <c r="O2" i="6128"/>
  <c r="O16" i="6118"/>
  <c r="O19" i="6126"/>
  <c r="O16" i="6126"/>
  <c r="C34" i="6126"/>
  <c r="B29" i="6126"/>
  <c r="C20" i="6126"/>
  <c r="B19" i="6126"/>
  <c r="H50" i="6126" s="1"/>
  <c r="B18" i="6126"/>
  <c r="B28" i="6126" s="1"/>
  <c r="B17" i="6126"/>
  <c r="C17" i="6126" s="1"/>
  <c r="C16" i="6126"/>
  <c r="C15" i="6126"/>
  <c r="C14" i="6126"/>
  <c r="O12" i="6126"/>
  <c r="B12" i="6126"/>
  <c r="O11" i="6126"/>
  <c r="B11" i="6126"/>
  <c r="O10" i="6126"/>
  <c r="B10" i="6126"/>
  <c r="C9" i="6126"/>
  <c r="C8" i="6126"/>
  <c r="O7" i="6126"/>
  <c r="C7" i="6126"/>
  <c r="O6" i="6126"/>
  <c r="B6" i="6126"/>
  <c r="O5" i="6126"/>
  <c r="B5" i="6126"/>
  <c r="O4" i="6126"/>
  <c r="O3" i="6126"/>
  <c r="O2" i="6126"/>
  <c r="O22" i="6118"/>
  <c r="O18" i="6118"/>
  <c r="B28" i="6128" l="1"/>
  <c r="C18" i="6126"/>
  <c r="H5" i="6126"/>
  <c r="H49" i="6126"/>
  <c r="H34" i="6126"/>
  <c r="H3" i="6126"/>
  <c r="H40" i="6126"/>
  <c r="H4" i="6126"/>
  <c r="H18" i="6126"/>
  <c r="C21" i="6126"/>
  <c r="H22" i="6126"/>
  <c r="C24" i="6126"/>
  <c r="H12" i="6126"/>
  <c r="H41" i="6126"/>
  <c r="H9" i="6126"/>
  <c r="C40" i="6126"/>
  <c r="C25" i="6126"/>
  <c r="H14" i="6126"/>
  <c r="H44" i="6126"/>
  <c r="H15" i="6126"/>
  <c r="H33" i="6126"/>
  <c r="H51" i="6126"/>
  <c r="H8" i="6126"/>
  <c r="H52" i="6126"/>
  <c r="H2" i="6126"/>
  <c r="H7" i="6126"/>
  <c r="H10" i="6126"/>
  <c r="H31" i="6126"/>
  <c r="C44" i="6126"/>
  <c r="H26" i="6126"/>
  <c r="H36" i="6126"/>
  <c r="H45" i="6126"/>
  <c r="H17" i="6126"/>
  <c r="C19" i="6126"/>
  <c r="C38" i="6126"/>
  <c r="H46" i="6126"/>
  <c r="B26" i="6126"/>
  <c r="H11" i="6126"/>
  <c r="B27" i="6126"/>
  <c r="H39" i="6126"/>
  <c r="C46" i="6126"/>
  <c r="H16" i="6126"/>
  <c r="C22" i="6126"/>
  <c r="H28" i="6126"/>
  <c r="C36" i="6126"/>
  <c r="H42" i="6126"/>
  <c r="H47" i="6126"/>
  <c r="H6" i="6126"/>
  <c r="H13" i="6126"/>
  <c r="H20" i="6126"/>
  <c r="C23" i="6126"/>
  <c r="H37" i="6126"/>
  <c r="C42" i="6126"/>
  <c r="H48" i="6126"/>
  <c r="H24" i="6126"/>
  <c r="H30" i="6126"/>
  <c r="H38" i="6126"/>
  <c r="H43" i="6126"/>
  <c r="C48" i="6126"/>
  <c r="B13" i="6128"/>
  <c r="C42" i="6128"/>
  <c r="H20" i="6128"/>
  <c r="H25" i="6128"/>
  <c r="C24" i="6128"/>
  <c r="H9" i="6128"/>
  <c r="H17" i="6128"/>
  <c r="H31" i="6128"/>
  <c r="H7" i="6128"/>
  <c r="C43" i="6128"/>
  <c r="H22" i="6128"/>
  <c r="H34" i="6128"/>
  <c r="C22" i="6128"/>
  <c r="H41" i="6128"/>
  <c r="H52" i="6132"/>
  <c r="H35" i="6132"/>
  <c r="H39" i="6132"/>
  <c r="H6" i="6132"/>
  <c r="H10" i="6132"/>
  <c r="C24" i="6132"/>
  <c r="H14" i="6132"/>
  <c r="H8" i="6132"/>
  <c r="H43" i="6132"/>
  <c r="C19" i="6132"/>
  <c r="C39" i="6132"/>
  <c r="H19" i="6132"/>
  <c r="C43" i="6132"/>
  <c r="H3" i="6132"/>
  <c r="H22" i="6132"/>
  <c r="H12" i="6132"/>
  <c r="H15" i="6132"/>
  <c r="H29" i="6132"/>
  <c r="H47" i="6132"/>
  <c r="C47" i="6132"/>
  <c r="H22" i="6130"/>
  <c r="C18" i="6130"/>
  <c r="H13" i="6130"/>
  <c r="H5" i="6130"/>
  <c r="H14" i="6130"/>
  <c r="H5" i="6132"/>
  <c r="H13" i="6132"/>
  <c r="H16" i="6132"/>
  <c r="C21" i="6132"/>
  <c r="C25" i="6132"/>
  <c r="H36" i="6132"/>
  <c r="H40" i="6132"/>
  <c r="H44" i="6132"/>
  <c r="H48" i="6132"/>
  <c r="H23" i="6132"/>
  <c r="H26" i="6132"/>
  <c r="H30" i="6132"/>
  <c r="C36" i="6132"/>
  <c r="C40" i="6132"/>
  <c r="C44" i="6132"/>
  <c r="C48" i="6132"/>
  <c r="H2" i="6132"/>
  <c r="H11" i="6132"/>
  <c r="H17" i="6132"/>
  <c r="H20" i="6132"/>
  <c r="C22" i="6132"/>
  <c r="B26" i="6132"/>
  <c r="H31" i="6132"/>
  <c r="H37" i="6132"/>
  <c r="H41" i="6132"/>
  <c r="H45" i="6132"/>
  <c r="H49" i="6132"/>
  <c r="H27" i="6132"/>
  <c r="C37" i="6132"/>
  <c r="H50" i="6132"/>
  <c r="H18" i="6132"/>
  <c r="C23" i="6132"/>
  <c r="B27" i="6132"/>
  <c r="H33" i="6132"/>
  <c r="H38" i="6132"/>
  <c r="H42" i="6132"/>
  <c r="H46" i="6132"/>
  <c r="H51" i="6132"/>
  <c r="H24" i="6132"/>
  <c r="H32" i="6132"/>
  <c r="C41" i="6132"/>
  <c r="C45" i="6132"/>
  <c r="H4" i="6132"/>
  <c r="H7" i="6132"/>
  <c r="H21" i="6132"/>
  <c r="H25" i="6132"/>
  <c r="H28" i="6132"/>
  <c r="H34" i="6132"/>
  <c r="C38" i="6132"/>
  <c r="C42" i="6132"/>
  <c r="C46" i="6132"/>
  <c r="H35" i="6130"/>
  <c r="H12" i="6130"/>
  <c r="H19" i="6130"/>
  <c r="C22" i="6130"/>
  <c r="H41" i="6130"/>
  <c r="C46" i="6130"/>
  <c r="H36" i="6130"/>
  <c r="H4" i="6130"/>
  <c r="H15" i="6130"/>
  <c r="C23" i="6130"/>
  <c r="H7" i="6130"/>
  <c r="H46" i="6130"/>
  <c r="H37" i="6130"/>
  <c r="C42" i="6130"/>
  <c r="C47" i="6130"/>
  <c r="H25" i="6130"/>
  <c r="H8" i="6130"/>
  <c r="H20" i="6130"/>
  <c r="C19" i="6130"/>
  <c r="C24" i="6130"/>
  <c r="H38" i="6130"/>
  <c r="H42" i="6130"/>
  <c r="H47" i="6130"/>
  <c r="H29" i="6130"/>
  <c r="H48" i="6130"/>
  <c r="H26" i="6130"/>
  <c r="H31" i="6130"/>
  <c r="C38" i="6130"/>
  <c r="H2" i="6130"/>
  <c r="H3" i="6130"/>
  <c r="H17" i="6130"/>
  <c r="C25" i="6130"/>
  <c r="H33" i="6130"/>
  <c r="H39" i="6130"/>
  <c r="H43" i="6130"/>
  <c r="H50" i="6130"/>
  <c r="H16" i="6130"/>
  <c r="H11" i="6130"/>
  <c r="H21" i="6130"/>
  <c r="H23" i="6130"/>
  <c r="B26" i="6130"/>
  <c r="H34" i="6130"/>
  <c r="C39" i="6130"/>
  <c r="H44" i="6130"/>
  <c r="H51" i="6130"/>
  <c r="H6" i="6130"/>
  <c r="H9" i="6130"/>
  <c r="C43" i="6130"/>
  <c r="H18" i="6130"/>
  <c r="C21" i="6130"/>
  <c r="B27" i="6130"/>
  <c r="H40" i="6130"/>
  <c r="H45" i="6130"/>
  <c r="H52" i="6130"/>
  <c r="H10" i="6130"/>
  <c r="H27" i="6130"/>
  <c r="H30" i="6130"/>
  <c r="C36" i="6130"/>
  <c r="C40" i="6130"/>
  <c r="C44" i="6130"/>
  <c r="C48" i="6130"/>
  <c r="H24" i="6130"/>
  <c r="H28" i="6130"/>
  <c r="H32" i="6130"/>
  <c r="C37" i="6130"/>
  <c r="C41" i="6130"/>
  <c r="C45" i="6130"/>
  <c r="B26" i="6128"/>
  <c r="H35" i="6128"/>
  <c r="H45" i="6128"/>
  <c r="H8" i="6128"/>
  <c r="H21" i="6128"/>
  <c r="H13" i="6128"/>
  <c r="C19" i="6128"/>
  <c r="C46" i="6128"/>
  <c r="H6" i="6128"/>
  <c r="C38" i="6128"/>
  <c r="H47" i="6128"/>
  <c r="H12" i="6128"/>
  <c r="H15" i="6128"/>
  <c r="H2" i="6128"/>
  <c r="H29" i="6128"/>
  <c r="H39" i="6128"/>
  <c r="C47" i="6128"/>
  <c r="H18" i="6128"/>
  <c r="H37" i="6128"/>
  <c r="H3" i="6128"/>
  <c r="H19" i="6128"/>
  <c r="H11" i="6128"/>
  <c r="H23" i="6128"/>
  <c r="C39" i="6128"/>
  <c r="H49" i="6128"/>
  <c r="H5" i="6128"/>
  <c r="H26" i="6128"/>
  <c r="H43" i="6128"/>
  <c r="H52" i="6128"/>
  <c r="C21" i="6128"/>
  <c r="C25" i="6128"/>
  <c r="H36" i="6128"/>
  <c r="H40" i="6128"/>
  <c r="H44" i="6128"/>
  <c r="H48" i="6128"/>
  <c r="H4" i="6128"/>
  <c r="H10" i="6128"/>
  <c r="H16" i="6128"/>
  <c r="H27" i="6128"/>
  <c r="H30" i="6128"/>
  <c r="C36" i="6128"/>
  <c r="C40" i="6128"/>
  <c r="C44" i="6128"/>
  <c r="C48" i="6128"/>
  <c r="H24" i="6128"/>
  <c r="H28" i="6128"/>
  <c r="H32" i="6128"/>
  <c r="C37" i="6128"/>
  <c r="C41" i="6128"/>
  <c r="C45" i="6128"/>
  <c r="H50" i="6128"/>
  <c r="H14" i="6128"/>
  <c r="C23" i="6128"/>
  <c r="B27" i="6128"/>
  <c r="H33" i="6128"/>
  <c r="H38" i="6128"/>
  <c r="H42" i="6128"/>
  <c r="H46" i="6128"/>
  <c r="B13" i="6126"/>
  <c r="H19" i="6126"/>
  <c r="H21" i="6126"/>
  <c r="H25" i="6126"/>
  <c r="H29" i="6126"/>
  <c r="H35" i="6126"/>
  <c r="C39" i="6126"/>
  <c r="C43" i="6126"/>
  <c r="C47" i="6126"/>
  <c r="H23" i="6126"/>
  <c r="H27" i="6126"/>
  <c r="H32" i="6126"/>
  <c r="C37" i="6126"/>
  <c r="C41" i="6126"/>
  <c r="C45" i="6126"/>
  <c r="O19" i="6124"/>
  <c r="O20" i="6124"/>
  <c r="C34" i="6124"/>
  <c r="B29" i="6124"/>
  <c r="C20" i="6124"/>
  <c r="B19" i="6124"/>
  <c r="H22" i="6124" s="1"/>
  <c r="B18" i="6124"/>
  <c r="B28" i="6124" s="1"/>
  <c r="B17" i="6124"/>
  <c r="C17" i="6124" s="1"/>
  <c r="C16" i="6124"/>
  <c r="C15" i="6124"/>
  <c r="C14" i="6124"/>
  <c r="O12" i="6124"/>
  <c r="B12" i="6124"/>
  <c r="O11" i="6124"/>
  <c r="B11" i="6124"/>
  <c r="O10" i="6124"/>
  <c r="B10" i="6124"/>
  <c r="C9" i="6124"/>
  <c r="C8" i="6124"/>
  <c r="O7" i="6124"/>
  <c r="C7" i="6124"/>
  <c r="O6" i="6124"/>
  <c r="B6" i="6124"/>
  <c r="O5" i="6124"/>
  <c r="B5" i="6124"/>
  <c r="O4" i="6124"/>
  <c r="O3" i="6124"/>
  <c r="O2" i="6124"/>
  <c r="O15" i="6122"/>
  <c r="O16" i="6122"/>
  <c r="C34" i="6122"/>
  <c r="B29" i="6122"/>
  <c r="B28" i="6122"/>
  <c r="C20" i="6122"/>
  <c r="B19" i="6122"/>
  <c r="H51" i="6122" s="1"/>
  <c r="C18" i="6122"/>
  <c r="B18" i="6122"/>
  <c r="B17" i="6122"/>
  <c r="C17" i="6122" s="1"/>
  <c r="C16" i="6122"/>
  <c r="C15" i="6122"/>
  <c r="C14" i="6122"/>
  <c r="O12" i="6122"/>
  <c r="B12" i="6122"/>
  <c r="O11" i="6122"/>
  <c r="B11" i="6122"/>
  <c r="O10" i="6122"/>
  <c r="B10" i="6122"/>
  <c r="C9" i="6122"/>
  <c r="C8" i="6122"/>
  <c r="O7" i="6122"/>
  <c r="C7" i="6122"/>
  <c r="O6" i="6122"/>
  <c r="B6" i="6122"/>
  <c r="O5" i="6122"/>
  <c r="B5" i="6122"/>
  <c r="O4" i="6122"/>
  <c r="O3" i="6122"/>
  <c r="O2" i="6122"/>
  <c r="O19" i="6118"/>
  <c r="O18" i="6120"/>
  <c r="O15" i="6120"/>
  <c r="C34" i="6120"/>
  <c r="B29" i="6120"/>
  <c r="C20" i="6120"/>
  <c r="B19" i="6120"/>
  <c r="H20" i="6120" s="1"/>
  <c r="B18" i="6120"/>
  <c r="C18" i="6120" s="1"/>
  <c r="B17" i="6120"/>
  <c r="C17" i="6120" s="1"/>
  <c r="C16" i="6120"/>
  <c r="C15" i="6120"/>
  <c r="C14" i="6120"/>
  <c r="O12" i="6120"/>
  <c r="B12" i="6120"/>
  <c r="O11" i="6120"/>
  <c r="B11" i="6120"/>
  <c r="O10" i="6120"/>
  <c r="B10" i="6120"/>
  <c r="C9" i="6120"/>
  <c r="C8" i="6120"/>
  <c r="O7" i="6120"/>
  <c r="C7" i="6120"/>
  <c r="O6" i="6120"/>
  <c r="B6" i="6120"/>
  <c r="O5" i="6120"/>
  <c r="B5" i="6120"/>
  <c r="O4" i="6120"/>
  <c r="O3" i="6120"/>
  <c r="O2" i="6120"/>
  <c r="O21" i="6118"/>
  <c r="O15" i="6118"/>
  <c r="C34" i="6118"/>
  <c r="B29" i="6118"/>
  <c r="C20" i="6118"/>
  <c r="B19" i="6118"/>
  <c r="H51" i="6118" s="1"/>
  <c r="B18" i="6118"/>
  <c r="B28" i="6118" s="1"/>
  <c r="B17" i="6118"/>
  <c r="C17" i="6118" s="1"/>
  <c r="C16" i="6118"/>
  <c r="C15" i="6118"/>
  <c r="C14" i="6118"/>
  <c r="O12" i="6118"/>
  <c r="B12" i="6118"/>
  <c r="O11" i="6118"/>
  <c r="B11" i="6118"/>
  <c r="O10" i="6118"/>
  <c r="B10" i="6118"/>
  <c r="C9" i="6118"/>
  <c r="C8" i="6118"/>
  <c r="O7" i="6118"/>
  <c r="C7" i="6118"/>
  <c r="O6" i="6118"/>
  <c r="B6" i="6118"/>
  <c r="O5" i="6118"/>
  <c r="B5" i="6118"/>
  <c r="O4" i="6118"/>
  <c r="O3" i="6118"/>
  <c r="O2" i="6118"/>
  <c r="B13" i="6122" l="1"/>
  <c r="B28" i="6120"/>
  <c r="B13" i="6124"/>
  <c r="B13" i="6120"/>
  <c r="H40" i="6120"/>
  <c r="C47" i="6120"/>
  <c r="H12" i="6120"/>
  <c r="H48" i="6120"/>
  <c r="H8" i="6120"/>
  <c r="H17" i="6120"/>
  <c r="H14" i="6120"/>
  <c r="C46" i="6120"/>
  <c r="B26" i="6120"/>
  <c r="H2" i="6120"/>
  <c r="H22" i="6120"/>
  <c r="H23" i="6120"/>
  <c r="H4" i="6120"/>
  <c r="H7" i="6120"/>
  <c r="H9" i="6120"/>
  <c r="H27" i="6120"/>
  <c r="H36" i="6120"/>
  <c r="C21" i="6120"/>
  <c r="C36" i="6120"/>
  <c r="C39" i="6120"/>
  <c r="C48" i="6120"/>
  <c r="H18" i="6120"/>
  <c r="H11" i="6120"/>
  <c r="C22" i="6120"/>
  <c r="C40" i="6120"/>
  <c r="H24" i="6120"/>
  <c r="H26" i="6120"/>
  <c r="H10" i="6120"/>
  <c r="H19" i="6120"/>
  <c r="H42" i="6120"/>
  <c r="H6" i="6120"/>
  <c r="H21" i="6120"/>
  <c r="C25" i="6120"/>
  <c r="H35" i="6120"/>
  <c r="C42" i="6120"/>
  <c r="H3" i="6120"/>
  <c r="H15" i="6120"/>
  <c r="H25" i="6120"/>
  <c r="H13" i="6120"/>
  <c r="H30" i="6120"/>
  <c r="H46" i="6120"/>
  <c r="H9" i="6122"/>
  <c r="H21" i="6122"/>
  <c r="C36" i="6122"/>
  <c r="H43" i="6122"/>
  <c r="H49" i="6122"/>
  <c r="H6" i="6122"/>
  <c r="C22" i="6122"/>
  <c r="C25" i="6122"/>
  <c r="H10" i="6122"/>
  <c r="H16" i="6122"/>
  <c r="H12" i="6122"/>
  <c r="H11" i="6122"/>
  <c r="H17" i="6122"/>
  <c r="H28" i="6124"/>
  <c r="H25" i="6124"/>
  <c r="H8" i="6124"/>
  <c r="C18" i="6124"/>
  <c r="H4" i="6124"/>
  <c r="H36" i="6124"/>
  <c r="H16" i="6124"/>
  <c r="H26" i="6124"/>
  <c r="C40" i="6124"/>
  <c r="H37" i="6124"/>
  <c r="C22" i="6124"/>
  <c r="H42" i="6124"/>
  <c r="H12" i="6124"/>
  <c r="H14" i="6124"/>
  <c r="H7" i="6124"/>
  <c r="H48" i="6124"/>
  <c r="C46" i="6124"/>
  <c r="H32" i="6124"/>
  <c r="H34" i="6124"/>
  <c r="C36" i="6124"/>
  <c r="C42" i="6124"/>
  <c r="C47" i="6124"/>
  <c r="H6" i="6124"/>
  <c r="H10" i="6124"/>
  <c r="H23" i="6124"/>
  <c r="C19" i="6124"/>
  <c r="C24" i="6124"/>
  <c r="H38" i="6124"/>
  <c r="H44" i="6124"/>
  <c r="H49" i="6124"/>
  <c r="H29" i="6124"/>
  <c r="C48" i="6124"/>
  <c r="H18" i="6124"/>
  <c r="C38" i="6124"/>
  <c r="H2" i="6124"/>
  <c r="H3" i="6124"/>
  <c r="C25" i="6124"/>
  <c r="H19" i="6124"/>
  <c r="H40" i="6124"/>
  <c r="H45" i="6124"/>
  <c r="H50" i="6124"/>
  <c r="H11" i="6124"/>
  <c r="H9" i="6124"/>
  <c r="H24" i="6124"/>
  <c r="H15" i="6124"/>
  <c r="H30" i="6124"/>
  <c r="H17" i="6124"/>
  <c r="H21" i="6124"/>
  <c r="C39" i="6124"/>
  <c r="C44" i="6124"/>
  <c r="H5" i="6124"/>
  <c r="H13" i="6124"/>
  <c r="C43" i="6124"/>
  <c r="C21" i="6124"/>
  <c r="B26" i="6124"/>
  <c r="H41" i="6124"/>
  <c r="H46" i="6124"/>
  <c r="H52" i="6124"/>
  <c r="H31" i="6124"/>
  <c r="H33" i="6124"/>
  <c r="H20" i="6124"/>
  <c r="C37" i="6124"/>
  <c r="C41" i="6124"/>
  <c r="C45" i="6124"/>
  <c r="H51" i="6124"/>
  <c r="H27" i="6124"/>
  <c r="C23" i="6124"/>
  <c r="B27" i="6124"/>
  <c r="H35" i="6124"/>
  <c r="H39" i="6124"/>
  <c r="H43" i="6124"/>
  <c r="H47" i="6124"/>
  <c r="H4" i="6118"/>
  <c r="C18" i="6118"/>
  <c r="H25" i="6122"/>
  <c r="H29" i="6122"/>
  <c r="H37" i="6122"/>
  <c r="C43" i="6122"/>
  <c r="H5" i="6122"/>
  <c r="H19" i="6122"/>
  <c r="C19" i="6122"/>
  <c r="C24" i="6122"/>
  <c r="C38" i="6122"/>
  <c r="C44" i="6122"/>
  <c r="H52" i="6122"/>
  <c r="H3" i="6122"/>
  <c r="H4" i="6122"/>
  <c r="H22" i="6122"/>
  <c r="H26" i="6122"/>
  <c r="H30" i="6122"/>
  <c r="H39" i="6122"/>
  <c r="H45" i="6122"/>
  <c r="H31" i="6122"/>
  <c r="C39" i="6122"/>
  <c r="C46" i="6122"/>
  <c r="H20" i="6122"/>
  <c r="H23" i="6122"/>
  <c r="H27" i="6122"/>
  <c r="H34" i="6122"/>
  <c r="C40" i="6122"/>
  <c r="H47" i="6122"/>
  <c r="H8" i="6122"/>
  <c r="H15" i="6122"/>
  <c r="H18" i="6122"/>
  <c r="C21" i="6122"/>
  <c r="B26" i="6122"/>
  <c r="H41" i="6122"/>
  <c r="C47" i="6122"/>
  <c r="H2" i="6122"/>
  <c r="H14" i="6122"/>
  <c r="H13" i="6122"/>
  <c r="H7" i="6122"/>
  <c r="H35" i="6122"/>
  <c r="C42" i="6122"/>
  <c r="C48" i="6122"/>
  <c r="H36" i="6122"/>
  <c r="H40" i="6122"/>
  <c r="H44" i="6122"/>
  <c r="H48" i="6122"/>
  <c r="H24" i="6122"/>
  <c r="H28" i="6122"/>
  <c r="H32" i="6122"/>
  <c r="C37" i="6122"/>
  <c r="C41" i="6122"/>
  <c r="C45" i="6122"/>
  <c r="H50" i="6122"/>
  <c r="C23" i="6122"/>
  <c r="B27" i="6122"/>
  <c r="H33" i="6122"/>
  <c r="H38" i="6122"/>
  <c r="H42" i="6122"/>
  <c r="H46" i="6122"/>
  <c r="B13" i="6118"/>
  <c r="C19" i="6118"/>
  <c r="H19" i="6118"/>
  <c r="H45" i="6118"/>
  <c r="H40" i="6118"/>
  <c r="H10" i="6118"/>
  <c r="H27" i="6118"/>
  <c r="C38" i="6118"/>
  <c r="H36" i="6118"/>
  <c r="H48" i="6118"/>
  <c r="H22" i="6118"/>
  <c r="H6" i="6118"/>
  <c r="H25" i="6118"/>
  <c r="H33" i="6118"/>
  <c r="H13" i="6118"/>
  <c r="C25" i="6118"/>
  <c r="H2" i="6118"/>
  <c r="H3" i="6118"/>
  <c r="H15" i="6118"/>
  <c r="H23" i="6118"/>
  <c r="H49" i="6118"/>
  <c r="C21" i="6118"/>
  <c r="C48" i="6118"/>
  <c r="H14" i="6118"/>
  <c r="H18" i="6118"/>
  <c r="H16" i="6118"/>
  <c r="H9" i="6118"/>
  <c r="B26" i="6118"/>
  <c r="H43" i="6118"/>
  <c r="H12" i="6118"/>
  <c r="H38" i="6118"/>
  <c r="C42" i="6118"/>
  <c r="H50" i="6118"/>
  <c r="H39" i="6118"/>
  <c r="C24" i="6118"/>
  <c r="C44" i="6118"/>
  <c r="H11" i="6118"/>
  <c r="H17" i="6118"/>
  <c r="C46" i="6118"/>
  <c r="H41" i="6118"/>
  <c r="H28" i="6118"/>
  <c r="H31" i="6118"/>
  <c r="H26" i="6118"/>
  <c r="H29" i="6118"/>
  <c r="B27" i="6118"/>
  <c r="H7" i="6118"/>
  <c r="H21" i="6118"/>
  <c r="H30" i="6118"/>
  <c r="C22" i="6118"/>
  <c r="H35" i="6118"/>
  <c r="C36" i="6118"/>
  <c r="H44" i="6118"/>
  <c r="H44" i="6120"/>
  <c r="H50" i="6120"/>
  <c r="H29" i="6120"/>
  <c r="H32" i="6120"/>
  <c r="H38" i="6120"/>
  <c r="C43" i="6120"/>
  <c r="H5" i="6120"/>
  <c r="H16" i="6120"/>
  <c r="C19" i="6120"/>
  <c r="C24" i="6120"/>
  <c r="C38" i="6120"/>
  <c r="C44" i="6120"/>
  <c r="H52" i="6120"/>
  <c r="H37" i="6120"/>
  <c r="H41" i="6120"/>
  <c r="H45" i="6120"/>
  <c r="H49" i="6120"/>
  <c r="H28" i="6120"/>
  <c r="H31" i="6120"/>
  <c r="H33" i="6120"/>
  <c r="C37" i="6120"/>
  <c r="C41" i="6120"/>
  <c r="C45" i="6120"/>
  <c r="H51" i="6120"/>
  <c r="C23" i="6120"/>
  <c r="B27" i="6120"/>
  <c r="H34" i="6120"/>
  <c r="H39" i="6120"/>
  <c r="H43" i="6120"/>
  <c r="H47" i="6120"/>
  <c r="H20" i="6118"/>
  <c r="H42" i="6118"/>
  <c r="H46" i="6118"/>
  <c r="H5" i="6118"/>
  <c r="C23" i="6118"/>
  <c r="H8" i="6118"/>
  <c r="H37" i="6118"/>
  <c r="C40" i="6118"/>
  <c r="H47" i="6118"/>
  <c r="H52" i="6118"/>
  <c r="C39" i="6118"/>
  <c r="C43" i="6118"/>
  <c r="C47" i="6118"/>
  <c r="H32" i="6118"/>
  <c r="H34" i="6118"/>
  <c r="H24" i="6118"/>
  <c r="C37" i="6118"/>
  <c r="C41" i="6118"/>
  <c r="C45" i="6118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<sst xmlns="http://schemas.openxmlformats.org/spreadsheetml/2006/main" count="2357" uniqueCount="206">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</sst>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5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3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1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2.xml"/><Relationship Id="rId33" Type="http://schemas.openxmlformats.org/officeDocument/2006/relationships/chartsheet" Target="chartsheets/sheet10.xml"/><Relationship Id="rId38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6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.xml"/><Relationship Id="rId32" Type="http://schemas.openxmlformats.org/officeDocument/2006/relationships/chartsheet" Target="chartsheets/sheet9.xml"/><Relationship Id="rId37" Type="http://schemas.openxmlformats.org/officeDocument/2006/relationships/chartsheet" Target="chartsheets/sheet14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5.xml"/><Relationship Id="rId36" Type="http://schemas.openxmlformats.org/officeDocument/2006/relationships/chartsheet" Target="chartsheets/sheet1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4.xml"/><Relationship Id="rId30" Type="http://schemas.openxmlformats.org/officeDocument/2006/relationships/chartsheet" Target="chartsheets/sheet7.xml"/><Relationship Id="rId35" Type="http://schemas.openxmlformats.org/officeDocument/2006/relationships/chartsheet" Target="chartsheets/sheet12.xml"/><Relationship Id="rId43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全体!$L$2:$L$77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BE-4BF1-8580-09984FB4B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-13.888888888888889</c:v>
                </c:pt>
                <c:pt idx="1">
                  <c:v>0</c:v>
                </c:pt>
                <c:pt idx="2">
                  <c:v>13.333333333333334</c:v>
                </c:pt>
                <c:pt idx="3">
                  <c:v>-15.151515151515152</c:v>
                </c:pt>
                <c:pt idx="4">
                  <c:v>-66.666666666666671</c:v>
                </c:pt>
                <c:pt idx="5">
                  <c:v>102.56410256410257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42-4AB4-A2F5-04E2088B0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11</c:v>
                </c:pt>
                <c:pt idx="1">
                  <c:v>28</c:v>
                </c:pt>
                <c:pt idx="2">
                  <c:v>30</c:v>
                </c:pt>
                <c:pt idx="3">
                  <c:v>31</c:v>
                </c:pt>
                <c:pt idx="4">
                  <c:v>26</c:v>
                </c:pt>
                <c:pt idx="5">
                  <c:v>13</c:v>
                </c:pt>
                <c:pt idx="6">
                  <c:v>13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68-4B72-B0E0-6996C14F9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れんたろう!$L$2:$L$15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DF-423E-8F23-8A7013164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1050</c:v>
                </c:pt>
                <c:pt idx="1">
                  <c:v>1523.0769230769231</c:v>
                </c:pt>
                <c:pt idx="2">
                  <c:v>-2669.2307692307691</c:v>
                </c:pt>
                <c:pt idx="3">
                  <c:v>-7246.1538461538457</c:v>
                </c:pt>
                <c:pt idx="4">
                  <c:v>-666.66666666666663</c:v>
                </c:pt>
                <c:pt idx="5">
                  <c:v>9514.2857142857138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EB-469D-A747-AE89DD7BA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9</c:v>
                </c:pt>
                <c:pt idx="4">
                  <c:v>5</c:v>
                </c:pt>
                <c:pt idx="5">
                  <c:v>1</c:v>
                </c:pt>
                <c:pt idx="6">
                  <c:v>4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F2-493D-AC97-B4B96A291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90-41C8-B460-29D3F9B4C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4466.666666666667</c:v>
                </c:pt>
                <c:pt idx="1">
                  <c:v>-1750</c:v>
                </c:pt>
                <c:pt idx="2">
                  <c:v>-9100</c:v>
                </c:pt>
                <c:pt idx="3">
                  <c:v>-575</c:v>
                </c:pt>
                <c:pt idx="4">
                  <c:v>1375</c:v>
                </c:pt>
                <c:pt idx="5">
                  <c:v>-8366.6666666666661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02-4305-B55E-7AEB7CABA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33-4C42-BBF5-18F6AC999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だいち!$L$2:$L$20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7-4FD8-8F6B-AB9DA4577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1583.3333333333333</c:v>
                </c:pt>
                <c:pt idx="1">
                  <c:v>3933.3333333333335</c:v>
                </c:pt>
                <c:pt idx="2">
                  <c:v>3677.7777777777778</c:v>
                </c:pt>
                <c:pt idx="3">
                  <c:v>4623.5294117647063</c:v>
                </c:pt>
                <c:pt idx="4">
                  <c:v>-2773.3333333333335</c:v>
                </c:pt>
                <c:pt idx="5">
                  <c:v>-2466.6666666666665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2A-4ADF-9198-7FB2288FB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4</c:v>
                </c:pt>
                <c:pt idx="1">
                  <c:v>9</c:v>
                </c:pt>
                <c:pt idx="2">
                  <c:v>9</c:v>
                </c:pt>
                <c:pt idx="3">
                  <c:v>11</c:v>
                </c:pt>
                <c:pt idx="4">
                  <c:v>8</c:v>
                </c:pt>
                <c:pt idx="5">
                  <c:v>5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47-4928-A1D6-A8E5B65FD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F2-4472-99DD-CB6EA0F13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-5062.5</c:v>
                </c:pt>
                <c:pt idx="1">
                  <c:v>-2512.5</c:v>
                </c:pt>
                <c:pt idx="2">
                  <c:v>-8150</c:v>
                </c:pt>
                <c:pt idx="3">
                  <c:v>3433.3333333333335</c:v>
                </c:pt>
                <c:pt idx="4">
                  <c:v>133.33333333333334</c:v>
                </c:pt>
                <c:pt idx="5">
                  <c:v>-2125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06-431E-A8E5-B0DCE4684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01-4714-B0E1-8A170252D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まっつん!$L$2:$L$22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F2-4491-9742-69E67F81C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-52.631578947368418</c:v>
                </c:pt>
                <c:pt idx="1">
                  <c:v>-2395</c:v>
                </c:pt>
                <c:pt idx="2">
                  <c:v>-985</c:v>
                </c:pt>
                <c:pt idx="3">
                  <c:v>-2072.2222222222222</c:v>
                </c:pt>
                <c:pt idx="4">
                  <c:v>-481.25</c:v>
                </c:pt>
                <c:pt idx="5">
                  <c:v>-580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4-4E16-BF07-6B6561FE8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10</c:v>
                </c:pt>
                <c:pt idx="3">
                  <c:v>7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6-4C4D-9D82-51339600D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たかの!$L$2:$L$8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53-47C0-840C-84782FB27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-933.33333333333337</c:v>
                </c:pt>
                <c:pt idx="1">
                  <c:v>-1866.6666666666667</c:v>
                </c:pt>
                <c:pt idx="2">
                  <c:v>18150</c:v>
                </c:pt>
                <c:pt idx="3">
                  <c:v>1400</c:v>
                </c:pt>
                <c:pt idx="4">
                  <c:v>9333.3333333333339</c:v>
                </c:pt>
                <c:pt idx="5">
                  <c:v>533.33333333333337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42-4E79-8FF5-0E5C22F8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0</c:v>
                </c:pt>
                <c:pt idx="4">
                  <c:v>6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D6-4F00-97BE-381FF47C9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のり!$L$2:$L$5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33-4BC9-A809-F469290FF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-333.33333333333331</c:v>
                </c:pt>
                <c:pt idx="1">
                  <c:v>800</c:v>
                </c:pt>
                <c:pt idx="2">
                  <c:v>-8766.6666666666661</c:v>
                </c:pt>
                <c:pt idx="3">
                  <c:v>-3000</c:v>
                </c:pt>
                <c:pt idx="4">
                  <c:v>2000</c:v>
                </c:pt>
                <c:pt idx="5">
                  <c:v>-5500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5E-420E-9299-26F004C31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A-44DC-8401-52932AA8A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ただ!$L$2:$L$5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EC-4C2F-A70A-A1180E8D3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-2466.6666666666665</c:v>
                </c:pt>
                <c:pt idx="1">
                  <c:v>-2266.6666666666665</c:v>
                </c:pt>
                <c:pt idx="2">
                  <c:v>2733.3333333333335</c:v>
                </c:pt>
                <c:pt idx="3">
                  <c:v>10333.333333333334</c:v>
                </c:pt>
                <c:pt idx="4">
                  <c:v>5666.666666666667</c:v>
                </c:pt>
                <c:pt idx="5">
                  <c:v>1450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C2-40E4-81CE-ADD872758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67-4176-BC91-4692CB547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まっつん2!$A$3:$B$3</c:f>
              <c:numCache>
                <c:formatCode>\+0.0;\-0.0;\±0</c:formatCode>
                <c:ptCount val="2"/>
                <c:pt idx="0" formatCode="0\ &quot;回&quot;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まっつん2!$A$4:$B$4</c:f>
              <c:numCache>
                <c:formatCode>\+0.0;\-0.0;\±0</c:formatCode>
                <c:ptCount val="2"/>
                <c:pt idx="0" formatCode="0\ &quot;回&quot;">
                  <c:v>1</c:v>
                </c:pt>
                <c:pt idx="1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3-4D6C-B5E9-ED87F887247F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まっつん2!$A$5:$B$5</c:f>
              <c:numCache>
                <c:formatCode>\+0.0;\-0.0;\±0</c:formatCode>
                <c:ptCount val="2"/>
                <c:pt idx="0" formatCode="0\ &quot;回&quot;">
                  <c:v>2</c:v>
                </c:pt>
                <c:pt idx="1">
                  <c:v>-62.8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4C-49ED-9E3F-6453044A4D20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まっつん2!$A$6:$B$6</c:f>
              <c:numCache>
                <c:formatCode>\+0.0;\-0.0;\±0</c:formatCode>
                <c:ptCount val="2"/>
                <c:pt idx="0" formatCode="0\ &quot;回&quot;">
                  <c:v>3</c:v>
                </c:pt>
                <c:pt idx="1">
                  <c:v>-48.5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89-4F65-B760-C1296C22BF1F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まっつん2!$A$7:$B$7</c:f>
              <c:numCache>
                <c:formatCode>\+0.0;\-0.0;\±0</c:formatCode>
                <c:ptCount val="2"/>
                <c:pt idx="0" formatCode="0\ &quot;回&quot;">
                  <c:v>4</c:v>
                </c:pt>
                <c:pt idx="1">
                  <c:v>-75.599999999999994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E2-4A69-A5CE-DD69FF6FFA14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まっつん2!$A$8:$B$8</c:f>
              <c:numCache>
                <c:formatCode>\+0.0;\-0.0;\±0</c:formatCode>
                <c:ptCount val="2"/>
                <c:pt idx="0" formatCode="0\ &quot;回&quot;">
                  <c:v>5</c:v>
                </c:pt>
                <c:pt idx="1">
                  <c:v>-96.5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EE2-4A69-A5CE-DD69FF6FFA14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まっつん2!$A$9:$B$9</c:f>
              <c:numCache>
                <c:formatCode>\+0.0;\-0.0;\±0</c:formatCode>
                <c:ptCount val="2"/>
                <c:pt idx="0" formatCode="0\ &quot;回&quot;">
                  <c:v>6</c:v>
                </c:pt>
                <c:pt idx="1">
                  <c:v>-70.5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EE2-4A69-A5CE-DD69FF6FFA14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まっつん2!$A$10:$B$10</c:f>
              <c:numCache>
                <c:formatCode>\+0.0;\-0.0;\±0</c:formatCode>
                <c:ptCount val="2"/>
                <c:pt idx="0" formatCode="0\ &quot;回&quot;">
                  <c:v>7</c:v>
                </c:pt>
                <c:pt idx="1">
                  <c:v>-38.6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EE2-4A69-A5CE-DD69FF6FFA14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まっつん2!$A$11:$B$11</c:f>
              <c:numCache>
                <c:formatCode>\+0.0;\-0.0;\±0</c:formatCode>
                <c:ptCount val="2"/>
                <c:pt idx="0" formatCode="0\ &quot;回&quot;">
                  <c:v>8</c:v>
                </c:pt>
                <c:pt idx="1">
                  <c:v>-28.3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EE2-4A69-A5CE-DD69FF6FFA14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まっつん2!$A$12:$B$12</c:f>
              <c:numCache>
                <c:formatCode>\+0.0;\-0.0;\±0</c:formatCode>
                <c:ptCount val="2"/>
                <c:pt idx="0" formatCode="0\ &quot;回&quot;">
                  <c:v>9</c:v>
                </c:pt>
                <c:pt idx="1">
                  <c:v>-20.3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3EE2-4A69-A5CE-DD69FF6FFA14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まっつん2!$A$13:$B$13</c:f>
              <c:numCache>
                <c:formatCode>\+0.0;\-0.0;\±0</c:formatCode>
                <c:ptCount val="2"/>
                <c:pt idx="0" formatCode="0\ &quot;回&quot;">
                  <c:v>10</c:v>
                </c:pt>
                <c:pt idx="1">
                  <c:v>-14.9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EE2-4A69-A5CE-DD69FF6FFA14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まっつん2!$A$14:$B$14</c:f>
              <c:numCache>
                <c:formatCode>\+0.0;\-0.0;\±0</c:formatCode>
                <c:ptCount val="2"/>
                <c:pt idx="0" formatCode="0\ &quot;回&quot;">
                  <c:v>11</c:v>
                </c:pt>
                <c:pt idx="1">
                  <c:v>-46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3EE2-4A69-A5CE-DD69FF6FFA14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まっつん2!$A$15:$B$15</c:f>
              <c:numCache>
                <c:formatCode>\+0.0;\-0.0;\±0</c:formatCode>
                <c:ptCount val="2"/>
                <c:pt idx="0" formatCode="0\ &quot;回&quot;">
                  <c:v>12</c:v>
                </c:pt>
                <c:pt idx="1">
                  <c:v>-87.6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3EE2-4A69-A5CE-DD69FF6FFA14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まっつん2!$A$16:$B$16</c:f>
              <c:numCache>
                <c:formatCode>\+0.0;\-0.0;\±0</c:formatCode>
                <c:ptCount val="2"/>
                <c:pt idx="0" formatCode="0\ &quot;回&quot;">
                  <c:v>13</c:v>
                </c:pt>
                <c:pt idx="1">
                  <c:v>-125.89999999999999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3EE2-4A69-A5CE-DD69FF6FFA14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まっつん2!$A$17:$B$17</c:f>
              <c:numCache>
                <c:formatCode>\+0.0;\-0.0;\±0</c:formatCode>
                <c:ptCount val="2"/>
                <c:pt idx="0" formatCode="0\ &quot;回&quot;">
                  <c:v>14</c:v>
                </c:pt>
                <c:pt idx="1">
                  <c:v>-149.39999999999998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EE2-4A69-A5CE-DD69FF6FFA14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まっつん2!$A$18:$B$18</c:f>
              <c:numCache>
                <c:formatCode>\+0.0;\-0.0;\±0</c:formatCode>
                <c:ptCount val="2"/>
                <c:pt idx="0" formatCode="0\ &quot;回&quot;">
                  <c:v>15</c:v>
                </c:pt>
                <c:pt idx="1">
                  <c:v>-121.39999999999998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3EE2-4A69-A5CE-DD69FF6FFA14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まっつん2!$A$19:$B$19</c:f>
              <c:numCache>
                <c:formatCode>\+0.0;\-0.0;\±0</c:formatCode>
                <c:ptCount val="2"/>
                <c:pt idx="0" formatCode="0\ &quot;回&quot;">
                  <c:v>16</c:v>
                </c:pt>
                <c:pt idx="1">
                  <c:v>-141.29999999999998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3EE2-4A69-A5CE-DD69FF6FFA14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まっつん2!$A$20:$B$20</c:f>
              <c:numCache>
                <c:formatCode>\+0.0;\-0.0;\±0</c:formatCode>
                <c:ptCount val="2"/>
                <c:pt idx="0" formatCode="0\ &quot;回&quot;">
                  <c:v>17</c:v>
                </c:pt>
                <c:pt idx="1">
                  <c:v>-149.1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EE2-4A69-A5CE-DD69FF6FFA14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まっつん2!$A$21:$B$21</c:f>
              <c:numCache>
                <c:formatCode>\+0.0;\-0.0;\±0</c:formatCode>
                <c:ptCount val="2"/>
                <c:pt idx="0" formatCode="0\ &quot;回&quot;">
                  <c:v>18</c:v>
                </c:pt>
                <c:pt idx="1">
                  <c:v>-201.89999999999998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3EE2-4A69-A5CE-DD69FF6FFA14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まっつん2!$A$22:$B$22</c:f>
              <c:numCache>
                <c:formatCode>\+0.0;\-0.0;\±0</c:formatCode>
                <c:ptCount val="2"/>
                <c:pt idx="0" formatCode="0\ &quot;回&quot;">
                  <c:v>19</c:v>
                </c:pt>
                <c:pt idx="1">
                  <c:v>-152.39999999999998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3EE2-4A69-A5CE-DD69FF6FFA14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まっつん2!$A$23:$B$23</c:f>
              <c:numCache>
                <c:formatCode>\+0.0;\-0.0;\±0</c:formatCode>
                <c:ptCount val="2"/>
                <c:pt idx="0" formatCode="0\ &quot;回&quot;">
                  <c:v>20</c:v>
                </c:pt>
                <c:pt idx="1">
                  <c:v>-140.19999999999999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3EE2-4A69-A5CE-DD69FF6FF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まっつん2!$C$3:$C$23</c:f>
              <c:numCache>
                <c:formatCode>\+0.0;\-0.0;\±0</c:formatCode>
                <c:ptCount val="21"/>
                <c:pt idx="1">
                  <c:v>-0.5</c:v>
                </c:pt>
                <c:pt idx="2">
                  <c:v>-31.4</c:v>
                </c:pt>
                <c:pt idx="3">
                  <c:v>-16.166666666666668</c:v>
                </c:pt>
                <c:pt idx="4">
                  <c:v>-18.899999999999999</c:v>
                </c:pt>
                <c:pt idx="5">
                  <c:v>-19.3</c:v>
                </c:pt>
                <c:pt idx="6">
                  <c:v>-11.75</c:v>
                </c:pt>
                <c:pt idx="7">
                  <c:v>-5.5142857142857142</c:v>
                </c:pt>
                <c:pt idx="8">
                  <c:v>-3.5375000000000001</c:v>
                </c:pt>
                <c:pt idx="9">
                  <c:v>-2.2555555555555555</c:v>
                </c:pt>
                <c:pt idx="10">
                  <c:v>-1.49</c:v>
                </c:pt>
                <c:pt idx="11">
                  <c:v>-4.1818181818181817</c:v>
                </c:pt>
                <c:pt idx="12">
                  <c:v>-7.3</c:v>
                </c:pt>
                <c:pt idx="13">
                  <c:v>-9.684615384615384</c:v>
                </c:pt>
                <c:pt idx="14">
                  <c:v>-10.671428571428569</c:v>
                </c:pt>
                <c:pt idx="15">
                  <c:v>-8.0933333333333319</c:v>
                </c:pt>
                <c:pt idx="16">
                  <c:v>-8.8312499999999989</c:v>
                </c:pt>
                <c:pt idx="17">
                  <c:v>-8.7705882352941167</c:v>
                </c:pt>
                <c:pt idx="18">
                  <c:v>-11.216666666666665</c:v>
                </c:pt>
                <c:pt idx="19">
                  <c:v>-8.0210526315789465</c:v>
                </c:pt>
                <c:pt idx="20">
                  <c:v>-7.01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まっつん2!$D$3:$D$23</c:f>
              <c:numCache>
                <c:formatCode>0.00\ "位"</c:formatCode>
                <c:ptCount val="21"/>
                <c:pt idx="1">
                  <c:v>2</c:v>
                </c:pt>
                <c:pt idx="2">
                  <c:v>2.5</c:v>
                </c:pt>
                <c:pt idx="3">
                  <c:v>2</c:v>
                </c:pt>
                <c:pt idx="4">
                  <c:v>2.25</c:v>
                </c:pt>
                <c:pt idx="5">
                  <c:v>2.4</c:v>
                </c:pt>
                <c:pt idx="6">
                  <c:v>2.1666666666666665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2.0833333333333335</c:v>
                </c:pt>
                <c:pt idx="13">
                  <c:v>2.1538461538461537</c:v>
                </c:pt>
                <c:pt idx="14">
                  <c:v>2.1428571428571428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2.0526315789473686</c:v>
                </c:pt>
                <c:pt idx="20">
                  <c:v>2.0499999999999998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まっつん2!$E$3:$E$23</c:f>
              <c:numCache>
                <c:formatCode>0.0%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0.26315789473684209</c:v>
                </c:pt>
                <c:pt idx="20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まっつん2!$F$3:$F$23</c:f>
              <c:numCache>
                <c:formatCode>0.0%</c:formatCode>
                <c:ptCount val="21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0.33333333333333331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まっつん2!$G$3:$G$23</c:f>
              <c:numCache>
                <c:formatCode>0.0%</c:formatCode>
                <c:ptCount val="21"/>
                <c:pt idx="1">
                  <c:v>0.5</c:v>
                </c:pt>
                <c:pt idx="2">
                  <c:v>0.2</c:v>
                </c:pt>
                <c:pt idx="3">
                  <c:v>0.25</c:v>
                </c:pt>
                <c:pt idx="4">
                  <c:v>0.22727272727272727</c:v>
                </c:pt>
                <c:pt idx="5">
                  <c:v>0.20689655172413793</c:v>
                </c:pt>
                <c:pt idx="6">
                  <c:v>0.25</c:v>
                </c:pt>
                <c:pt idx="7">
                  <c:v>0.28888888888888886</c:v>
                </c:pt>
                <c:pt idx="8">
                  <c:v>0.2857142857142857</c:v>
                </c:pt>
                <c:pt idx="9">
                  <c:v>0.27692307692307694</c:v>
                </c:pt>
                <c:pt idx="10">
                  <c:v>0.30263157894736842</c:v>
                </c:pt>
                <c:pt idx="11">
                  <c:v>0.28915662650602408</c:v>
                </c:pt>
                <c:pt idx="12">
                  <c:v>0.26881720430107525</c:v>
                </c:pt>
                <c:pt idx="13">
                  <c:v>0.25252525252525254</c:v>
                </c:pt>
                <c:pt idx="14">
                  <c:v>0.24299065420560748</c:v>
                </c:pt>
                <c:pt idx="15">
                  <c:v>0.25663716814159293</c:v>
                </c:pt>
                <c:pt idx="16">
                  <c:v>0.24193548387096775</c:v>
                </c:pt>
                <c:pt idx="17">
                  <c:v>0.23846153846153847</c:v>
                </c:pt>
                <c:pt idx="18">
                  <c:v>0.22794117647058823</c:v>
                </c:pt>
                <c:pt idx="19">
                  <c:v>0.23943661971830985</c:v>
                </c:pt>
                <c:pt idx="20">
                  <c:v>0.23841059602649006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9930555555555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まっつん2!$H$3:$H$23</c:f>
              <c:numCache>
                <c:formatCode>0.0%</c:formatCode>
                <c:ptCount val="21"/>
                <c:pt idx="1">
                  <c:v>0</c:v>
                </c:pt>
                <c:pt idx="2">
                  <c:v>0.2</c:v>
                </c:pt>
                <c:pt idx="3">
                  <c:v>0.25</c:v>
                </c:pt>
                <c:pt idx="4">
                  <c:v>0.22727272727272727</c:v>
                </c:pt>
                <c:pt idx="5">
                  <c:v>0.20689655172413793</c:v>
                </c:pt>
                <c:pt idx="6">
                  <c:v>0.19444444444444445</c:v>
                </c:pt>
                <c:pt idx="7">
                  <c:v>0.15555555555555556</c:v>
                </c:pt>
                <c:pt idx="8">
                  <c:v>0.14285714285714285</c:v>
                </c:pt>
                <c:pt idx="9">
                  <c:v>0.12307692307692308</c:v>
                </c:pt>
                <c:pt idx="10">
                  <c:v>0.11842105263157894</c:v>
                </c:pt>
                <c:pt idx="11">
                  <c:v>0.10843373493975904</c:v>
                </c:pt>
                <c:pt idx="12">
                  <c:v>0.13978494623655913</c:v>
                </c:pt>
                <c:pt idx="13">
                  <c:v>0.15151515151515152</c:v>
                </c:pt>
                <c:pt idx="14">
                  <c:v>0.14953271028037382</c:v>
                </c:pt>
                <c:pt idx="15">
                  <c:v>0.1415929203539823</c:v>
                </c:pt>
                <c:pt idx="16">
                  <c:v>0.15322580645161291</c:v>
                </c:pt>
                <c:pt idx="17">
                  <c:v>0.14615384615384616</c:v>
                </c:pt>
                <c:pt idx="18">
                  <c:v>0.15441176470588236</c:v>
                </c:pt>
                <c:pt idx="19">
                  <c:v>0.14788732394366197</c:v>
                </c:pt>
                <c:pt idx="20">
                  <c:v>0.13907284768211919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8402777777777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まっつん2!$I$3:$I$23</c:f>
              <c:numCache>
                <c:formatCode>0</c:formatCode>
                <c:ptCount val="21"/>
                <c:pt idx="1">
                  <c:v>14000</c:v>
                </c:pt>
                <c:pt idx="2">
                  <c:v>14000</c:v>
                </c:pt>
                <c:pt idx="3">
                  <c:v>12000</c:v>
                </c:pt>
                <c:pt idx="4">
                  <c:v>10160</c:v>
                </c:pt>
                <c:pt idx="5">
                  <c:v>8900</c:v>
                </c:pt>
                <c:pt idx="6">
                  <c:v>8566.6666666666661</c:v>
                </c:pt>
                <c:pt idx="7">
                  <c:v>8769.2307692307695</c:v>
                </c:pt>
                <c:pt idx="8">
                  <c:v>9431.25</c:v>
                </c:pt>
                <c:pt idx="9">
                  <c:v>9316.6666666666661</c:v>
                </c:pt>
                <c:pt idx="10">
                  <c:v>8526.0869565217399</c:v>
                </c:pt>
                <c:pt idx="11">
                  <c:v>8225</c:v>
                </c:pt>
                <c:pt idx="12">
                  <c:v>7960</c:v>
                </c:pt>
                <c:pt idx="13">
                  <c:v>7960</c:v>
                </c:pt>
                <c:pt idx="14">
                  <c:v>7753.8461538461543</c:v>
                </c:pt>
                <c:pt idx="15">
                  <c:v>7813.7931034482763</c:v>
                </c:pt>
                <c:pt idx="16">
                  <c:v>7683.333333333333</c:v>
                </c:pt>
                <c:pt idx="17">
                  <c:v>7564.5161290322585</c:v>
                </c:pt>
                <c:pt idx="18">
                  <c:v>7564.5161290322585</c:v>
                </c:pt>
                <c:pt idx="19">
                  <c:v>7994.1176470588234</c:v>
                </c:pt>
                <c:pt idx="20">
                  <c:v>7994.4444444444443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027.54491017964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まっつん2!$J$3:$J$23</c:f>
              <c:numCache>
                <c:formatCode>0</c:formatCode>
                <c:ptCount val="21"/>
                <c:pt idx="1">
                  <c:v>0</c:v>
                </c:pt>
                <c:pt idx="2">
                  <c:v>-17950</c:v>
                </c:pt>
                <c:pt idx="3">
                  <c:v>-11775</c:v>
                </c:pt>
                <c:pt idx="4">
                  <c:v>-9940</c:v>
                </c:pt>
                <c:pt idx="5">
                  <c:v>-9150</c:v>
                </c:pt>
                <c:pt idx="6">
                  <c:v>-8585.7142857142862</c:v>
                </c:pt>
                <c:pt idx="7">
                  <c:v>-8585.7142857142862</c:v>
                </c:pt>
                <c:pt idx="8">
                  <c:v>-8475</c:v>
                </c:pt>
                <c:pt idx="9">
                  <c:v>-8475</c:v>
                </c:pt>
                <c:pt idx="10">
                  <c:v>-11088.888888888889</c:v>
                </c:pt>
                <c:pt idx="11">
                  <c:v>-11088.888888888889</c:v>
                </c:pt>
                <c:pt idx="12">
                  <c:v>-9323.0769230769238</c:v>
                </c:pt>
                <c:pt idx="13">
                  <c:v>-8700</c:v>
                </c:pt>
                <c:pt idx="14">
                  <c:v>-8881.25</c:v>
                </c:pt>
                <c:pt idx="15">
                  <c:v>-8881.25</c:v>
                </c:pt>
                <c:pt idx="16">
                  <c:v>-8157.894736842105</c:v>
                </c:pt>
                <c:pt idx="17">
                  <c:v>-8157.894736842105</c:v>
                </c:pt>
                <c:pt idx="18">
                  <c:v>-8300</c:v>
                </c:pt>
                <c:pt idx="19">
                  <c:v>-8300</c:v>
                </c:pt>
                <c:pt idx="20">
                  <c:v>-8300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52.57731958762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まっつん2!$K$3:$K$23</c:f>
              <c:numCache>
                <c:formatCode>0.0%</c:formatCode>
                <c:ptCount val="21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まっつん2!$L$3:$L$23</c:f>
              <c:numCache>
                <c:formatCode>0.0%</c:formatCode>
                <c:ptCount val="21"/>
                <c:pt idx="1">
                  <c:v>0.5</c:v>
                </c:pt>
                <c:pt idx="2">
                  <c:v>0.5</c:v>
                </c:pt>
                <c:pt idx="3">
                  <c:v>0.375</c:v>
                </c:pt>
                <c:pt idx="4">
                  <c:v>0.40909090909090912</c:v>
                </c:pt>
                <c:pt idx="5">
                  <c:v>0.34482758620689657</c:v>
                </c:pt>
                <c:pt idx="6">
                  <c:v>0.3888888888888889</c:v>
                </c:pt>
                <c:pt idx="7">
                  <c:v>0.35555555555555557</c:v>
                </c:pt>
                <c:pt idx="8">
                  <c:v>0.32142857142857145</c:v>
                </c:pt>
                <c:pt idx="9">
                  <c:v>0.30769230769230771</c:v>
                </c:pt>
                <c:pt idx="10">
                  <c:v>0.31578947368421051</c:v>
                </c:pt>
                <c:pt idx="11">
                  <c:v>0.3253012048192771</c:v>
                </c:pt>
                <c:pt idx="12">
                  <c:v>0.30107526881720431</c:v>
                </c:pt>
                <c:pt idx="13">
                  <c:v>0.30303030303030304</c:v>
                </c:pt>
                <c:pt idx="14">
                  <c:v>0.29906542056074764</c:v>
                </c:pt>
                <c:pt idx="15">
                  <c:v>0.29203539823008851</c:v>
                </c:pt>
                <c:pt idx="16">
                  <c:v>0.2661290322580645</c:v>
                </c:pt>
                <c:pt idx="17">
                  <c:v>0.26923076923076922</c:v>
                </c:pt>
                <c:pt idx="18">
                  <c:v>0.26470588235294118</c:v>
                </c:pt>
                <c:pt idx="19">
                  <c:v>0.26760563380281688</c:v>
                </c:pt>
                <c:pt idx="20">
                  <c:v>0.27152317880794702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9097222222222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まっつん2!$M$3:$M$23</c:f>
              <c:numCache>
                <c:formatCode>0.0%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4.5454545454545456E-2</c:v>
                </c:pt>
                <c:pt idx="5">
                  <c:v>3.4482758620689655E-2</c:v>
                </c:pt>
                <c:pt idx="6">
                  <c:v>2.7777777777777776E-2</c:v>
                </c:pt>
                <c:pt idx="7">
                  <c:v>8.8888888888888892E-2</c:v>
                </c:pt>
                <c:pt idx="8">
                  <c:v>0.14285714285714285</c:v>
                </c:pt>
                <c:pt idx="9">
                  <c:v>0.15384615384615385</c:v>
                </c:pt>
                <c:pt idx="10">
                  <c:v>0.17105263157894737</c:v>
                </c:pt>
                <c:pt idx="11">
                  <c:v>0.18072289156626506</c:v>
                </c:pt>
                <c:pt idx="12">
                  <c:v>0.19354838709677419</c:v>
                </c:pt>
                <c:pt idx="13">
                  <c:v>0.19191919191919191</c:v>
                </c:pt>
                <c:pt idx="14">
                  <c:v>0.18691588785046728</c:v>
                </c:pt>
                <c:pt idx="15">
                  <c:v>0.21238938053097345</c:v>
                </c:pt>
                <c:pt idx="16">
                  <c:v>0.22580645161290322</c:v>
                </c:pt>
                <c:pt idx="17">
                  <c:v>0.23076923076923078</c:v>
                </c:pt>
                <c:pt idx="18">
                  <c:v>0.22794117647058823</c:v>
                </c:pt>
                <c:pt idx="19">
                  <c:v>0.23239436619718309</c:v>
                </c:pt>
                <c:pt idx="20">
                  <c:v>0.23178807947019867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97916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まっつん2!$N$3:$N$23</c:f>
              <c:numCache>
                <c:formatCode>0.0%</c:formatCode>
                <c:ptCount val="21"/>
                <c:pt idx="1">
                  <c:v>1</c:v>
                </c:pt>
                <c:pt idx="2">
                  <c:v>0.4</c:v>
                </c:pt>
                <c:pt idx="3">
                  <c:v>0.5</c:v>
                </c:pt>
                <c:pt idx="4">
                  <c:v>0.44444444444444442</c:v>
                </c:pt>
                <c:pt idx="5">
                  <c:v>0.4</c:v>
                </c:pt>
                <c:pt idx="6">
                  <c:v>0.5</c:v>
                </c:pt>
                <c:pt idx="7">
                  <c:v>0.5625</c:v>
                </c:pt>
                <c:pt idx="8">
                  <c:v>0.55555555555555558</c:v>
                </c:pt>
                <c:pt idx="9">
                  <c:v>0.55000000000000004</c:v>
                </c:pt>
                <c:pt idx="10">
                  <c:v>0.54166666666666663</c:v>
                </c:pt>
                <c:pt idx="11">
                  <c:v>0.51851851851851849</c:v>
                </c:pt>
                <c:pt idx="12">
                  <c:v>0.5</c:v>
                </c:pt>
                <c:pt idx="13">
                  <c:v>0.46666666666666667</c:v>
                </c:pt>
                <c:pt idx="14">
                  <c:v>0.46875</c:v>
                </c:pt>
                <c:pt idx="15">
                  <c:v>0.48484848484848486</c:v>
                </c:pt>
                <c:pt idx="16">
                  <c:v>0.48484848484848486</c:v>
                </c:pt>
                <c:pt idx="17">
                  <c:v>0.48571428571428571</c:v>
                </c:pt>
                <c:pt idx="18">
                  <c:v>0.47222222222222221</c:v>
                </c:pt>
                <c:pt idx="19">
                  <c:v>0.5</c:v>
                </c:pt>
                <c:pt idx="20">
                  <c:v>0.48780487804878048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1612903225806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まっつん2!$O$3:$O$23</c:f>
              <c:numCache>
                <c:formatCode>0.0%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0.25</c:v>
                </c:pt>
                <c:pt idx="8">
                  <c:v>0.375</c:v>
                </c:pt>
                <c:pt idx="9">
                  <c:v>0.4</c:v>
                </c:pt>
                <c:pt idx="10">
                  <c:v>0.53846153846153844</c:v>
                </c:pt>
                <c:pt idx="11">
                  <c:v>0.46666666666666667</c:v>
                </c:pt>
                <c:pt idx="12">
                  <c:v>0.3888888888888889</c:v>
                </c:pt>
                <c:pt idx="13">
                  <c:v>0.36842105263157893</c:v>
                </c:pt>
                <c:pt idx="14">
                  <c:v>0.35</c:v>
                </c:pt>
                <c:pt idx="15">
                  <c:v>0.375</c:v>
                </c:pt>
                <c:pt idx="16">
                  <c:v>0.35714285714285715</c:v>
                </c:pt>
                <c:pt idx="17">
                  <c:v>0.33333333333333331</c:v>
                </c:pt>
                <c:pt idx="18">
                  <c:v>0.32258064516129031</c:v>
                </c:pt>
                <c:pt idx="19">
                  <c:v>0.33333333333333331</c:v>
                </c:pt>
                <c:pt idx="20">
                  <c:v>0.34285714285714286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3508771929824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まっつん2!$P$3:$P$23</c:f>
              <c:numCache>
                <c:formatCode>0.0%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0.3888888888888889</c:v>
                </c:pt>
                <c:pt idx="10">
                  <c:v>0.30434782608695654</c:v>
                </c:pt>
                <c:pt idx="11">
                  <c:v>0.29166666666666669</c:v>
                </c:pt>
                <c:pt idx="12">
                  <c:v>0.32</c:v>
                </c:pt>
                <c:pt idx="13">
                  <c:v>0.32</c:v>
                </c:pt>
                <c:pt idx="14">
                  <c:v>0.30769230769230771</c:v>
                </c:pt>
                <c:pt idx="15">
                  <c:v>0.31034482758620691</c:v>
                </c:pt>
                <c:pt idx="16">
                  <c:v>0.3</c:v>
                </c:pt>
                <c:pt idx="17">
                  <c:v>0.32258064516129031</c:v>
                </c:pt>
                <c:pt idx="18">
                  <c:v>0.32258064516129031</c:v>
                </c:pt>
                <c:pt idx="19">
                  <c:v>0.35294117647058826</c:v>
                </c:pt>
                <c:pt idx="20">
                  <c:v>0.3611111111111111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3173652694610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5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0" x14ac:dyDescent="0.45">
      <c r="A1" s="1">
        <v>32874</v>
      </c>
      <c r="B1" s="1">
        <v>2958465</v>
      </c>
    </row>
    <row r="2" spans="1:10" x14ac:dyDescent="0.45">
      <c r="A2" s="2" t="s">
        <v>190</v>
      </c>
      <c r="B2" s="3">
        <v>43926.037199074075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0" x14ac:dyDescent="0.45">
      <c r="A3" s="2" t="s">
        <v>199</v>
      </c>
      <c r="B3" s="3">
        <v>43926.858425925922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0" x14ac:dyDescent="0.45">
      <c r="A4" s="2" t="s">
        <v>203</v>
      </c>
      <c r="B4" s="3">
        <v>43927.722013888888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0" x14ac:dyDescent="0.45">
      <c r="A5" s="2" t="s">
        <v>204</v>
      </c>
      <c r="B5" s="3">
        <v>43928.886990740742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9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75</v>
      </c>
    </row>
    <row r="2" spans="1:2" x14ac:dyDescent="0.45">
      <c r="A2" t="s">
        <v>164</v>
      </c>
      <c r="B2">
        <v>13</v>
      </c>
    </row>
    <row r="3" spans="1:2" x14ac:dyDescent="0.45">
      <c r="A3" t="s">
        <v>189</v>
      </c>
      <c r="B3">
        <v>4</v>
      </c>
    </row>
    <row r="4" spans="1:2" x14ac:dyDescent="0.45">
      <c r="A4" t="s">
        <v>126</v>
      </c>
      <c r="B4">
        <v>18</v>
      </c>
    </row>
    <row r="5" spans="1:2" x14ac:dyDescent="0.45">
      <c r="A5" t="s">
        <v>194</v>
      </c>
      <c r="B5">
        <v>8</v>
      </c>
    </row>
    <row r="6" spans="1:2" x14ac:dyDescent="0.45">
      <c r="A6" t="s">
        <v>192</v>
      </c>
      <c r="B6">
        <v>20</v>
      </c>
    </row>
    <row r="7" spans="1:2" x14ac:dyDescent="0.45">
      <c r="A7" t="s">
        <v>193</v>
      </c>
      <c r="B7">
        <v>6</v>
      </c>
    </row>
    <row r="8" spans="1:2" x14ac:dyDescent="0.45">
      <c r="A8" t="s">
        <v>196</v>
      </c>
      <c r="B8">
        <v>3</v>
      </c>
    </row>
    <row r="9" spans="1:2" x14ac:dyDescent="0.45">
      <c r="A9" t="s">
        <v>205</v>
      </c>
      <c r="B9">
        <v>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/>
      <c r="C1" s="138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0</v>
      </c>
      <c r="C2" s="140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41">
        <v>0</v>
      </c>
      <c r="C3" s="142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43">
        <v>0</v>
      </c>
      <c r="C4" s="144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31">
        <f>IF(B$2=0,0,B$4/B$2)</f>
        <v>0</v>
      </c>
      <c r="C5" s="132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45">
        <f>IF(B$2=0,0,(B$7*1+B$8*2+B$9*3)/B$2)</f>
        <v>0</v>
      </c>
      <c r="C6" s="146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1">
        <f>AVERAGE(B10:B12)</f>
        <v>0</v>
      </c>
      <c r="C13" s="132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33">
        <v>0</v>
      </c>
      <c r="C32" s="134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35">
        <v>-1000000</v>
      </c>
      <c r="C33" s="136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1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/>
      <c r="B1" s="151" t="s">
        <v>9</v>
      </c>
      <c r="C1" s="152"/>
      <c r="D1" s="149" t="s">
        <v>6</v>
      </c>
      <c r="E1" s="150"/>
      <c r="F1" s="149" t="s">
        <v>7</v>
      </c>
      <c r="G1" s="150"/>
      <c r="H1" s="151" t="s">
        <v>188</v>
      </c>
      <c r="I1" s="152"/>
      <c r="J1" s="149" t="s">
        <v>15</v>
      </c>
      <c r="K1" s="150"/>
      <c r="L1" s="149" t="s">
        <v>14</v>
      </c>
      <c r="M1" s="150"/>
      <c r="N1" s="149" t="s">
        <v>150</v>
      </c>
      <c r="O1" s="150"/>
      <c r="P1" s="149" t="s">
        <v>143</v>
      </c>
      <c r="Q1" s="150"/>
      <c r="R1" s="149" t="s">
        <v>144</v>
      </c>
      <c r="S1" s="150"/>
      <c r="T1" s="149" t="s">
        <v>5</v>
      </c>
      <c r="U1" s="150"/>
      <c r="V1" s="149" t="s">
        <v>16</v>
      </c>
      <c r="W1" s="150"/>
      <c r="X1" s="149" t="s">
        <v>17</v>
      </c>
      <c r="Y1" s="150"/>
      <c r="Z1" s="149" t="s">
        <v>122</v>
      </c>
      <c r="AA1" s="150"/>
      <c r="AB1" s="149" t="s">
        <v>119</v>
      </c>
      <c r="AC1" s="150"/>
      <c r="AD1" s="149" t="s">
        <v>125</v>
      </c>
      <c r="AE1" s="150"/>
      <c r="AF1" s="149" t="s">
        <v>145</v>
      </c>
      <c r="AG1" s="150"/>
      <c r="AH1" s="149" t="s">
        <v>138</v>
      </c>
      <c r="AI1" s="150"/>
      <c r="AJ1" s="149" t="s">
        <v>181</v>
      </c>
      <c r="AK1" s="150"/>
    </row>
    <row r="2" spans="1:37" x14ac:dyDescent="0.45">
      <c r="A2" s="38" t="s">
        <v>149</v>
      </c>
      <c r="B2" s="147">
        <v>-4.1904087109046499E-3</v>
      </c>
      <c r="C2" s="148"/>
      <c r="D2" s="153"/>
      <c r="E2" s="154"/>
      <c r="F2" s="153"/>
      <c r="G2" s="154"/>
      <c r="H2" s="147">
        <v>0.9996522521512613</v>
      </c>
      <c r="I2" s="148"/>
      <c r="J2" s="147">
        <v>0.99452352728628979</v>
      </c>
      <c r="K2" s="148"/>
      <c r="L2" s="147">
        <v>0.94884876983619038</v>
      </c>
      <c r="M2" s="148"/>
      <c r="N2" s="147">
        <v>0.70052903141636702</v>
      </c>
      <c r="O2" s="148"/>
      <c r="P2" s="147">
        <v>0.97930698265974747</v>
      </c>
      <c r="Q2" s="148"/>
      <c r="R2" s="147">
        <v>0.3102080448091673</v>
      </c>
      <c r="S2" s="148"/>
      <c r="T2" s="147">
        <v>0.10586703006968985</v>
      </c>
      <c r="U2" s="148"/>
      <c r="V2" s="147">
        <v>-0.75272896138634016</v>
      </c>
      <c r="W2" s="148"/>
      <c r="X2" s="147">
        <v>0.99969830367392665</v>
      </c>
      <c r="Y2" s="148"/>
      <c r="Z2" s="147">
        <v>-0.75264496043807361</v>
      </c>
      <c r="AA2" s="148"/>
      <c r="AB2" s="147">
        <v>-0.36383280788721223</v>
      </c>
      <c r="AC2" s="148"/>
      <c r="AD2" s="147">
        <v>0.95922824422080355</v>
      </c>
      <c r="AE2" s="148"/>
      <c r="AF2" s="147">
        <v>0.96154151008163335</v>
      </c>
      <c r="AG2" s="148"/>
      <c r="AH2" s="147">
        <v>0.82973026079599332</v>
      </c>
      <c r="AI2" s="148"/>
      <c r="AJ2" s="147">
        <v>0.91640865165433605</v>
      </c>
      <c r="AK2" s="148"/>
    </row>
    <row r="3" spans="1:37" x14ac:dyDescent="0.45">
      <c r="A3" s="40">
        <v>1</v>
      </c>
      <c r="B3" s="43" t="s">
        <v>139</v>
      </c>
      <c r="C3" s="117">
        <v>25</v>
      </c>
      <c r="D3" s="41" t="s">
        <v>126</v>
      </c>
      <c r="E3" s="42">
        <v>280</v>
      </c>
      <c r="F3" s="43" t="s">
        <v>193</v>
      </c>
      <c r="G3" s="62">
        <v>27.883333333333336</v>
      </c>
      <c r="H3" s="43" t="s">
        <v>205</v>
      </c>
      <c r="I3" s="62">
        <v>12.850000000000001</v>
      </c>
      <c r="J3" s="43" t="s">
        <v>193</v>
      </c>
      <c r="K3" s="44">
        <v>1.3333333333333333</v>
      </c>
      <c r="L3" s="43" t="s">
        <v>193</v>
      </c>
      <c r="M3" s="45">
        <v>0.83333333333333337</v>
      </c>
      <c r="N3" s="43" t="s">
        <v>193</v>
      </c>
      <c r="O3" s="45">
        <v>0.16666666666666666</v>
      </c>
      <c r="P3" s="43" t="s">
        <v>205</v>
      </c>
      <c r="Q3" s="46">
        <v>0.4</v>
      </c>
      <c r="R3" s="43" t="s">
        <v>196</v>
      </c>
      <c r="S3" s="46">
        <v>0.05</v>
      </c>
      <c r="T3" s="43" t="s">
        <v>164</v>
      </c>
      <c r="U3" s="47">
        <v>11434.615384615385</v>
      </c>
      <c r="V3" s="43" t="s">
        <v>196</v>
      </c>
      <c r="W3" s="47">
        <v>-3900</v>
      </c>
      <c r="X3" s="43" t="s">
        <v>126</v>
      </c>
      <c r="Y3" s="45">
        <v>0</v>
      </c>
      <c r="Z3" s="43" t="s">
        <v>194</v>
      </c>
      <c r="AA3" s="46">
        <v>0.34615384615384615</v>
      </c>
      <c r="AB3" s="43" t="s">
        <v>193</v>
      </c>
      <c r="AC3" s="46">
        <v>0.36956521739130432</v>
      </c>
      <c r="AD3" s="43" t="s">
        <v>196</v>
      </c>
      <c r="AE3" s="46">
        <v>0.75</v>
      </c>
      <c r="AF3" s="43" t="s">
        <v>126</v>
      </c>
      <c r="AG3" s="46">
        <v>0.6</v>
      </c>
      <c r="AH3" s="43" t="s">
        <v>189</v>
      </c>
      <c r="AI3" s="46">
        <v>0.625</v>
      </c>
      <c r="AJ3" s="43" t="s">
        <v>139</v>
      </c>
      <c r="AK3" s="57">
        <v>106500</v>
      </c>
    </row>
    <row r="4" spans="1:37" x14ac:dyDescent="0.45">
      <c r="A4" s="48">
        <v>2</v>
      </c>
      <c r="B4" s="51" t="s">
        <v>192</v>
      </c>
      <c r="C4" s="118">
        <v>20</v>
      </c>
      <c r="D4" s="49" t="s">
        <v>193</v>
      </c>
      <c r="E4" s="50">
        <v>167.3</v>
      </c>
      <c r="F4" s="51" t="s">
        <v>126</v>
      </c>
      <c r="G4" s="63">
        <v>15.555555555555555</v>
      </c>
      <c r="H4" s="51" t="s">
        <v>126</v>
      </c>
      <c r="I4" s="63">
        <v>4.1020370370370358</v>
      </c>
      <c r="J4" s="51" t="s">
        <v>126</v>
      </c>
      <c r="K4" s="52">
        <v>1.7222222222222223</v>
      </c>
      <c r="L4" s="51" t="s">
        <v>126</v>
      </c>
      <c r="M4" s="53">
        <v>0.5</v>
      </c>
      <c r="N4" s="51" t="s">
        <v>126</v>
      </c>
      <c r="O4" s="53">
        <v>0.22222222222222221</v>
      </c>
      <c r="P4" s="51" t="s">
        <v>193</v>
      </c>
      <c r="Q4" s="54">
        <v>0.39130434782608697</v>
      </c>
      <c r="R4" s="51" t="s">
        <v>193</v>
      </c>
      <c r="S4" s="54">
        <v>0.10869565217391304</v>
      </c>
      <c r="T4" s="51" t="s">
        <v>193</v>
      </c>
      <c r="U4" s="55">
        <v>10283.333333333334</v>
      </c>
      <c r="V4" s="51" t="s">
        <v>193</v>
      </c>
      <c r="W4" s="55">
        <v>-4980</v>
      </c>
      <c r="X4" s="51" t="s">
        <v>189</v>
      </c>
      <c r="Y4" s="53">
        <v>0</v>
      </c>
      <c r="Z4" s="51" t="s">
        <v>189</v>
      </c>
      <c r="AA4" s="54">
        <v>0.29411764705882354</v>
      </c>
      <c r="AB4" s="51" t="s">
        <v>192</v>
      </c>
      <c r="AC4" s="54">
        <v>0.23178807947019867</v>
      </c>
      <c r="AD4" s="51" t="s">
        <v>193</v>
      </c>
      <c r="AE4" s="54">
        <v>0.63636363636363635</v>
      </c>
      <c r="AF4" s="51" t="s">
        <v>189</v>
      </c>
      <c r="AG4" s="54">
        <v>0.5</v>
      </c>
      <c r="AH4" s="51" t="s">
        <v>193</v>
      </c>
      <c r="AI4" s="54">
        <v>0.5</v>
      </c>
      <c r="AJ4" s="51" t="s">
        <v>193</v>
      </c>
      <c r="AK4" s="58">
        <v>106500</v>
      </c>
    </row>
    <row r="5" spans="1:37" x14ac:dyDescent="0.45">
      <c r="A5" s="48">
        <v>3</v>
      </c>
      <c r="B5" s="51" t="s">
        <v>126</v>
      </c>
      <c r="C5" s="118">
        <v>18</v>
      </c>
      <c r="D5" s="49" t="s">
        <v>205</v>
      </c>
      <c r="E5" s="50">
        <v>8.9000000000000057</v>
      </c>
      <c r="F5" s="51" t="s">
        <v>205</v>
      </c>
      <c r="G5" s="63">
        <v>2.9666666666666686</v>
      </c>
      <c r="H5" s="51" t="s">
        <v>139</v>
      </c>
      <c r="I5" s="63">
        <v>0</v>
      </c>
      <c r="J5" s="51" t="s">
        <v>164</v>
      </c>
      <c r="K5" s="52">
        <v>2</v>
      </c>
      <c r="L5" s="51" t="s">
        <v>164</v>
      </c>
      <c r="M5" s="53">
        <v>0.38461538461538464</v>
      </c>
      <c r="N5" s="51" t="s">
        <v>192</v>
      </c>
      <c r="O5" s="53">
        <v>0.3</v>
      </c>
      <c r="P5" s="51" t="s">
        <v>126</v>
      </c>
      <c r="Q5" s="54">
        <v>0.38028169014084506</v>
      </c>
      <c r="R5" s="51" t="s">
        <v>126</v>
      </c>
      <c r="S5" s="54">
        <v>0.13380281690140844</v>
      </c>
      <c r="T5" s="51" t="s">
        <v>126</v>
      </c>
      <c r="U5" s="55">
        <v>9292.5925925925931</v>
      </c>
      <c r="V5" s="51" t="s">
        <v>189</v>
      </c>
      <c r="W5" s="55">
        <v>-6763.636363636364</v>
      </c>
      <c r="X5" s="51" t="s">
        <v>196</v>
      </c>
      <c r="Y5" s="53">
        <v>0</v>
      </c>
      <c r="Z5" s="51" t="s">
        <v>164</v>
      </c>
      <c r="AA5" s="54">
        <v>0.29245283018867924</v>
      </c>
      <c r="AB5" s="51" t="s">
        <v>126</v>
      </c>
      <c r="AC5" s="54">
        <v>0.21126760563380281</v>
      </c>
      <c r="AD5" s="51" t="s">
        <v>205</v>
      </c>
      <c r="AE5" s="54">
        <v>0.6</v>
      </c>
      <c r="AF5" s="51" t="s">
        <v>139</v>
      </c>
      <c r="AG5" s="54">
        <v>0.40350877192982454</v>
      </c>
      <c r="AH5" s="51" t="s">
        <v>126</v>
      </c>
      <c r="AI5" s="54">
        <v>0.46296296296296297</v>
      </c>
      <c r="AJ5" s="51" t="s">
        <v>126</v>
      </c>
      <c r="AK5" s="58">
        <v>102700</v>
      </c>
    </row>
    <row r="6" spans="1:37" x14ac:dyDescent="0.45">
      <c r="A6" s="48">
        <v>4</v>
      </c>
      <c r="B6" s="51" t="s">
        <v>164</v>
      </c>
      <c r="C6" s="118">
        <v>13</v>
      </c>
      <c r="D6" s="49" t="s">
        <v>139</v>
      </c>
      <c r="E6" s="50">
        <v>0</v>
      </c>
      <c r="F6" s="51" t="s">
        <v>139</v>
      </c>
      <c r="G6" s="63">
        <v>0</v>
      </c>
      <c r="H6" s="51" t="s">
        <v>193</v>
      </c>
      <c r="I6" s="63">
        <v>-1.2733333333333334</v>
      </c>
      <c r="J6" s="51" t="s">
        <v>139</v>
      </c>
      <c r="K6" s="52">
        <v>2</v>
      </c>
      <c r="L6" s="51" t="s">
        <v>139</v>
      </c>
      <c r="M6" s="53">
        <v>0.33333333333333331</v>
      </c>
      <c r="N6" s="51" t="s">
        <v>139</v>
      </c>
      <c r="O6" s="53">
        <v>0.33333333333333331</v>
      </c>
      <c r="P6" s="51" t="s">
        <v>139</v>
      </c>
      <c r="Q6" s="54">
        <v>0.28993055555555558</v>
      </c>
      <c r="R6" s="51" t="s">
        <v>192</v>
      </c>
      <c r="S6" s="54">
        <v>0.13907284768211919</v>
      </c>
      <c r="T6" s="51" t="s">
        <v>189</v>
      </c>
      <c r="U6" s="55">
        <v>9262.5</v>
      </c>
      <c r="V6" s="51" t="s">
        <v>164</v>
      </c>
      <c r="W6" s="55">
        <v>-7077.7777777777774</v>
      </c>
      <c r="X6" s="51" t="s">
        <v>205</v>
      </c>
      <c r="Y6" s="53">
        <v>0</v>
      </c>
      <c r="Z6" s="51" t="s">
        <v>192</v>
      </c>
      <c r="AA6" s="54">
        <v>0.27152317880794702</v>
      </c>
      <c r="AB6" s="51" t="s">
        <v>164</v>
      </c>
      <c r="AC6" s="54">
        <v>0.19811320754716982</v>
      </c>
      <c r="AD6" s="51" t="s">
        <v>126</v>
      </c>
      <c r="AE6" s="54">
        <v>0.5714285714285714</v>
      </c>
      <c r="AF6" s="51" t="s">
        <v>193</v>
      </c>
      <c r="AG6" s="54">
        <v>0.35294117647058826</v>
      </c>
      <c r="AH6" s="51" t="s">
        <v>139</v>
      </c>
      <c r="AI6" s="54">
        <v>0.41317365269461076</v>
      </c>
      <c r="AJ6" s="51" t="s">
        <v>205</v>
      </c>
      <c r="AK6" s="58">
        <v>93200</v>
      </c>
    </row>
    <row r="7" spans="1:37" x14ac:dyDescent="0.45">
      <c r="A7" s="48">
        <v>5</v>
      </c>
      <c r="B7" s="51" t="s">
        <v>194</v>
      </c>
      <c r="C7" s="118">
        <v>8</v>
      </c>
      <c r="D7" s="49" t="s">
        <v>164</v>
      </c>
      <c r="E7" s="50">
        <v>-33.5</v>
      </c>
      <c r="F7" s="51" t="s">
        <v>164</v>
      </c>
      <c r="G7" s="63">
        <v>-2.5769230769230771</v>
      </c>
      <c r="H7" s="51" t="s">
        <v>164</v>
      </c>
      <c r="I7" s="63">
        <v>-3.1133333333333346</v>
      </c>
      <c r="J7" s="51" t="s">
        <v>192</v>
      </c>
      <c r="K7" s="52">
        <v>2.0499999999999998</v>
      </c>
      <c r="L7" s="51" t="s">
        <v>205</v>
      </c>
      <c r="M7" s="53">
        <v>0.33333333333333331</v>
      </c>
      <c r="N7" s="51" t="s">
        <v>196</v>
      </c>
      <c r="O7" s="53">
        <v>0.33333333333333331</v>
      </c>
      <c r="P7" s="51" t="s">
        <v>164</v>
      </c>
      <c r="Q7" s="54">
        <v>0.24528301886792453</v>
      </c>
      <c r="R7" s="51" t="s">
        <v>194</v>
      </c>
      <c r="S7" s="54">
        <v>0.15384615384615385</v>
      </c>
      <c r="T7" s="51" t="s">
        <v>139</v>
      </c>
      <c r="U7" s="55">
        <v>9027.5449101796403</v>
      </c>
      <c r="V7" s="51" t="s">
        <v>139</v>
      </c>
      <c r="W7" s="55">
        <v>-7952.5773195876291</v>
      </c>
      <c r="X7" s="51" t="s">
        <v>164</v>
      </c>
      <c r="Y7" s="53">
        <v>7.6923076923076927E-2</v>
      </c>
      <c r="Z7" s="51" t="s">
        <v>139</v>
      </c>
      <c r="AA7" s="54">
        <v>0.26909722222222221</v>
      </c>
      <c r="AB7" s="51" t="s">
        <v>139</v>
      </c>
      <c r="AC7" s="54">
        <v>0.19791666666666666</v>
      </c>
      <c r="AD7" s="51" t="s">
        <v>139</v>
      </c>
      <c r="AE7" s="54">
        <v>0.5161290322580645</v>
      </c>
      <c r="AF7" s="51" t="s">
        <v>192</v>
      </c>
      <c r="AG7" s="54">
        <v>0.34285714285714286</v>
      </c>
      <c r="AH7" s="51" t="s">
        <v>205</v>
      </c>
      <c r="AI7" s="54">
        <v>0.4</v>
      </c>
      <c r="AJ7" s="51" t="s">
        <v>192</v>
      </c>
      <c r="AK7" s="58">
        <v>74500</v>
      </c>
    </row>
    <row r="8" spans="1:37" x14ac:dyDescent="0.45">
      <c r="A8" s="48">
        <v>6</v>
      </c>
      <c r="B8" s="51" t="s">
        <v>193</v>
      </c>
      <c r="C8" s="118">
        <v>6</v>
      </c>
      <c r="D8" s="49" t="s">
        <v>196</v>
      </c>
      <c r="E8" s="50">
        <v>-41.400000000000006</v>
      </c>
      <c r="F8" s="51" t="s">
        <v>192</v>
      </c>
      <c r="G8" s="63">
        <v>-7.01</v>
      </c>
      <c r="H8" s="51" t="s">
        <v>192</v>
      </c>
      <c r="I8" s="63">
        <v>-5.257037037037037</v>
      </c>
      <c r="J8" s="51" t="s">
        <v>196</v>
      </c>
      <c r="K8" s="52">
        <v>2.3333333333333335</v>
      </c>
      <c r="L8" s="51" t="s">
        <v>192</v>
      </c>
      <c r="M8" s="53">
        <v>0.25</v>
      </c>
      <c r="N8" s="51" t="s">
        <v>164</v>
      </c>
      <c r="O8" s="53">
        <v>0.38461538461538464</v>
      </c>
      <c r="P8" s="51" t="s">
        <v>192</v>
      </c>
      <c r="Q8" s="54">
        <v>0.23841059602649006</v>
      </c>
      <c r="R8" s="51" t="s">
        <v>139</v>
      </c>
      <c r="S8" s="54">
        <v>0.16840277777777779</v>
      </c>
      <c r="T8" s="51" t="s">
        <v>192</v>
      </c>
      <c r="U8" s="55">
        <v>7994.4444444444443</v>
      </c>
      <c r="V8" s="51" t="s">
        <v>192</v>
      </c>
      <c r="W8" s="55">
        <v>-8300</v>
      </c>
      <c r="X8" s="51" t="s">
        <v>139</v>
      </c>
      <c r="Y8" s="53">
        <v>0.08</v>
      </c>
      <c r="Z8" s="51" t="s">
        <v>126</v>
      </c>
      <c r="AA8" s="54">
        <v>0.24647887323943662</v>
      </c>
      <c r="AB8" s="51" t="s">
        <v>205</v>
      </c>
      <c r="AC8" s="54">
        <v>0.16</v>
      </c>
      <c r="AD8" s="51" t="s">
        <v>189</v>
      </c>
      <c r="AE8" s="54">
        <v>0.5</v>
      </c>
      <c r="AF8" s="51" t="s">
        <v>164</v>
      </c>
      <c r="AG8" s="54">
        <v>0.33333333333333331</v>
      </c>
      <c r="AH8" s="51" t="s">
        <v>194</v>
      </c>
      <c r="AI8" s="54">
        <v>0.36363636363636365</v>
      </c>
      <c r="AJ8" s="51" t="s">
        <v>164</v>
      </c>
      <c r="AK8" s="58">
        <v>68500</v>
      </c>
    </row>
    <row r="9" spans="1:37" x14ac:dyDescent="0.45">
      <c r="A9" s="48">
        <v>7</v>
      </c>
      <c r="B9" s="51" t="s">
        <v>189</v>
      </c>
      <c r="C9" s="118">
        <v>4</v>
      </c>
      <c r="D9" s="49" t="s">
        <v>189</v>
      </c>
      <c r="E9" s="50">
        <v>-83.899999999999991</v>
      </c>
      <c r="F9" s="51" t="s">
        <v>196</v>
      </c>
      <c r="G9" s="63">
        <v>-13.800000000000002</v>
      </c>
      <c r="H9" s="51" t="s">
        <v>196</v>
      </c>
      <c r="I9" s="63">
        <v>-9.0333333333333332</v>
      </c>
      <c r="J9" s="51" t="s">
        <v>205</v>
      </c>
      <c r="K9" s="52">
        <v>2.3333333333333335</v>
      </c>
      <c r="L9" s="51" t="s">
        <v>189</v>
      </c>
      <c r="M9" s="53">
        <v>0</v>
      </c>
      <c r="N9" s="51" t="s">
        <v>189</v>
      </c>
      <c r="O9" s="53">
        <v>0.5</v>
      </c>
      <c r="P9" s="51" t="s">
        <v>189</v>
      </c>
      <c r="Q9" s="54">
        <v>0.23529411764705882</v>
      </c>
      <c r="R9" s="51" t="s">
        <v>205</v>
      </c>
      <c r="S9" s="54">
        <v>0.2</v>
      </c>
      <c r="T9" s="51" t="s">
        <v>205</v>
      </c>
      <c r="U9" s="55">
        <v>7870</v>
      </c>
      <c r="V9" s="51" t="s">
        <v>205</v>
      </c>
      <c r="W9" s="55">
        <v>-8760</v>
      </c>
      <c r="X9" s="51" t="s">
        <v>192</v>
      </c>
      <c r="Y9" s="53">
        <v>0.1</v>
      </c>
      <c r="Z9" s="51" t="s">
        <v>193</v>
      </c>
      <c r="AA9" s="54">
        <v>0.2391304347826087</v>
      </c>
      <c r="AB9" s="51" t="s">
        <v>194</v>
      </c>
      <c r="AC9" s="54">
        <v>7.6923076923076927E-2</v>
      </c>
      <c r="AD9" s="51" t="s">
        <v>192</v>
      </c>
      <c r="AE9" s="54">
        <v>0.48780487804878048</v>
      </c>
      <c r="AF9" s="51" t="s">
        <v>194</v>
      </c>
      <c r="AG9" s="54">
        <v>0.25</v>
      </c>
      <c r="AH9" s="51" t="s">
        <v>192</v>
      </c>
      <c r="AI9" s="54">
        <v>0.3611111111111111</v>
      </c>
      <c r="AJ9" s="51" t="s">
        <v>194</v>
      </c>
      <c r="AK9" s="58">
        <v>46300</v>
      </c>
    </row>
    <row r="10" spans="1:37" x14ac:dyDescent="0.45">
      <c r="A10" s="48">
        <v>8</v>
      </c>
      <c r="B10" s="51" t="s">
        <v>196</v>
      </c>
      <c r="C10" s="118">
        <v>3</v>
      </c>
      <c r="D10" s="49" t="s">
        <v>192</v>
      </c>
      <c r="E10" s="50">
        <v>-140.19999999999999</v>
      </c>
      <c r="F10" s="51" t="s">
        <v>194</v>
      </c>
      <c r="G10" s="63">
        <v>-19.649999999999999</v>
      </c>
      <c r="H10" s="51" t="s">
        <v>194</v>
      </c>
      <c r="I10" s="63">
        <v>-13.1</v>
      </c>
      <c r="J10" s="51" t="s">
        <v>189</v>
      </c>
      <c r="K10" s="52">
        <v>2.5</v>
      </c>
      <c r="L10" s="51" t="s">
        <v>194</v>
      </c>
      <c r="M10" s="53">
        <v>0</v>
      </c>
      <c r="N10" s="51" t="s">
        <v>194</v>
      </c>
      <c r="O10" s="53">
        <v>0.5</v>
      </c>
      <c r="P10" s="51" t="s">
        <v>194</v>
      </c>
      <c r="Q10" s="54">
        <v>0.21153846153846154</v>
      </c>
      <c r="R10" s="51" t="s">
        <v>164</v>
      </c>
      <c r="S10" s="54">
        <v>0.25471698113207547</v>
      </c>
      <c r="T10" s="51" t="s">
        <v>194</v>
      </c>
      <c r="U10" s="55">
        <v>5672.727272727273</v>
      </c>
      <c r="V10" s="51" t="s">
        <v>194</v>
      </c>
      <c r="W10" s="55">
        <v>-9187.5</v>
      </c>
      <c r="X10" s="51" t="s">
        <v>193</v>
      </c>
      <c r="Y10" s="53">
        <v>0.16666666666666666</v>
      </c>
      <c r="Z10" s="51" t="s">
        <v>196</v>
      </c>
      <c r="AA10" s="54">
        <v>0.2</v>
      </c>
      <c r="AB10" s="51" t="s">
        <v>189</v>
      </c>
      <c r="AC10" s="54">
        <v>5.8823529411764705E-2</v>
      </c>
      <c r="AD10" s="51" t="s">
        <v>164</v>
      </c>
      <c r="AE10" s="54">
        <v>0.4838709677419355</v>
      </c>
      <c r="AF10" s="51" t="s">
        <v>205</v>
      </c>
      <c r="AG10" s="54">
        <v>0.25</v>
      </c>
      <c r="AH10" s="51" t="s">
        <v>164</v>
      </c>
      <c r="AI10" s="54">
        <v>0.30769230769230771</v>
      </c>
      <c r="AJ10" s="51" t="s">
        <v>189</v>
      </c>
      <c r="AK10" s="58">
        <v>41400</v>
      </c>
    </row>
    <row r="11" spans="1:37" x14ac:dyDescent="0.45">
      <c r="A11" s="48">
        <v>9</v>
      </c>
      <c r="B11" s="51" t="s">
        <v>205</v>
      </c>
      <c r="C11" s="118">
        <v>3</v>
      </c>
      <c r="D11" s="49" t="s">
        <v>194</v>
      </c>
      <c r="E11" s="50">
        <v>-157.19999999999999</v>
      </c>
      <c r="F11" s="51" t="s">
        <v>189</v>
      </c>
      <c r="G11" s="63">
        <v>-20.974999999999998</v>
      </c>
      <c r="H11" s="51" t="s">
        <v>189</v>
      </c>
      <c r="I11" s="63">
        <v>-13.983333333333334</v>
      </c>
      <c r="J11" s="51" t="s">
        <v>194</v>
      </c>
      <c r="K11" s="52">
        <v>2.5</v>
      </c>
      <c r="L11" s="51" t="s">
        <v>196</v>
      </c>
      <c r="M11" s="53">
        <v>0</v>
      </c>
      <c r="N11" s="51" t="s">
        <v>205</v>
      </c>
      <c r="O11" s="53">
        <v>0.66666666666666663</v>
      </c>
      <c r="P11" s="51" t="s">
        <v>196</v>
      </c>
      <c r="Q11" s="54">
        <v>0.2</v>
      </c>
      <c r="R11" s="51" t="s">
        <v>189</v>
      </c>
      <c r="S11" s="54">
        <v>0.3235294117647059</v>
      </c>
      <c r="T11" s="51" t="s">
        <v>196</v>
      </c>
      <c r="U11" s="55">
        <v>5100</v>
      </c>
      <c r="V11" s="51" t="s">
        <v>126</v>
      </c>
      <c r="W11" s="55">
        <v>-9763.1578947368416</v>
      </c>
      <c r="X11" s="51" t="s">
        <v>194</v>
      </c>
      <c r="Y11" s="53">
        <v>0.25</v>
      </c>
      <c r="Z11" s="51" t="s">
        <v>205</v>
      </c>
      <c r="AA11" s="54">
        <v>0.2</v>
      </c>
      <c r="AB11" s="51" t="s">
        <v>196</v>
      </c>
      <c r="AC11" s="54">
        <v>0.05</v>
      </c>
      <c r="AD11" s="51" t="s">
        <v>194</v>
      </c>
      <c r="AE11" s="54">
        <v>0.3888888888888889</v>
      </c>
      <c r="AF11" s="51" t="s">
        <v>196</v>
      </c>
      <c r="AG11" s="54">
        <v>0</v>
      </c>
      <c r="AH11" s="51" t="s">
        <v>196</v>
      </c>
      <c r="AI11" s="54">
        <v>0.25</v>
      </c>
      <c r="AJ11" s="51" t="s">
        <v>196</v>
      </c>
      <c r="AK11" s="58">
        <v>36900</v>
      </c>
    </row>
  </sheetData>
  <sortState xmlns:xlrd2="http://schemas.microsoft.com/office/spreadsheetml/2017/richdata2" ref="AJ3:AK38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61CD9-770B-440D-8347-20C3500B4B82}">
  <sheetPr codeName="Sheet4"/>
  <dimension ref="A1:Q77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139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75</v>
      </c>
      <c r="C2" s="140"/>
      <c r="E2" s="28" t="s">
        <v>66</v>
      </c>
      <c r="F2" s="25" t="s">
        <v>22</v>
      </c>
      <c r="G2" s="13">
        <v>132</v>
      </c>
      <c r="H2" s="91">
        <f>IF(B$19=0,0,G2/B$19)</f>
        <v>0.79041916167664672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-13.888888888888889</v>
      </c>
      <c r="P2" s="80">
        <v>72</v>
      </c>
      <c r="Q2" s="67">
        <v>-1000</v>
      </c>
    </row>
    <row r="3" spans="1:17" x14ac:dyDescent="0.45">
      <c r="A3" s="21" t="s">
        <v>8</v>
      </c>
      <c r="B3" s="141">
        <v>576</v>
      </c>
      <c r="C3" s="142"/>
      <c r="E3" s="29" t="s">
        <v>72</v>
      </c>
      <c r="F3" s="26" t="s">
        <v>27</v>
      </c>
      <c r="G3" s="14">
        <v>104</v>
      </c>
      <c r="H3" s="92">
        <f>IF(B$19=0,0,G3/B$19)</f>
        <v>0.6227544910179641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0</v>
      </c>
      <c r="P3" s="81">
        <v>75</v>
      </c>
      <c r="Q3" s="68">
        <v>0</v>
      </c>
    </row>
    <row r="4" spans="1:17" x14ac:dyDescent="0.45">
      <c r="A4" s="21" t="s">
        <v>6</v>
      </c>
      <c r="B4" s="143">
        <v>0</v>
      </c>
      <c r="C4" s="144"/>
      <c r="E4" s="29" t="s">
        <v>64</v>
      </c>
      <c r="F4" s="26" t="s">
        <v>20</v>
      </c>
      <c r="G4" s="14">
        <v>76</v>
      </c>
      <c r="H4" s="92">
        <f>IF(B$19=0,0,G4/B$19)</f>
        <v>0.45508982035928142</v>
      </c>
      <c r="I4" s="60">
        <v>6</v>
      </c>
      <c r="K4" s="7">
        <v>2</v>
      </c>
      <c r="L4" s="65">
        <v>-39.199999999999996</v>
      </c>
      <c r="N4" s="78" t="s">
        <v>130</v>
      </c>
      <c r="O4" s="84">
        <f t="shared" si="0"/>
        <v>13.333333333333334</v>
      </c>
      <c r="P4" s="81">
        <v>75</v>
      </c>
      <c r="Q4" s="68">
        <v>1000</v>
      </c>
    </row>
    <row r="5" spans="1:17" x14ac:dyDescent="0.45">
      <c r="A5" s="21" t="s">
        <v>7</v>
      </c>
      <c r="B5" s="131">
        <f>IF(B$2=0,0,B$4/B$2)</f>
        <v>0</v>
      </c>
      <c r="C5" s="132"/>
      <c r="E5" s="29" t="s">
        <v>160</v>
      </c>
      <c r="F5" s="26" t="s">
        <v>161</v>
      </c>
      <c r="G5" s="14">
        <v>58</v>
      </c>
      <c r="H5" s="92">
        <f>IF(B$19=0,0,G5/B$19)</f>
        <v>0.3473053892215569</v>
      </c>
      <c r="I5" s="60">
        <v>5</v>
      </c>
      <c r="K5" s="7">
        <v>3</v>
      </c>
      <c r="L5" s="65">
        <v>7.1054273576010019E-15</v>
      </c>
      <c r="N5" s="78" t="s">
        <v>131</v>
      </c>
      <c r="O5" s="84">
        <f t="shared" si="0"/>
        <v>-15.151515151515152</v>
      </c>
      <c r="P5" s="81">
        <v>66</v>
      </c>
      <c r="Q5" s="68">
        <v>-1000</v>
      </c>
    </row>
    <row r="6" spans="1:17" x14ac:dyDescent="0.45">
      <c r="A6" s="21" t="s">
        <v>1</v>
      </c>
      <c r="B6" s="145">
        <f>IF(B$2=0,0,(B$7*1+B$8*2+B$9*3)/B$2)</f>
        <v>2</v>
      </c>
      <c r="C6" s="146"/>
      <c r="E6" s="29" t="s">
        <v>68</v>
      </c>
      <c r="F6" s="26" t="s">
        <v>12</v>
      </c>
      <c r="G6" s="14">
        <v>46</v>
      </c>
      <c r="H6" s="92">
        <f>IF(B$19=0,0,G6/B$19)</f>
        <v>0.27544910179640719</v>
      </c>
      <c r="I6" s="60">
        <v>6</v>
      </c>
      <c r="K6" s="7">
        <v>4</v>
      </c>
      <c r="L6" s="65">
        <v>-55.499999999999993</v>
      </c>
      <c r="N6" s="78" t="s">
        <v>132</v>
      </c>
      <c r="O6" s="84">
        <f t="shared" si="0"/>
        <v>-66.666666666666671</v>
      </c>
      <c r="P6" s="81">
        <v>60</v>
      </c>
      <c r="Q6" s="68">
        <v>-4000</v>
      </c>
    </row>
    <row r="7" spans="1:17" x14ac:dyDescent="0.45">
      <c r="A7" s="21" t="s">
        <v>2</v>
      </c>
      <c r="B7" s="14">
        <v>25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39</v>
      </c>
      <c r="H7" s="92">
        <f>IF(B$19=0,0,G7/B$19)</f>
        <v>0.23353293413173654</v>
      </c>
      <c r="I7" s="60">
        <v>5</v>
      </c>
      <c r="K7" s="7">
        <v>5</v>
      </c>
      <c r="L7" s="65">
        <v>-55.999999999999993</v>
      </c>
      <c r="N7" s="79" t="s">
        <v>133</v>
      </c>
      <c r="O7" s="85">
        <f t="shared" si="0"/>
        <v>102.56410256410257</v>
      </c>
      <c r="P7" s="82">
        <v>39</v>
      </c>
      <c r="Q7" s="69">
        <v>4000</v>
      </c>
    </row>
    <row r="8" spans="1:17" x14ac:dyDescent="0.45">
      <c r="A8" s="21" t="s">
        <v>3</v>
      </c>
      <c r="B8" s="14">
        <v>25</v>
      </c>
      <c r="C8" s="8">
        <f t="shared" si="1"/>
        <v>0.33333333333333331</v>
      </c>
      <c r="E8" s="29" t="s">
        <v>89</v>
      </c>
      <c r="F8" s="26" t="s">
        <v>44</v>
      </c>
      <c r="G8" s="14">
        <v>29</v>
      </c>
      <c r="H8" s="92">
        <f>IF(B$19=0,0,G8/B$19)</f>
        <v>0.17365269461077845</v>
      </c>
      <c r="I8" s="60">
        <v>5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25</v>
      </c>
      <c r="C9" s="9">
        <f t="shared" si="1"/>
        <v>0.33333333333333331</v>
      </c>
      <c r="E9" s="29" t="s">
        <v>69</v>
      </c>
      <c r="F9" s="26" t="s">
        <v>24</v>
      </c>
      <c r="G9" s="14">
        <v>20</v>
      </c>
      <c r="H9" s="92">
        <f>IF(B$19=0,0,G9/B$19)</f>
        <v>0.11976047904191617</v>
      </c>
      <c r="I9" s="60">
        <v>5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39.944000000000003</v>
      </c>
      <c r="C10" s="114">
        <v>998.60000000000014</v>
      </c>
      <c r="E10" s="29" t="s">
        <v>65</v>
      </c>
      <c r="F10" s="26" t="s">
        <v>21</v>
      </c>
      <c r="G10" s="14">
        <v>16</v>
      </c>
      <c r="H10" s="92">
        <f>IF(B$19=0,0,G10/B$19)</f>
        <v>9.580838323353294E-2</v>
      </c>
      <c r="I10" s="60">
        <v>6</v>
      </c>
      <c r="K10" s="7">
        <v>8</v>
      </c>
      <c r="L10" s="65">
        <v>-81.5</v>
      </c>
      <c r="N10" s="77" t="s">
        <v>152</v>
      </c>
      <c r="O10" s="86">
        <f>IF(P10=0,0,Q10/P10)</f>
        <v>-12.204000000000001</v>
      </c>
      <c r="P10" s="80">
        <v>25</v>
      </c>
      <c r="Q10" s="71">
        <v>-305.10000000000002</v>
      </c>
    </row>
    <row r="11" spans="1:17" x14ac:dyDescent="0.45">
      <c r="A11" s="22" t="s">
        <v>186</v>
      </c>
      <c r="B11" s="113">
        <f>IF(B8=0,0,C11/B8)</f>
        <v>-3.3319999999999999</v>
      </c>
      <c r="C11" s="114">
        <v>-83.3</v>
      </c>
      <c r="E11" s="29" t="s">
        <v>71</v>
      </c>
      <c r="F11" s="26" t="s">
        <v>26</v>
      </c>
      <c r="G11" s="14">
        <v>14</v>
      </c>
      <c r="H11" s="92">
        <f>IF(B$19=0,0,G11/B$19)</f>
        <v>8.3832335329341312E-2</v>
      </c>
      <c r="I11" s="60">
        <v>6</v>
      </c>
      <c r="K11" s="7">
        <v>9</v>
      </c>
      <c r="L11" s="65">
        <v>0</v>
      </c>
      <c r="N11" s="78" t="s">
        <v>153</v>
      </c>
      <c r="O11" s="87">
        <f>IF(P11=0,0,Q11/P11)</f>
        <v>-5.6000000000000014</v>
      </c>
      <c r="P11" s="81">
        <v>25</v>
      </c>
      <c r="Q11" s="72">
        <v>-140.00000000000003</v>
      </c>
    </row>
    <row r="12" spans="1:17" x14ac:dyDescent="0.45">
      <c r="A12" s="22" t="s">
        <v>187</v>
      </c>
      <c r="B12" s="113">
        <f>IF(B9=0,0,C12/B9)</f>
        <v>-36.611999999999995</v>
      </c>
      <c r="C12" s="114">
        <v>-915.3</v>
      </c>
      <c r="E12" s="29" t="s">
        <v>83</v>
      </c>
      <c r="F12" s="26" t="s">
        <v>38</v>
      </c>
      <c r="G12" s="14">
        <v>10</v>
      </c>
      <c r="H12" s="92">
        <f>IF(B$19=0,0,G12/B$19)</f>
        <v>5.9880239520958084E-2</v>
      </c>
      <c r="I12" s="60">
        <v>5</v>
      </c>
      <c r="K12" s="7">
        <v>10</v>
      </c>
      <c r="L12" s="65">
        <v>60.4</v>
      </c>
      <c r="N12" s="79" t="s">
        <v>154</v>
      </c>
      <c r="O12" s="88">
        <f>IF(P12=0,0,Q12/P12)</f>
        <v>17.803999999999995</v>
      </c>
      <c r="P12" s="82">
        <v>25</v>
      </c>
      <c r="Q12" s="73">
        <v>445.09999999999985</v>
      </c>
    </row>
    <row r="13" spans="1:17" x14ac:dyDescent="0.45">
      <c r="A13" s="22" t="s">
        <v>188</v>
      </c>
      <c r="B13" s="131">
        <f>AVERAGE(B10:B12)</f>
        <v>0</v>
      </c>
      <c r="C13" s="132"/>
      <c r="E13" s="29" t="s">
        <v>86</v>
      </c>
      <c r="F13" s="26" t="s">
        <v>41</v>
      </c>
      <c r="G13" s="14">
        <v>10</v>
      </c>
      <c r="H13" s="92">
        <f>IF(B$19=0,0,G13/B$19)</f>
        <v>5.9880239520958084E-2</v>
      </c>
      <c r="I13" s="60">
        <v>4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0.08</v>
      </c>
      <c r="E14" s="29" t="s">
        <v>70</v>
      </c>
      <c r="F14" s="26" t="s">
        <v>25</v>
      </c>
      <c r="G14" s="14">
        <v>8</v>
      </c>
      <c r="H14" s="92">
        <f>IF(B$19=0,0,G14/B$19)</f>
        <v>4.790419161676647E-2</v>
      </c>
      <c r="I14" s="60">
        <v>3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155</v>
      </c>
      <c r="C15" s="12">
        <f>IF(B$3=0,0,B15/B$3)</f>
        <v>0.26909722222222221</v>
      </c>
      <c r="E15" s="29" t="s">
        <v>79</v>
      </c>
      <c r="F15" s="26" t="s">
        <v>34</v>
      </c>
      <c r="G15" s="14">
        <v>6</v>
      </c>
      <c r="H15" s="92">
        <f>IF(B$19=0,0,G15/B$19)</f>
        <v>3.5928143712574849E-2</v>
      </c>
      <c r="I15" s="60">
        <v>4</v>
      </c>
      <c r="K15" s="7">
        <v>13</v>
      </c>
      <c r="L15" s="65">
        <v>14.300000000000002</v>
      </c>
      <c r="N15" s="77" t="s">
        <v>189</v>
      </c>
      <c r="O15" s="86">
        <f>IF(P15=0,0,Q15/P15)</f>
        <v>31.462500000000002</v>
      </c>
      <c r="P15" s="80">
        <v>8</v>
      </c>
      <c r="Q15" s="71">
        <v>251.70000000000002</v>
      </c>
    </row>
    <row r="16" spans="1:17" x14ac:dyDescent="0.45">
      <c r="A16" s="21" t="s">
        <v>118</v>
      </c>
      <c r="B16" s="14">
        <v>114</v>
      </c>
      <c r="C16" s="8">
        <f>IF(B$3=0,0,B16/B$3)</f>
        <v>0.19791666666666666</v>
      </c>
      <c r="E16" s="29" t="s">
        <v>81</v>
      </c>
      <c r="F16" s="26" t="s">
        <v>36</v>
      </c>
      <c r="G16" s="14">
        <v>6</v>
      </c>
      <c r="H16" s="92">
        <f>IF(B$19=0,0,G16/B$19)</f>
        <v>3.5928143712574849E-2</v>
      </c>
      <c r="I16" s="60">
        <v>4</v>
      </c>
      <c r="K16" s="7">
        <v>14</v>
      </c>
      <c r="L16" s="65">
        <v>12.800000000000002</v>
      </c>
      <c r="N16" s="78" t="s">
        <v>194</v>
      </c>
      <c r="O16" s="87">
        <f>IF(P16=0,0,Q16/P16)</f>
        <v>29.474999999999998</v>
      </c>
      <c r="P16" s="81">
        <v>16</v>
      </c>
      <c r="Q16" s="72">
        <v>471.59999999999997</v>
      </c>
    </row>
    <row r="17" spans="1:17" x14ac:dyDescent="0.45">
      <c r="A17" s="20" t="s">
        <v>123</v>
      </c>
      <c r="B17" s="13">
        <f>B23</f>
        <v>80</v>
      </c>
      <c r="C17" s="6">
        <f>IF(B$15=0,0,B17/B$15)</f>
        <v>0.5161290322580645</v>
      </c>
      <c r="E17" s="29" t="s">
        <v>78</v>
      </c>
      <c r="F17" s="26" t="s">
        <v>33</v>
      </c>
      <c r="G17" s="14">
        <v>5</v>
      </c>
      <c r="H17" s="92">
        <f>IF(B$19=0,0,G17/B$19)</f>
        <v>2.9940119760479042E-2</v>
      </c>
      <c r="I17" s="60">
        <v>4</v>
      </c>
      <c r="K17" s="7">
        <v>15</v>
      </c>
      <c r="L17" s="65">
        <v>1.7763568394002505E-15</v>
      </c>
      <c r="N17" s="78" t="s">
        <v>196</v>
      </c>
      <c r="O17" s="87">
        <f>IF(P17=0,0,Q17/P17)</f>
        <v>20.7</v>
      </c>
      <c r="P17" s="81">
        <v>6</v>
      </c>
      <c r="Q17" s="72">
        <v>124.19999999999999</v>
      </c>
    </row>
    <row r="18" spans="1:17" x14ac:dyDescent="0.45">
      <c r="A18" s="20" t="s">
        <v>124</v>
      </c>
      <c r="B18" s="13">
        <f>B24</f>
        <v>46</v>
      </c>
      <c r="C18" s="6">
        <f>IF(B$16=0,0,B18/B$16)</f>
        <v>0.40350877192982454</v>
      </c>
      <c r="E18" s="29" t="s">
        <v>91</v>
      </c>
      <c r="F18" s="26" t="s">
        <v>46</v>
      </c>
      <c r="G18" s="14">
        <v>2</v>
      </c>
      <c r="H18" s="92">
        <f>IF(B$19=0,0,G18/B$19)</f>
        <v>1.1976047904191617E-2</v>
      </c>
      <c r="I18" s="60">
        <v>3</v>
      </c>
      <c r="K18" s="7">
        <v>16</v>
      </c>
      <c r="L18" s="65">
        <v>3.4000000000000017</v>
      </c>
      <c r="N18" s="78" t="s">
        <v>192</v>
      </c>
      <c r="O18" s="87">
        <f>IF(P18=0,0,Q18/P18)</f>
        <v>10.514999999999997</v>
      </c>
      <c r="P18" s="81">
        <v>40</v>
      </c>
      <c r="Q18" s="72">
        <v>420.59999999999991</v>
      </c>
    </row>
    <row r="19" spans="1:17" x14ac:dyDescent="0.45">
      <c r="A19" s="20" t="s">
        <v>10</v>
      </c>
      <c r="B19" s="13">
        <f>B22+B21</f>
        <v>167</v>
      </c>
      <c r="C19" s="6">
        <f>IF(B$3=0,0,B19/B$3)</f>
        <v>0.28993055555555558</v>
      </c>
      <c r="E19" s="29" t="s">
        <v>92</v>
      </c>
      <c r="F19" s="26" t="s">
        <v>47</v>
      </c>
      <c r="G19" s="14">
        <v>2</v>
      </c>
      <c r="H19" s="92">
        <f>IF(B$19=0,0,G19/B$19)</f>
        <v>1.1976047904191617E-2</v>
      </c>
      <c r="I19" s="60">
        <v>3</v>
      </c>
      <c r="K19" s="7">
        <v>17</v>
      </c>
      <c r="L19" s="65">
        <v>-35.800000000000004</v>
      </c>
      <c r="N19" s="78" t="s">
        <v>164</v>
      </c>
      <c r="O19" s="87">
        <f>IF(P19=0,0,Q19/P19)</f>
        <v>3.8653846153846172</v>
      </c>
      <c r="P19" s="81">
        <v>26</v>
      </c>
      <c r="Q19" s="72">
        <v>100.50000000000004</v>
      </c>
    </row>
    <row r="20" spans="1:17" x14ac:dyDescent="0.45">
      <c r="A20" s="21" t="s">
        <v>13</v>
      </c>
      <c r="B20" s="14">
        <v>97</v>
      </c>
      <c r="C20" s="8">
        <f>IF(B$3=0,0,B20/B$3)</f>
        <v>0.16840277777777779</v>
      </c>
      <c r="E20" s="29" t="s">
        <v>156</v>
      </c>
      <c r="F20" s="26" t="s">
        <v>157</v>
      </c>
      <c r="G20" s="14">
        <v>2</v>
      </c>
      <c r="H20" s="92">
        <f>IF(B$19=0,0,G20/B$19)</f>
        <v>1.1976047904191617E-2</v>
      </c>
      <c r="I20" s="60">
        <v>3</v>
      </c>
      <c r="K20" s="7">
        <v>18</v>
      </c>
      <c r="L20" s="65">
        <v>-7.1054273576010019E-15</v>
      </c>
      <c r="N20" s="78" t="s">
        <v>205</v>
      </c>
      <c r="O20" s="87">
        <f>IF(P20=0,0,Q20/P20)</f>
        <v>-4.4500000000000055</v>
      </c>
      <c r="P20" s="81">
        <v>6</v>
      </c>
      <c r="Q20" s="72">
        <v>-26.700000000000031</v>
      </c>
    </row>
    <row r="21" spans="1:17" x14ac:dyDescent="0.45">
      <c r="A21" s="21" t="s">
        <v>12</v>
      </c>
      <c r="B21" s="14">
        <v>69</v>
      </c>
      <c r="C21" s="8">
        <f>IF(B$19=0,0,B21/B$19)</f>
        <v>0.41317365269461076</v>
      </c>
      <c r="E21" s="29" t="s">
        <v>73</v>
      </c>
      <c r="F21" s="26" t="s">
        <v>28</v>
      </c>
      <c r="G21" s="14">
        <v>1</v>
      </c>
      <c r="H21" s="92">
        <f>IF(B$19=0,0,G21/B$19)</f>
        <v>5.9880239520958087E-3</v>
      </c>
      <c r="I21" s="60">
        <v>2</v>
      </c>
      <c r="K21" s="7">
        <v>19</v>
      </c>
      <c r="L21" s="65">
        <v>-27.100000000000009</v>
      </c>
      <c r="N21" s="78" t="s">
        <v>126</v>
      </c>
      <c r="O21" s="87">
        <f>IF(P21=0,0,Q21/P21)</f>
        <v>-23.333333333333329</v>
      </c>
      <c r="P21" s="81">
        <v>36</v>
      </c>
      <c r="Q21" s="72">
        <v>-839.99999999999977</v>
      </c>
    </row>
    <row r="22" spans="1:17" x14ac:dyDescent="0.45">
      <c r="A22" s="21" t="s">
        <v>11</v>
      </c>
      <c r="B22" s="14">
        <v>98</v>
      </c>
      <c r="C22" s="8">
        <f>IF(B$19=0,0,B22/B$19)</f>
        <v>0.58682634730538918</v>
      </c>
      <c r="E22" s="29" t="s">
        <v>77</v>
      </c>
      <c r="F22" s="26" t="s">
        <v>32</v>
      </c>
      <c r="G22" s="14">
        <v>1</v>
      </c>
      <c r="H22" s="92">
        <f>IF(B$19=0,0,G22/B$19)</f>
        <v>5.9880239520958087E-3</v>
      </c>
      <c r="I22" s="60">
        <v>2</v>
      </c>
      <c r="K22" s="7">
        <v>20</v>
      </c>
      <c r="L22" s="65">
        <v>-28.600000000000009</v>
      </c>
      <c r="N22" s="78" t="s">
        <v>193</v>
      </c>
      <c r="O22" s="87">
        <f>IF(P22=0,0,Q22/P22)</f>
        <v>-41.824999999999996</v>
      </c>
      <c r="P22" s="81">
        <v>12</v>
      </c>
      <c r="Q22" s="72">
        <v>-501.9</v>
      </c>
    </row>
    <row r="23" spans="1:17" x14ac:dyDescent="0.45">
      <c r="A23" s="21" t="s">
        <v>184</v>
      </c>
      <c r="B23" s="14">
        <v>80</v>
      </c>
      <c r="C23" s="8">
        <f>IF(B$19=0,0,B23/B$19)</f>
        <v>0.47904191616766467</v>
      </c>
      <c r="E23" s="29" t="s">
        <v>87</v>
      </c>
      <c r="F23" s="26" t="s">
        <v>42</v>
      </c>
      <c r="G23" s="14">
        <v>1</v>
      </c>
      <c r="H23" s="92">
        <f>IF(B$19=0,0,G23/B$19)</f>
        <v>5.9880239520958087E-3</v>
      </c>
      <c r="I23" s="60">
        <v>2</v>
      </c>
      <c r="K23" s="7">
        <v>21</v>
      </c>
      <c r="L23" s="65">
        <v>-7.1054273576010019E-15</v>
      </c>
    </row>
    <row r="24" spans="1:17" x14ac:dyDescent="0.45">
      <c r="A24" s="21" t="s">
        <v>182</v>
      </c>
      <c r="B24" s="14">
        <v>46</v>
      </c>
      <c r="C24" s="8">
        <f>IF(B$19=0,0,B24/B$19)</f>
        <v>0.27544910179640719</v>
      </c>
      <c r="E24" s="29" t="s">
        <v>93</v>
      </c>
      <c r="F24" s="26" t="s">
        <v>48</v>
      </c>
      <c r="G24" s="14">
        <v>1</v>
      </c>
      <c r="H24" s="92">
        <f>IF(B$19=0,0,G24/B$19)</f>
        <v>5.9880239520958087E-3</v>
      </c>
      <c r="I24" s="60">
        <v>2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41</v>
      </c>
      <c r="C25" s="8">
        <f>IF(B$19=0,0,B25/B$19)</f>
        <v>0.24550898203592814</v>
      </c>
      <c r="E25" s="29" t="s">
        <v>95</v>
      </c>
      <c r="F25" s="26" t="s">
        <v>50</v>
      </c>
      <c r="G25" s="14">
        <v>1</v>
      </c>
      <c r="H25" s="92">
        <f>IF(B$19=0,0,G25/B$19)</f>
        <v>5.9880239520958087E-3</v>
      </c>
      <c r="I25" s="60">
        <v>2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9027.5449101796403</v>
      </c>
      <c r="C26" s="10">
        <v>1507600</v>
      </c>
      <c r="E26" s="29" t="s">
        <v>102</v>
      </c>
      <c r="F26" s="26" t="s">
        <v>57</v>
      </c>
      <c r="G26" s="14">
        <v>1</v>
      </c>
      <c r="H26" s="92">
        <f>IF(B$19=0,0,G26/B$19)</f>
        <v>5.9880239520958087E-3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9014.8760330578516</v>
      </c>
      <c r="C27" s="100">
        <v>1090800</v>
      </c>
      <c r="E27" s="29" t="s">
        <v>74</v>
      </c>
      <c r="F27" s="26" t="s">
        <v>29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9060.8695652173919</v>
      </c>
      <c r="C28" s="100">
        <v>416800</v>
      </c>
      <c r="E28" s="29" t="s">
        <v>75</v>
      </c>
      <c r="F28" s="26" t="s">
        <v>30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-7952.5773195876291</v>
      </c>
      <c r="C29" s="100">
        <v>-771400</v>
      </c>
      <c r="E29" s="29" t="s">
        <v>76</v>
      </c>
      <c r="F29" s="26" t="s">
        <v>31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1</v>
      </c>
      <c r="E30" s="29" t="s">
        <v>80</v>
      </c>
      <c r="F30" s="26" t="s">
        <v>35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28</v>
      </c>
      <c r="C31" s="94">
        <v>1</v>
      </c>
      <c r="E31" s="29" t="s">
        <v>82</v>
      </c>
      <c r="F31" s="26" t="s">
        <v>37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33">
        <v>6</v>
      </c>
      <c r="C32" s="134"/>
      <c r="E32" s="29" t="s">
        <v>84</v>
      </c>
      <c r="F32" s="26" t="s">
        <v>39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35">
        <v>106500</v>
      </c>
      <c r="C33" s="136"/>
      <c r="E33" s="29" t="s">
        <v>85</v>
      </c>
      <c r="F33" s="26" t="s">
        <v>40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2</v>
      </c>
      <c r="C34" s="11">
        <f>IF(B$3=0,0,B34/B$3)</f>
        <v>3.472222222222222E-3</v>
      </c>
      <c r="E34" s="29" t="s">
        <v>88</v>
      </c>
      <c r="F34" s="26" t="s">
        <v>43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90</v>
      </c>
      <c r="F35" s="26" t="s">
        <v>45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11</v>
      </c>
      <c r="C36" s="102">
        <f t="shared" ref="C36:C48" si="2">IF(B$19=0,0,B36/B$19)</f>
        <v>6.5868263473053898E-2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28</v>
      </c>
      <c r="C37" s="8">
        <f t="shared" si="2"/>
        <v>0.16766467065868262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30</v>
      </c>
      <c r="C38" s="8">
        <f t="shared" si="2"/>
        <v>0.17964071856287425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31</v>
      </c>
      <c r="C39" s="8">
        <f t="shared" si="2"/>
        <v>0.18562874251497005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26</v>
      </c>
      <c r="C40" s="8">
        <f t="shared" si="2"/>
        <v>0.15568862275449102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13</v>
      </c>
      <c r="C41" s="8">
        <f t="shared" si="2"/>
        <v>7.7844311377245512E-2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13</v>
      </c>
      <c r="C42" s="8">
        <f t="shared" si="2"/>
        <v>7.7844311377245512E-2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2</v>
      </c>
      <c r="C43" s="8">
        <f t="shared" si="2"/>
        <v>1.1976047904191617E-2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3</v>
      </c>
      <c r="C44" s="8">
        <f t="shared" si="2"/>
        <v>1.7964071856287425E-2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3</v>
      </c>
      <c r="C45" s="8">
        <f t="shared" si="2"/>
        <v>1.7964071856287425E-2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1</v>
      </c>
      <c r="C46" s="8">
        <f t="shared" si="2"/>
        <v>5.9880239520958087E-3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1</v>
      </c>
      <c r="C47" s="8">
        <f t="shared" si="2"/>
        <v>5.9880239520958087E-3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5</v>
      </c>
      <c r="C48" s="11">
        <f t="shared" si="2"/>
        <v>2.9940119760479042E-2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5AD54-4FD7-43C0-BA07-C3D7F120BE4A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164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13</v>
      </c>
      <c r="C2" s="140"/>
      <c r="E2" s="28" t="s">
        <v>66</v>
      </c>
      <c r="F2" s="25" t="s">
        <v>22</v>
      </c>
      <c r="G2" s="13">
        <v>32</v>
      </c>
      <c r="H2" s="91">
        <f>IF(B$19=0,0,G2/B$19)</f>
        <v>1.2307692307692308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1050</v>
      </c>
      <c r="P2" s="80">
        <v>12</v>
      </c>
      <c r="Q2" s="67">
        <v>12600</v>
      </c>
    </row>
    <row r="3" spans="1:17" x14ac:dyDescent="0.45">
      <c r="A3" s="21" t="s">
        <v>8</v>
      </c>
      <c r="B3" s="141">
        <v>106</v>
      </c>
      <c r="C3" s="142"/>
      <c r="E3" s="29" t="s">
        <v>64</v>
      </c>
      <c r="F3" s="26" t="s">
        <v>20</v>
      </c>
      <c r="G3" s="14">
        <v>14</v>
      </c>
      <c r="H3" s="92">
        <f>IF(B$19=0,0,G3/B$19)</f>
        <v>0.53846153846153844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1523.0769230769231</v>
      </c>
      <c r="P3" s="81">
        <v>13</v>
      </c>
      <c r="Q3" s="68">
        <v>19800</v>
      </c>
    </row>
    <row r="4" spans="1:17" x14ac:dyDescent="0.45">
      <c r="A4" s="21" t="s">
        <v>6</v>
      </c>
      <c r="B4" s="143">
        <v>-33.5</v>
      </c>
      <c r="C4" s="144"/>
      <c r="E4" s="29" t="s">
        <v>72</v>
      </c>
      <c r="F4" s="26" t="s">
        <v>27</v>
      </c>
      <c r="G4" s="14">
        <v>13</v>
      </c>
      <c r="H4" s="92">
        <f>IF(B$19=0,0,G4/B$19)</f>
        <v>0.5</v>
      </c>
      <c r="I4" s="60">
        <v>7</v>
      </c>
      <c r="K4" s="7">
        <v>2</v>
      </c>
      <c r="L4" s="65">
        <v>32.9</v>
      </c>
      <c r="N4" s="78" t="s">
        <v>130</v>
      </c>
      <c r="O4" s="84">
        <f t="shared" si="0"/>
        <v>-2669.2307692307691</v>
      </c>
      <c r="P4" s="81">
        <v>13</v>
      </c>
      <c r="Q4" s="68">
        <v>-34700</v>
      </c>
    </row>
    <row r="5" spans="1:17" x14ac:dyDescent="0.45">
      <c r="A5" s="21" t="s">
        <v>7</v>
      </c>
      <c r="B5" s="131">
        <f>IF(B$2=0,0,B$4/B$2)</f>
        <v>-2.5769230769230771</v>
      </c>
      <c r="C5" s="132"/>
      <c r="E5" s="29" t="s">
        <v>160</v>
      </c>
      <c r="F5" s="26" t="s">
        <v>161</v>
      </c>
      <c r="G5" s="14">
        <v>12</v>
      </c>
      <c r="H5" s="92">
        <f>IF(B$19=0,0,G5/B$19)</f>
        <v>0.46153846153846156</v>
      </c>
      <c r="I5" s="60">
        <v>3</v>
      </c>
      <c r="K5" s="7">
        <v>3</v>
      </c>
      <c r="L5" s="65">
        <v>61.5</v>
      </c>
      <c r="N5" s="78" t="s">
        <v>131</v>
      </c>
      <c r="O5" s="84">
        <f t="shared" si="0"/>
        <v>-7246.1538461538457</v>
      </c>
      <c r="P5" s="81">
        <v>13</v>
      </c>
      <c r="Q5" s="68">
        <v>-94200</v>
      </c>
    </row>
    <row r="6" spans="1:17" x14ac:dyDescent="0.45">
      <c r="A6" s="21" t="s">
        <v>1</v>
      </c>
      <c r="B6" s="145">
        <f>IF(B$2=0,0,(B$7*1+B$8*2+B$9*3)/B$2)</f>
        <v>2</v>
      </c>
      <c r="C6" s="146"/>
      <c r="E6" s="29" t="s">
        <v>67</v>
      </c>
      <c r="F6" s="26" t="s">
        <v>23</v>
      </c>
      <c r="G6" s="14">
        <v>6</v>
      </c>
      <c r="H6" s="92">
        <f>IF(B$19=0,0,G6/B$19)</f>
        <v>0.23076923076923078</v>
      </c>
      <c r="I6" s="60">
        <v>6</v>
      </c>
      <c r="K6" s="7">
        <v>4</v>
      </c>
      <c r="L6" s="65">
        <v>27.4</v>
      </c>
      <c r="N6" s="78" t="s">
        <v>132</v>
      </c>
      <c r="O6" s="84">
        <f t="shared" si="0"/>
        <v>-666.66666666666663</v>
      </c>
      <c r="P6" s="81">
        <v>12</v>
      </c>
      <c r="Q6" s="68">
        <v>-8000</v>
      </c>
    </row>
    <row r="7" spans="1:17" x14ac:dyDescent="0.45">
      <c r="A7" s="21" t="s">
        <v>2</v>
      </c>
      <c r="B7" s="14">
        <v>5</v>
      </c>
      <c r="C7" s="8">
        <f t="shared" ref="C7:C14" si="1">IF(B$2=0,0,B7/B$2)</f>
        <v>0.38461538461538464</v>
      </c>
      <c r="E7" s="29" t="s">
        <v>68</v>
      </c>
      <c r="F7" s="26" t="s">
        <v>12</v>
      </c>
      <c r="G7" s="14">
        <v>6</v>
      </c>
      <c r="H7" s="92">
        <f>IF(B$19=0,0,G7/B$19)</f>
        <v>0.23076923076923078</v>
      </c>
      <c r="I7" s="60">
        <v>8</v>
      </c>
      <c r="K7" s="7">
        <v>5</v>
      </c>
      <c r="L7" s="65">
        <v>18</v>
      </c>
      <c r="N7" s="79" t="s">
        <v>133</v>
      </c>
      <c r="O7" s="85">
        <f t="shared" si="0"/>
        <v>9514.2857142857138</v>
      </c>
      <c r="P7" s="82">
        <v>7</v>
      </c>
      <c r="Q7" s="69">
        <v>66600</v>
      </c>
    </row>
    <row r="8" spans="1:17" x14ac:dyDescent="0.45">
      <c r="A8" s="21" t="s">
        <v>3</v>
      </c>
      <c r="B8" s="14">
        <v>3</v>
      </c>
      <c r="C8" s="8">
        <f t="shared" si="1"/>
        <v>0.23076923076923078</v>
      </c>
      <c r="E8" s="29" t="s">
        <v>89</v>
      </c>
      <c r="F8" s="26" t="s">
        <v>44</v>
      </c>
      <c r="G8" s="14">
        <v>5</v>
      </c>
      <c r="H8" s="92">
        <f>IF(B$19=0,0,G8/B$19)</f>
        <v>0.19230769230769232</v>
      </c>
      <c r="I8" s="60">
        <v>4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5</v>
      </c>
      <c r="C9" s="9">
        <f t="shared" si="1"/>
        <v>0.38461538461538464</v>
      </c>
      <c r="E9" s="29" t="s">
        <v>65</v>
      </c>
      <c r="F9" s="26" t="s">
        <v>21</v>
      </c>
      <c r="G9" s="14">
        <v>4</v>
      </c>
      <c r="H9" s="92">
        <f>IF(B$19=0,0,G9/B$19)</f>
        <v>0.15384615384615385</v>
      </c>
      <c r="I9" s="60">
        <v>3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31.619999999999997</v>
      </c>
      <c r="C10" s="114">
        <v>158.1</v>
      </c>
      <c r="E10" s="29" t="s">
        <v>86</v>
      </c>
      <c r="F10" s="26" t="s">
        <v>41</v>
      </c>
      <c r="G10" s="14">
        <v>4</v>
      </c>
      <c r="H10" s="92">
        <f>IF(B$19=0,0,G10/B$19)</f>
        <v>0.15384615384615385</v>
      </c>
      <c r="I10" s="60">
        <v>2</v>
      </c>
      <c r="K10" s="7">
        <v>8</v>
      </c>
      <c r="L10" s="65">
        <v>-9.9999999999999964</v>
      </c>
      <c r="N10" s="77" t="s">
        <v>152</v>
      </c>
      <c r="O10" s="86">
        <f>IF(P10=0,0,Q10/P10)</f>
        <v>-8.875</v>
      </c>
      <c r="P10" s="80">
        <v>4</v>
      </c>
      <c r="Q10" s="71">
        <v>-35.5</v>
      </c>
    </row>
    <row r="11" spans="1:17" x14ac:dyDescent="0.45">
      <c r="A11" s="22" t="s">
        <v>186</v>
      </c>
      <c r="B11" s="113">
        <f>IF(B8=0,0,C11/B8)</f>
        <v>-6.6000000000000005</v>
      </c>
      <c r="C11" s="114">
        <v>-19.8</v>
      </c>
      <c r="E11" s="29" t="s">
        <v>69</v>
      </c>
      <c r="F11" s="26" t="s">
        <v>24</v>
      </c>
      <c r="G11" s="14">
        <v>3</v>
      </c>
      <c r="H11" s="92">
        <f>IF(B$19=0,0,G11/B$19)</f>
        <v>0.11538461538461539</v>
      </c>
      <c r="I11" s="60">
        <v>6</v>
      </c>
      <c r="K11" s="7">
        <v>9</v>
      </c>
      <c r="L11" s="65">
        <v>33.5</v>
      </c>
      <c r="N11" s="78" t="s">
        <v>153</v>
      </c>
      <c r="O11" s="87">
        <f>IF(P11=0,0,Q11/P11)</f>
        <v>-26.275000000000002</v>
      </c>
      <c r="P11" s="81">
        <v>4</v>
      </c>
      <c r="Q11" s="72">
        <v>-105.10000000000001</v>
      </c>
    </row>
    <row r="12" spans="1:17" x14ac:dyDescent="0.45">
      <c r="A12" s="22" t="s">
        <v>187</v>
      </c>
      <c r="B12" s="113">
        <f>IF(B9=0,0,C12/B9)</f>
        <v>-34.36</v>
      </c>
      <c r="C12" s="114">
        <v>-171.79999999999998</v>
      </c>
      <c r="E12" s="29" t="s">
        <v>71</v>
      </c>
      <c r="F12" s="26" t="s">
        <v>26</v>
      </c>
      <c r="G12" s="14">
        <v>3</v>
      </c>
      <c r="H12" s="92">
        <f>IF(B$19=0,0,G12/B$19)</f>
        <v>0.11538461538461539</v>
      </c>
      <c r="I12" s="60">
        <v>3</v>
      </c>
      <c r="K12" s="7">
        <v>10</v>
      </c>
      <c r="L12" s="65">
        <v>26</v>
      </c>
      <c r="N12" s="79" t="s">
        <v>154</v>
      </c>
      <c r="O12" s="88">
        <f>IF(P12=0,0,Q12/P12)</f>
        <v>21.419999999999998</v>
      </c>
      <c r="P12" s="82">
        <v>5</v>
      </c>
      <c r="Q12" s="73">
        <v>107.1</v>
      </c>
    </row>
    <row r="13" spans="1:17" x14ac:dyDescent="0.45">
      <c r="A13" s="22" t="s">
        <v>188</v>
      </c>
      <c r="B13" s="131">
        <f>AVERAGE(B10:B12)</f>
        <v>-3.1133333333333346</v>
      </c>
      <c r="C13" s="132"/>
      <c r="E13" s="29" t="s">
        <v>81</v>
      </c>
      <c r="F13" s="26" t="s">
        <v>36</v>
      </c>
      <c r="G13" s="14">
        <v>2</v>
      </c>
      <c r="H13" s="92">
        <f>IF(B$19=0,0,G13/B$19)</f>
        <v>7.6923076923076927E-2</v>
      </c>
      <c r="I13" s="60">
        <v>3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7.6923076923076927E-2</v>
      </c>
      <c r="E14" s="29" t="s">
        <v>83</v>
      </c>
      <c r="F14" s="26" t="s">
        <v>38</v>
      </c>
      <c r="G14" s="14">
        <v>2</v>
      </c>
      <c r="H14" s="92">
        <f>IF(B$19=0,0,G14/B$19)</f>
        <v>7.6923076923076927E-2</v>
      </c>
      <c r="I14" s="60">
        <v>3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31</v>
      </c>
      <c r="C15" s="12">
        <f>IF(B$3=0,0,B15/B$3)</f>
        <v>0.29245283018867924</v>
      </c>
      <c r="E15" s="29" t="s">
        <v>70</v>
      </c>
      <c r="F15" s="26" t="s">
        <v>25</v>
      </c>
      <c r="G15" s="14">
        <v>1</v>
      </c>
      <c r="H15" s="92">
        <f>IF(B$19=0,0,G15/B$19)</f>
        <v>3.8461538461538464E-2</v>
      </c>
      <c r="I15" s="60">
        <v>4</v>
      </c>
      <c r="K15" s="7">
        <v>13</v>
      </c>
      <c r="L15" s="65">
        <v>-33.5</v>
      </c>
      <c r="N15" s="77" t="s">
        <v>189</v>
      </c>
      <c r="O15" s="86">
        <f>IF(P15=0,0,Q15/P15)</f>
        <v>26.674999999999997</v>
      </c>
      <c r="P15" s="80">
        <v>4</v>
      </c>
      <c r="Q15" s="71">
        <v>106.69999999999999</v>
      </c>
    </row>
    <row r="16" spans="1:17" x14ac:dyDescent="0.45">
      <c r="A16" s="21" t="s">
        <v>118</v>
      </c>
      <c r="B16" s="14">
        <v>21</v>
      </c>
      <c r="C16" s="8">
        <f>IF(B$3=0,0,B16/B$3)</f>
        <v>0.19811320754716982</v>
      </c>
      <c r="E16" s="29" t="s">
        <v>78</v>
      </c>
      <c r="F16" s="26" t="s">
        <v>33</v>
      </c>
      <c r="G16" s="14">
        <v>1</v>
      </c>
      <c r="H16" s="92">
        <f>IF(B$19=0,0,G16/B$19)</f>
        <v>3.8461538461538464E-2</v>
      </c>
      <c r="I16" s="60">
        <v>3</v>
      </c>
      <c r="N16" s="78" t="s">
        <v>194</v>
      </c>
      <c r="O16" s="87">
        <f>IF(P16=0,0,Q16/P16)</f>
        <v>5.5333333333333341</v>
      </c>
      <c r="P16" s="81">
        <v>3</v>
      </c>
      <c r="Q16" s="72">
        <v>16.600000000000001</v>
      </c>
    </row>
    <row r="17" spans="1:17" x14ac:dyDescent="0.45">
      <c r="A17" s="20" t="s">
        <v>123</v>
      </c>
      <c r="B17" s="13">
        <f>B23</f>
        <v>15</v>
      </c>
      <c r="C17" s="6">
        <f>IF(B$15=0,0,B17/B$15)</f>
        <v>0.4838709677419355</v>
      </c>
      <c r="E17" s="29" t="s">
        <v>79</v>
      </c>
      <c r="F17" s="26" t="s">
        <v>34</v>
      </c>
      <c r="G17" s="14">
        <v>1</v>
      </c>
      <c r="H17" s="92">
        <f>IF(B$19=0,0,G17/B$19)</f>
        <v>3.8461538461538464E-2</v>
      </c>
      <c r="I17" s="60">
        <v>2</v>
      </c>
      <c r="N17" s="78" t="s">
        <v>192</v>
      </c>
      <c r="O17" s="87">
        <f>IF(P17=0,0,Q17/P17)</f>
        <v>-9.6111111111111089</v>
      </c>
      <c r="P17" s="81">
        <v>9</v>
      </c>
      <c r="Q17" s="72">
        <v>-86.499999999999986</v>
      </c>
    </row>
    <row r="18" spans="1:17" x14ac:dyDescent="0.45">
      <c r="A18" s="20" t="s">
        <v>124</v>
      </c>
      <c r="B18" s="13">
        <f>B24</f>
        <v>7</v>
      </c>
      <c r="C18" s="6">
        <f>IF(B$16=0,0,B18/B$16)</f>
        <v>0.33333333333333331</v>
      </c>
      <c r="E18" s="29" t="s">
        <v>91</v>
      </c>
      <c r="F18" s="26" t="s">
        <v>46</v>
      </c>
      <c r="G18" s="14">
        <v>1</v>
      </c>
      <c r="H18" s="92">
        <f>IF(B$19=0,0,G18/B$19)</f>
        <v>3.8461538461538464E-2</v>
      </c>
      <c r="I18" s="60">
        <v>1</v>
      </c>
      <c r="N18" s="78" t="s">
        <v>126</v>
      </c>
      <c r="O18" s="87">
        <f>IF(P18=0,0,Q18/P18)</f>
        <v>-9.8777777777777782</v>
      </c>
      <c r="P18" s="81">
        <v>9</v>
      </c>
      <c r="Q18" s="72">
        <v>-88.9</v>
      </c>
    </row>
    <row r="19" spans="1:17" x14ac:dyDescent="0.45">
      <c r="A19" s="20" t="s">
        <v>10</v>
      </c>
      <c r="B19" s="13">
        <f>B22+B21</f>
        <v>26</v>
      </c>
      <c r="C19" s="6">
        <f>IF(B$3=0,0,B19/B$3)</f>
        <v>0.24528301886792453</v>
      </c>
      <c r="E19" s="29" t="s">
        <v>92</v>
      </c>
      <c r="F19" s="26" t="s">
        <v>47</v>
      </c>
      <c r="G19" s="14">
        <v>1</v>
      </c>
      <c r="H19" s="92">
        <f>IF(B$19=0,0,G19/B$19)</f>
        <v>3.8461538461538464E-2</v>
      </c>
      <c r="I19" s="60">
        <v>1</v>
      </c>
      <c r="N19" s="78" t="s">
        <v>193</v>
      </c>
      <c r="O19" s="87">
        <f>IF(P19=0,0,Q19/P19)</f>
        <v>-48.4</v>
      </c>
      <c r="P19" s="81">
        <v>1</v>
      </c>
      <c r="Q19" s="72">
        <v>-48.4</v>
      </c>
    </row>
    <row r="20" spans="1:17" x14ac:dyDescent="0.45">
      <c r="A20" s="21" t="s">
        <v>13</v>
      </c>
      <c r="B20" s="14">
        <v>27</v>
      </c>
      <c r="C20" s="8">
        <f>IF(B$3=0,0,B20/B$3)</f>
        <v>0.25471698113207547</v>
      </c>
      <c r="E20" s="29" t="s">
        <v>156</v>
      </c>
      <c r="F20" s="26" t="s">
        <v>157</v>
      </c>
      <c r="G20" s="14">
        <v>1</v>
      </c>
      <c r="H20" s="92">
        <f>IF(B$19=0,0,G20/B$19)</f>
        <v>3.8461538461538464E-2</v>
      </c>
      <c r="I20" s="60">
        <v>1</v>
      </c>
    </row>
    <row r="21" spans="1:17" x14ac:dyDescent="0.45">
      <c r="A21" s="21" t="s">
        <v>12</v>
      </c>
      <c r="B21" s="14">
        <v>8</v>
      </c>
      <c r="C21" s="8">
        <f>IF(B$19=0,0,B21/B$19)</f>
        <v>0.30769230769230771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18</v>
      </c>
      <c r="C22" s="8">
        <f>IF(B$19=0,0,B22/B$19)</f>
        <v>0.69230769230769229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15</v>
      </c>
      <c r="C23" s="8">
        <f>IF(B$19=0,0,B23/B$19)</f>
        <v>0.57692307692307687</v>
      </c>
      <c r="E23" s="29" t="s">
        <v>75</v>
      </c>
      <c r="F23" s="26" t="s">
        <v>30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7</v>
      </c>
      <c r="C24" s="8">
        <f>IF(B$19=0,0,B24/B$19)</f>
        <v>0.26923076923076922</v>
      </c>
      <c r="E24" s="29" t="s">
        <v>76</v>
      </c>
      <c r="F24" s="26" t="s">
        <v>31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4</v>
      </c>
      <c r="C25" s="8">
        <f>IF(B$19=0,0,B25/B$19)</f>
        <v>0.15384615384615385</v>
      </c>
      <c r="E25" s="29" t="s">
        <v>77</v>
      </c>
      <c r="F25" s="26" t="s">
        <v>32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11434.615384615385</v>
      </c>
      <c r="C26" s="10">
        <v>297300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11610.526315789473</v>
      </c>
      <c r="C27" s="100">
        <v>220600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10957.142857142857</v>
      </c>
      <c r="C28" s="100">
        <v>76700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-7077.7777777777774</v>
      </c>
      <c r="C29" s="100">
        <v>-191100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3</v>
      </c>
    </row>
    <row r="31" spans="1:17" x14ac:dyDescent="0.45">
      <c r="A31" s="21" t="s">
        <v>159</v>
      </c>
      <c r="B31" s="14">
        <v>20</v>
      </c>
      <c r="C31" s="94">
        <v>5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33">
        <v>5</v>
      </c>
      <c r="C32" s="134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5">
        <v>68500</v>
      </c>
      <c r="C33" s="13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</row>
    <row r="34" spans="1:9" x14ac:dyDescent="0.45">
      <c r="A34" s="23" t="s">
        <v>137</v>
      </c>
      <c r="B34" s="31">
        <v>1</v>
      </c>
      <c r="C34" s="11">
        <f>IF(B$3=0,0,B34/B$3)</f>
        <v>9.433962264150943E-3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1</v>
      </c>
      <c r="C37" s="8">
        <f t="shared" si="2"/>
        <v>3.8461538461538464E-2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2</v>
      </c>
      <c r="C38" s="8">
        <f t="shared" si="2"/>
        <v>7.6923076923076927E-2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9</v>
      </c>
      <c r="C39" s="8">
        <f t="shared" si="2"/>
        <v>0.34615384615384615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5</v>
      </c>
      <c r="C40" s="8">
        <f t="shared" si="2"/>
        <v>0.19230769230769232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1</v>
      </c>
      <c r="C41" s="8">
        <f t="shared" si="2"/>
        <v>3.8461538461538464E-2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4</v>
      </c>
      <c r="C42" s="8">
        <f t="shared" si="2"/>
        <v>0.15384615384615385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9" x14ac:dyDescent="0.45">
      <c r="A43" s="21" t="s">
        <v>175</v>
      </c>
      <c r="B43" s="122">
        <v>1</v>
      </c>
      <c r="C43" s="8">
        <f t="shared" si="2"/>
        <v>3.8461538461538464E-2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3.8461538461538464E-2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1</v>
      </c>
      <c r="C47" s="8">
        <f t="shared" si="2"/>
        <v>3.8461538461538464E-2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3.8461538461538464E-2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ABC93-27B0-4FEF-B6DE-8343FEF7B2C7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189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4</v>
      </c>
      <c r="C2" s="140"/>
      <c r="E2" s="28" t="s">
        <v>64</v>
      </c>
      <c r="F2" s="25" t="s">
        <v>20</v>
      </c>
      <c r="G2" s="13">
        <v>6</v>
      </c>
      <c r="H2" s="91">
        <f>IF(B$19=0,0,G2/B$19)</f>
        <v>0.75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4466.666666666667</v>
      </c>
      <c r="P2" s="80">
        <v>3</v>
      </c>
      <c r="Q2" s="67">
        <v>13400</v>
      </c>
    </row>
    <row r="3" spans="1:17" x14ac:dyDescent="0.45">
      <c r="A3" s="21" t="s">
        <v>8</v>
      </c>
      <c r="B3" s="141">
        <v>34</v>
      </c>
      <c r="C3" s="142"/>
      <c r="E3" s="29" t="s">
        <v>66</v>
      </c>
      <c r="F3" s="26" t="s">
        <v>22</v>
      </c>
      <c r="G3" s="14">
        <v>6</v>
      </c>
      <c r="H3" s="92">
        <f>IF(B$19=0,0,G3/B$19)</f>
        <v>0.75</v>
      </c>
      <c r="I3" s="60">
        <v>5</v>
      </c>
      <c r="K3" s="7">
        <v>1</v>
      </c>
      <c r="L3" s="65">
        <v>-36.299999999999997</v>
      </c>
      <c r="N3" s="78" t="s">
        <v>129</v>
      </c>
      <c r="O3" s="84">
        <f t="shared" si="0"/>
        <v>-1750</v>
      </c>
      <c r="P3" s="81">
        <v>4</v>
      </c>
      <c r="Q3" s="68">
        <v>-7000</v>
      </c>
    </row>
    <row r="4" spans="1:17" x14ac:dyDescent="0.45">
      <c r="A4" s="21" t="s">
        <v>6</v>
      </c>
      <c r="B4" s="143">
        <v>-83.899999999999991</v>
      </c>
      <c r="C4" s="144"/>
      <c r="E4" s="29" t="s">
        <v>72</v>
      </c>
      <c r="F4" s="26" t="s">
        <v>27</v>
      </c>
      <c r="G4" s="14">
        <v>5</v>
      </c>
      <c r="H4" s="92">
        <f>IF(B$19=0,0,G4/B$19)</f>
        <v>0.625</v>
      </c>
      <c r="I4" s="60">
        <v>3</v>
      </c>
      <c r="K4" s="7">
        <v>2</v>
      </c>
      <c r="L4" s="65">
        <v>-75.5</v>
      </c>
      <c r="N4" s="78" t="s">
        <v>130</v>
      </c>
      <c r="O4" s="84">
        <f t="shared" si="0"/>
        <v>-9100</v>
      </c>
      <c r="P4" s="81">
        <v>4</v>
      </c>
      <c r="Q4" s="68">
        <v>-36400</v>
      </c>
    </row>
    <row r="5" spans="1:17" x14ac:dyDescent="0.45">
      <c r="A5" s="21" t="s">
        <v>7</v>
      </c>
      <c r="B5" s="131">
        <f>IF(B$2=0,0,B$4/B$2)</f>
        <v>-20.974999999999998</v>
      </c>
      <c r="C5" s="132"/>
      <c r="E5" s="29" t="s">
        <v>160</v>
      </c>
      <c r="F5" s="26" t="s">
        <v>161</v>
      </c>
      <c r="G5" s="14">
        <v>3</v>
      </c>
      <c r="H5" s="92">
        <f>IF(B$19=0,0,G5/B$19)</f>
        <v>0.375</v>
      </c>
      <c r="I5" s="60">
        <v>4</v>
      </c>
      <c r="K5" s="7">
        <v>3</v>
      </c>
      <c r="L5" s="65">
        <v>-90.3</v>
      </c>
      <c r="N5" s="78" t="s">
        <v>131</v>
      </c>
      <c r="O5" s="84">
        <f t="shared" si="0"/>
        <v>-575</v>
      </c>
      <c r="P5" s="81">
        <v>4</v>
      </c>
      <c r="Q5" s="68">
        <v>-2300</v>
      </c>
    </row>
    <row r="6" spans="1:17" x14ac:dyDescent="0.45">
      <c r="A6" s="21" t="s">
        <v>1</v>
      </c>
      <c r="B6" s="145">
        <f>IF(B$2=0,0,(B$7*1+B$8*2+B$9*3)/B$2)</f>
        <v>2.5</v>
      </c>
      <c r="C6" s="146"/>
      <c r="E6" s="29" t="s">
        <v>65</v>
      </c>
      <c r="F6" s="26" t="s">
        <v>21</v>
      </c>
      <c r="G6" s="14">
        <v>2</v>
      </c>
      <c r="H6" s="92">
        <f>IF(B$19=0,0,G6/B$19)</f>
        <v>0.25</v>
      </c>
      <c r="I6" s="60">
        <v>1</v>
      </c>
      <c r="K6" s="7">
        <v>4</v>
      </c>
      <c r="L6" s="65">
        <v>-83.899999999999991</v>
      </c>
      <c r="N6" s="78" t="s">
        <v>132</v>
      </c>
      <c r="O6" s="84">
        <f t="shared" si="0"/>
        <v>1375</v>
      </c>
      <c r="P6" s="81">
        <v>4</v>
      </c>
      <c r="Q6" s="68">
        <v>5500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89</v>
      </c>
      <c r="F7" s="26" t="s">
        <v>44</v>
      </c>
      <c r="G7" s="14">
        <v>2</v>
      </c>
      <c r="H7" s="92">
        <f>IF(B$19=0,0,G7/B$19)</f>
        <v>0.25</v>
      </c>
      <c r="I7" s="60">
        <v>1</v>
      </c>
      <c r="N7" s="79" t="s">
        <v>133</v>
      </c>
      <c r="O7" s="85">
        <f t="shared" si="0"/>
        <v>-8366.6666666666661</v>
      </c>
      <c r="P7" s="82">
        <v>3</v>
      </c>
      <c r="Q7" s="69">
        <v>-25100</v>
      </c>
    </row>
    <row r="8" spans="1:17" x14ac:dyDescent="0.45">
      <c r="A8" s="21" t="s">
        <v>3</v>
      </c>
      <c r="B8" s="14">
        <v>2</v>
      </c>
      <c r="C8" s="8">
        <f t="shared" si="1"/>
        <v>0.5</v>
      </c>
      <c r="E8" s="29" t="s">
        <v>67</v>
      </c>
      <c r="F8" s="26" t="s">
        <v>23</v>
      </c>
      <c r="G8" s="14">
        <v>1</v>
      </c>
      <c r="H8" s="92">
        <f>IF(B$19=0,0,G8/B$19)</f>
        <v>0.125</v>
      </c>
      <c r="I8" s="60">
        <v>8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0.5</v>
      </c>
      <c r="E9" s="29" t="s">
        <v>68</v>
      </c>
      <c r="F9" s="26" t="s">
        <v>12</v>
      </c>
      <c r="G9" s="14">
        <v>1</v>
      </c>
      <c r="H9" s="92">
        <f>IF(B$19=0,0,G9/B$19)</f>
        <v>0.125</v>
      </c>
      <c r="I9" s="60">
        <v>9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69</v>
      </c>
      <c r="F10" s="26" t="s">
        <v>24</v>
      </c>
      <c r="G10" s="14">
        <v>1</v>
      </c>
      <c r="H10" s="92">
        <f>IF(B$19=0,0,G10/B$19)</f>
        <v>0.125</v>
      </c>
      <c r="I10" s="60">
        <v>4</v>
      </c>
      <c r="N10" s="77" t="s">
        <v>152</v>
      </c>
      <c r="O10" s="86">
        <f>IF(P10=0,0,Q10/P10)</f>
        <v>-4.2</v>
      </c>
      <c r="P10" s="80">
        <v>2</v>
      </c>
      <c r="Q10" s="71">
        <v>-8.4</v>
      </c>
    </row>
    <row r="11" spans="1:17" x14ac:dyDescent="0.45">
      <c r="A11" s="22" t="s">
        <v>186</v>
      </c>
      <c r="B11" s="113">
        <f>IF(B8=0,0,C11/B8)</f>
        <v>-4.2</v>
      </c>
      <c r="C11" s="114">
        <v>-8.4</v>
      </c>
      <c r="E11" s="29" t="s">
        <v>71</v>
      </c>
      <c r="F11" s="26" t="s">
        <v>26</v>
      </c>
      <c r="G11" s="14">
        <v>1</v>
      </c>
      <c r="H11" s="92">
        <f>IF(B$19=0,0,G11/B$19)</f>
        <v>0.125</v>
      </c>
      <c r="I11" s="60">
        <v>2</v>
      </c>
      <c r="N11" s="78" t="s">
        <v>153</v>
      </c>
      <c r="O11" s="87">
        <f>IF(P11=0,0,Q11/P11)</f>
        <v>-37.75</v>
      </c>
      <c r="P11" s="81">
        <v>2</v>
      </c>
      <c r="Q11" s="72">
        <v>-75.5</v>
      </c>
    </row>
    <row r="12" spans="1:17" x14ac:dyDescent="0.45">
      <c r="A12" s="22" t="s">
        <v>187</v>
      </c>
      <c r="B12" s="113">
        <f>IF(B9=0,0,C12/B9)</f>
        <v>-37.75</v>
      </c>
      <c r="C12" s="114">
        <v>-75.5</v>
      </c>
      <c r="E12" s="29" t="s">
        <v>77</v>
      </c>
      <c r="F12" s="26" t="s">
        <v>32</v>
      </c>
      <c r="G12" s="14">
        <v>1</v>
      </c>
      <c r="H12" s="92">
        <f>IF(B$19=0,0,G12/B$19)</f>
        <v>0.125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1">
        <f>AVERAGE(B10:B12)</f>
        <v>-13.983333333333334</v>
      </c>
      <c r="C13" s="132"/>
      <c r="E13" s="29" t="s">
        <v>83</v>
      </c>
      <c r="F13" s="26" t="s">
        <v>38</v>
      </c>
      <c r="G13" s="14">
        <v>1</v>
      </c>
      <c r="H13" s="92">
        <f>IF(B$19=0,0,G13/B$19)</f>
        <v>0.125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10</v>
      </c>
      <c r="C15" s="12">
        <f>IF(B$3=0,0,B15/B$3)</f>
        <v>0.29411764705882354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N15" s="77" t="s">
        <v>164</v>
      </c>
      <c r="O15" s="86">
        <f>IF(P15=0,0,Q15/P15)</f>
        <v>-26.674999999999997</v>
      </c>
      <c r="P15" s="80">
        <v>4</v>
      </c>
      <c r="Q15" s="71">
        <v>-106.69999999999999</v>
      </c>
    </row>
    <row r="16" spans="1:17" x14ac:dyDescent="0.45">
      <c r="A16" s="21" t="s">
        <v>118</v>
      </c>
      <c r="B16" s="14">
        <v>2</v>
      </c>
      <c r="C16" s="8">
        <f>IF(B$3=0,0,B16/B$3)</f>
        <v>5.8823529411764705E-2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-26.900000000000002</v>
      </c>
      <c r="P16" s="81">
        <v>3</v>
      </c>
      <c r="Q16" s="72">
        <v>-80.7</v>
      </c>
    </row>
    <row r="17" spans="1:17" x14ac:dyDescent="0.45">
      <c r="A17" s="20" t="s">
        <v>123</v>
      </c>
      <c r="B17" s="13">
        <f>B23</f>
        <v>5</v>
      </c>
      <c r="C17" s="6">
        <f>IF(B$15=0,0,B17/B$15)</f>
        <v>0.5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</v>
      </c>
      <c r="N17" s="78" t="s">
        <v>192</v>
      </c>
      <c r="O17" s="87">
        <f>IF(P17=0,0,Q17/P17)</f>
        <v>-64.3</v>
      </c>
      <c r="P17" s="81">
        <v>1</v>
      </c>
      <c r="Q17" s="72">
        <v>-64.3</v>
      </c>
    </row>
    <row r="18" spans="1:17" x14ac:dyDescent="0.45">
      <c r="A18" s="20" t="s">
        <v>124</v>
      </c>
      <c r="B18" s="13">
        <f>B24</f>
        <v>1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</row>
    <row r="19" spans="1:17" x14ac:dyDescent="0.45">
      <c r="A19" s="20" t="s">
        <v>10</v>
      </c>
      <c r="B19" s="13">
        <f>B22+B21</f>
        <v>8</v>
      </c>
      <c r="C19" s="6">
        <f>IF(B$3=0,0,B19/B$3)</f>
        <v>0.23529411764705882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5</v>
      </c>
    </row>
    <row r="20" spans="1:17" x14ac:dyDescent="0.45">
      <c r="A20" s="21" t="s">
        <v>13</v>
      </c>
      <c r="B20" s="14">
        <v>11</v>
      </c>
      <c r="C20" s="8">
        <f>IF(B$3=0,0,B20/B$3)</f>
        <v>0.3235294117647059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5</v>
      </c>
    </row>
    <row r="21" spans="1:17" x14ac:dyDescent="0.45">
      <c r="A21" s="21" t="s">
        <v>12</v>
      </c>
      <c r="B21" s="14">
        <v>5</v>
      </c>
      <c r="C21" s="8">
        <f>IF(B$19=0,0,B21/B$19)</f>
        <v>0.625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3</v>
      </c>
      <c r="C22" s="8">
        <f>IF(B$19=0,0,B22/B$19)</f>
        <v>0.375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6</v>
      </c>
    </row>
    <row r="23" spans="1:17" x14ac:dyDescent="0.45">
      <c r="A23" s="21" t="s">
        <v>184</v>
      </c>
      <c r="B23" s="14">
        <v>5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1</v>
      </c>
      <c r="C24" s="8">
        <f>IF(B$19=0,0,B24/B$19)</f>
        <v>0.125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2</v>
      </c>
      <c r="C25" s="8">
        <f>IF(B$19=0,0,B25/B$19)</f>
        <v>0.25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9262.5</v>
      </c>
      <c r="C26" s="10">
        <v>74100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5</v>
      </c>
    </row>
    <row r="27" spans="1:17" x14ac:dyDescent="0.45">
      <c r="A27" s="22" t="s">
        <v>166</v>
      </c>
      <c r="B27" s="99">
        <f>IF($B$19-B$18=0,0,C27/($B$19-B$18))</f>
        <v>8014.2857142857147</v>
      </c>
      <c r="C27" s="100">
        <v>56100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18000</v>
      </c>
      <c r="C28" s="100">
        <v>18000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-6763.636363636364</v>
      </c>
      <c r="C29" s="100">
        <v>-74400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4</v>
      </c>
    </row>
    <row r="32" spans="1:17" x14ac:dyDescent="0.45">
      <c r="A32" s="56" t="s">
        <v>136</v>
      </c>
      <c r="B32" s="133">
        <v>3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41400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2.9411764705882353E-2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3</v>
      </c>
      <c r="C37" s="8">
        <f t="shared" si="2"/>
        <v>0.375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2</v>
      </c>
      <c r="C40" s="8">
        <f t="shared" si="2"/>
        <v>0.25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0.125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7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599EB-1907-4BBD-B0BD-5F411B8FBA97}">
  <sheetPr codeName="Sheet1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126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18</v>
      </c>
      <c r="C2" s="140"/>
      <c r="E2" s="28" t="s">
        <v>66</v>
      </c>
      <c r="F2" s="25" t="s">
        <v>22</v>
      </c>
      <c r="G2" s="13">
        <v>38</v>
      </c>
      <c r="H2" s="91">
        <f>IF(B$19=0,0,G2/B$19)</f>
        <v>0.70370370370370372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1583.3333333333333</v>
      </c>
      <c r="P2" s="80">
        <v>18</v>
      </c>
      <c r="Q2" s="67">
        <v>28500</v>
      </c>
    </row>
    <row r="3" spans="1:17" x14ac:dyDescent="0.45">
      <c r="A3" s="21" t="s">
        <v>8</v>
      </c>
      <c r="B3" s="141">
        <v>142</v>
      </c>
      <c r="C3" s="142"/>
      <c r="E3" s="29" t="s">
        <v>72</v>
      </c>
      <c r="F3" s="26" t="s">
        <v>27</v>
      </c>
      <c r="G3" s="14">
        <v>30</v>
      </c>
      <c r="H3" s="92">
        <f>IF(B$19=0,0,G3/B$19)</f>
        <v>0.55555555555555558</v>
      </c>
      <c r="I3" s="60">
        <v>6</v>
      </c>
      <c r="K3" s="7">
        <v>1</v>
      </c>
      <c r="L3" s="65">
        <v>39.200000000000003</v>
      </c>
      <c r="N3" s="78" t="s">
        <v>129</v>
      </c>
      <c r="O3" s="84">
        <f t="shared" si="0"/>
        <v>3933.3333333333335</v>
      </c>
      <c r="P3" s="81">
        <v>18</v>
      </c>
      <c r="Q3" s="68">
        <v>70800</v>
      </c>
    </row>
    <row r="4" spans="1:17" x14ac:dyDescent="0.45">
      <c r="A4" s="21" t="s">
        <v>6</v>
      </c>
      <c r="B4" s="143">
        <v>280</v>
      </c>
      <c r="C4" s="144"/>
      <c r="E4" s="29" t="s">
        <v>64</v>
      </c>
      <c r="F4" s="26" t="s">
        <v>20</v>
      </c>
      <c r="G4" s="14">
        <v>18</v>
      </c>
      <c r="H4" s="92">
        <f>IF(B$19=0,0,G4/B$19)</f>
        <v>0.33333333333333331</v>
      </c>
      <c r="I4" s="60">
        <v>8</v>
      </c>
      <c r="K4" s="7">
        <v>2</v>
      </c>
      <c r="L4" s="65">
        <v>99.6</v>
      </c>
      <c r="N4" s="78" t="s">
        <v>130</v>
      </c>
      <c r="O4" s="84">
        <f t="shared" si="0"/>
        <v>3677.7777777777778</v>
      </c>
      <c r="P4" s="81">
        <v>18</v>
      </c>
      <c r="Q4" s="68">
        <v>66200</v>
      </c>
    </row>
    <row r="5" spans="1:17" x14ac:dyDescent="0.45">
      <c r="A5" s="21" t="s">
        <v>7</v>
      </c>
      <c r="B5" s="131">
        <f>IF(B$2=0,0,B$4/B$2)</f>
        <v>15.555555555555555</v>
      </c>
      <c r="C5" s="132"/>
      <c r="E5" s="29" t="s">
        <v>160</v>
      </c>
      <c r="F5" s="26" t="s">
        <v>161</v>
      </c>
      <c r="G5" s="14">
        <v>16</v>
      </c>
      <c r="H5" s="92">
        <f>IF(B$19=0,0,G5/B$19)</f>
        <v>0.29629629629629628</v>
      </c>
      <c r="I5" s="60">
        <v>7</v>
      </c>
      <c r="K5" s="7">
        <v>3</v>
      </c>
      <c r="L5" s="65">
        <v>98.1</v>
      </c>
      <c r="N5" s="78" t="s">
        <v>131</v>
      </c>
      <c r="O5" s="84">
        <f t="shared" si="0"/>
        <v>4623.5294117647063</v>
      </c>
      <c r="P5" s="81">
        <v>17</v>
      </c>
      <c r="Q5" s="68">
        <v>78600</v>
      </c>
    </row>
    <row r="6" spans="1:17" x14ac:dyDescent="0.45">
      <c r="A6" s="21" t="s">
        <v>1</v>
      </c>
      <c r="B6" s="145">
        <f>IF(B$2=0,0,(B$7*1+B$8*2+B$9*3)/B$2)</f>
        <v>1.7222222222222223</v>
      </c>
      <c r="C6" s="146"/>
      <c r="E6" s="29" t="s">
        <v>68</v>
      </c>
      <c r="F6" s="26" t="s">
        <v>12</v>
      </c>
      <c r="G6" s="14">
        <v>15</v>
      </c>
      <c r="H6" s="92">
        <f>IF(B$19=0,0,G6/B$19)</f>
        <v>0.27777777777777779</v>
      </c>
      <c r="I6" s="60">
        <v>4</v>
      </c>
      <c r="K6" s="7">
        <v>4</v>
      </c>
      <c r="L6" s="65">
        <v>101.5</v>
      </c>
      <c r="N6" s="78" t="s">
        <v>132</v>
      </c>
      <c r="O6" s="84">
        <f t="shared" si="0"/>
        <v>-2773.3333333333335</v>
      </c>
      <c r="P6" s="81">
        <v>15</v>
      </c>
      <c r="Q6" s="68">
        <v>-41600</v>
      </c>
    </row>
    <row r="7" spans="1:17" x14ac:dyDescent="0.45">
      <c r="A7" s="21" t="s">
        <v>2</v>
      </c>
      <c r="B7" s="14">
        <v>9</v>
      </c>
      <c r="C7" s="8">
        <f t="shared" ref="C7:C14" si="1">IF(B$2=0,0,B7/B$2)</f>
        <v>0.5</v>
      </c>
      <c r="E7" s="29" t="s">
        <v>89</v>
      </c>
      <c r="F7" s="26" t="s">
        <v>44</v>
      </c>
      <c r="G7" s="14">
        <v>11</v>
      </c>
      <c r="H7" s="92">
        <f>IF(B$19=0,0,G7/B$19)</f>
        <v>0.20370370370370369</v>
      </c>
      <c r="I7" s="60">
        <v>3</v>
      </c>
      <c r="K7" s="7">
        <v>5</v>
      </c>
      <c r="L7" s="65">
        <v>143.1</v>
      </c>
      <c r="N7" s="79" t="s">
        <v>133</v>
      </c>
      <c r="O7" s="85">
        <f t="shared" si="0"/>
        <v>-2466.6666666666665</v>
      </c>
      <c r="P7" s="82">
        <v>9</v>
      </c>
      <c r="Q7" s="69">
        <v>-22200</v>
      </c>
    </row>
    <row r="8" spans="1:17" x14ac:dyDescent="0.45">
      <c r="A8" s="21" t="s">
        <v>3</v>
      </c>
      <c r="B8" s="14">
        <v>5</v>
      </c>
      <c r="C8" s="8">
        <f t="shared" si="1"/>
        <v>0.27777777777777779</v>
      </c>
      <c r="E8" s="29" t="s">
        <v>67</v>
      </c>
      <c r="F8" s="26" t="s">
        <v>23</v>
      </c>
      <c r="G8" s="14">
        <v>10</v>
      </c>
      <c r="H8" s="92">
        <f>IF(B$19=0,0,G8/B$19)</f>
        <v>0.18518518518518517</v>
      </c>
      <c r="I8" s="60">
        <v>7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0.22222222222222221</v>
      </c>
      <c r="E9" s="29" t="s">
        <v>69</v>
      </c>
      <c r="F9" s="26" t="s">
        <v>24</v>
      </c>
      <c r="G9" s="14">
        <v>7</v>
      </c>
      <c r="H9" s="92">
        <f>IF(B$19=0,0,G9/B$19)</f>
        <v>0.12962962962962962</v>
      </c>
      <c r="I9" s="60">
        <v>3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45.411111111111111</v>
      </c>
      <c r="C10" s="114">
        <v>408.7</v>
      </c>
      <c r="E10" s="29" t="s">
        <v>71</v>
      </c>
      <c r="F10" s="26" t="s">
        <v>26</v>
      </c>
      <c r="G10" s="14">
        <v>5</v>
      </c>
      <c r="H10" s="92">
        <f>IF(B$19=0,0,G10/B$19)</f>
        <v>9.2592592592592587E-2</v>
      </c>
      <c r="I10" s="60">
        <v>4</v>
      </c>
      <c r="K10" s="7">
        <v>8</v>
      </c>
      <c r="L10" s="65">
        <v>132.6</v>
      </c>
      <c r="N10" s="77" t="s">
        <v>152</v>
      </c>
      <c r="O10" s="86">
        <f>IF(P10=0,0,Q10/P10)</f>
        <v>6.18</v>
      </c>
      <c r="P10" s="80">
        <v>5</v>
      </c>
      <c r="Q10" s="71">
        <v>30.9</v>
      </c>
    </row>
    <row r="11" spans="1:17" x14ac:dyDescent="0.45">
      <c r="A11" s="22" t="s">
        <v>186</v>
      </c>
      <c r="B11" s="113">
        <f>IF(B8=0,0,C11/B8)</f>
        <v>3.72</v>
      </c>
      <c r="C11" s="114">
        <v>18.600000000000001</v>
      </c>
      <c r="E11" s="29" t="s">
        <v>86</v>
      </c>
      <c r="F11" s="26" t="s">
        <v>41</v>
      </c>
      <c r="G11" s="14">
        <v>5</v>
      </c>
      <c r="H11" s="92">
        <f>IF(B$19=0,0,G11/B$19)</f>
        <v>9.2592592592592587E-2</v>
      </c>
      <c r="I11" s="60">
        <v>3</v>
      </c>
      <c r="K11" s="7">
        <v>9</v>
      </c>
      <c r="L11" s="65">
        <v>151.29999999999998</v>
      </c>
      <c r="N11" s="78" t="s">
        <v>153</v>
      </c>
      <c r="O11" s="87">
        <f>IF(P11=0,0,Q11/P11)</f>
        <v>13.916666666666666</v>
      </c>
      <c r="P11" s="81">
        <v>6</v>
      </c>
      <c r="Q11" s="72">
        <v>83.5</v>
      </c>
    </row>
    <row r="12" spans="1:17" x14ac:dyDescent="0.45">
      <c r="A12" s="22" t="s">
        <v>187</v>
      </c>
      <c r="B12" s="113">
        <f>IF(B9=0,0,C12/B9)</f>
        <v>-36.825000000000003</v>
      </c>
      <c r="C12" s="114">
        <v>-147.30000000000001</v>
      </c>
      <c r="E12" s="29" t="s">
        <v>83</v>
      </c>
      <c r="F12" s="26" t="s">
        <v>38</v>
      </c>
      <c r="G12" s="14">
        <v>4</v>
      </c>
      <c r="H12" s="92">
        <f>IF(B$19=0,0,G12/B$19)</f>
        <v>7.407407407407407E-2</v>
      </c>
      <c r="I12" s="60">
        <v>4</v>
      </c>
      <c r="K12" s="7">
        <v>10</v>
      </c>
      <c r="L12" s="65">
        <v>229</v>
      </c>
      <c r="N12" s="79" t="s">
        <v>154</v>
      </c>
      <c r="O12" s="88">
        <f>IF(P12=0,0,Q12/P12)</f>
        <v>23.657142857142862</v>
      </c>
      <c r="P12" s="82">
        <v>7</v>
      </c>
      <c r="Q12" s="73">
        <v>165.60000000000002</v>
      </c>
    </row>
    <row r="13" spans="1:17" x14ac:dyDescent="0.45">
      <c r="A13" s="22" t="s">
        <v>188</v>
      </c>
      <c r="B13" s="131">
        <f>AVERAGE(B10:B12)</f>
        <v>4.1020370370370358</v>
      </c>
      <c r="C13" s="132"/>
      <c r="E13" s="29" t="s">
        <v>65</v>
      </c>
      <c r="F13" s="26" t="s">
        <v>21</v>
      </c>
      <c r="G13" s="14">
        <v>3</v>
      </c>
      <c r="H13" s="92">
        <f>IF(B$19=0,0,G13/B$19)</f>
        <v>5.5555555555555552E-2</v>
      </c>
      <c r="I13" s="60">
        <v>8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70</v>
      </c>
      <c r="F14" s="26" t="s">
        <v>25</v>
      </c>
      <c r="G14" s="14">
        <v>2</v>
      </c>
      <c r="H14" s="92">
        <f>IF(B$19=0,0,G14/B$19)</f>
        <v>3.7037037037037035E-2</v>
      </c>
      <c r="I14" s="60">
        <v>5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35</v>
      </c>
      <c r="C15" s="12">
        <f>IF(B$3=0,0,B15/B$3)</f>
        <v>0.24647887323943662</v>
      </c>
      <c r="E15" s="29" t="s">
        <v>79</v>
      </c>
      <c r="F15" s="26" t="s">
        <v>34</v>
      </c>
      <c r="G15" s="14">
        <v>2</v>
      </c>
      <c r="H15" s="92">
        <f>IF(B$19=0,0,G15/B$19)</f>
        <v>3.7037037037037035E-2</v>
      </c>
      <c r="I15" s="60">
        <v>3</v>
      </c>
      <c r="K15" s="7">
        <v>13</v>
      </c>
      <c r="L15" s="65">
        <v>197</v>
      </c>
      <c r="N15" s="77" t="s">
        <v>193</v>
      </c>
      <c r="O15" s="86">
        <f>IF(P15=0,0,Q15/P15)</f>
        <v>55.05</v>
      </c>
      <c r="P15" s="80">
        <v>2</v>
      </c>
      <c r="Q15" s="71">
        <v>110.1</v>
      </c>
    </row>
    <row r="16" spans="1:17" x14ac:dyDescent="0.45">
      <c r="A16" s="21" t="s">
        <v>118</v>
      </c>
      <c r="B16" s="14">
        <v>30</v>
      </c>
      <c r="C16" s="8">
        <f>IF(B$3=0,0,B16/B$3)</f>
        <v>0.21126760563380281</v>
      </c>
      <c r="E16" s="29" t="s">
        <v>73</v>
      </c>
      <c r="F16" s="26" t="s">
        <v>28</v>
      </c>
      <c r="G16" s="14">
        <v>1</v>
      </c>
      <c r="H16" s="92">
        <f>IF(B$19=0,0,G16/B$19)</f>
        <v>1.8518518518518517E-2</v>
      </c>
      <c r="I16" s="60">
        <v>1</v>
      </c>
      <c r="K16" s="7">
        <v>14</v>
      </c>
      <c r="L16" s="65">
        <v>249.2</v>
      </c>
      <c r="N16" s="78" t="s">
        <v>194</v>
      </c>
      <c r="O16" s="87">
        <f>IF(P16=0,0,Q16/P16)</f>
        <v>35</v>
      </c>
      <c r="P16" s="81">
        <v>3</v>
      </c>
      <c r="Q16" s="72">
        <v>105</v>
      </c>
    </row>
    <row r="17" spans="1:17" x14ac:dyDescent="0.45">
      <c r="A17" s="20" t="s">
        <v>123</v>
      </c>
      <c r="B17" s="13">
        <f>B23</f>
        <v>20</v>
      </c>
      <c r="C17" s="6">
        <f>IF(B$15=0,0,B17/B$15)</f>
        <v>0.5714285714285714</v>
      </c>
      <c r="E17" s="29" t="s">
        <v>87</v>
      </c>
      <c r="F17" s="26" t="s">
        <v>42</v>
      </c>
      <c r="G17" s="14">
        <v>1</v>
      </c>
      <c r="H17" s="92">
        <f>IF(B$19=0,0,G17/B$19)</f>
        <v>1.8518518518518517E-2</v>
      </c>
      <c r="I17" s="60">
        <v>1</v>
      </c>
      <c r="K17" s="7">
        <v>15</v>
      </c>
      <c r="L17" s="65">
        <v>213.5</v>
      </c>
      <c r="N17" s="78" t="s">
        <v>196</v>
      </c>
      <c r="O17" s="87">
        <f>IF(P17=0,0,Q17/P17)</f>
        <v>34.9</v>
      </c>
      <c r="P17" s="81">
        <v>2</v>
      </c>
      <c r="Q17" s="72">
        <v>69.8</v>
      </c>
    </row>
    <row r="18" spans="1:17" x14ac:dyDescent="0.45">
      <c r="A18" s="20" t="s">
        <v>124</v>
      </c>
      <c r="B18" s="13">
        <f>B24</f>
        <v>18</v>
      </c>
      <c r="C18" s="6">
        <f>IF(B$16=0,0,B18/B$16)</f>
        <v>0.6</v>
      </c>
      <c r="E18" s="29" t="s">
        <v>91</v>
      </c>
      <c r="F18" s="26" t="s">
        <v>46</v>
      </c>
      <c r="G18" s="14">
        <v>1</v>
      </c>
      <c r="H18" s="92">
        <f>IF(B$19=0,0,G18/B$19)</f>
        <v>1.8518518518518517E-2</v>
      </c>
      <c r="I18" s="60">
        <v>2</v>
      </c>
      <c r="K18" s="7">
        <v>16</v>
      </c>
      <c r="L18" s="65">
        <v>273.8</v>
      </c>
      <c r="N18" s="78" t="s">
        <v>192</v>
      </c>
      <c r="O18" s="87">
        <f>IF(P18=0,0,Q18/P18)</f>
        <v>27.707142857142856</v>
      </c>
      <c r="P18" s="81">
        <v>14</v>
      </c>
      <c r="Q18" s="72">
        <v>387.9</v>
      </c>
    </row>
    <row r="19" spans="1:17" x14ac:dyDescent="0.45">
      <c r="A19" s="20" t="s">
        <v>10</v>
      </c>
      <c r="B19" s="13">
        <f>B22+B21</f>
        <v>54</v>
      </c>
      <c r="C19" s="6">
        <f>IF(B$3=0,0,B19/B$3)</f>
        <v>0.38028169014084506</v>
      </c>
      <c r="E19" s="29" t="s">
        <v>92</v>
      </c>
      <c r="F19" s="26" t="s">
        <v>47</v>
      </c>
      <c r="G19" s="14">
        <v>1</v>
      </c>
      <c r="H19" s="92">
        <f>IF(B$19=0,0,G19/B$19)</f>
        <v>1.8518518518518517E-2</v>
      </c>
      <c r="I19" s="60">
        <v>2</v>
      </c>
      <c r="K19" s="7">
        <v>17</v>
      </c>
      <c r="L19" s="65">
        <v>242.8</v>
      </c>
      <c r="N19" s="78" t="s">
        <v>189</v>
      </c>
      <c r="O19" s="87">
        <f>IF(P19=0,0,Q19/P19)</f>
        <v>26.900000000000002</v>
      </c>
      <c r="P19" s="81">
        <v>3</v>
      </c>
      <c r="Q19" s="72">
        <v>80.7</v>
      </c>
    </row>
    <row r="20" spans="1:17" x14ac:dyDescent="0.45">
      <c r="A20" s="21" t="s">
        <v>13</v>
      </c>
      <c r="B20" s="14">
        <v>19</v>
      </c>
      <c r="C20" s="8">
        <f>IF(B$3=0,0,B20/B$3)</f>
        <v>0.13380281690140844</v>
      </c>
      <c r="E20" s="29" t="s">
        <v>93</v>
      </c>
      <c r="F20" s="26" t="s">
        <v>48</v>
      </c>
      <c r="G20" s="14">
        <v>1</v>
      </c>
      <c r="H20" s="92">
        <f>IF(B$19=0,0,G20/B$19)</f>
        <v>1.8518518518518517E-2</v>
      </c>
      <c r="I20" s="60">
        <v>1</v>
      </c>
      <c r="K20" s="7">
        <v>18</v>
      </c>
      <c r="L20" s="65">
        <v>280</v>
      </c>
      <c r="N20" s="78" t="s">
        <v>164</v>
      </c>
      <c r="O20" s="87">
        <f>IF(P20=0,0,Q20/P20)</f>
        <v>9.8777777777777782</v>
      </c>
      <c r="P20" s="81">
        <v>9</v>
      </c>
      <c r="Q20" s="72">
        <v>88.9</v>
      </c>
    </row>
    <row r="21" spans="1:17" x14ac:dyDescent="0.45">
      <c r="A21" s="21" t="s">
        <v>12</v>
      </c>
      <c r="B21" s="14">
        <v>25</v>
      </c>
      <c r="C21" s="8">
        <f>IF(B$19=0,0,B21/B$19)</f>
        <v>0.46296296296296297</v>
      </c>
      <c r="E21" s="29" t="s">
        <v>95</v>
      </c>
      <c r="F21" s="26" t="s">
        <v>50</v>
      </c>
      <c r="G21" s="14">
        <v>1</v>
      </c>
      <c r="H21" s="92">
        <f>IF(B$19=0,0,G21/B$19)</f>
        <v>1.8518518518518517E-2</v>
      </c>
      <c r="I21" s="60">
        <v>1</v>
      </c>
      <c r="N21" s="78" t="s">
        <v>205</v>
      </c>
      <c r="O21" s="87">
        <f>IF(P21=0,0,Q21/P21)</f>
        <v>-0.80000000000000193</v>
      </c>
      <c r="P21" s="81">
        <v>3</v>
      </c>
      <c r="Q21" s="72">
        <v>-2.4000000000000057</v>
      </c>
    </row>
    <row r="22" spans="1:17" x14ac:dyDescent="0.45">
      <c r="A22" s="21" t="s">
        <v>11</v>
      </c>
      <c r="B22" s="14">
        <v>29</v>
      </c>
      <c r="C22" s="8">
        <f>IF(B$19=0,0,B22/B$19)</f>
        <v>0.53703703703703709</v>
      </c>
      <c r="E22" s="29" t="s">
        <v>156</v>
      </c>
      <c r="F22" s="26" t="s">
        <v>157</v>
      </c>
      <c r="G22" s="14">
        <v>1</v>
      </c>
      <c r="H22" s="92">
        <f>IF(B$19=0,0,G22/B$19)</f>
        <v>1.8518518518518517E-2</v>
      </c>
      <c r="I22" s="60">
        <v>2</v>
      </c>
    </row>
    <row r="23" spans="1:17" x14ac:dyDescent="0.45">
      <c r="A23" s="21" t="s">
        <v>184</v>
      </c>
      <c r="B23" s="14">
        <v>20</v>
      </c>
      <c r="C23" s="8">
        <f>IF(B$19=0,0,B23/B$19)</f>
        <v>0.37037037037037035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18</v>
      </c>
      <c r="C24" s="8">
        <f>IF(B$19=0,0,B24/B$19)</f>
        <v>0.33333333333333331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16</v>
      </c>
      <c r="C25" s="8">
        <f>IF(B$19=0,0,B25/B$19)</f>
        <v>0.29629629629629628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9292.5925925925931</v>
      </c>
      <c r="C26" s="10">
        <v>501800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8947.2222222222226</v>
      </c>
      <c r="C27" s="100">
        <v>322100</v>
      </c>
      <c r="E27" s="29" t="s">
        <v>78</v>
      </c>
      <c r="F27" s="26" t="s">
        <v>33</v>
      </c>
      <c r="G27" s="14">
        <v>0</v>
      </c>
      <c r="H27" s="92">
        <f>IF(B$19=0,0,G27/B$19)</f>
        <v>0</v>
      </c>
      <c r="I27" s="60">
        <v>5</v>
      </c>
    </row>
    <row r="28" spans="1:17" x14ac:dyDescent="0.45">
      <c r="A28" s="22" t="s">
        <v>167</v>
      </c>
      <c r="B28" s="99">
        <f>IF(B$18=0,0,C28/B$18)</f>
        <v>9983.3333333333339</v>
      </c>
      <c r="C28" s="100">
        <v>179700</v>
      </c>
      <c r="E28" s="29" t="s">
        <v>80</v>
      </c>
      <c r="F28" s="26" t="s">
        <v>35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-9763.1578947368416</v>
      </c>
      <c r="C29" s="100">
        <v>-185500</v>
      </c>
      <c r="E29" s="29" t="s">
        <v>81</v>
      </c>
      <c r="F29" s="26" t="s">
        <v>36</v>
      </c>
      <c r="G29" s="14">
        <v>0</v>
      </c>
      <c r="H29" s="92">
        <f>IF(B$19=0,0,G29/B$19)</f>
        <v>0</v>
      </c>
      <c r="I29" s="60">
        <v>6</v>
      </c>
    </row>
    <row r="30" spans="1:17" x14ac:dyDescent="0.45">
      <c r="A30" s="21" t="s">
        <v>158</v>
      </c>
      <c r="B30" s="14">
        <v>4</v>
      </c>
      <c r="C30" s="94">
        <v>1</v>
      </c>
      <c r="E30" s="29" t="s">
        <v>82</v>
      </c>
      <c r="F30" s="26" t="s">
        <v>37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21</v>
      </c>
      <c r="C31" s="94">
        <v>1</v>
      </c>
      <c r="E31" s="29" t="s">
        <v>84</v>
      </c>
      <c r="F31" s="26" t="s">
        <v>39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33">
        <v>5</v>
      </c>
      <c r="C32" s="134"/>
      <c r="E32" s="29" t="s">
        <v>85</v>
      </c>
      <c r="F32" s="26" t="s">
        <v>40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5">
        <v>102700</v>
      </c>
      <c r="C33" s="136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4</v>
      </c>
      <c r="C36" s="102">
        <f t="shared" ref="C36:C48" si="2">IF(B$19=0,0,B36/B$19)</f>
        <v>7.407407407407407E-2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9</v>
      </c>
      <c r="C37" s="8">
        <f t="shared" si="2"/>
        <v>0.16666666666666666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9</v>
      </c>
      <c r="C38" s="8">
        <f t="shared" si="2"/>
        <v>0.16666666666666666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11</v>
      </c>
      <c r="C39" s="8">
        <f t="shared" si="2"/>
        <v>0.20370370370370369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8</v>
      </c>
      <c r="C40" s="8">
        <f t="shared" si="2"/>
        <v>0.14814814814814814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9.2592592592592587E-2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3</v>
      </c>
      <c r="C42" s="8">
        <f t="shared" si="2"/>
        <v>5.5555555555555552E-2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1.8518518518518517E-2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1.8518518518518517E-2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3</v>
      </c>
      <c r="C48" s="11">
        <f t="shared" si="2"/>
        <v>5.5555555555555552E-2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4FCD9-9BEC-4509-B94A-21874D1ECCF0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194</v>
      </c>
      <c r="C1" s="138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8</v>
      </c>
      <c r="C2" s="140"/>
      <c r="E2" s="28" t="s">
        <v>64</v>
      </c>
      <c r="F2" s="25" t="s">
        <v>20</v>
      </c>
      <c r="G2" s="13">
        <v>7</v>
      </c>
      <c r="H2" s="91">
        <f>IF(B$19=0,0,G2/B$19)</f>
        <v>0.63636363636363635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-5062.5</v>
      </c>
      <c r="P2" s="80">
        <v>8</v>
      </c>
      <c r="Q2" s="67">
        <v>-40500</v>
      </c>
    </row>
    <row r="3" spans="1:17" x14ac:dyDescent="0.45">
      <c r="A3" s="21" t="s">
        <v>8</v>
      </c>
      <c r="B3" s="141">
        <v>52</v>
      </c>
      <c r="C3" s="142"/>
      <c r="E3" s="29" t="s">
        <v>160</v>
      </c>
      <c r="F3" s="26" t="s">
        <v>161</v>
      </c>
      <c r="G3" s="14">
        <v>6</v>
      </c>
      <c r="H3" s="92">
        <f>IF(B$19=0,0,G3/B$19)</f>
        <v>0.54545454545454541</v>
      </c>
      <c r="I3" s="60">
        <v>1</v>
      </c>
      <c r="K3" s="7">
        <v>1</v>
      </c>
      <c r="L3" s="65">
        <v>-55.5</v>
      </c>
      <c r="N3" s="78" t="s">
        <v>129</v>
      </c>
      <c r="O3" s="84">
        <f t="shared" si="0"/>
        <v>-2512.5</v>
      </c>
      <c r="P3" s="81">
        <v>8</v>
      </c>
      <c r="Q3" s="68">
        <v>-20100</v>
      </c>
    </row>
    <row r="4" spans="1:17" x14ac:dyDescent="0.45">
      <c r="A4" s="21" t="s">
        <v>6</v>
      </c>
      <c r="B4" s="143">
        <v>-157.19999999999999</v>
      </c>
      <c r="C4" s="144"/>
      <c r="E4" s="29" t="s">
        <v>66</v>
      </c>
      <c r="F4" s="26" t="s">
        <v>22</v>
      </c>
      <c r="G4" s="14">
        <v>5</v>
      </c>
      <c r="H4" s="92">
        <f>IF(B$19=0,0,G4/B$19)</f>
        <v>0.45454545454545453</v>
      </c>
      <c r="I4" s="60">
        <v>8</v>
      </c>
      <c r="K4" s="7">
        <v>2</v>
      </c>
      <c r="L4" s="65">
        <v>-106.5</v>
      </c>
      <c r="N4" s="78" t="s">
        <v>130</v>
      </c>
      <c r="O4" s="84">
        <f t="shared" si="0"/>
        <v>-8150</v>
      </c>
      <c r="P4" s="81">
        <v>8</v>
      </c>
      <c r="Q4" s="68">
        <v>-65200</v>
      </c>
    </row>
    <row r="5" spans="1:17" x14ac:dyDescent="0.45">
      <c r="A5" s="21" t="s">
        <v>7</v>
      </c>
      <c r="B5" s="131">
        <f>IF(B$2=0,0,B$4/B$2)</f>
        <v>-19.649999999999999</v>
      </c>
      <c r="C5" s="132"/>
      <c r="E5" s="29" t="s">
        <v>72</v>
      </c>
      <c r="F5" s="26" t="s">
        <v>27</v>
      </c>
      <c r="G5" s="14">
        <v>5</v>
      </c>
      <c r="H5" s="92">
        <f>IF(B$19=0,0,G5/B$19)</f>
        <v>0.45454545454545453</v>
      </c>
      <c r="I5" s="60">
        <v>8</v>
      </c>
      <c r="K5" s="7">
        <v>3</v>
      </c>
      <c r="L5" s="65">
        <v>-108</v>
      </c>
      <c r="N5" s="78" t="s">
        <v>131</v>
      </c>
      <c r="O5" s="84">
        <f t="shared" si="0"/>
        <v>3433.3333333333335</v>
      </c>
      <c r="P5" s="81">
        <v>6</v>
      </c>
      <c r="Q5" s="68">
        <v>20600</v>
      </c>
    </row>
    <row r="6" spans="1:17" x14ac:dyDescent="0.45">
      <c r="A6" s="21" t="s">
        <v>1</v>
      </c>
      <c r="B6" s="145">
        <f>IF(B$2=0,0,(B$7*1+B$8*2+B$9*3)/B$2)</f>
        <v>2.5</v>
      </c>
      <c r="C6" s="146"/>
      <c r="E6" s="29" t="s">
        <v>67</v>
      </c>
      <c r="F6" s="26" t="s">
        <v>23</v>
      </c>
      <c r="G6" s="14">
        <v>4</v>
      </c>
      <c r="H6" s="92">
        <f>IF(B$19=0,0,G6/B$19)</f>
        <v>0.36363636363636365</v>
      </c>
      <c r="I6" s="60">
        <v>2</v>
      </c>
      <c r="K6" s="7">
        <v>4</v>
      </c>
      <c r="L6" s="65">
        <v>-115.5</v>
      </c>
      <c r="N6" s="78" t="s">
        <v>132</v>
      </c>
      <c r="O6" s="84">
        <f t="shared" si="0"/>
        <v>133.33333333333334</v>
      </c>
      <c r="P6" s="81">
        <v>6</v>
      </c>
      <c r="Q6" s="68">
        <v>800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68</v>
      </c>
      <c r="F7" s="26" t="s">
        <v>12</v>
      </c>
      <c r="G7" s="14">
        <v>4</v>
      </c>
      <c r="H7" s="92">
        <f>IF(B$19=0,0,G7/B$19)</f>
        <v>0.36363636363636365</v>
      </c>
      <c r="I7" s="60">
        <v>1</v>
      </c>
      <c r="K7" s="7">
        <v>5</v>
      </c>
      <c r="L7" s="65">
        <v>-116</v>
      </c>
      <c r="N7" s="79" t="s">
        <v>133</v>
      </c>
      <c r="O7" s="85">
        <f t="shared" si="0"/>
        <v>-2125</v>
      </c>
      <c r="P7" s="82">
        <v>4</v>
      </c>
      <c r="Q7" s="69">
        <v>-8500</v>
      </c>
    </row>
    <row r="8" spans="1:17" x14ac:dyDescent="0.45">
      <c r="A8" s="21" t="s">
        <v>3</v>
      </c>
      <c r="B8" s="14">
        <v>4</v>
      </c>
      <c r="C8" s="8">
        <f t="shared" si="1"/>
        <v>0.5</v>
      </c>
      <c r="E8" s="29" t="s">
        <v>69</v>
      </c>
      <c r="F8" s="26" t="s">
        <v>24</v>
      </c>
      <c r="G8" s="14">
        <v>2</v>
      </c>
      <c r="H8" s="92">
        <f>IF(B$19=0,0,G8/B$19)</f>
        <v>0.18181818181818182</v>
      </c>
      <c r="I8" s="60">
        <v>2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0.5</v>
      </c>
      <c r="E9" s="29" t="s">
        <v>65</v>
      </c>
      <c r="F9" s="26" t="s">
        <v>21</v>
      </c>
      <c r="G9" s="14">
        <v>1</v>
      </c>
      <c r="H9" s="92">
        <f>IF(B$19=0,0,G9/B$19)</f>
        <v>9.0909090909090912E-2</v>
      </c>
      <c r="I9" s="60">
        <v>7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71</v>
      </c>
      <c r="F10" s="26" t="s">
        <v>26</v>
      </c>
      <c r="G10" s="14">
        <v>1</v>
      </c>
      <c r="H10" s="92">
        <f>IF(B$19=0,0,G10/B$19)</f>
        <v>9.0909090909090912E-2</v>
      </c>
      <c r="I10" s="60">
        <v>5</v>
      </c>
      <c r="K10" s="7">
        <v>8</v>
      </c>
      <c r="L10" s="65">
        <v>-157.19999999999999</v>
      </c>
      <c r="N10" s="77" t="s">
        <v>152</v>
      </c>
      <c r="O10" s="86">
        <f>IF(P10=0,0,Q10/P10)</f>
        <v>-34.125</v>
      </c>
      <c r="P10" s="80">
        <v>4</v>
      </c>
      <c r="Q10" s="71">
        <v>-136.5</v>
      </c>
    </row>
    <row r="11" spans="1:17" x14ac:dyDescent="0.45">
      <c r="A11" s="22" t="s">
        <v>186</v>
      </c>
      <c r="B11" s="113">
        <f>IF(B8=0,0,C11/B8)</f>
        <v>0.45000000000000018</v>
      </c>
      <c r="C11" s="114">
        <v>1.8000000000000007</v>
      </c>
      <c r="E11" s="29" t="s">
        <v>81</v>
      </c>
      <c r="F11" s="26" t="s">
        <v>36</v>
      </c>
      <c r="G11" s="14">
        <v>1</v>
      </c>
      <c r="H11" s="92">
        <f>IF(B$19=0,0,G11/B$19)</f>
        <v>9.0909090909090912E-2</v>
      </c>
      <c r="I11" s="60">
        <v>2</v>
      </c>
      <c r="N11" s="78" t="s">
        <v>153</v>
      </c>
      <c r="O11" s="87">
        <f>IF(P11=0,0,Q11/P11)</f>
        <v>3.1</v>
      </c>
      <c r="P11" s="81">
        <v>3</v>
      </c>
      <c r="Q11" s="72">
        <v>9.3000000000000007</v>
      </c>
    </row>
    <row r="12" spans="1:17" x14ac:dyDescent="0.45">
      <c r="A12" s="22" t="s">
        <v>187</v>
      </c>
      <c r="B12" s="113">
        <f>IF(B9=0,0,C12/B9)</f>
        <v>-39.75</v>
      </c>
      <c r="C12" s="114">
        <v>-159</v>
      </c>
      <c r="E12" s="29" t="s">
        <v>70</v>
      </c>
      <c r="F12" s="26" t="s">
        <v>25</v>
      </c>
      <c r="G12" s="14">
        <v>0</v>
      </c>
      <c r="H12" s="92">
        <f>IF(B$19=0,0,G12/B$19)</f>
        <v>0</v>
      </c>
      <c r="I12" s="60">
        <v>6</v>
      </c>
      <c r="N12" s="79" t="s">
        <v>154</v>
      </c>
      <c r="O12" s="88">
        <f>IF(P12=0,0,Q12/P12)</f>
        <v>-30</v>
      </c>
      <c r="P12" s="82">
        <v>1</v>
      </c>
      <c r="Q12" s="73">
        <v>-30</v>
      </c>
    </row>
    <row r="13" spans="1:17" x14ac:dyDescent="0.45">
      <c r="A13" s="22" t="s">
        <v>188</v>
      </c>
      <c r="B13" s="131">
        <f>AVERAGE(B10:B12)</f>
        <v>-13.1</v>
      </c>
      <c r="C13" s="132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0.25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18</v>
      </c>
      <c r="C15" s="12">
        <f>IF(B$3=0,0,B15/B$3)</f>
        <v>0.34615384615384615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164</v>
      </c>
      <c r="O15" s="86">
        <f>IF(P15=0,0,Q15/P15)</f>
        <v>-5.5333333333333341</v>
      </c>
      <c r="P15" s="80">
        <v>3</v>
      </c>
      <c r="Q15" s="71">
        <v>-16.600000000000001</v>
      </c>
    </row>
    <row r="16" spans="1:17" x14ac:dyDescent="0.45">
      <c r="A16" s="21" t="s">
        <v>118</v>
      </c>
      <c r="B16" s="14">
        <v>4</v>
      </c>
      <c r="C16" s="8">
        <f>IF(B$3=0,0,B16/B$3)</f>
        <v>7.6923076923076927E-2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-11.633333333333335</v>
      </c>
      <c r="P16" s="81">
        <v>6</v>
      </c>
      <c r="Q16" s="72">
        <v>-69.800000000000011</v>
      </c>
    </row>
    <row r="17" spans="1:17" x14ac:dyDescent="0.45">
      <c r="A17" s="20" t="s">
        <v>123</v>
      </c>
      <c r="B17" s="13">
        <f>B23</f>
        <v>7</v>
      </c>
      <c r="C17" s="6">
        <f>IF(B$15=0,0,B17/B$15)</f>
        <v>0.3888888888888889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3</v>
      </c>
      <c r="N17" s="78" t="s">
        <v>196</v>
      </c>
      <c r="O17" s="87">
        <f>IF(P17=0,0,Q17/P17)</f>
        <v>-20.5</v>
      </c>
      <c r="P17" s="81">
        <v>1</v>
      </c>
      <c r="Q17" s="72">
        <v>-20.5</v>
      </c>
    </row>
    <row r="18" spans="1:17" x14ac:dyDescent="0.45">
      <c r="A18" s="20" t="s">
        <v>124</v>
      </c>
      <c r="B18" s="13">
        <f>B24</f>
        <v>1</v>
      </c>
      <c r="C18" s="6">
        <f>IF(B$16=0,0,B18/B$16)</f>
        <v>0.25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5</v>
      </c>
      <c r="N18" s="78" t="s">
        <v>126</v>
      </c>
      <c r="O18" s="87">
        <f>IF(P18=0,0,Q18/P18)</f>
        <v>-35</v>
      </c>
      <c r="P18" s="81">
        <v>3</v>
      </c>
      <c r="Q18" s="72">
        <v>-105</v>
      </c>
    </row>
    <row r="19" spans="1:17" x14ac:dyDescent="0.45">
      <c r="A19" s="20" t="s">
        <v>10</v>
      </c>
      <c r="B19" s="13">
        <f>B22+B21</f>
        <v>11</v>
      </c>
      <c r="C19" s="6">
        <f>IF(B$3=0,0,B19/B$3)</f>
        <v>0.21153846153846154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5</v>
      </c>
      <c r="N19" s="78" t="s">
        <v>193</v>
      </c>
      <c r="O19" s="87">
        <f>IF(P19=0,0,Q19/P19)</f>
        <v>-86.566666666666663</v>
      </c>
      <c r="P19" s="81">
        <v>3</v>
      </c>
      <c r="Q19" s="72">
        <v>-259.7</v>
      </c>
    </row>
    <row r="20" spans="1:17" x14ac:dyDescent="0.45">
      <c r="A20" s="21" t="s">
        <v>13</v>
      </c>
      <c r="B20" s="14">
        <v>8</v>
      </c>
      <c r="C20" s="8">
        <f>IF(B$3=0,0,B20/B$3)</f>
        <v>0.15384615384615385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4</v>
      </c>
      <c r="C21" s="8">
        <f>IF(B$19=0,0,B21/B$19)</f>
        <v>0.36363636363636365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0.63636363636363635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7</v>
      </c>
      <c r="C23" s="8">
        <f>IF(B$19=0,0,B23/B$19)</f>
        <v>0.63636363636363635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1</v>
      </c>
      <c r="C24" s="8">
        <f>IF(B$19=0,0,B24/B$19)</f>
        <v>9.0909090909090912E-2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3</v>
      </c>
      <c r="C25" s="8">
        <f>IF(B$19=0,0,B25/B$19)</f>
        <v>0.27272727272727271</v>
      </c>
      <c r="E25" s="29" t="s">
        <v>86</v>
      </c>
      <c r="F25" s="26" t="s">
        <v>41</v>
      </c>
      <c r="G25" s="14">
        <v>0</v>
      </c>
      <c r="H25" s="92">
        <f>IF(B$19=0,0,G25/B$19)</f>
        <v>0</v>
      </c>
      <c r="I25" s="60">
        <v>5</v>
      </c>
    </row>
    <row r="26" spans="1:17" x14ac:dyDescent="0.45">
      <c r="A26" s="21" t="s">
        <v>5</v>
      </c>
      <c r="B26" s="18">
        <f>IF(B$19=0,0,C26/B$19)</f>
        <v>5672.727272727273</v>
      </c>
      <c r="C26" s="10">
        <v>62400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6040</v>
      </c>
      <c r="C27" s="100">
        <v>60400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2000</v>
      </c>
      <c r="C28" s="100">
        <v>2000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7</v>
      </c>
    </row>
    <row r="29" spans="1:17" x14ac:dyDescent="0.45">
      <c r="A29" s="22" t="s">
        <v>165</v>
      </c>
      <c r="B29" s="99">
        <f>IF(B$20=0,0,C29/B$20)</f>
        <v>-9187.5</v>
      </c>
      <c r="C29" s="100">
        <v>-73500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14</v>
      </c>
      <c r="C31" s="94">
        <v>14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4</v>
      </c>
    </row>
    <row r="32" spans="1:17" x14ac:dyDescent="0.45">
      <c r="A32" s="56" t="s">
        <v>136</v>
      </c>
      <c r="B32" s="133">
        <v>3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46300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1</v>
      </c>
      <c r="C36" s="102">
        <f t="shared" ref="C36:C48" si="2">IF(B$19=0,0,B36/B$19)</f>
        <v>9.0909090909090912E-2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3</v>
      </c>
      <c r="C37" s="8">
        <f t="shared" si="2"/>
        <v>0.27272727272727271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3</v>
      </c>
      <c r="C38" s="8">
        <f t="shared" si="2"/>
        <v>0.27272727272727271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1</v>
      </c>
      <c r="C39" s="8">
        <f t="shared" si="2"/>
        <v>9.0909090909090912E-2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1</v>
      </c>
      <c r="C40" s="8">
        <f t="shared" si="2"/>
        <v>9.0909090909090912E-2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2</v>
      </c>
      <c r="C41" s="8">
        <f t="shared" si="2"/>
        <v>0.18181818181818182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16339-386F-41C4-BDFE-80E8F817A815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192</v>
      </c>
      <c r="C1" s="138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20</v>
      </c>
      <c r="C2" s="140"/>
      <c r="E2" s="28" t="s">
        <v>72</v>
      </c>
      <c r="F2" s="25" t="s">
        <v>27</v>
      </c>
      <c r="G2" s="13">
        <v>29</v>
      </c>
      <c r="H2" s="91">
        <f>IF(B$19=0,0,G2/B$19)</f>
        <v>0.80555555555555558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-52.631578947368418</v>
      </c>
      <c r="P2" s="80">
        <v>19</v>
      </c>
      <c r="Q2" s="67">
        <v>-1000</v>
      </c>
    </row>
    <row r="3" spans="1:17" x14ac:dyDescent="0.45">
      <c r="A3" s="21" t="s">
        <v>8</v>
      </c>
      <c r="B3" s="141">
        <v>151</v>
      </c>
      <c r="C3" s="142"/>
      <c r="E3" s="29" t="s">
        <v>66</v>
      </c>
      <c r="F3" s="26" t="s">
        <v>22</v>
      </c>
      <c r="G3" s="14">
        <v>21</v>
      </c>
      <c r="H3" s="92">
        <f>IF(B$19=0,0,G3/B$19)</f>
        <v>0.58333333333333337</v>
      </c>
      <c r="I3" s="60">
        <v>7</v>
      </c>
      <c r="K3" s="7">
        <v>1</v>
      </c>
      <c r="L3" s="65">
        <v>-0.5</v>
      </c>
      <c r="N3" s="78" t="s">
        <v>129</v>
      </c>
      <c r="O3" s="84">
        <f t="shared" si="0"/>
        <v>-2395</v>
      </c>
      <c r="P3" s="81">
        <v>20</v>
      </c>
      <c r="Q3" s="68">
        <v>-47900</v>
      </c>
    </row>
    <row r="4" spans="1:17" x14ac:dyDescent="0.45">
      <c r="A4" s="21" t="s">
        <v>6</v>
      </c>
      <c r="B4" s="143">
        <v>-140.19999999999999</v>
      </c>
      <c r="C4" s="144"/>
      <c r="E4" s="29" t="s">
        <v>64</v>
      </c>
      <c r="F4" s="26" t="s">
        <v>20</v>
      </c>
      <c r="G4" s="14">
        <v>18</v>
      </c>
      <c r="H4" s="92">
        <f>IF(B$19=0,0,G4/B$19)</f>
        <v>0.5</v>
      </c>
      <c r="I4" s="60">
        <v>5</v>
      </c>
      <c r="K4" s="7">
        <v>2</v>
      </c>
      <c r="L4" s="65">
        <v>-62.8</v>
      </c>
      <c r="N4" s="78" t="s">
        <v>130</v>
      </c>
      <c r="O4" s="84">
        <f t="shared" si="0"/>
        <v>-985</v>
      </c>
      <c r="P4" s="81">
        <v>20</v>
      </c>
      <c r="Q4" s="68">
        <v>-19700</v>
      </c>
    </row>
    <row r="5" spans="1:17" x14ac:dyDescent="0.45">
      <c r="A5" s="21" t="s">
        <v>7</v>
      </c>
      <c r="B5" s="131">
        <f>IF(B$2=0,0,B$4/B$2)</f>
        <v>-7.01</v>
      </c>
      <c r="C5" s="132"/>
      <c r="E5" s="29" t="s">
        <v>160</v>
      </c>
      <c r="F5" s="26" t="s">
        <v>161</v>
      </c>
      <c r="G5" s="14">
        <v>17</v>
      </c>
      <c r="H5" s="92">
        <f>IF(B$19=0,0,G5/B$19)</f>
        <v>0.47222222222222221</v>
      </c>
      <c r="I5" s="60">
        <v>2</v>
      </c>
      <c r="K5" s="7">
        <v>3</v>
      </c>
      <c r="L5" s="65">
        <v>-48.5</v>
      </c>
      <c r="N5" s="78" t="s">
        <v>131</v>
      </c>
      <c r="O5" s="84">
        <f t="shared" si="0"/>
        <v>-2072.2222222222222</v>
      </c>
      <c r="P5" s="81">
        <v>18</v>
      </c>
      <c r="Q5" s="68">
        <v>-37300</v>
      </c>
    </row>
    <row r="6" spans="1:17" x14ac:dyDescent="0.45">
      <c r="A6" s="21" t="s">
        <v>1</v>
      </c>
      <c r="B6" s="145">
        <f>IF(B$2=0,0,(B$7*1+B$8*2+B$9*3)/B$2)</f>
        <v>2.0499999999999998</v>
      </c>
      <c r="C6" s="146"/>
      <c r="E6" s="29" t="s">
        <v>68</v>
      </c>
      <c r="F6" s="26" t="s">
        <v>12</v>
      </c>
      <c r="G6" s="14">
        <v>11</v>
      </c>
      <c r="H6" s="92">
        <f>IF(B$19=0,0,G6/B$19)</f>
        <v>0.30555555555555558</v>
      </c>
      <c r="I6" s="60">
        <v>2</v>
      </c>
      <c r="K6" s="7">
        <v>4</v>
      </c>
      <c r="L6" s="65">
        <v>-75.599999999999994</v>
      </c>
      <c r="N6" s="78" t="s">
        <v>132</v>
      </c>
      <c r="O6" s="84">
        <f t="shared" si="0"/>
        <v>-481.25</v>
      </c>
      <c r="P6" s="81">
        <v>16</v>
      </c>
      <c r="Q6" s="68">
        <v>-7700</v>
      </c>
    </row>
    <row r="7" spans="1:17" x14ac:dyDescent="0.45">
      <c r="A7" s="21" t="s">
        <v>2</v>
      </c>
      <c r="B7" s="14">
        <v>5</v>
      </c>
      <c r="C7" s="8">
        <f t="shared" ref="C7:C14" si="1">IF(B$2=0,0,B7/B$2)</f>
        <v>0.25</v>
      </c>
      <c r="E7" s="29" t="s">
        <v>67</v>
      </c>
      <c r="F7" s="26" t="s">
        <v>23</v>
      </c>
      <c r="G7" s="14">
        <v>9</v>
      </c>
      <c r="H7" s="92">
        <f>IF(B$19=0,0,G7/B$19)</f>
        <v>0.25</v>
      </c>
      <c r="I7" s="60">
        <v>3</v>
      </c>
      <c r="K7" s="7">
        <v>5</v>
      </c>
      <c r="L7" s="65">
        <v>-96.5</v>
      </c>
      <c r="N7" s="79" t="s">
        <v>133</v>
      </c>
      <c r="O7" s="85">
        <f t="shared" si="0"/>
        <v>-580</v>
      </c>
      <c r="P7" s="82">
        <v>10</v>
      </c>
      <c r="Q7" s="69">
        <v>-5800</v>
      </c>
    </row>
    <row r="8" spans="1:17" x14ac:dyDescent="0.45">
      <c r="A8" s="21" t="s">
        <v>3</v>
      </c>
      <c r="B8" s="14">
        <v>9</v>
      </c>
      <c r="C8" s="8">
        <f t="shared" si="1"/>
        <v>0.45</v>
      </c>
      <c r="E8" s="29" t="s">
        <v>89</v>
      </c>
      <c r="F8" s="26" t="s">
        <v>44</v>
      </c>
      <c r="G8" s="14">
        <v>8</v>
      </c>
      <c r="H8" s="92">
        <f>IF(B$19=0,0,G8/B$19)</f>
        <v>0.22222222222222221</v>
      </c>
      <c r="I8" s="60">
        <v>2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6</v>
      </c>
      <c r="C9" s="9">
        <f t="shared" si="1"/>
        <v>0.3</v>
      </c>
      <c r="E9" s="29" t="s">
        <v>69</v>
      </c>
      <c r="F9" s="26" t="s">
        <v>24</v>
      </c>
      <c r="G9" s="14">
        <v>4</v>
      </c>
      <c r="H9" s="92">
        <f>IF(B$19=0,0,G9/B$19)</f>
        <v>0.1111111111111111</v>
      </c>
      <c r="I9" s="60">
        <v>7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29.939999999999998</v>
      </c>
      <c r="C10" s="114">
        <v>149.69999999999999</v>
      </c>
      <c r="E10" s="29" t="s">
        <v>70</v>
      </c>
      <c r="F10" s="26" t="s">
        <v>25</v>
      </c>
      <c r="G10" s="14">
        <v>3</v>
      </c>
      <c r="H10" s="92">
        <f>IF(B$19=0,0,G10/B$19)</f>
        <v>8.3333333333333329E-2</v>
      </c>
      <c r="I10" s="60">
        <v>2</v>
      </c>
      <c r="K10" s="7">
        <v>8</v>
      </c>
      <c r="L10" s="65">
        <v>-28.3</v>
      </c>
      <c r="N10" s="77" t="s">
        <v>152</v>
      </c>
      <c r="O10" s="86">
        <f>IF(P10=0,0,Q10/P10)</f>
        <v>-27.733333333333334</v>
      </c>
      <c r="P10" s="80">
        <v>6</v>
      </c>
      <c r="Q10" s="71">
        <v>-166.4</v>
      </c>
    </row>
    <row r="11" spans="1:17" x14ac:dyDescent="0.45">
      <c r="A11" s="22" t="s">
        <v>186</v>
      </c>
      <c r="B11" s="113">
        <f>IF(B8=0,0,C11/B8)</f>
        <v>-5.2111111111111104</v>
      </c>
      <c r="C11" s="114">
        <v>-46.899999999999991</v>
      </c>
      <c r="E11" s="29" t="s">
        <v>79</v>
      </c>
      <c r="F11" s="26" t="s">
        <v>34</v>
      </c>
      <c r="G11" s="14">
        <v>3</v>
      </c>
      <c r="H11" s="92">
        <f>IF(B$19=0,0,G11/B$19)</f>
        <v>8.3333333333333329E-2</v>
      </c>
      <c r="I11" s="60">
        <v>1</v>
      </c>
      <c r="K11" s="7">
        <v>9</v>
      </c>
      <c r="L11" s="65">
        <v>-20.3</v>
      </c>
      <c r="N11" s="78" t="s">
        <v>153</v>
      </c>
      <c r="O11" s="87">
        <f>IF(P11=0,0,Q11/P11)</f>
        <v>-2.411111111111111</v>
      </c>
      <c r="P11" s="81">
        <v>9</v>
      </c>
      <c r="Q11" s="72">
        <v>-21.7</v>
      </c>
    </row>
    <row r="12" spans="1:17" x14ac:dyDescent="0.45">
      <c r="A12" s="22" t="s">
        <v>187</v>
      </c>
      <c r="B12" s="113">
        <f>IF(B9=0,0,C12/B9)</f>
        <v>-40.5</v>
      </c>
      <c r="C12" s="114">
        <v>-243</v>
      </c>
      <c r="E12" s="29" t="s">
        <v>65</v>
      </c>
      <c r="F12" s="26" t="s">
        <v>21</v>
      </c>
      <c r="G12" s="14">
        <v>2</v>
      </c>
      <c r="H12" s="92">
        <f>IF(B$19=0,0,G12/B$19)</f>
        <v>5.5555555555555552E-2</v>
      </c>
      <c r="I12" s="60">
        <v>8</v>
      </c>
      <c r="K12" s="7">
        <v>10</v>
      </c>
      <c r="L12" s="65">
        <v>-14.9</v>
      </c>
      <c r="N12" s="79" t="s">
        <v>154</v>
      </c>
      <c r="O12" s="88">
        <f>IF(P12=0,0,Q12/P12)</f>
        <v>9.58</v>
      </c>
      <c r="P12" s="82">
        <v>5</v>
      </c>
      <c r="Q12" s="73">
        <v>47.9</v>
      </c>
    </row>
    <row r="13" spans="1:17" x14ac:dyDescent="0.45">
      <c r="A13" s="22" t="s">
        <v>188</v>
      </c>
      <c r="B13" s="131">
        <f>AVERAGE(B10:B12)</f>
        <v>-5.257037037037037</v>
      </c>
      <c r="C13" s="132"/>
      <c r="E13" s="29" t="s">
        <v>71</v>
      </c>
      <c r="F13" s="26" t="s">
        <v>26</v>
      </c>
      <c r="G13" s="14">
        <v>2</v>
      </c>
      <c r="H13" s="92">
        <f>IF(B$19=0,0,G13/B$19)</f>
        <v>5.5555555555555552E-2</v>
      </c>
      <c r="I13" s="60">
        <v>7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0.1</v>
      </c>
      <c r="E14" s="29" t="s">
        <v>78</v>
      </c>
      <c r="F14" s="26" t="s">
        <v>33</v>
      </c>
      <c r="G14" s="14">
        <v>2</v>
      </c>
      <c r="H14" s="92">
        <f>IF(B$19=0,0,G14/B$19)</f>
        <v>5.5555555555555552E-2</v>
      </c>
      <c r="I14" s="60">
        <v>2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41</v>
      </c>
      <c r="C15" s="12">
        <f>IF(B$3=0,0,B15/B$3)</f>
        <v>0.27152317880794702</v>
      </c>
      <c r="E15" s="29" t="s">
        <v>81</v>
      </c>
      <c r="F15" s="26" t="s">
        <v>36</v>
      </c>
      <c r="G15" s="14">
        <v>1</v>
      </c>
      <c r="H15" s="92">
        <f>IF(B$19=0,0,G15/B$19)</f>
        <v>2.7777777777777776E-2</v>
      </c>
      <c r="I15" s="60">
        <v>5</v>
      </c>
      <c r="K15" s="7">
        <v>13</v>
      </c>
      <c r="L15" s="65">
        <v>-125.89999999999999</v>
      </c>
      <c r="N15" s="77" t="s">
        <v>189</v>
      </c>
      <c r="O15" s="86">
        <f>IF(P15=0,0,Q15/P15)</f>
        <v>64.3</v>
      </c>
      <c r="P15" s="80">
        <v>1</v>
      </c>
      <c r="Q15" s="71">
        <v>64.3</v>
      </c>
    </row>
    <row r="16" spans="1:17" x14ac:dyDescent="0.45">
      <c r="A16" s="21" t="s">
        <v>118</v>
      </c>
      <c r="B16" s="14">
        <v>35</v>
      </c>
      <c r="C16" s="8">
        <f>IF(B$3=0,0,B16/B$3)</f>
        <v>0.23178807947019867</v>
      </c>
      <c r="E16" s="29" t="s">
        <v>83</v>
      </c>
      <c r="F16" s="26" t="s">
        <v>38</v>
      </c>
      <c r="G16" s="14">
        <v>1</v>
      </c>
      <c r="H16" s="92">
        <f>IF(B$19=0,0,G16/B$19)</f>
        <v>2.7777777777777776E-2</v>
      </c>
      <c r="I16" s="60">
        <v>6</v>
      </c>
      <c r="K16" s="7">
        <v>14</v>
      </c>
      <c r="L16" s="65">
        <v>-149.39999999999998</v>
      </c>
      <c r="N16" s="78" t="s">
        <v>194</v>
      </c>
      <c r="O16" s="87">
        <f>IF(P16=0,0,Q16/P16)</f>
        <v>11.633333333333335</v>
      </c>
      <c r="P16" s="81">
        <v>6</v>
      </c>
      <c r="Q16" s="72">
        <v>69.800000000000011</v>
      </c>
    </row>
    <row r="17" spans="1:17" x14ac:dyDescent="0.45">
      <c r="A17" s="20" t="s">
        <v>123</v>
      </c>
      <c r="B17" s="13">
        <f>B23</f>
        <v>20</v>
      </c>
      <c r="C17" s="6">
        <f>IF(B$15=0,0,B17/B$15)</f>
        <v>0.48780487804878048</v>
      </c>
      <c r="E17" s="29" t="s">
        <v>73</v>
      </c>
      <c r="F17" s="26" t="s">
        <v>28</v>
      </c>
      <c r="G17" s="14">
        <v>0</v>
      </c>
      <c r="H17" s="92">
        <f>IF(B$19=0,0,G17/B$19)</f>
        <v>0</v>
      </c>
      <c r="I17" s="60">
        <v>3</v>
      </c>
      <c r="K17" s="7">
        <v>15</v>
      </c>
      <c r="L17" s="65">
        <v>-121.39999999999998</v>
      </c>
      <c r="N17" s="78" t="s">
        <v>164</v>
      </c>
      <c r="O17" s="87">
        <f>IF(P17=0,0,Q17/P17)</f>
        <v>9.6111111111111107</v>
      </c>
      <c r="P17" s="81">
        <v>9</v>
      </c>
      <c r="Q17" s="72">
        <v>86.5</v>
      </c>
    </row>
    <row r="18" spans="1:17" x14ac:dyDescent="0.45">
      <c r="A18" s="20" t="s">
        <v>124</v>
      </c>
      <c r="B18" s="13">
        <f>B24</f>
        <v>12</v>
      </c>
      <c r="C18" s="6">
        <f>IF(B$16=0,0,B18/B$16)</f>
        <v>0.34285714285714286</v>
      </c>
      <c r="E18" s="29" t="s">
        <v>74</v>
      </c>
      <c r="F18" s="26" t="s">
        <v>29</v>
      </c>
      <c r="G18" s="14">
        <v>0</v>
      </c>
      <c r="H18" s="92">
        <f>IF(B$19=0,0,G18/B$19)</f>
        <v>0</v>
      </c>
      <c r="I18" s="60">
        <v>1</v>
      </c>
      <c r="K18" s="7">
        <v>16</v>
      </c>
      <c r="L18" s="65">
        <v>-141.29999999999998</v>
      </c>
      <c r="N18" s="78" t="s">
        <v>205</v>
      </c>
      <c r="O18" s="87">
        <f>IF(P18=0,0,Q18/P18)</f>
        <v>-8.1000000000000014</v>
      </c>
      <c r="P18" s="81">
        <v>3</v>
      </c>
      <c r="Q18" s="72">
        <v>-24.300000000000004</v>
      </c>
    </row>
    <row r="19" spans="1:17" x14ac:dyDescent="0.45">
      <c r="A19" s="20" t="s">
        <v>10</v>
      </c>
      <c r="B19" s="13">
        <f>B22+B21</f>
        <v>36</v>
      </c>
      <c r="C19" s="6">
        <f>IF(B$3=0,0,B19/B$3)</f>
        <v>0.23841059602649006</v>
      </c>
      <c r="E19" s="29" t="s">
        <v>75</v>
      </c>
      <c r="F19" s="26" t="s">
        <v>30</v>
      </c>
      <c r="G19" s="14">
        <v>0</v>
      </c>
      <c r="H19" s="92">
        <f>IF(B$19=0,0,G19/B$19)</f>
        <v>0</v>
      </c>
      <c r="I19" s="60">
        <v>1</v>
      </c>
      <c r="K19" s="7">
        <v>17</v>
      </c>
      <c r="L19" s="65">
        <v>-149.1</v>
      </c>
      <c r="N19" s="78" t="s">
        <v>196</v>
      </c>
      <c r="O19" s="87">
        <f>IF(P19=0,0,Q19/P19)</f>
        <v>-18.550000000000004</v>
      </c>
      <c r="P19" s="81">
        <v>2</v>
      </c>
      <c r="Q19" s="72">
        <v>-37.100000000000009</v>
      </c>
    </row>
    <row r="20" spans="1:17" x14ac:dyDescent="0.45">
      <c r="A20" s="21" t="s">
        <v>13</v>
      </c>
      <c r="B20" s="14">
        <v>21</v>
      </c>
      <c r="C20" s="8">
        <f>IF(B$3=0,0,B20/B$3)</f>
        <v>0.13907284768211919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1</v>
      </c>
      <c r="K20" s="7">
        <v>18</v>
      </c>
      <c r="L20" s="65">
        <v>-201.89999999999998</v>
      </c>
      <c r="N20" s="78" t="s">
        <v>126</v>
      </c>
      <c r="O20" s="87">
        <f>IF(P20=0,0,Q20/P20)</f>
        <v>-27.707142857142859</v>
      </c>
      <c r="P20" s="81">
        <v>14</v>
      </c>
      <c r="Q20" s="72">
        <v>-387.90000000000003</v>
      </c>
    </row>
    <row r="21" spans="1:17" x14ac:dyDescent="0.45">
      <c r="A21" s="21" t="s">
        <v>12</v>
      </c>
      <c r="B21" s="14">
        <v>13</v>
      </c>
      <c r="C21" s="8">
        <f>IF(B$19=0,0,B21/B$19)</f>
        <v>0.3611111111111111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3</v>
      </c>
      <c r="K21" s="7">
        <v>19</v>
      </c>
      <c r="L21" s="65">
        <v>-152.39999999999998</v>
      </c>
      <c r="N21" s="78" t="s">
        <v>193</v>
      </c>
      <c r="O21" s="87">
        <f>IF(P21=0,0,Q21/P21)</f>
        <v>-38.379999999999995</v>
      </c>
      <c r="P21" s="81">
        <v>5</v>
      </c>
      <c r="Q21" s="72">
        <v>-191.89999999999998</v>
      </c>
    </row>
    <row r="22" spans="1:17" x14ac:dyDescent="0.45">
      <c r="A22" s="21" t="s">
        <v>11</v>
      </c>
      <c r="B22" s="14">
        <v>23</v>
      </c>
      <c r="C22" s="8">
        <f>IF(B$19=0,0,B22/B$19)</f>
        <v>0.63888888888888884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-140.19999999999999</v>
      </c>
    </row>
    <row r="23" spans="1:17" x14ac:dyDescent="0.45">
      <c r="A23" s="21" t="s">
        <v>184</v>
      </c>
      <c r="B23" s="14">
        <v>20</v>
      </c>
      <c r="C23" s="8">
        <f>IF(B$19=0,0,B23/B$19)</f>
        <v>0.55555555555555558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12</v>
      </c>
      <c r="C24" s="8">
        <f>IF(B$19=0,0,B24/B$19)</f>
        <v>0.33333333333333331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4</v>
      </c>
      <c r="C25" s="8">
        <f>IF(B$19=0,0,B25/B$19)</f>
        <v>0.1111111111111111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7994.4444444444443</v>
      </c>
      <c r="C26" s="10">
        <v>287800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5</v>
      </c>
    </row>
    <row r="27" spans="1:17" x14ac:dyDescent="0.45">
      <c r="A27" s="22" t="s">
        <v>166</v>
      </c>
      <c r="B27" s="99">
        <f>IF($B$19-B$18=0,0,C27/($B$19-B$18))</f>
        <v>8383.3333333333339</v>
      </c>
      <c r="C27" s="100">
        <v>201200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7216.666666666667</v>
      </c>
      <c r="C28" s="100">
        <v>86600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-8300</v>
      </c>
      <c r="C29" s="100">
        <v>-174300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21</v>
      </c>
      <c r="C31" s="94">
        <v>15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4</v>
      </c>
    </row>
    <row r="32" spans="1:17" x14ac:dyDescent="0.45">
      <c r="A32" s="56" t="s">
        <v>136</v>
      </c>
      <c r="B32" s="133">
        <v>5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74500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3</v>
      </c>
      <c r="C36" s="102">
        <f t="shared" ref="C36:C48" si="2">IF(B$19=0,0,B36/B$19)</f>
        <v>8.3333333333333329E-2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5</v>
      </c>
      <c r="C37" s="8">
        <f t="shared" si="2"/>
        <v>0.1388888888888889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10</v>
      </c>
      <c r="C38" s="8">
        <f t="shared" si="2"/>
        <v>0.27777777777777779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7</v>
      </c>
      <c r="C39" s="8">
        <f t="shared" si="2"/>
        <v>0.19444444444444445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3</v>
      </c>
      <c r="C40" s="8">
        <f t="shared" si="2"/>
        <v>8.3333333333333329E-2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2</v>
      </c>
      <c r="C41" s="8">
        <f t="shared" si="2"/>
        <v>5.5555555555555552E-2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3</v>
      </c>
      <c r="C42" s="8">
        <f t="shared" si="2"/>
        <v>8.3333333333333329E-2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1</v>
      </c>
      <c r="C44" s="8">
        <f t="shared" si="2"/>
        <v>2.7777777777777776E-2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1</v>
      </c>
      <c r="C45" s="8">
        <f t="shared" si="2"/>
        <v>2.7777777777777776E-2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1</v>
      </c>
      <c r="C46" s="8">
        <f t="shared" si="2"/>
        <v>2.7777777777777776E-2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7FA17-DA6B-4C6C-BD7F-00F00D7167A6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193</v>
      </c>
      <c r="C1" s="138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6</v>
      </c>
      <c r="C2" s="140"/>
      <c r="E2" s="28" t="s">
        <v>66</v>
      </c>
      <c r="F2" s="25" t="s">
        <v>22</v>
      </c>
      <c r="G2" s="13">
        <v>18</v>
      </c>
      <c r="H2" s="91">
        <f>IF(B$19=0,0,G2/B$19)</f>
        <v>1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-933.33333333333337</v>
      </c>
      <c r="P2" s="80">
        <v>6</v>
      </c>
      <c r="Q2" s="67">
        <v>-5600</v>
      </c>
    </row>
    <row r="3" spans="1:17" x14ac:dyDescent="0.45">
      <c r="A3" s="21" t="s">
        <v>8</v>
      </c>
      <c r="B3" s="141">
        <v>46</v>
      </c>
      <c r="C3" s="142"/>
      <c r="E3" s="29" t="s">
        <v>72</v>
      </c>
      <c r="F3" s="26" t="s">
        <v>27</v>
      </c>
      <c r="G3" s="14">
        <v>15</v>
      </c>
      <c r="H3" s="92">
        <f>IF(B$19=0,0,G3/B$19)</f>
        <v>0.83333333333333337</v>
      </c>
      <c r="I3" s="60">
        <v>1</v>
      </c>
      <c r="K3" s="7">
        <v>1</v>
      </c>
      <c r="L3" s="65">
        <v>56</v>
      </c>
      <c r="N3" s="78" t="s">
        <v>129</v>
      </c>
      <c r="O3" s="84">
        <f t="shared" si="0"/>
        <v>-1866.6666666666667</v>
      </c>
      <c r="P3" s="81">
        <v>6</v>
      </c>
      <c r="Q3" s="68">
        <v>-11200</v>
      </c>
    </row>
    <row r="4" spans="1:17" x14ac:dyDescent="0.45">
      <c r="A4" s="21" t="s">
        <v>6</v>
      </c>
      <c r="B4" s="143">
        <v>167.3</v>
      </c>
      <c r="C4" s="144"/>
      <c r="E4" s="29" t="s">
        <v>64</v>
      </c>
      <c r="F4" s="26" t="s">
        <v>20</v>
      </c>
      <c r="G4" s="14">
        <v>7</v>
      </c>
      <c r="H4" s="92">
        <f>IF(B$19=0,0,G4/B$19)</f>
        <v>0.3888888888888889</v>
      </c>
      <c r="I4" s="60">
        <v>7</v>
      </c>
      <c r="K4" s="7">
        <v>2</v>
      </c>
      <c r="L4" s="65">
        <v>137.5</v>
      </c>
      <c r="N4" s="78" t="s">
        <v>130</v>
      </c>
      <c r="O4" s="84">
        <f t="shared" si="0"/>
        <v>18150</v>
      </c>
      <c r="P4" s="81">
        <v>6</v>
      </c>
      <c r="Q4" s="68">
        <v>108900</v>
      </c>
    </row>
    <row r="5" spans="1:17" x14ac:dyDescent="0.45">
      <c r="A5" s="21" t="s">
        <v>7</v>
      </c>
      <c r="B5" s="131">
        <f>IF(B$2=0,0,B$4/B$2)</f>
        <v>27.883333333333336</v>
      </c>
      <c r="C5" s="132"/>
      <c r="E5" s="29" t="s">
        <v>67</v>
      </c>
      <c r="F5" s="26" t="s">
        <v>23</v>
      </c>
      <c r="G5" s="14">
        <v>7</v>
      </c>
      <c r="H5" s="92">
        <f>IF(B$19=0,0,G5/B$19)</f>
        <v>0.3888888888888889</v>
      </c>
      <c r="I5" s="60">
        <v>1</v>
      </c>
      <c r="K5" s="7">
        <v>3</v>
      </c>
      <c r="L5" s="65">
        <v>159</v>
      </c>
      <c r="N5" s="78" t="s">
        <v>131</v>
      </c>
      <c r="O5" s="84">
        <f t="shared" si="0"/>
        <v>1400</v>
      </c>
      <c r="P5" s="81">
        <v>4</v>
      </c>
      <c r="Q5" s="68">
        <v>5600</v>
      </c>
    </row>
    <row r="6" spans="1:17" x14ac:dyDescent="0.45">
      <c r="A6" s="21" t="s">
        <v>1</v>
      </c>
      <c r="B6" s="145">
        <f>IF(B$2=0,0,(B$7*1+B$8*2+B$9*3)/B$2)</f>
        <v>1.3333333333333333</v>
      </c>
      <c r="C6" s="146"/>
      <c r="E6" s="29" t="s">
        <v>68</v>
      </c>
      <c r="F6" s="26" t="s">
        <v>12</v>
      </c>
      <c r="G6" s="14">
        <v>5</v>
      </c>
      <c r="H6" s="92">
        <f>IF(B$19=0,0,G6/B$19)</f>
        <v>0.27777777777777779</v>
      </c>
      <c r="I6" s="60">
        <v>4</v>
      </c>
      <c r="K6" s="7">
        <v>4</v>
      </c>
      <c r="L6" s="65">
        <v>112.4</v>
      </c>
      <c r="N6" s="78" t="s">
        <v>132</v>
      </c>
      <c r="O6" s="84">
        <f t="shared" si="0"/>
        <v>9333.3333333333339</v>
      </c>
      <c r="P6" s="81">
        <v>3</v>
      </c>
      <c r="Q6" s="68">
        <v>28000</v>
      </c>
    </row>
    <row r="7" spans="1:17" x14ac:dyDescent="0.45">
      <c r="A7" s="21" t="s">
        <v>2</v>
      </c>
      <c r="B7" s="14">
        <v>5</v>
      </c>
      <c r="C7" s="8">
        <f t="shared" ref="C7:C14" si="1">IF(B$2=0,0,B7/B$2)</f>
        <v>0.83333333333333337</v>
      </c>
      <c r="E7" s="29" t="s">
        <v>89</v>
      </c>
      <c r="F7" s="26" t="s">
        <v>44</v>
      </c>
      <c r="G7" s="14">
        <v>3</v>
      </c>
      <c r="H7" s="92">
        <f>IF(B$19=0,0,G7/B$19)</f>
        <v>0.16666666666666666</v>
      </c>
      <c r="I7" s="60">
        <v>6</v>
      </c>
      <c r="K7" s="7">
        <v>5</v>
      </c>
      <c r="L7" s="65">
        <v>140.30000000000001</v>
      </c>
      <c r="N7" s="79" t="s">
        <v>133</v>
      </c>
      <c r="O7" s="85">
        <f t="shared" si="0"/>
        <v>533.33333333333337</v>
      </c>
      <c r="P7" s="82">
        <v>3</v>
      </c>
      <c r="Q7" s="69">
        <v>1600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65</v>
      </c>
      <c r="F8" s="26" t="s">
        <v>21</v>
      </c>
      <c r="G8" s="14">
        <v>2</v>
      </c>
      <c r="H8" s="92">
        <f>IF(B$19=0,0,G8/B$19)</f>
        <v>0.1111111111111111</v>
      </c>
      <c r="I8" s="60">
        <v>4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0.16666666666666666</v>
      </c>
      <c r="E9" s="29" t="s">
        <v>81</v>
      </c>
      <c r="F9" s="26" t="s">
        <v>36</v>
      </c>
      <c r="G9" s="14">
        <v>2</v>
      </c>
      <c r="H9" s="92">
        <f>IF(B$19=0,0,G9/B$19)</f>
        <v>0.1111111111111111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42.78</v>
      </c>
      <c r="C10" s="114">
        <v>213.9</v>
      </c>
      <c r="E10" s="29" t="s">
        <v>83</v>
      </c>
      <c r="F10" s="26" t="s">
        <v>38</v>
      </c>
      <c r="G10" s="14">
        <v>2</v>
      </c>
      <c r="H10" s="92">
        <f>IF(B$19=0,0,G10/B$19)</f>
        <v>0.1111111111111111</v>
      </c>
      <c r="I10" s="60">
        <v>2</v>
      </c>
      <c r="N10" s="77" t="s">
        <v>152</v>
      </c>
      <c r="O10" s="86">
        <f>IF(P10=0,0,Q10/P10)</f>
        <v>-12.55</v>
      </c>
      <c r="P10" s="80">
        <v>2</v>
      </c>
      <c r="Q10" s="71">
        <v>-25.1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69</v>
      </c>
      <c r="F11" s="26" t="s">
        <v>24</v>
      </c>
      <c r="G11" s="14">
        <v>1</v>
      </c>
      <c r="H11" s="92">
        <f>IF(B$19=0,0,G11/B$19)</f>
        <v>5.5555555555555552E-2</v>
      </c>
      <c r="I11" s="60">
        <v>8</v>
      </c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-46.6</v>
      </c>
      <c r="C12" s="114">
        <v>-46.6</v>
      </c>
      <c r="E12" s="29" t="s">
        <v>102</v>
      </c>
      <c r="F12" s="26" t="s">
        <v>57</v>
      </c>
      <c r="G12" s="14">
        <v>1</v>
      </c>
      <c r="H12" s="92">
        <f>IF(B$19=0,0,G12/B$19)</f>
        <v>5.5555555555555552E-2</v>
      </c>
      <c r="I12" s="60">
        <v>1</v>
      </c>
      <c r="N12" s="79" t="s">
        <v>154</v>
      </c>
      <c r="O12" s="88">
        <f>IF(P12=0,0,Q12/P12)</f>
        <v>48.1</v>
      </c>
      <c r="P12" s="82">
        <v>4</v>
      </c>
      <c r="Q12" s="73">
        <v>192.4</v>
      </c>
    </row>
    <row r="13" spans="1:17" x14ac:dyDescent="0.45">
      <c r="A13" s="22" t="s">
        <v>188</v>
      </c>
      <c r="B13" s="131">
        <f>AVERAGE(B10:B12)</f>
        <v>-1.2733333333333334</v>
      </c>
      <c r="C13" s="132"/>
      <c r="E13" s="29" t="s">
        <v>70</v>
      </c>
      <c r="F13" s="26" t="s">
        <v>25</v>
      </c>
      <c r="G13" s="14">
        <v>0</v>
      </c>
      <c r="H13" s="92">
        <f>IF(B$19=0,0,G13/B$19)</f>
        <v>0</v>
      </c>
      <c r="I13" s="60">
        <v>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0.16666666666666666</v>
      </c>
      <c r="E14" s="29" t="s">
        <v>71</v>
      </c>
      <c r="F14" s="26" t="s">
        <v>26</v>
      </c>
      <c r="G14" s="14">
        <v>0</v>
      </c>
      <c r="H14" s="92">
        <f>IF(B$19=0,0,G14/B$19)</f>
        <v>0</v>
      </c>
      <c r="I14" s="60">
        <v>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11</v>
      </c>
      <c r="C15" s="12">
        <f>IF(B$3=0,0,B15/B$3)</f>
        <v>0.2391304347826087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N15" s="77" t="s">
        <v>196</v>
      </c>
      <c r="O15" s="86">
        <f>IF(P15=0,0,Q15/P15)</f>
        <v>112</v>
      </c>
      <c r="P15" s="80">
        <v>1</v>
      </c>
      <c r="Q15" s="71">
        <v>112</v>
      </c>
    </row>
    <row r="16" spans="1:17" x14ac:dyDescent="0.45">
      <c r="A16" s="21" t="s">
        <v>118</v>
      </c>
      <c r="B16" s="14">
        <v>17</v>
      </c>
      <c r="C16" s="8">
        <f>IF(B$3=0,0,B16/B$3)</f>
        <v>0.36956521739130432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194</v>
      </c>
      <c r="O16" s="87">
        <f>IF(P16=0,0,Q16/P16)</f>
        <v>86.566666666666663</v>
      </c>
      <c r="P16" s="81">
        <v>3</v>
      </c>
      <c r="Q16" s="72">
        <v>259.7</v>
      </c>
    </row>
    <row r="17" spans="1:17" x14ac:dyDescent="0.45">
      <c r="A17" s="20" t="s">
        <v>123</v>
      </c>
      <c r="B17" s="13">
        <f>B23</f>
        <v>7</v>
      </c>
      <c r="C17" s="6">
        <f>IF(B$15=0,0,B17/B$15)</f>
        <v>0.63636363636363635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</v>
      </c>
      <c r="N17" s="78" t="s">
        <v>164</v>
      </c>
      <c r="O17" s="87">
        <f>IF(P17=0,0,Q17/P17)</f>
        <v>48.4</v>
      </c>
      <c r="P17" s="81">
        <v>1</v>
      </c>
      <c r="Q17" s="72">
        <v>48.4</v>
      </c>
    </row>
    <row r="18" spans="1:17" x14ac:dyDescent="0.45">
      <c r="A18" s="20" t="s">
        <v>124</v>
      </c>
      <c r="B18" s="13">
        <f>B24</f>
        <v>6</v>
      </c>
      <c r="C18" s="6">
        <f>IF(B$16=0,0,B18/B$16)</f>
        <v>0.35294117647058826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192</v>
      </c>
      <c r="O18" s="87">
        <f>IF(P18=0,0,Q18/P18)</f>
        <v>38.379999999999995</v>
      </c>
      <c r="P18" s="81">
        <v>5</v>
      </c>
      <c r="Q18" s="72">
        <v>191.89999999999998</v>
      </c>
    </row>
    <row r="19" spans="1:17" x14ac:dyDescent="0.45">
      <c r="A19" s="20" t="s">
        <v>10</v>
      </c>
      <c r="B19" s="13">
        <f>B22+B21</f>
        <v>18</v>
      </c>
      <c r="C19" s="6">
        <f>IF(B$3=0,0,B19/B$3)</f>
        <v>0.39130434782608697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3</v>
      </c>
      <c r="N19" s="78" t="s">
        <v>126</v>
      </c>
      <c r="O19" s="87">
        <f>IF(P19=0,0,Q19/P19)</f>
        <v>-55.050000000000004</v>
      </c>
      <c r="P19" s="81">
        <v>2</v>
      </c>
      <c r="Q19" s="72">
        <v>-110.10000000000001</v>
      </c>
    </row>
    <row r="20" spans="1:17" x14ac:dyDescent="0.45">
      <c r="A20" s="21" t="s">
        <v>13</v>
      </c>
      <c r="B20" s="14">
        <v>5</v>
      </c>
      <c r="C20" s="8">
        <f>IF(B$3=0,0,B20/B$3)</f>
        <v>0.10869565217391304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5</v>
      </c>
    </row>
    <row r="21" spans="1:17" x14ac:dyDescent="0.45">
      <c r="A21" s="21" t="s">
        <v>12</v>
      </c>
      <c r="B21" s="14">
        <v>9</v>
      </c>
      <c r="C21" s="8">
        <f>IF(B$19=0,0,B21/B$19)</f>
        <v>0.5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5</v>
      </c>
    </row>
    <row r="22" spans="1:17" x14ac:dyDescent="0.45">
      <c r="A22" s="21" t="s">
        <v>11</v>
      </c>
      <c r="B22" s="14">
        <v>9</v>
      </c>
      <c r="C22" s="8">
        <f>IF(B$19=0,0,B22/B$19)</f>
        <v>0.5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7</v>
      </c>
      <c r="C23" s="8">
        <f>IF(B$19=0,0,B23/B$19)</f>
        <v>0.3888888888888889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6</v>
      </c>
      <c r="C24" s="8">
        <f>IF(B$19=0,0,B24/B$19)</f>
        <v>0.33333333333333331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5</v>
      </c>
      <c r="C25" s="8">
        <f>IF(B$19=0,0,B25/B$19)</f>
        <v>0.27777777777777779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10283.333333333334</v>
      </c>
      <c r="C26" s="10">
        <v>185100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5</v>
      </c>
    </row>
    <row r="27" spans="1:17" x14ac:dyDescent="0.45">
      <c r="A27" s="22" t="s">
        <v>166</v>
      </c>
      <c r="B27" s="99">
        <f>IF($B$19-B$18=0,0,C27/($B$19-B$18))</f>
        <v>11266.666666666666</v>
      </c>
      <c r="C27" s="100">
        <v>135200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8316.6666666666661</v>
      </c>
      <c r="C28" s="100">
        <v>49900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-4980</v>
      </c>
      <c r="C29" s="100">
        <v>-24900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16</v>
      </c>
      <c r="C31" s="94">
        <v>14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4</v>
      </c>
    </row>
    <row r="32" spans="1:17" x14ac:dyDescent="0.45">
      <c r="A32" s="56" t="s">
        <v>136</v>
      </c>
      <c r="B32" s="133">
        <v>6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106500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1</v>
      </c>
      <c r="C36" s="102">
        <f t="shared" ref="C36:C48" si="2">IF(B$19=0,0,B36/B$19)</f>
        <v>5.5555555555555552E-2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4</v>
      </c>
      <c r="C37" s="8">
        <f t="shared" si="2"/>
        <v>0.22222222222222221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3</v>
      </c>
      <c r="C38" s="8">
        <f t="shared" si="2"/>
        <v>0.16666666666666666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6</v>
      </c>
      <c r="C40" s="8">
        <f t="shared" si="2"/>
        <v>0.33333333333333331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1</v>
      </c>
      <c r="C41" s="8">
        <f t="shared" si="2"/>
        <v>5.5555555555555552E-2</v>
      </c>
      <c r="E41" s="29" t="s">
        <v>103</v>
      </c>
      <c r="F41" s="26" t="s">
        <v>58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6">
        <v>1</v>
      </c>
      <c r="C42" s="8">
        <f t="shared" si="2"/>
        <v>5.5555555555555552E-2</v>
      </c>
      <c r="E42" s="29" t="s">
        <v>104</v>
      </c>
      <c r="F42" s="26" t="s">
        <v>59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105</v>
      </c>
      <c r="F43" s="26" t="s">
        <v>112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106</v>
      </c>
      <c r="F44" s="26" t="s">
        <v>113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1</v>
      </c>
      <c r="C45" s="8">
        <f t="shared" si="2"/>
        <v>5.5555555555555552E-2</v>
      </c>
      <c r="E45" s="29" t="s">
        <v>107</v>
      </c>
      <c r="F45" s="26" t="s">
        <v>114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108</v>
      </c>
      <c r="F46" s="26" t="s">
        <v>60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109</v>
      </c>
      <c r="F47" s="26" t="s">
        <v>61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5.5555555555555552E-2</v>
      </c>
      <c r="E48" s="29" t="s">
        <v>110</v>
      </c>
      <c r="F48" s="26" t="s">
        <v>62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111</v>
      </c>
      <c r="F49" s="26" t="s">
        <v>63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156</v>
      </c>
      <c r="F50" s="26" t="s">
        <v>157</v>
      </c>
      <c r="G50" s="14">
        <v>0</v>
      </c>
      <c r="H50" s="92">
        <f>IF(B$19=0,0,G50/B$19)</f>
        <v>0</v>
      </c>
      <c r="I50" s="60">
        <v>4</v>
      </c>
    </row>
    <row r="51" spans="5:9" x14ac:dyDescent="0.45">
      <c r="E51" s="95" t="s">
        <v>160</v>
      </c>
      <c r="F51" s="96" t="s">
        <v>161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2200A-4EAF-4DD5-86BE-275C7A49AD99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196</v>
      </c>
      <c r="C1" s="138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3</v>
      </c>
      <c r="C2" s="140"/>
      <c r="E2" s="28" t="s">
        <v>64</v>
      </c>
      <c r="F2" s="25" t="s">
        <v>20</v>
      </c>
      <c r="G2" s="13">
        <v>3</v>
      </c>
      <c r="H2" s="91">
        <f>IF(B$19=0,0,G2/B$19)</f>
        <v>0.75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-333.33333333333331</v>
      </c>
      <c r="P2" s="80">
        <v>3</v>
      </c>
      <c r="Q2" s="67">
        <v>-1000</v>
      </c>
    </row>
    <row r="3" spans="1:17" x14ac:dyDescent="0.45">
      <c r="A3" s="21" t="s">
        <v>8</v>
      </c>
      <c r="B3" s="141">
        <v>20</v>
      </c>
      <c r="C3" s="142"/>
      <c r="E3" s="29" t="s">
        <v>65</v>
      </c>
      <c r="F3" s="26" t="s">
        <v>21</v>
      </c>
      <c r="G3" s="14">
        <v>1</v>
      </c>
      <c r="H3" s="92">
        <f>IF(B$19=0,0,G3/B$19)</f>
        <v>0.25</v>
      </c>
      <c r="I3" s="60">
        <v>1</v>
      </c>
      <c r="K3" s="7">
        <v>1</v>
      </c>
      <c r="L3" s="65">
        <v>-30.5</v>
      </c>
      <c r="N3" s="78" t="s">
        <v>129</v>
      </c>
      <c r="O3" s="84">
        <f t="shared" si="0"/>
        <v>800</v>
      </c>
      <c r="P3" s="81">
        <v>3</v>
      </c>
      <c r="Q3" s="68">
        <v>2400</v>
      </c>
    </row>
    <row r="4" spans="1:17" x14ac:dyDescent="0.45">
      <c r="A4" s="21" t="s">
        <v>6</v>
      </c>
      <c r="B4" s="143">
        <v>-41.400000000000006</v>
      </c>
      <c r="C4" s="144"/>
      <c r="E4" s="29" t="s">
        <v>66</v>
      </c>
      <c r="F4" s="26" t="s">
        <v>22</v>
      </c>
      <c r="G4" s="14">
        <v>1</v>
      </c>
      <c r="H4" s="92">
        <f>IF(B$19=0,0,G4/B$19)</f>
        <v>0.25</v>
      </c>
      <c r="I4" s="60">
        <v>9</v>
      </c>
      <c r="K4" s="7">
        <v>2</v>
      </c>
      <c r="L4" s="65">
        <v>-28.6</v>
      </c>
      <c r="N4" s="78" t="s">
        <v>130</v>
      </c>
      <c r="O4" s="84">
        <f t="shared" si="0"/>
        <v>-8766.6666666666661</v>
      </c>
      <c r="P4" s="81">
        <v>3</v>
      </c>
      <c r="Q4" s="68">
        <v>-26300</v>
      </c>
    </row>
    <row r="5" spans="1:17" x14ac:dyDescent="0.45">
      <c r="A5" s="21" t="s">
        <v>7</v>
      </c>
      <c r="B5" s="131">
        <f>IF(B$2=0,0,B$4/B$2)</f>
        <v>-13.800000000000002</v>
      </c>
      <c r="C5" s="132"/>
      <c r="E5" s="29" t="s">
        <v>67</v>
      </c>
      <c r="F5" s="26" t="s">
        <v>23</v>
      </c>
      <c r="G5" s="14">
        <v>1</v>
      </c>
      <c r="H5" s="92">
        <f>IF(B$19=0,0,G5/B$19)</f>
        <v>0.25</v>
      </c>
      <c r="I5" s="60">
        <v>3</v>
      </c>
      <c r="K5" s="7">
        <v>3</v>
      </c>
      <c r="L5" s="65">
        <v>-41.400000000000006</v>
      </c>
      <c r="N5" s="78" t="s">
        <v>131</v>
      </c>
      <c r="O5" s="84">
        <f t="shared" si="0"/>
        <v>-3000</v>
      </c>
      <c r="P5" s="81">
        <v>1</v>
      </c>
      <c r="Q5" s="68">
        <v>-3000</v>
      </c>
    </row>
    <row r="6" spans="1:17" x14ac:dyDescent="0.45">
      <c r="A6" s="21" t="s">
        <v>1</v>
      </c>
      <c r="B6" s="145">
        <f>IF(B$2=0,0,(B$7*1+B$8*2+B$9*3)/B$2)</f>
        <v>2.3333333333333335</v>
      </c>
      <c r="C6" s="146"/>
      <c r="E6" s="29" t="s">
        <v>68</v>
      </c>
      <c r="F6" s="26" t="s">
        <v>12</v>
      </c>
      <c r="G6" s="14">
        <v>1</v>
      </c>
      <c r="H6" s="92">
        <f>IF(B$19=0,0,G6/B$19)</f>
        <v>0.25</v>
      </c>
      <c r="I6" s="60">
        <v>7</v>
      </c>
      <c r="N6" s="78" t="s">
        <v>132</v>
      </c>
      <c r="O6" s="84">
        <f t="shared" si="0"/>
        <v>2000</v>
      </c>
      <c r="P6" s="81">
        <v>1</v>
      </c>
      <c r="Q6" s="68">
        <v>2000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72</v>
      </c>
      <c r="F7" s="26" t="s">
        <v>27</v>
      </c>
      <c r="G7" s="14">
        <v>1</v>
      </c>
      <c r="H7" s="92">
        <f>IF(B$19=0,0,G7/B$19)</f>
        <v>0.25</v>
      </c>
      <c r="I7" s="60">
        <v>9</v>
      </c>
      <c r="N7" s="79" t="s">
        <v>133</v>
      </c>
      <c r="O7" s="85">
        <f t="shared" si="0"/>
        <v>-5500</v>
      </c>
      <c r="P7" s="82">
        <v>1</v>
      </c>
      <c r="Q7" s="69">
        <v>-5500</v>
      </c>
    </row>
    <row r="8" spans="1:17" x14ac:dyDescent="0.45">
      <c r="A8" s="21" t="s">
        <v>3</v>
      </c>
      <c r="B8" s="14">
        <v>2</v>
      </c>
      <c r="C8" s="8">
        <f t="shared" si="1"/>
        <v>0.66666666666666663</v>
      </c>
      <c r="E8" s="29" t="s">
        <v>86</v>
      </c>
      <c r="F8" s="26" t="s">
        <v>41</v>
      </c>
      <c r="G8" s="14">
        <v>1</v>
      </c>
      <c r="H8" s="92">
        <f>IF(B$19=0,0,G8/B$19)</f>
        <v>0.25</v>
      </c>
      <c r="I8" s="60">
        <v>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0.33333333333333331</v>
      </c>
      <c r="E9" s="29" t="s">
        <v>160</v>
      </c>
      <c r="F9" s="26" t="s">
        <v>161</v>
      </c>
      <c r="G9" s="14">
        <v>1</v>
      </c>
      <c r="H9" s="92">
        <f>IF(B$19=0,0,G9/B$19)</f>
        <v>0.25</v>
      </c>
      <c r="I9" s="60">
        <v>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69</v>
      </c>
      <c r="F10" s="26" t="s">
        <v>24</v>
      </c>
      <c r="G10" s="14">
        <v>0</v>
      </c>
      <c r="H10" s="92">
        <f>IF(B$19=0,0,G10/B$19)</f>
        <v>0</v>
      </c>
      <c r="I10" s="60">
        <v>9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-14.3</v>
      </c>
      <c r="C11" s="114">
        <v>-28.6</v>
      </c>
      <c r="E11" s="29" t="s">
        <v>70</v>
      </c>
      <c r="F11" s="26" t="s">
        <v>25</v>
      </c>
      <c r="G11" s="14">
        <v>0</v>
      </c>
      <c r="H11" s="92">
        <f>IF(B$19=0,0,G11/B$19)</f>
        <v>0</v>
      </c>
      <c r="I11" s="60">
        <v>6</v>
      </c>
      <c r="N11" s="78" t="s">
        <v>153</v>
      </c>
      <c r="O11" s="87">
        <f>IF(P11=0,0,Q11/P11)</f>
        <v>-30.5</v>
      </c>
      <c r="P11" s="81">
        <v>1</v>
      </c>
      <c r="Q11" s="72">
        <v>-30.5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8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31">
        <f>AVERAGE(B10:B12)</f>
        <v>-9.0333333333333332</v>
      </c>
      <c r="C13" s="132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</v>
      </c>
      <c r="C15" s="12">
        <f>IF(B$3=0,0,B15/B$3)</f>
        <v>0.2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1</v>
      </c>
      <c r="C16" s="8">
        <f>IF(B$3=0,0,B16/B$3)</f>
        <v>0.05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18.550000000000004</v>
      </c>
      <c r="P16" s="81">
        <v>2</v>
      </c>
      <c r="Q16" s="72">
        <v>37.100000000000009</v>
      </c>
    </row>
    <row r="17" spans="1:17" x14ac:dyDescent="0.45">
      <c r="A17" s="20" t="s">
        <v>123</v>
      </c>
      <c r="B17" s="13">
        <f>B23</f>
        <v>3</v>
      </c>
      <c r="C17" s="6">
        <f>IF(B$15=0,0,B17/B$15)</f>
        <v>0.75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3</v>
      </c>
      <c r="N17" s="78" t="s">
        <v>126</v>
      </c>
      <c r="O17" s="87">
        <f>IF(P17=0,0,Q17/P17)</f>
        <v>-34.9</v>
      </c>
      <c r="P17" s="81">
        <v>2</v>
      </c>
      <c r="Q17" s="72">
        <v>-69.8</v>
      </c>
    </row>
    <row r="18" spans="1:17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5</v>
      </c>
      <c r="N18" s="78" t="s">
        <v>193</v>
      </c>
      <c r="O18" s="87">
        <f>IF(P18=0,0,Q18/P18)</f>
        <v>-112</v>
      </c>
      <c r="P18" s="81">
        <v>1</v>
      </c>
      <c r="Q18" s="72">
        <v>-112</v>
      </c>
    </row>
    <row r="19" spans="1:17" x14ac:dyDescent="0.45">
      <c r="A19" s="20" t="s">
        <v>10</v>
      </c>
      <c r="B19" s="13">
        <f>B22+B21</f>
        <v>4</v>
      </c>
      <c r="C19" s="6">
        <f>IF(B$3=0,0,B19/B$3)</f>
        <v>0.2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5</v>
      </c>
    </row>
    <row r="20" spans="1:17" x14ac:dyDescent="0.45">
      <c r="A20" s="21" t="s">
        <v>13</v>
      </c>
      <c r="B20" s="14">
        <v>1</v>
      </c>
      <c r="C20" s="8">
        <f>IF(B$3=0,0,B20/B$3)</f>
        <v>0.05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1</v>
      </c>
      <c r="C21" s="8">
        <f>IF(B$19=0,0,B21/B$19)</f>
        <v>0.25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6</v>
      </c>
    </row>
    <row r="22" spans="1:17" x14ac:dyDescent="0.45">
      <c r="A22" s="21" t="s">
        <v>11</v>
      </c>
      <c r="B22" s="14">
        <v>3</v>
      </c>
      <c r="C22" s="8">
        <f>IF(B$19=0,0,B22/B$19)</f>
        <v>0.75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3</v>
      </c>
      <c r="C23" s="8">
        <f>IF(B$19=0,0,B23/B$19)</f>
        <v>0.75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7</v>
      </c>
    </row>
    <row r="24" spans="1:17" x14ac:dyDescent="0.45">
      <c r="A24" s="21" t="s">
        <v>182</v>
      </c>
      <c r="B24" s="14">
        <v>0</v>
      </c>
      <c r="C24" s="8">
        <f>IF(B$19=0,0,B24/B$19)</f>
        <v>0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</v>
      </c>
      <c r="C25" s="8">
        <f>IF(B$19=0,0,B25/B$19)</f>
        <v>0.25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5100</v>
      </c>
      <c r="C26" s="10">
        <v>20400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5100</v>
      </c>
      <c r="C27" s="100">
        <v>20400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0</v>
      </c>
      <c r="C28" s="100">
        <v>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7</v>
      </c>
    </row>
    <row r="29" spans="1:17" x14ac:dyDescent="0.45">
      <c r="A29" s="22" t="s">
        <v>165</v>
      </c>
      <c r="B29" s="99">
        <f>IF(B$20=0,0,C29/B$20)</f>
        <v>-3900</v>
      </c>
      <c r="C29" s="100">
        <v>-3900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13</v>
      </c>
      <c r="C31" s="94">
        <v>13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4</v>
      </c>
    </row>
    <row r="32" spans="1:17" x14ac:dyDescent="0.45">
      <c r="A32" s="56" t="s">
        <v>136</v>
      </c>
      <c r="B32" s="133">
        <v>2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36900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1</v>
      </c>
      <c r="C36" s="102">
        <f t="shared" ref="C36:C48" si="2">IF(B$19=0,0,B36/B$19)</f>
        <v>0.25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2</v>
      </c>
      <c r="C38" s="8">
        <f t="shared" si="2"/>
        <v>0.5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1</v>
      </c>
      <c r="C39" s="8">
        <f t="shared" si="2"/>
        <v>0.25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3DB8B-9CB9-463E-A9D0-63B7D1352509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205</v>
      </c>
      <c r="C1" s="138"/>
      <c r="E1" s="108" t="s">
        <v>155</v>
      </c>
      <c r="F1" s="128" t="s">
        <v>115</v>
      </c>
      <c r="G1" s="127" t="s">
        <v>116</v>
      </c>
      <c r="H1" s="90" t="s">
        <v>117</v>
      </c>
      <c r="I1" s="128" t="s">
        <v>146</v>
      </c>
      <c r="K1" s="4" t="s">
        <v>19</v>
      </c>
      <c r="L1" s="128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3</v>
      </c>
      <c r="C2" s="140"/>
      <c r="E2" s="28" t="s">
        <v>66</v>
      </c>
      <c r="F2" s="25" t="s">
        <v>22</v>
      </c>
      <c r="G2" s="13">
        <v>11</v>
      </c>
      <c r="H2" s="91">
        <f>IF(B$19=0,0,G2/B$19)</f>
        <v>1.1000000000000001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-2466.6666666666665</v>
      </c>
      <c r="P2" s="80">
        <v>3</v>
      </c>
      <c r="Q2" s="67">
        <v>-7400</v>
      </c>
    </row>
    <row r="3" spans="1:17" x14ac:dyDescent="0.45">
      <c r="A3" s="21" t="s">
        <v>8</v>
      </c>
      <c r="B3" s="141">
        <v>25</v>
      </c>
      <c r="C3" s="142"/>
      <c r="E3" s="29" t="s">
        <v>72</v>
      </c>
      <c r="F3" s="26" t="s">
        <v>27</v>
      </c>
      <c r="G3" s="14">
        <v>6</v>
      </c>
      <c r="H3" s="92">
        <f>IF(B$19=0,0,G3/B$19)</f>
        <v>0.6</v>
      </c>
      <c r="I3" s="60">
        <v>5</v>
      </c>
      <c r="K3" s="7">
        <v>1</v>
      </c>
      <c r="L3" s="65">
        <v>68.2</v>
      </c>
      <c r="N3" s="78" t="s">
        <v>129</v>
      </c>
      <c r="O3" s="84">
        <f t="shared" si="0"/>
        <v>-2266.6666666666665</v>
      </c>
      <c r="P3" s="81">
        <v>3</v>
      </c>
      <c r="Q3" s="68">
        <v>-6800</v>
      </c>
    </row>
    <row r="4" spans="1:17" x14ac:dyDescent="0.45">
      <c r="A4" s="21" t="s">
        <v>6</v>
      </c>
      <c r="B4" s="143">
        <v>8.9000000000000057</v>
      </c>
      <c r="C4" s="144"/>
      <c r="E4" s="29" t="s">
        <v>64</v>
      </c>
      <c r="F4" s="26" t="s">
        <v>20</v>
      </c>
      <c r="G4" s="14">
        <v>3</v>
      </c>
      <c r="H4" s="92">
        <f>IF(B$19=0,0,G4/B$19)</f>
        <v>0.3</v>
      </c>
      <c r="I4" s="60">
        <v>9</v>
      </c>
      <c r="K4" s="7">
        <v>2</v>
      </c>
      <c r="L4" s="65">
        <v>41.2</v>
      </c>
      <c r="N4" s="78" t="s">
        <v>130</v>
      </c>
      <c r="O4" s="84">
        <f t="shared" si="0"/>
        <v>2733.3333333333335</v>
      </c>
      <c r="P4" s="81">
        <v>3</v>
      </c>
      <c r="Q4" s="68">
        <v>8200</v>
      </c>
    </row>
    <row r="5" spans="1:17" x14ac:dyDescent="0.45">
      <c r="A5" s="21" t="s">
        <v>7</v>
      </c>
      <c r="B5" s="131">
        <f>IF(B$2=0,0,B$4/B$2)</f>
        <v>2.9666666666666686</v>
      </c>
      <c r="C5" s="132"/>
      <c r="E5" s="29" t="s">
        <v>68</v>
      </c>
      <c r="F5" s="26" t="s">
        <v>12</v>
      </c>
      <c r="G5" s="14">
        <v>3</v>
      </c>
      <c r="H5" s="92">
        <f>IF(B$19=0,0,G5/B$19)</f>
        <v>0.3</v>
      </c>
      <c r="I5" s="60">
        <v>3</v>
      </c>
      <c r="K5" s="7">
        <v>3</v>
      </c>
      <c r="L5" s="65">
        <v>8.9000000000000057</v>
      </c>
      <c r="N5" s="78" t="s">
        <v>131</v>
      </c>
      <c r="O5" s="84">
        <f t="shared" si="0"/>
        <v>10333.333333333334</v>
      </c>
      <c r="P5" s="81">
        <v>3</v>
      </c>
      <c r="Q5" s="68">
        <v>31000</v>
      </c>
    </row>
    <row r="6" spans="1:17" x14ac:dyDescent="0.45">
      <c r="A6" s="21" t="s">
        <v>1</v>
      </c>
      <c r="B6" s="145">
        <f>IF(B$2=0,0,(B$7*1+B$8*2+B$9*3)/B$2)</f>
        <v>2.3333333333333335</v>
      </c>
      <c r="C6" s="146"/>
      <c r="E6" s="29" t="s">
        <v>160</v>
      </c>
      <c r="F6" s="26" t="s">
        <v>161</v>
      </c>
      <c r="G6" s="14">
        <v>3</v>
      </c>
      <c r="H6" s="92">
        <f>IF(B$19=0,0,G6/B$19)</f>
        <v>0.3</v>
      </c>
      <c r="I6" s="60">
        <v>6</v>
      </c>
      <c r="N6" s="78" t="s">
        <v>132</v>
      </c>
      <c r="O6" s="84">
        <f t="shared" si="0"/>
        <v>5666.666666666667</v>
      </c>
      <c r="P6" s="81">
        <v>3</v>
      </c>
      <c r="Q6" s="68">
        <v>17000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0.33333333333333331</v>
      </c>
      <c r="E7" s="29" t="s">
        <v>69</v>
      </c>
      <c r="F7" s="26" t="s">
        <v>24</v>
      </c>
      <c r="G7" s="14">
        <v>2</v>
      </c>
      <c r="H7" s="92">
        <f>IF(B$19=0,0,G7/B$19)</f>
        <v>0.2</v>
      </c>
      <c r="I7" s="60">
        <v>1</v>
      </c>
      <c r="N7" s="79" t="s">
        <v>133</v>
      </c>
      <c r="O7" s="85">
        <f t="shared" si="0"/>
        <v>1450</v>
      </c>
      <c r="P7" s="82">
        <v>2</v>
      </c>
      <c r="Q7" s="69">
        <v>2900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70</v>
      </c>
      <c r="F8" s="26" t="s">
        <v>25</v>
      </c>
      <c r="G8" s="14">
        <v>2</v>
      </c>
      <c r="H8" s="92">
        <f>IF(B$19=0,0,G8/B$19)</f>
        <v>0.2</v>
      </c>
      <c r="I8" s="60">
        <v>1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0.66666666666666663</v>
      </c>
      <c r="E9" s="29" t="s">
        <v>71</v>
      </c>
      <c r="F9" s="26" t="s">
        <v>26</v>
      </c>
      <c r="G9" s="14">
        <v>2</v>
      </c>
      <c r="H9" s="92">
        <f>IF(B$19=0,0,G9/B$19)</f>
        <v>0.2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68.2</v>
      </c>
      <c r="C10" s="114">
        <v>68.2</v>
      </c>
      <c r="E10" s="29" t="s">
        <v>78</v>
      </c>
      <c r="F10" s="26" t="s">
        <v>33</v>
      </c>
      <c r="G10" s="14">
        <v>2</v>
      </c>
      <c r="H10" s="92">
        <f>IF(B$19=0,0,G10/B$19)</f>
        <v>0.2</v>
      </c>
      <c r="I10" s="60">
        <v>1</v>
      </c>
      <c r="N10" s="77" t="s">
        <v>152</v>
      </c>
      <c r="O10" s="86">
        <f>IF(P10=0,0,Q10/P10)</f>
        <v>17.950000000000003</v>
      </c>
      <c r="P10" s="80">
        <v>2</v>
      </c>
      <c r="Q10" s="71">
        <v>35.900000000000006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65</v>
      </c>
      <c r="F11" s="26" t="s">
        <v>21</v>
      </c>
      <c r="G11" s="14">
        <v>1</v>
      </c>
      <c r="H11" s="92">
        <f>IF(B$19=0,0,G11/B$19)</f>
        <v>0.1</v>
      </c>
      <c r="I11" s="60">
        <v>5</v>
      </c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-29.65</v>
      </c>
      <c r="C12" s="114">
        <v>-59.3</v>
      </c>
      <c r="E12" s="29" t="s">
        <v>67</v>
      </c>
      <c r="F12" s="26" t="s">
        <v>23</v>
      </c>
      <c r="G12" s="14">
        <v>1</v>
      </c>
      <c r="H12" s="92">
        <f>IF(B$19=0,0,G12/B$19)</f>
        <v>0.1</v>
      </c>
      <c r="I12" s="60">
        <v>9</v>
      </c>
      <c r="N12" s="79" t="s">
        <v>154</v>
      </c>
      <c r="O12" s="88">
        <f>IF(P12=0,0,Q12/P12)</f>
        <v>-27</v>
      </c>
      <c r="P12" s="82">
        <v>1</v>
      </c>
      <c r="Q12" s="73">
        <v>-27</v>
      </c>
    </row>
    <row r="13" spans="1:17" x14ac:dyDescent="0.45">
      <c r="A13" s="22" t="s">
        <v>188</v>
      </c>
      <c r="B13" s="131">
        <f>AVERAGE(B10:B12)</f>
        <v>12.850000000000001</v>
      </c>
      <c r="C13" s="132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</v>
      </c>
      <c r="C15" s="12">
        <f>IF(B$3=0,0,B15/B$3)</f>
        <v>0.2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192</v>
      </c>
      <c r="O15" s="86">
        <f>IF(P15=0,0,Q15/P15)</f>
        <v>8.1000000000000014</v>
      </c>
      <c r="P15" s="80">
        <v>3</v>
      </c>
      <c r="Q15" s="71">
        <v>24.300000000000004</v>
      </c>
    </row>
    <row r="16" spans="1:17" x14ac:dyDescent="0.45">
      <c r="A16" s="21" t="s">
        <v>118</v>
      </c>
      <c r="B16" s="14">
        <v>4</v>
      </c>
      <c r="C16" s="8">
        <f>IF(B$3=0,0,B16/B$3)</f>
        <v>0.16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0.80000000000000193</v>
      </c>
      <c r="P16" s="81">
        <v>3</v>
      </c>
      <c r="Q16" s="72">
        <v>2.4000000000000057</v>
      </c>
    </row>
    <row r="17" spans="1:9" x14ac:dyDescent="0.45">
      <c r="A17" s="20" t="s">
        <v>123</v>
      </c>
      <c r="B17" s="13">
        <f>B23</f>
        <v>3</v>
      </c>
      <c r="C17" s="6">
        <f>IF(B$15=0,0,B17/B$15)</f>
        <v>0.6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3</v>
      </c>
    </row>
    <row r="18" spans="1:9" x14ac:dyDescent="0.45">
      <c r="A18" s="20" t="s">
        <v>124</v>
      </c>
      <c r="B18" s="13">
        <f>B24</f>
        <v>1</v>
      </c>
      <c r="C18" s="6">
        <f>IF(B$16=0,0,B18/B$16)</f>
        <v>0.25</v>
      </c>
      <c r="E18" s="29" t="s">
        <v>79</v>
      </c>
      <c r="F18" s="26" t="s">
        <v>34</v>
      </c>
      <c r="G18" s="14">
        <v>0</v>
      </c>
      <c r="H18" s="92">
        <f>IF(B$19=0,0,G18/B$19)</f>
        <v>0</v>
      </c>
      <c r="I18" s="60">
        <v>5</v>
      </c>
    </row>
    <row r="19" spans="1:9" x14ac:dyDescent="0.45">
      <c r="A19" s="20" t="s">
        <v>10</v>
      </c>
      <c r="B19" s="13">
        <f>B22+B21</f>
        <v>10</v>
      </c>
      <c r="C19" s="6">
        <f>IF(B$3=0,0,B19/B$3)</f>
        <v>0.4</v>
      </c>
      <c r="E19" s="29" t="s">
        <v>80</v>
      </c>
      <c r="F19" s="26" t="s">
        <v>35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5</v>
      </c>
      <c r="C20" s="8">
        <f>IF(B$3=0,0,B20/B$3)</f>
        <v>0.2</v>
      </c>
      <c r="E20" s="29" t="s">
        <v>81</v>
      </c>
      <c r="F20" s="26" t="s">
        <v>36</v>
      </c>
      <c r="G20" s="14">
        <v>0</v>
      </c>
      <c r="H20" s="92">
        <f>IF(B$19=0,0,G20/B$19)</f>
        <v>0</v>
      </c>
      <c r="I20" s="60">
        <v>6</v>
      </c>
    </row>
    <row r="21" spans="1:9" x14ac:dyDescent="0.45">
      <c r="A21" s="21" t="s">
        <v>12</v>
      </c>
      <c r="B21" s="14">
        <v>4</v>
      </c>
      <c r="C21" s="8">
        <f>IF(B$19=0,0,B21/B$19)</f>
        <v>0.4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6</v>
      </c>
      <c r="C22" s="8">
        <f>IF(B$19=0,0,B22/B$19)</f>
        <v>0.6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7</v>
      </c>
    </row>
    <row r="23" spans="1:9" x14ac:dyDescent="0.45">
      <c r="A23" s="21" t="s">
        <v>184</v>
      </c>
      <c r="B23" s="14">
        <v>3</v>
      </c>
      <c r="C23" s="8">
        <f>IF(B$19=0,0,B23/B$19)</f>
        <v>0.3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1</v>
      </c>
      <c r="C24" s="8">
        <f>IF(B$19=0,0,B24/B$19)</f>
        <v>0.1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1</v>
      </c>
    </row>
    <row r="25" spans="1:9" x14ac:dyDescent="0.45">
      <c r="A25" s="21" t="s">
        <v>183</v>
      </c>
      <c r="B25" s="14">
        <v>6</v>
      </c>
      <c r="C25" s="8">
        <f>IF(B$19=0,0,B25/B$19)</f>
        <v>0.6</v>
      </c>
      <c r="E25" s="29" t="s">
        <v>86</v>
      </c>
      <c r="F25" s="26" t="s">
        <v>41</v>
      </c>
      <c r="G25" s="14">
        <v>0</v>
      </c>
      <c r="H25" s="92">
        <f>IF(B$19=0,0,G25/B$19)</f>
        <v>0</v>
      </c>
      <c r="I25" s="60">
        <v>5</v>
      </c>
    </row>
    <row r="26" spans="1:9" x14ac:dyDescent="0.45">
      <c r="A26" s="21" t="s">
        <v>5</v>
      </c>
      <c r="B26" s="18">
        <f>IF(B$19=0,0,C26/B$19)</f>
        <v>7870</v>
      </c>
      <c r="C26" s="10">
        <v>78700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3</v>
      </c>
    </row>
    <row r="27" spans="1:9" x14ac:dyDescent="0.45">
      <c r="A27" s="22" t="s">
        <v>166</v>
      </c>
      <c r="B27" s="99">
        <f>IF($B$19-B$18=0,0,C27/($B$19-B$18))</f>
        <v>8311.1111111111113</v>
      </c>
      <c r="C27" s="100">
        <v>74800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9" x14ac:dyDescent="0.45">
      <c r="A28" s="22" t="s">
        <v>167</v>
      </c>
      <c r="B28" s="99">
        <f>IF(B$18=0,0,C28/B$18)</f>
        <v>3900</v>
      </c>
      <c r="C28" s="100">
        <v>3900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7</v>
      </c>
    </row>
    <row r="29" spans="1:9" x14ac:dyDescent="0.45">
      <c r="A29" s="22" t="s">
        <v>165</v>
      </c>
      <c r="B29" s="99">
        <f>IF(B$20=0,0,C29/B$20)</f>
        <v>-8760</v>
      </c>
      <c r="C29" s="100">
        <v>-43800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4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4</v>
      </c>
    </row>
    <row r="31" spans="1:9" x14ac:dyDescent="0.45">
      <c r="A31" s="21" t="s">
        <v>159</v>
      </c>
      <c r="B31" s="14">
        <v>9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4</v>
      </c>
    </row>
    <row r="32" spans="1:9" x14ac:dyDescent="0.45">
      <c r="A32" s="56" t="s">
        <v>136</v>
      </c>
      <c r="B32" s="133">
        <v>6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93200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9">
        <v>1</v>
      </c>
      <c r="C36" s="102">
        <f t="shared" ref="C36:C48" si="2">IF(B$19=0,0,B36/B$19)</f>
        <v>0.1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3</v>
      </c>
      <c r="C37" s="8">
        <f t="shared" si="2"/>
        <v>0.3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0">
        <v>1</v>
      </c>
      <c r="C38" s="8">
        <f t="shared" si="2"/>
        <v>0.1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0">
        <v>2</v>
      </c>
      <c r="C39" s="8">
        <f t="shared" si="2"/>
        <v>0.2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0">
        <v>1</v>
      </c>
      <c r="C40" s="8">
        <f t="shared" si="2"/>
        <v>0.1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30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30">
        <v>1</v>
      </c>
      <c r="C42" s="8">
        <f t="shared" si="2"/>
        <v>0.1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0">
        <v>1</v>
      </c>
      <c r="C43" s="8">
        <f t="shared" si="2"/>
        <v>0.1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3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3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1E7CC-C971-43F3-B212-721B46AC572B}">
  <sheetPr codeName="Sheet22"/>
  <dimension ref="A1:Q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58F60-05AB-40C8-833D-502DBB4D5A30}">
  <sheetPr codeName="Sheet20"/>
  <dimension ref="A1:Q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103BE-CF9C-4162-92F8-EB4C2310FE06}">
  <sheetPr codeName="Sheet18"/>
  <dimension ref="A1:Q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EB94A-90D1-4B0A-99D1-7A0F949AB243}">
  <sheetPr codeName="Sheet16"/>
  <dimension ref="A1:Q2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A71ED-56E6-45BF-AB12-3D0AB779E2F0}">
  <sheetPr codeName="Sheet14"/>
  <dimension ref="A1:Q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79009-C168-4C61-B015-CF7E50F5F455}">
  <sheetPr codeName="Sheet12"/>
  <dimension ref="A1:Q2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DE4C6-ED33-4B53-BD2B-72C7003891D2}">
  <sheetPr codeName="Sheet10"/>
  <dimension ref="A1:Q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B228-3876-434B-94FB-E16DA8EA014C}">
  <sheetPr codeName="Sheet8"/>
  <dimension ref="A1:Q1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030BA-EE29-4A96-AD4A-698358C0A9E4}">
  <sheetPr codeName="Sheet6"/>
  <dimension ref="A1:Q2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620</vt:i4>
      </vt:variant>
    </vt:vector>
  </HeadingPairs>
  <TitlesOfParts>
    <vt:vector size="658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2020-04-07T12:17:55Z</dcterms:modified>
</cp:coreProperties>
</file>