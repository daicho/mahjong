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1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3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5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FF5AF3AA-103A-4472-9FD6-3C98D9D936D5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のり2" sheetId="6133" state="hidden" r:id="rId14"/>
    <sheet name="たかの2" sheetId="6131" state="hidden" r:id="rId15"/>
    <sheet name="まっつん2" sheetId="6129" state="hidden" r:id="rId16"/>
    <sheet name="りくと2" sheetId="6127" state="hidden" r:id="rId17"/>
    <sheet name="だいち2" sheetId="6125" state="hidden" r:id="rId18"/>
    <sheet name="ともき2" sheetId="6123" state="hidden" r:id="rId19"/>
    <sheet name="れんたろう2" sheetId="6121" state="hidden" r:id="rId20"/>
    <sheet name="全体2" sheetId="6119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リーチ率" sheetId="3524" state="hidden" r:id="rId32"/>
    <sheet name="副露率" sheetId="3525" state="hidden" r:id="rId33"/>
    <sheet name="リーチ成功率" sheetId="4841" state="hidden" r:id="rId34"/>
    <sheet name="副露成功率" sheetId="3527" state="hidden" r:id="rId35"/>
    <sheet name="ツモ率" sheetId="3528" state="hidden" r:id="rId36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24" l="1"/>
  <c r="O19" i="6130"/>
  <c r="O19" i="6120"/>
  <c r="O17" i="6130"/>
  <c r="O17" i="6124" l="1"/>
  <c r="O18" i="6126"/>
  <c r="O16" i="6120"/>
  <c r="O17" i="6120"/>
  <c r="O15" i="6126"/>
  <c r="O16" i="6128"/>
  <c r="O16" i="6132" l="1"/>
  <c r="O17" i="6132"/>
  <c r="O18" i="6128"/>
  <c r="O17" i="6128"/>
  <c r="O18" i="6124"/>
  <c r="O19" i="6124"/>
  <c r="O15" i="6130"/>
  <c r="O15" i="6132"/>
  <c r="O18" i="6132"/>
  <c r="C34" i="6132"/>
  <c r="B29" i="6132"/>
  <c r="B28" i="6132"/>
  <c r="C20" i="6132"/>
  <c r="B19" i="6132"/>
  <c r="H9" i="6132" s="1"/>
  <c r="C18" i="6132"/>
  <c r="B18" i="6132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8" i="6130"/>
  <c r="O16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5" i="6128"/>
  <c r="O19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6" i="6118"/>
  <c r="O19" i="6126"/>
  <c r="O16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8" i="6118"/>
  <c r="B28" i="6128" l="1"/>
  <c r="C18" i="6126"/>
  <c r="H5" i="6126"/>
  <c r="H49" i="6126"/>
  <c r="H34" i="6126"/>
  <c r="H3" i="6126"/>
  <c r="H40" i="6126"/>
  <c r="H4" i="6126"/>
  <c r="H18" i="6126"/>
  <c r="C21" i="6126"/>
  <c r="H22" i="6126"/>
  <c r="C24" i="6126"/>
  <c r="H12" i="6126"/>
  <c r="H41" i="6126"/>
  <c r="H9" i="6126"/>
  <c r="C40" i="6126"/>
  <c r="C25" i="6126"/>
  <c r="H14" i="6126"/>
  <c r="H44" i="6126"/>
  <c r="H15" i="6126"/>
  <c r="H33" i="6126"/>
  <c r="H51" i="6126"/>
  <c r="H8" i="6126"/>
  <c r="H52" i="6126"/>
  <c r="H2" i="6126"/>
  <c r="H7" i="6126"/>
  <c r="H10" i="6126"/>
  <c r="H31" i="6126"/>
  <c r="C44" i="6126"/>
  <c r="H26" i="6126"/>
  <c r="H36" i="6126"/>
  <c r="H45" i="6126"/>
  <c r="H17" i="6126"/>
  <c r="C19" i="6126"/>
  <c r="C38" i="6126"/>
  <c r="H46" i="6126"/>
  <c r="B26" i="6126"/>
  <c r="H11" i="6126"/>
  <c r="B27" i="6126"/>
  <c r="H39" i="6126"/>
  <c r="C46" i="6126"/>
  <c r="H16" i="6126"/>
  <c r="C22" i="6126"/>
  <c r="H28" i="6126"/>
  <c r="C36" i="6126"/>
  <c r="H42" i="6126"/>
  <c r="H47" i="6126"/>
  <c r="H6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18" i="6128"/>
  <c r="H25" i="6128"/>
  <c r="C24" i="6128"/>
  <c r="H9" i="6128"/>
  <c r="H15" i="6128"/>
  <c r="H31" i="6128"/>
  <c r="H6" i="6128"/>
  <c r="C43" i="6128"/>
  <c r="H20" i="6128"/>
  <c r="H34" i="6128"/>
  <c r="C22" i="6128"/>
  <c r="H41" i="6128"/>
  <c r="H52" i="6132"/>
  <c r="H35" i="6132"/>
  <c r="H39" i="6132"/>
  <c r="H6" i="6132"/>
  <c r="H10" i="6132"/>
  <c r="C24" i="6132"/>
  <c r="H14" i="6132"/>
  <c r="H8" i="6132"/>
  <c r="H43" i="6132"/>
  <c r="C19" i="6132"/>
  <c r="C39" i="6132"/>
  <c r="H19" i="6132"/>
  <c r="C43" i="6132"/>
  <c r="H3" i="6132"/>
  <c r="H22" i="6132"/>
  <c r="H12" i="6132"/>
  <c r="H15" i="6132"/>
  <c r="H29" i="6132"/>
  <c r="H47" i="6132"/>
  <c r="C47" i="6132"/>
  <c r="H22" i="6130"/>
  <c r="C18" i="6130"/>
  <c r="H13" i="6130"/>
  <c r="H5" i="6130"/>
  <c r="H14" i="6130"/>
  <c r="H5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4" i="6132"/>
  <c r="H7" i="6132"/>
  <c r="H21" i="6132"/>
  <c r="H25" i="6132"/>
  <c r="H28" i="6132"/>
  <c r="H34" i="6132"/>
  <c r="C38" i="6132"/>
  <c r="C42" i="6132"/>
  <c r="C46" i="6132"/>
  <c r="H35" i="6130"/>
  <c r="H12" i="6130"/>
  <c r="H19" i="6130"/>
  <c r="C22" i="6130"/>
  <c r="H41" i="6130"/>
  <c r="C46" i="6130"/>
  <c r="H36" i="6130"/>
  <c r="H4" i="6130"/>
  <c r="H15" i="6130"/>
  <c r="C23" i="6130"/>
  <c r="H7" i="6130"/>
  <c r="H46" i="6130"/>
  <c r="H37" i="6130"/>
  <c r="C42" i="6130"/>
  <c r="C47" i="6130"/>
  <c r="H25" i="6130"/>
  <c r="H8" i="6130"/>
  <c r="H20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3" i="6130"/>
  <c r="H17" i="6130"/>
  <c r="C25" i="6130"/>
  <c r="H33" i="6130"/>
  <c r="H39" i="6130"/>
  <c r="H43" i="6130"/>
  <c r="H50" i="6130"/>
  <c r="H16" i="6130"/>
  <c r="H11" i="6130"/>
  <c r="H21" i="6130"/>
  <c r="H23" i="6130"/>
  <c r="B26" i="6130"/>
  <c r="H34" i="6130"/>
  <c r="C39" i="6130"/>
  <c r="H44" i="6130"/>
  <c r="H51" i="6130"/>
  <c r="H6" i="6130"/>
  <c r="H9" i="6130"/>
  <c r="C43" i="6130"/>
  <c r="H18" i="6130"/>
  <c r="C21" i="6130"/>
  <c r="B27" i="6130"/>
  <c r="H40" i="6130"/>
  <c r="H45" i="6130"/>
  <c r="H52" i="6130"/>
  <c r="H10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19" i="6128"/>
  <c r="H14" i="6128"/>
  <c r="C19" i="6128"/>
  <c r="C46" i="6128"/>
  <c r="H7" i="6128"/>
  <c r="C38" i="6128"/>
  <c r="H47" i="6128"/>
  <c r="H13" i="6128"/>
  <c r="H21" i="6128"/>
  <c r="H2" i="6128"/>
  <c r="H29" i="6128"/>
  <c r="H39" i="6128"/>
  <c r="C47" i="6128"/>
  <c r="H16" i="6128"/>
  <c r="H37" i="6128"/>
  <c r="H3" i="6128"/>
  <c r="H17" i="6128"/>
  <c r="H12" i="6128"/>
  <c r="H22" i="6128"/>
  <c r="C39" i="6128"/>
  <c r="H49" i="6128"/>
  <c r="H5" i="6128"/>
  <c r="H26" i="6128"/>
  <c r="H43" i="6128"/>
  <c r="H52" i="6128"/>
  <c r="C21" i="6128"/>
  <c r="C25" i="6128"/>
  <c r="H36" i="6128"/>
  <c r="H40" i="6128"/>
  <c r="H44" i="6128"/>
  <c r="H48" i="6128"/>
  <c r="H4" i="6128"/>
  <c r="H10" i="6128"/>
  <c r="H23" i="6128"/>
  <c r="H27" i="6128"/>
  <c r="H30" i="6128"/>
  <c r="C36" i="6128"/>
  <c r="C40" i="6128"/>
  <c r="C44" i="6128"/>
  <c r="C48" i="6128"/>
  <c r="H24" i="6128"/>
  <c r="H28" i="6128"/>
  <c r="H32" i="6128"/>
  <c r="C37" i="6128"/>
  <c r="C41" i="6128"/>
  <c r="C45" i="6128"/>
  <c r="H50" i="6128"/>
  <c r="H11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15" i="6124"/>
  <c r="O20" i="6124"/>
  <c r="C34" i="6124"/>
  <c r="B29" i="6124"/>
  <c r="C20" i="6124"/>
  <c r="B19" i="6124"/>
  <c r="H19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C34" i="6122"/>
  <c r="B29" i="6122"/>
  <c r="B28" i="6122"/>
  <c r="C20" i="6122"/>
  <c r="B19" i="6122"/>
  <c r="H50" i="6122" s="1"/>
  <c r="C18" i="6122"/>
  <c r="B18" i="6122"/>
  <c r="B17" i="6122"/>
  <c r="C17" i="6122" s="1"/>
  <c r="C16" i="6122"/>
  <c r="C15" i="6122"/>
  <c r="C14" i="6122"/>
  <c r="O12" i="6122"/>
  <c r="B12" i="6122"/>
  <c r="B13" i="6122" s="1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19" i="6118"/>
  <c r="O18" i="6120"/>
  <c r="O15" i="6120"/>
  <c r="C34" i="6120"/>
  <c r="B29" i="6120"/>
  <c r="B28" i="6120"/>
  <c r="C20" i="6120"/>
  <c r="B19" i="6120"/>
  <c r="H18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0" i="6118"/>
  <c r="O15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13" i="6124" l="1"/>
  <c r="B13" i="6120"/>
  <c r="H40" i="6120"/>
  <c r="C47" i="6120"/>
  <c r="H11" i="6120"/>
  <c r="H48" i="6120"/>
  <c r="H7" i="6120"/>
  <c r="H15" i="6120"/>
  <c r="H16" i="6120"/>
  <c r="C46" i="6120"/>
  <c r="B26" i="6120"/>
  <c r="H2" i="6120"/>
  <c r="H21" i="6120"/>
  <c r="H22" i="6120"/>
  <c r="H3" i="6120"/>
  <c r="H6" i="6120"/>
  <c r="H8" i="6120"/>
  <c r="H26" i="6120"/>
  <c r="H36" i="6120"/>
  <c r="C21" i="6120"/>
  <c r="C36" i="6120"/>
  <c r="C39" i="6120"/>
  <c r="C48" i="6120"/>
  <c r="H32" i="6120"/>
  <c r="H10" i="6120"/>
  <c r="C22" i="6120"/>
  <c r="C40" i="6120"/>
  <c r="H23" i="6120"/>
  <c r="H25" i="6120"/>
  <c r="H9" i="6120"/>
  <c r="H17" i="6120"/>
  <c r="H42" i="6120"/>
  <c r="H19" i="6120"/>
  <c r="H20" i="6120"/>
  <c r="C25" i="6120"/>
  <c r="H35" i="6120"/>
  <c r="C42" i="6120"/>
  <c r="H4" i="6120"/>
  <c r="H13" i="6120"/>
  <c r="H24" i="6120"/>
  <c r="H12" i="6120"/>
  <c r="H29" i="6120"/>
  <c r="H46" i="6120"/>
  <c r="H5" i="6122"/>
  <c r="H18" i="6122"/>
  <c r="C36" i="6122"/>
  <c r="H42" i="6122"/>
  <c r="H48" i="6122"/>
  <c r="H4" i="6122"/>
  <c r="C22" i="6122"/>
  <c r="C25" i="6122"/>
  <c r="H8" i="6122"/>
  <c r="H12" i="6122"/>
  <c r="H15" i="6122"/>
  <c r="H10" i="6122"/>
  <c r="H13" i="6122"/>
  <c r="H25" i="6124"/>
  <c r="H22" i="6124"/>
  <c r="H8" i="6124"/>
  <c r="C18" i="6124"/>
  <c r="H4" i="6124"/>
  <c r="H36" i="6124"/>
  <c r="H15" i="6124"/>
  <c r="H23" i="6124"/>
  <c r="C40" i="6124"/>
  <c r="H37" i="6124"/>
  <c r="C22" i="6124"/>
  <c r="H42" i="6124"/>
  <c r="H13" i="6124"/>
  <c r="H14" i="6124"/>
  <c r="H7" i="6124"/>
  <c r="H48" i="6124"/>
  <c r="C46" i="6124"/>
  <c r="H29" i="6124"/>
  <c r="H32" i="6124"/>
  <c r="C36" i="6124"/>
  <c r="C42" i="6124"/>
  <c r="C47" i="6124"/>
  <c r="H5" i="6124"/>
  <c r="H9" i="6124"/>
  <c r="H20" i="6124"/>
  <c r="C19" i="6124"/>
  <c r="C24" i="6124"/>
  <c r="H38" i="6124"/>
  <c r="H44" i="6124"/>
  <c r="H49" i="6124"/>
  <c r="H26" i="6124"/>
  <c r="C48" i="6124"/>
  <c r="H33" i="6124"/>
  <c r="C38" i="6124"/>
  <c r="H3" i="6124"/>
  <c r="H2" i="6124"/>
  <c r="C25" i="6124"/>
  <c r="H17" i="6124"/>
  <c r="H40" i="6124"/>
  <c r="H45" i="6124"/>
  <c r="H50" i="6124"/>
  <c r="H11" i="6124"/>
  <c r="H10" i="6124"/>
  <c r="H21" i="6124"/>
  <c r="H16" i="6124"/>
  <c r="H27" i="6124"/>
  <c r="H30" i="6124"/>
  <c r="H18" i="6124"/>
  <c r="C39" i="6124"/>
  <c r="C44" i="6124"/>
  <c r="H6" i="6124"/>
  <c r="H12" i="6124"/>
  <c r="C43" i="6124"/>
  <c r="C21" i="6124"/>
  <c r="B26" i="6124"/>
  <c r="H41" i="6124"/>
  <c r="H46" i="6124"/>
  <c r="H52" i="6124"/>
  <c r="H28" i="6124"/>
  <c r="H31" i="6124"/>
  <c r="H34" i="6124"/>
  <c r="C37" i="6124"/>
  <c r="C41" i="6124"/>
  <c r="C45" i="6124"/>
  <c r="H51" i="6124"/>
  <c r="H24" i="6124"/>
  <c r="C23" i="6124"/>
  <c r="B27" i="6124"/>
  <c r="H35" i="6124"/>
  <c r="H39" i="6124"/>
  <c r="H43" i="6124"/>
  <c r="H47" i="6124"/>
  <c r="H4" i="6118"/>
  <c r="C18" i="6118"/>
  <c r="H23" i="6122"/>
  <c r="H28" i="6122"/>
  <c r="H36" i="6122"/>
  <c r="C43" i="6122"/>
  <c r="H51" i="6122"/>
  <c r="H16" i="6122"/>
  <c r="C19" i="6122"/>
  <c r="C24" i="6122"/>
  <c r="C38" i="6122"/>
  <c r="C44" i="6122"/>
  <c r="H52" i="6122"/>
  <c r="H2" i="6122"/>
  <c r="H6" i="6122"/>
  <c r="H19" i="6122"/>
  <c r="H24" i="6122"/>
  <c r="H29" i="6122"/>
  <c r="H38" i="6122"/>
  <c r="H44" i="6122"/>
  <c r="H30" i="6122"/>
  <c r="C39" i="6122"/>
  <c r="C46" i="6122"/>
  <c r="H17" i="6122"/>
  <c r="H20" i="6122"/>
  <c r="H25" i="6122"/>
  <c r="H33" i="6122"/>
  <c r="C40" i="6122"/>
  <c r="H46" i="6122"/>
  <c r="H7" i="6122"/>
  <c r="H11" i="6122"/>
  <c r="H14" i="6122"/>
  <c r="C21" i="6122"/>
  <c r="B26" i="6122"/>
  <c r="H40" i="6122"/>
  <c r="C47" i="6122"/>
  <c r="H3" i="6122"/>
  <c r="H9" i="6122"/>
  <c r="H21" i="6122"/>
  <c r="H27" i="6122"/>
  <c r="H34" i="6122"/>
  <c r="C42" i="6122"/>
  <c r="C48" i="6122"/>
  <c r="H35" i="6122"/>
  <c r="H39" i="6122"/>
  <c r="H43" i="6122"/>
  <c r="H47" i="6122"/>
  <c r="H22" i="6122"/>
  <c r="H26" i="6122"/>
  <c r="H31" i="6122"/>
  <c r="C37" i="6122"/>
  <c r="C41" i="6122"/>
  <c r="C45" i="6122"/>
  <c r="H49" i="6122"/>
  <c r="C23" i="6122"/>
  <c r="B27" i="6122"/>
  <c r="H32" i="6122"/>
  <c r="H37" i="6122"/>
  <c r="H41" i="6122"/>
  <c r="H45" i="6122"/>
  <c r="B13" i="6118"/>
  <c r="C19" i="6118"/>
  <c r="H18" i="6118"/>
  <c r="H45" i="6118"/>
  <c r="H40" i="6118"/>
  <c r="H9" i="6118"/>
  <c r="H23" i="6118"/>
  <c r="C38" i="6118"/>
  <c r="H36" i="6118"/>
  <c r="H48" i="6118"/>
  <c r="H26" i="6118"/>
  <c r="H6" i="6118"/>
  <c r="H21" i="6118"/>
  <c r="H30" i="6118"/>
  <c r="H12" i="6118"/>
  <c r="C25" i="6118"/>
  <c r="H2" i="6118"/>
  <c r="H3" i="6118"/>
  <c r="H16" i="6118"/>
  <c r="H31" i="6118"/>
  <c r="H49" i="6118"/>
  <c r="C21" i="6118"/>
  <c r="C48" i="6118"/>
  <c r="H15" i="6118"/>
  <c r="H34" i="6118"/>
  <c r="H14" i="6118"/>
  <c r="H10" i="6118"/>
  <c r="B26" i="6118"/>
  <c r="H43" i="6118"/>
  <c r="H13" i="6118"/>
  <c r="H38" i="6118"/>
  <c r="C42" i="6118"/>
  <c r="H50" i="6118"/>
  <c r="H39" i="6118"/>
  <c r="C24" i="6118"/>
  <c r="C44" i="6118"/>
  <c r="H11" i="6118"/>
  <c r="H17" i="6118"/>
  <c r="C46" i="6118"/>
  <c r="H41" i="6118"/>
  <c r="H24" i="6118"/>
  <c r="H28" i="6118"/>
  <c r="H22" i="6118"/>
  <c r="H25" i="6118"/>
  <c r="B27" i="6118"/>
  <c r="H7" i="6118"/>
  <c r="H20" i="6118"/>
  <c r="H27" i="6118"/>
  <c r="C22" i="6118"/>
  <c r="H33" i="6118"/>
  <c r="C36" i="6118"/>
  <c r="H44" i="6118"/>
  <c r="H44" i="6120"/>
  <c r="H50" i="6120"/>
  <c r="H28" i="6120"/>
  <c r="H31" i="6120"/>
  <c r="H38" i="6120"/>
  <c r="C43" i="6120"/>
  <c r="H5" i="6120"/>
  <c r="H14" i="6120"/>
  <c r="C19" i="6120"/>
  <c r="C24" i="6120"/>
  <c r="C38" i="6120"/>
  <c r="C44" i="6120"/>
  <c r="H52" i="6120"/>
  <c r="H37" i="6120"/>
  <c r="H41" i="6120"/>
  <c r="H45" i="6120"/>
  <c r="H49" i="6120"/>
  <c r="H27" i="6120"/>
  <c r="H30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19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29" i="6118"/>
  <c r="H32" i="6118"/>
  <c r="H35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<sst xmlns="http://schemas.openxmlformats.org/spreadsheetml/2006/main" count="2111" uniqueCount="204">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</sst>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全体!$L$2:$L$53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-19.607843137254903</c:v>
                </c:pt>
                <c:pt idx="1">
                  <c:v>0</c:v>
                </c:pt>
                <c:pt idx="2">
                  <c:v>19.607843137254903</c:v>
                </c:pt>
                <c:pt idx="3">
                  <c:v>0</c:v>
                </c:pt>
                <c:pt idx="4">
                  <c:v>-76.92307692307692</c:v>
                </c:pt>
                <c:pt idx="5">
                  <c:v>111.11111111111111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25</c:v>
                </c:pt>
                <c:pt idx="3">
                  <c:v>15</c:v>
                </c:pt>
                <c:pt idx="4">
                  <c:v>19</c:v>
                </c:pt>
                <c:pt idx="5">
                  <c:v>9</c:v>
                </c:pt>
                <c:pt idx="6">
                  <c:v>9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れんたろう!$L$2:$L$10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4712.5</c:v>
                </c:pt>
                <c:pt idx="1">
                  <c:v>762.5</c:v>
                </c:pt>
                <c:pt idx="2">
                  <c:v>-1487.5</c:v>
                </c:pt>
                <c:pt idx="3">
                  <c:v>-7450</c:v>
                </c:pt>
                <c:pt idx="4">
                  <c:v>-1887.5</c:v>
                </c:pt>
                <c:pt idx="5">
                  <c:v>3280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-2300</c:v>
                </c:pt>
                <c:pt idx="1">
                  <c:v>1000</c:v>
                </c:pt>
                <c:pt idx="2">
                  <c:v>-14750</c:v>
                </c:pt>
                <c:pt idx="3">
                  <c:v>-1700</c:v>
                </c:pt>
                <c:pt idx="4">
                  <c:v>-3250</c:v>
                </c:pt>
                <c:pt idx="5">
                  <c:v>-6750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だいち!$L$2:$L$13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2236.3636363636365</c:v>
                </c:pt>
                <c:pt idx="1">
                  <c:v>6190.909090909091</c:v>
                </c:pt>
                <c:pt idx="2">
                  <c:v>2309.090909090909</c:v>
                </c:pt>
                <c:pt idx="3">
                  <c:v>3370</c:v>
                </c:pt>
                <c:pt idx="4">
                  <c:v>800</c:v>
                </c:pt>
                <c:pt idx="5">
                  <c:v>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-5062.5</c:v>
                </c:pt>
                <c:pt idx="1">
                  <c:v>-2512.5</c:v>
                </c:pt>
                <c:pt idx="2">
                  <c:v>-8150</c:v>
                </c:pt>
                <c:pt idx="3">
                  <c:v>3433.3333333333335</c:v>
                </c:pt>
                <c:pt idx="4">
                  <c:v>133.33333333333334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まっつん!$L$2:$L$15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-892.30769230769226</c:v>
                </c:pt>
                <c:pt idx="1">
                  <c:v>-3638.4615384615386</c:v>
                </c:pt>
                <c:pt idx="2">
                  <c:v>-30.76923076923077</c:v>
                </c:pt>
                <c:pt idx="3">
                  <c:v>554.5454545454545</c:v>
                </c:pt>
                <c:pt idx="4">
                  <c:v>-1940</c:v>
                </c:pt>
                <c:pt idx="5">
                  <c:v>-2357.1428571428573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-933.33333333333337</c:v>
                </c:pt>
                <c:pt idx="1">
                  <c:v>-1866.6666666666667</c:v>
                </c:pt>
                <c:pt idx="2">
                  <c:v>18150</c:v>
                </c:pt>
                <c:pt idx="3">
                  <c:v>1400</c:v>
                </c:pt>
                <c:pt idx="4">
                  <c:v>9333.3333333333339</c:v>
                </c:pt>
                <c:pt idx="5">
                  <c:v>533.33333333333337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800</c:v>
                </c:pt>
                <c:pt idx="2">
                  <c:v>-8766.6666666666661</c:v>
                </c:pt>
                <c:pt idx="3">
                  <c:v>-3000</c:v>
                </c:pt>
                <c:pt idx="4">
                  <c:v>2000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112.4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C3-4BB1-8383-F95C3495C6E7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140.30000000000001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C3-4BB1-8383-F95C3495C6E7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EC3-4BB1-8383-F95C3495C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たかの2!$C$3:$C$9</c:f>
              <c:numCache>
                <c:formatCode>\+0.0;\-0.0;\±0</c:formatCode>
                <c:ptCount val="7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966105252550001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たかの2!$D$3:$D$9</c:f>
              <c:numCache>
                <c:formatCode>0.00\ "位"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たかの2!$E$3:$E$9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たかの2!$F$3:$F$9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たかの2!$G$3:$G$9</c:f>
              <c:numCache>
                <c:formatCode>0.0%</c:formatCode>
                <c:ptCount val="7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29292929292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たかの2!$H$3:$H$9</c:f>
              <c:numCache>
                <c:formatCode>0.0%</c:formatCode>
                <c:ptCount val="7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19191919191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たかの2!$I$3:$I$9</c:f>
              <c:numCache>
                <c:formatCode>0</c:formatCode>
                <c:ptCount val="7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34.48275862069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たかの2!$J$3:$J$9</c:f>
              <c:numCache>
                <c:formatCode>0</c:formatCode>
                <c:ptCount val="7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13.4328358208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843137254901960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たかの2!$L$3:$L$9</c:f>
              <c:numCache>
                <c:formatCode>0.0%</c:formatCode>
                <c:ptCount val="7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2727272727272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たかの2!$M$3:$M$9</c:f>
              <c:numCache>
                <c:formatCode>0.0%</c:formatCode>
                <c:ptCount val="7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6969696969696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たかの2!$N$3:$N$9</c:f>
              <c:numCache>
                <c:formatCode>0.0%</c:formatCode>
                <c:ptCount val="7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たかの2!$O$3:$O$9</c:f>
              <c:numCache>
                <c:formatCode>0.0%</c:formatCode>
                <c:ptCount val="7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25641025641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たかの2!$P$3:$P$9</c:f>
              <c:numCache>
                <c:formatCode>0.0%</c:formatCode>
                <c:ptCount val="7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413793103448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0" x14ac:dyDescent="0.45">
      <c r="A1" s="1">
        <v>32874</v>
      </c>
      <c r="B1" s="1">
        <v>2958465</v>
      </c>
    </row>
    <row r="2" spans="1:10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0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0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8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51</v>
      </c>
    </row>
    <row r="2" spans="1:2" x14ac:dyDescent="0.45">
      <c r="A2" t="s">
        <v>164</v>
      </c>
      <c r="B2">
        <v>8</v>
      </c>
    </row>
    <row r="3" spans="1:2" x14ac:dyDescent="0.45">
      <c r="A3" t="s">
        <v>189</v>
      </c>
      <c r="B3">
        <v>2</v>
      </c>
    </row>
    <row r="4" spans="1:2" x14ac:dyDescent="0.45">
      <c r="A4" t="s">
        <v>126</v>
      </c>
      <c r="B4">
        <v>11</v>
      </c>
    </row>
    <row r="5" spans="1:2" x14ac:dyDescent="0.45">
      <c r="A5" t="s">
        <v>194</v>
      </c>
      <c r="B5">
        <v>8</v>
      </c>
    </row>
    <row r="6" spans="1:2" x14ac:dyDescent="0.45">
      <c r="A6" t="s">
        <v>192</v>
      </c>
      <c r="B6">
        <v>13</v>
      </c>
    </row>
    <row r="7" spans="1:2" x14ac:dyDescent="0.45">
      <c r="A7" t="s">
        <v>193</v>
      </c>
      <c r="B7">
        <v>6</v>
      </c>
    </row>
    <row r="8" spans="1:2" x14ac:dyDescent="0.45">
      <c r="A8" t="s">
        <v>196</v>
      </c>
      <c r="B8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0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47" t="s">
        <v>9</v>
      </c>
      <c r="C1" s="148"/>
      <c r="D1" s="143" t="s">
        <v>6</v>
      </c>
      <c r="E1" s="144"/>
      <c r="F1" s="143" t="s">
        <v>7</v>
      </c>
      <c r="G1" s="144"/>
      <c r="H1" s="147" t="s">
        <v>188</v>
      </c>
      <c r="I1" s="148"/>
      <c r="J1" s="143" t="s">
        <v>15</v>
      </c>
      <c r="K1" s="144"/>
      <c r="L1" s="143" t="s">
        <v>14</v>
      </c>
      <c r="M1" s="144"/>
      <c r="N1" s="143" t="s">
        <v>150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181</v>
      </c>
      <c r="AK1" s="144"/>
    </row>
    <row r="2" spans="1:37" x14ac:dyDescent="0.45">
      <c r="A2" s="38" t="s">
        <v>149</v>
      </c>
      <c r="B2" s="145">
        <v>-1</v>
      </c>
      <c r="C2" s="146"/>
      <c r="D2" s="149"/>
      <c r="E2" s="150"/>
      <c r="F2" s="149"/>
      <c r="G2" s="150"/>
      <c r="H2" s="145">
        <v>1</v>
      </c>
      <c r="I2" s="146"/>
      <c r="J2" s="145">
        <v>1</v>
      </c>
      <c r="K2" s="146"/>
      <c r="L2" s="145">
        <v>1</v>
      </c>
      <c r="M2" s="146"/>
      <c r="N2" s="145">
        <v>0.99999999999999989</v>
      </c>
      <c r="O2" s="146"/>
      <c r="P2" s="145">
        <v>1</v>
      </c>
      <c r="Q2" s="146"/>
      <c r="R2" s="145">
        <v>1</v>
      </c>
      <c r="S2" s="146"/>
      <c r="T2" s="145">
        <v>1</v>
      </c>
      <c r="U2" s="146"/>
      <c r="V2" s="145">
        <v>1</v>
      </c>
      <c r="W2" s="146"/>
      <c r="X2" s="145">
        <v>1</v>
      </c>
      <c r="Y2" s="146"/>
      <c r="Z2" s="145">
        <v>-1</v>
      </c>
      <c r="AA2" s="146"/>
      <c r="AB2" s="145">
        <v>1</v>
      </c>
      <c r="AC2" s="146"/>
      <c r="AD2" s="145">
        <v>1</v>
      </c>
      <c r="AE2" s="146"/>
      <c r="AF2" s="145">
        <v>0.99999999999999989</v>
      </c>
      <c r="AG2" s="146"/>
      <c r="AH2" s="145">
        <v>1</v>
      </c>
      <c r="AI2" s="146"/>
      <c r="AJ2" s="145">
        <v>1</v>
      </c>
      <c r="AK2" s="146"/>
    </row>
    <row r="3" spans="1:37" x14ac:dyDescent="0.45">
      <c r="A3" s="40">
        <v>1</v>
      </c>
      <c r="B3" s="43" t="s">
        <v>139</v>
      </c>
      <c r="C3" s="117">
        <v>17</v>
      </c>
      <c r="D3" s="41" t="s">
        <v>126</v>
      </c>
      <c r="E3" s="42">
        <v>242.7</v>
      </c>
      <c r="F3" s="43" t="s">
        <v>193</v>
      </c>
      <c r="G3" s="62">
        <v>27.883333333333336</v>
      </c>
      <c r="H3" s="43" t="s">
        <v>126</v>
      </c>
      <c r="I3" s="62">
        <v>4.0555555555555545</v>
      </c>
      <c r="J3" s="43" t="s">
        <v>193</v>
      </c>
      <c r="K3" s="44">
        <v>1.3333333333333333</v>
      </c>
      <c r="L3" s="43" t="s">
        <v>193</v>
      </c>
      <c r="M3" s="45">
        <v>0.83333333333333337</v>
      </c>
      <c r="N3" s="43" t="s">
        <v>126</v>
      </c>
      <c r="O3" s="45">
        <v>9.0909090909090912E-2</v>
      </c>
      <c r="P3" s="43" t="s">
        <v>126</v>
      </c>
      <c r="Q3" s="46">
        <v>0.42045454545454547</v>
      </c>
      <c r="R3" s="43" t="s">
        <v>196</v>
      </c>
      <c r="S3" s="46">
        <v>0.05</v>
      </c>
      <c r="T3" s="43" t="s">
        <v>164</v>
      </c>
      <c r="U3" s="47">
        <v>11688.235294117647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194</v>
      </c>
      <c r="AA3" s="46">
        <v>0.34615384615384615</v>
      </c>
      <c r="AB3" s="43" t="s">
        <v>193</v>
      </c>
      <c r="AC3" s="46">
        <v>0.36956521739130432</v>
      </c>
      <c r="AD3" s="43" t="s">
        <v>196</v>
      </c>
      <c r="AE3" s="46">
        <v>0.75</v>
      </c>
      <c r="AF3" s="43" t="s">
        <v>126</v>
      </c>
      <c r="AG3" s="46">
        <v>0.66666666666666663</v>
      </c>
      <c r="AH3" s="43" t="s">
        <v>189</v>
      </c>
      <c r="AI3" s="46">
        <v>1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192</v>
      </c>
      <c r="C4" s="118">
        <v>13</v>
      </c>
      <c r="D4" s="49" t="s">
        <v>193</v>
      </c>
      <c r="E4" s="50">
        <v>167.3</v>
      </c>
      <c r="F4" s="51" t="s">
        <v>126</v>
      </c>
      <c r="G4" s="63">
        <v>22.063636363636363</v>
      </c>
      <c r="H4" s="51" t="s">
        <v>139</v>
      </c>
      <c r="I4" s="63">
        <v>0</v>
      </c>
      <c r="J4" s="51" t="s">
        <v>126</v>
      </c>
      <c r="K4" s="52">
        <v>1.5454545454545454</v>
      </c>
      <c r="L4" s="51" t="s">
        <v>126</v>
      </c>
      <c r="M4" s="53">
        <v>0.54545454545454541</v>
      </c>
      <c r="N4" s="51" t="s">
        <v>193</v>
      </c>
      <c r="O4" s="53">
        <v>0.16666666666666666</v>
      </c>
      <c r="P4" s="51" t="s">
        <v>193</v>
      </c>
      <c r="Q4" s="54">
        <v>0.39130434782608697</v>
      </c>
      <c r="R4" s="51" t="s">
        <v>126</v>
      </c>
      <c r="S4" s="54">
        <v>0.10227272727272728</v>
      </c>
      <c r="T4" s="51" t="s">
        <v>193</v>
      </c>
      <c r="U4" s="55">
        <v>10283.333333333334</v>
      </c>
      <c r="V4" s="51" t="s">
        <v>193</v>
      </c>
      <c r="W4" s="55">
        <v>-4980</v>
      </c>
      <c r="X4" s="51" t="s">
        <v>164</v>
      </c>
      <c r="Y4" s="53">
        <v>0</v>
      </c>
      <c r="Z4" s="51" t="s">
        <v>192</v>
      </c>
      <c r="AA4" s="54">
        <v>0.30303030303030304</v>
      </c>
      <c r="AB4" s="51" t="s">
        <v>126</v>
      </c>
      <c r="AC4" s="54">
        <v>0.23863636363636365</v>
      </c>
      <c r="AD4" s="51" t="s">
        <v>193</v>
      </c>
      <c r="AE4" s="54">
        <v>0.63636363636363635</v>
      </c>
      <c r="AF4" s="51" t="s">
        <v>139</v>
      </c>
      <c r="AG4" s="54">
        <v>0.41025641025641024</v>
      </c>
      <c r="AH4" s="51" t="s">
        <v>193</v>
      </c>
      <c r="AI4" s="54">
        <v>0.5</v>
      </c>
      <c r="AJ4" s="51" t="s">
        <v>193</v>
      </c>
      <c r="AK4" s="58">
        <v>106500</v>
      </c>
    </row>
    <row r="5" spans="1:37" x14ac:dyDescent="0.45">
      <c r="A5" s="48">
        <v>3</v>
      </c>
      <c r="B5" s="51" t="s">
        <v>126</v>
      </c>
      <c r="C5" s="118">
        <v>11</v>
      </c>
      <c r="D5" s="49" t="s">
        <v>139</v>
      </c>
      <c r="E5" s="50">
        <v>3.5527136788005009E-15</v>
      </c>
      <c r="F5" s="51" t="s">
        <v>139</v>
      </c>
      <c r="G5" s="63">
        <v>6.9661052525500017E-17</v>
      </c>
      <c r="H5" s="51" t="s">
        <v>193</v>
      </c>
      <c r="I5" s="63">
        <v>-1.2733333333333334</v>
      </c>
      <c r="J5" s="51" t="s">
        <v>139</v>
      </c>
      <c r="K5" s="52">
        <v>2</v>
      </c>
      <c r="L5" s="51" t="s">
        <v>164</v>
      </c>
      <c r="M5" s="53">
        <v>0.375</v>
      </c>
      <c r="N5" s="51" t="s">
        <v>139</v>
      </c>
      <c r="O5" s="53">
        <v>0.33333333333333331</v>
      </c>
      <c r="P5" s="51" t="s">
        <v>139</v>
      </c>
      <c r="Q5" s="54">
        <v>0.29292929292929293</v>
      </c>
      <c r="R5" s="51" t="s">
        <v>193</v>
      </c>
      <c r="S5" s="54">
        <v>0.10869565217391304</v>
      </c>
      <c r="T5" s="51" t="s">
        <v>139</v>
      </c>
      <c r="U5" s="55">
        <v>8734.4827586206902</v>
      </c>
      <c r="V5" s="51" t="s">
        <v>189</v>
      </c>
      <c r="W5" s="55">
        <v>-6088.8888888888887</v>
      </c>
      <c r="X5" s="51" t="s">
        <v>189</v>
      </c>
      <c r="Y5" s="53">
        <v>0</v>
      </c>
      <c r="Z5" s="51" t="s">
        <v>139</v>
      </c>
      <c r="AA5" s="54">
        <v>0.27272727272727271</v>
      </c>
      <c r="AB5" s="51" t="s">
        <v>164</v>
      </c>
      <c r="AC5" s="54">
        <v>0.21126760563380281</v>
      </c>
      <c r="AD5" s="51" t="s">
        <v>126</v>
      </c>
      <c r="AE5" s="54">
        <v>0.5714285714285714</v>
      </c>
      <c r="AF5" s="51" t="s">
        <v>192</v>
      </c>
      <c r="AG5" s="54">
        <v>0.36842105263157893</v>
      </c>
      <c r="AH5" s="51" t="s">
        <v>126</v>
      </c>
      <c r="AI5" s="54">
        <v>0.45945945945945948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8</v>
      </c>
      <c r="D6" s="49" t="s">
        <v>164</v>
      </c>
      <c r="E6" s="50">
        <v>-9.9999999999999964</v>
      </c>
      <c r="F6" s="51" t="s">
        <v>164</v>
      </c>
      <c r="G6" s="63">
        <v>-1.2499999999999996</v>
      </c>
      <c r="H6" s="51" t="s">
        <v>164</v>
      </c>
      <c r="I6" s="63">
        <v>-1.7944444444444432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196</v>
      </c>
      <c r="O6" s="53">
        <v>0.33333333333333331</v>
      </c>
      <c r="P6" s="51" t="s">
        <v>192</v>
      </c>
      <c r="Q6" s="54">
        <v>0.25252525252525254</v>
      </c>
      <c r="R6" s="51" t="s">
        <v>192</v>
      </c>
      <c r="S6" s="54">
        <v>0.15151515151515152</v>
      </c>
      <c r="T6" s="51" t="s">
        <v>126</v>
      </c>
      <c r="U6" s="55">
        <v>8632.4324324324316</v>
      </c>
      <c r="V6" s="51" t="s">
        <v>164</v>
      </c>
      <c r="W6" s="55">
        <v>-6320</v>
      </c>
      <c r="X6" s="51" t="s">
        <v>196</v>
      </c>
      <c r="Y6" s="53">
        <v>0</v>
      </c>
      <c r="Z6" s="51" t="s">
        <v>164</v>
      </c>
      <c r="AA6" s="54">
        <v>0.26760563380281688</v>
      </c>
      <c r="AB6" s="51" t="s">
        <v>139</v>
      </c>
      <c r="AC6" s="54">
        <v>0.19696969696969696</v>
      </c>
      <c r="AD6" s="51" t="s">
        <v>139</v>
      </c>
      <c r="AE6" s="54">
        <v>0.5</v>
      </c>
      <c r="AF6" s="51" t="s">
        <v>193</v>
      </c>
      <c r="AG6" s="54">
        <v>0.35294117647058826</v>
      </c>
      <c r="AH6" s="51" t="s">
        <v>139</v>
      </c>
      <c r="AI6" s="54">
        <v>0.42241379310344829</v>
      </c>
      <c r="AJ6" s="51" t="s">
        <v>164</v>
      </c>
      <c r="AK6" s="58">
        <v>60800</v>
      </c>
    </row>
    <row r="7" spans="1:37" x14ac:dyDescent="0.45">
      <c r="A7" s="48">
        <v>5</v>
      </c>
      <c r="B7" s="51" t="s">
        <v>194</v>
      </c>
      <c r="C7" s="118">
        <v>8</v>
      </c>
      <c r="D7" s="49" t="s">
        <v>196</v>
      </c>
      <c r="E7" s="50">
        <v>-41.400000000000006</v>
      </c>
      <c r="F7" s="51" t="s">
        <v>192</v>
      </c>
      <c r="G7" s="63">
        <v>-9.684615384615384</v>
      </c>
      <c r="H7" s="51" t="s">
        <v>192</v>
      </c>
      <c r="I7" s="63">
        <v>-5.1844444444444449</v>
      </c>
      <c r="J7" s="51" t="s">
        <v>192</v>
      </c>
      <c r="K7" s="52">
        <v>2.1538461538461537</v>
      </c>
      <c r="L7" s="51" t="s">
        <v>192</v>
      </c>
      <c r="M7" s="53">
        <v>0.23076923076923078</v>
      </c>
      <c r="N7" s="51" t="s">
        <v>164</v>
      </c>
      <c r="O7" s="53">
        <v>0.375</v>
      </c>
      <c r="P7" s="51" t="s">
        <v>164</v>
      </c>
      <c r="Q7" s="54">
        <v>0.23943661971830985</v>
      </c>
      <c r="R7" s="51" t="s">
        <v>194</v>
      </c>
      <c r="S7" s="54">
        <v>0.15384615384615385</v>
      </c>
      <c r="T7" s="51" t="s">
        <v>192</v>
      </c>
      <c r="U7" s="55">
        <v>7960</v>
      </c>
      <c r="V7" s="51" t="s">
        <v>139</v>
      </c>
      <c r="W7" s="55">
        <v>-7313.4328358208959</v>
      </c>
      <c r="X7" s="51" t="s">
        <v>192</v>
      </c>
      <c r="Y7" s="53">
        <v>7.6923076923076927E-2</v>
      </c>
      <c r="Z7" s="51" t="s">
        <v>189</v>
      </c>
      <c r="AA7" s="54">
        <v>0.25</v>
      </c>
      <c r="AB7" s="51" t="s">
        <v>192</v>
      </c>
      <c r="AC7" s="54">
        <v>0.19191919191919191</v>
      </c>
      <c r="AD7" s="51" t="s">
        <v>164</v>
      </c>
      <c r="AE7" s="54">
        <v>0.47368421052631576</v>
      </c>
      <c r="AF7" s="51" t="s">
        <v>164</v>
      </c>
      <c r="AG7" s="54">
        <v>0.26666666666666666</v>
      </c>
      <c r="AH7" s="51" t="s">
        <v>194</v>
      </c>
      <c r="AI7" s="54">
        <v>0.36363636363636365</v>
      </c>
      <c r="AJ7" s="51" t="s">
        <v>192</v>
      </c>
      <c r="AK7" s="58">
        <v>56900</v>
      </c>
    </row>
    <row r="8" spans="1:37" x14ac:dyDescent="0.45">
      <c r="A8" s="48">
        <v>6</v>
      </c>
      <c r="B8" s="51" t="s">
        <v>193</v>
      </c>
      <c r="C8" s="118">
        <v>6</v>
      </c>
      <c r="D8" s="49" t="s">
        <v>189</v>
      </c>
      <c r="E8" s="50">
        <v>-75.5</v>
      </c>
      <c r="F8" s="51" t="s">
        <v>196</v>
      </c>
      <c r="G8" s="63">
        <v>-13.800000000000002</v>
      </c>
      <c r="H8" s="51" t="s">
        <v>196</v>
      </c>
      <c r="I8" s="63">
        <v>-9.0333333333333332</v>
      </c>
      <c r="J8" s="51" t="s">
        <v>196</v>
      </c>
      <c r="K8" s="52">
        <v>2.3333333333333335</v>
      </c>
      <c r="L8" s="51" t="s">
        <v>189</v>
      </c>
      <c r="M8" s="53">
        <v>0</v>
      </c>
      <c r="N8" s="51" t="s">
        <v>192</v>
      </c>
      <c r="O8" s="53">
        <v>0.38461538461538464</v>
      </c>
      <c r="P8" s="51" t="s">
        <v>194</v>
      </c>
      <c r="Q8" s="54">
        <v>0.21153846153846154</v>
      </c>
      <c r="R8" s="51" t="s">
        <v>139</v>
      </c>
      <c r="S8" s="54">
        <v>0.1691919191919192</v>
      </c>
      <c r="T8" s="51" t="s">
        <v>189</v>
      </c>
      <c r="U8" s="55">
        <v>7050</v>
      </c>
      <c r="V8" s="51" t="s">
        <v>126</v>
      </c>
      <c r="W8" s="55">
        <v>-8444.4444444444453</v>
      </c>
      <c r="X8" s="51" t="s">
        <v>139</v>
      </c>
      <c r="Y8" s="53">
        <v>7.8431372549019607E-2</v>
      </c>
      <c r="Z8" s="51" t="s">
        <v>193</v>
      </c>
      <c r="AA8" s="54">
        <v>0.2391304347826087</v>
      </c>
      <c r="AB8" s="51" t="s">
        <v>194</v>
      </c>
      <c r="AC8" s="54">
        <v>7.6923076923076927E-2</v>
      </c>
      <c r="AD8" s="51" t="s">
        <v>192</v>
      </c>
      <c r="AE8" s="54">
        <v>0.46666666666666667</v>
      </c>
      <c r="AF8" s="51" t="s">
        <v>194</v>
      </c>
      <c r="AG8" s="54">
        <v>0.25</v>
      </c>
      <c r="AH8" s="51" t="s">
        <v>164</v>
      </c>
      <c r="AI8" s="54">
        <v>0.35294117647058826</v>
      </c>
      <c r="AJ8" s="51" t="s">
        <v>194</v>
      </c>
      <c r="AK8" s="58">
        <v>46300</v>
      </c>
    </row>
    <row r="9" spans="1:37" x14ac:dyDescent="0.45">
      <c r="A9" s="48">
        <v>7</v>
      </c>
      <c r="B9" s="51" t="s">
        <v>196</v>
      </c>
      <c r="C9" s="118">
        <v>3</v>
      </c>
      <c r="D9" s="49" t="s">
        <v>192</v>
      </c>
      <c r="E9" s="50">
        <v>-125.89999999999999</v>
      </c>
      <c r="F9" s="51" t="s">
        <v>194</v>
      </c>
      <c r="G9" s="63">
        <v>-19.649999999999999</v>
      </c>
      <c r="H9" s="51" t="s">
        <v>189</v>
      </c>
      <c r="I9" s="63">
        <v>-12.583333333333334</v>
      </c>
      <c r="J9" s="51" t="s">
        <v>194</v>
      </c>
      <c r="K9" s="52">
        <v>2.5</v>
      </c>
      <c r="L9" s="51" t="s">
        <v>194</v>
      </c>
      <c r="M9" s="53">
        <v>0</v>
      </c>
      <c r="N9" s="51" t="s">
        <v>194</v>
      </c>
      <c r="O9" s="53">
        <v>0.5</v>
      </c>
      <c r="P9" s="51" t="s">
        <v>189</v>
      </c>
      <c r="Q9" s="54">
        <v>0.2</v>
      </c>
      <c r="R9" s="51" t="s">
        <v>164</v>
      </c>
      <c r="S9" s="54">
        <v>0.28169014084507044</v>
      </c>
      <c r="T9" s="51" t="s">
        <v>194</v>
      </c>
      <c r="U9" s="55">
        <v>5672.727272727273</v>
      </c>
      <c r="V9" s="51" t="s">
        <v>192</v>
      </c>
      <c r="W9" s="55">
        <v>-8700</v>
      </c>
      <c r="X9" s="51" t="s">
        <v>193</v>
      </c>
      <c r="Y9" s="53">
        <v>0.16666666666666666</v>
      </c>
      <c r="Z9" s="51" t="s">
        <v>126</v>
      </c>
      <c r="AA9" s="54">
        <v>0.23863636363636365</v>
      </c>
      <c r="AB9" s="51" t="s">
        <v>189</v>
      </c>
      <c r="AC9" s="54">
        <v>0.05</v>
      </c>
      <c r="AD9" s="51" t="s">
        <v>189</v>
      </c>
      <c r="AE9" s="54">
        <v>0.4</v>
      </c>
      <c r="AF9" s="51" t="s">
        <v>189</v>
      </c>
      <c r="AG9" s="54">
        <v>0</v>
      </c>
      <c r="AH9" s="51" t="s">
        <v>192</v>
      </c>
      <c r="AI9" s="54">
        <v>0.32</v>
      </c>
      <c r="AJ9" s="51" t="s">
        <v>196</v>
      </c>
      <c r="AK9" s="58">
        <v>36900</v>
      </c>
    </row>
    <row r="10" spans="1:37" x14ac:dyDescent="0.45">
      <c r="A10" s="48">
        <v>8</v>
      </c>
      <c r="B10" s="51" t="s">
        <v>189</v>
      </c>
      <c r="C10" s="118">
        <v>2</v>
      </c>
      <c r="D10" s="49" t="s">
        <v>194</v>
      </c>
      <c r="E10" s="50">
        <v>-157.19999999999999</v>
      </c>
      <c r="F10" s="51" t="s">
        <v>189</v>
      </c>
      <c r="G10" s="63">
        <v>-37.75</v>
      </c>
      <c r="H10" s="51" t="s">
        <v>194</v>
      </c>
      <c r="I10" s="63">
        <v>-13.1</v>
      </c>
      <c r="J10" s="51" t="s">
        <v>189</v>
      </c>
      <c r="K10" s="52">
        <v>3</v>
      </c>
      <c r="L10" s="51" t="s">
        <v>196</v>
      </c>
      <c r="M10" s="53">
        <v>0</v>
      </c>
      <c r="N10" s="51" t="s">
        <v>189</v>
      </c>
      <c r="O10" s="53">
        <v>1</v>
      </c>
      <c r="P10" s="51" t="s">
        <v>196</v>
      </c>
      <c r="Q10" s="54">
        <v>0.2</v>
      </c>
      <c r="R10" s="51" t="s">
        <v>189</v>
      </c>
      <c r="S10" s="54">
        <v>0.45</v>
      </c>
      <c r="T10" s="51" t="s">
        <v>196</v>
      </c>
      <c r="U10" s="55">
        <v>5100</v>
      </c>
      <c r="V10" s="51" t="s">
        <v>194</v>
      </c>
      <c r="W10" s="55">
        <v>-9187.5</v>
      </c>
      <c r="X10" s="51" t="s">
        <v>194</v>
      </c>
      <c r="Y10" s="53">
        <v>0.25</v>
      </c>
      <c r="Z10" s="51" t="s">
        <v>196</v>
      </c>
      <c r="AA10" s="54">
        <v>0.2</v>
      </c>
      <c r="AB10" s="51" t="s">
        <v>196</v>
      </c>
      <c r="AC10" s="54">
        <v>0.05</v>
      </c>
      <c r="AD10" s="51" t="s">
        <v>194</v>
      </c>
      <c r="AE10" s="54">
        <v>0.3888888888888889</v>
      </c>
      <c r="AF10" s="51" t="s">
        <v>196</v>
      </c>
      <c r="AG10" s="54">
        <v>0</v>
      </c>
      <c r="AH10" s="51" t="s">
        <v>196</v>
      </c>
      <c r="AI10" s="54">
        <v>0.25</v>
      </c>
      <c r="AJ10" s="51" t="s">
        <v>189</v>
      </c>
      <c r="AK10" s="58">
        <v>8700</v>
      </c>
    </row>
  </sheetData>
  <sortState xmlns:xlrd2="http://schemas.microsoft.com/office/spreadsheetml/2017/richdata2" ref="AJ3:AK3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P2:Q2"/>
    <mergeCell ref="N2:O2"/>
    <mergeCell ref="H2:I2"/>
    <mergeCell ref="P1:Q1"/>
    <mergeCell ref="N1:O1"/>
    <mergeCell ref="H1:I1"/>
    <mergeCell ref="X1:Y1"/>
    <mergeCell ref="AH1:AI1"/>
    <mergeCell ref="Z1:AA1"/>
    <mergeCell ref="AB1:AC1"/>
    <mergeCell ref="AD1:AE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5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51</v>
      </c>
      <c r="C2" s="136"/>
      <c r="E2" s="28" t="s">
        <v>66</v>
      </c>
      <c r="F2" s="25" t="s">
        <v>22</v>
      </c>
      <c r="G2" s="13">
        <v>87</v>
      </c>
      <c r="H2" s="91">
        <f>IF(B$19=0,0,G2/B$19)</f>
        <v>0.75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-19.607843137254903</v>
      </c>
      <c r="P2" s="80">
        <v>51</v>
      </c>
      <c r="Q2" s="67">
        <v>-1000</v>
      </c>
    </row>
    <row r="3" spans="1:17" x14ac:dyDescent="0.45">
      <c r="A3" s="21" t="s">
        <v>8</v>
      </c>
      <c r="B3" s="137">
        <v>396</v>
      </c>
      <c r="C3" s="138"/>
      <c r="E3" s="29" t="s">
        <v>72</v>
      </c>
      <c r="F3" s="26" t="s">
        <v>27</v>
      </c>
      <c r="G3" s="14">
        <v>74</v>
      </c>
      <c r="H3" s="92">
        <f>IF(B$19=0,0,G3/B$19)</f>
        <v>0.63793103448275867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51</v>
      </c>
      <c r="Q3" s="68">
        <v>0</v>
      </c>
    </row>
    <row r="4" spans="1:17" x14ac:dyDescent="0.45">
      <c r="A4" s="21" t="s">
        <v>6</v>
      </c>
      <c r="B4" s="139">
        <v>3.5527136788005009E-15</v>
      </c>
      <c r="C4" s="140"/>
      <c r="E4" s="29" t="s">
        <v>64</v>
      </c>
      <c r="F4" s="26" t="s">
        <v>20</v>
      </c>
      <c r="G4" s="14">
        <v>53</v>
      </c>
      <c r="H4" s="92">
        <f>IF(B$19=0,0,G4/B$19)</f>
        <v>0.45689655172413796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19.607843137254903</v>
      </c>
      <c r="P4" s="81">
        <v>51</v>
      </c>
      <c r="Q4" s="68">
        <v>1000</v>
      </c>
    </row>
    <row r="5" spans="1:17" x14ac:dyDescent="0.45">
      <c r="A5" s="21" t="s">
        <v>7</v>
      </c>
      <c r="B5" s="127">
        <f>IF(B$2=0,0,B$4/B$2)</f>
        <v>6.9661052525500017E-17</v>
      </c>
      <c r="C5" s="128"/>
      <c r="E5" s="29" t="s">
        <v>160</v>
      </c>
      <c r="F5" s="26" t="s">
        <v>161</v>
      </c>
      <c r="G5" s="14">
        <v>38</v>
      </c>
      <c r="H5" s="92">
        <f>IF(B$19=0,0,G5/B$19)</f>
        <v>0.32758620689655171</v>
      </c>
      <c r="I5" s="60">
        <v>4</v>
      </c>
      <c r="K5" s="7">
        <v>3</v>
      </c>
      <c r="L5" s="65">
        <v>7.1054273576010019E-15</v>
      </c>
      <c r="N5" s="78" t="s">
        <v>131</v>
      </c>
      <c r="O5" s="84">
        <f t="shared" si="0"/>
        <v>0</v>
      </c>
      <c r="P5" s="81">
        <v>42</v>
      </c>
      <c r="Q5" s="68">
        <v>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31</v>
      </c>
      <c r="H6" s="92">
        <f>IF(B$19=0,0,G6/B$19)</f>
        <v>0.26724137931034481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-76.92307692307692</v>
      </c>
      <c r="P6" s="81">
        <v>39</v>
      </c>
      <c r="Q6" s="68">
        <v>-3000</v>
      </c>
    </row>
    <row r="7" spans="1:17" x14ac:dyDescent="0.45">
      <c r="A7" s="21" t="s">
        <v>2</v>
      </c>
      <c r="B7" s="14">
        <v>17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26</v>
      </c>
      <c r="H7" s="92">
        <f>IF(B$19=0,0,G7/B$19)</f>
        <v>0.22413793103448276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111.11111111111111</v>
      </c>
      <c r="P7" s="82">
        <v>27</v>
      </c>
      <c r="Q7" s="69">
        <v>3000</v>
      </c>
    </row>
    <row r="8" spans="1:17" x14ac:dyDescent="0.45">
      <c r="A8" s="21" t="s">
        <v>3</v>
      </c>
      <c r="B8" s="14">
        <v>17</v>
      </c>
      <c r="C8" s="8">
        <f t="shared" si="1"/>
        <v>0.33333333333333331</v>
      </c>
      <c r="E8" s="29" t="s">
        <v>89</v>
      </c>
      <c r="F8" s="26" t="s">
        <v>44</v>
      </c>
      <c r="G8" s="14">
        <v>19</v>
      </c>
      <c r="H8" s="92">
        <f>IF(B$19=0,0,G8/B$19)</f>
        <v>0.16379310344827586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0.33333333333333331</v>
      </c>
      <c r="E9" s="29" t="s">
        <v>65</v>
      </c>
      <c r="F9" s="26" t="s">
        <v>21</v>
      </c>
      <c r="G9" s="14">
        <v>13</v>
      </c>
      <c r="H9" s="92">
        <f>IF(B$19=0,0,G9/B$19)</f>
        <v>0.11206896551724138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37.358823529411765</v>
      </c>
      <c r="C10" s="114">
        <v>635.1</v>
      </c>
      <c r="E10" s="29" t="s">
        <v>69</v>
      </c>
      <c r="F10" s="26" t="s">
        <v>24</v>
      </c>
      <c r="G10" s="14">
        <v>11</v>
      </c>
      <c r="H10" s="92">
        <f>IF(B$19=0,0,G10/B$19)</f>
        <v>9.4827586206896547E-2</v>
      </c>
      <c r="I10" s="60">
        <v>4</v>
      </c>
      <c r="K10" s="7">
        <v>8</v>
      </c>
      <c r="L10" s="65">
        <v>-81.5</v>
      </c>
      <c r="N10" s="77" t="s">
        <v>152</v>
      </c>
      <c r="O10" s="86">
        <f>IF(P10=0,0,Q10/P10)</f>
        <v>-16.052941176470586</v>
      </c>
      <c r="P10" s="80">
        <v>17</v>
      </c>
      <c r="Q10" s="71">
        <v>-272.89999999999998</v>
      </c>
    </row>
    <row r="11" spans="1:17" x14ac:dyDescent="0.45">
      <c r="A11" s="22" t="s">
        <v>186</v>
      </c>
      <c r="B11" s="113">
        <f>IF(B8=0,0,C11/B8)</f>
        <v>-1.611764705882353</v>
      </c>
      <c r="C11" s="114">
        <v>-27.400000000000002</v>
      </c>
      <c r="E11" s="29" t="s">
        <v>71</v>
      </c>
      <c r="F11" s="26" t="s">
        <v>26</v>
      </c>
      <c r="G11" s="14">
        <v>9</v>
      </c>
      <c r="H11" s="92">
        <f>IF(B$19=0,0,G11/B$19)</f>
        <v>7.7586206896551727E-2</v>
      </c>
      <c r="I11" s="60">
        <v>4</v>
      </c>
      <c r="K11" s="7">
        <v>9</v>
      </c>
      <c r="L11" s="65">
        <v>0</v>
      </c>
      <c r="N11" s="78" t="s">
        <v>153</v>
      </c>
      <c r="O11" s="87">
        <f>IF(P11=0,0,Q11/P11)</f>
        <v>-5.6294117647058828</v>
      </c>
      <c r="P11" s="81">
        <v>17</v>
      </c>
      <c r="Q11" s="72">
        <v>-95.7</v>
      </c>
    </row>
    <row r="12" spans="1:17" x14ac:dyDescent="0.45">
      <c r="A12" s="22" t="s">
        <v>187</v>
      </c>
      <c r="B12" s="113">
        <f>IF(B9=0,0,C12/B9)</f>
        <v>-35.747058823529407</v>
      </c>
      <c r="C12" s="114">
        <v>-607.69999999999993</v>
      </c>
      <c r="E12" s="29" t="s">
        <v>86</v>
      </c>
      <c r="F12" s="26" t="s">
        <v>41</v>
      </c>
      <c r="G12" s="14">
        <v>8</v>
      </c>
      <c r="H12" s="92">
        <f>IF(B$19=0,0,G12/B$19)</f>
        <v>6.8965517241379309E-2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21.682352941176461</v>
      </c>
      <c r="P12" s="82">
        <v>17</v>
      </c>
      <c r="Q12" s="73">
        <v>368.59999999999985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83</v>
      </c>
      <c r="F13" s="26" t="s">
        <v>38</v>
      </c>
      <c r="G13" s="14">
        <v>6</v>
      </c>
      <c r="H13" s="92">
        <f>IF(B$19=0,0,G13/B$19)</f>
        <v>5.1724137931034482E-2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7.8431372549019607E-2</v>
      </c>
      <c r="E14" s="29" t="s">
        <v>81</v>
      </c>
      <c r="F14" s="26" t="s">
        <v>36</v>
      </c>
      <c r="G14" s="14">
        <v>5</v>
      </c>
      <c r="H14" s="92">
        <f>IF(B$19=0,0,G14/B$19)</f>
        <v>4.3103448275862072E-2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108</v>
      </c>
      <c r="C15" s="12">
        <f>IF(B$3=0,0,B15/B$3)</f>
        <v>0.27272727272727271</v>
      </c>
      <c r="E15" s="29" t="s">
        <v>70</v>
      </c>
      <c r="F15" s="26" t="s">
        <v>25</v>
      </c>
      <c r="G15" s="14">
        <v>4</v>
      </c>
      <c r="H15" s="92">
        <f>IF(B$19=0,0,G15/B$19)</f>
        <v>3.4482758620689655E-2</v>
      </c>
      <c r="I15" s="60">
        <v>3</v>
      </c>
      <c r="K15" s="7">
        <v>13</v>
      </c>
      <c r="L15" s="65">
        <v>14.300000000000002</v>
      </c>
      <c r="N15" s="77" t="s">
        <v>189</v>
      </c>
      <c r="O15" s="86">
        <f>IF(P15=0,0,Q15/P15)</f>
        <v>56.625</v>
      </c>
      <c r="P15" s="80">
        <v>4</v>
      </c>
      <c r="Q15" s="71">
        <v>226.5</v>
      </c>
    </row>
    <row r="16" spans="1:17" x14ac:dyDescent="0.45">
      <c r="A16" s="21" t="s">
        <v>118</v>
      </c>
      <c r="B16" s="14">
        <v>78</v>
      </c>
      <c r="C16" s="8">
        <f>IF(B$3=0,0,B16/B$3)</f>
        <v>0.19696969696969696</v>
      </c>
      <c r="E16" s="29" t="s">
        <v>79</v>
      </c>
      <c r="F16" s="26" t="s">
        <v>34</v>
      </c>
      <c r="G16" s="14">
        <v>4</v>
      </c>
      <c r="H16" s="92">
        <f>IF(B$19=0,0,G16/B$19)</f>
        <v>3.4482758620689655E-2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29.474999999999998</v>
      </c>
      <c r="P16" s="81">
        <v>16</v>
      </c>
      <c r="Q16" s="72">
        <v>471.59999999999997</v>
      </c>
    </row>
    <row r="17" spans="1:17" x14ac:dyDescent="0.45">
      <c r="A17" s="20" t="s">
        <v>123</v>
      </c>
      <c r="B17" s="13">
        <f>B23</f>
        <v>54</v>
      </c>
      <c r="C17" s="6">
        <f>IF(B$15=0,0,B17/B$15)</f>
        <v>0.5</v>
      </c>
      <c r="E17" s="29" t="s">
        <v>78</v>
      </c>
      <c r="F17" s="26" t="s">
        <v>33</v>
      </c>
      <c r="G17" s="14">
        <v>3</v>
      </c>
      <c r="H17" s="92">
        <f>IF(B$19=0,0,G17/B$19)</f>
        <v>2.5862068965517241E-2</v>
      </c>
      <c r="I17" s="60">
        <v>3</v>
      </c>
      <c r="K17" s="7">
        <v>15</v>
      </c>
      <c r="L17" s="65">
        <v>1.7763568394002505E-15</v>
      </c>
      <c r="N17" s="78" t="s">
        <v>196</v>
      </c>
      <c r="O17" s="87">
        <f>IF(P17=0,0,Q17/P17)</f>
        <v>20.7</v>
      </c>
      <c r="P17" s="81">
        <v>6</v>
      </c>
      <c r="Q17" s="72">
        <v>124.19999999999999</v>
      </c>
    </row>
    <row r="18" spans="1:17" x14ac:dyDescent="0.45">
      <c r="A18" s="20" t="s">
        <v>124</v>
      </c>
      <c r="B18" s="13">
        <f>B24</f>
        <v>32</v>
      </c>
      <c r="C18" s="6">
        <f>IF(B$16=0,0,B18/B$16)</f>
        <v>0.41025641025641024</v>
      </c>
      <c r="E18" s="29" t="s">
        <v>92</v>
      </c>
      <c r="F18" s="26" t="s">
        <v>47</v>
      </c>
      <c r="G18" s="14">
        <v>2</v>
      </c>
      <c r="H18" s="92">
        <f>IF(B$19=0,0,G18/B$19)</f>
        <v>1.7241379310344827E-2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14.526923076923074</v>
      </c>
      <c r="P18" s="81">
        <v>26</v>
      </c>
      <c r="Q18" s="72">
        <v>377.69999999999993</v>
      </c>
    </row>
    <row r="19" spans="1:17" x14ac:dyDescent="0.45">
      <c r="A19" s="20" t="s">
        <v>10</v>
      </c>
      <c r="B19" s="13">
        <f>B22+B21</f>
        <v>116</v>
      </c>
      <c r="C19" s="6">
        <f>IF(B$3=0,0,B19/B$3)</f>
        <v>0.29292929292929293</v>
      </c>
      <c r="E19" s="29" t="s">
        <v>156</v>
      </c>
      <c r="F19" s="26" t="s">
        <v>157</v>
      </c>
      <c r="G19" s="14">
        <v>2</v>
      </c>
      <c r="H19" s="92">
        <f>IF(B$19=0,0,G19/B$19)</f>
        <v>1.7241379310344827E-2</v>
      </c>
      <c r="I19" s="60">
        <v>3</v>
      </c>
      <c r="K19" s="7">
        <v>17</v>
      </c>
      <c r="L19" s="65">
        <v>-35.800000000000004</v>
      </c>
      <c r="N19" s="78" t="s">
        <v>164</v>
      </c>
      <c r="O19" s="87">
        <f>IF(P19=0,0,Q19/P19)</f>
        <v>1.8750000000000013</v>
      </c>
      <c r="P19" s="81">
        <v>16</v>
      </c>
      <c r="Q19" s="72">
        <v>30.000000000000021</v>
      </c>
    </row>
    <row r="20" spans="1:17" x14ac:dyDescent="0.45">
      <c r="A20" s="21" t="s">
        <v>13</v>
      </c>
      <c r="B20" s="14">
        <v>67</v>
      </c>
      <c r="C20" s="8">
        <f>IF(B$3=0,0,B20/B$3)</f>
        <v>0.1691919191919192</v>
      </c>
      <c r="E20" s="29" t="s">
        <v>73</v>
      </c>
      <c r="F20" s="26" t="s">
        <v>28</v>
      </c>
      <c r="G20" s="14">
        <v>1</v>
      </c>
      <c r="H20" s="92">
        <f>IF(B$19=0,0,G20/B$19)</f>
        <v>8.6206896551724137E-3</v>
      </c>
      <c r="I20" s="60">
        <v>2</v>
      </c>
      <c r="K20" s="7">
        <v>18</v>
      </c>
      <c r="L20" s="65">
        <v>-7.1054273576010019E-15</v>
      </c>
      <c r="N20" s="78" t="s">
        <v>126</v>
      </c>
      <c r="O20" s="87">
        <f>IF(P20=0,0,Q20/P20)</f>
        <v>-33.095454545454551</v>
      </c>
      <c r="P20" s="81">
        <v>22</v>
      </c>
      <c r="Q20" s="72">
        <v>-728.10000000000014</v>
      </c>
    </row>
    <row r="21" spans="1:17" x14ac:dyDescent="0.45">
      <c r="A21" s="21" t="s">
        <v>12</v>
      </c>
      <c r="B21" s="14">
        <v>49</v>
      </c>
      <c r="C21" s="8">
        <f>IF(B$19=0,0,B21/B$19)</f>
        <v>0.42241379310344829</v>
      </c>
      <c r="E21" s="29" t="s">
        <v>95</v>
      </c>
      <c r="F21" s="26" t="s">
        <v>50</v>
      </c>
      <c r="G21" s="14">
        <v>1</v>
      </c>
      <c r="H21" s="92">
        <f>IF(B$19=0,0,G21/B$19)</f>
        <v>8.6206896551724137E-3</v>
      </c>
      <c r="I21" s="60">
        <v>2</v>
      </c>
      <c r="K21" s="7">
        <v>19</v>
      </c>
      <c r="L21" s="65">
        <v>-27.100000000000009</v>
      </c>
      <c r="N21" s="78" t="s">
        <v>193</v>
      </c>
      <c r="O21" s="87">
        <f>IF(P21=0,0,Q21/P21)</f>
        <v>-41.824999999999996</v>
      </c>
      <c r="P21" s="81">
        <v>12</v>
      </c>
      <c r="Q21" s="72">
        <v>-501.9</v>
      </c>
    </row>
    <row r="22" spans="1:17" x14ac:dyDescent="0.45">
      <c r="A22" s="21" t="s">
        <v>11</v>
      </c>
      <c r="B22" s="14">
        <v>67</v>
      </c>
      <c r="C22" s="8">
        <f>IF(B$19=0,0,B22/B$19)</f>
        <v>0.57758620689655171</v>
      </c>
      <c r="E22" s="29" t="s">
        <v>102</v>
      </c>
      <c r="F22" s="26" t="s">
        <v>57</v>
      </c>
      <c r="G22" s="14">
        <v>1</v>
      </c>
      <c r="H22" s="92">
        <f>IF(B$19=0,0,G22/B$19)</f>
        <v>8.6206896551724137E-3</v>
      </c>
      <c r="I22" s="60">
        <v>2</v>
      </c>
      <c r="K22" s="7">
        <v>20</v>
      </c>
      <c r="L22" s="65">
        <v>-28.600000000000009</v>
      </c>
    </row>
    <row r="23" spans="1:17" x14ac:dyDescent="0.45">
      <c r="A23" s="21" t="s">
        <v>184</v>
      </c>
      <c r="B23" s="14">
        <v>54</v>
      </c>
      <c r="C23" s="8">
        <f>IF(B$19=0,0,B23/B$19)</f>
        <v>0.46551724137931033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32</v>
      </c>
      <c r="C24" s="8">
        <f>IF(B$19=0,0,B24/B$19)</f>
        <v>0.27586206896551724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30</v>
      </c>
      <c r="C25" s="8">
        <f>IF(B$19=0,0,B25/B$19)</f>
        <v>0.25862068965517243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8734.4827586206902</v>
      </c>
      <c r="C26" s="10">
        <v>1013200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8769.0476190476184</v>
      </c>
      <c r="C27" s="100">
        <v>736600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8643.75</v>
      </c>
      <c r="C28" s="100">
        <v>276600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-7313.4328358208959</v>
      </c>
      <c r="C29" s="100">
        <v>-490000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12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9">
        <v>6</v>
      </c>
      <c r="C32" s="13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1">
        <v>106500</v>
      </c>
      <c r="C33" s="13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1</v>
      </c>
      <c r="C34" s="11">
        <f>IF(B$3=0,0,B34/B$3)</f>
        <v>2.5252525252525255E-3</v>
      </c>
      <c r="E34" s="29" t="s">
        <v>91</v>
      </c>
      <c r="F34" s="26" t="s">
        <v>46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6.8965517241379309E-2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22</v>
      </c>
      <c r="C37" s="8">
        <f t="shared" si="2"/>
        <v>0.18965517241379309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25</v>
      </c>
      <c r="C38" s="8">
        <f t="shared" si="2"/>
        <v>0.21551724137931033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15</v>
      </c>
      <c r="C39" s="8">
        <f t="shared" si="2"/>
        <v>0.12931034482758622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19</v>
      </c>
      <c r="C40" s="8">
        <f t="shared" si="2"/>
        <v>0.16379310344827586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9</v>
      </c>
      <c r="C41" s="8">
        <f t="shared" si="2"/>
        <v>7.7586206896551727E-2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9</v>
      </c>
      <c r="C42" s="8">
        <f t="shared" si="2"/>
        <v>7.7586206896551727E-2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</v>
      </c>
      <c r="C43" s="8">
        <f t="shared" si="2"/>
        <v>8.6206896551724137E-3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</v>
      </c>
      <c r="C44" s="8">
        <f t="shared" si="2"/>
        <v>8.6206896551724137E-3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2</v>
      </c>
      <c r="C45" s="8">
        <f t="shared" si="2"/>
        <v>1.7241379310344827E-2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1</v>
      </c>
      <c r="C46" s="8">
        <f t="shared" si="2"/>
        <v>8.6206896551724137E-3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4</v>
      </c>
      <c r="C48" s="11">
        <f t="shared" si="2"/>
        <v>3.4482758620689655E-2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8</v>
      </c>
      <c r="C2" s="136"/>
      <c r="E2" s="28" t="s">
        <v>66</v>
      </c>
      <c r="F2" s="25" t="s">
        <v>22</v>
      </c>
      <c r="G2" s="13">
        <v>19</v>
      </c>
      <c r="H2" s="91">
        <f>IF(B$19=0,0,G2/B$19)</f>
        <v>1.1176470588235294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4712.5</v>
      </c>
      <c r="P2" s="80">
        <v>8</v>
      </c>
      <c r="Q2" s="67">
        <v>37700</v>
      </c>
    </row>
    <row r="3" spans="1:17" x14ac:dyDescent="0.45">
      <c r="A3" s="21" t="s">
        <v>8</v>
      </c>
      <c r="B3" s="137">
        <v>71</v>
      </c>
      <c r="C3" s="138"/>
      <c r="E3" s="29" t="s">
        <v>72</v>
      </c>
      <c r="F3" s="26" t="s">
        <v>27</v>
      </c>
      <c r="G3" s="14">
        <v>11</v>
      </c>
      <c r="H3" s="92">
        <f>IF(B$19=0,0,G3/B$19)</f>
        <v>0.6470588235294118</v>
      </c>
      <c r="I3" s="60">
        <v>3</v>
      </c>
      <c r="K3" s="7">
        <v>1</v>
      </c>
      <c r="L3" s="65">
        <v>-2.9</v>
      </c>
      <c r="N3" s="78" t="s">
        <v>129</v>
      </c>
      <c r="O3" s="84">
        <f t="shared" si="0"/>
        <v>762.5</v>
      </c>
      <c r="P3" s="81">
        <v>8</v>
      </c>
      <c r="Q3" s="68">
        <v>6100</v>
      </c>
    </row>
    <row r="4" spans="1:17" x14ac:dyDescent="0.45">
      <c r="A4" s="21" t="s">
        <v>6</v>
      </c>
      <c r="B4" s="139">
        <v>-9.9999999999999964</v>
      </c>
      <c r="C4" s="140"/>
      <c r="E4" s="29" t="s">
        <v>64</v>
      </c>
      <c r="F4" s="26" t="s">
        <v>20</v>
      </c>
      <c r="G4" s="14">
        <v>8</v>
      </c>
      <c r="H4" s="92">
        <f>IF(B$19=0,0,G4/B$19)</f>
        <v>0.47058823529411764</v>
      </c>
      <c r="I4" s="60">
        <v>5</v>
      </c>
      <c r="K4" s="7">
        <v>2</v>
      </c>
      <c r="L4" s="65">
        <v>32.9</v>
      </c>
      <c r="N4" s="78" t="s">
        <v>130</v>
      </c>
      <c r="O4" s="84">
        <f t="shared" si="0"/>
        <v>-1487.5</v>
      </c>
      <c r="P4" s="81">
        <v>8</v>
      </c>
      <c r="Q4" s="68">
        <v>-11900</v>
      </c>
    </row>
    <row r="5" spans="1:17" x14ac:dyDescent="0.45">
      <c r="A5" s="21" t="s">
        <v>7</v>
      </c>
      <c r="B5" s="127">
        <f>IF(B$2=0,0,B$4/B$2)</f>
        <v>-1.2499999999999996</v>
      </c>
      <c r="C5" s="128"/>
      <c r="E5" s="29" t="s">
        <v>160</v>
      </c>
      <c r="F5" s="26" t="s">
        <v>161</v>
      </c>
      <c r="G5" s="14">
        <v>8</v>
      </c>
      <c r="H5" s="92">
        <f>IF(B$19=0,0,G5/B$19)</f>
        <v>0.47058823529411764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-7450</v>
      </c>
      <c r="P5" s="81">
        <v>8</v>
      </c>
      <c r="Q5" s="68">
        <v>-59600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4</v>
      </c>
      <c r="H6" s="92">
        <f>IF(B$19=0,0,G6/B$19)</f>
        <v>0.23529411764705882</v>
      </c>
      <c r="I6" s="60">
        <v>8</v>
      </c>
      <c r="K6" s="7">
        <v>4</v>
      </c>
      <c r="L6" s="65">
        <v>27.4</v>
      </c>
      <c r="N6" s="78" t="s">
        <v>132</v>
      </c>
      <c r="O6" s="84">
        <f t="shared" si="0"/>
        <v>-1887.5</v>
      </c>
      <c r="P6" s="81">
        <v>8</v>
      </c>
      <c r="Q6" s="68">
        <v>-15100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0.375</v>
      </c>
      <c r="E7" s="29" t="s">
        <v>89</v>
      </c>
      <c r="F7" s="26" t="s">
        <v>44</v>
      </c>
      <c r="G7" s="14">
        <v>4</v>
      </c>
      <c r="H7" s="92">
        <f>IF(B$19=0,0,G7/B$19)</f>
        <v>0.23529411764705882</v>
      </c>
      <c r="I7" s="60">
        <v>1</v>
      </c>
      <c r="K7" s="7">
        <v>5</v>
      </c>
      <c r="L7" s="65">
        <v>18</v>
      </c>
      <c r="N7" s="79" t="s">
        <v>133</v>
      </c>
      <c r="O7" s="85">
        <f t="shared" si="0"/>
        <v>3280</v>
      </c>
      <c r="P7" s="82">
        <v>5</v>
      </c>
      <c r="Q7" s="69">
        <v>16400</v>
      </c>
    </row>
    <row r="8" spans="1:17" x14ac:dyDescent="0.45">
      <c r="A8" s="21" t="s">
        <v>3</v>
      </c>
      <c r="B8" s="14">
        <v>2</v>
      </c>
      <c r="C8" s="8">
        <f t="shared" si="1"/>
        <v>0.25</v>
      </c>
      <c r="E8" s="29" t="s">
        <v>65</v>
      </c>
      <c r="F8" s="26" t="s">
        <v>21</v>
      </c>
      <c r="G8" s="14">
        <v>3</v>
      </c>
      <c r="H8" s="92">
        <f>IF(B$19=0,0,G8/B$19)</f>
        <v>0.17647058823529413</v>
      </c>
      <c r="I8" s="60">
        <v>3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0.375</v>
      </c>
      <c r="E9" s="29" t="s">
        <v>86</v>
      </c>
      <c r="F9" s="26" t="s">
        <v>41</v>
      </c>
      <c r="G9" s="14">
        <v>3</v>
      </c>
      <c r="H9" s="92">
        <f>IF(B$19=0,0,G9/B$19)</f>
        <v>0.17647058823529413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30</v>
      </c>
      <c r="C10" s="114">
        <v>90</v>
      </c>
      <c r="E10" s="29" t="s">
        <v>69</v>
      </c>
      <c r="F10" s="26" t="s">
        <v>24</v>
      </c>
      <c r="G10" s="14">
        <v>2</v>
      </c>
      <c r="H10" s="92">
        <f>IF(B$19=0,0,G10/B$19)</f>
        <v>0.11764705882352941</v>
      </c>
      <c r="I10" s="60">
        <v>2</v>
      </c>
      <c r="K10" s="7">
        <v>8</v>
      </c>
      <c r="L10" s="65">
        <v>-9.9999999999999964</v>
      </c>
      <c r="N10" s="77" t="s">
        <v>152</v>
      </c>
      <c r="O10" s="86">
        <f>IF(P10=0,0,Q10/P10)</f>
        <v>-14.799999999999999</v>
      </c>
      <c r="P10" s="80">
        <v>2</v>
      </c>
      <c r="Q10" s="71">
        <v>-29.599999999999998</v>
      </c>
    </row>
    <row r="11" spans="1:17" x14ac:dyDescent="0.45">
      <c r="A11" s="22" t="s">
        <v>186</v>
      </c>
      <c r="B11" s="113">
        <f>IF(B8=0,0,C11/B8)</f>
        <v>-6.15</v>
      </c>
      <c r="C11" s="114">
        <v>-12.3</v>
      </c>
      <c r="E11" s="29" t="s">
        <v>71</v>
      </c>
      <c r="F11" s="26" t="s">
        <v>26</v>
      </c>
      <c r="G11" s="14">
        <v>2</v>
      </c>
      <c r="H11" s="92">
        <f>IF(B$19=0,0,G11/B$19)</f>
        <v>0.11764705882352941</v>
      </c>
      <c r="I11" s="60">
        <v>2</v>
      </c>
      <c r="N11" s="78" t="s">
        <v>153</v>
      </c>
      <c r="O11" s="87">
        <f>IF(P11=0,0,Q11/P11)</f>
        <v>-23.466666666666669</v>
      </c>
      <c r="P11" s="81">
        <v>3</v>
      </c>
      <c r="Q11" s="72">
        <v>-70.400000000000006</v>
      </c>
    </row>
    <row r="12" spans="1:17" x14ac:dyDescent="0.45">
      <c r="A12" s="22" t="s">
        <v>187</v>
      </c>
      <c r="B12" s="113">
        <f>IF(B9=0,0,C12/B9)</f>
        <v>-29.233333333333331</v>
      </c>
      <c r="C12" s="114">
        <v>-87.699999999999989</v>
      </c>
      <c r="E12" s="29" t="s">
        <v>81</v>
      </c>
      <c r="F12" s="26" t="s">
        <v>36</v>
      </c>
      <c r="G12" s="14">
        <v>2</v>
      </c>
      <c r="H12" s="92">
        <f>IF(B$19=0,0,G12/B$19)</f>
        <v>0.11764705882352941</v>
      </c>
      <c r="I12" s="60">
        <v>1</v>
      </c>
      <c r="N12" s="79" t="s">
        <v>154</v>
      </c>
      <c r="O12" s="88">
        <f>IF(P12=0,0,Q12/P12)</f>
        <v>30</v>
      </c>
      <c r="P12" s="82">
        <v>3</v>
      </c>
      <c r="Q12" s="73">
        <v>90</v>
      </c>
    </row>
    <row r="13" spans="1:17" x14ac:dyDescent="0.45">
      <c r="A13" s="22" t="s">
        <v>188</v>
      </c>
      <c r="B13" s="127">
        <f>AVERAGE(B10:B12)</f>
        <v>-1.7944444444444432</v>
      </c>
      <c r="C13" s="128"/>
      <c r="E13" s="29" t="s">
        <v>70</v>
      </c>
      <c r="F13" s="26" t="s">
        <v>25</v>
      </c>
      <c r="G13" s="14">
        <v>1</v>
      </c>
      <c r="H13" s="92">
        <f>IF(B$19=0,0,G13/B$19)</f>
        <v>5.8823529411764705E-2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78</v>
      </c>
      <c r="F14" s="26" t="s">
        <v>33</v>
      </c>
      <c r="G14" s="14">
        <v>1</v>
      </c>
      <c r="H14" s="92">
        <f>IF(B$19=0,0,G14/B$19)</f>
        <v>5.8823529411764705E-2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0.26760563380281688</v>
      </c>
      <c r="E15" s="29" t="s">
        <v>79</v>
      </c>
      <c r="F15" s="26" t="s">
        <v>34</v>
      </c>
      <c r="G15" s="14">
        <v>1</v>
      </c>
      <c r="H15" s="92">
        <f>IF(B$19=0,0,G15/B$19)</f>
        <v>5.8823529411764705E-2</v>
      </c>
      <c r="I15" s="60">
        <v>2</v>
      </c>
      <c r="N15" s="77" t="s">
        <v>189</v>
      </c>
      <c r="O15" s="86">
        <f>IF(P15=0,0,Q15/P15)</f>
        <v>54.199999999999996</v>
      </c>
      <c r="P15" s="80">
        <v>2</v>
      </c>
      <c r="Q15" s="71">
        <v>108.39999999999999</v>
      </c>
    </row>
    <row r="16" spans="1:17" x14ac:dyDescent="0.45">
      <c r="A16" s="21" t="s">
        <v>118</v>
      </c>
      <c r="B16" s="14">
        <v>15</v>
      </c>
      <c r="C16" s="8">
        <f>IF(B$3=0,0,B16/B$3)</f>
        <v>0.21126760563380281</v>
      </c>
      <c r="E16" s="29" t="s">
        <v>83</v>
      </c>
      <c r="F16" s="26" t="s">
        <v>38</v>
      </c>
      <c r="G16" s="14">
        <v>1</v>
      </c>
      <c r="H16" s="92">
        <f>IF(B$19=0,0,G16/B$19)</f>
        <v>5.8823529411764705E-2</v>
      </c>
      <c r="I16" s="60">
        <v>3</v>
      </c>
      <c r="N16" s="78" t="s">
        <v>194</v>
      </c>
      <c r="O16" s="87">
        <f>IF(P16=0,0,Q16/P16)</f>
        <v>5.5333333333333341</v>
      </c>
      <c r="P16" s="81">
        <v>3</v>
      </c>
      <c r="Q16" s="72">
        <v>16.600000000000001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0.47368421052631576</v>
      </c>
      <c r="E17" s="29" t="s">
        <v>92</v>
      </c>
      <c r="F17" s="26" t="s">
        <v>47</v>
      </c>
      <c r="G17" s="14">
        <v>1</v>
      </c>
      <c r="H17" s="92">
        <f>IF(B$19=0,0,G17/B$19)</f>
        <v>5.8823529411764705E-2</v>
      </c>
      <c r="I17" s="60">
        <v>1</v>
      </c>
      <c r="N17" s="78" t="s">
        <v>192</v>
      </c>
      <c r="O17" s="87">
        <f>IF(P17=0,0,Q17/P17)</f>
        <v>-7.4599999999999982</v>
      </c>
      <c r="P17" s="81">
        <v>5</v>
      </c>
      <c r="Q17" s="72">
        <v>-37.29999999999999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0.26666666666666666</v>
      </c>
      <c r="E18" s="29" t="s">
        <v>156</v>
      </c>
      <c r="F18" s="26" t="s">
        <v>157</v>
      </c>
      <c r="G18" s="14">
        <v>1</v>
      </c>
      <c r="H18" s="92">
        <f>IF(B$19=0,0,G18/B$19)</f>
        <v>5.8823529411764705E-2</v>
      </c>
      <c r="I18" s="60">
        <v>1</v>
      </c>
      <c r="N18" s="78" t="s">
        <v>126</v>
      </c>
      <c r="O18" s="87">
        <f>IF(P18=0,0,Q18/P18)</f>
        <v>-13.860000000000003</v>
      </c>
      <c r="P18" s="81">
        <v>5</v>
      </c>
      <c r="Q18" s="72">
        <v>-69.300000000000011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0.23943661971830985</v>
      </c>
      <c r="E19" s="29" t="s">
        <v>67</v>
      </c>
      <c r="F19" s="26" t="s">
        <v>23</v>
      </c>
      <c r="G19" s="14">
        <v>0</v>
      </c>
      <c r="H19" s="92">
        <f>IF(B$19=0,0,G19/B$19)</f>
        <v>0</v>
      </c>
      <c r="I19" s="60">
        <v>7</v>
      </c>
      <c r="N19" s="78" t="s">
        <v>193</v>
      </c>
      <c r="O19" s="87">
        <f>IF(P19=0,0,Q19/P19)</f>
        <v>-48.4</v>
      </c>
      <c r="P19" s="81">
        <v>1</v>
      </c>
      <c r="Q19" s="72">
        <v>-48.4</v>
      </c>
    </row>
    <row r="20" spans="1:17" x14ac:dyDescent="0.45">
      <c r="A20" s="21" t="s">
        <v>13</v>
      </c>
      <c r="B20" s="14">
        <v>20</v>
      </c>
      <c r="C20" s="8">
        <f>IF(B$3=0,0,B20/B$3)</f>
        <v>0.28169014084507044</v>
      </c>
      <c r="E20" s="29" t="s">
        <v>73</v>
      </c>
      <c r="F20" s="26" t="s">
        <v>28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0.35294117647058826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11</v>
      </c>
      <c r="C22" s="8">
        <f>IF(B$19=0,0,B22/B$19)</f>
        <v>0.6470588235294118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9</v>
      </c>
      <c r="C23" s="8">
        <f>IF(B$19=0,0,B23/B$19)</f>
        <v>0.52941176470588236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0.23529411764705882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0.23529411764705882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11688.235294117647</v>
      </c>
      <c r="C26" s="10">
        <v>198700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11484.615384615385</v>
      </c>
      <c r="C27" s="100">
        <v>149300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12350</v>
      </c>
      <c r="C28" s="100">
        <v>49400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-6320</v>
      </c>
      <c r="C29" s="100">
        <v>-126400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20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4</v>
      </c>
      <c r="C32" s="130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60800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1.4084507042253521E-2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5.8823529411764705E-2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0.11764705882352941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0.23529411764705882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0.17647058823529413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0.23529411764705882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5.8823529411764705E-2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5.8823529411764705E-2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66</v>
      </c>
      <c r="F2" s="25" t="s">
        <v>22</v>
      </c>
      <c r="G2" s="13">
        <v>6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-2300</v>
      </c>
      <c r="P2" s="80">
        <v>2</v>
      </c>
      <c r="Q2" s="67">
        <v>-4600</v>
      </c>
    </row>
    <row r="3" spans="1:17" x14ac:dyDescent="0.45">
      <c r="A3" s="21" t="s">
        <v>8</v>
      </c>
      <c r="B3" s="137">
        <v>20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1000</v>
      </c>
      <c r="P3" s="81">
        <v>2</v>
      </c>
      <c r="Q3" s="68">
        <v>2000</v>
      </c>
    </row>
    <row r="4" spans="1:17" x14ac:dyDescent="0.45">
      <c r="A4" s="21" t="s">
        <v>6</v>
      </c>
      <c r="B4" s="139">
        <v>-75.5</v>
      </c>
      <c r="C4" s="140"/>
      <c r="E4" s="29" t="s">
        <v>65</v>
      </c>
      <c r="F4" s="26" t="s">
        <v>21</v>
      </c>
      <c r="G4" s="14">
        <v>2</v>
      </c>
      <c r="H4" s="92">
        <f>IF(B$19=0,0,G4/B$19)</f>
        <v>0.5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-14750</v>
      </c>
      <c r="P4" s="81">
        <v>2</v>
      </c>
      <c r="Q4" s="68">
        <v>-29500</v>
      </c>
    </row>
    <row r="5" spans="1:17" x14ac:dyDescent="0.45">
      <c r="A5" s="21" t="s">
        <v>7</v>
      </c>
      <c r="B5" s="127">
        <f>IF(B$2=0,0,B$4/B$2)</f>
        <v>-37.75</v>
      </c>
      <c r="C5" s="128"/>
      <c r="E5" s="29" t="s">
        <v>68</v>
      </c>
      <c r="F5" s="26" t="s">
        <v>12</v>
      </c>
      <c r="G5" s="14">
        <v>1</v>
      </c>
      <c r="H5" s="92">
        <f>IF(B$19=0,0,G5/B$19)</f>
        <v>0.25</v>
      </c>
      <c r="I5" s="60">
        <v>5</v>
      </c>
      <c r="N5" s="78" t="s">
        <v>131</v>
      </c>
      <c r="O5" s="84">
        <f t="shared" si="0"/>
        <v>-1700</v>
      </c>
      <c r="P5" s="81">
        <v>2</v>
      </c>
      <c r="Q5" s="68">
        <v>-3400</v>
      </c>
    </row>
    <row r="6" spans="1:17" x14ac:dyDescent="0.45">
      <c r="A6" s="21" t="s">
        <v>1</v>
      </c>
      <c r="B6" s="141">
        <f>IF(B$2=0,0,(B$7*1+B$8*2+B$9*3)/B$2)</f>
        <v>3</v>
      </c>
      <c r="C6" s="142"/>
      <c r="E6" s="29" t="s">
        <v>72</v>
      </c>
      <c r="F6" s="26" t="s">
        <v>27</v>
      </c>
      <c r="G6" s="14">
        <v>1</v>
      </c>
      <c r="H6" s="92">
        <f>IF(B$19=0,0,G6/B$19)</f>
        <v>0.25</v>
      </c>
      <c r="I6" s="60">
        <v>7</v>
      </c>
      <c r="N6" s="78" t="s">
        <v>132</v>
      </c>
      <c r="O6" s="84">
        <f t="shared" si="0"/>
        <v>-3250</v>
      </c>
      <c r="P6" s="81">
        <v>2</v>
      </c>
      <c r="Q6" s="68">
        <v>-6500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0</v>
      </c>
      <c r="H7" s="92">
        <f>IF(B$19=0,0,G7/B$19)</f>
        <v>0</v>
      </c>
      <c r="I7" s="60">
        <v>7</v>
      </c>
      <c r="N7" s="79" t="s">
        <v>133</v>
      </c>
      <c r="O7" s="85">
        <f t="shared" si="0"/>
        <v>-6750</v>
      </c>
      <c r="P7" s="82">
        <v>2</v>
      </c>
      <c r="Q7" s="69">
        <v>-13500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0</v>
      </c>
      <c r="H8" s="92">
        <f>IF(B$19=0,0,G8/B$19)</f>
        <v>0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70</v>
      </c>
      <c r="F9" s="26" t="s">
        <v>25</v>
      </c>
      <c r="G9" s="14">
        <v>0</v>
      </c>
      <c r="H9" s="92">
        <f>IF(B$19=0,0,G9/B$19)</f>
        <v>0</v>
      </c>
      <c r="I9" s="60">
        <v>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3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-12.583333333333334</v>
      </c>
      <c r="C13" s="128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0.25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-54.199999999999996</v>
      </c>
      <c r="P15" s="80">
        <v>2</v>
      </c>
      <c r="Q15" s="71">
        <v>-108.39999999999999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4</v>
      </c>
      <c r="N16" s="78" t="s">
        <v>126</v>
      </c>
      <c r="O16" s="87">
        <f>IF(P16=0,0,Q16/P16)</f>
        <v>-59.050000000000004</v>
      </c>
      <c r="P16" s="81">
        <v>2</v>
      </c>
      <c r="Q16" s="72">
        <v>-118.10000000000001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5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5</v>
      </c>
    </row>
    <row r="20" spans="1:9" x14ac:dyDescent="0.45">
      <c r="A20" s="21" t="s">
        <v>13</v>
      </c>
      <c r="B20" s="14">
        <v>9</v>
      </c>
      <c r="C20" s="8">
        <f>IF(B$3=0,0,B20/B$3)</f>
        <v>0.45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1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5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0.5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5">
      <c r="A25" s="21" t="s">
        <v>183</v>
      </c>
      <c r="B25" s="14">
        <v>2</v>
      </c>
      <c r="C25" s="8">
        <f>IF(B$19=0,0,B25/B$19)</f>
        <v>0.5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7050</v>
      </c>
      <c r="C26" s="10">
        <v>28200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7050</v>
      </c>
      <c r="C27" s="100">
        <v>28200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6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-6088.8888888888887</v>
      </c>
      <c r="C29" s="100">
        <v>-54800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4</v>
      </c>
    </row>
    <row r="31" spans="1:9" x14ac:dyDescent="0.45">
      <c r="A31" s="21" t="s">
        <v>159</v>
      </c>
      <c r="B31" s="14">
        <v>2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9">
        <v>3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8700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0.5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0.5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11</v>
      </c>
      <c r="C2" s="136"/>
      <c r="E2" s="28" t="s">
        <v>72</v>
      </c>
      <c r="F2" s="25" t="s">
        <v>27</v>
      </c>
      <c r="G2" s="13">
        <v>23</v>
      </c>
      <c r="H2" s="91">
        <f>IF(B$19=0,0,G2/B$19)</f>
        <v>0.6216216216216216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2236.3636363636365</v>
      </c>
      <c r="P2" s="80">
        <v>11</v>
      </c>
      <c r="Q2" s="67">
        <v>24600</v>
      </c>
    </row>
    <row r="3" spans="1:17" x14ac:dyDescent="0.45">
      <c r="A3" s="21" t="s">
        <v>8</v>
      </c>
      <c r="B3" s="137">
        <v>88</v>
      </c>
      <c r="C3" s="138"/>
      <c r="E3" s="29" t="s">
        <v>66</v>
      </c>
      <c r="F3" s="26" t="s">
        <v>22</v>
      </c>
      <c r="G3" s="14">
        <v>22</v>
      </c>
      <c r="H3" s="92">
        <f>IF(B$19=0,0,G3/B$19)</f>
        <v>0.59459459459459463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6190.909090909091</v>
      </c>
      <c r="P3" s="81">
        <v>11</v>
      </c>
      <c r="Q3" s="68">
        <v>68100</v>
      </c>
    </row>
    <row r="4" spans="1:17" x14ac:dyDescent="0.45">
      <c r="A4" s="21" t="s">
        <v>6</v>
      </c>
      <c r="B4" s="139">
        <v>242.7</v>
      </c>
      <c r="C4" s="140"/>
      <c r="E4" s="29" t="s">
        <v>64</v>
      </c>
      <c r="F4" s="26" t="s">
        <v>20</v>
      </c>
      <c r="G4" s="14">
        <v>11</v>
      </c>
      <c r="H4" s="92">
        <f>IF(B$19=0,0,G4/B$19)</f>
        <v>0.29729729729729731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2309.090909090909</v>
      </c>
      <c r="P4" s="81">
        <v>11</v>
      </c>
      <c r="Q4" s="68">
        <v>25400</v>
      </c>
    </row>
    <row r="5" spans="1:17" x14ac:dyDescent="0.45">
      <c r="A5" s="21" t="s">
        <v>7</v>
      </c>
      <c r="B5" s="127">
        <f>IF(B$2=0,0,B$4/B$2)</f>
        <v>22.063636363636363</v>
      </c>
      <c r="C5" s="128"/>
      <c r="E5" s="29" t="s">
        <v>68</v>
      </c>
      <c r="F5" s="26" t="s">
        <v>12</v>
      </c>
      <c r="G5" s="14">
        <v>10</v>
      </c>
      <c r="H5" s="92">
        <f>IF(B$19=0,0,G5/B$19)</f>
        <v>0.27027027027027029</v>
      </c>
      <c r="I5" s="60">
        <v>3</v>
      </c>
      <c r="K5" s="7">
        <v>3</v>
      </c>
      <c r="L5" s="65">
        <v>98.1</v>
      </c>
      <c r="N5" s="78" t="s">
        <v>131</v>
      </c>
      <c r="O5" s="84">
        <f t="shared" si="0"/>
        <v>3370</v>
      </c>
      <c r="P5" s="81">
        <v>10</v>
      </c>
      <c r="Q5" s="68">
        <v>33700</v>
      </c>
    </row>
    <row r="6" spans="1:17" x14ac:dyDescent="0.45">
      <c r="A6" s="21" t="s">
        <v>1</v>
      </c>
      <c r="B6" s="141">
        <f>IF(B$2=0,0,(B$7*1+B$8*2+B$9*3)/B$2)</f>
        <v>1.5454545454545454</v>
      </c>
      <c r="C6" s="142"/>
      <c r="E6" s="29" t="s">
        <v>160</v>
      </c>
      <c r="F6" s="26" t="s">
        <v>161</v>
      </c>
      <c r="G6" s="14">
        <v>10</v>
      </c>
      <c r="H6" s="92">
        <f>IF(B$19=0,0,G6/B$19)</f>
        <v>0.27027027027027029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800</v>
      </c>
      <c r="P6" s="81">
        <v>9</v>
      </c>
      <c r="Q6" s="68">
        <v>7200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0.54545454545454541</v>
      </c>
      <c r="E7" s="29" t="s">
        <v>89</v>
      </c>
      <c r="F7" s="26" t="s">
        <v>44</v>
      </c>
      <c r="G7" s="14">
        <v>7</v>
      </c>
      <c r="H7" s="92">
        <f>IF(B$19=0,0,G7/B$19)</f>
        <v>0.1891891891891892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5800</v>
      </c>
      <c r="P7" s="82">
        <v>5</v>
      </c>
      <c r="Q7" s="69">
        <v>29000</v>
      </c>
    </row>
    <row r="8" spans="1:17" x14ac:dyDescent="0.45">
      <c r="A8" s="21" t="s">
        <v>3</v>
      </c>
      <c r="B8" s="14">
        <v>4</v>
      </c>
      <c r="C8" s="8">
        <f t="shared" si="1"/>
        <v>0.36363636363636365</v>
      </c>
      <c r="E8" s="29" t="s">
        <v>67</v>
      </c>
      <c r="F8" s="26" t="s">
        <v>23</v>
      </c>
      <c r="G8" s="14">
        <v>5</v>
      </c>
      <c r="H8" s="92">
        <f>IF(B$19=0,0,G8/B$19)</f>
        <v>0.13513513513513514</v>
      </c>
      <c r="I8" s="60">
        <v>6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9.0909090909090912E-2</v>
      </c>
      <c r="E9" s="29" t="s">
        <v>71</v>
      </c>
      <c r="F9" s="26" t="s">
        <v>26</v>
      </c>
      <c r="G9" s="14">
        <v>5</v>
      </c>
      <c r="H9" s="92">
        <f>IF(B$19=0,0,G9/B$19)</f>
        <v>0.13513513513513514</v>
      </c>
      <c r="I9" s="60">
        <v>1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43.166666666666664</v>
      </c>
      <c r="C10" s="114">
        <v>259</v>
      </c>
      <c r="E10" s="29" t="s">
        <v>69</v>
      </c>
      <c r="F10" s="26" t="s">
        <v>24</v>
      </c>
      <c r="G10" s="14">
        <v>4</v>
      </c>
      <c r="H10" s="92">
        <f>IF(B$19=0,0,G10/B$19)</f>
        <v>0.10810810810810811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7.9749999999999996</v>
      </c>
      <c r="P10" s="80">
        <v>4</v>
      </c>
      <c r="Q10" s="71">
        <v>31.9</v>
      </c>
    </row>
    <row r="11" spans="1:17" x14ac:dyDescent="0.45">
      <c r="A11" s="22" t="s">
        <v>186</v>
      </c>
      <c r="B11" s="113">
        <f>IF(B8=0,0,C11/B8)</f>
        <v>4.9000000000000004</v>
      </c>
      <c r="C11" s="114">
        <v>19.600000000000001</v>
      </c>
      <c r="E11" s="29" t="s">
        <v>86</v>
      </c>
      <c r="F11" s="26" t="s">
        <v>41</v>
      </c>
      <c r="G11" s="14">
        <v>4</v>
      </c>
      <c r="H11" s="92">
        <f>IF(B$19=0,0,G11/B$19)</f>
        <v>0.10810810810810811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29.966666666666669</v>
      </c>
      <c r="P11" s="81">
        <v>3</v>
      </c>
      <c r="Q11" s="72">
        <v>89.9</v>
      </c>
    </row>
    <row r="12" spans="1:17" x14ac:dyDescent="0.45">
      <c r="A12" s="22" t="s">
        <v>187</v>
      </c>
      <c r="B12" s="113">
        <f>IF(B9=0,0,C12/B9)</f>
        <v>-35.9</v>
      </c>
      <c r="C12" s="114">
        <v>-35.9</v>
      </c>
      <c r="E12" s="29" t="s">
        <v>65</v>
      </c>
      <c r="F12" s="26" t="s">
        <v>21</v>
      </c>
      <c r="G12" s="14">
        <v>3</v>
      </c>
      <c r="H12" s="92">
        <f>IF(B$19=0,0,G12/B$19)</f>
        <v>8.1081081081081086E-2</v>
      </c>
      <c r="I12" s="60">
        <v>7</v>
      </c>
      <c r="K12" s="7">
        <v>10</v>
      </c>
      <c r="L12" s="65">
        <v>229</v>
      </c>
      <c r="N12" s="79" t="s">
        <v>154</v>
      </c>
      <c r="O12" s="88">
        <f>IF(P12=0,0,Q12/P12)</f>
        <v>30.225000000000005</v>
      </c>
      <c r="P12" s="82">
        <v>4</v>
      </c>
      <c r="Q12" s="73">
        <v>120.90000000000002</v>
      </c>
    </row>
    <row r="13" spans="1:17" x14ac:dyDescent="0.45">
      <c r="A13" s="22" t="s">
        <v>188</v>
      </c>
      <c r="B13" s="127">
        <f>AVERAGE(B10:B12)</f>
        <v>4.0555555555555545</v>
      </c>
      <c r="C13" s="128"/>
      <c r="E13" s="29" t="s">
        <v>83</v>
      </c>
      <c r="F13" s="26" t="s">
        <v>38</v>
      </c>
      <c r="G13" s="14">
        <v>3</v>
      </c>
      <c r="H13" s="92">
        <f>IF(B$19=0,0,G13/B$19)</f>
        <v>8.1081081081081086E-2</v>
      </c>
      <c r="I13" s="60">
        <v>2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1</v>
      </c>
      <c r="H14" s="92">
        <f>IF(B$19=0,0,G14/B$19)</f>
        <v>2.7027027027027029E-2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0.23863636363636365</v>
      </c>
      <c r="E15" s="29" t="s">
        <v>73</v>
      </c>
      <c r="F15" s="26" t="s">
        <v>28</v>
      </c>
      <c r="G15" s="14">
        <v>1</v>
      </c>
      <c r="H15" s="92">
        <f>IF(B$19=0,0,G15/B$19)</f>
        <v>2.7027027027027029E-2</v>
      </c>
      <c r="I15" s="60">
        <v>1</v>
      </c>
      <c r="N15" s="77" t="s">
        <v>189</v>
      </c>
      <c r="O15" s="86">
        <f>IF(P15=0,0,Q15/P15)</f>
        <v>59.050000000000004</v>
      </c>
      <c r="P15" s="80">
        <v>2</v>
      </c>
      <c r="Q15" s="71">
        <v>118.10000000000001</v>
      </c>
    </row>
    <row r="16" spans="1:17" x14ac:dyDescent="0.45">
      <c r="A16" s="21" t="s">
        <v>118</v>
      </c>
      <c r="B16" s="14">
        <v>21</v>
      </c>
      <c r="C16" s="8">
        <f>IF(B$3=0,0,B16/B$3)</f>
        <v>0.23863636363636365</v>
      </c>
      <c r="E16" s="29" t="s">
        <v>79</v>
      </c>
      <c r="F16" s="26" t="s">
        <v>34</v>
      </c>
      <c r="G16" s="14">
        <v>1</v>
      </c>
      <c r="H16" s="92">
        <f>IF(B$19=0,0,G16/B$19)</f>
        <v>2.7027027027027029E-2</v>
      </c>
      <c r="I16" s="60">
        <v>4</v>
      </c>
      <c r="N16" s="78" t="s">
        <v>193</v>
      </c>
      <c r="O16" s="87">
        <f>IF(P16=0,0,Q16/P16)</f>
        <v>55.05</v>
      </c>
      <c r="P16" s="81">
        <v>2</v>
      </c>
      <c r="Q16" s="72">
        <v>110.1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0.5714285714285714</v>
      </c>
      <c r="E17" s="29" t="s">
        <v>92</v>
      </c>
      <c r="F17" s="26" t="s">
        <v>47</v>
      </c>
      <c r="G17" s="14">
        <v>1</v>
      </c>
      <c r="H17" s="92">
        <f>IF(B$19=0,0,G17/B$19)</f>
        <v>2.7027027027027029E-2</v>
      </c>
      <c r="I17" s="60">
        <v>2</v>
      </c>
      <c r="N17" s="78" t="s">
        <v>194</v>
      </c>
      <c r="O17" s="87">
        <f>IF(P17=0,0,Q17/P17)</f>
        <v>35</v>
      </c>
      <c r="P17" s="81">
        <v>3</v>
      </c>
      <c r="Q17" s="72">
        <v>105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0.66666666666666663</v>
      </c>
      <c r="E18" s="29" t="s">
        <v>95</v>
      </c>
      <c r="F18" s="26" t="s">
        <v>50</v>
      </c>
      <c r="G18" s="14">
        <v>1</v>
      </c>
      <c r="H18" s="92">
        <f>IF(B$19=0,0,G18/B$19)</f>
        <v>2.7027027027027029E-2</v>
      </c>
      <c r="I18" s="60">
        <v>1</v>
      </c>
      <c r="N18" s="78" t="s">
        <v>196</v>
      </c>
      <c r="O18" s="87">
        <f>IF(P18=0,0,Q18/P18)</f>
        <v>34.9</v>
      </c>
      <c r="P18" s="81">
        <v>2</v>
      </c>
      <c r="Q18" s="72">
        <v>69.8</v>
      </c>
    </row>
    <row r="19" spans="1:17" x14ac:dyDescent="0.45">
      <c r="A19" s="20" t="s">
        <v>10</v>
      </c>
      <c r="B19" s="13">
        <f>B22+B21</f>
        <v>37</v>
      </c>
      <c r="C19" s="6">
        <f>IF(B$3=0,0,B19/B$3)</f>
        <v>0.42045454545454547</v>
      </c>
      <c r="E19" s="29" t="s">
        <v>156</v>
      </c>
      <c r="F19" s="26" t="s">
        <v>157</v>
      </c>
      <c r="G19" s="14">
        <v>1</v>
      </c>
      <c r="H19" s="92">
        <f>IF(B$19=0,0,G19/B$19)</f>
        <v>2.7027027027027029E-2</v>
      </c>
      <c r="I19" s="60">
        <v>2</v>
      </c>
      <c r="N19" s="78" t="s">
        <v>192</v>
      </c>
      <c r="O19" s="87">
        <f>IF(P19=0,0,Q19/P19)</f>
        <v>31.974999999999994</v>
      </c>
      <c r="P19" s="81">
        <v>8</v>
      </c>
      <c r="Q19" s="72">
        <v>255.79999999999995</v>
      </c>
    </row>
    <row r="20" spans="1:17" x14ac:dyDescent="0.45">
      <c r="A20" s="21" t="s">
        <v>13</v>
      </c>
      <c r="B20" s="14">
        <v>9</v>
      </c>
      <c r="C20" s="8">
        <f>IF(B$3=0,0,B20/B$3)</f>
        <v>0.10227272727272728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164</v>
      </c>
      <c r="O20" s="87">
        <f>IF(P20=0,0,Q20/P20)</f>
        <v>13.860000000000003</v>
      </c>
      <c r="P20" s="81">
        <v>5</v>
      </c>
      <c r="Q20" s="72">
        <v>69.300000000000011</v>
      </c>
    </row>
    <row r="21" spans="1:17" x14ac:dyDescent="0.45">
      <c r="A21" s="21" t="s">
        <v>12</v>
      </c>
      <c r="B21" s="14">
        <v>17</v>
      </c>
      <c r="C21" s="8">
        <f>IF(B$19=0,0,B21/B$19)</f>
        <v>0.45945945945945948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20</v>
      </c>
      <c r="C22" s="8">
        <f>IF(B$19=0,0,B22/B$19)</f>
        <v>0.54054054054054057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12</v>
      </c>
      <c r="C23" s="8">
        <f>IF(B$19=0,0,B23/B$19)</f>
        <v>0.32432432432432434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0.3783783783783784</v>
      </c>
      <c r="E24" s="29" t="s">
        <v>78</v>
      </c>
      <c r="F24" s="26" t="s">
        <v>33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11</v>
      </c>
      <c r="C25" s="8">
        <f>IF(B$19=0,0,B25/B$19)</f>
        <v>0.29729729729729731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8632.4324324324316</v>
      </c>
      <c r="C26" s="10">
        <v>319400</v>
      </c>
      <c r="E26" s="29" t="s">
        <v>81</v>
      </c>
      <c r="F26" s="26" t="s">
        <v>36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8134.782608695652</v>
      </c>
      <c r="C27" s="100">
        <v>187100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9450</v>
      </c>
      <c r="C28" s="100">
        <v>132300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-8444.4444444444453</v>
      </c>
      <c r="C29" s="100">
        <v>-76000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4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5</v>
      </c>
      <c r="C32" s="13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102700</v>
      </c>
      <c r="C33" s="132"/>
      <c r="E33" s="29" t="s">
        <v>91</v>
      </c>
      <c r="F33" s="26" t="s">
        <v>46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5.4054054054054057E-2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0.24324324324324326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7</v>
      </c>
      <c r="C38" s="8">
        <f t="shared" si="2"/>
        <v>0.1891891891891892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2"/>
        <v>0.16216216216216217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0.13513513513513514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0.10810810810810811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5.4054054054054057E-2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2</v>
      </c>
      <c r="C48" s="11">
        <f t="shared" si="2"/>
        <v>5.4054054054054057E-2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8</v>
      </c>
      <c r="C2" s="136"/>
      <c r="E2" s="28" t="s">
        <v>64</v>
      </c>
      <c r="F2" s="25" t="s">
        <v>20</v>
      </c>
      <c r="G2" s="13">
        <v>7</v>
      </c>
      <c r="H2" s="91">
        <f>IF(B$19=0,0,G2/B$19)</f>
        <v>0.63636363636363635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-5062.5</v>
      </c>
      <c r="P2" s="80">
        <v>8</v>
      </c>
      <c r="Q2" s="67">
        <v>-40500</v>
      </c>
    </row>
    <row r="3" spans="1:17" x14ac:dyDescent="0.45">
      <c r="A3" s="21" t="s">
        <v>8</v>
      </c>
      <c r="B3" s="137">
        <v>52</v>
      </c>
      <c r="C3" s="138"/>
      <c r="E3" s="29" t="s">
        <v>160</v>
      </c>
      <c r="F3" s="26" t="s">
        <v>161</v>
      </c>
      <c r="G3" s="14">
        <v>6</v>
      </c>
      <c r="H3" s="92">
        <f>IF(B$19=0,0,G3/B$19)</f>
        <v>0.54545454545454541</v>
      </c>
      <c r="I3" s="60">
        <v>1</v>
      </c>
      <c r="K3" s="7">
        <v>1</v>
      </c>
      <c r="L3" s="65">
        <v>-55.5</v>
      </c>
      <c r="N3" s="78" t="s">
        <v>129</v>
      </c>
      <c r="O3" s="84">
        <f t="shared" si="0"/>
        <v>-2512.5</v>
      </c>
      <c r="P3" s="81">
        <v>8</v>
      </c>
      <c r="Q3" s="68">
        <v>-20100</v>
      </c>
    </row>
    <row r="4" spans="1:17" x14ac:dyDescent="0.45">
      <c r="A4" s="21" t="s">
        <v>6</v>
      </c>
      <c r="B4" s="139">
        <v>-157.19999999999999</v>
      </c>
      <c r="C4" s="140"/>
      <c r="E4" s="29" t="s">
        <v>66</v>
      </c>
      <c r="F4" s="26" t="s">
        <v>22</v>
      </c>
      <c r="G4" s="14">
        <v>5</v>
      </c>
      <c r="H4" s="92">
        <f>IF(B$19=0,0,G4/B$19)</f>
        <v>0.45454545454545453</v>
      </c>
      <c r="I4" s="60">
        <v>7</v>
      </c>
      <c r="K4" s="7">
        <v>2</v>
      </c>
      <c r="L4" s="65">
        <v>-106.5</v>
      </c>
      <c r="N4" s="78" t="s">
        <v>130</v>
      </c>
      <c r="O4" s="84">
        <f t="shared" si="0"/>
        <v>-8150</v>
      </c>
      <c r="P4" s="81">
        <v>8</v>
      </c>
      <c r="Q4" s="68">
        <v>-65200</v>
      </c>
    </row>
    <row r="5" spans="1:17" x14ac:dyDescent="0.45">
      <c r="A5" s="21" t="s">
        <v>7</v>
      </c>
      <c r="B5" s="127">
        <f>IF(B$2=0,0,B$4/B$2)</f>
        <v>-19.649999999999999</v>
      </c>
      <c r="C5" s="128"/>
      <c r="E5" s="29" t="s">
        <v>72</v>
      </c>
      <c r="F5" s="26" t="s">
        <v>27</v>
      </c>
      <c r="G5" s="14">
        <v>5</v>
      </c>
      <c r="H5" s="92">
        <f>IF(B$19=0,0,G5/B$19)</f>
        <v>0.45454545454545453</v>
      </c>
      <c r="I5" s="60">
        <v>6</v>
      </c>
      <c r="K5" s="7">
        <v>3</v>
      </c>
      <c r="L5" s="65">
        <v>-108</v>
      </c>
      <c r="N5" s="78" t="s">
        <v>131</v>
      </c>
      <c r="O5" s="84">
        <f t="shared" si="0"/>
        <v>3433.3333333333335</v>
      </c>
      <c r="P5" s="81">
        <v>6</v>
      </c>
      <c r="Q5" s="68">
        <v>20600</v>
      </c>
    </row>
    <row r="6" spans="1:17" x14ac:dyDescent="0.45">
      <c r="A6" s="21" t="s">
        <v>1</v>
      </c>
      <c r="B6" s="141">
        <f>IF(B$2=0,0,(B$7*1+B$8*2+B$9*3)/B$2)</f>
        <v>2.5</v>
      </c>
      <c r="C6" s="142"/>
      <c r="E6" s="29" t="s">
        <v>67</v>
      </c>
      <c r="F6" s="26" t="s">
        <v>23</v>
      </c>
      <c r="G6" s="14">
        <v>4</v>
      </c>
      <c r="H6" s="92">
        <f>IF(B$19=0,0,G6/B$19)</f>
        <v>0.36363636363636365</v>
      </c>
      <c r="I6" s="60">
        <v>2</v>
      </c>
      <c r="K6" s="7">
        <v>4</v>
      </c>
      <c r="L6" s="65">
        <v>-115.5</v>
      </c>
      <c r="N6" s="78" t="s">
        <v>132</v>
      </c>
      <c r="O6" s="84">
        <f t="shared" si="0"/>
        <v>133.33333333333334</v>
      </c>
      <c r="P6" s="81">
        <v>6</v>
      </c>
      <c r="Q6" s="68">
        <v>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4</v>
      </c>
      <c r="H7" s="92">
        <f>IF(B$19=0,0,G7/B$19)</f>
        <v>0.36363636363636365</v>
      </c>
      <c r="I7" s="60">
        <v>1</v>
      </c>
      <c r="K7" s="7">
        <v>5</v>
      </c>
      <c r="L7" s="65">
        <v>-116</v>
      </c>
      <c r="N7" s="79" t="s">
        <v>133</v>
      </c>
      <c r="O7" s="85">
        <f t="shared" si="0"/>
        <v>-2125</v>
      </c>
      <c r="P7" s="82">
        <v>4</v>
      </c>
      <c r="Q7" s="69">
        <v>-8500</v>
      </c>
    </row>
    <row r="8" spans="1:17" x14ac:dyDescent="0.45">
      <c r="A8" s="21" t="s">
        <v>3</v>
      </c>
      <c r="B8" s="14">
        <v>4</v>
      </c>
      <c r="C8" s="8">
        <f t="shared" si="1"/>
        <v>0.5</v>
      </c>
      <c r="E8" s="29" t="s">
        <v>69</v>
      </c>
      <c r="F8" s="26" t="s">
        <v>24</v>
      </c>
      <c r="G8" s="14">
        <v>2</v>
      </c>
      <c r="H8" s="92">
        <f>IF(B$19=0,0,G8/B$19)</f>
        <v>0.18181818181818182</v>
      </c>
      <c r="I8" s="60">
        <v>1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</v>
      </c>
      <c r="E9" s="29" t="s">
        <v>65</v>
      </c>
      <c r="F9" s="26" t="s">
        <v>21</v>
      </c>
      <c r="G9" s="14">
        <v>1</v>
      </c>
      <c r="H9" s="92">
        <f>IF(B$19=0,0,G9/B$19)</f>
        <v>9.0909090909090912E-2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9.0909090909090912E-2</v>
      </c>
      <c r="I10" s="60">
        <v>3</v>
      </c>
      <c r="K10" s="7">
        <v>8</v>
      </c>
      <c r="L10" s="65">
        <v>-157.19999999999999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0.45000000000000018</v>
      </c>
      <c r="C11" s="114">
        <v>1.8000000000000007</v>
      </c>
      <c r="E11" s="29" t="s">
        <v>81</v>
      </c>
      <c r="F11" s="26" t="s">
        <v>36</v>
      </c>
      <c r="G11" s="14">
        <v>1</v>
      </c>
      <c r="H11" s="92">
        <f>IF(B$19=0,0,G11/B$19)</f>
        <v>9.0909090909090912E-2</v>
      </c>
      <c r="I11" s="60">
        <v>3</v>
      </c>
      <c r="N11" s="78" t="s">
        <v>153</v>
      </c>
      <c r="O11" s="87">
        <f>IF(P11=0,0,Q11/P11)</f>
        <v>3.1</v>
      </c>
      <c r="P11" s="81">
        <v>3</v>
      </c>
      <c r="Q11" s="72">
        <v>9.3000000000000007</v>
      </c>
    </row>
    <row r="12" spans="1:17" x14ac:dyDescent="0.45">
      <c r="A12" s="22" t="s">
        <v>187</v>
      </c>
      <c r="B12" s="113">
        <f>IF(B9=0,0,C12/B9)</f>
        <v>-39.75</v>
      </c>
      <c r="C12" s="114">
        <v>-159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5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27">
        <f>AVERAGE(B10:B12)</f>
        <v>-13.1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0.34615384615384615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4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-11.633333333333335</v>
      </c>
      <c r="P16" s="81">
        <v>6</v>
      </c>
      <c r="Q16" s="72">
        <v>-69.800000000000011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0.3888888888888889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196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4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11</v>
      </c>
      <c r="C19" s="6">
        <f>IF(B$3=0,0,B19/B$3)</f>
        <v>0.21153846153846154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193</v>
      </c>
      <c r="O19" s="87">
        <f>IF(P19=0,0,Q19/P19)</f>
        <v>-86.566666666666663</v>
      </c>
      <c r="P19" s="81">
        <v>3</v>
      </c>
      <c r="Q19" s="72">
        <v>-259.7</v>
      </c>
    </row>
    <row r="20" spans="1:17" x14ac:dyDescent="0.45">
      <c r="A20" s="21" t="s">
        <v>13</v>
      </c>
      <c r="B20" s="14">
        <v>8</v>
      </c>
      <c r="C20" s="8">
        <f>IF(B$3=0,0,B20/B$3)</f>
        <v>0.15384615384615385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0.36363636363636365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0.63636363636363635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5</v>
      </c>
    </row>
    <row r="23" spans="1:17" x14ac:dyDescent="0.45">
      <c r="A23" s="21" t="s">
        <v>184</v>
      </c>
      <c r="B23" s="14">
        <v>7</v>
      </c>
      <c r="C23" s="8">
        <f>IF(B$19=0,0,B23/B$19)</f>
        <v>0.63636363636363635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9.0909090909090912E-2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0.27272727272727271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5672.727272727273</v>
      </c>
      <c r="C26" s="10">
        <v>62400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6040</v>
      </c>
      <c r="C27" s="100">
        <v>60400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2000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-9187.5</v>
      </c>
      <c r="C29" s="100">
        <v>-73500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29">
        <v>3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46300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0.27272727272727271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9.0909090909090912E-2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9.0909090909090912E-2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192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13</v>
      </c>
      <c r="C2" s="136"/>
      <c r="E2" s="28" t="s">
        <v>72</v>
      </c>
      <c r="F2" s="25" t="s">
        <v>27</v>
      </c>
      <c r="G2" s="13">
        <v>18</v>
      </c>
      <c r="H2" s="91">
        <f>IF(B$19=0,0,G2/B$19)</f>
        <v>0.72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-892.30769230769226</v>
      </c>
      <c r="P2" s="80">
        <v>13</v>
      </c>
      <c r="Q2" s="67">
        <v>-11600</v>
      </c>
    </row>
    <row r="3" spans="1:17" x14ac:dyDescent="0.45">
      <c r="A3" s="21" t="s">
        <v>8</v>
      </c>
      <c r="B3" s="137">
        <v>99</v>
      </c>
      <c r="C3" s="138"/>
      <c r="E3" s="29" t="s">
        <v>66</v>
      </c>
      <c r="F3" s="26" t="s">
        <v>22</v>
      </c>
      <c r="G3" s="14">
        <v>16</v>
      </c>
      <c r="H3" s="92">
        <f>IF(B$19=0,0,G3/B$19)</f>
        <v>0.64</v>
      </c>
      <c r="I3" s="60">
        <v>5</v>
      </c>
      <c r="K3" s="7">
        <v>1</v>
      </c>
      <c r="L3" s="65">
        <v>-0.5</v>
      </c>
      <c r="N3" s="78" t="s">
        <v>129</v>
      </c>
      <c r="O3" s="84">
        <f t="shared" si="0"/>
        <v>-3638.4615384615386</v>
      </c>
      <c r="P3" s="81">
        <v>13</v>
      </c>
      <c r="Q3" s="68">
        <v>-47300</v>
      </c>
    </row>
    <row r="4" spans="1:17" x14ac:dyDescent="0.45">
      <c r="A4" s="21" t="s">
        <v>6</v>
      </c>
      <c r="B4" s="139">
        <v>-125.89999999999999</v>
      </c>
      <c r="C4" s="140"/>
      <c r="E4" s="29" t="s">
        <v>64</v>
      </c>
      <c r="F4" s="26" t="s">
        <v>20</v>
      </c>
      <c r="G4" s="14">
        <v>13</v>
      </c>
      <c r="H4" s="92">
        <f>IF(B$19=0,0,G4/B$19)</f>
        <v>0.52</v>
      </c>
      <c r="I4" s="60">
        <v>4</v>
      </c>
      <c r="K4" s="7">
        <v>2</v>
      </c>
      <c r="L4" s="65">
        <v>-62.8</v>
      </c>
      <c r="N4" s="78" t="s">
        <v>130</v>
      </c>
      <c r="O4" s="84">
        <f t="shared" si="0"/>
        <v>-30.76923076923077</v>
      </c>
      <c r="P4" s="81">
        <v>13</v>
      </c>
      <c r="Q4" s="68">
        <v>-400</v>
      </c>
    </row>
    <row r="5" spans="1:17" x14ac:dyDescent="0.45">
      <c r="A5" s="21" t="s">
        <v>7</v>
      </c>
      <c r="B5" s="127">
        <f>IF(B$2=0,0,B$4/B$2)</f>
        <v>-9.684615384615384</v>
      </c>
      <c r="C5" s="128"/>
      <c r="E5" s="29" t="s">
        <v>160</v>
      </c>
      <c r="F5" s="26" t="s">
        <v>161</v>
      </c>
      <c r="G5" s="14">
        <v>13</v>
      </c>
      <c r="H5" s="92">
        <f>IF(B$19=0,0,G5/B$19)</f>
        <v>0.52</v>
      </c>
      <c r="I5" s="60">
        <v>2</v>
      </c>
      <c r="K5" s="7">
        <v>3</v>
      </c>
      <c r="L5" s="65">
        <v>-48.5</v>
      </c>
      <c r="N5" s="78" t="s">
        <v>131</v>
      </c>
      <c r="O5" s="84">
        <f t="shared" si="0"/>
        <v>554.5454545454545</v>
      </c>
      <c r="P5" s="81">
        <v>11</v>
      </c>
      <c r="Q5" s="68">
        <v>6100</v>
      </c>
    </row>
    <row r="6" spans="1:17" x14ac:dyDescent="0.45">
      <c r="A6" s="21" t="s">
        <v>1</v>
      </c>
      <c r="B6" s="141">
        <f>IF(B$2=0,0,(B$7*1+B$8*2+B$9*3)/B$2)</f>
        <v>2.1538461538461537</v>
      </c>
      <c r="C6" s="142"/>
      <c r="E6" s="29" t="s">
        <v>67</v>
      </c>
      <c r="F6" s="26" t="s">
        <v>23</v>
      </c>
      <c r="G6" s="14">
        <v>9</v>
      </c>
      <c r="H6" s="92">
        <f>IF(B$19=0,0,G6/B$19)</f>
        <v>0.36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-1940</v>
      </c>
      <c r="P6" s="81">
        <v>10</v>
      </c>
      <c r="Q6" s="68">
        <v>-19400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0.23076923076923078</v>
      </c>
      <c r="E7" s="29" t="s">
        <v>68</v>
      </c>
      <c r="F7" s="26" t="s">
        <v>12</v>
      </c>
      <c r="G7" s="14">
        <v>6</v>
      </c>
      <c r="H7" s="92">
        <f>IF(B$19=0,0,G7/B$19)</f>
        <v>0.24</v>
      </c>
      <c r="I7" s="60">
        <v>7</v>
      </c>
      <c r="K7" s="7">
        <v>5</v>
      </c>
      <c r="L7" s="65">
        <v>-96.5</v>
      </c>
      <c r="N7" s="79" t="s">
        <v>133</v>
      </c>
      <c r="O7" s="85">
        <f t="shared" si="0"/>
        <v>-2357.1428571428573</v>
      </c>
      <c r="P7" s="82">
        <v>7</v>
      </c>
      <c r="Q7" s="69">
        <v>-16500</v>
      </c>
    </row>
    <row r="8" spans="1:17" x14ac:dyDescent="0.45">
      <c r="A8" s="21" t="s">
        <v>3</v>
      </c>
      <c r="B8" s="14">
        <v>5</v>
      </c>
      <c r="C8" s="8">
        <f t="shared" si="1"/>
        <v>0.38461538461538464</v>
      </c>
      <c r="E8" s="29" t="s">
        <v>89</v>
      </c>
      <c r="F8" s="26" t="s">
        <v>44</v>
      </c>
      <c r="G8" s="14">
        <v>5</v>
      </c>
      <c r="H8" s="92">
        <f>IF(B$19=0,0,G8/B$19)</f>
        <v>0.2</v>
      </c>
      <c r="I8" s="60">
        <v>2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69</v>
      </c>
      <c r="F9" s="26" t="s">
        <v>24</v>
      </c>
      <c r="G9" s="14">
        <v>2</v>
      </c>
      <c r="H9" s="92">
        <f>IF(B$19=0,0,G9/B$19)</f>
        <v>0.08</v>
      </c>
      <c r="I9" s="60">
        <v>5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24.066666666666663</v>
      </c>
      <c r="C10" s="114">
        <v>72.199999999999989</v>
      </c>
      <c r="E10" s="29" t="s">
        <v>70</v>
      </c>
      <c r="F10" s="26" t="s">
        <v>25</v>
      </c>
      <c r="G10" s="14">
        <v>2</v>
      </c>
      <c r="H10" s="92">
        <f>IF(B$19=0,0,G10/B$19)</f>
        <v>0.08</v>
      </c>
      <c r="I10" s="60">
        <v>1</v>
      </c>
      <c r="K10" s="7">
        <v>8</v>
      </c>
      <c r="L10" s="65">
        <v>-28.3</v>
      </c>
      <c r="N10" s="77" t="s">
        <v>152</v>
      </c>
      <c r="O10" s="86">
        <f>IF(P10=0,0,Q10/P10)</f>
        <v>-22.720000000000002</v>
      </c>
      <c r="P10" s="80">
        <v>5</v>
      </c>
      <c r="Q10" s="71">
        <v>-113.60000000000001</v>
      </c>
    </row>
    <row r="11" spans="1:17" x14ac:dyDescent="0.45">
      <c r="A11" s="22" t="s">
        <v>186</v>
      </c>
      <c r="B11" s="113">
        <f>IF(B8=0,0,C11/B8)</f>
        <v>-1.5799999999999996</v>
      </c>
      <c r="C11" s="114">
        <v>-7.8999999999999986</v>
      </c>
      <c r="E11" s="29" t="s">
        <v>78</v>
      </c>
      <c r="F11" s="26" t="s">
        <v>33</v>
      </c>
      <c r="G11" s="14">
        <v>2</v>
      </c>
      <c r="H11" s="92">
        <f>IF(B$19=0,0,G11/B$19)</f>
        <v>0.08</v>
      </c>
      <c r="I11" s="60">
        <v>1</v>
      </c>
      <c r="K11" s="7">
        <v>9</v>
      </c>
      <c r="L11" s="65">
        <v>-20.3</v>
      </c>
      <c r="N11" s="78" t="s">
        <v>153</v>
      </c>
      <c r="O11" s="87">
        <f>IF(P11=0,0,Q11/P11)</f>
        <v>-3.6999999999999993</v>
      </c>
      <c r="P11" s="81">
        <v>5</v>
      </c>
      <c r="Q11" s="72">
        <v>-18.499999999999996</v>
      </c>
    </row>
    <row r="12" spans="1:17" x14ac:dyDescent="0.45">
      <c r="A12" s="22" t="s">
        <v>187</v>
      </c>
      <c r="B12" s="113">
        <f>IF(B9=0,0,C12/B9)</f>
        <v>-38.04</v>
      </c>
      <c r="C12" s="114">
        <v>-190.2</v>
      </c>
      <c r="E12" s="29" t="s">
        <v>79</v>
      </c>
      <c r="F12" s="26" t="s">
        <v>34</v>
      </c>
      <c r="G12" s="14">
        <v>2</v>
      </c>
      <c r="H12" s="92">
        <f>IF(B$19=0,0,G12/B$19)</f>
        <v>0.08</v>
      </c>
      <c r="I12" s="60">
        <v>1</v>
      </c>
      <c r="K12" s="7">
        <v>10</v>
      </c>
      <c r="L12" s="65">
        <v>-14.9</v>
      </c>
      <c r="N12" s="79" t="s">
        <v>154</v>
      </c>
      <c r="O12" s="88">
        <f>IF(P12=0,0,Q12/P12)</f>
        <v>2.0666666666666651</v>
      </c>
      <c r="P12" s="82">
        <v>3</v>
      </c>
      <c r="Q12" s="73">
        <v>6.1999999999999957</v>
      </c>
    </row>
    <row r="13" spans="1:17" x14ac:dyDescent="0.45">
      <c r="A13" s="22" t="s">
        <v>188</v>
      </c>
      <c r="B13" s="127">
        <f>AVERAGE(B10:B12)</f>
        <v>-5.1844444444444449</v>
      </c>
      <c r="C13" s="128"/>
      <c r="E13" s="29" t="s">
        <v>65</v>
      </c>
      <c r="F13" s="26" t="s">
        <v>21</v>
      </c>
      <c r="G13" s="14">
        <v>1</v>
      </c>
      <c r="H13" s="92">
        <f>IF(B$19=0,0,G13/B$19)</f>
        <v>0.04</v>
      </c>
      <c r="I13" s="60">
        <v>8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7.6923076923076927E-2</v>
      </c>
      <c r="E14" s="29" t="s">
        <v>71</v>
      </c>
      <c r="F14" s="26" t="s">
        <v>26</v>
      </c>
      <c r="G14" s="14">
        <v>1</v>
      </c>
      <c r="H14" s="92">
        <f>IF(B$19=0,0,G14/B$19)</f>
        <v>0.04</v>
      </c>
      <c r="I14" s="60">
        <v>5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30</v>
      </c>
      <c r="C15" s="12">
        <f>IF(B$3=0,0,B15/B$3)</f>
        <v>0.30303030303030304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K15" s="7">
        <v>13</v>
      </c>
      <c r="L15" s="65">
        <v>-125.89999999999999</v>
      </c>
      <c r="N15" s="77" t="s">
        <v>194</v>
      </c>
      <c r="O15" s="86">
        <f>IF(P15=0,0,Q15/P15)</f>
        <v>11.633333333333335</v>
      </c>
      <c r="P15" s="80">
        <v>6</v>
      </c>
      <c r="Q15" s="71">
        <v>69.800000000000011</v>
      </c>
    </row>
    <row r="16" spans="1:17" x14ac:dyDescent="0.45">
      <c r="A16" s="21" t="s">
        <v>118</v>
      </c>
      <c r="B16" s="14">
        <v>19</v>
      </c>
      <c r="C16" s="8">
        <f>IF(B$3=0,0,B16/B$3)</f>
        <v>0.19191919191919191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164</v>
      </c>
      <c r="O16" s="87">
        <f>IF(P16=0,0,Q16/P16)</f>
        <v>7.4599999999999991</v>
      </c>
      <c r="P16" s="81">
        <v>5</v>
      </c>
      <c r="Q16" s="72">
        <v>37.299999999999997</v>
      </c>
    </row>
    <row r="17" spans="1:17" x14ac:dyDescent="0.45">
      <c r="A17" s="20" t="s">
        <v>123</v>
      </c>
      <c r="B17" s="13">
        <f>B23</f>
        <v>14</v>
      </c>
      <c r="C17" s="6">
        <f>IF(B$15=0,0,B17/B$15)</f>
        <v>0.46666666666666667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196</v>
      </c>
      <c r="O17" s="87">
        <f>IF(P17=0,0,Q17/P17)</f>
        <v>-18.550000000000004</v>
      </c>
      <c r="P17" s="81">
        <v>2</v>
      </c>
      <c r="Q17" s="72">
        <v>-37.100000000000009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0.36842105263157893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-31.974999999999998</v>
      </c>
      <c r="P18" s="81">
        <v>8</v>
      </c>
      <c r="Q18" s="72">
        <v>-255.79999999999998</v>
      </c>
    </row>
    <row r="19" spans="1:17" x14ac:dyDescent="0.45">
      <c r="A19" s="20" t="s">
        <v>10</v>
      </c>
      <c r="B19" s="13">
        <f>B22+B21</f>
        <v>25</v>
      </c>
      <c r="C19" s="6">
        <f>IF(B$3=0,0,B19/B$3)</f>
        <v>0.25252525252525254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1</v>
      </c>
      <c r="N19" s="78" t="s">
        <v>193</v>
      </c>
      <c r="O19" s="87">
        <f>IF(P19=0,0,Q19/P19)</f>
        <v>-38.379999999999995</v>
      </c>
      <c r="P19" s="81">
        <v>5</v>
      </c>
      <c r="Q19" s="72">
        <v>-191.89999999999998</v>
      </c>
    </row>
    <row r="20" spans="1:17" x14ac:dyDescent="0.45">
      <c r="A20" s="21" t="s">
        <v>13</v>
      </c>
      <c r="B20" s="14">
        <v>15</v>
      </c>
      <c r="C20" s="8">
        <f>IF(B$3=0,0,B20/B$3)</f>
        <v>0.15151515151515152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8</v>
      </c>
      <c r="C21" s="8">
        <f>IF(B$19=0,0,B21/B$19)</f>
        <v>0.32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17</v>
      </c>
      <c r="C22" s="8">
        <f>IF(B$19=0,0,B22/B$19)</f>
        <v>0.68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14</v>
      </c>
      <c r="C23" s="8">
        <f>IF(B$19=0,0,B23/B$19)</f>
        <v>0.56000000000000005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7</v>
      </c>
      <c r="C24" s="8">
        <f>IF(B$19=0,0,B24/B$19)</f>
        <v>0.28000000000000003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7960</v>
      </c>
      <c r="C26" s="10">
        <v>199000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8666.6666666666661</v>
      </c>
      <c r="C27" s="100">
        <v>156000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6142.8571428571431</v>
      </c>
      <c r="C28" s="100">
        <v>43000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-8700</v>
      </c>
      <c r="C29" s="100">
        <v>-130500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56900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3</v>
      </c>
      <c r="C36" s="102">
        <f t="shared" ref="C36:C48" si="2">IF(B$19=0,0,B36/B$19)</f>
        <v>0.12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0.12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8</v>
      </c>
      <c r="C38" s="8">
        <f t="shared" si="2"/>
        <v>0.32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3</v>
      </c>
      <c r="C39" s="8">
        <f t="shared" si="2"/>
        <v>0.12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0.08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0.08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2</v>
      </c>
      <c r="C42" s="8">
        <f t="shared" si="2"/>
        <v>0.08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0.04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0.04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</v>
      </c>
      <c r="C2" s="136"/>
      <c r="E2" s="28" t="s">
        <v>66</v>
      </c>
      <c r="F2" s="25" t="s">
        <v>22</v>
      </c>
      <c r="G2" s="13">
        <v>18</v>
      </c>
      <c r="H2" s="91">
        <f>IF(B$19=0,0,G2/B$19)</f>
        <v>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-933.33333333333337</v>
      </c>
      <c r="P2" s="80">
        <v>6</v>
      </c>
      <c r="Q2" s="67">
        <v>-5600</v>
      </c>
    </row>
    <row r="3" spans="1:17" x14ac:dyDescent="0.45">
      <c r="A3" s="21" t="s">
        <v>8</v>
      </c>
      <c r="B3" s="137">
        <v>46</v>
      </c>
      <c r="C3" s="138"/>
      <c r="E3" s="29" t="s">
        <v>72</v>
      </c>
      <c r="F3" s="26" t="s">
        <v>27</v>
      </c>
      <c r="G3" s="14">
        <v>15</v>
      </c>
      <c r="H3" s="92">
        <f>IF(B$19=0,0,G3/B$19)</f>
        <v>0.83333333333333337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-1866.6666666666667</v>
      </c>
      <c r="P3" s="81">
        <v>6</v>
      </c>
      <c r="Q3" s="68">
        <v>-11200</v>
      </c>
    </row>
    <row r="4" spans="1:17" x14ac:dyDescent="0.45">
      <c r="A4" s="21" t="s">
        <v>6</v>
      </c>
      <c r="B4" s="139">
        <v>167.3</v>
      </c>
      <c r="C4" s="140"/>
      <c r="E4" s="29" t="s">
        <v>64</v>
      </c>
      <c r="F4" s="26" t="s">
        <v>20</v>
      </c>
      <c r="G4" s="14">
        <v>7</v>
      </c>
      <c r="H4" s="92">
        <f>IF(B$19=0,0,G4/B$19)</f>
        <v>0.3888888888888889</v>
      </c>
      <c r="I4" s="60">
        <v>7</v>
      </c>
      <c r="K4" s="7">
        <v>2</v>
      </c>
      <c r="L4" s="65">
        <v>137.5</v>
      </c>
      <c r="N4" s="78" t="s">
        <v>130</v>
      </c>
      <c r="O4" s="84">
        <f t="shared" si="0"/>
        <v>18150</v>
      </c>
      <c r="P4" s="81">
        <v>6</v>
      </c>
      <c r="Q4" s="68">
        <v>108900</v>
      </c>
    </row>
    <row r="5" spans="1:17" x14ac:dyDescent="0.45">
      <c r="A5" s="21" t="s">
        <v>7</v>
      </c>
      <c r="B5" s="127">
        <f>IF(B$2=0,0,B$4/B$2)</f>
        <v>27.883333333333336</v>
      </c>
      <c r="C5" s="128"/>
      <c r="E5" s="29" t="s">
        <v>67</v>
      </c>
      <c r="F5" s="26" t="s">
        <v>23</v>
      </c>
      <c r="G5" s="14">
        <v>7</v>
      </c>
      <c r="H5" s="92">
        <f>IF(B$19=0,0,G5/B$19)</f>
        <v>0.3888888888888889</v>
      </c>
      <c r="I5" s="60">
        <v>1</v>
      </c>
      <c r="K5" s="7">
        <v>3</v>
      </c>
      <c r="L5" s="65">
        <v>159</v>
      </c>
      <c r="N5" s="78" t="s">
        <v>131</v>
      </c>
      <c r="O5" s="84">
        <f t="shared" si="0"/>
        <v>1400</v>
      </c>
      <c r="P5" s="81">
        <v>4</v>
      </c>
      <c r="Q5" s="68">
        <v>5600</v>
      </c>
    </row>
    <row r="6" spans="1:17" x14ac:dyDescent="0.45">
      <c r="A6" s="21" t="s">
        <v>1</v>
      </c>
      <c r="B6" s="141">
        <f>IF(B$2=0,0,(B$7*1+B$8*2+B$9*3)/B$2)</f>
        <v>1.3333333333333333</v>
      </c>
      <c r="C6" s="142"/>
      <c r="E6" s="29" t="s">
        <v>68</v>
      </c>
      <c r="F6" s="26" t="s">
        <v>12</v>
      </c>
      <c r="G6" s="14">
        <v>5</v>
      </c>
      <c r="H6" s="92">
        <f>IF(B$19=0,0,G6/B$19)</f>
        <v>0.27777777777777779</v>
      </c>
      <c r="I6" s="60">
        <v>2</v>
      </c>
      <c r="K6" s="7">
        <v>4</v>
      </c>
      <c r="L6" s="65">
        <v>112.4</v>
      </c>
      <c r="N6" s="78" t="s">
        <v>132</v>
      </c>
      <c r="O6" s="84">
        <f t="shared" si="0"/>
        <v>9333.3333333333339</v>
      </c>
      <c r="P6" s="81">
        <v>3</v>
      </c>
      <c r="Q6" s="68">
        <v>28000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0.83333333333333337</v>
      </c>
      <c r="E7" s="29" t="s">
        <v>89</v>
      </c>
      <c r="F7" s="26" t="s">
        <v>44</v>
      </c>
      <c r="G7" s="14">
        <v>3</v>
      </c>
      <c r="H7" s="92">
        <f>IF(B$19=0,0,G7/B$19)</f>
        <v>0.16666666666666666</v>
      </c>
      <c r="I7" s="60">
        <v>4</v>
      </c>
      <c r="K7" s="7">
        <v>5</v>
      </c>
      <c r="L7" s="65">
        <v>140.30000000000001</v>
      </c>
      <c r="N7" s="79" t="s">
        <v>133</v>
      </c>
      <c r="O7" s="85">
        <f t="shared" si="0"/>
        <v>533.33333333333337</v>
      </c>
      <c r="P7" s="82">
        <v>3</v>
      </c>
      <c r="Q7" s="69">
        <v>1600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2</v>
      </c>
      <c r="H8" s="92">
        <f>IF(B$19=0,0,G8/B$19)</f>
        <v>0.1111111111111111</v>
      </c>
      <c r="I8" s="60">
        <v>5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0.16666666666666666</v>
      </c>
      <c r="E9" s="29" t="s">
        <v>81</v>
      </c>
      <c r="F9" s="26" t="s">
        <v>36</v>
      </c>
      <c r="G9" s="14">
        <v>2</v>
      </c>
      <c r="H9" s="92">
        <f>IF(B$19=0,0,G9/B$19)</f>
        <v>0.1111111111111111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42.78</v>
      </c>
      <c r="C10" s="114">
        <v>213.9</v>
      </c>
      <c r="E10" s="29" t="s">
        <v>83</v>
      </c>
      <c r="F10" s="26" t="s">
        <v>38</v>
      </c>
      <c r="G10" s="14">
        <v>2</v>
      </c>
      <c r="H10" s="92">
        <f>IF(B$19=0,0,G10/B$19)</f>
        <v>0.1111111111111111</v>
      </c>
      <c r="I10" s="60">
        <v>1</v>
      </c>
      <c r="N10" s="77" t="s">
        <v>152</v>
      </c>
      <c r="O10" s="86">
        <f>IF(P10=0,0,Q10/P10)</f>
        <v>-12.55</v>
      </c>
      <c r="P10" s="80">
        <v>2</v>
      </c>
      <c r="Q10" s="71">
        <v>-25.1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1</v>
      </c>
      <c r="H11" s="92">
        <f>IF(B$19=0,0,G11/B$19)</f>
        <v>5.5555555555555552E-2</v>
      </c>
      <c r="I11" s="60">
        <v>6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-46.6</v>
      </c>
      <c r="C12" s="114">
        <v>-46.6</v>
      </c>
      <c r="E12" s="29" t="s">
        <v>102</v>
      </c>
      <c r="F12" s="26" t="s">
        <v>57</v>
      </c>
      <c r="G12" s="14">
        <v>1</v>
      </c>
      <c r="H12" s="92">
        <f>IF(B$19=0,0,G12/B$19)</f>
        <v>5.5555555555555552E-2</v>
      </c>
      <c r="I12" s="60">
        <v>1</v>
      </c>
      <c r="N12" s="79" t="s">
        <v>154</v>
      </c>
      <c r="O12" s="88">
        <f>IF(P12=0,0,Q12/P12)</f>
        <v>48.1</v>
      </c>
      <c r="P12" s="82">
        <v>4</v>
      </c>
      <c r="Q12" s="73">
        <v>192.4</v>
      </c>
    </row>
    <row r="13" spans="1:17" x14ac:dyDescent="0.45">
      <c r="A13" s="22" t="s">
        <v>188</v>
      </c>
      <c r="B13" s="127">
        <f>AVERAGE(B10:B12)</f>
        <v>-1.2733333333333334</v>
      </c>
      <c r="C13" s="128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0.16666666666666666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0.2391304347826087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196</v>
      </c>
      <c r="O15" s="86">
        <f>IF(P15=0,0,Q15/P15)</f>
        <v>112</v>
      </c>
      <c r="P15" s="80">
        <v>1</v>
      </c>
      <c r="Q15" s="71">
        <v>112</v>
      </c>
    </row>
    <row r="16" spans="1:17" x14ac:dyDescent="0.45">
      <c r="A16" s="21" t="s">
        <v>118</v>
      </c>
      <c r="B16" s="14">
        <v>17</v>
      </c>
      <c r="C16" s="8">
        <f>IF(B$3=0,0,B16/B$3)</f>
        <v>0.36956521739130432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86.566666666666663</v>
      </c>
      <c r="P16" s="81">
        <v>3</v>
      </c>
      <c r="Q16" s="72">
        <v>259.7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0.63636363636363635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164</v>
      </c>
      <c r="O17" s="87">
        <f>IF(P17=0,0,Q17/P17)</f>
        <v>48.4</v>
      </c>
      <c r="P17" s="81">
        <v>1</v>
      </c>
      <c r="Q17" s="72">
        <v>48.4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0.35294117647058826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38.379999999999995</v>
      </c>
      <c r="P18" s="81">
        <v>5</v>
      </c>
      <c r="Q18" s="72">
        <v>191.89999999999998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0.39130434782608697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-55.050000000000004</v>
      </c>
      <c r="P19" s="81">
        <v>2</v>
      </c>
      <c r="Q19" s="72">
        <v>-110.10000000000001</v>
      </c>
    </row>
    <row r="20" spans="1:17" x14ac:dyDescent="0.45">
      <c r="A20" s="21" t="s">
        <v>13</v>
      </c>
      <c r="B20" s="14">
        <v>5</v>
      </c>
      <c r="C20" s="8">
        <f>IF(B$3=0,0,B20/B$3)</f>
        <v>0.10869565217391304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4</v>
      </c>
    </row>
    <row r="21" spans="1:17" x14ac:dyDescent="0.45">
      <c r="A21" s="21" t="s">
        <v>12</v>
      </c>
      <c r="B21" s="14">
        <v>9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9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0.3888888888888889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6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5</v>
      </c>
      <c r="C25" s="8">
        <f>IF(B$19=0,0,B25/B$19)</f>
        <v>0.27777777777777779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10283.333333333334</v>
      </c>
      <c r="C26" s="10">
        <v>185100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11266.666666666666</v>
      </c>
      <c r="C27" s="100">
        <v>135200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8316.6666666666661</v>
      </c>
      <c r="C28" s="100">
        <v>49900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-4980</v>
      </c>
      <c r="C29" s="100">
        <v>-24900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16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106500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5.5555555555555552E-2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0.22222222222222221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2"/>
        <v>0.33333333333333331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5.5555555555555552E-2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2"/>
        <v>5.5555555555555552E-2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5.5555555555555552E-2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5.5555555555555552E-2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196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64</v>
      </c>
      <c r="F2" s="25" t="s">
        <v>20</v>
      </c>
      <c r="G2" s="13">
        <v>3</v>
      </c>
      <c r="H2" s="91">
        <f>IF(B$19=0,0,G2/B$19)</f>
        <v>0.75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-333.33333333333331</v>
      </c>
      <c r="P2" s="80">
        <v>3</v>
      </c>
      <c r="Q2" s="67">
        <v>-1000</v>
      </c>
    </row>
    <row r="3" spans="1:17" x14ac:dyDescent="0.45">
      <c r="A3" s="21" t="s">
        <v>8</v>
      </c>
      <c r="B3" s="137">
        <v>20</v>
      </c>
      <c r="C3" s="138"/>
      <c r="E3" s="29" t="s">
        <v>65</v>
      </c>
      <c r="F3" s="26" t="s">
        <v>21</v>
      </c>
      <c r="G3" s="14">
        <v>1</v>
      </c>
      <c r="H3" s="92">
        <f>IF(B$19=0,0,G3/B$19)</f>
        <v>0.25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39">
        <v>-41.400000000000006</v>
      </c>
      <c r="C4" s="140"/>
      <c r="E4" s="29" t="s">
        <v>66</v>
      </c>
      <c r="F4" s="26" t="s">
        <v>22</v>
      </c>
      <c r="G4" s="14">
        <v>1</v>
      </c>
      <c r="H4" s="92">
        <f>IF(B$19=0,0,G4/B$19)</f>
        <v>0.25</v>
      </c>
      <c r="I4" s="60">
        <v>8</v>
      </c>
      <c r="K4" s="7">
        <v>2</v>
      </c>
      <c r="L4" s="65">
        <v>-28.6</v>
      </c>
      <c r="N4" s="78" t="s">
        <v>130</v>
      </c>
      <c r="O4" s="84">
        <f t="shared" si="0"/>
        <v>-8766.6666666666661</v>
      </c>
      <c r="P4" s="81">
        <v>3</v>
      </c>
      <c r="Q4" s="68">
        <v>-26300</v>
      </c>
    </row>
    <row r="5" spans="1:17" x14ac:dyDescent="0.45">
      <c r="A5" s="21" t="s">
        <v>7</v>
      </c>
      <c r="B5" s="127">
        <f>IF(B$2=0,0,B$4/B$2)</f>
        <v>-13.800000000000002</v>
      </c>
      <c r="C5" s="128"/>
      <c r="E5" s="29" t="s">
        <v>67</v>
      </c>
      <c r="F5" s="26" t="s">
        <v>23</v>
      </c>
      <c r="G5" s="14">
        <v>1</v>
      </c>
      <c r="H5" s="92">
        <f>IF(B$19=0,0,G5/B$19)</f>
        <v>0.25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-3000</v>
      </c>
      <c r="P5" s="81">
        <v>1</v>
      </c>
      <c r="Q5" s="68">
        <v>-3000</v>
      </c>
    </row>
    <row r="6" spans="1:17" x14ac:dyDescent="0.45">
      <c r="A6" s="21" t="s">
        <v>1</v>
      </c>
      <c r="B6" s="141">
        <f>IF(B$2=0,0,(B$7*1+B$8*2+B$9*3)/B$2)</f>
        <v>2.3333333333333335</v>
      </c>
      <c r="C6" s="142"/>
      <c r="E6" s="29" t="s">
        <v>68</v>
      </c>
      <c r="F6" s="26" t="s">
        <v>12</v>
      </c>
      <c r="G6" s="14">
        <v>1</v>
      </c>
      <c r="H6" s="92">
        <f>IF(B$19=0,0,G6/B$19)</f>
        <v>0.25</v>
      </c>
      <c r="I6" s="60">
        <v>5</v>
      </c>
      <c r="N6" s="78" t="s">
        <v>132</v>
      </c>
      <c r="O6" s="84">
        <f t="shared" si="0"/>
        <v>2000</v>
      </c>
      <c r="P6" s="81">
        <v>1</v>
      </c>
      <c r="Q6" s="68">
        <v>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72</v>
      </c>
      <c r="F7" s="26" t="s">
        <v>27</v>
      </c>
      <c r="G7" s="14">
        <v>1</v>
      </c>
      <c r="H7" s="92">
        <f>IF(B$19=0,0,G7/B$19)</f>
        <v>0.25</v>
      </c>
      <c r="I7" s="60">
        <v>7</v>
      </c>
      <c r="N7" s="79" t="s">
        <v>133</v>
      </c>
      <c r="O7" s="85">
        <f t="shared" si="0"/>
        <v>-5500</v>
      </c>
      <c r="P7" s="82">
        <v>1</v>
      </c>
      <c r="Q7" s="69">
        <v>-5500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86</v>
      </c>
      <c r="F8" s="26" t="s">
        <v>41</v>
      </c>
      <c r="G8" s="14">
        <v>1</v>
      </c>
      <c r="H8" s="92">
        <f>IF(B$19=0,0,G8/B$19)</f>
        <v>0.25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7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-14.3</v>
      </c>
      <c r="C11" s="114">
        <v>-28.6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-30.5</v>
      </c>
      <c r="P11" s="81">
        <v>1</v>
      </c>
      <c r="Q11" s="72">
        <v>-30.5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-9.0333333333333332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18.550000000000004</v>
      </c>
      <c r="P16" s="81">
        <v>2</v>
      </c>
      <c r="Q16" s="72">
        <v>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0.75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-34.9</v>
      </c>
      <c r="P17" s="81">
        <v>2</v>
      </c>
      <c r="Q17" s="72">
        <v>-69.8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4</v>
      </c>
      <c r="N18" s="78" t="s">
        <v>193</v>
      </c>
      <c r="O18" s="87">
        <f>IF(P18=0,0,Q18/P18)</f>
        <v>-112</v>
      </c>
      <c r="P18" s="81">
        <v>1</v>
      </c>
      <c r="Q18" s="72">
        <v>-112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</v>
      </c>
      <c r="C21" s="8">
        <f>IF(B$19=0,0,B21/B$19)</f>
        <v>0.25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3</v>
      </c>
      <c r="C22" s="8">
        <f>IF(B$19=0,0,B22/B$19)</f>
        <v>0.75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5100</v>
      </c>
      <c r="C26" s="10">
        <v>20400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5100</v>
      </c>
      <c r="C27" s="100">
        <v>20400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13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4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36900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0.25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2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558</vt:i4>
      </vt:variant>
    </vt:vector>
  </HeadingPairs>
  <TitlesOfParts>
    <vt:vector size="594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2020-04-06T08:20:09Z</dcterms:modified>
</cp:coreProperties>
</file>